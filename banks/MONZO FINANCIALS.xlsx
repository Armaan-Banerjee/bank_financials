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 (MBHG)</t>
        </is>
      </c>
      <c r="C5" s="4" t="inlineStr">
        <is>
          <t>FY2024 (MBHG)*</t>
        </is>
      </c>
      <c r="D5" s="4" t="inlineStr">
        <is>
          <t>FY2023 (MBL)</t>
        </is>
      </c>
      <c r="E5" s="4" t="inlineStr">
        <is>
          <t>FY2022 (MBL)</t>
        </is>
      </c>
      <c r="F5" s="4" t="inlineStr">
        <is>
          <t>FY2021 (MBL)</t>
        </is>
      </c>
      <c r="G5" s="4" t="inlineStr">
        <is>
          <t>FY2020 (MBL)</t>
        </is>
      </c>
      <c r="H5" s="4" t="inlineStr">
        <is>
          <t>FY2019 (MBL)</t>
        </is>
      </c>
      <c r="I5" s="4" t="inlineStr">
        <is>
          <t>FY2018 (MBL)</t>
        </is>
      </c>
      <c r="M5" t="inlineStr">
        <is>
          <t>FY2018 (MBL)</t>
        </is>
      </c>
      <c r="N5" t="inlineStr">
        <is>
          <t>FY2019 (MBL)</t>
        </is>
      </c>
      <c r="O5" t="inlineStr">
        <is>
          <t>FY2020 (MBL)</t>
        </is>
      </c>
      <c r="P5" t="inlineStr">
        <is>
          <t>FY2021 (MBL)</t>
        </is>
      </c>
      <c r="Q5" t="inlineStr">
        <is>
          <t>FY2022 (MBL)</t>
        </is>
      </c>
      <c r="R5" t="inlineStr">
        <is>
          <t>FY2023 (MBL)</t>
        </is>
      </c>
      <c r="S5" t="inlineStr">
        <is>
          <t>FY2024 (MBHG)*</t>
        </is>
      </c>
      <c r="T5" t="inlineStr">
        <is>
          <t>FY2025 (MBHG)</t>
        </is>
      </c>
      <c r="BE5" t="inlineStr">
        <is>
          <t>FY2018 (MBL)</t>
        </is>
      </c>
      <c r="BF5" t="inlineStr">
        <is>
          <t>FY2019 (MBL)</t>
        </is>
      </c>
      <c r="BG5" t="inlineStr">
        <is>
          <t>FY2020 (MBL)</t>
        </is>
      </c>
      <c r="BH5" t="inlineStr">
        <is>
          <t>FY2021 (MBL)</t>
        </is>
      </c>
      <c r="BI5" t="inlineStr">
        <is>
          <t>FY2022 (MBL)</t>
        </is>
      </c>
      <c r="BJ5" t="inlineStr">
        <is>
          <t>FY2023 (MBL)</t>
        </is>
      </c>
      <c r="BK5" t="inlineStr">
        <is>
          <t>FY2024 (MBHG)*</t>
        </is>
      </c>
      <c r="BL5" t="inlineStr">
        <is>
          <t>FY2025 (MBHG)</t>
        </is>
      </c>
    </row>
    <row r="6">
      <c r="A6" s="5" t="inlineStr">
        <is>
          <t>Total assets</t>
        </is>
      </c>
      <c r="B6" s="5" t="n">
        <v>18263851</v>
      </c>
      <c r="C6" s="5" t="n">
        <v>12965813</v>
      </c>
      <c r="D6" s="5" t="n">
        <v>6687776</v>
      </c>
      <c r="E6" s="5" t="n">
        <v>5218429</v>
      </c>
      <c r="F6" s="5" t="n">
        <v>3629707</v>
      </c>
      <c r="G6" s="5" t="n">
        <v>1721408</v>
      </c>
      <c r="H6" s="5" t="n">
        <v>614390</v>
      </c>
      <c r="I6" s="5" t="n">
        <v>139820</v>
      </c>
      <c r="L6" t="inlineStr">
        <is>
          <t>Total assets</t>
        </is>
      </c>
      <c r="M6" t="n">
        <v>139820</v>
      </c>
      <c r="N6" t="n">
        <v>614390</v>
      </c>
      <c r="O6" t="n">
        <v>1721408</v>
      </c>
      <c r="P6" t="n">
        <v>3629707</v>
      </c>
      <c r="Q6" t="n">
        <v>5218429</v>
      </c>
      <c r="R6" t="n">
        <v>6687776</v>
      </c>
      <c r="S6" t="n">
        <v>12965813</v>
      </c>
      <c r="T6" t="n">
        <v>18263851</v>
      </c>
      <c r="BD6" t="inlineStr">
        <is>
          <t>CET1 Ratio</t>
        </is>
      </c>
      <c r="BF6" t="n">
        <v>126</v>
      </c>
      <c r="BG6" t="n">
        <v>70</v>
      </c>
      <c r="BH6" t="n">
        <v>99</v>
      </c>
      <c r="BI6" t="n">
        <v>155.1</v>
      </c>
      <c r="BJ6" t="n">
        <v>54.4</v>
      </c>
      <c r="BK6" t="n">
        <v>54.94</v>
      </c>
      <c r="BL6" t="n">
        <v>55.92</v>
      </c>
    </row>
    <row r="7">
      <c r="A7" s="5" t="inlineStr">
        <is>
          <t>Loans and advances to customers</t>
        </is>
      </c>
      <c r="B7" s="5" t="n">
        <v>1602470</v>
      </c>
      <c r="C7" s="5" t="n">
        <v>1190215</v>
      </c>
      <c r="D7" s="5" t="n">
        <v>653733</v>
      </c>
      <c r="E7" s="5" t="n">
        <v>235083</v>
      </c>
      <c r="F7" s="5" t="n">
        <v>87147</v>
      </c>
      <c r="G7" s="5" t="n">
        <v>123913</v>
      </c>
      <c r="H7" s="5" t="n">
        <v>16054</v>
      </c>
      <c r="I7" s="5" t="n">
        <v>160</v>
      </c>
      <c r="L7" t="inlineStr">
        <is>
          <t>Loans and advances to customers</t>
        </is>
      </c>
      <c r="M7" t="n">
        <v>160</v>
      </c>
      <c r="N7" t="n">
        <v>16054</v>
      </c>
      <c r="O7" t="n">
        <v>123913</v>
      </c>
      <c r="P7" t="n">
        <v>87147</v>
      </c>
      <c r="Q7" t="n">
        <v>235083</v>
      </c>
      <c r="R7" t="n">
        <v>653733</v>
      </c>
      <c r="S7" t="n">
        <v>1190215</v>
      </c>
      <c r="T7" t="n">
        <v>1602470</v>
      </c>
      <c r="BD7" t="inlineStr">
        <is>
          <t>Tier 1 Ratio</t>
        </is>
      </c>
      <c r="BF7" t="n">
        <v>126</v>
      </c>
      <c r="BG7" t="n">
        <v>70</v>
      </c>
      <c r="BH7" t="n">
        <v>99</v>
      </c>
      <c r="BI7" t="n">
        <v>155.1</v>
      </c>
      <c r="BJ7" t="n">
        <v>54.4</v>
      </c>
      <c r="BK7" t="n">
        <v>54.94</v>
      </c>
      <c r="BL7" t="n">
        <v>55.92</v>
      </c>
    </row>
    <row r="8">
      <c r="A8" s="5" t="inlineStr">
        <is>
          <t>Customer deposits</t>
        </is>
      </c>
      <c r="B8" s="5" t="n">
        <v>16599371</v>
      </c>
      <c r="C8" s="5" t="n">
        <v>11197622</v>
      </c>
      <c r="D8" s="5" t="n">
        <v>5945947</v>
      </c>
      <c r="E8" s="5" t="n">
        <v>4440650</v>
      </c>
      <c r="F8" s="5" t="n">
        <v>3124046</v>
      </c>
      <c r="G8" s="5" t="n">
        <v>1392517</v>
      </c>
      <c r="H8" s="5" t="n">
        <v>461821</v>
      </c>
      <c r="I8" s="5" t="n">
        <v>71276</v>
      </c>
      <c r="L8" t="inlineStr">
        <is>
          <t>Customer deposits</t>
        </is>
      </c>
      <c r="M8" t="n">
        <v>71276</v>
      </c>
      <c r="N8" t="n">
        <v>461821</v>
      </c>
      <c r="O8" t="n">
        <v>1392517</v>
      </c>
      <c r="P8" t="n">
        <v>3124046</v>
      </c>
      <c r="Q8" t="n">
        <v>4440650</v>
      </c>
      <c r="R8" t="n">
        <v>5945947</v>
      </c>
      <c r="S8" t="n">
        <v>11197622</v>
      </c>
      <c r="T8" t="n">
        <v>16599371</v>
      </c>
      <c r="BD8" t="inlineStr">
        <is>
          <t>Total Capital Ratio</t>
        </is>
      </c>
      <c r="BH8" t="n">
        <v>99</v>
      </c>
      <c r="BI8" t="n">
        <v>159.1</v>
      </c>
      <c r="BJ8" t="n">
        <v>55.91</v>
      </c>
      <c r="BK8" t="n">
        <v>55.87</v>
      </c>
      <c r="BL8" t="n">
        <v>56.67</v>
      </c>
    </row>
    <row r="9">
      <c r="A9" s="5" t="inlineStr">
        <is>
          <t>Total equity</t>
        </is>
      </c>
      <c r="B9" s="5" t="n">
        <v>1212943</v>
      </c>
      <c r="C9" s="5" t="n">
        <v>862145</v>
      </c>
      <c r="D9" s="5" t="n">
        <v>475650</v>
      </c>
      <c r="E9" s="5" t="n">
        <v>562268</v>
      </c>
      <c r="F9" s="5" t="n">
        <v>221894</v>
      </c>
      <c r="G9" s="5" t="n">
        <v>129004</v>
      </c>
      <c r="H9" s="5" t="n">
        <v>115670</v>
      </c>
      <c r="I9" s="5" t="n">
        <v>56179</v>
      </c>
      <c r="L9" t="inlineStr">
        <is>
          <t>Total equity</t>
        </is>
      </c>
      <c r="M9" t="n">
        <v>56179</v>
      </c>
      <c r="N9" t="n">
        <v>115670</v>
      </c>
      <c r="O9" t="n">
        <v>129004</v>
      </c>
      <c r="P9" t="n">
        <v>221894</v>
      </c>
      <c r="Q9" t="n">
        <v>562268</v>
      </c>
      <c r="R9" t="n">
        <v>475650</v>
      </c>
      <c r="S9" t="n">
        <v>862145</v>
      </c>
      <c r="T9" t="n">
        <v>1212943</v>
      </c>
      <c r="BD9" t="inlineStr">
        <is>
          <t>Leverage Ratio</t>
        </is>
      </c>
      <c r="BH9" t="n">
        <v>29.3</v>
      </c>
      <c r="BI9" t="n">
        <v>25.7</v>
      </c>
      <c r="BJ9" t="n">
        <v>14.15</v>
      </c>
      <c r="BK9" t="n">
        <v>16</v>
      </c>
      <c r="BL9" t="n">
        <v>15.53</v>
      </c>
    </row>
    <row r="10">
      <c r="BD10" t="inlineStr">
        <is>
          <t>LCR</t>
        </is>
      </c>
      <c r="BH10" t="n">
        <v>904</v>
      </c>
      <c r="BI10" t="n">
        <v>1072.4</v>
      </c>
      <c r="BJ10" t="n">
        <v>760.4</v>
      </c>
      <c r="BK10" t="n">
        <v>724.51</v>
      </c>
      <c r="BL10" t="n">
        <v>1178.76</v>
      </c>
    </row>
    <row r="11">
      <c r="A11" s="3" t="inlineStr">
        <is>
          <t>Profit &amp; Loss Summary (£'000)</t>
        </is>
      </c>
      <c r="BD11" t="inlineStr">
        <is>
          <t>NSFR</t>
        </is>
      </c>
      <c r="BI11" t="n">
        <v>1057.8</v>
      </c>
      <c r="BJ11" t="n">
        <v>724.4</v>
      </c>
      <c r="BK11" t="n">
        <v>680.8099999999999</v>
      </c>
      <c r="BL11" t="n">
        <v>843.98</v>
      </c>
    </row>
    <row r="12">
      <c r="A12" s="4" t="inlineStr">
        <is>
          <t>Line item</t>
        </is>
      </c>
      <c r="B12" s="4" t="inlineStr">
        <is>
          <t>FY2025 (MBHG)</t>
        </is>
      </c>
      <c r="C12" s="4" t="inlineStr">
        <is>
          <t>FY2024 (MBHG)*</t>
        </is>
      </c>
      <c r="D12" s="4" t="inlineStr">
        <is>
          <t>FY2023 (MBL)</t>
        </is>
      </c>
      <c r="E12" s="4" t="inlineStr">
        <is>
          <t>FY2022 (MBL)</t>
        </is>
      </c>
      <c r="F12" s="4" t="inlineStr">
        <is>
          <t>FY2021 (MBL)</t>
        </is>
      </c>
      <c r="G12" s="4" t="inlineStr">
        <is>
          <t>FY2020 (MBL)</t>
        </is>
      </c>
      <c r="H12" s="4" t="inlineStr">
        <is>
          <t>FY2019 (MBL)</t>
        </is>
      </c>
      <c r="I12" s="4" t="inlineStr">
        <is>
          <t>FY2018 (MBL)</t>
        </is>
      </c>
      <c r="X12" t="inlineStr">
        <is>
          <t>FY2018 (MBL)</t>
        </is>
      </c>
      <c r="Y12" t="inlineStr">
        <is>
          <t>FY2019 (MBL)</t>
        </is>
      </c>
      <c r="Z12" t="inlineStr">
        <is>
          <t>FY2020 (MBL)</t>
        </is>
      </c>
      <c r="AA12" t="inlineStr">
        <is>
          <t>FY2021 (MBL)</t>
        </is>
      </c>
      <c r="AB12" t="inlineStr">
        <is>
          <t>FY2022 (MBL)</t>
        </is>
      </c>
      <c r="AC12" t="inlineStr">
        <is>
          <t>FY2023 (MBL)</t>
        </is>
      </c>
      <c r="AD12" t="inlineStr">
        <is>
          <t>FY2024 (MBHG)*</t>
        </is>
      </c>
      <c r="AE12" t="inlineStr">
        <is>
          <t>FY2025 (MBHG)</t>
        </is>
      </c>
    </row>
    <row r="13">
      <c r="A13" s="5" t="inlineStr">
        <is>
          <t>Revenue / Net operating income</t>
        </is>
      </c>
      <c r="B13" s="5" t="n">
        <v>747927</v>
      </c>
      <c r="C13" s="5" t="n">
        <v>514391</v>
      </c>
      <c r="D13" s="5" t="n">
        <v>214509</v>
      </c>
      <c r="E13" s="5" t="n">
        <v>114019</v>
      </c>
      <c r="F13" s="5" t="n">
        <v>62841</v>
      </c>
      <c r="G13" s="5" t="n">
        <v>35658</v>
      </c>
      <c r="H13" s="5" t="n">
        <v>9158</v>
      </c>
      <c r="I13" s="5" t="n">
        <v>1814</v>
      </c>
      <c r="W13" t="inlineStr">
        <is>
          <t>Revenue / Net operating income</t>
        </is>
      </c>
      <c r="X13" t="n">
        <v>1814</v>
      </c>
      <c r="Y13" t="n">
        <v>9158</v>
      </c>
      <c r="Z13" t="n">
        <v>35658</v>
      </c>
      <c r="AA13" t="n">
        <v>62841</v>
      </c>
      <c r="AB13" t="n">
        <v>114019</v>
      </c>
      <c r="AC13" t="n">
        <v>214509</v>
      </c>
      <c r="AD13" t="n">
        <v>514391</v>
      </c>
      <c r="AE13" t="n">
        <v>747927</v>
      </c>
    </row>
    <row r="14">
      <c r="A14" s="5" t="inlineStr">
        <is>
          <t>Total operating expense</t>
        </is>
      </c>
      <c r="B14" s="5" t="n">
        <v>-687449</v>
      </c>
      <c r="C14" s="5" t="n">
        <v>-498993</v>
      </c>
      <c r="D14" s="5" t="n">
        <v>-330268</v>
      </c>
      <c r="E14" s="5" t="n">
        <v>-232867</v>
      </c>
      <c r="F14" s="5" t="n">
        <v>-194256</v>
      </c>
      <c r="G14" s="5" t="n">
        <v>-151068</v>
      </c>
      <c r="H14" s="5" t="n">
        <v>-59874</v>
      </c>
      <c r="I14" s="5" t="n">
        <v>-34890</v>
      </c>
      <c r="W14" t="inlineStr">
        <is>
          <t>Total operating expense</t>
        </is>
      </c>
      <c r="X14" t="n">
        <v>-34890</v>
      </c>
      <c r="Y14" t="n">
        <v>-59874</v>
      </c>
      <c r="Z14" t="n">
        <v>-151068</v>
      </c>
      <c r="AA14" t="n">
        <v>-194256</v>
      </c>
      <c r="AB14" t="n">
        <v>-232867</v>
      </c>
      <c r="AC14" t="n">
        <v>-330268</v>
      </c>
      <c r="AD14" t="n">
        <v>-498993</v>
      </c>
      <c r="AE14" t="n">
        <v>-687449</v>
      </c>
    </row>
    <row r="15">
      <c r="A15" s="5" t="inlineStr">
        <is>
          <t>Profit/(Loss) for the year</t>
        </is>
      </c>
      <c r="B15" s="5" t="n">
        <v>94568</v>
      </c>
      <c r="C15" s="5" t="n">
        <v>8709</v>
      </c>
      <c r="D15" s="5" t="n">
        <v>-116341</v>
      </c>
      <c r="E15" s="5" t="n">
        <v>-119020</v>
      </c>
      <c r="F15" s="5" t="n">
        <v>-131077</v>
      </c>
      <c r="G15" s="5" t="n">
        <v>-113816</v>
      </c>
      <c r="H15" s="5" t="n">
        <v>-47164</v>
      </c>
      <c r="I15" s="5" t="n">
        <v>-30546</v>
      </c>
      <c r="W15" t="inlineStr">
        <is>
          <t>Profit/(Loss) for the year</t>
        </is>
      </c>
      <c r="X15" t="n">
        <v>-30546</v>
      </c>
      <c r="Y15" t="n">
        <v>-47164</v>
      </c>
      <c r="Z15" t="n">
        <v>-113816</v>
      </c>
      <c r="AA15" t="n">
        <v>-131077</v>
      </c>
      <c r="AB15" t="n">
        <v>-119020</v>
      </c>
      <c r="AC15" t="n">
        <v>-116341</v>
      </c>
      <c r="AD15" t="n">
        <v>8709</v>
      </c>
      <c r="AE15" t="n">
        <v>94568</v>
      </c>
    </row>
    <row r="17">
      <c r="A17" s="3" t="inlineStr">
        <is>
          <t>Statement of Changes in Equity Summary (£'000)</t>
        </is>
      </c>
    </row>
    <row r="18">
      <c r="A18" s="4" t="inlineStr">
        <is>
          <t>Line item</t>
        </is>
      </c>
      <c r="B18" s="4" t="inlineStr">
        <is>
          <t>FY2025 (MBHG)</t>
        </is>
      </c>
      <c r="C18" s="4" t="inlineStr">
        <is>
          <t>FY2024 (MBHG)*</t>
        </is>
      </c>
      <c r="D18" s="4" t="inlineStr">
        <is>
          <t>FY2023 (MBL)</t>
        </is>
      </c>
      <c r="E18" s="4" t="inlineStr">
        <is>
          <t>FY2022 (MBL)</t>
        </is>
      </c>
      <c r="F18" s="4" t="inlineStr">
        <is>
          <t>FY2021 (MBL)</t>
        </is>
      </c>
      <c r="G18" s="4" t="inlineStr">
        <is>
          <t>FY2020 (MBL)</t>
        </is>
      </c>
      <c r="H18" s="4" t="inlineStr">
        <is>
          <t>FY2019 (MBL)</t>
        </is>
      </c>
      <c r="I18" s="4" t="inlineStr">
        <is>
          <t>FY2018 (MBL)</t>
        </is>
      </c>
      <c r="AI18" t="inlineStr">
        <is>
          <t>FY2018 (MBL)</t>
        </is>
      </c>
      <c r="AJ18" t="inlineStr">
        <is>
          <t>FY2019 (MBL)</t>
        </is>
      </c>
      <c r="AK18" t="inlineStr">
        <is>
          <t>FY2020 (MBL)</t>
        </is>
      </c>
      <c r="AL18" t="inlineStr">
        <is>
          <t>FY2021 (MBL)</t>
        </is>
      </c>
      <c r="AM18" t="inlineStr">
        <is>
          <t>FY2022 (MBL)</t>
        </is>
      </c>
      <c r="AN18" t="inlineStr">
        <is>
          <t>FY2023 (MBL)</t>
        </is>
      </c>
      <c r="AO18" t="inlineStr">
        <is>
          <t>FY2024 (MBHG)*</t>
        </is>
      </c>
      <c r="AP18" t="inlineStr">
        <is>
          <t>FY2025 (MBHG)</t>
        </is>
      </c>
    </row>
    <row r="19">
      <c r="A19" s="5" t="inlineStr">
        <is>
          <t>Opening equity</t>
        </is>
      </c>
      <c r="B19" s="5" t="n">
        <v>862145</v>
      </c>
      <c r="C19" s="5" t="n">
        <v>475650</v>
      </c>
      <c r="D19" s="5" t="n">
        <v>562268</v>
      </c>
      <c r="E19" s="5" t="n">
        <v>221894</v>
      </c>
      <c r="F19" s="5" t="n">
        <v>129004</v>
      </c>
      <c r="G19" s="5" t="n">
        <v>115670</v>
      </c>
      <c r="H19" s="5" t="n">
        <v>56179</v>
      </c>
      <c r="I19" s="5" t="n"/>
      <c r="AH19" t="inlineStr">
        <is>
          <t>Opening equity</t>
        </is>
      </c>
      <c r="AJ19" t="n">
        <v>56179</v>
      </c>
      <c r="AK19" t="n">
        <v>115670</v>
      </c>
      <c r="AL19" t="n">
        <v>129004</v>
      </c>
      <c r="AM19" t="n">
        <v>221894</v>
      </c>
      <c r="AN19" t="n">
        <v>562268</v>
      </c>
      <c r="AO19" t="n">
        <v>475650</v>
      </c>
      <c r="AP19" t="n">
        <v>862145</v>
      </c>
    </row>
    <row r="20">
      <c r="A20" s="5" t="inlineStr">
        <is>
          <t>Total comprehensive income/(loss) for the year</t>
        </is>
      </c>
      <c r="B20" s="5" t="n">
        <v>98907</v>
      </c>
      <c r="C20" s="5" t="n">
        <v>9394</v>
      </c>
      <c r="D20" s="5" t="n">
        <v>-116015</v>
      </c>
      <c r="E20" s="5" t="n">
        <v>-119021</v>
      </c>
      <c r="F20" s="5" t="n">
        <v>-131208</v>
      </c>
      <c r="G20" s="5" t="n">
        <v>-113816</v>
      </c>
      <c r="H20" s="5" t="n">
        <v>-47164</v>
      </c>
      <c r="I20" s="5" t="n">
        <v>-30546</v>
      </c>
      <c r="AH20" t="inlineStr">
        <is>
          <t>Total comprehensive income/(loss) for the year</t>
        </is>
      </c>
      <c r="AI20" t="n">
        <v>-30546</v>
      </c>
      <c r="AJ20" t="n">
        <v>-47164</v>
      </c>
      <c r="AK20" t="n">
        <v>-113816</v>
      </c>
      <c r="AL20" t="n">
        <v>-131208</v>
      </c>
      <c r="AM20" t="n">
        <v>-119021</v>
      </c>
      <c r="AN20" t="n">
        <v>-116015</v>
      </c>
      <c r="AO20" t="n">
        <v>9394</v>
      </c>
      <c r="AP20" t="n">
        <v>98907</v>
      </c>
    </row>
    <row r="21">
      <c r="A21" s="5" t="inlineStr">
        <is>
          <t>Other equity movements, net</t>
        </is>
      </c>
      <c r="B21" s="5" t="n">
        <v>251891</v>
      </c>
      <c r="C21" s="5" t="n">
        <v>377101</v>
      </c>
      <c r="D21" s="5" t="n">
        <v>29397</v>
      </c>
      <c r="E21" s="5" t="n">
        <v>459395</v>
      </c>
      <c r="F21" s="5" t="n">
        <v>224098</v>
      </c>
      <c r="G21" s="5" t="n">
        <v>127150</v>
      </c>
      <c r="H21" s="5" t="n">
        <v>106655</v>
      </c>
      <c r="I21" s="5" t="n">
        <v>68327</v>
      </c>
      <c r="AH21" t="inlineStr">
        <is>
          <t>Other equity movements, net</t>
        </is>
      </c>
      <c r="AI21" t="n">
        <v>68327</v>
      </c>
      <c r="AJ21" t="n">
        <v>106655</v>
      </c>
      <c r="AK21" t="n">
        <v>127150</v>
      </c>
      <c r="AL21" t="n">
        <v>224098</v>
      </c>
      <c r="AM21" t="n">
        <v>459395</v>
      </c>
      <c r="AN21" t="n">
        <v>29397</v>
      </c>
      <c r="AO21" t="n">
        <v>377101</v>
      </c>
      <c r="AP21" t="n">
        <v>251891</v>
      </c>
    </row>
    <row r="22">
      <c r="A22" s="5" t="inlineStr">
        <is>
          <t>Closing equity</t>
        </is>
      </c>
      <c r="B22" s="5" t="n">
        <v>1212943</v>
      </c>
      <c r="C22" s="5" t="n">
        <v>862145</v>
      </c>
      <c r="D22" s="5" t="n">
        <v>475650</v>
      </c>
      <c r="E22" s="5" t="n">
        <v>562268</v>
      </c>
      <c r="F22" s="5" t="n">
        <v>221894</v>
      </c>
      <c r="G22" s="5" t="n">
        <v>129004</v>
      </c>
      <c r="H22" s="5" t="n">
        <v>115670</v>
      </c>
      <c r="I22" s="5" t="n">
        <v>56179</v>
      </c>
      <c r="AH22" t="inlineStr">
        <is>
          <t>Closing equity</t>
        </is>
      </c>
      <c r="AI22" t="n">
        <v>56179</v>
      </c>
      <c r="AJ22" t="n">
        <v>115670</v>
      </c>
      <c r="AK22" t="n">
        <v>129004</v>
      </c>
      <c r="AL22" t="n">
        <v>221894</v>
      </c>
      <c r="AM22" t="n">
        <v>562268</v>
      </c>
      <c r="AN22" t="n">
        <v>475650</v>
      </c>
      <c r="AO22" t="n">
        <v>862145</v>
      </c>
      <c r="AP22" t="n">
        <v>1212943</v>
      </c>
    </row>
    <row r="24">
      <c r="A24" s="3" t="inlineStr">
        <is>
          <t>Cash Flow Summary (£'000)</t>
        </is>
      </c>
    </row>
    <row r="25">
      <c r="A25" s="4" t="inlineStr">
        <is>
          <t>Line item</t>
        </is>
      </c>
      <c r="B25" s="4" t="inlineStr">
        <is>
          <t>FY2025 (MBHG)</t>
        </is>
      </c>
      <c r="C25" s="4" t="inlineStr">
        <is>
          <t>FY2024 (MBHG)*</t>
        </is>
      </c>
      <c r="D25" s="4" t="inlineStr">
        <is>
          <t>FY2023 (MBL)</t>
        </is>
      </c>
      <c r="E25" s="4" t="inlineStr">
        <is>
          <t>FY2022 (MBL)</t>
        </is>
      </c>
      <c r="F25" s="4" t="inlineStr">
        <is>
          <t>FY2021 (MBL)</t>
        </is>
      </c>
      <c r="G25" s="4" t="inlineStr">
        <is>
          <t>FY2020 (MBL)</t>
        </is>
      </c>
      <c r="H25" s="4" t="inlineStr">
        <is>
          <t>FY2019 (MBL)</t>
        </is>
      </c>
      <c r="I25" s="4" t="inlineStr">
        <is>
          <t>FY2018 (MBL)</t>
        </is>
      </c>
      <c r="AT25" t="inlineStr">
        <is>
          <t>FY2018 (MBL)</t>
        </is>
      </c>
      <c r="AU25" t="inlineStr">
        <is>
          <t>FY2019 (MBL)</t>
        </is>
      </c>
      <c r="AV25" t="inlineStr">
        <is>
          <t>FY2020 (MBL)</t>
        </is>
      </c>
      <c r="AW25" t="inlineStr">
        <is>
          <t>FY2021 (MBL)</t>
        </is>
      </c>
      <c r="AX25" t="inlineStr">
        <is>
          <t>FY2022 (MBL)</t>
        </is>
      </c>
      <c r="AY25" t="inlineStr">
        <is>
          <t>FY2023 (MBL)</t>
        </is>
      </c>
      <c r="AZ25" t="inlineStr">
        <is>
          <t>FY2024 (MBHG)*</t>
        </is>
      </c>
      <c r="BA25" t="inlineStr">
        <is>
          <t>FY2025 (MBHG)</t>
        </is>
      </c>
    </row>
    <row r="26">
      <c r="A26" s="5" t="inlineStr">
        <is>
          <t>Net cash from operating activities</t>
        </is>
      </c>
      <c r="B26" s="5" t="n">
        <v>4916764</v>
      </c>
      <c r="C26" s="5" t="n">
        <v>5020296</v>
      </c>
      <c r="D26" s="5" t="n">
        <v>998813</v>
      </c>
      <c r="E26" s="5" t="n">
        <v>1016526</v>
      </c>
      <c r="F26" s="5" t="n">
        <v>1695049</v>
      </c>
      <c r="G26" s="5" t="n">
        <v>814690</v>
      </c>
      <c r="H26" s="5" t="n">
        <v>351161</v>
      </c>
      <c r="I26" s="5" t="n">
        <v>15557</v>
      </c>
      <c r="AS26" t="inlineStr">
        <is>
          <t>Net cash from operating activities</t>
        </is>
      </c>
      <c r="AT26" t="n">
        <v>15557</v>
      </c>
      <c r="AU26" t="n">
        <v>351161</v>
      </c>
      <c r="AV26" t="n">
        <v>814690</v>
      </c>
      <c r="AW26" t="n">
        <v>1695049</v>
      </c>
      <c r="AX26" t="n">
        <v>1016526</v>
      </c>
      <c r="AY26" t="n">
        <v>998813</v>
      </c>
      <c r="AZ26" t="n">
        <v>5020296</v>
      </c>
      <c r="BA26" t="n">
        <v>4916764</v>
      </c>
    </row>
    <row r="27">
      <c r="A27" s="5" t="inlineStr">
        <is>
          <t>Net cash from/(used in) investing activities</t>
        </is>
      </c>
      <c r="B27" s="5" t="n">
        <v>-1676663</v>
      </c>
      <c r="C27" s="5" t="n">
        <v>-829521</v>
      </c>
      <c r="D27" s="5" t="n">
        <v>-1026103</v>
      </c>
      <c r="E27" s="5" t="n">
        <v>-1300895</v>
      </c>
      <c r="F27" s="5" t="n">
        <v>-285759</v>
      </c>
      <c r="G27" s="5" t="n">
        <v>-101879</v>
      </c>
      <c r="H27" s="5" t="n">
        <v>-2407</v>
      </c>
      <c r="I27" s="5" t="n">
        <v>-886</v>
      </c>
      <c r="AS27" t="inlineStr">
        <is>
          <t>Net cash from/(used in) investing activities</t>
        </is>
      </c>
      <c r="AT27" t="n">
        <v>-886</v>
      </c>
      <c r="AU27" t="n">
        <v>-2407</v>
      </c>
      <c r="AV27" t="n">
        <v>-101879</v>
      </c>
      <c r="AW27" t="n">
        <v>-285759</v>
      </c>
      <c r="AX27" t="n">
        <v>-1300895</v>
      </c>
      <c r="AY27" t="n">
        <v>-1026103</v>
      </c>
      <c r="AZ27" t="n">
        <v>-829521</v>
      </c>
      <c r="BA27" t="n">
        <v>-1676663</v>
      </c>
    </row>
    <row r="28">
      <c r="A28" s="5" t="inlineStr">
        <is>
          <t>Net cash from/(used in) financing activities</t>
        </is>
      </c>
      <c r="B28" s="5" t="n">
        <v>157407</v>
      </c>
      <c r="C28" s="5" t="n">
        <v>332432</v>
      </c>
      <c r="D28" s="5" t="n">
        <v>-6564</v>
      </c>
      <c r="E28" s="5" t="n">
        <v>441534</v>
      </c>
      <c r="F28" s="5" t="n">
        <v>194506</v>
      </c>
      <c r="G28" s="5" t="n">
        <v>111064</v>
      </c>
      <c r="H28" s="5" t="n">
        <v>104150</v>
      </c>
      <c r="I28" s="5" t="n">
        <v>67398</v>
      </c>
      <c r="AS28" t="inlineStr">
        <is>
          <t>Net cash from/(used in) financing activities</t>
        </is>
      </c>
      <c r="AT28" t="n">
        <v>67398</v>
      </c>
      <c r="AU28" t="n">
        <v>104150</v>
      </c>
      <c r="AV28" t="n">
        <v>111064</v>
      </c>
      <c r="AW28" t="n">
        <v>194506</v>
      </c>
      <c r="AX28" t="n">
        <v>441534</v>
      </c>
      <c r="AY28" t="n">
        <v>-6564</v>
      </c>
      <c r="AZ28" t="n">
        <v>332432</v>
      </c>
      <c r="BA28" t="n">
        <v>157407</v>
      </c>
    </row>
    <row r="29">
      <c r="A29" s="5" t="inlineStr">
        <is>
          <t>Cash and cash equivalents at end of year</t>
        </is>
      </c>
      <c r="B29" s="5" t="n">
        <v>11021763</v>
      </c>
      <c r="C29" s="5" t="n">
        <v>7624300</v>
      </c>
      <c r="D29" s="5" t="n">
        <v>3101242</v>
      </c>
      <c r="E29" s="5" t="n">
        <v>3134540</v>
      </c>
      <c r="F29" s="5" t="n">
        <v>2977368</v>
      </c>
      <c r="G29" s="5" t="n">
        <v>1373722</v>
      </c>
      <c r="H29" s="5" t="n">
        <v>549847</v>
      </c>
      <c r="I29" s="5" t="n">
        <v>96943</v>
      </c>
      <c r="AS29" t="inlineStr">
        <is>
          <t>Cash and cash equivalents at end of year</t>
        </is>
      </c>
      <c r="AT29" t="n">
        <v>96943</v>
      </c>
      <c r="AU29" t="n">
        <v>549847</v>
      </c>
      <c r="AV29" t="n">
        <v>1373722</v>
      </c>
      <c r="AW29" t="n">
        <v>2977368</v>
      </c>
      <c r="AX29" t="n">
        <v>3134540</v>
      </c>
      <c r="AY29" t="n">
        <v>3101242</v>
      </c>
      <c r="AZ29" t="n">
        <v>7624300</v>
      </c>
      <c r="BA29" t="n">
        <v>11021763</v>
      </c>
    </row>
    <row r="31">
      <c r="A31" s="3" t="inlineStr">
        <is>
          <t>Pillar 3 Key Metrics</t>
        </is>
      </c>
    </row>
    <row r="32">
      <c r="A32" s="4" t="inlineStr">
        <is>
          <t>Line item</t>
        </is>
      </c>
      <c r="B32" s="4" t="inlineStr">
        <is>
          <t>FY2025 (MBHG)</t>
        </is>
      </c>
      <c r="C32" s="4" t="inlineStr">
        <is>
          <t>FY2024 (MBHG)*</t>
        </is>
      </c>
      <c r="D32" s="4" t="inlineStr">
        <is>
          <t>FY2023 (MBL)</t>
        </is>
      </c>
      <c r="E32" s="4" t="inlineStr">
        <is>
          <t>FY2022 (MBL)</t>
        </is>
      </c>
      <c r="F32" s="4" t="inlineStr">
        <is>
          <t>FY2021 (MBL)</t>
        </is>
      </c>
      <c r="G32" s="4" t="inlineStr">
        <is>
          <t>FY2020 (MBL)</t>
        </is>
      </c>
      <c r="H32" s="4" t="inlineStr">
        <is>
          <t>FY2019 (MBL)</t>
        </is>
      </c>
      <c r="I32" s="4" t="inlineStr">
        <is>
          <t>FY2018 (MBL)</t>
        </is>
      </c>
    </row>
    <row r="33">
      <c r="A33" s="6" t="inlineStr">
        <is>
          <t>CET1 Ratio</t>
        </is>
      </c>
      <c r="B33" s="6" t="inlineStr">
        <is>
          <t>55.92%</t>
        </is>
      </c>
      <c r="C33" s="6" t="inlineStr">
        <is>
          <t>54.94%</t>
        </is>
      </c>
      <c r="D33" s="6" t="inlineStr">
        <is>
          <t>54.40%</t>
        </is>
      </c>
      <c r="E33" s="6" t="inlineStr">
        <is>
          <t>155.1%</t>
        </is>
      </c>
      <c r="F33" s="6" t="inlineStr">
        <is>
          <t>99%</t>
        </is>
      </c>
      <c r="G33" s="6" t="inlineStr">
        <is>
          <t>70% (unaudited)</t>
        </is>
      </c>
      <c r="H33" s="6" t="inlineStr">
        <is>
          <t>126% (unaudited)</t>
        </is>
      </c>
      <c r="I33" s="6" t="inlineStr">
        <is>
          <t>Not publicly disclosed</t>
        </is>
      </c>
    </row>
    <row r="34">
      <c r="A34" s="6" t="inlineStr">
        <is>
          <t>Tier 1 Ratio</t>
        </is>
      </c>
      <c r="B34" s="6" t="inlineStr">
        <is>
          <t>55.92%</t>
        </is>
      </c>
      <c r="C34" s="6" t="inlineStr">
        <is>
          <t>54.94%</t>
        </is>
      </c>
      <c r="D34" s="6" t="inlineStr">
        <is>
          <t>54.40%</t>
        </is>
      </c>
      <c r="E34" s="6" t="inlineStr">
        <is>
          <t>155.1%</t>
        </is>
      </c>
      <c r="F34" s="6" t="inlineStr">
        <is>
          <t>99%</t>
        </is>
      </c>
      <c r="G34" s="6" t="inlineStr">
        <is>
          <t>70% (unaudited)</t>
        </is>
      </c>
      <c r="H34" s="6" t="inlineStr">
        <is>
          <t>126% (unaudited)</t>
        </is>
      </c>
      <c r="I34" s="6" t="inlineStr">
        <is>
          <t>Not publicly disclosed</t>
        </is>
      </c>
    </row>
    <row r="35">
      <c r="A35" s="6" t="inlineStr">
        <is>
          <t>Total Capital Ratio</t>
        </is>
      </c>
      <c r="B35" s="6" t="inlineStr">
        <is>
          <t>56.67%</t>
        </is>
      </c>
      <c r="C35" s="6" t="inlineStr">
        <is>
          <t>55.87%</t>
        </is>
      </c>
      <c r="D35" s="6" t="inlineStr">
        <is>
          <t>55.91%</t>
        </is>
      </c>
      <c r="E35" s="6" t="inlineStr">
        <is>
          <t>159.1%</t>
        </is>
      </c>
      <c r="F35" s="6" t="inlineStr">
        <is>
          <t>99%</t>
        </is>
      </c>
      <c r="G35" s="6" t="inlineStr">
        <is>
          <t>Not publicly disclosed</t>
        </is>
      </c>
      <c r="H35" s="6" t="inlineStr">
        <is>
          <t>Not publicly disclosed</t>
        </is>
      </c>
      <c r="I35" s="6" t="inlineStr">
        <is>
          <t>Not publicly disclosed</t>
        </is>
      </c>
    </row>
    <row r="36">
      <c r="A36" s="6" t="inlineStr">
        <is>
          <t>Leverage Ratio</t>
        </is>
      </c>
      <c r="B36" s="6" t="inlineStr">
        <is>
          <t>15.53%</t>
        </is>
      </c>
      <c r="C36" s="6" t="inlineStr">
        <is>
          <t>16.00%</t>
        </is>
      </c>
      <c r="D36" s="6" t="inlineStr">
        <is>
          <t>14.15%</t>
        </is>
      </c>
      <c r="E36" s="6" t="inlineStr">
        <is>
          <t>25.7%</t>
        </is>
      </c>
      <c r="F36" s="6" t="inlineStr">
        <is>
          <t>29.3%</t>
        </is>
      </c>
      <c r="G36" s="6" t="inlineStr">
        <is>
          <t>Not publicly disclosed</t>
        </is>
      </c>
      <c r="H36" s="6" t="inlineStr">
        <is>
          <t>Not publicly disclosed</t>
        </is>
      </c>
      <c r="I36" s="6" t="inlineStr">
        <is>
          <t>Not publicly disclosed</t>
        </is>
      </c>
    </row>
    <row r="37">
      <c r="A37" s="6" t="inlineStr">
        <is>
          <t>LCR</t>
        </is>
      </c>
      <c r="B37" s="6" t="inlineStr">
        <is>
          <t>1,178.76%</t>
        </is>
      </c>
      <c r="C37" s="6" t="inlineStr">
        <is>
          <t>724.51%</t>
        </is>
      </c>
      <c r="D37" s="6" t="inlineStr">
        <is>
          <t>760.4%</t>
        </is>
      </c>
      <c r="E37" s="6" t="inlineStr">
        <is>
          <t>1,072.4%</t>
        </is>
      </c>
      <c r="F37" s="6" t="inlineStr">
        <is>
          <t>904%</t>
        </is>
      </c>
      <c r="G37" s="6" t="inlineStr">
        <is>
          <t>Not publicly disclosed</t>
        </is>
      </c>
      <c r="H37" s="6" t="inlineStr">
        <is>
          <t>Not publicly disclosed</t>
        </is>
      </c>
      <c r="I37" s="6" t="inlineStr">
        <is>
          <t>Not publicly disclosed</t>
        </is>
      </c>
    </row>
    <row r="38">
      <c r="A38" s="6" t="inlineStr">
        <is>
          <t>NSFR</t>
        </is>
      </c>
      <c r="B38" s="6" t="inlineStr">
        <is>
          <t>843.98%</t>
        </is>
      </c>
      <c r="C38" s="6" t="inlineStr">
        <is>
          <t>680.81%</t>
        </is>
      </c>
      <c r="D38" s="6" t="inlineStr">
        <is>
          <t>724.4%</t>
        </is>
      </c>
      <c r="E38" s="6" t="inlineStr">
        <is>
          <t>1,057.8%</t>
        </is>
      </c>
      <c r="F38" s="6" t="inlineStr">
        <is>
          <t>Not disclosed</t>
        </is>
      </c>
      <c r="G38" s="6" t="inlineStr">
        <is>
          <t>Not publicly disclosed</t>
        </is>
      </c>
      <c r="H38" s="6" t="inlineStr">
        <is>
          <t>Not publicly disclosed</t>
        </is>
      </c>
      <c r="I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Assets</t>
        </is>
      </c>
      <c r="B4" s="6" t="n"/>
      <c r="C4" s="6" t="n"/>
      <c r="D4" s="6" t="n"/>
      <c r="E4" s="6" t="n"/>
      <c r="F4" s="6" t="n"/>
      <c r="G4" s="6" t="n"/>
      <c r="H4" s="6" t="n"/>
      <c r="I4" s="6" t="n"/>
    </row>
    <row r="5">
      <c r="A5" s="6" t="inlineStr">
        <is>
          <t>Cash and cash equivalents</t>
        </is>
      </c>
      <c r="B5" s="6" t="n">
        <v>11021763</v>
      </c>
      <c r="C5" s="6" t="n">
        <v>7624300</v>
      </c>
      <c r="D5" s="6" t="n">
        <v>3101242</v>
      </c>
      <c r="E5" s="6" t="n">
        <v>3134540</v>
      </c>
      <c r="F5" s="6" t="n">
        <v>2977368</v>
      </c>
      <c r="G5" s="6" t="n">
        <v>1373722</v>
      </c>
      <c r="H5" s="6" t="n">
        <v>549847</v>
      </c>
      <c r="I5" s="6" t="n">
        <v>96943</v>
      </c>
    </row>
    <row r="6">
      <c r="A6" s="6" t="inlineStr">
        <is>
          <t>Total treasury investments</t>
        </is>
      </c>
      <c r="B6" s="6" t="n">
        <v>5381870</v>
      </c>
      <c r="C6" s="6" t="n">
        <v>3634401</v>
      </c>
      <c r="D6" s="6" t="n">
        <v>2727520</v>
      </c>
      <c r="E6" s="6" t="n">
        <v>1675478</v>
      </c>
      <c r="F6" s="6" t="n">
        <v>376641</v>
      </c>
      <c r="G6" s="6" t="n">
        <v>98953</v>
      </c>
      <c r="H6" s="6" t="n"/>
      <c r="I6" s="6" t="n"/>
    </row>
    <row r="7">
      <c r="A7" s="6" t="inlineStr">
        <is>
          <t>Treasury investments at amortised cost</t>
        </is>
      </c>
      <c r="B7" s="6" t="n">
        <v>2188961</v>
      </c>
      <c r="C7" s="6" t="n">
        <v>3634401</v>
      </c>
      <c r="D7" s="6" t="n">
        <v>2727520</v>
      </c>
      <c r="E7" s="6" t="n">
        <v>1675478</v>
      </c>
      <c r="F7" s="6" t="n">
        <v>376641</v>
      </c>
      <c r="G7" s="6" t="n">
        <v>98953</v>
      </c>
      <c r="H7" s="6" t="n"/>
      <c r="I7" s="6" t="n"/>
    </row>
    <row r="8">
      <c r="A8" s="6" t="inlineStr">
        <is>
          <t>Treasury investments at FVOCI (fair value through other comprehensive income)</t>
        </is>
      </c>
      <c r="B8" s="6" t="n">
        <v>596586</v>
      </c>
      <c r="C8" s="6" t="n">
        <v>0</v>
      </c>
      <c r="D8" s="6" t="n">
        <v>0</v>
      </c>
      <c r="E8" s="6" t="n">
        <v>0</v>
      </c>
      <c r="F8" s="6" t="n">
        <v>0</v>
      </c>
      <c r="G8" s="6" t="n">
        <v>0</v>
      </c>
      <c r="H8" s="6" t="n"/>
      <c r="I8" s="6" t="n"/>
    </row>
    <row r="9">
      <c r="A9" s="6" t="inlineStr">
        <is>
          <t>Treasury investments at FVTPL (fair value through profit or loss)</t>
        </is>
      </c>
      <c r="B9" s="6" t="n">
        <v>2596323</v>
      </c>
      <c r="C9" s="6" t="n">
        <v>0</v>
      </c>
      <c r="D9" s="6" t="n">
        <v>0</v>
      </c>
      <c r="E9" s="6" t="n">
        <v>0</v>
      </c>
      <c r="F9" s="6" t="n">
        <v>0</v>
      </c>
      <c r="G9" s="6" t="n">
        <v>0</v>
      </c>
      <c r="H9" s="6" t="n"/>
      <c r="I9" s="6" t="n"/>
    </row>
    <row r="10">
      <c r="A10" s="6" t="inlineStr">
        <is>
          <t>Treasury investments - UK government bonds (Gilts)</t>
        </is>
      </c>
      <c r="B10" s="6" t="n">
        <v>2142409</v>
      </c>
      <c r="C10" s="6" t="n">
        <v>1068284</v>
      </c>
      <c r="D10" s="6" t="n">
        <v>931051</v>
      </c>
      <c r="E10" s="6" t="n">
        <v>857717</v>
      </c>
      <c r="F10" s="6" t="n">
        <v>0</v>
      </c>
      <c r="G10" s="6" t="n">
        <v>98953</v>
      </c>
      <c r="H10" s="6" t="n"/>
      <c r="I10" s="6" t="n"/>
    </row>
    <row r="11">
      <c r="A11" s="6" t="inlineStr">
        <is>
          <t>Treasury investments - other securities (supranational debt, covered bonds, ABS, certificates of deposit, commercial paper, fixed term deposits)</t>
        </is>
      </c>
      <c r="B11" s="6" t="n">
        <v>3239461</v>
      </c>
      <c r="C11" s="6" t="n">
        <v>2566117</v>
      </c>
      <c r="D11" s="6" t="n">
        <v>1796469</v>
      </c>
      <c r="E11" s="6" t="n">
        <v>817761</v>
      </c>
      <c r="F11" s="6" t="n">
        <v>376641</v>
      </c>
      <c r="G11" s="6" t="n">
        <v>0</v>
      </c>
      <c r="H11" s="6" t="n"/>
      <c r="I11" s="6" t="n"/>
    </row>
    <row r="12">
      <c r="A12" s="6" t="inlineStr">
        <is>
          <t>Loans and advances to customers</t>
        </is>
      </c>
      <c r="B12" s="6" t="n">
        <v>1602470</v>
      </c>
      <c r="C12" s="6" t="n">
        <v>1190215</v>
      </c>
      <c r="D12" s="6" t="n">
        <v>653733</v>
      </c>
      <c r="E12" s="6" t="n">
        <v>235083</v>
      </c>
      <c r="F12" s="6" t="n">
        <v>87147</v>
      </c>
      <c r="G12" s="6" t="n">
        <v>123913</v>
      </c>
      <c r="H12" s="6" t="n">
        <v>16054</v>
      </c>
      <c r="I12" s="6" t="n">
        <v>160</v>
      </c>
    </row>
    <row r="13">
      <c r="A13" s="6" t="inlineStr">
        <is>
          <t>Other assets</t>
        </is>
      </c>
      <c r="B13" s="6" t="n">
        <v>186290</v>
      </c>
      <c r="C13" s="6" t="n">
        <v>411228</v>
      </c>
      <c r="D13" s="6" t="n">
        <v>113495</v>
      </c>
      <c r="E13" s="6" t="n">
        <v>75200</v>
      </c>
      <c r="F13" s="6" t="n">
        <v>105642</v>
      </c>
      <c r="G13" s="6" t="n">
        <v>87925</v>
      </c>
      <c r="H13" s="6" t="n">
        <v>29434</v>
      </c>
      <c r="I13" s="6" t="n">
        <v>41880</v>
      </c>
    </row>
    <row r="14">
      <c r="A14" s="6" t="inlineStr">
        <is>
          <t>Collateral held with third parties</t>
        </is>
      </c>
      <c r="B14" s="6" t="n"/>
      <c r="C14" s="6" t="n">
        <v>78506</v>
      </c>
      <c r="D14" s="6" t="n">
        <v>76461</v>
      </c>
      <c r="E14" s="6" t="n">
        <v>76292</v>
      </c>
      <c r="F14" s="6" t="n">
        <v>56314</v>
      </c>
      <c r="G14" s="6" t="n">
        <v>15642</v>
      </c>
      <c r="H14" s="6" t="n">
        <v>16777</v>
      </c>
      <c r="I14" s="6" t="n"/>
    </row>
    <row r="15">
      <c r="A15" s="6" t="inlineStr">
        <is>
          <t>Current tax asset</t>
        </is>
      </c>
      <c r="B15" s="6" t="n">
        <v>10279</v>
      </c>
      <c r="C15" s="6" t="n">
        <v>7089</v>
      </c>
      <c r="D15" s="6" t="n"/>
      <c r="E15" s="6" t="n"/>
      <c r="F15" s="6" t="n"/>
      <c r="G15" s="6" t="n"/>
      <c r="H15" s="6" t="n"/>
      <c r="I15" s="6" t="n"/>
    </row>
    <row r="16">
      <c r="A16" s="6" t="inlineStr">
        <is>
          <t>Deferred tax asset</t>
        </is>
      </c>
      <c r="B16" s="6" t="n">
        <v>45788</v>
      </c>
      <c r="C16" s="6" t="n"/>
      <c r="D16" s="6" t="n"/>
      <c r="E16" s="6" t="n"/>
      <c r="F16" s="6" t="n"/>
      <c r="G16" s="6" t="n"/>
      <c r="H16" s="6" t="n"/>
      <c r="I16" s="6" t="n"/>
    </row>
    <row r="17">
      <c r="A17" s="6" t="inlineStr">
        <is>
          <t>Intangible assets</t>
        </is>
      </c>
      <c r="B17" s="6" t="n"/>
      <c r="C17" s="6" t="n"/>
      <c r="D17" s="6" t="n"/>
      <c r="E17" s="6" t="n"/>
      <c r="F17" s="6" t="n"/>
      <c r="G17" s="6" t="n"/>
      <c r="H17" s="6" t="n"/>
      <c r="I17" s="6" t="n">
        <v>14</v>
      </c>
    </row>
    <row r="18">
      <c r="A18" s="6" t="inlineStr">
        <is>
          <t>Property, plant and equipment</t>
        </is>
      </c>
      <c r="B18" s="6" t="n">
        <v>15391</v>
      </c>
      <c r="C18" s="6" t="n">
        <v>20074</v>
      </c>
      <c r="D18" s="6" t="n">
        <v>15325</v>
      </c>
      <c r="E18" s="6" t="n">
        <v>21836</v>
      </c>
      <c r="F18" s="6" t="n">
        <v>26595</v>
      </c>
      <c r="G18" s="6" t="n">
        <v>21253</v>
      </c>
      <c r="H18" s="6" t="n">
        <v>2278</v>
      </c>
      <c r="I18" s="6" t="n">
        <v>823</v>
      </c>
    </row>
    <row r="19">
      <c r="A19" s="5" t="inlineStr">
        <is>
          <t>Total assets</t>
        </is>
      </c>
      <c r="B19" s="5" t="n">
        <v>18263851</v>
      </c>
      <c r="C19" s="5" t="n">
        <v>12965813</v>
      </c>
      <c r="D19" s="5" t="n">
        <v>6687776</v>
      </c>
      <c r="E19" s="5" t="n">
        <v>5218429</v>
      </c>
      <c r="F19" s="5" t="n">
        <v>3629707</v>
      </c>
      <c r="G19" s="5" t="n">
        <v>1721408</v>
      </c>
      <c r="H19" s="5" t="n">
        <v>614390</v>
      </c>
      <c r="I19" s="5" t="n">
        <v>139820</v>
      </c>
    </row>
    <row r="20">
      <c r="A20" s="5" t="inlineStr">
        <is>
          <t>Liabilities</t>
        </is>
      </c>
      <c r="B20" s="6" t="n"/>
      <c r="C20" s="6" t="n"/>
      <c r="D20" s="6" t="n"/>
      <c r="E20" s="6" t="n"/>
      <c r="F20" s="6" t="n"/>
      <c r="G20" s="6" t="n"/>
      <c r="H20" s="6" t="n"/>
      <c r="I20" s="6" t="n"/>
    </row>
    <row r="21">
      <c r="A21" s="6" t="inlineStr">
        <is>
          <t>Customer deposits</t>
        </is>
      </c>
      <c r="B21" s="6" t="n">
        <v>16599371</v>
      </c>
      <c r="C21" s="6" t="n">
        <v>11197622</v>
      </c>
      <c r="D21" s="6" t="n">
        <v>5945947</v>
      </c>
      <c r="E21" s="6" t="n">
        <v>4440650</v>
      </c>
      <c r="F21" s="6" t="n">
        <v>3124046</v>
      </c>
      <c r="G21" s="6" t="n">
        <v>1392517</v>
      </c>
      <c r="H21" s="6" t="n">
        <v>461821</v>
      </c>
      <c r="I21" s="6" t="n">
        <v>71276</v>
      </c>
    </row>
    <row r="22">
      <c r="A22" s="6" t="inlineStr">
        <is>
          <t>Subordinated debt liability</t>
        </is>
      </c>
      <c r="B22" s="6" t="n">
        <v>15421</v>
      </c>
      <c r="C22" s="6" t="n">
        <v>15113</v>
      </c>
      <c r="D22" s="6" t="n">
        <v>14823</v>
      </c>
      <c r="E22" s="6" t="n">
        <v>14593</v>
      </c>
      <c r="F22" s="6" t="n"/>
      <c r="G22" s="6" t="n"/>
      <c r="H22" s="6" t="n"/>
      <c r="I22" s="6" t="n"/>
    </row>
    <row r="23">
      <c r="A23" s="6" t="inlineStr">
        <is>
          <t>Other liabilities</t>
        </is>
      </c>
      <c r="B23" s="6" t="n">
        <v>436116</v>
      </c>
      <c r="C23" s="6" t="n">
        <v>890933</v>
      </c>
      <c r="D23" s="6" t="n">
        <v>251356</v>
      </c>
      <c r="E23" s="6" t="n">
        <v>200918</v>
      </c>
      <c r="F23" s="6" t="n">
        <v>283767</v>
      </c>
      <c r="G23" s="6" t="n">
        <v>199887</v>
      </c>
      <c r="H23" s="6" t="n">
        <v>36899</v>
      </c>
      <c r="I23" s="6" t="n">
        <v>12365</v>
      </c>
    </row>
    <row r="24">
      <c r="A24" s="5" t="inlineStr">
        <is>
          <t>Total liabilities</t>
        </is>
      </c>
      <c r="B24" s="5" t="n">
        <v>17050908</v>
      </c>
      <c r="C24" s="5" t="n">
        <v>12103668</v>
      </c>
      <c r="D24" s="5" t="n">
        <v>6212126</v>
      </c>
      <c r="E24" s="5" t="n">
        <v>4656161</v>
      </c>
      <c r="F24" s="5" t="n">
        <v>3407813</v>
      </c>
      <c r="G24" s="5" t="n">
        <v>1592404</v>
      </c>
      <c r="H24" s="5" t="n">
        <v>498720</v>
      </c>
      <c r="I24" s="5" t="n">
        <v>83641</v>
      </c>
    </row>
    <row r="25">
      <c r="A25" s="5" t="inlineStr">
        <is>
          <t>Equity</t>
        </is>
      </c>
      <c r="B25" s="6" t="n"/>
      <c r="C25" s="6" t="n"/>
      <c r="D25" s="6" t="n"/>
      <c r="E25" s="6" t="n"/>
      <c r="F25" s="6" t="n"/>
      <c r="G25" s="6" t="n"/>
      <c r="H25" s="6" t="n"/>
      <c r="I25" s="6" t="n"/>
    </row>
    <row r="26">
      <c r="A26" s="6" t="inlineStr">
        <is>
          <t>Called up share capital</t>
        </is>
      </c>
      <c r="B26" s="6" t="n">
        <v>238</v>
      </c>
      <c r="C26" s="6" t="n">
        <v>217</v>
      </c>
      <c r="D26" s="6" t="n">
        <v>0</v>
      </c>
      <c r="E26" s="6" t="n">
        <v>0</v>
      </c>
      <c r="F26" s="6" t="n">
        <v>0</v>
      </c>
      <c r="G26" s="6" t="n">
        <v>0</v>
      </c>
      <c r="H26" s="6" t="n">
        <v>0</v>
      </c>
      <c r="I26" s="6" t="n">
        <v>0</v>
      </c>
    </row>
    <row r="27">
      <c r="A27" s="6" t="inlineStr">
        <is>
          <t>Share premium account</t>
        </is>
      </c>
      <c r="B27" s="6" t="n">
        <v>501730</v>
      </c>
      <c r="C27" s="6" t="n">
        <v>339388</v>
      </c>
      <c r="D27" s="6" t="n">
        <v>944786</v>
      </c>
      <c r="E27" s="6" t="n">
        <v>944486</v>
      </c>
      <c r="F27" s="6" t="n">
        <v>508478</v>
      </c>
      <c r="G27" s="6" t="n">
        <v>311139</v>
      </c>
      <c r="H27" s="6" t="n">
        <v>198146</v>
      </c>
      <c r="I27" s="6" t="n">
        <v>93989</v>
      </c>
    </row>
    <row r="28">
      <c r="A28" s="6" t="inlineStr">
        <is>
          <t>Other reserves</t>
        </is>
      </c>
      <c r="B28" s="6" t="n">
        <v>1013604</v>
      </c>
      <c r="C28" s="6" t="n">
        <v>966947</v>
      </c>
      <c r="D28" s="6" t="n">
        <v>108117</v>
      </c>
      <c r="E28" s="6" t="n">
        <v>79186</v>
      </c>
      <c r="F28" s="6" t="n">
        <v>56459</v>
      </c>
      <c r="G28" s="6" t="n">
        <v>17301</v>
      </c>
      <c r="H28" s="6" t="n">
        <v>3164</v>
      </c>
      <c r="I28" s="6" t="n">
        <v>871</v>
      </c>
    </row>
    <row r="29">
      <c r="A29" s="6" t="inlineStr">
        <is>
          <t>Accumulated losses</t>
        </is>
      </c>
      <c r="B29" s="6" t="n">
        <v>-302629</v>
      </c>
      <c r="C29" s="6" t="n">
        <v>-444407</v>
      </c>
      <c r="D29" s="6" t="n">
        <v>-577253</v>
      </c>
      <c r="E29" s="6" t="n">
        <v>-461404</v>
      </c>
      <c r="F29" s="6" t="n">
        <v>-343043</v>
      </c>
      <c r="G29" s="6" t="n">
        <v>-199436</v>
      </c>
      <c r="H29" s="6" t="n">
        <v>-85640</v>
      </c>
      <c r="I29" s="6" t="n">
        <v>-38681</v>
      </c>
    </row>
    <row r="30">
      <c r="A30" s="5" t="inlineStr">
        <is>
          <t>Total equity</t>
        </is>
      </c>
      <c r="B30" s="5" t="n">
        <v>1212943</v>
      </c>
      <c r="C30" s="5" t="n">
        <v>862145</v>
      </c>
      <c r="D30" s="5" t="n">
        <v>475650</v>
      </c>
      <c r="E30" s="5" t="n">
        <v>562268</v>
      </c>
      <c r="F30" s="5" t="n">
        <v>221894</v>
      </c>
      <c r="G30" s="5" t="n">
        <v>129004</v>
      </c>
      <c r="H30" s="5" t="n">
        <v>115670</v>
      </c>
      <c r="I30" s="5" t="n">
        <v>56179</v>
      </c>
    </row>
    <row r="31">
      <c r="A31" s="5" t="inlineStr">
        <is>
          <t>Total liabilities and equity</t>
        </is>
      </c>
      <c r="B31" s="5" t="n">
        <v>18263851</v>
      </c>
      <c r="C31" s="5" t="n">
        <v>12965813</v>
      </c>
      <c r="D31" s="5" t="n">
        <v>6687776</v>
      </c>
      <c r="E31" s="5" t="n">
        <v>5218429</v>
      </c>
      <c r="F31" s="5" t="n">
        <v>3629707</v>
      </c>
      <c r="G31" s="5" t="n">
        <v>1721408</v>
      </c>
      <c r="H31" s="5" t="n">
        <v>614390</v>
      </c>
      <c r="I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Income</t>
        </is>
      </c>
      <c r="B4" s="6" t="n"/>
      <c r="C4" s="6" t="n"/>
      <c r="D4" s="6" t="n"/>
      <c r="E4" s="6" t="n"/>
      <c r="F4" s="6" t="n"/>
      <c r="G4" s="6" t="n"/>
      <c r="H4" s="6" t="n"/>
      <c r="I4" s="6" t="n"/>
    </row>
    <row r="5">
      <c r="A5" s="6" t="inlineStr">
        <is>
          <t>Interest income</t>
        </is>
      </c>
      <c r="B5" s="6" t="n">
        <v>861673</v>
      </c>
      <c r="C5" s="6" t="n">
        <v>575974</v>
      </c>
      <c r="D5" s="6" t="n">
        <v>167956</v>
      </c>
      <c r="E5" s="6" t="n">
        <v>37809</v>
      </c>
      <c r="F5" s="6" t="n">
        <v>23950</v>
      </c>
      <c r="G5" s="6" t="n">
        <v>25018</v>
      </c>
      <c r="H5" s="6" t="n">
        <v>4918</v>
      </c>
      <c r="I5" s="6" t="n">
        <v>150</v>
      </c>
    </row>
    <row r="6">
      <c r="A6" s="6" t="inlineStr">
        <is>
          <t>Interest expense</t>
        </is>
      </c>
      <c r="B6" s="6" t="n">
        <v>-262833</v>
      </c>
      <c r="C6" s="6" t="n">
        <v>-138002</v>
      </c>
      <c r="D6" s="6" t="n">
        <v>-3709</v>
      </c>
      <c r="E6" s="6" t="n">
        <v>-3727</v>
      </c>
      <c r="F6" s="6" t="n">
        <v>-1564</v>
      </c>
      <c r="G6" s="6" t="n">
        <v>-589</v>
      </c>
      <c r="H6" s="6" t="n"/>
      <c r="I6" s="6" t="n"/>
    </row>
    <row r="7">
      <c r="A7" s="5" t="inlineStr">
        <is>
          <t>Net interest income</t>
        </is>
      </c>
      <c r="B7" s="5" t="n"/>
      <c r="C7" s="5" t="n">
        <v>437972</v>
      </c>
      <c r="D7" s="5" t="n">
        <v>164247</v>
      </c>
      <c r="E7" s="5" t="n">
        <v>34082</v>
      </c>
      <c r="F7" s="5" t="n">
        <v>22386</v>
      </c>
      <c r="G7" s="5" t="n">
        <v>24429</v>
      </c>
      <c r="H7" s="5" t="n">
        <v>4918</v>
      </c>
      <c r="I7" s="5" t="n"/>
    </row>
    <row r="8">
      <c r="A8" s="6" t="inlineStr">
        <is>
          <t>Fee and commission income</t>
        </is>
      </c>
      <c r="B8" s="6" t="n">
        <v>329165</v>
      </c>
      <c r="C8" s="6" t="n">
        <v>255531</v>
      </c>
      <c r="D8" s="6" t="n">
        <v>169095</v>
      </c>
      <c r="E8" s="6" t="n">
        <v>103270</v>
      </c>
      <c r="F8" s="6" t="n">
        <v>54051</v>
      </c>
      <c r="G8" s="6" t="n">
        <v>40085</v>
      </c>
      <c r="H8" s="6" t="n">
        <v>13231</v>
      </c>
      <c r="I8" s="6" t="n">
        <v>2201</v>
      </c>
    </row>
    <row r="9">
      <c r="A9" s="6" t="inlineStr">
        <is>
          <t>Fee and commission expense</t>
        </is>
      </c>
      <c r="B9" s="6" t="n">
        <v>-72000</v>
      </c>
      <c r="C9" s="6" t="n">
        <v>-50696</v>
      </c>
      <c r="D9" s="6" t="n">
        <v>-36212</v>
      </c>
      <c r="E9" s="6" t="n">
        <v>-22481</v>
      </c>
      <c r="F9" s="6" t="n">
        <v>-12265</v>
      </c>
      <c r="G9" s="6" t="n">
        <v>-10681</v>
      </c>
      <c r="H9" s="6" t="n">
        <v>-6664</v>
      </c>
      <c r="I9" s="6" t="n">
        <v>-834</v>
      </c>
    </row>
    <row r="10">
      <c r="A10" s="5" t="inlineStr">
        <is>
          <t>Net fee and commission income</t>
        </is>
      </c>
      <c r="B10" s="5" t="n"/>
      <c r="C10" s="5" t="n">
        <v>204835</v>
      </c>
      <c r="D10" s="5" t="n">
        <v>132883</v>
      </c>
      <c r="E10" s="5" t="n">
        <v>80789</v>
      </c>
      <c r="F10" s="5" t="n">
        <v>41786</v>
      </c>
      <c r="G10" s="5" t="n">
        <v>29404</v>
      </c>
      <c r="H10" s="5" t="n">
        <v>6567</v>
      </c>
      <c r="I10" s="5" t="n">
        <v>1367</v>
      </c>
    </row>
    <row r="11">
      <c r="A11" s="6" t="inlineStr">
        <is>
          <t>Other operating income</t>
        </is>
      </c>
      <c r="B11" s="6" t="n">
        <v>44517</v>
      </c>
      <c r="C11" s="6" t="n">
        <v>48452</v>
      </c>
      <c r="D11" s="6" t="n">
        <v>18582</v>
      </c>
      <c r="E11" s="6" t="n">
        <v>13161</v>
      </c>
      <c r="F11" s="6" t="n">
        <v>2490</v>
      </c>
      <c r="G11" s="6" t="n">
        <v>2079</v>
      </c>
      <c r="H11" s="6" t="n">
        <v>1553</v>
      </c>
      <c r="I11" s="6" t="n">
        <v>309</v>
      </c>
    </row>
    <row r="12">
      <c r="A12" s="6" t="inlineStr">
        <is>
          <t>Total Revenue</t>
        </is>
      </c>
      <c r="B12" s="6" t="n">
        <v>1235355</v>
      </c>
      <c r="C12" s="6" t="n"/>
      <c r="D12" s="6" t="n"/>
      <c r="E12" s="6" t="n"/>
      <c r="F12" s="6" t="n"/>
      <c r="G12" s="6" t="n"/>
      <c r="H12" s="6" t="n"/>
      <c r="I12" s="6" t="n"/>
    </row>
    <row r="13">
      <c r="A13" s="6" t="inlineStr">
        <is>
          <t>Credit loss expense on financial assets</t>
        </is>
      </c>
      <c r="B13" s="6" t="n">
        <v>-152595</v>
      </c>
      <c r="C13" s="6" t="n">
        <v>-176868</v>
      </c>
      <c r="D13" s="6" t="n">
        <v>-101203</v>
      </c>
      <c r="E13" s="6" t="n">
        <v>-14013</v>
      </c>
      <c r="F13" s="6" t="n">
        <v>-3821</v>
      </c>
      <c r="G13" s="6" t="n">
        <v>-20254</v>
      </c>
      <c r="H13" s="6" t="n">
        <v>-3880</v>
      </c>
      <c r="I13" s="6" t="n">
        <v>-12</v>
      </c>
    </row>
    <row r="14">
      <c r="A14" s="6" t="inlineStr">
        <is>
          <t>Cost of Revenue</t>
        </is>
      </c>
      <c r="B14" s="6" t="n">
        <v>-487428</v>
      </c>
      <c r="C14" s="6" t="n"/>
      <c r="D14" s="6" t="n"/>
      <c r="E14" s="6" t="n"/>
      <c r="F14" s="6" t="n"/>
      <c r="G14" s="6" t="n"/>
      <c r="H14" s="6" t="n"/>
      <c r="I14" s="6" t="n"/>
    </row>
    <row r="15">
      <c r="A15" s="6" t="inlineStr">
        <is>
          <t>Gross Profit</t>
        </is>
      </c>
      <c r="B15" s="6" t="n">
        <v>747927</v>
      </c>
      <c r="C15" s="6" t="n"/>
      <c r="D15" s="6" t="n"/>
      <c r="E15" s="6" t="n"/>
      <c r="F15" s="6" t="n"/>
      <c r="G15" s="6" t="n"/>
      <c r="H15" s="6" t="n"/>
      <c r="I15" s="6" t="n"/>
    </row>
    <row r="16">
      <c r="A16" s="5" t="inlineStr">
        <is>
          <t>Net operating income</t>
        </is>
      </c>
      <c r="B16" s="5" t="n"/>
      <c r="C16" s="5" t="n">
        <v>514391</v>
      </c>
      <c r="D16" s="5" t="n">
        <v>214509</v>
      </c>
      <c r="E16" s="5" t="n">
        <v>114019</v>
      </c>
      <c r="F16" s="5" t="n">
        <v>62841</v>
      </c>
      <c r="G16" s="5" t="n">
        <v>35658</v>
      </c>
      <c r="H16" s="5" t="n">
        <v>9158</v>
      </c>
      <c r="I16" s="5" t="n">
        <v>1814</v>
      </c>
    </row>
    <row r="17">
      <c r="A17" s="5" t="inlineStr">
        <is>
          <t>Operating expenses</t>
        </is>
      </c>
      <c r="B17" s="6" t="n"/>
      <c r="C17" s="6" t="n"/>
      <c r="D17" s="6" t="n"/>
      <c r="E17" s="6" t="n"/>
      <c r="F17" s="6" t="n"/>
      <c r="G17" s="6" t="n"/>
      <c r="H17" s="6" t="n"/>
      <c r="I17" s="6" t="n"/>
    </row>
    <row r="18">
      <c r="A18" s="6" t="inlineStr">
        <is>
          <t>Personnel expense</t>
        </is>
      </c>
      <c r="B18" s="6" t="n">
        <v>-352929</v>
      </c>
      <c r="C18" s="6" t="n">
        <v>-256913</v>
      </c>
      <c r="D18" s="6" t="n">
        <v>-175325</v>
      </c>
      <c r="E18" s="6" t="n">
        <v>-130151</v>
      </c>
      <c r="F18" s="6" t="n">
        <v>-105269</v>
      </c>
      <c r="G18" s="6" t="n">
        <v>-77486</v>
      </c>
      <c r="H18" s="6" t="n">
        <v>-25654</v>
      </c>
      <c r="I18" s="6" t="n">
        <v>-9214</v>
      </c>
    </row>
    <row r="19">
      <c r="A19" s="6" t="inlineStr">
        <is>
          <t>Depreciation &amp; impairment expense</t>
        </is>
      </c>
      <c r="B19" s="6" t="n"/>
      <c r="C19" s="6" t="n"/>
      <c r="D19" s="6" t="n">
        <v>-7601</v>
      </c>
      <c r="E19" s="6" t="n">
        <v>-8311</v>
      </c>
      <c r="F19" s="6" t="n">
        <v>-9010</v>
      </c>
      <c r="G19" s="6" t="n">
        <v>-3210</v>
      </c>
      <c r="H19" s="6" t="n">
        <v>-799</v>
      </c>
      <c r="I19" s="6" t="n">
        <v>-250</v>
      </c>
    </row>
    <row r="20">
      <c r="A20" s="6" t="inlineStr">
        <is>
          <t>Other operating expense</t>
        </is>
      </c>
      <c r="B20" s="6" t="n">
        <v>-334520</v>
      </c>
      <c r="C20" s="6" t="n">
        <v>-242080</v>
      </c>
      <c r="D20" s="6" t="n">
        <v>-147342</v>
      </c>
      <c r="E20" s="6" t="n">
        <v>-94405</v>
      </c>
      <c r="F20" s="6" t="n">
        <v>-79977</v>
      </c>
      <c r="G20" s="6" t="n">
        <v>-70372</v>
      </c>
      <c r="H20" s="6" t="n">
        <v>-33421</v>
      </c>
      <c r="I20" s="6" t="n">
        <v>-25426</v>
      </c>
    </row>
    <row r="21">
      <c r="A21" s="5" t="inlineStr">
        <is>
          <t>Total operating expense</t>
        </is>
      </c>
      <c r="B21" s="5" t="n">
        <v>-687449</v>
      </c>
      <c r="C21" s="5" t="n">
        <v>-498993</v>
      </c>
      <c r="D21" s="5" t="n">
        <v>-330268</v>
      </c>
      <c r="E21" s="5" t="n">
        <v>-232867</v>
      </c>
      <c r="F21" s="5" t="n">
        <v>-194256</v>
      </c>
      <c r="G21" s="5" t="n">
        <v>-151068</v>
      </c>
      <c r="H21" s="5" t="n">
        <v>-59874</v>
      </c>
      <c r="I21" s="5" t="n">
        <v>-34890</v>
      </c>
    </row>
    <row r="22">
      <c r="A22" s="6" t="inlineStr">
        <is>
          <t>Exchange differences through profit or loss</t>
        </is>
      </c>
      <c r="B22" s="6" t="n"/>
      <c r="C22" s="6" t="n">
        <v>50</v>
      </c>
      <c r="D22" s="6" t="n">
        <v>-582</v>
      </c>
      <c r="E22" s="6" t="n">
        <v>-172</v>
      </c>
      <c r="F22" s="6" t="n">
        <v>35</v>
      </c>
      <c r="G22" s="6" t="n">
        <v>-61</v>
      </c>
      <c r="H22" s="6" t="n"/>
      <c r="I22" s="6" t="n"/>
    </row>
    <row r="23">
      <c r="A23" s="5" t="inlineStr">
        <is>
          <t>Profit/(Loss) before tax</t>
        </is>
      </c>
      <c r="B23" s="5" t="n">
        <v>60478</v>
      </c>
      <c r="C23" s="5" t="n">
        <v>15448</v>
      </c>
      <c r="D23" s="5" t="n"/>
      <c r="E23" s="5" t="n">
        <v>-119020</v>
      </c>
      <c r="F23" s="5" t="n">
        <v>-131380</v>
      </c>
      <c r="G23" s="5" t="n">
        <v>-115471</v>
      </c>
      <c r="H23" s="5" t="n">
        <v>-50716</v>
      </c>
      <c r="I23" s="5" t="n">
        <v>-33076</v>
      </c>
    </row>
    <row r="24">
      <c r="A24" s="6" t="inlineStr">
        <is>
          <t>Taxation credit/(expense)</t>
        </is>
      </c>
      <c r="B24" s="6" t="n">
        <v>34090</v>
      </c>
      <c r="C24" s="6" t="n">
        <v>-6739</v>
      </c>
      <c r="D24" s="6" t="n"/>
      <c r="E24" s="6" t="n">
        <v>0</v>
      </c>
      <c r="F24" s="6" t="n">
        <v>303</v>
      </c>
      <c r="G24" s="6" t="n">
        <v>1655</v>
      </c>
      <c r="H24" s="6" t="n">
        <v>3552</v>
      </c>
      <c r="I24" s="6" t="n">
        <v>2530</v>
      </c>
    </row>
    <row r="25">
      <c r="A25" s="5" t="inlineStr">
        <is>
          <t>Profit/(Loss) for the year</t>
        </is>
      </c>
      <c r="B25" s="5" t="n">
        <v>94568</v>
      </c>
      <c r="C25" s="5" t="n">
        <v>8709</v>
      </c>
      <c r="D25" s="5" t="n">
        <v>-116341</v>
      </c>
      <c r="E25" s="5" t="n">
        <v>-119020</v>
      </c>
      <c r="F25" s="5" t="n">
        <v>-131077</v>
      </c>
      <c r="G25" s="5" t="n">
        <v>-113816</v>
      </c>
      <c r="H25" s="5" t="n">
        <v>-47164</v>
      </c>
      <c r="I25" s="5" t="n">
        <v>-30546</v>
      </c>
    </row>
    <row r="26">
      <c r="A26" s="5" t="inlineStr">
        <is>
          <t>Other comprehensive income that may be recycled to profit or loss</t>
        </is>
      </c>
      <c r="B26" s="6" t="n"/>
      <c r="C26" s="6" t="n"/>
      <c r="D26" s="6" t="n"/>
      <c r="E26" s="6" t="n"/>
      <c r="F26" s="6" t="n"/>
      <c r="G26" s="6" t="n"/>
      <c r="H26" s="6" t="n"/>
      <c r="I26" s="6" t="n"/>
    </row>
    <row r="27">
      <c r="A27" s="6" t="inlineStr">
        <is>
          <t>Currency translation differences</t>
        </is>
      </c>
      <c r="B27" s="6" t="n">
        <v>-159</v>
      </c>
      <c r="C27" s="6" t="n">
        <v>-305</v>
      </c>
      <c r="D27" s="6" t="n"/>
      <c r="E27" s="6" t="n"/>
      <c r="F27" s="6" t="n"/>
      <c r="G27" s="6" t="n"/>
      <c r="H27" s="6" t="n"/>
      <c r="I27" s="6" t="n"/>
    </row>
    <row r="28">
      <c r="A28" s="6" t="inlineStr">
        <is>
          <t>Cash flow hedging reserve: net gains from changes in fair value</t>
        </is>
      </c>
      <c r="B28" s="6" t="n">
        <v>5524</v>
      </c>
      <c r="C28" s="6" t="n">
        <v>1391</v>
      </c>
      <c r="D28" s="6" t="n"/>
      <c r="E28" s="6" t="n"/>
      <c r="F28" s="6" t="n"/>
      <c r="G28" s="6" t="n"/>
      <c r="H28" s="6" t="n"/>
      <c r="I28" s="6" t="n"/>
    </row>
    <row r="29">
      <c r="A29" s="6" t="inlineStr">
        <is>
          <t>Cash flow hedging reserve: net losses/(gains) transferred to net profit</t>
        </is>
      </c>
      <c r="B29" s="6" t="n">
        <v>180</v>
      </c>
      <c r="C29" s="6" t="n">
        <v>-71</v>
      </c>
      <c r="D29" s="6" t="n"/>
      <c r="E29" s="6" t="n"/>
      <c r="F29" s="6" t="n"/>
      <c r="G29" s="6" t="n"/>
      <c r="H29" s="6" t="n"/>
      <c r="I29" s="6" t="n"/>
    </row>
    <row r="30">
      <c r="A30" s="6" t="inlineStr">
        <is>
          <t>Cash flow hedging reserve: tax</t>
        </is>
      </c>
      <c r="B30" s="6" t="n">
        <v>-1637</v>
      </c>
      <c r="C30" s="6" t="n">
        <v>-330</v>
      </c>
      <c r="D30" s="6" t="n"/>
      <c r="E30" s="6" t="n"/>
      <c r="F30" s="6" t="n"/>
      <c r="G30" s="6" t="n"/>
      <c r="H30" s="6" t="n"/>
      <c r="I30" s="6" t="n"/>
    </row>
    <row r="31">
      <c r="A31" s="6" t="inlineStr">
        <is>
          <t>Financial assets reserve: net changes in FVOCI financial assets</t>
        </is>
      </c>
      <c r="B31" s="6" t="n">
        <v>598</v>
      </c>
      <c r="C31" s="6" t="n"/>
      <c r="D31" s="6" t="n"/>
      <c r="E31" s="6" t="n"/>
      <c r="F31" s="6" t="n"/>
      <c r="G31" s="6" t="n"/>
      <c r="H31" s="6" t="n"/>
      <c r="I31" s="6" t="n"/>
    </row>
    <row r="32">
      <c r="A32" s="6" t="inlineStr">
        <is>
          <t>Financial assets reserve: tax</t>
        </is>
      </c>
      <c r="B32" s="6" t="n">
        <v>-167</v>
      </c>
      <c r="C32" s="6" t="n"/>
      <c r="D32" s="6" t="n"/>
      <c r="E32" s="6" t="n"/>
      <c r="F32" s="6" t="n"/>
      <c r="G32" s="6" t="n"/>
      <c r="H32" s="6" t="n"/>
      <c r="I32" s="6" t="n"/>
    </row>
    <row r="33">
      <c r="A33" s="5" t="inlineStr">
        <is>
          <t>Other comprehensive income that may be recycled to profit or loss</t>
        </is>
      </c>
      <c r="B33" s="5" t="n">
        <v>4339</v>
      </c>
      <c r="C33" s="5" t="n">
        <v>685</v>
      </c>
      <c r="D33" s="5" t="n"/>
      <c r="E33" s="5" t="n"/>
      <c r="F33" s="5" t="n"/>
      <c r="G33" s="5" t="n"/>
      <c r="H33" s="5" t="n"/>
      <c r="I33" s="5" t="n"/>
    </row>
    <row r="34">
      <c r="A34" s="5" t="inlineStr">
        <is>
          <t>Total comprehensive income/(loss) for the year, net of tax</t>
        </is>
      </c>
      <c r="B34" s="5" t="n">
        <v>98907</v>
      </c>
      <c r="C34" s="5" t="n">
        <v>9394</v>
      </c>
      <c r="D34" s="5" t="n">
        <v>-116341</v>
      </c>
      <c r="E34" s="5" t="n">
        <v>-119020</v>
      </c>
      <c r="F34" s="5" t="n">
        <v>-131077</v>
      </c>
      <c r="G34" s="5" t="n">
        <v>-113816</v>
      </c>
      <c r="H34" s="5" t="n">
        <v>-47164</v>
      </c>
      <c r="I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I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FY2018-FY2025.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8" ht="190" customHeight="1">
      <c r="A6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Cash flows from operating activities</t>
        </is>
      </c>
      <c r="B4" s="6" t="n"/>
      <c r="C4" s="6" t="n"/>
      <c r="D4" s="6" t="n"/>
      <c r="E4" s="6" t="n"/>
      <c r="F4" s="6" t="n"/>
      <c r="G4" s="6" t="n"/>
      <c r="H4" s="6" t="n"/>
      <c r="I4" s="6" t="n"/>
    </row>
    <row r="5">
      <c r="A5" s="6" t="inlineStr">
        <is>
          <t>Profit/(Loss) for the year</t>
        </is>
      </c>
      <c r="B5" s="6" t="n">
        <v>94568</v>
      </c>
      <c r="C5" s="6" t="n">
        <v>8709</v>
      </c>
      <c r="D5" s="6" t="n">
        <v>-116341</v>
      </c>
      <c r="E5" s="6" t="n">
        <v>-119020</v>
      </c>
      <c r="F5" s="6" t="n">
        <v>-131077</v>
      </c>
      <c r="G5" s="6" t="n">
        <v>-113816</v>
      </c>
      <c r="H5" s="6" t="n">
        <v>-47164</v>
      </c>
      <c r="I5" s="6" t="n">
        <v>-30546</v>
      </c>
    </row>
    <row r="6">
      <c r="A6" s="6" t="inlineStr">
        <is>
          <t>Impairment and charge-offs</t>
        </is>
      </c>
      <c r="B6" s="6" t="n">
        <v>152595</v>
      </c>
      <c r="C6" s="6" t="n">
        <v>176868</v>
      </c>
      <c r="D6" s="6" t="n"/>
      <c r="E6" s="6" t="n"/>
      <c r="F6" s="6" t="n"/>
      <c r="G6" s="6" t="n"/>
      <c r="H6" s="6" t="n"/>
      <c r="I6" s="6" t="n"/>
    </row>
    <row r="7">
      <c r="A7" s="6" t="inlineStr">
        <is>
          <t>Depreciation &amp; impairment expense</t>
        </is>
      </c>
      <c r="B7" s="6" t="n">
        <v>4623</v>
      </c>
      <c r="C7" s="6" t="n">
        <v>7288</v>
      </c>
      <c r="D7" s="6" t="n">
        <v>7601</v>
      </c>
      <c r="E7" s="6" t="n">
        <v>8311</v>
      </c>
      <c r="F7" s="6" t="n">
        <v>9010</v>
      </c>
      <c r="G7" s="6" t="n">
        <v>3210</v>
      </c>
      <c r="H7" s="6" t="n">
        <v>799</v>
      </c>
      <c r="I7" s="6" t="n">
        <v>241</v>
      </c>
    </row>
    <row r="8">
      <c r="A8" s="6" t="inlineStr">
        <is>
          <t>Amortisation of intangible assets</t>
        </is>
      </c>
      <c r="B8" s="6" t="n"/>
      <c r="C8" s="6" t="n"/>
      <c r="D8" s="6" t="n"/>
      <c r="E8" s="6" t="n"/>
      <c r="F8" s="6" t="n"/>
      <c r="G8" s="6" t="n"/>
      <c r="H8" s="6" t="n"/>
      <c r="I8" s="6" t="n">
        <v>10</v>
      </c>
    </row>
    <row r="9">
      <c r="A9" s="6" t="inlineStr">
        <is>
          <t>Share-based payments</t>
        </is>
      </c>
      <c r="B9" s="6" t="n">
        <v>83468</v>
      </c>
      <c r="C9" s="6" t="n">
        <v>37469</v>
      </c>
      <c r="D9" s="6" t="n">
        <v>29100</v>
      </c>
      <c r="E9" s="6" t="n">
        <v>23254</v>
      </c>
      <c r="F9" s="6" t="n">
        <v>26547</v>
      </c>
      <c r="G9" s="6" t="n">
        <v>14365</v>
      </c>
      <c r="H9" s="6" t="n">
        <v>2511</v>
      </c>
      <c r="I9" s="6" t="n">
        <v>916</v>
      </c>
    </row>
    <row r="10">
      <c r="A10" s="6" t="inlineStr">
        <is>
          <t>Loss on disposals and write-offs</t>
        </is>
      </c>
      <c r="B10" s="6" t="n"/>
      <c r="C10" s="6" t="n"/>
      <c r="D10" s="6" t="n">
        <v>510</v>
      </c>
      <c r="E10" s="6" t="n">
        <v>495</v>
      </c>
      <c r="F10" s="6" t="n">
        <v>274</v>
      </c>
      <c r="G10" s="6" t="n">
        <v>47</v>
      </c>
      <c r="H10" s="6" t="n">
        <v>161</v>
      </c>
      <c r="I10" s="6" t="n"/>
    </row>
    <row r="11">
      <c r="A11" s="6" t="inlineStr">
        <is>
          <t>(Decrease)/increase in provisions</t>
        </is>
      </c>
      <c r="B11" s="6" t="n">
        <v>3281</v>
      </c>
      <c r="C11" s="6" t="n">
        <v>-9830</v>
      </c>
      <c r="D11" s="6" t="n">
        <v>8787</v>
      </c>
      <c r="E11" s="6" t="n">
        <v>-290</v>
      </c>
      <c r="F11" s="6" t="n">
        <v>8098</v>
      </c>
      <c r="G11" s="6" t="n"/>
      <c r="H11" s="6" t="n"/>
      <c r="I11" s="6" t="n">
        <v>12</v>
      </c>
    </row>
    <row r="12">
      <c r="A12" s="6" t="inlineStr">
        <is>
          <t>Loss on warrants</t>
        </is>
      </c>
      <c r="B12" s="6" t="n"/>
      <c r="C12" s="6" t="n"/>
      <c r="D12" s="6" t="n">
        <v>23</v>
      </c>
      <c r="E12" s="6" t="n">
        <v>502</v>
      </c>
      <c r="F12" s="6" t="n"/>
      <c r="G12" s="6" t="n"/>
      <c r="H12" s="6" t="n"/>
      <c r="I12" s="6" t="n"/>
    </row>
    <row r="13">
      <c r="A13" s="6" t="inlineStr">
        <is>
          <t>Net interest expense on leases</t>
        </is>
      </c>
      <c r="B13" s="6" t="n"/>
      <c r="C13" s="6" t="n"/>
      <c r="D13" s="6" t="n">
        <v>1191</v>
      </c>
      <c r="E13" s="6" t="n">
        <v>1690</v>
      </c>
      <c r="F13" s="6" t="n">
        <v>1450</v>
      </c>
      <c r="G13" s="6" t="n">
        <v>491</v>
      </c>
      <c r="H13" s="6" t="n"/>
      <c r="I13" s="6" t="n"/>
    </row>
    <row r="14">
      <c r="A14" s="6" t="inlineStr">
        <is>
          <t>Interest expense on subordinated debt</t>
        </is>
      </c>
      <c r="B14" s="6" t="n"/>
      <c r="C14" s="6" t="n"/>
      <c r="D14" s="6" t="n">
        <v>2031</v>
      </c>
      <c r="E14" s="6" t="n">
        <v>1958</v>
      </c>
      <c r="F14" s="6" t="n"/>
      <c r="G14" s="6" t="n"/>
      <c r="H14" s="6" t="n"/>
      <c r="I14" s="6" t="n"/>
    </row>
    <row r="15">
      <c r="A15" s="6" t="inlineStr">
        <is>
          <t>Interest on collateral</t>
        </is>
      </c>
      <c r="B15" s="6" t="n"/>
      <c r="C15" s="6" t="n"/>
      <c r="D15" s="6" t="n">
        <v>403</v>
      </c>
      <c r="E15" s="6" t="n"/>
      <c r="F15" s="6" t="n"/>
      <c r="G15" s="6" t="n"/>
      <c r="H15" s="6" t="n"/>
      <c r="I15" s="6" t="n"/>
    </row>
    <row r="16">
      <c r="A16" s="6" t="inlineStr">
        <is>
          <t>Interest on treasury investments</t>
        </is>
      </c>
      <c r="B16" s="6" t="n"/>
      <c r="C16" s="6" t="n"/>
      <c r="D16" s="6" t="n">
        <v>-29392</v>
      </c>
      <c r="E16" s="6" t="n">
        <v>-2381</v>
      </c>
      <c r="F16" s="6" t="n">
        <v>-183</v>
      </c>
      <c r="G16" s="6" t="n">
        <v>-358</v>
      </c>
      <c r="H16" s="6" t="n"/>
      <c r="I16" s="6" t="n"/>
    </row>
    <row r="17">
      <c r="A17" s="6" t="inlineStr">
        <is>
          <t>Net interest (combined, MBHG presentation)</t>
        </is>
      </c>
      <c r="B17" s="6" t="n">
        <v>-68155</v>
      </c>
      <c r="C17" s="6" t="n">
        <v>-75798</v>
      </c>
      <c r="D17" s="6" t="n"/>
      <c r="E17" s="6" t="n"/>
      <c r="F17" s="6" t="n"/>
      <c r="G17" s="6" t="n"/>
      <c r="H17" s="6" t="n"/>
      <c r="I17" s="6" t="n"/>
    </row>
    <row r="18">
      <c r="A18" s="6" t="inlineStr">
        <is>
          <t>Taxation</t>
        </is>
      </c>
      <c r="B18" s="6" t="n">
        <v>-34090</v>
      </c>
      <c r="C18" s="6" t="n"/>
      <c r="D18" s="6" t="n"/>
      <c r="E18" s="6" t="n"/>
      <c r="F18" s="6" t="n"/>
      <c r="G18" s="6" t="n"/>
      <c r="H18" s="6" t="n"/>
      <c r="I18" s="6" t="n"/>
    </row>
    <row r="19">
      <c r="A19" s="6" t="inlineStr">
        <is>
          <t>Other non-cash items</t>
        </is>
      </c>
      <c r="B19" s="6" t="n">
        <v>-7494</v>
      </c>
      <c r="C19" s="6" t="n">
        <v>-1049</v>
      </c>
      <c r="D19" s="6" t="n"/>
      <c r="E19" s="6" t="n"/>
      <c r="F19" s="6" t="n"/>
      <c r="G19" s="6" t="n"/>
      <c r="H19" s="6" t="n"/>
      <c r="I19" s="6" t="n"/>
    </row>
    <row r="20">
      <c r="A20" s="6" t="inlineStr">
        <is>
          <t>Movement in loans and advances to customers</t>
        </is>
      </c>
      <c r="B20" s="6" t="n">
        <v>-564849</v>
      </c>
      <c r="C20" s="6" t="n">
        <v>-713349</v>
      </c>
      <c r="D20" s="6" t="n">
        <v>-418650</v>
      </c>
      <c r="E20" s="6" t="n">
        <v>-147936</v>
      </c>
      <c r="F20" s="6" t="n">
        <v>36766</v>
      </c>
      <c r="G20" s="6" t="n">
        <v>-107859</v>
      </c>
      <c r="H20" s="6" t="n">
        <v>-15893</v>
      </c>
      <c r="I20" s="6" t="n">
        <v>-160</v>
      </c>
    </row>
    <row r="21">
      <c r="A21" s="6" t="inlineStr">
        <is>
          <t>Movement in customer deposits</t>
        </is>
      </c>
      <c r="B21" s="6" t="n">
        <v>5401749</v>
      </c>
      <c r="C21" s="6" t="n">
        <v>5251674</v>
      </c>
      <c r="D21" s="6" t="n">
        <v>1505297</v>
      </c>
      <c r="E21" s="6" t="n">
        <v>1316604</v>
      </c>
      <c r="F21" s="6" t="n">
        <v>1731529</v>
      </c>
      <c r="G21" s="6" t="n">
        <v>930696</v>
      </c>
      <c r="H21" s="6" t="n">
        <v>390545</v>
      </c>
      <c r="I21" s="6" t="n">
        <v>71276</v>
      </c>
    </row>
    <row r="22">
      <c r="A22" s="6" t="inlineStr">
        <is>
          <t>Movement in other assets (excluding RDEC claim)</t>
        </is>
      </c>
      <c r="B22" s="6" t="n"/>
      <c r="C22" s="6" t="n"/>
      <c r="D22" s="6" t="n">
        <v>-36597</v>
      </c>
      <c r="E22" s="6" t="n">
        <v>30628</v>
      </c>
      <c r="F22" s="6" t="n">
        <v>-20379</v>
      </c>
      <c r="G22" s="6" t="n">
        <v>-61060</v>
      </c>
      <c r="H22" s="6" t="n">
        <v>-2329</v>
      </c>
      <c r="I22" s="6" t="n">
        <v>-37477</v>
      </c>
    </row>
    <row r="23">
      <c r="A23" s="6" t="inlineStr">
        <is>
          <t>Movement in RDEC claim receivable</t>
        </is>
      </c>
      <c r="B23" s="6" t="n"/>
      <c r="C23" s="6" t="n"/>
      <c r="D23" s="6" t="n">
        <v>-1698</v>
      </c>
      <c r="E23" s="6" t="n">
        <v>-186</v>
      </c>
      <c r="F23" s="6" t="n">
        <v>2662</v>
      </c>
      <c r="G23" s="6" t="n">
        <v>2569</v>
      </c>
      <c r="H23" s="6" t="n">
        <v>1242</v>
      </c>
      <c r="I23" s="6" t="n"/>
    </row>
    <row r="24">
      <c r="A24" s="6" t="inlineStr">
        <is>
          <t>Movement in other assets (combined, MBHG presentation)</t>
        </is>
      </c>
      <c r="B24" s="6" t="n">
        <v>312246</v>
      </c>
      <c r="C24" s="6" t="n">
        <v>-299495</v>
      </c>
      <c r="D24" s="6" t="n"/>
      <c r="E24" s="6" t="n"/>
      <c r="F24" s="6" t="n"/>
      <c r="G24" s="6" t="n"/>
      <c r="H24" s="6" t="n"/>
      <c r="I24" s="6" t="n"/>
    </row>
    <row r="25">
      <c r="A25" s="6" t="inlineStr">
        <is>
          <t>Movement in current tax asset/liability</t>
        </is>
      </c>
      <c r="B25" s="6" t="n"/>
      <c r="C25" s="6" t="n">
        <v>-7090</v>
      </c>
      <c r="D25" s="6" t="n"/>
      <c r="E25" s="6" t="n"/>
      <c r="F25" s="6" t="n"/>
      <c r="G25" s="6" t="n"/>
      <c r="H25" s="6" t="n"/>
      <c r="I25" s="6" t="n"/>
    </row>
    <row r="26">
      <c r="A26" s="6" t="inlineStr">
        <is>
          <t>Net tax paid</t>
        </is>
      </c>
      <c r="B26" s="6" t="n">
        <v>-6019</v>
      </c>
      <c r="C26" s="6" t="n"/>
      <c r="D26" s="6" t="n"/>
      <c r="E26" s="6" t="n"/>
      <c r="F26" s="6" t="n"/>
      <c r="G26" s="6" t="n"/>
      <c r="H26" s="6" t="n"/>
      <c r="I26" s="6" t="n"/>
    </row>
    <row r="27">
      <c r="A27" s="6" t="inlineStr">
        <is>
          <t>Movement in collateral held with third parties</t>
        </is>
      </c>
      <c r="B27" s="6" t="n">
        <v>-1075</v>
      </c>
      <c r="C27" s="6" t="n">
        <v>-63</v>
      </c>
      <c r="D27" s="6" t="n">
        <v>-169</v>
      </c>
      <c r="E27" s="6" t="n">
        <v>-19978</v>
      </c>
      <c r="F27" s="6" t="n">
        <v>-40672</v>
      </c>
      <c r="G27" s="6" t="n">
        <v>1135</v>
      </c>
      <c r="H27" s="6" t="n">
        <v>-3245</v>
      </c>
      <c r="I27" s="6" t="n"/>
    </row>
    <row r="28">
      <c r="A28" s="6" t="inlineStr">
        <is>
          <t>Movement in other liabilities (excl. leases/provisions, MBL) / other liabilities (MBHG)</t>
        </is>
      </c>
      <c r="B28" s="6" t="n">
        <v>-454084</v>
      </c>
      <c r="C28" s="6" t="n">
        <v>644962</v>
      </c>
      <c r="D28" s="6" t="n">
        <v>46717</v>
      </c>
      <c r="E28" s="6" t="n">
        <v>-77125</v>
      </c>
      <c r="F28" s="6" t="n">
        <v>71024</v>
      </c>
      <c r="G28" s="6" t="n">
        <v>145270</v>
      </c>
      <c r="H28" s="6" t="n">
        <v>24534</v>
      </c>
      <c r="I28" s="6" t="n">
        <v>11285</v>
      </c>
    </row>
    <row r="29">
      <c r="A29" s="5" t="inlineStr">
        <is>
          <t>Net cash from operating activities</t>
        </is>
      </c>
      <c r="B29" s="5" t="n">
        <v>4916764</v>
      </c>
      <c r="C29" s="5" t="n">
        <v>5020296</v>
      </c>
      <c r="D29" s="5" t="n">
        <v>998813</v>
      </c>
      <c r="E29" s="5" t="n">
        <v>1016526</v>
      </c>
      <c r="F29" s="5" t="n">
        <v>1695049</v>
      </c>
      <c r="G29" s="5" t="n">
        <v>814690</v>
      </c>
      <c r="H29" s="5" t="n">
        <v>351161</v>
      </c>
      <c r="I29" s="5" t="n">
        <v>15557</v>
      </c>
    </row>
    <row r="30">
      <c r="A30" s="5" t="inlineStr">
        <is>
          <t>Cash flows from investing activities</t>
        </is>
      </c>
      <c r="B30" s="6" t="n"/>
      <c r="C30" s="6" t="n"/>
      <c r="D30" s="6" t="n"/>
      <c r="E30" s="6" t="n"/>
      <c r="F30" s="6" t="n"/>
      <c r="G30" s="6" t="n"/>
      <c r="H30" s="6" t="n"/>
      <c r="I30" s="6" t="n"/>
    </row>
    <row r="31">
      <c r="A31" s="6" t="inlineStr">
        <is>
          <t>Purchase of treasury investments</t>
        </is>
      </c>
      <c r="B31" s="6" t="n"/>
      <c r="C31" s="6" t="n"/>
      <c r="D31" s="6" t="n">
        <v>-1495059</v>
      </c>
      <c r="E31" s="6" t="n">
        <v>-1310560</v>
      </c>
      <c r="F31" s="6" t="n">
        <v>-420977</v>
      </c>
      <c r="G31" s="6" t="n">
        <v>-121611</v>
      </c>
      <c r="H31" s="6" t="n"/>
      <c r="I31" s="6" t="n"/>
    </row>
    <row r="32">
      <c r="A32" s="6" t="inlineStr">
        <is>
          <t>Interest received on treasury investments</t>
        </is>
      </c>
      <c r="B32" s="6" t="n"/>
      <c r="C32" s="6" t="n"/>
      <c r="D32" s="6" t="n">
        <v>14892</v>
      </c>
      <c r="E32" s="6" t="n">
        <v>5048</v>
      </c>
      <c r="F32" s="6" t="n">
        <v>1359</v>
      </c>
      <c r="G32" s="6" t="n">
        <v>41</v>
      </c>
      <c r="H32" s="6" t="n"/>
      <c r="I32" s="6" t="n"/>
    </row>
    <row r="33">
      <c r="A33" s="6" t="inlineStr">
        <is>
          <t>Proceeds from sale and maturity of treasury investments</t>
        </is>
      </c>
      <c r="B33" s="6" t="n"/>
      <c r="C33" s="6" t="n"/>
      <c r="D33" s="6" t="n">
        <v>457517</v>
      </c>
      <c r="E33" s="6" t="n">
        <v>9000</v>
      </c>
      <c r="F33" s="6" t="n">
        <v>142112</v>
      </c>
      <c r="G33" s="6" t="n">
        <v>22975</v>
      </c>
      <c r="H33" s="6" t="n"/>
      <c r="I33" s="6" t="n"/>
    </row>
    <row r="34">
      <c r="A34" s="6" t="inlineStr">
        <is>
          <t>Net movement in treasury investments (combined, MBHG presentation)</t>
        </is>
      </c>
      <c r="B34" s="6" t="n">
        <v>-1676621</v>
      </c>
      <c r="C34" s="6" t="n">
        <v>-829471</v>
      </c>
      <c r="D34" s="6" t="n"/>
      <c r="E34" s="6" t="n"/>
      <c r="F34" s="6" t="n"/>
      <c r="G34" s="6" t="n"/>
      <c r="H34" s="6" t="n"/>
      <c r="I34" s="6" t="n"/>
    </row>
    <row r="35">
      <c r="A35" s="6" t="inlineStr">
        <is>
          <t>Purchase of property, plant and equipment</t>
        </is>
      </c>
      <c r="B35" s="6" t="n">
        <v>-213</v>
      </c>
      <c r="C35" s="6" t="n">
        <v>-1060</v>
      </c>
      <c r="D35" s="6" t="n">
        <v>-3453</v>
      </c>
      <c r="E35" s="6" t="n">
        <v>-4383</v>
      </c>
      <c r="F35" s="6" t="n">
        <v>-8290</v>
      </c>
      <c r="G35" s="6" t="n">
        <v>-3279</v>
      </c>
      <c r="H35" s="6" t="n">
        <v>-2415</v>
      </c>
      <c r="I35" s="6" t="n">
        <v>-886</v>
      </c>
    </row>
    <row r="36">
      <c r="A36" s="6" t="inlineStr">
        <is>
          <t>Proceeds on disposal of property, plant and equipment</t>
        </is>
      </c>
      <c r="B36" s="6" t="n"/>
      <c r="C36" s="6" t="n"/>
      <c r="D36" s="6" t="n"/>
      <c r="E36" s="6" t="n"/>
      <c r="F36" s="6" t="n">
        <v>75</v>
      </c>
      <c r="G36" s="6" t="n"/>
      <c r="H36" s="6" t="n">
        <v>8</v>
      </c>
      <c r="I36" s="6" t="n"/>
    </row>
    <row r="37">
      <c r="A37" s="6" t="inlineStr">
        <is>
          <t>Movement in sublease receivables</t>
        </is>
      </c>
      <c r="B37" s="6" t="n">
        <v>171</v>
      </c>
      <c r="C37" s="6" t="n">
        <v>1010</v>
      </c>
      <c r="D37" s="6" t="n"/>
      <c r="E37" s="6" t="n"/>
      <c r="F37" s="6" t="n"/>
      <c r="G37" s="6" t="n"/>
      <c r="H37" s="6" t="n"/>
      <c r="I37" s="6" t="n"/>
    </row>
    <row r="38">
      <c r="A38" s="6" t="inlineStr">
        <is>
          <t>Cumulative translation adjustment (investing)</t>
        </is>
      </c>
      <c r="B38" s="6" t="n"/>
      <c r="C38" s="6" t="n"/>
      <c r="D38" s="6" t="n"/>
      <c r="E38" s="6" t="n"/>
      <c r="F38" s="6" t="n"/>
      <c r="G38" s="6" t="n">
        <v>-5</v>
      </c>
      <c r="H38" s="6" t="n"/>
      <c r="I38" s="6" t="n"/>
    </row>
    <row r="39">
      <c r="A39" s="6" t="inlineStr">
        <is>
          <t>Other cash flows from investing activities</t>
        </is>
      </c>
      <c r="B39" s="6" t="n"/>
      <c r="C39" s="6" t="n"/>
      <c r="D39" s="6" t="n"/>
      <c r="E39" s="6" t="n"/>
      <c r="F39" s="6" t="n">
        <v>-38</v>
      </c>
      <c r="G39" s="6" t="n"/>
      <c r="H39" s="6" t="n"/>
      <c r="I39" s="6" t="n"/>
    </row>
    <row r="40">
      <c r="A40" s="5" t="inlineStr">
        <is>
          <t>Net cash from/(used in) investing activities</t>
        </is>
      </c>
      <c r="B40" s="5" t="n">
        <v>-1676663</v>
      </c>
      <c r="C40" s="5" t="n">
        <v>-829521</v>
      </c>
      <c r="D40" s="5" t="n">
        <v>-1026103</v>
      </c>
      <c r="E40" s="5" t="n">
        <v>-1300895</v>
      </c>
      <c r="F40" s="5" t="n">
        <v>-285759</v>
      </c>
      <c r="G40" s="5" t="n">
        <v>-101879</v>
      </c>
      <c r="H40" s="5" t="n">
        <v>-2407</v>
      </c>
      <c r="I40" s="5" t="n">
        <v>-886</v>
      </c>
    </row>
    <row r="41">
      <c r="A41" s="5" t="inlineStr">
        <is>
          <t>Cash flows from financing activities</t>
        </is>
      </c>
      <c r="B41" s="6" t="n"/>
      <c r="C41" s="6" t="n"/>
      <c r="D41" s="6" t="n"/>
      <c r="E41" s="6" t="n"/>
      <c r="F41" s="6" t="n"/>
      <c r="G41" s="6" t="n"/>
      <c r="H41" s="6" t="n"/>
      <c r="I41" s="6" t="n"/>
    </row>
    <row r="42">
      <c r="A42" s="6" t="inlineStr">
        <is>
          <t>Net proceeds from issuance of ordinary shares</t>
        </is>
      </c>
      <c r="B42" s="6" t="n">
        <v>162362</v>
      </c>
      <c r="C42" s="6" t="n">
        <v>339440</v>
      </c>
      <c r="D42" s="6" t="n">
        <v>300</v>
      </c>
      <c r="E42" s="6" t="n">
        <v>436008</v>
      </c>
      <c r="F42" s="6" t="n">
        <v>197548</v>
      </c>
      <c r="G42" s="6" t="n">
        <v>112993</v>
      </c>
      <c r="H42" s="6" t="n">
        <v>104150</v>
      </c>
      <c r="I42" s="6" t="n">
        <v>67398</v>
      </c>
    </row>
    <row r="43">
      <c r="A43" s="6" t="inlineStr">
        <is>
          <t>Payment of interest portion of lease liabilities</t>
        </is>
      </c>
      <c r="B43" s="6" t="n"/>
      <c r="C43" s="6" t="n"/>
      <c r="D43" s="6" t="n">
        <v>-1988</v>
      </c>
      <c r="E43" s="6" t="n">
        <v>-385</v>
      </c>
      <c r="F43" s="6" t="n">
        <v>-388</v>
      </c>
      <c r="G43" s="6" t="n">
        <v>-165</v>
      </c>
      <c r="H43" s="6" t="n"/>
      <c r="I43" s="6" t="n"/>
    </row>
    <row r="44">
      <c r="A44" s="6" t="inlineStr">
        <is>
          <t>Payment of principal portion of lease liabilities</t>
        </is>
      </c>
      <c r="B44" s="6" t="n"/>
      <c r="C44" s="6" t="n"/>
      <c r="D44" s="6" t="n">
        <v>-3075</v>
      </c>
      <c r="E44" s="6" t="n">
        <v>-7136</v>
      </c>
      <c r="F44" s="6" t="n">
        <v>-2654</v>
      </c>
      <c r="G44" s="6" t="n">
        <v>-1555</v>
      </c>
      <c r="H44" s="6" t="n"/>
      <c r="I44" s="6" t="n"/>
    </row>
    <row r="45">
      <c r="A45" s="6" t="inlineStr">
        <is>
          <t>Payment of lease liabilities (combined, MBHG presentation)</t>
        </is>
      </c>
      <c r="B45" s="6" t="n">
        <v>-4955</v>
      </c>
      <c r="C45" s="6" t="n">
        <v>-7008</v>
      </c>
      <c r="D45" s="6" t="n"/>
      <c r="E45" s="6" t="n"/>
      <c r="F45" s="6" t="n"/>
      <c r="G45" s="6" t="n"/>
      <c r="H45" s="6" t="n"/>
      <c r="I45" s="6" t="n"/>
    </row>
    <row r="46">
      <c r="A46" s="6" t="inlineStr">
        <is>
          <t>Purchase of treasury shares</t>
        </is>
      </c>
      <c r="B46" s="6" t="n"/>
      <c r="C46" s="6" t="n"/>
      <c r="D46" s="6" t="n"/>
      <c r="E46" s="6" t="n"/>
      <c r="F46" s="6" t="n"/>
      <c r="G46" s="6" t="n">
        <v>-209</v>
      </c>
      <c r="H46" s="6" t="n"/>
      <c r="I46" s="6" t="n"/>
    </row>
    <row r="47">
      <c r="A47" s="6" t="inlineStr">
        <is>
          <t>Issuance of subordinated debt and warrant liability</t>
        </is>
      </c>
      <c r="B47" s="6" t="n"/>
      <c r="C47" s="6" t="n"/>
      <c r="D47" s="6" t="n"/>
      <c r="E47" s="6" t="n">
        <v>14812</v>
      </c>
      <c r="F47" s="6" t="n"/>
      <c r="G47" s="6" t="n"/>
      <c r="H47" s="6" t="n"/>
      <c r="I47" s="6" t="n"/>
    </row>
    <row r="48">
      <c r="A48" s="6" t="inlineStr">
        <is>
          <t>Interest paid on subordinated debt liability</t>
        </is>
      </c>
      <c r="B48" s="6" t="n"/>
      <c r="C48" s="6" t="n"/>
      <c r="D48" s="6" t="n">
        <v>-1801</v>
      </c>
      <c r="E48" s="6" t="n">
        <v>-1765</v>
      </c>
      <c r="F48" s="6" t="n"/>
      <c r="G48" s="6" t="n"/>
      <c r="H48" s="6" t="n"/>
      <c r="I48" s="6" t="n"/>
    </row>
    <row r="49">
      <c r="A49" s="5" t="inlineStr">
        <is>
          <t>Net cash from/(used in) financing activities</t>
        </is>
      </c>
      <c r="B49" s="5" t="n">
        <v>157407</v>
      </c>
      <c r="C49" s="5" t="n">
        <v>332432</v>
      </c>
      <c r="D49" s="5" t="n">
        <v>-6564</v>
      </c>
      <c r="E49" s="5" t="n">
        <v>441534</v>
      </c>
      <c r="F49" s="5" t="n">
        <v>194506</v>
      </c>
      <c r="G49" s="5" t="n">
        <v>111064</v>
      </c>
      <c r="H49" s="5" t="n">
        <v>104150</v>
      </c>
      <c r="I49" s="5" t="n">
        <v>67398</v>
      </c>
    </row>
    <row r="50">
      <c r="A50" s="6" t="inlineStr">
        <is>
          <t>Effect of exchange rates on cash and cash equivalents</t>
        </is>
      </c>
      <c r="B50" s="6" t="n">
        <v>-45</v>
      </c>
      <c r="C50" s="6" t="n">
        <v>-149</v>
      </c>
      <c r="D50" s="6" t="n">
        <v>556</v>
      </c>
      <c r="E50" s="6" t="n">
        <v>-150</v>
      </c>
      <c r="F50" s="6" t="n"/>
      <c r="G50" s="6" t="n"/>
      <c r="H50" s="6" t="n"/>
      <c r="I50" s="6" t="n"/>
    </row>
    <row r="51">
      <c r="A51" s="5" t="inlineStr">
        <is>
          <t>Net increase/(decrease) in cash and cash equivalents</t>
        </is>
      </c>
      <c r="B51" s="5" t="n">
        <v>3397463</v>
      </c>
      <c r="C51" s="5" t="n">
        <v>4523058</v>
      </c>
      <c r="D51" s="5" t="n">
        <v>-33298</v>
      </c>
      <c r="E51" s="5" t="n">
        <v>157172</v>
      </c>
      <c r="F51" s="5" t="n">
        <v>1603646</v>
      </c>
      <c r="G51" s="5" t="n">
        <v>823875</v>
      </c>
      <c r="H51" s="5" t="n">
        <v>452904</v>
      </c>
      <c r="I51" s="5" t="n">
        <v>82069</v>
      </c>
    </row>
    <row r="52">
      <c r="A52" s="6" t="inlineStr">
        <is>
          <t>Cash and cash equivalents at beginning of year</t>
        </is>
      </c>
      <c r="B52" s="6" t="n">
        <v>7624300</v>
      </c>
      <c r="C52" s="6" t="n">
        <v>3101242</v>
      </c>
      <c r="D52" s="6" t="n">
        <v>3134540</v>
      </c>
      <c r="E52" s="6" t="n">
        <v>2977368</v>
      </c>
      <c r="F52" s="6" t="n">
        <v>1373722</v>
      </c>
      <c r="G52" s="6" t="n">
        <v>549847</v>
      </c>
      <c r="H52" s="6" t="n">
        <v>96943</v>
      </c>
      <c r="I52" s="6" t="n">
        <v>14874</v>
      </c>
    </row>
    <row r="53">
      <c r="A53" s="5" t="inlineStr">
        <is>
          <t>Cash and cash equivalents at end of year</t>
        </is>
      </c>
      <c r="B53" s="5" t="n">
        <v>11021763</v>
      </c>
      <c r="C53" s="5" t="n">
        <v>7624300</v>
      </c>
      <c r="D53" s="5" t="n">
        <v>3101242</v>
      </c>
      <c r="E53" s="5" t="n">
        <v>3134540</v>
      </c>
      <c r="F53" s="5" t="n">
        <v>2977368</v>
      </c>
      <c r="G53" s="5" t="n">
        <v>1373722</v>
      </c>
      <c r="H53" s="5" t="n">
        <v>549847</v>
      </c>
      <c r="I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I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402876</v>
      </c>
      <c r="C5" s="6" t="n">
        <v>318960</v>
      </c>
      <c r="D5" s="6" t="n">
        <v>197104</v>
      </c>
      <c r="E5" s="6" t="n">
        <v>100911</v>
      </c>
      <c r="F5" s="6" t="n">
        <v>56818</v>
      </c>
      <c r="G5" s="6" t="n"/>
      <c r="H5" s="6" t="n"/>
      <c r="I5" s="6" t="n"/>
    </row>
    <row r="6">
      <c r="A6" s="6" t="inlineStr">
        <is>
          <t>Loans</t>
        </is>
      </c>
      <c r="B6" s="6" t="n">
        <v>897426</v>
      </c>
      <c r="C6" s="6" t="n">
        <v>683976</v>
      </c>
      <c r="D6" s="6" t="n">
        <v>393349</v>
      </c>
      <c r="E6" s="6" t="n">
        <v>157896</v>
      </c>
      <c r="F6" s="6" t="n">
        <v>47772</v>
      </c>
      <c r="G6" s="6" t="n"/>
      <c r="H6" s="6" t="n"/>
      <c r="I6" s="6" t="n"/>
    </row>
    <row r="7">
      <c r="A7" s="6" t="inlineStr">
        <is>
          <t>Flex Loans</t>
        </is>
      </c>
      <c r="B7" s="6" t="n">
        <v>553394</v>
      </c>
      <c r="C7" s="6" t="n">
        <v>391286</v>
      </c>
      <c r="D7" s="6" t="n">
        <v>169281</v>
      </c>
      <c r="E7" s="6" t="n"/>
      <c r="F7" s="6" t="n"/>
      <c r="G7" s="6" t="n"/>
      <c r="H7" s="6" t="n"/>
      <c r="I7" s="6" t="n"/>
    </row>
    <row r="8">
      <c r="A8" s="5" t="inlineStr">
        <is>
          <t>Total gross loans and advances to customers</t>
        </is>
      </c>
      <c r="B8" s="5" t="n">
        <v>1853696</v>
      </c>
      <c r="C8" s="5" t="n">
        <v>1394222</v>
      </c>
      <c r="D8" s="5" t="n">
        <v>759734</v>
      </c>
      <c r="E8" s="5" t="n">
        <v>258807</v>
      </c>
      <c r="F8" s="5" t="n">
        <v>104590</v>
      </c>
      <c r="G8" s="5" t="n"/>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-83013</v>
      </c>
      <c r="C10" s="6" t="n">
        <v>-61938</v>
      </c>
      <c r="D10" s="6" t="n">
        <v>-36266</v>
      </c>
      <c r="E10" s="6" t="n">
        <v>-15179</v>
      </c>
      <c r="F10" s="6" t="n">
        <v>-12600</v>
      </c>
      <c r="G10" s="6" t="n"/>
      <c r="H10" s="6" t="n"/>
      <c r="I10" s="6" t="n"/>
    </row>
    <row r="11">
      <c r="A11" s="6" t="inlineStr">
        <is>
          <t>Loans</t>
        </is>
      </c>
      <c r="B11" s="6" t="n">
        <v>-81429</v>
      </c>
      <c r="C11" s="6" t="n">
        <v>-75892</v>
      </c>
      <c r="D11" s="6" t="n">
        <v>-33247</v>
      </c>
      <c r="E11" s="6" t="n">
        <v>-8545</v>
      </c>
      <c r="F11" s="6" t="n">
        <v>-4843</v>
      </c>
      <c r="G11" s="6" t="n"/>
      <c r="H11" s="6" t="n"/>
      <c r="I11" s="6" t="n"/>
    </row>
    <row r="12">
      <c r="A12" s="6" t="inlineStr">
        <is>
          <t>Flex Loans</t>
        </is>
      </c>
      <c r="B12" s="6" t="n">
        <v>-86784</v>
      </c>
      <c r="C12" s="6" t="n">
        <v>-66177</v>
      </c>
      <c r="D12" s="6" t="n">
        <v>-36488</v>
      </c>
      <c r="E12" s="6" t="n"/>
      <c r="F12" s="6" t="n"/>
      <c r="G12" s="6" t="n"/>
      <c r="H12" s="6" t="n"/>
      <c r="I12" s="6" t="n"/>
    </row>
    <row r="13">
      <c r="A13" s="5" t="inlineStr">
        <is>
          <t>Total impairment loss allowance</t>
        </is>
      </c>
      <c r="B13" s="5" t="n">
        <v>-251226</v>
      </c>
      <c r="C13" s="5" t="n">
        <v>-204007</v>
      </c>
      <c r="D13" s="5" t="n">
        <v>-106001</v>
      </c>
      <c r="E13" s="5" t="n">
        <v>-23724</v>
      </c>
      <c r="F13" s="5" t="n">
        <v>-17443</v>
      </c>
      <c r="G13" s="5" t="n"/>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319863</v>
      </c>
      <c r="C15" s="6" t="n">
        <v>257022</v>
      </c>
      <c r="D15" s="6" t="n">
        <v>160838</v>
      </c>
      <c r="E15" s="6" t="n">
        <v>85732</v>
      </c>
      <c r="F15" s="6" t="n">
        <v>44218</v>
      </c>
      <c r="G15" s="6" t="n"/>
      <c r="H15" s="6" t="n"/>
      <c r="I15" s="6" t="n"/>
    </row>
    <row r="16">
      <c r="A16" s="6" t="inlineStr">
        <is>
          <t>Loans</t>
        </is>
      </c>
      <c r="B16" s="6" t="n">
        <v>815997</v>
      </c>
      <c r="C16" s="6" t="n">
        <v>608084</v>
      </c>
      <c r="D16" s="6" t="n">
        <v>360102</v>
      </c>
      <c r="E16" s="6" t="n">
        <v>149351</v>
      </c>
      <c r="F16" s="6" t="n">
        <v>42929</v>
      </c>
      <c r="G16" s="6" t="n"/>
      <c r="H16" s="6" t="n"/>
      <c r="I16" s="6" t="n"/>
    </row>
    <row r="17">
      <c r="A17" s="6" t="inlineStr">
        <is>
          <t>Flex Loans</t>
        </is>
      </c>
      <c r="B17" s="6" t="n">
        <v>466610</v>
      </c>
      <c r="C17" s="6" t="n">
        <v>325109</v>
      </c>
      <c r="D17" s="6" t="n">
        <v>132793</v>
      </c>
      <c r="E17" s="6" t="n"/>
      <c r="F17" s="6" t="n"/>
      <c r="G17" s="6" t="n"/>
      <c r="H17" s="6" t="n"/>
      <c r="I17" s="6" t="n"/>
    </row>
    <row r="18">
      <c r="A18" s="5" t="inlineStr">
        <is>
          <t>Total net loans and advances to customers</t>
        </is>
      </c>
      <c r="B18" s="5" t="n">
        <v>1602470</v>
      </c>
      <c r="C18" s="5" t="n">
        <v>1190215</v>
      </c>
      <c r="D18" s="5" t="n">
        <v>653733</v>
      </c>
      <c r="E18" s="5" t="n">
        <v>235083</v>
      </c>
      <c r="F18" s="5" t="n">
        <v>87147</v>
      </c>
      <c r="G18" s="5" t="n"/>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1347607</v>
      </c>
      <c r="C20" s="6" t="n">
        <v>1103258</v>
      </c>
      <c r="D20" s="6" t="n">
        <v>598627</v>
      </c>
      <c r="E20" s="6" t="n">
        <v>189761</v>
      </c>
      <c r="F20" s="6" t="n">
        <v>60059</v>
      </c>
      <c r="G20" s="6" t="n">
        <v>107480</v>
      </c>
      <c r="H20" s="6" t="n">
        <v>14804</v>
      </c>
      <c r="I20" s="6" t="n"/>
    </row>
    <row r="21">
      <c r="A21" s="6" t="inlineStr">
        <is>
          <t>Stage 2 (underperforming)</t>
        </is>
      </c>
      <c r="B21" s="6" t="n">
        <v>397399</v>
      </c>
      <c r="C21" s="6" t="n">
        <v>206174</v>
      </c>
      <c r="D21" s="6" t="n">
        <v>128104</v>
      </c>
      <c r="E21" s="6" t="n">
        <v>59765</v>
      </c>
      <c r="F21" s="6" t="n">
        <v>36901</v>
      </c>
      <c r="G21" s="6" t="n">
        <v>33150</v>
      </c>
      <c r="H21" s="6" t="n">
        <v>3293</v>
      </c>
      <c r="I21" s="6" t="n"/>
    </row>
    <row r="22">
      <c r="A22" s="6" t="inlineStr">
        <is>
          <t>Stage 3 (credit-impaired)</t>
        </is>
      </c>
      <c r="B22" s="6" t="n">
        <v>108690</v>
      </c>
      <c r="C22" s="6" t="n">
        <v>84573</v>
      </c>
      <c r="D22" s="6" t="n">
        <v>33003</v>
      </c>
      <c r="E22" s="6" t="n">
        <v>9281</v>
      </c>
      <c r="F22" s="6" t="n">
        <v>7630</v>
      </c>
      <c r="G22" s="6" t="n">
        <v>3279</v>
      </c>
      <c r="H22" s="6" t="n">
        <v>1076</v>
      </c>
      <c r="I22" s="6" t="n"/>
    </row>
    <row r="23">
      <c r="A23" s="5" t="inlineStr">
        <is>
          <t>Total gross loans and advances to customers (by stage)</t>
        </is>
      </c>
      <c r="B23" s="5" t="n">
        <v>1853696</v>
      </c>
      <c r="C23" s="5" t="n">
        <v>1394005</v>
      </c>
      <c r="D23" s="5" t="n">
        <v>759734</v>
      </c>
      <c r="E23" s="5" t="n">
        <v>258807</v>
      </c>
      <c r="F23" s="5" t="n">
        <v>104590</v>
      </c>
      <c r="G23" s="5" t="n">
        <v>143909</v>
      </c>
      <c r="H23" s="5" t="n">
        <v>19173</v>
      </c>
      <c r="I23" s="5" t="n"/>
    </row>
    <row r="24">
      <c r="A24" s="5" t="inlineStr">
        <is>
          <t>Impairment loss allowance, by IFRS 9 stage</t>
        </is>
      </c>
      <c r="B24" s="6" t="n"/>
      <c r="C24" s="6" t="n"/>
      <c r="D24" s="6" t="n"/>
      <c r="E24" s="6" t="n"/>
      <c r="F24" s="6" t="n"/>
      <c r="G24" s="6" t="n"/>
      <c r="H24" s="6" t="n"/>
      <c r="I24" s="6" t="n"/>
    </row>
    <row r="25">
      <c r="A25" s="6" t="inlineStr">
        <is>
          <t>Stage 1 (performing)</t>
        </is>
      </c>
      <c r="B25" s="6" t="n">
        <v>-54783</v>
      </c>
      <c r="C25" s="6" t="n">
        <v>-69167</v>
      </c>
      <c r="D25" s="6" t="n">
        <v>-43742</v>
      </c>
      <c r="E25" s="6" t="n">
        <v>-7855</v>
      </c>
      <c r="F25" s="6" t="n">
        <v>-2833</v>
      </c>
      <c r="G25" s="6" t="n">
        <v>-7399</v>
      </c>
      <c r="H25" s="6" t="n">
        <v>-1198</v>
      </c>
      <c r="I25" s="6" t="n"/>
    </row>
    <row r="26">
      <c r="A26" s="6" t="inlineStr">
        <is>
          <t>Stage 2 (underperforming)</t>
        </is>
      </c>
      <c r="B26" s="6" t="n">
        <v>-130326</v>
      </c>
      <c r="C26" s="6" t="n">
        <v>-80852</v>
      </c>
      <c r="D26" s="6" t="n">
        <v>-38022</v>
      </c>
      <c r="E26" s="6" t="n">
        <v>-9765</v>
      </c>
      <c r="F26" s="6" t="n">
        <v>-9341</v>
      </c>
      <c r="G26" s="6" t="n">
        <v>-9645</v>
      </c>
      <c r="H26" s="6" t="n">
        <v>-961</v>
      </c>
      <c r="I26" s="6" t="n"/>
    </row>
    <row r="27">
      <c r="A27" s="6" t="inlineStr">
        <is>
          <t>Stage 3 (credit-impaired)</t>
        </is>
      </c>
      <c r="B27" s="6" t="n">
        <v>-66117</v>
      </c>
      <c r="C27" s="6" t="n">
        <v>-53988</v>
      </c>
      <c r="D27" s="6" t="n">
        <v>-24237</v>
      </c>
      <c r="E27" s="6" t="n">
        <v>-6104</v>
      </c>
      <c r="F27" s="6" t="n">
        <v>-5269</v>
      </c>
      <c r="G27" s="6" t="n">
        <v>-2952</v>
      </c>
      <c r="H27" s="6" t="n">
        <v>-960</v>
      </c>
      <c r="I27" s="6" t="n"/>
    </row>
    <row r="28">
      <c r="A28" s="5" t="inlineStr">
        <is>
          <t>Total impairment loss allowance (by stage)</t>
        </is>
      </c>
      <c r="B28" s="5" t="n">
        <v>-251226</v>
      </c>
      <c r="C28" s="5" t="n">
        <v>-204007</v>
      </c>
      <c r="D28" s="5" t="n">
        <v>-106001</v>
      </c>
      <c r="E28" s="5" t="n">
        <v>-23724</v>
      </c>
      <c r="F28" s="5" t="n">
        <v>-17443</v>
      </c>
      <c r="G28" s="5" t="n">
        <v>-19996</v>
      </c>
      <c r="H28" s="5" t="n">
        <v>-3119</v>
      </c>
      <c r="I28" s="5" t="n"/>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13.55%</t>
        </is>
      </c>
      <c r="C30" s="6" t="inlineStr">
        <is>
          <t>14.63%</t>
        </is>
      </c>
      <c r="D30" s="6" t="inlineStr">
        <is>
          <t>13.95%</t>
        </is>
      </c>
      <c r="E30" s="6" t="inlineStr">
        <is>
          <t>9.17%</t>
        </is>
      </c>
      <c r="F30" s="6" t="inlineStr">
        <is>
          <t>16.68%</t>
        </is>
      </c>
      <c r="G30" s="6" t="inlineStr">
        <is>
          <t>13.89%</t>
        </is>
      </c>
      <c r="H30" s="6" t="inlineStr">
        <is>
          <t>16.27%</t>
        </is>
      </c>
      <c r="I30" s="6" t="n"/>
    </row>
    <row r="31">
      <c r="A31" s="6" t="inlineStr">
        <is>
          <t>Stage 3 (NPL) ratio (Stage 3 gross loans / Total gross loans)</t>
        </is>
      </c>
      <c r="B31" s="6" t="inlineStr">
        <is>
          <t>5.86%</t>
        </is>
      </c>
      <c r="C31" s="6" t="inlineStr">
        <is>
          <t>6.07%</t>
        </is>
      </c>
      <c r="D31" s="6" t="inlineStr">
        <is>
          <t>4.34%</t>
        </is>
      </c>
      <c r="E31" s="6" t="inlineStr">
        <is>
          <t>3.59%</t>
        </is>
      </c>
      <c r="F31" s="6" t="inlineStr">
        <is>
          <t>7.30%</t>
        </is>
      </c>
      <c r="G31" s="6" t="inlineStr">
        <is>
          <t>2.28%</t>
        </is>
      </c>
      <c r="H31" s="6" t="inlineStr">
        <is>
          <t>5.61%</t>
        </is>
      </c>
      <c r="I31" s="6" t="n"/>
    </row>
    <row r="32">
      <c r="A32" s="6" t="inlineStr">
        <is>
          <t>Stage 3 coverage ratio (Stage 3 impairment allowance / Stage 3 gross loans)</t>
        </is>
      </c>
      <c r="B32" s="6" t="inlineStr">
        <is>
          <t>60.83%</t>
        </is>
      </c>
      <c r="C32" s="6" t="inlineStr">
        <is>
          <t>63.83%</t>
        </is>
      </c>
      <c r="D32" s="6" t="inlineStr">
        <is>
          <t>73.44%</t>
        </is>
      </c>
      <c r="E32" s="6" t="inlineStr">
        <is>
          <t>65.77%</t>
        </is>
      </c>
      <c r="F32" s="6" t="inlineStr">
        <is>
          <t>69.06%</t>
        </is>
      </c>
      <c r="G32" s="6" t="inlineStr">
        <is>
          <t>90.03%</t>
        </is>
      </c>
      <c r="H32" s="6" t="inlineStr">
        <is>
          <t>89.22%</t>
        </is>
      </c>
      <c r="I32" s="6" t="n"/>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capital</t>
        </is>
      </c>
      <c r="B4" s="6" t="n">
        <v>1158302</v>
      </c>
      <c r="C4" s="6" t="n">
        <v>888274</v>
      </c>
      <c r="D4" s="6" t="n">
        <v>532582</v>
      </c>
      <c r="E4" s="6" t="n">
        <v>575287</v>
      </c>
      <c r="F4" s="6" t="n">
        <v>233604</v>
      </c>
      <c r="G4" s="6" t="n">
        <v>142642</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CET1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Common Equity Tier 1 (CET1) ratio</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ht="60" customHeight="1">
      <c r="A5" s="7" t="inlineStr">
        <is>
          <t>Note: FY2020 and FY2019 values are each year's own unaudited CET1 ratio disclosed in its Annual Report's 'Capital management' note (not from a Pillar 3 report - see the CET1 Capital sheet's 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capital</t>
        </is>
      </c>
      <c r="B4" s="6" t="n">
        <v>1158302</v>
      </c>
      <c r="C4" s="6" t="n">
        <v>888274</v>
      </c>
      <c r="D4" s="6" t="n">
        <v>532582</v>
      </c>
      <c r="E4" s="6" t="n">
        <v>575287</v>
      </c>
      <c r="F4" s="6" t="n">
        <v>233604</v>
      </c>
      <c r="G4" s="6" t="n">
        <v>142642</v>
      </c>
      <c r="H4" s="6" t="inlineStr">
        <is>
          <t>Not publicly disclosed</t>
        </is>
      </c>
      <c r="I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Tier 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Tier 1 ratio</t>
        </is>
      </c>
      <c r="B4" s="6" t="inlineStr">
        <is>
          <t>55.92%</t>
        </is>
      </c>
      <c r="C4" s="6" t="inlineStr">
        <is>
          <t>54.94%</t>
        </is>
      </c>
      <c r="D4" s="6" t="inlineStr">
        <is>
          <t>54.40%</t>
        </is>
      </c>
      <c r="E4" s="6" t="inlineStr">
        <is>
          <t>155.1%</t>
        </is>
      </c>
      <c r="F4" s="6" t="inlineStr">
        <is>
          <t>99%</t>
        </is>
      </c>
      <c r="G4" s="6" t="inlineStr">
        <is>
          <t>70% (unaudited)</t>
        </is>
      </c>
      <c r="H4" s="6" t="inlineStr">
        <is>
          <t>126% (unaudited)</t>
        </is>
      </c>
      <c r="I4" s="6" t="inlineStr">
        <is>
          <t>Not publicly disclosed</t>
        </is>
      </c>
    </row>
    <row r="5" ht="60" customHeight="1">
      <c r="A5" s="7" t="inlineStr">
        <is>
          <t>Note: FY2020/FY2019 shown equal to CET1 ratio (Tier 1 capital = CET1 capital in every disclosed year - see Tier 1 Capital sheet); the source itself only ever uses the term 'CET1 ratio' for these two years, never 'Tier 1 ratio' explicitly.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t>
        </is>
      </c>
      <c r="B4" s="6" t="n">
        <v>1173723</v>
      </c>
      <c r="C4" s="6" t="n">
        <v>903387</v>
      </c>
      <c r="D4" s="6" t="n">
        <v>547407</v>
      </c>
      <c r="E4" s="6" t="n">
        <v>589880</v>
      </c>
      <c r="F4" s="6" t="n">
        <v>233604</v>
      </c>
      <c r="G4" s="6" t="n">
        <v>142642</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Capital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capital ratio</t>
        </is>
      </c>
      <c r="B4" s="6" t="inlineStr">
        <is>
          <t>56.67%</t>
        </is>
      </c>
      <c r="C4" s="6" t="inlineStr">
        <is>
          <t>55.87%</t>
        </is>
      </c>
      <c r="D4" s="6" t="inlineStr">
        <is>
          <t>55.91%</t>
        </is>
      </c>
      <c r="E4" s="6" t="inlineStr">
        <is>
          <t>159.1%</t>
        </is>
      </c>
      <c r="F4" s="6" t="inlineStr">
        <is>
          <t>99%</t>
        </is>
      </c>
      <c r="G4" s="6" t="inlineStr">
        <is>
          <t>Not publicly disclosed</t>
        </is>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Total RWAs</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risk-weighted exposure amount</t>
        </is>
      </c>
      <c r="B4" s="6" t="n">
        <v>2071182</v>
      </c>
      <c r="C4" s="6" t="n">
        <v>1616928</v>
      </c>
      <c r="D4" s="6" t="n">
        <v>979042</v>
      </c>
      <c r="E4" s="6" t="n">
        <v>370849</v>
      </c>
      <c r="F4" s="6" t="n">
        <v>236653</v>
      </c>
      <c r="G4" s="6" t="n">
        <v>202708</v>
      </c>
      <c r="H4" s="6" t="inlineStr">
        <is>
          <t>Not publicly disclosed</t>
        </is>
      </c>
      <c r="I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c r="G3" s="4" t="inlineStr">
        <is>
          <t>FY2020 (MBL) (£'000)</t>
        </is>
      </c>
      <c r="H3" s="4" t="inlineStr">
        <is>
          <t>FY2019 (MBL) (£'000)</t>
        </is>
      </c>
      <c r="I3" s="4" t="inlineStr">
        <is>
          <t>FY2018 (MBL) (£'000)</t>
        </is>
      </c>
    </row>
    <row r="4">
      <c r="A4" s="6" t="inlineStr">
        <is>
          <t>Credit risk (excluding CCR)</t>
        </is>
      </c>
      <c r="B4" s="6" t="n">
        <v>1336768</v>
      </c>
      <c r="C4" s="6" t="n">
        <v>1290471</v>
      </c>
      <c r="D4" s="6" t="n">
        <v>821178</v>
      </c>
      <c r="E4" s="6" t="n">
        <v>285793</v>
      </c>
      <c r="F4" s="6" t="n">
        <v>151226</v>
      </c>
      <c r="G4" s="6" t="n">
        <v>157594</v>
      </c>
      <c r="H4" s="6" t="n"/>
      <c r="I4" s="6" t="n"/>
    </row>
    <row r="5">
      <c r="A5" s="6" t="inlineStr">
        <is>
          <t>Counterparty credit risk (CCR)</t>
        </is>
      </c>
      <c r="B5" s="6" t="n">
        <v>1031</v>
      </c>
      <c r="C5" s="6" t="n">
        <v>7052</v>
      </c>
      <c r="D5" s="6" t="n">
        <v>0</v>
      </c>
      <c r="E5" s="6" t="n">
        <v>0</v>
      </c>
      <c r="F5" s="6" t="n">
        <v>0</v>
      </c>
      <c r="G5" s="6" t="n"/>
      <c r="H5" s="6" t="n"/>
      <c r="I5" s="6" t="n"/>
    </row>
    <row r="6">
      <c r="A6" s="6" t="inlineStr">
        <is>
          <t xml:space="preserve">  of which exposures to a CCP</t>
        </is>
      </c>
      <c r="B6" s="6" t="n">
        <v>1031</v>
      </c>
      <c r="C6" s="6" t="n"/>
      <c r="D6" s="6" t="n"/>
      <c r="E6" s="6" t="n"/>
      <c r="F6" s="6" t="n"/>
      <c r="G6" s="6" t="n"/>
      <c r="H6" s="6" t="n"/>
      <c r="I6" s="6" t="n"/>
    </row>
    <row r="7">
      <c r="A7" s="6" t="inlineStr">
        <is>
          <t xml:space="preserve">  of which credit valuation adjustment (CVA)</t>
        </is>
      </c>
      <c r="B7" s="6" t="n"/>
      <c r="C7" s="6" t="n">
        <v>4371</v>
      </c>
      <c r="D7" s="6" t="n"/>
      <c r="E7" s="6" t="n"/>
      <c r="F7" s="6" t="n"/>
      <c r="G7" s="6" t="n"/>
      <c r="H7" s="6" t="n"/>
      <c r="I7" s="6" t="n"/>
    </row>
    <row r="8">
      <c r="A8" s="6" t="inlineStr">
        <is>
          <t xml:space="preserve">  of which other CCR</t>
        </is>
      </c>
      <c r="B8" s="6" t="n"/>
      <c r="C8" s="6" t="n">
        <v>2681</v>
      </c>
      <c r="D8" s="6" t="n"/>
      <c r="E8" s="6" t="n"/>
      <c r="F8" s="6" t="n"/>
      <c r="G8" s="6" t="n"/>
      <c r="H8" s="6" t="n"/>
      <c r="I8" s="6" t="n"/>
    </row>
    <row r="9">
      <c r="A9" s="6" t="inlineStr">
        <is>
          <t>Securitisation exposures (non-trading book, after the cap)</t>
        </is>
      </c>
      <c r="B9" s="6" t="n">
        <v>48405</v>
      </c>
      <c r="C9" s="6" t="n">
        <v>0</v>
      </c>
      <c r="D9" s="6" t="n">
        <v>0</v>
      </c>
      <c r="E9" s="6" t="n">
        <v>0</v>
      </c>
      <c r="F9" s="6" t="n">
        <v>0</v>
      </c>
      <c r="G9" s="6" t="n"/>
      <c r="H9" s="6" t="n"/>
      <c r="I9" s="6" t="n"/>
    </row>
    <row r="10">
      <c r="A10" s="6" t="inlineStr">
        <is>
          <t xml:space="preserve">  of which SEC-ERBA (including IAA)</t>
        </is>
      </c>
      <c r="B10" s="6" t="n">
        <v>28426</v>
      </c>
      <c r="C10" s="6" t="n"/>
      <c r="D10" s="6" t="n"/>
      <c r="E10" s="6" t="n"/>
      <c r="F10" s="6" t="n"/>
      <c r="G10" s="6" t="n"/>
      <c r="H10" s="6" t="n"/>
      <c r="I10" s="6" t="n"/>
    </row>
    <row r="11">
      <c r="A11" s="6" t="inlineStr">
        <is>
          <t xml:space="preserve">  of which SEC-SA approach</t>
        </is>
      </c>
      <c r="B11" s="6" t="n">
        <v>19979</v>
      </c>
      <c r="C11" s="6" t="n"/>
      <c r="D11" s="6" t="n"/>
      <c r="E11" s="6" t="n"/>
      <c r="F11" s="6" t="n"/>
      <c r="G11" s="6" t="n"/>
      <c r="H11" s="6" t="n"/>
      <c r="I11" s="6" t="n"/>
    </row>
    <row r="12">
      <c r="A12" s="6" t="inlineStr">
        <is>
          <t>Market risk (position, FX and commodities risks)</t>
        </is>
      </c>
      <c r="B12" s="6" t="n">
        <v>0</v>
      </c>
      <c r="C12" s="6" t="n">
        <v>0</v>
      </c>
      <c r="D12" s="6" t="n">
        <v>0</v>
      </c>
      <c r="E12" s="6" t="n">
        <v>0</v>
      </c>
      <c r="F12" s="6" t="n">
        <v>0</v>
      </c>
      <c r="G12" s="6" t="n"/>
      <c r="H12" s="6" t="n"/>
      <c r="I12" s="6" t="n"/>
    </row>
    <row r="13">
      <c r="A13" s="6" t="inlineStr">
        <is>
          <t>Operational risk</t>
        </is>
      </c>
      <c r="B13" s="6" t="n">
        <v>684978</v>
      </c>
      <c r="C13" s="6" t="n">
        <v>319405</v>
      </c>
      <c r="D13" s="6" t="n">
        <v>157864</v>
      </c>
      <c r="E13" s="6" t="n">
        <v>85056</v>
      </c>
      <c r="F13" s="6" t="n">
        <v>85427</v>
      </c>
      <c r="G13" s="6" t="n">
        <v>45114</v>
      </c>
      <c r="H13" s="6" t="n"/>
      <c r="I13" s="6" t="n"/>
    </row>
    <row r="14">
      <c r="A14" s="6" t="inlineStr">
        <is>
          <t>Amounts below thresholds for deduction (subject to 250% risk weight, for information)</t>
        </is>
      </c>
      <c r="B14" s="6" t="n">
        <v>0</v>
      </c>
      <c r="C14" s="6" t="n">
        <v>8688</v>
      </c>
      <c r="D14" s="6" t="n">
        <v>5797</v>
      </c>
      <c r="E14" s="6" t="n">
        <v>0</v>
      </c>
      <c r="F14" s="6" t="n">
        <v>0</v>
      </c>
      <c r="G14" s="6" t="n"/>
      <c r="H14" s="6" t="n"/>
      <c r="I14" s="6" t="n"/>
    </row>
    <row r="15">
      <c r="A15" s="5" t="inlineStr">
        <is>
          <t>Total risk-weighted exposure amount (RWEAs)</t>
        </is>
      </c>
      <c r="B15" s="5" t="n">
        <v>2071182</v>
      </c>
      <c r="C15" s="5" t="n">
        <v>1616928</v>
      </c>
      <c r="D15" s="5" t="n">
        <v>979042</v>
      </c>
      <c r="E15" s="5" t="n">
        <v>370849</v>
      </c>
      <c r="F15" s="5" t="n">
        <v>236653</v>
      </c>
      <c r="G15" s="5" t="n">
        <v>202708</v>
      </c>
      <c r="H15" s="5" t="n"/>
      <c r="I15" s="5" t="n"/>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I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Leverage Ratio</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exposure measure excluding claims on central banks</t>
        </is>
      </c>
      <c r="B4" s="6" t="n">
        <v>7459493</v>
      </c>
      <c r="C4" s="6" t="n">
        <v>5550297</v>
      </c>
      <c r="D4" s="6" t="n">
        <v>3763096</v>
      </c>
      <c r="E4" s="6" t="n"/>
      <c r="F4" s="6" t="n">
        <v>796590</v>
      </c>
      <c r="G4" s="6" t="n">
        <v>1764243</v>
      </c>
      <c r="H4" s="6" t="n"/>
      <c r="I4" s="6" t="n"/>
    </row>
    <row r="5">
      <c r="A5" s="6" t="inlineStr">
        <is>
          <t>Leverage ratio excluding claims on central banks (%)</t>
        </is>
      </c>
      <c r="B5" s="6" t="inlineStr">
        <is>
          <t>15.53%</t>
        </is>
      </c>
      <c r="C5" s="6" t="inlineStr">
        <is>
          <t>16.00%</t>
        </is>
      </c>
      <c r="D5" s="6" t="inlineStr">
        <is>
          <t>14.15%</t>
        </is>
      </c>
      <c r="E5" s="6" t="n"/>
      <c r="F5" s="6" t="inlineStr">
        <is>
          <t>29.3%</t>
        </is>
      </c>
      <c r="G5" s="6" t="inlineStr">
        <is>
          <t>8.1%</t>
        </is>
      </c>
      <c r="H5" s="6" t="inlineStr">
        <is>
          <t>Not publicly disclosed</t>
        </is>
      </c>
      <c r="I5" s="6" t="inlineStr">
        <is>
          <t>Not publicly disclosed</t>
        </is>
      </c>
    </row>
    <row r="6">
      <c r="A6" s="6" t="inlineStr">
        <is>
          <t>Leverage ratio total exposure measure - 2022 KM1 format, basis not specified in source</t>
        </is>
      </c>
      <c r="B6" s="6" t="n"/>
      <c r="C6" s="6" t="n"/>
      <c r="D6" s="6" t="n"/>
      <c r="E6" s="6" t="n">
        <v>2238857</v>
      </c>
      <c r="F6" s="6" t="n"/>
      <c r="G6" s="6" t="n"/>
      <c r="H6" s="6" t="n"/>
      <c r="I6" s="6" t="n"/>
    </row>
    <row r="7">
      <c r="A7" s="6" t="inlineStr">
        <is>
          <t>Leverage ratio (%) - 2022 KM1 format, basis not specified in source</t>
        </is>
      </c>
      <c r="B7" s="6" t="n"/>
      <c r="C7" s="6" t="n"/>
      <c r="D7" s="6" t="n"/>
      <c r="E7" s="6" t="inlineStr">
        <is>
          <t>25.7%</t>
        </is>
      </c>
      <c r="F7" s="6" t="n"/>
      <c r="G7" s="6" t="n"/>
      <c r="H7" s="6" t="n"/>
      <c r="I7" s="6" t="n"/>
    </row>
    <row r="8">
      <c r="A8" s="6" t="inlineStr">
        <is>
          <t>Total exposure measure including claims on central banks (CRR basis, retired from FY2022)</t>
        </is>
      </c>
      <c r="B8" s="6" t="n"/>
      <c r="C8" s="6" t="n"/>
      <c r="D8" s="6" t="n"/>
      <c r="E8" s="6" t="n"/>
      <c r="F8" s="6" t="n">
        <v>3667694</v>
      </c>
      <c r="G8" s="6" t="n"/>
      <c r="H8" s="6" t="n"/>
      <c r="I8" s="6" t="n"/>
    </row>
    <row r="9">
      <c r="A9" s="6" t="inlineStr">
        <is>
          <t>Leverage ratio including claims on central banks (%) (CRR basis, retired from FY2022)</t>
        </is>
      </c>
      <c r="B9" s="6" t="n"/>
      <c r="C9" s="6" t="n"/>
      <c r="D9" s="6" t="n"/>
      <c r="E9" s="6" t="n"/>
      <c r="F9" s="6" t="inlineStr">
        <is>
          <t>6.4%</t>
        </is>
      </c>
      <c r="G9" s="6" t="n"/>
      <c r="H9" s="6" t="n"/>
      <c r="I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I10"/>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LCR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high-quality liquid assets / liquidity buffer (weighted value)</t>
        </is>
      </c>
      <c r="B4" s="6" t="n">
        <v>13124870</v>
      </c>
      <c r="C4" s="6" t="n">
        <v>7651328</v>
      </c>
      <c r="D4" s="6" t="n">
        <v>5103316</v>
      </c>
      <c r="E4" s="6" t="n">
        <v>4600376</v>
      </c>
      <c r="F4" s="6" t="n">
        <v>3212266</v>
      </c>
      <c r="G4" s="6" t="n">
        <v>1415419</v>
      </c>
      <c r="H4" s="6" t="n"/>
      <c r="I4" s="6" t="n"/>
    </row>
    <row r="5">
      <c r="A5" s="6" t="inlineStr">
        <is>
          <t>Total net cash outflows (adjusted value)</t>
        </is>
      </c>
      <c r="B5" s="6" t="n">
        <v>1133118</v>
      </c>
      <c r="C5" s="6" t="n">
        <v>1070436</v>
      </c>
      <c r="D5" s="6" t="n">
        <v>671159</v>
      </c>
      <c r="E5" s="6" t="n">
        <v>428980</v>
      </c>
      <c r="F5" s="6" t="n">
        <v>355375</v>
      </c>
      <c r="G5" s="6" t="n">
        <v>183675</v>
      </c>
      <c r="H5" s="6" t="n"/>
      <c r="I5" s="6" t="n"/>
    </row>
    <row r="6">
      <c r="A6" s="6" t="inlineStr">
        <is>
          <t>Liquidity Coverage Ratio (%)</t>
        </is>
      </c>
      <c r="B6" s="6" t="inlineStr">
        <is>
          <t>1,178.76%</t>
        </is>
      </c>
      <c r="C6" s="6" t="inlineStr">
        <is>
          <t>724.51%</t>
        </is>
      </c>
      <c r="D6" s="6" t="inlineStr">
        <is>
          <t>760.4%</t>
        </is>
      </c>
      <c r="E6" s="6" t="inlineStr">
        <is>
          <t>1,072.4%</t>
        </is>
      </c>
      <c r="F6" s="6" t="inlineStr">
        <is>
          <t>904%</t>
        </is>
      </c>
      <c r="G6" s="6" t="inlineStr">
        <is>
          <t>771%</t>
        </is>
      </c>
      <c r="H6" s="6" t="inlineStr">
        <is>
          <t>Not publicly disclosed</t>
        </is>
      </c>
      <c r="I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FY2018-19's Annual Reports each only say liquidity 'was significantly in excess of all liquidity targets' throughout the year, with no numeric LCR disclosed.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NSFR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Total available stable funding</t>
        </is>
      </c>
      <c r="B4" s="6" t="n">
        <v>14543697</v>
      </c>
      <c r="C4" s="6" t="n">
        <v>9139028</v>
      </c>
      <c r="D4" s="6" t="n">
        <v>6055616</v>
      </c>
      <c r="E4" s="6" t="n">
        <v>4703076</v>
      </c>
      <c r="F4" s="6" t="n"/>
      <c r="G4" s="6" t="n"/>
      <c r="H4" s="6" t="n"/>
      <c r="I4" s="6" t="n"/>
    </row>
    <row r="5">
      <c r="A5" s="6" t="inlineStr">
        <is>
          <t>Total required stable funding</t>
        </is>
      </c>
      <c r="B5" s="6" t="n">
        <v>1807551</v>
      </c>
      <c r="C5" s="6" t="n">
        <v>1345619</v>
      </c>
      <c r="D5" s="6" t="n">
        <v>835938</v>
      </c>
      <c r="E5" s="6" t="n">
        <v>444598</v>
      </c>
      <c r="F5" s="6" t="n"/>
      <c r="G5" s="6" t="n"/>
      <c r="H5" s="6" t="n"/>
      <c r="I5" s="6" t="n"/>
    </row>
    <row r="6">
      <c r="A6" s="6" t="inlineStr">
        <is>
          <t>Net Stable Funding Ratio (%)</t>
        </is>
      </c>
      <c r="B6" s="6" t="inlineStr">
        <is>
          <t>843.98%</t>
        </is>
      </c>
      <c r="C6" s="6" t="inlineStr">
        <is>
          <t>680.81%</t>
        </is>
      </c>
      <c r="D6" s="6" t="inlineStr">
        <is>
          <t>724.4%</t>
        </is>
      </c>
      <c r="E6" s="6" t="inlineStr">
        <is>
          <t>1,057.8%</t>
        </is>
      </c>
      <c r="F6" s="6" t="inlineStr">
        <is>
          <t>Not disclosed</t>
        </is>
      </c>
      <c r="G6" s="6" t="inlineStr">
        <is>
          <t>Not publicly disclosed</t>
        </is>
      </c>
      <c r="H6" s="6" t="inlineStr">
        <is>
          <t>Not publicly disclosed</t>
        </is>
      </c>
      <c r="I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MREL Ratio</t>
        </is>
      </c>
    </row>
    <row r="2">
      <c r="A2" s="2" t="inlineStr"/>
    </row>
    <row r="3">
      <c r="A3" s="4" t="inlineStr">
        <is>
          <t>Metric</t>
        </is>
      </c>
      <c r="B3" s="4" t="inlineStr">
        <is>
          <t>FY2025 (MBHG)</t>
        </is>
      </c>
      <c r="C3" s="4" t="inlineStr">
        <is>
          <t>FY2024 (MBHG)*</t>
        </is>
      </c>
      <c r="D3" s="4" t="inlineStr">
        <is>
          <t>FY2023 (MBL)</t>
        </is>
      </c>
      <c r="E3" s="4" t="inlineStr">
        <is>
          <t>FY2022 (MBL)</t>
        </is>
      </c>
      <c r="F3" s="4" t="inlineStr">
        <is>
          <t>FY2021 (MBL)</t>
        </is>
      </c>
      <c r="G3" s="4" t="inlineStr">
        <is>
          <t>FY2020 (MBL)</t>
        </is>
      </c>
      <c r="H3" s="4" t="inlineStr">
        <is>
          <t>FY2019 (MBL)</t>
        </is>
      </c>
      <c r="I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publicly disclosed</t>
        </is>
      </c>
      <c r="H4" s="6" t="inlineStr">
        <is>
          <t>Not publicly disclosed</t>
        </is>
      </c>
      <c r="I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2026-09-07T16:50:10Z</dcterms:created>
  <dcterms:modified xmlns:dcterms="http://purl.org/dc/terms/" xmlns:xsi="http://www.w3.org/2001/XMLSchema-instance" xsi:type="dcterms:W3CDTF">2026-09-07T16:50:10Z</dcterms:modified>
</cp:coreProperties>
</file>