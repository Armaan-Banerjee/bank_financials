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K8" t="n">
        <v>104</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K9" t="n">
        <v>15.5</v>
      </c>
      <c r="BM9" t="n">
        <v>29.3</v>
      </c>
      <c r="BN9" t="n">
        <v>25.7</v>
      </c>
      <c r="BO9" t="n">
        <v>14.15</v>
      </c>
      <c r="BP9" t="n">
        <v>16</v>
      </c>
      <c r="BQ9" t="n">
        <v>15.53</v>
      </c>
      <c r="BR9" t="n">
        <v>10.33</v>
      </c>
    </row>
    <row r="10">
      <c r="BI10" t="inlineStr">
        <is>
          <t>LCR</t>
        </is>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 / 104%</t>
        </is>
      </c>
      <c r="J33" s="6" t="inlineStr">
        <is>
          <t>Not publicly disclosed</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 / 104%</t>
        </is>
      </c>
      <c r="J34" s="6" t="inlineStr">
        <is>
          <t>Not publicly disclosed</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Not publicly disclosed</t>
        </is>
      </c>
      <c r="I35" s="6" t="inlineStr">
        <is>
          <t>104%</t>
        </is>
      </c>
      <c r="J35" s="6" t="inlineStr">
        <is>
          <t>Not publicly disclosed</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Not publicly disclosed</t>
        </is>
      </c>
      <c r="I36" s="6" t="inlineStr">
        <is>
          <t>15.5%</t>
        </is>
      </c>
      <c r="J36" s="6" t="inlineStr">
        <is>
          <t>Not publicly disclosed</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Not publicly disclosed</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1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78:G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Gross loans and advances to customers, by product</t>
        </is>
      </c>
      <c r="B4" s="6" t="n"/>
      <c r="C4" s="6" t="n"/>
      <c r="D4" s="6" t="n"/>
      <c r="E4" s="6" t="n"/>
      <c r="F4" s="6" t="n"/>
      <c r="G4" s="6" t="n"/>
      <c r="H4" s="6" t="n"/>
      <c r="I4" s="6" t="n"/>
      <c r="J4" s="6" t="n"/>
    </row>
    <row r="5">
      <c r="A5" s="6" t="inlineStr">
        <is>
          <t>Overdrafts and overdrawn balances</t>
        </is>
      </c>
      <c r="B5" s="6" t="n">
        <v>545434</v>
      </c>
      <c r="C5" s="6" t="n">
        <v>402876</v>
      </c>
      <c r="D5" s="6" t="n">
        <v>318960</v>
      </c>
      <c r="E5" s="6" t="n">
        <v>197104</v>
      </c>
      <c r="F5" s="6" t="n">
        <v>100911</v>
      </c>
      <c r="G5" s="6" t="n">
        <v>56818</v>
      </c>
      <c r="H5" s="6" t="n"/>
      <c r="I5" s="6" t="n"/>
      <c r="J5" s="6" t="n"/>
    </row>
    <row r="6">
      <c r="A6" s="6" t="inlineStr">
        <is>
          <t>Loans</t>
        </is>
      </c>
      <c r="B6" s="6" t="n">
        <v>1253146</v>
      </c>
      <c r="C6" s="6" t="n">
        <v>897426</v>
      </c>
      <c r="D6" s="6" t="n">
        <v>683976</v>
      </c>
      <c r="E6" s="6" t="n">
        <v>393349</v>
      </c>
      <c r="F6" s="6" t="n">
        <v>157896</v>
      </c>
      <c r="G6" s="6" t="n">
        <v>47772</v>
      </c>
      <c r="H6" s="6" t="n"/>
      <c r="I6" s="6" t="n"/>
      <c r="J6" s="6" t="n"/>
    </row>
    <row r="7">
      <c r="A7" s="6" t="inlineStr">
        <is>
          <t>Flex Loans</t>
        </is>
      </c>
      <c r="B7" s="6" t="n">
        <v>842780</v>
      </c>
      <c r="C7" s="6" t="n">
        <v>553394</v>
      </c>
      <c r="D7" s="6" t="n">
        <v>391286</v>
      </c>
      <c r="E7" s="6" t="n">
        <v>169281</v>
      </c>
      <c r="F7" s="6" t="n"/>
      <c r="G7" s="6" t="n"/>
      <c r="H7" s="6" t="n"/>
      <c r="I7" s="6" t="n"/>
      <c r="J7" s="6" t="n"/>
    </row>
    <row r="8">
      <c r="A8" s="5" t="inlineStr">
        <is>
          <t>Total gross loans and advances to customers</t>
        </is>
      </c>
      <c r="B8" s="5" t="n">
        <v>2641360</v>
      </c>
      <c r="C8" s="5" t="n">
        <v>1853696</v>
      </c>
      <c r="D8" s="5" t="n">
        <v>1394222</v>
      </c>
      <c r="E8" s="5" t="n">
        <v>759734</v>
      </c>
      <c r="F8" s="5" t="n">
        <v>258807</v>
      </c>
      <c r="G8" s="5" t="n">
        <v>104590</v>
      </c>
      <c r="H8" s="5" t="n"/>
      <c r="I8" s="5" t="n"/>
      <c r="J8" s="5" t="n"/>
    </row>
    <row r="9">
      <c r="A9" s="5" t="inlineStr">
        <is>
          <t>Impairment loss allowance (ECL), by product</t>
        </is>
      </c>
      <c r="B9" s="6" t="n"/>
      <c r="C9" s="6" t="n"/>
      <c r="D9" s="6" t="n"/>
      <c r="E9" s="6" t="n"/>
      <c r="F9" s="6" t="n"/>
      <c r="G9" s="6" t="n"/>
      <c r="H9" s="6" t="n"/>
      <c r="I9" s="6" t="n"/>
      <c r="J9" s="6" t="n"/>
    </row>
    <row r="10">
      <c r="A10" s="6" t="inlineStr">
        <is>
          <t>Overdrafts and overdrawn balances</t>
        </is>
      </c>
      <c r="B10" s="6" t="n">
        <v>-111998</v>
      </c>
      <c r="C10" s="6" t="n">
        <v>-83013</v>
      </c>
      <c r="D10" s="6" t="n">
        <v>-61938</v>
      </c>
      <c r="E10" s="6" t="n">
        <v>-36266</v>
      </c>
      <c r="F10" s="6" t="n">
        <v>-15179</v>
      </c>
      <c r="G10" s="6" t="n">
        <v>-12600</v>
      </c>
      <c r="H10" s="6" t="n"/>
      <c r="I10" s="6" t="n"/>
      <c r="J10" s="6" t="n"/>
    </row>
    <row r="11">
      <c r="A11" s="6" t="inlineStr">
        <is>
          <t>Loans</t>
        </is>
      </c>
      <c r="B11" s="6" t="n">
        <v>-97528</v>
      </c>
      <c r="C11" s="6" t="n">
        <v>-81429</v>
      </c>
      <c r="D11" s="6" t="n">
        <v>-75892</v>
      </c>
      <c r="E11" s="6" t="n">
        <v>-33247</v>
      </c>
      <c r="F11" s="6" t="n">
        <v>-8545</v>
      </c>
      <c r="G11" s="6" t="n">
        <v>-4843</v>
      </c>
      <c r="H11" s="6" t="n"/>
      <c r="I11" s="6" t="n"/>
      <c r="J11" s="6" t="n"/>
    </row>
    <row r="12">
      <c r="A12" s="6" t="inlineStr">
        <is>
          <t>Flex Loans</t>
        </is>
      </c>
      <c r="B12" s="6" t="n">
        <v>-119909</v>
      </c>
      <c r="C12" s="6" t="n">
        <v>-86784</v>
      </c>
      <c r="D12" s="6" t="n">
        <v>-66177</v>
      </c>
      <c r="E12" s="6" t="n">
        <v>-36488</v>
      </c>
      <c r="F12" s="6" t="n"/>
      <c r="G12" s="6" t="n"/>
      <c r="H12" s="6" t="n"/>
      <c r="I12" s="6" t="n"/>
      <c r="J12" s="6" t="n"/>
    </row>
    <row r="13">
      <c r="A13" s="5" t="inlineStr">
        <is>
          <t>Total impairment loss allowance</t>
        </is>
      </c>
      <c r="B13" s="5" t="n">
        <v>-329435</v>
      </c>
      <c r="C13" s="5" t="n">
        <v>-251226</v>
      </c>
      <c r="D13" s="5" t="n">
        <v>-204007</v>
      </c>
      <c r="E13" s="5" t="n">
        <v>-106001</v>
      </c>
      <c r="F13" s="5" t="n">
        <v>-23724</v>
      </c>
      <c r="G13" s="5" t="n">
        <v>-17443</v>
      </c>
      <c r="H13" s="5" t="n"/>
      <c r="I13" s="5" t="n"/>
      <c r="J13" s="5" t="n"/>
    </row>
    <row r="14">
      <c r="A14" s="5" t="inlineStr">
        <is>
          <t>Net loans and advances to customers, by product</t>
        </is>
      </c>
      <c r="B14" s="6" t="n"/>
      <c r="C14" s="6" t="n"/>
      <c r="D14" s="6" t="n"/>
      <c r="E14" s="6" t="n"/>
      <c r="F14" s="6" t="n"/>
      <c r="G14" s="6" t="n"/>
      <c r="H14" s="6" t="n"/>
      <c r="I14" s="6" t="n"/>
      <c r="J14" s="6" t="n"/>
    </row>
    <row r="15">
      <c r="A15" s="6" t="inlineStr">
        <is>
          <t>Overdrafts and overdrawn balances</t>
        </is>
      </c>
      <c r="B15" s="6" t="n">
        <v>433436</v>
      </c>
      <c r="C15" s="6" t="n">
        <v>319863</v>
      </c>
      <c r="D15" s="6" t="n">
        <v>257022</v>
      </c>
      <c r="E15" s="6" t="n">
        <v>160838</v>
      </c>
      <c r="F15" s="6" t="n">
        <v>85732</v>
      </c>
      <c r="G15" s="6" t="n">
        <v>44218</v>
      </c>
      <c r="H15" s="6" t="n"/>
      <c r="I15" s="6" t="n"/>
      <c r="J15" s="6" t="n"/>
    </row>
    <row r="16">
      <c r="A16" s="6" t="inlineStr">
        <is>
          <t>Loans</t>
        </is>
      </c>
      <c r="B16" s="6" t="n">
        <v>1155618</v>
      </c>
      <c r="C16" s="6" t="n">
        <v>815997</v>
      </c>
      <c r="D16" s="6" t="n">
        <v>608084</v>
      </c>
      <c r="E16" s="6" t="n">
        <v>360102</v>
      </c>
      <c r="F16" s="6" t="n">
        <v>149351</v>
      </c>
      <c r="G16" s="6" t="n">
        <v>42929</v>
      </c>
      <c r="H16" s="6" t="n"/>
      <c r="I16" s="6" t="n"/>
      <c r="J16" s="6" t="n"/>
    </row>
    <row r="17">
      <c r="A17" s="6" t="inlineStr">
        <is>
          <t>Flex Loans</t>
        </is>
      </c>
      <c r="B17" s="6" t="n">
        <v>722871</v>
      </c>
      <c r="C17" s="6" t="n">
        <v>466610</v>
      </c>
      <c r="D17" s="6" t="n">
        <v>325109</v>
      </c>
      <c r="E17" s="6" t="n">
        <v>132793</v>
      </c>
      <c r="F17" s="6" t="n"/>
      <c r="G17" s="6" t="n"/>
      <c r="H17" s="6" t="n"/>
      <c r="I17" s="6" t="n"/>
      <c r="J17" s="6" t="n"/>
    </row>
    <row r="18">
      <c r="A18" s="5" t="inlineStr">
        <is>
          <t>Total net loans and advances to customers</t>
        </is>
      </c>
      <c r="B18" s="5" t="n">
        <v>2311925</v>
      </c>
      <c r="C18" s="5" t="n">
        <v>1602470</v>
      </c>
      <c r="D18" s="5" t="n">
        <v>1190215</v>
      </c>
      <c r="E18" s="5" t="n">
        <v>653733</v>
      </c>
      <c r="F18" s="5" t="n">
        <v>235083</v>
      </c>
      <c r="G18" s="5" t="n">
        <v>87147</v>
      </c>
      <c r="H18" s="5" t="n"/>
      <c r="I18" s="5" t="n"/>
      <c r="J18" s="5" t="n"/>
    </row>
    <row r="19">
      <c r="A19" s="5" t="inlineStr">
        <is>
          <t>Gross loans and advances to customers, by IFRS 9 stage</t>
        </is>
      </c>
      <c r="B19" s="6" t="n"/>
      <c r="C19" s="6" t="n"/>
      <c r="D19" s="6" t="n"/>
      <c r="E19" s="6" t="n"/>
      <c r="F19" s="6" t="n"/>
      <c r="G19" s="6" t="n"/>
      <c r="H19" s="6" t="n"/>
      <c r="I19" s="6" t="n"/>
      <c r="J19" s="6" t="n"/>
    </row>
    <row r="20">
      <c r="A20" s="6" t="inlineStr">
        <is>
          <t>Stage 1 (performing)</t>
        </is>
      </c>
      <c r="B20" s="6" t="n">
        <v>1983688</v>
      </c>
      <c r="C20" s="6" t="n">
        <v>1347607</v>
      </c>
      <c r="D20" s="6" t="n">
        <v>1103258</v>
      </c>
      <c r="E20" s="6" t="n">
        <v>598627</v>
      </c>
      <c r="F20" s="6" t="n">
        <v>189761</v>
      </c>
      <c r="G20" s="6" t="n">
        <v>60059</v>
      </c>
      <c r="H20" s="6" t="n">
        <v>107480</v>
      </c>
      <c r="I20" s="6" t="n">
        <v>14804</v>
      </c>
      <c r="J20" s="6" t="n"/>
    </row>
    <row r="21">
      <c r="A21" s="6" t="inlineStr">
        <is>
          <t>Stage 2 (underperforming)</t>
        </is>
      </c>
      <c r="B21" s="6" t="n">
        <v>503666</v>
      </c>
      <c r="C21" s="6" t="n">
        <v>397399</v>
      </c>
      <c r="D21" s="6" t="n">
        <v>206174</v>
      </c>
      <c r="E21" s="6" t="n">
        <v>128104</v>
      </c>
      <c r="F21" s="6" t="n">
        <v>59765</v>
      </c>
      <c r="G21" s="6" t="n">
        <v>36901</v>
      </c>
      <c r="H21" s="6" t="n">
        <v>33150</v>
      </c>
      <c r="I21" s="6" t="n">
        <v>3293</v>
      </c>
      <c r="J21" s="6" t="n"/>
    </row>
    <row r="22">
      <c r="A22" s="6" t="inlineStr">
        <is>
          <t>Stage 3 (credit-impaired)</t>
        </is>
      </c>
      <c r="B22" s="6" t="n">
        <v>154006</v>
      </c>
      <c r="C22" s="6" t="n">
        <v>108690</v>
      </c>
      <c r="D22" s="6" t="n">
        <v>84573</v>
      </c>
      <c r="E22" s="6" t="n">
        <v>33003</v>
      </c>
      <c r="F22" s="6" t="n">
        <v>9281</v>
      </c>
      <c r="G22" s="6" t="n">
        <v>7630</v>
      </c>
      <c r="H22" s="6" t="n">
        <v>3279</v>
      </c>
      <c r="I22" s="6" t="n">
        <v>1076</v>
      </c>
      <c r="J22" s="6" t="n"/>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c r="J23" s="5" t="n"/>
    </row>
    <row r="24">
      <c r="A24" s="5" t="inlineStr">
        <is>
          <t>Impairment loss allowance, by IFRS 9 stage</t>
        </is>
      </c>
      <c r="B24" s="6" t="n"/>
      <c r="C24" s="6" t="n"/>
      <c r="D24" s="6" t="n"/>
      <c r="E24" s="6" t="n"/>
      <c r="F24" s="6" t="n"/>
      <c r="G24" s="6" t="n"/>
      <c r="H24" s="6" t="n"/>
      <c r="I24" s="6" t="n"/>
      <c r="J24" s="6" t="n"/>
    </row>
    <row r="25">
      <c r="A25" s="6" t="inlineStr">
        <is>
          <t>Stage 1 (performing)</t>
        </is>
      </c>
      <c r="B25" s="6" t="n">
        <v>-85526</v>
      </c>
      <c r="C25" s="6" t="n">
        <v>-54783</v>
      </c>
      <c r="D25" s="6" t="n">
        <v>-69167</v>
      </c>
      <c r="E25" s="6" t="n">
        <v>-43742</v>
      </c>
      <c r="F25" s="6" t="n">
        <v>-7855</v>
      </c>
      <c r="G25" s="6" t="n">
        <v>-2833</v>
      </c>
      <c r="H25" s="6" t="n">
        <v>-7399</v>
      </c>
      <c r="I25" s="6" t="n">
        <v>-1198</v>
      </c>
      <c r="J25" s="6" t="n"/>
    </row>
    <row r="26">
      <c r="A26" s="6" t="inlineStr">
        <is>
          <t>Stage 2 (underperforming)</t>
        </is>
      </c>
      <c r="B26" s="6" t="n">
        <v>-154382</v>
      </c>
      <c r="C26" s="6" t="n">
        <v>-130326</v>
      </c>
      <c r="D26" s="6" t="n">
        <v>-80852</v>
      </c>
      <c r="E26" s="6" t="n">
        <v>-38022</v>
      </c>
      <c r="F26" s="6" t="n">
        <v>-9765</v>
      </c>
      <c r="G26" s="6" t="n">
        <v>-9341</v>
      </c>
      <c r="H26" s="6" t="n">
        <v>-9645</v>
      </c>
      <c r="I26" s="6" t="n">
        <v>-961</v>
      </c>
      <c r="J26" s="6" t="n"/>
    </row>
    <row r="27">
      <c r="A27" s="6" t="inlineStr">
        <is>
          <t>Stage 3 (credit-impaired)</t>
        </is>
      </c>
      <c r="B27" s="6" t="n">
        <v>-89527</v>
      </c>
      <c r="C27" s="6" t="n">
        <v>-66117</v>
      </c>
      <c r="D27" s="6" t="n">
        <v>-53988</v>
      </c>
      <c r="E27" s="6" t="n">
        <v>-24237</v>
      </c>
      <c r="F27" s="6" t="n">
        <v>-6104</v>
      </c>
      <c r="G27" s="6" t="n">
        <v>-5269</v>
      </c>
      <c r="H27" s="6" t="n">
        <v>-2952</v>
      </c>
      <c r="I27" s="6" t="n">
        <v>-960</v>
      </c>
      <c r="J27" s="6" t="n"/>
    </row>
    <row r="28">
      <c r="A28" s="5" t="inlineStr">
        <is>
          <t>Total impairment loss allowance (by stage)</t>
        </is>
      </c>
      <c r="B28" s="5" t="n">
        <v>-329435</v>
      </c>
      <c r="C28" s="5" t="n">
        <v>-251226</v>
      </c>
      <c r="D28" s="5" t="n">
        <v>-204007</v>
      </c>
      <c r="E28" s="5" t="n">
        <v>-106001</v>
      </c>
      <c r="F28" s="5" t="n">
        <v>-23724</v>
      </c>
      <c r="G28" s="5" t="n">
        <v>-17443</v>
      </c>
      <c r="H28" s="5" t="n">
        <v>-19996</v>
      </c>
      <c r="I28" s="5" t="n">
        <v>-3119</v>
      </c>
      <c r="J28" s="5" t="n"/>
    </row>
    <row r="29">
      <c r="A29" s="5" t="inlineStr">
        <is>
          <t>Asset quality ratios</t>
        </is>
      </c>
      <c r="B29" s="6" t="n"/>
      <c r="C29" s="6" t="n"/>
      <c r="D29" s="6" t="n"/>
      <c r="E29" s="6" t="n"/>
      <c r="F29" s="6" t="n"/>
      <c r="G29" s="6" t="n"/>
      <c r="H29" s="6" t="n"/>
      <c r="I29" s="6" t="n"/>
      <c r="J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c r="J30" s="6" t="n"/>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c r="J31" s="6" t="n"/>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c r="J32" s="6" t="n"/>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J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are blank because Monzo has never published a KM1 column for those dates, on any basis, in any edition - re-confirmed 2026-09-17, see the source note.</t>
        </is>
      </c>
    </row>
    <row r="3">
      <c r="A3" s="4" t="inlineStr">
        <is>
          <t>Line item</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5" t="inlineStr">
        <is>
          <t>Available own funds (amounts, £'000)</t>
        </is>
      </c>
      <c r="B4" s="6" t="n"/>
      <c r="C4" s="6" t="n"/>
      <c r="D4" s="6" t="n"/>
      <c r="E4" s="6" t="n"/>
      <c r="F4" s="6" t="n"/>
      <c r="G4" s="6" t="n"/>
      <c r="H4" s="6" t="n"/>
      <c r="I4" s="6" t="n"/>
      <c r="J4" s="6" t="n"/>
    </row>
    <row r="5">
      <c r="A5" s="6" t="inlineStr">
        <is>
          <t>1    Common Equity Tier 1 (CET1) capital</t>
        </is>
      </c>
      <c r="B5" s="6" t="n">
        <v>1276002</v>
      </c>
      <c r="C5" s="6" t="n">
        <v>1158302</v>
      </c>
      <c r="D5" s="6" t="n">
        <v>888274</v>
      </c>
      <c r="E5" s="6" t="n">
        <v>532582</v>
      </c>
      <c r="F5" s="6" t="n">
        <v>575287</v>
      </c>
      <c r="G5" s="6" t="n"/>
      <c r="H5" s="6" t="n"/>
      <c r="I5" s="6" t="n"/>
      <c r="J5" s="6" t="n"/>
    </row>
    <row r="6">
      <c r="A6" s="6" t="inlineStr">
        <is>
          <t>2    Tier 1 capital</t>
        </is>
      </c>
      <c r="B6" s="6" t="n">
        <v>1276002</v>
      </c>
      <c r="C6" s="6" t="n">
        <v>1158302</v>
      </c>
      <c r="D6" s="6" t="n">
        <v>888274</v>
      </c>
      <c r="E6" s="6" t="n">
        <v>532582</v>
      </c>
      <c r="F6" s="6" t="n">
        <v>575287</v>
      </c>
      <c r="G6" s="6" t="n"/>
      <c r="H6" s="6" t="n"/>
      <c r="I6" s="6" t="n"/>
      <c r="J6" s="6" t="n"/>
    </row>
    <row r="7">
      <c r="A7" s="6" t="inlineStr">
        <is>
          <t>3    Total capital</t>
        </is>
      </c>
      <c r="B7" s="6" t="n">
        <v>1291772</v>
      </c>
      <c r="C7" s="6" t="n">
        <v>1173723</v>
      </c>
      <c r="D7" s="6" t="n">
        <v>903387</v>
      </c>
      <c r="E7" s="6" t="n">
        <v>547407</v>
      </c>
      <c r="F7" s="6" t="n">
        <v>589880</v>
      </c>
      <c r="G7" s="6" t="n"/>
      <c r="H7" s="6" t="n"/>
      <c r="I7" s="6" t="n"/>
      <c r="J7" s="6" t="n"/>
    </row>
    <row r="8">
      <c r="A8" s="5" t="inlineStr">
        <is>
          <t>Risk-weighted exposure amounts (£'000)</t>
        </is>
      </c>
      <c r="B8" s="6" t="n"/>
      <c r="C8" s="6" t="n"/>
      <c r="D8" s="6" t="n"/>
      <c r="E8" s="6" t="n"/>
      <c r="F8" s="6" t="n"/>
      <c r="G8" s="6" t="n"/>
      <c r="H8" s="6" t="n"/>
      <c r="I8" s="6" t="n"/>
      <c r="J8" s="6" t="n"/>
    </row>
    <row r="9">
      <c r="A9" s="6" t="inlineStr">
        <is>
          <t>4    Total risk-weighted exposure amount</t>
        </is>
      </c>
      <c r="B9" s="6" t="n">
        <v>3814585</v>
      </c>
      <c r="C9" s="6" t="n">
        <v>2071182</v>
      </c>
      <c r="D9" s="6" t="n">
        <v>1616928</v>
      </c>
      <c r="E9" s="6" t="n">
        <v>979042</v>
      </c>
      <c r="F9" s="6" t="n">
        <v>370849</v>
      </c>
      <c r="G9" s="6" t="n"/>
      <c r="H9" s="6" t="n"/>
      <c r="I9" s="6" t="n"/>
      <c r="J9" s="6" t="n"/>
    </row>
    <row r="10">
      <c r="A10" s="5" t="inlineStr">
        <is>
          <t>Capital ratios (as a percentage of risk-weighted exposure amount)</t>
        </is>
      </c>
      <c r="B10" s="6" t="n"/>
      <c r="C10" s="6" t="n"/>
      <c r="D10" s="6" t="n"/>
      <c r="E10" s="6" t="n"/>
      <c r="F10" s="6" t="n"/>
      <c r="G10" s="6" t="n"/>
      <c r="H10" s="6" t="n"/>
      <c r="I10" s="6" t="n"/>
      <c r="J10" s="6" t="n"/>
    </row>
    <row r="11">
      <c r="A11" s="6" t="inlineStr">
        <is>
          <t>5    Common Equity Tier 1 ratio (%)</t>
        </is>
      </c>
      <c r="B11" s="6" t="inlineStr">
        <is>
          <t>33.45%</t>
        </is>
      </c>
      <c r="C11" s="6" t="inlineStr">
        <is>
          <t>55.92%</t>
        </is>
      </c>
      <c r="D11" s="6" t="inlineStr">
        <is>
          <t>54.94%</t>
        </is>
      </c>
      <c r="E11" s="6" t="inlineStr">
        <is>
          <t>54.4%</t>
        </is>
      </c>
      <c r="F11" s="6" t="inlineStr">
        <is>
          <t>155.1%</t>
        </is>
      </c>
      <c r="G11" s="6" t="n"/>
      <c r="H11" s="6" t="n"/>
      <c r="I11" s="6" t="n"/>
      <c r="J11" s="6" t="n"/>
    </row>
    <row r="12">
      <c r="A12" s="6" t="inlineStr">
        <is>
          <t>6    Tier 1 ratio (%)</t>
        </is>
      </c>
      <c r="B12" s="6" t="inlineStr">
        <is>
          <t>33.45%</t>
        </is>
      </c>
      <c r="C12" s="6" t="inlineStr">
        <is>
          <t>55.92%</t>
        </is>
      </c>
      <c r="D12" s="6" t="inlineStr">
        <is>
          <t>54.94%</t>
        </is>
      </c>
      <c r="E12" s="6" t="inlineStr">
        <is>
          <t>54.4%</t>
        </is>
      </c>
      <c r="F12" s="6" t="inlineStr">
        <is>
          <t>155.1%</t>
        </is>
      </c>
      <c r="G12" s="6" t="n"/>
      <c r="H12" s="6" t="n"/>
      <c r="I12" s="6" t="n"/>
      <c r="J12" s="6" t="n"/>
    </row>
    <row r="13">
      <c r="A13" s="6" t="inlineStr">
        <is>
          <t>7    Total capital ratio (%)</t>
        </is>
      </c>
      <c r="B13" s="6" t="inlineStr">
        <is>
          <t>33.86%</t>
        </is>
      </c>
      <c r="C13" s="6" t="inlineStr">
        <is>
          <t>56.67%</t>
        </is>
      </c>
      <c r="D13" s="6" t="inlineStr">
        <is>
          <t>55.87%</t>
        </is>
      </c>
      <c r="E13" s="6" t="inlineStr">
        <is>
          <t>55.9%</t>
        </is>
      </c>
      <c r="F13" s="6" t="inlineStr">
        <is>
          <t>159.1%</t>
        </is>
      </c>
      <c r="G13" s="6" t="n"/>
      <c r="H13" s="6" t="n"/>
      <c r="I13" s="6" t="n"/>
      <c r="J13" s="6" t="n"/>
    </row>
    <row r="14">
      <c r="A14" s="5" t="inlineStr">
        <is>
          <t>Additional own funds requirements based on SREP (as a % of risk-weighted exposure amount)</t>
        </is>
      </c>
      <c r="B14" s="6" t="n"/>
      <c r="C14" s="6" t="n"/>
      <c r="D14" s="6" t="n"/>
      <c r="E14" s="6" t="n"/>
      <c r="F14" s="6" t="n"/>
      <c r="G14" s="6" t="n"/>
      <c r="H14" s="6" t="n"/>
      <c r="I14" s="6" t="n"/>
      <c r="J14" s="6" t="n"/>
    </row>
    <row r="15">
      <c r="A15" s="6" t="inlineStr">
        <is>
          <t>UK 7a    Additional CET1 SREP requirements (%)</t>
        </is>
      </c>
      <c r="B15" s="6" t="inlineStr">
        <is>
          <t>4.10%</t>
        </is>
      </c>
      <c r="C15" s="6" t="inlineStr">
        <is>
          <t>5.89%</t>
        </is>
      </c>
      <c r="D15" s="6" t="inlineStr">
        <is>
          <t>6.67%</t>
        </is>
      </c>
      <c r="E15" s="6" t="inlineStr">
        <is>
          <t>10.8%</t>
        </is>
      </c>
      <c r="F15" s="6" t="inlineStr">
        <is>
          <t>12.0%</t>
        </is>
      </c>
      <c r="G15" s="6" t="n"/>
      <c r="H15" s="6" t="n"/>
      <c r="I15" s="6" t="n"/>
      <c r="J15" s="6" t="n"/>
    </row>
    <row r="16">
      <c r="A16" s="6" t="inlineStr">
        <is>
          <t>UK 7b    Additional AT1 SREP requirements (%)</t>
        </is>
      </c>
      <c r="B16" s="6" t="inlineStr">
        <is>
          <t>1.37%</t>
        </is>
      </c>
      <c r="C16" s="6" t="inlineStr">
        <is>
          <t>1.96%</t>
        </is>
      </c>
      <c r="D16" s="6" t="inlineStr">
        <is>
          <t>2.22%</t>
        </is>
      </c>
      <c r="E16" s="6" t="inlineStr">
        <is>
          <t>3.6%</t>
        </is>
      </c>
      <c r="F16" s="6" t="inlineStr">
        <is>
          <t>4.0%</t>
        </is>
      </c>
      <c r="G16" s="6" t="n"/>
      <c r="H16" s="6" t="n"/>
      <c r="I16" s="6" t="n"/>
      <c r="J16" s="6" t="n"/>
    </row>
    <row r="17">
      <c r="A17" s="6" t="inlineStr">
        <is>
          <t>UK 7c    Additional T2 SREP requirements (%)</t>
        </is>
      </c>
      <c r="B17" s="6" t="inlineStr">
        <is>
          <t>1.82%</t>
        </is>
      </c>
      <c r="C17" s="6" t="inlineStr">
        <is>
          <t>2.62%</t>
        </is>
      </c>
      <c r="D17" s="6" t="inlineStr">
        <is>
          <t>2.96%</t>
        </is>
      </c>
      <c r="E17" s="6" t="inlineStr">
        <is>
          <t>4.8%</t>
        </is>
      </c>
      <c r="F17" s="6" t="inlineStr">
        <is>
          <t>5.3%</t>
        </is>
      </c>
      <c r="G17" s="6" t="n"/>
      <c r="H17" s="6" t="n"/>
      <c r="I17" s="6" t="n"/>
      <c r="J17" s="6" t="n"/>
    </row>
    <row r="18">
      <c r="A18" s="6" t="inlineStr">
        <is>
          <t>UK 7d    Total SREP own funds requirements (%)</t>
        </is>
      </c>
      <c r="B18" s="6" t="inlineStr">
        <is>
          <t>15.28%</t>
        </is>
      </c>
      <c r="C18" s="6" t="inlineStr">
        <is>
          <t>18.46%</t>
        </is>
      </c>
      <c r="D18" s="6" t="inlineStr">
        <is>
          <t>19.86%</t>
        </is>
      </c>
      <c r="E18" s="6" t="inlineStr">
        <is>
          <t>19.1%</t>
        </is>
      </c>
      <c r="F18" s="6" t="inlineStr">
        <is>
          <t>21.3%</t>
        </is>
      </c>
      <c r="G18" s="6" t="n"/>
      <c r="H18" s="6" t="n"/>
      <c r="I18" s="6" t="n"/>
      <c r="J18" s="6" t="n"/>
    </row>
    <row r="19">
      <c r="A19" s="5" t="inlineStr">
        <is>
          <t>Combined buffer requirement (as a % of risk-weighted exposure amount)</t>
        </is>
      </c>
      <c r="B19" s="6" t="n"/>
      <c r="C19" s="6" t="n"/>
      <c r="D19" s="6" t="n"/>
      <c r="E19" s="6" t="n"/>
      <c r="F19" s="6" t="n"/>
      <c r="G19" s="6" t="n"/>
      <c r="H19" s="6" t="n"/>
      <c r="I19" s="6" t="n"/>
      <c r="J19" s="6" t="n"/>
    </row>
    <row r="20">
      <c r="A20" s="6" t="inlineStr">
        <is>
          <t>8    Capital conservation buffer (%)</t>
        </is>
      </c>
      <c r="B20" s="6" t="inlineStr">
        <is>
          <t>2.50%</t>
        </is>
      </c>
      <c r="C20" s="6" t="inlineStr">
        <is>
          <t>2.50%</t>
        </is>
      </c>
      <c r="D20" s="6" t="inlineStr">
        <is>
          <t>2.50%</t>
        </is>
      </c>
      <c r="E20" s="6" t="inlineStr">
        <is>
          <t>2.5%</t>
        </is>
      </c>
      <c r="F20" s="6" t="inlineStr">
        <is>
          <t>2.5%</t>
        </is>
      </c>
      <c r="G20" s="6" t="n"/>
      <c r="H20" s="6" t="n"/>
      <c r="I20" s="6" t="n"/>
      <c r="J20" s="6" t="n"/>
    </row>
    <row r="21">
      <c r="A21" s="6" t="inlineStr">
        <is>
          <t>UK 8a    Conservation buffer due to macro-prudential or systemic risk identified at the level of a Member State (%)</t>
        </is>
      </c>
      <c r="B21" s="6" t="n"/>
      <c r="C21" s="6" t="inlineStr">
        <is>
          <t>0.00%</t>
        </is>
      </c>
      <c r="D21" s="6" t="inlineStr">
        <is>
          <t>0.00%</t>
        </is>
      </c>
      <c r="E21" s="6" t="inlineStr">
        <is>
          <t>0%</t>
        </is>
      </c>
      <c r="F21" s="6" t="inlineStr">
        <is>
          <t>0%</t>
        </is>
      </c>
      <c r="G21" s="6" t="n"/>
      <c r="H21" s="6" t="n"/>
      <c r="I21" s="6" t="n"/>
      <c r="J21" s="6" t="n"/>
    </row>
    <row r="22">
      <c r="A22" s="6" t="inlineStr">
        <is>
          <t>9    Institution specific countercyclical capital buffer (%)</t>
        </is>
      </c>
      <c r="B22" s="6" t="inlineStr">
        <is>
          <t>1.99%</t>
        </is>
      </c>
      <c r="C22" s="6" t="inlineStr">
        <is>
          <t>1.99%</t>
        </is>
      </c>
      <c r="D22" s="6" t="inlineStr">
        <is>
          <t>1.95%</t>
        </is>
      </c>
      <c r="E22" s="6" t="inlineStr">
        <is>
          <t>1.0%</t>
        </is>
      </c>
      <c r="F22" s="6" t="inlineStr">
        <is>
          <t>0%</t>
        </is>
      </c>
      <c r="G22" s="6" t="n"/>
      <c r="H22" s="6" t="n"/>
      <c r="I22" s="6" t="n"/>
      <c r="J22" s="6" t="n"/>
    </row>
    <row r="23">
      <c r="A23" s="6" t="inlineStr">
        <is>
          <t>UK 9a    Systemic risk buffer (%)</t>
        </is>
      </c>
      <c r="B23" s="6" t="n"/>
      <c r="C23" s="6" t="inlineStr">
        <is>
          <t>0.00%</t>
        </is>
      </c>
      <c r="D23" s="6" t="inlineStr">
        <is>
          <t>0.00%</t>
        </is>
      </c>
      <c r="E23" s="6" t="inlineStr">
        <is>
          <t>0%</t>
        </is>
      </c>
      <c r="F23" s="6" t="inlineStr">
        <is>
          <t>0%</t>
        </is>
      </c>
      <c r="G23" s="6" t="n"/>
      <c r="H23" s="6" t="n"/>
      <c r="I23" s="6" t="n"/>
      <c r="J23" s="6" t="n"/>
    </row>
    <row r="24">
      <c r="A24" s="6" t="inlineStr">
        <is>
          <t>10    Global Systemically Important Institution buffer (%)</t>
        </is>
      </c>
      <c r="B24" s="6" t="n"/>
      <c r="C24" s="6" t="inlineStr">
        <is>
          <t>0.00%</t>
        </is>
      </c>
      <c r="D24" s="6" t="inlineStr">
        <is>
          <t>0.00%</t>
        </is>
      </c>
      <c r="E24" s="6" t="inlineStr">
        <is>
          <t>0%</t>
        </is>
      </c>
      <c r="F24" s="6" t="inlineStr">
        <is>
          <t>0%</t>
        </is>
      </c>
      <c r="G24" s="6" t="n"/>
      <c r="H24" s="6" t="n"/>
      <c r="I24" s="6" t="n"/>
      <c r="J24" s="6" t="n"/>
    </row>
    <row r="25">
      <c r="A25" s="6" t="inlineStr">
        <is>
          <t>UK 10a    Other Systemically Important Institution buffer</t>
        </is>
      </c>
      <c r="B25" s="6" t="n"/>
      <c r="C25" s="6" t="inlineStr">
        <is>
          <t>0.00%</t>
        </is>
      </c>
      <c r="D25" s="6" t="inlineStr">
        <is>
          <t>0.00%</t>
        </is>
      </c>
      <c r="E25" s="6" t="inlineStr">
        <is>
          <t>0%</t>
        </is>
      </c>
      <c r="F25" s="6" t="inlineStr">
        <is>
          <t>0%</t>
        </is>
      </c>
      <c r="G25" s="6" t="n"/>
      <c r="H25" s="6" t="n"/>
      <c r="I25" s="6" t="n"/>
      <c r="J25" s="6" t="n"/>
    </row>
    <row r="26">
      <c r="A26" s="6" t="inlineStr">
        <is>
          <t>11    Combined buffer requirement (%)</t>
        </is>
      </c>
      <c r="B26" s="6" t="inlineStr">
        <is>
          <t>4.49%</t>
        </is>
      </c>
      <c r="C26" s="6" t="inlineStr">
        <is>
          <t>4.49%</t>
        </is>
      </c>
      <c r="D26" s="6" t="inlineStr">
        <is>
          <t>4.45%</t>
        </is>
      </c>
      <c r="E26" s="6" t="inlineStr">
        <is>
          <t>3.5%</t>
        </is>
      </c>
      <c r="F26" s="6" t="inlineStr">
        <is>
          <t>2.5%</t>
        </is>
      </c>
      <c r="G26" s="6" t="n"/>
      <c r="H26" s="6" t="n"/>
      <c r="I26" s="6" t="n"/>
      <c r="J26" s="6" t="n"/>
    </row>
    <row r="27">
      <c r="A27" s="6" t="inlineStr">
        <is>
          <t>UK 11a    Overall capital requirements (%)</t>
        </is>
      </c>
      <c r="B27" s="6" t="inlineStr">
        <is>
          <t>19.77%</t>
        </is>
      </c>
      <c r="C27" s="6" t="inlineStr">
        <is>
          <t>22.95%</t>
        </is>
      </c>
      <c r="D27" s="6" t="inlineStr">
        <is>
          <t>24.31%</t>
        </is>
      </c>
      <c r="E27" s="6" t="inlineStr">
        <is>
          <t>22.6%</t>
        </is>
      </c>
      <c r="F27" s="6" t="inlineStr">
        <is>
          <t>23.8%</t>
        </is>
      </c>
      <c r="G27" s="6" t="n"/>
      <c r="H27" s="6" t="n"/>
      <c r="I27" s="6" t="n"/>
      <c r="J27" s="6" t="n"/>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c r="G28" s="6" t="n"/>
      <c r="H28" s="6" t="n"/>
      <c r="I28" s="6" t="n"/>
      <c r="J28" s="6" t="n"/>
    </row>
    <row r="29">
      <c r="A29" s="5" t="inlineStr">
        <is>
          <t>Leverage ratio</t>
        </is>
      </c>
      <c r="B29" s="6" t="n"/>
      <c r="C29" s="6" t="n"/>
      <c r="D29" s="6" t="n"/>
      <c r="E29" s="6" t="n"/>
      <c r="F29" s="6" t="n"/>
      <c r="G29" s="6" t="n"/>
      <c r="H29" s="6" t="n"/>
      <c r="I29" s="6" t="n"/>
      <c r="J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c r="G30" s="6" t="n"/>
      <c r="H30" s="6" t="n"/>
      <c r="I30" s="6" t="n"/>
      <c r="J30" s="6" t="n"/>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c r="G31" s="6" t="n"/>
      <c r="H31" s="6" t="n"/>
      <c r="I31" s="6" t="n"/>
      <c r="J31" s="6" t="n"/>
    </row>
    <row r="32">
      <c r="A32" s="5" t="inlineStr">
        <is>
          <t>Additional own funds requirements to address risks of excessive leverage (printed in the FY2022 edition only)</t>
        </is>
      </c>
      <c r="B32" s="6" t="n"/>
      <c r="C32" s="6" t="n"/>
      <c r="D32" s="6" t="n"/>
      <c r="E32" s="6" t="n"/>
      <c r="F32" s="6" t="n"/>
      <c r="G32" s="6" t="n"/>
      <c r="H32" s="6" t="n"/>
      <c r="I32" s="6" t="n"/>
      <c r="J32" s="6" t="n"/>
    </row>
    <row r="33">
      <c r="A33" s="6" t="inlineStr">
        <is>
          <t>UK 14a    Additional CET1 leverage ratio requirements (%)</t>
        </is>
      </c>
      <c r="B33" s="6" t="n"/>
      <c r="C33" s="6" t="n"/>
      <c r="D33" s="6" t="n"/>
      <c r="E33" s="6" t="n"/>
      <c r="F33" s="6" t="inlineStr">
        <is>
          <t>-</t>
        </is>
      </c>
      <c r="G33" s="6" t="n"/>
      <c r="H33" s="6" t="n"/>
      <c r="I33" s="6" t="n"/>
      <c r="J33" s="6" t="n"/>
    </row>
    <row r="34">
      <c r="A34" s="6" t="inlineStr">
        <is>
          <t>UK 14b    Additional AT1 leverage ratio requirements (%)</t>
        </is>
      </c>
      <c r="B34" s="6" t="n"/>
      <c r="C34" s="6" t="n"/>
      <c r="D34" s="6" t="n"/>
      <c r="E34" s="6" t="n"/>
      <c r="F34" s="6" t="inlineStr">
        <is>
          <t>-</t>
        </is>
      </c>
      <c r="G34" s="6" t="n"/>
      <c r="H34" s="6" t="n"/>
      <c r="I34" s="6" t="n"/>
      <c r="J34" s="6" t="n"/>
    </row>
    <row r="35">
      <c r="A35" s="6" t="inlineStr">
        <is>
          <t>UK 14c    Additional T2 leverage ratio requirements (%)</t>
        </is>
      </c>
      <c r="B35" s="6" t="n"/>
      <c r="C35" s="6" t="n"/>
      <c r="D35" s="6" t="n"/>
      <c r="E35" s="6" t="n"/>
      <c r="F35" s="6" t="inlineStr">
        <is>
          <t>-</t>
        </is>
      </c>
      <c r="G35" s="6" t="n"/>
      <c r="H35" s="6" t="n"/>
      <c r="I35" s="6" t="n"/>
      <c r="J35" s="6" t="n"/>
    </row>
    <row r="36">
      <c r="A36" s="6" t="inlineStr">
        <is>
          <t>UK 14d    Total SREP leverage ratio requirements (%)</t>
        </is>
      </c>
      <c r="B36" s="6" t="n"/>
      <c r="C36" s="6" t="n"/>
      <c r="D36" s="6" t="n"/>
      <c r="E36" s="6" t="n"/>
      <c r="F36" s="6" t="inlineStr">
        <is>
          <t>-</t>
        </is>
      </c>
      <c r="G36" s="6" t="n"/>
      <c r="H36" s="6" t="n"/>
      <c r="I36" s="6" t="n"/>
      <c r="J36" s="6" t="n"/>
    </row>
    <row r="37">
      <c r="A37" s="6" t="inlineStr">
        <is>
          <t>UK 14e    Applicable leverage buffer</t>
        </is>
      </c>
      <c r="B37" s="6" t="n"/>
      <c r="C37" s="6" t="n"/>
      <c r="D37" s="6" t="n"/>
      <c r="E37" s="6" t="n"/>
      <c r="F37" s="6" t="inlineStr">
        <is>
          <t>-</t>
        </is>
      </c>
      <c r="G37" s="6" t="n"/>
      <c r="H37" s="6" t="n"/>
      <c r="I37" s="6" t="n"/>
      <c r="J37" s="6" t="n"/>
    </row>
    <row r="38">
      <c r="A38" s="6" t="inlineStr">
        <is>
          <t>UK 14f    Overall leverage ratio requirements (%)</t>
        </is>
      </c>
      <c r="B38" s="6" t="n"/>
      <c r="C38" s="6" t="n"/>
      <c r="D38" s="6" t="n"/>
      <c r="E38" s="6" t="n"/>
      <c r="F38" s="6" t="inlineStr">
        <is>
          <t>0.0%</t>
        </is>
      </c>
      <c r="G38" s="6" t="n"/>
      <c r="H38" s="6" t="n"/>
      <c r="I38" s="6" t="n"/>
      <c r="J38" s="6" t="n"/>
    </row>
    <row r="39">
      <c r="A39" s="5" t="inlineStr">
        <is>
          <t>Liquidity Coverage Ratio</t>
        </is>
      </c>
      <c r="B39" s="6" t="n"/>
      <c r="C39" s="6" t="n"/>
      <c r="D39" s="6" t="n"/>
      <c r="E39" s="6" t="n"/>
      <c r="F39" s="6" t="n"/>
      <c r="G39" s="6" t="n"/>
      <c r="H39" s="6" t="n"/>
      <c r="I39" s="6" t="n"/>
      <c r="J39" s="6" t="n"/>
    </row>
    <row r="40">
      <c r="A40" s="6" t="inlineStr">
        <is>
          <t>15    Total high-quality liquid assets (HQLA) (Weighted value - average) (£'000)</t>
        </is>
      </c>
      <c r="B40" s="6" t="n">
        <v>20082983</v>
      </c>
      <c r="C40" s="6" t="n">
        <v>13124870</v>
      </c>
      <c r="D40" s="6" t="n">
        <v>7651328</v>
      </c>
      <c r="E40" s="6" t="n">
        <v>5103316</v>
      </c>
      <c r="F40" s="6" t="n">
        <v>4600376</v>
      </c>
      <c r="G40" s="6" t="n"/>
      <c r="H40" s="6" t="n"/>
      <c r="I40" s="6" t="n"/>
      <c r="J40" s="6" t="n"/>
    </row>
    <row r="41">
      <c r="A41" s="6" t="inlineStr">
        <is>
          <t>UK 16a    Cash outflows - Total weighted value (£'000)</t>
        </is>
      </c>
      <c r="B41" s="6" t="n">
        <v>2032987</v>
      </c>
      <c r="C41" s="6" t="n">
        <v>1432128</v>
      </c>
      <c r="D41" s="6" t="n">
        <v>1320778</v>
      </c>
      <c r="E41" s="6" t="n">
        <v>804664</v>
      </c>
      <c r="F41" s="6" t="n">
        <v>582180</v>
      </c>
      <c r="G41" s="6" t="n"/>
      <c r="H41" s="6" t="n"/>
      <c r="I41" s="6" t="n"/>
      <c r="J41" s="6" t="n"/>
    </row>
    <row r="42">
      <c r="A42" s="6" t="inlineStr">
        <is>
          <t>UK 16b    Cash inflows - Total weighted value (£'000)</t>
        </is>
      </c>
      <c r="B42" s="6" t="n">
        <v>364207</v>
      </c>
      <c r="C42" s="6" t="n">
        <v>299010</v>
      </c>
      <c r="D42" s="6" t="n">
        <v>250343</v>
      </c>
      <c r="E42" s="6" t="n">
        <v>133505</v>
      </c>
      <c r="F42" s="6" t="n">
        <v>153200</v>
      </c>
      <c r="G42" s="6" t="n"/>
      <c r="H42" s="6" t="n"/>
      <c r="I42" s="6" t="n"/>
      <c r="J42" s="6" t="n"/>
    </row>
    <row r="43">
      <c r="A43" s="6" t="inlineStr">
        <is>
          <t>16    Total net cash outflows (adjusted value) (£'000)</t>
        </is>
      </c>
      <c r="B43" s="6" t="n">
        <v>1668780</v>
      </c>
      <c r="C43" s="6" t="n">
        <v>1133118</v>
      </c>
      <c r="D43" s="6" t="n">
        <v>1070436</v>
      </c>
      <c r="E43" s="6" t="n">
        <v>671159</v>
      </c>
      <c r="F43" s="6" t="n">
        <v>428980</v>
      </c>
      <c r="G43" s="6" t="n"/>
      <c r="H43" s="6" t="n"/>
      <c r="I43" s="6" t="n"/>
      <c r="J43" s="6" t="n"/>
    </row>
    <row r="44">
      <c r="A44" s="6" t="inlineStr">
        <is>
          <t>17    Liquidity coverage ratio (%)</t>
        </is>
      </c>
      <c r="B44" s="6" t="inlineStr">
        <is>
          <t>1209.79%</t>
        </is>
      </c>
      <c r="C44" s="6" t="inlineStr">
        <is>
          <t>1,178.76%</t>
        </is>
      </c>
      <c r="D44" s="6" t="inlineStr">
        <is>
          <t>724.51%</t>
        </is>
      </c>
      <c r="E44" s="6" t="inlineStr">
        <is>
          <t>760.4%</t>
        </is>
      </c>
      <c r="F44" s="6" t="inlineStr">
        <is>
          <t>1,072.4%</t>
        </is>
      </c>
      <c r="G44" s="6" t="n"/>
      <c r="H44" s="6" t="n"/>
      <c r="I44" s="6" t="n"/>
      <c r="J44" s="6" t="n"/>
    </row>
    <row r="45">
      <c r="A45" s="5" t="inlineStr">
        <is>
          <t>Net Stable Funding Ratio</t>
        </is>
      </c>
      <c r="B45" s="6" t="n"/>
      <c r="C45" s="6" t="n"/>
      <c r="D45" s="6" t="n"/>
      <c r="E45" s="6" t="n"/>
      <c r="F45" s="6" t="n"/>
      <c r="G45" s="6" t="n"/>
      <c r="H45" s="6" t="n"/>
      <c r="I45" s="6" t="n"/>
      <c r="J45" s="6" t="n"/>
    </row>
    <row r="46">
      <c r="A46" s="6" t="inlineStr">
        <is>
          <t>18    Total available stable funding (£'000)</t>
        </is>
      </c>
      <c r="B46" s="6" t="n">
        <v>22342143</v>
      </c>
      <c r="C46" s="6" t="n">
        <v>14543697</v>
      </c>
      <c r="D46" s="6" t="n">
        <v>9139028</v>
      </c>
      <c r="E46" s="6" t="n">
        <v>6055616</v>
      </c>
      <c r="F46" s="6" t="n">
        <v>4703076</v>
      </c>
      <c r="G46" s="6" t="n"/>
      <c r="H46" s="6" t="n"/>
      <c r="I46" s="6" t="n"/>
      <c r="J46" s="6" t="n"/>
    </row>
    <row r="47">
      <c r="A47" s="6" t="inlineStr">
        <is>
          <t>19    Total required stable funding (£'000)</t>
        </is>
      </c>
      <c r="B47" s="6" t="n">
        <v>2966966</v>
      </c>
      <c r="C47" s="6" t="n">
        <v>1807551</v>
      </c>
      <c r="D47" s="6" t="n">
        <v>1345619</v>
      </c>
      <c r="E47" s="6" t="n">
        <v>835938</v>
      </c>
      <c r="F47" s="6" t="n">
        <v>444598</v>
      </c>
      <c r="G47" s="6" t="n"/>
      <c r="H47" s="6" t="n"/>
      <c r="I47" s="6" t="n"/>
      <c r="J47" s="6" t="n"/>
    </row>
    <row r="48">
      <c r="A48" s="6" t="inlineStr">
        <is>
          <t>20    NSFR ratio (%)</t>
        </is>
      </c>
      <c r="B48" s="6" t="inlineStr">
        <is>
          <t>752.75%</t>
        </is>
      </c>
      <c r="C48" s="6" t="inlineStr">
        <is>
          <t>843.98%</t>
        </is>
      </c>
      <c r="D48" s="6" t="inlineStr">
        <is>
          <t>680.81%</t>
        </is>
      </c>
      <c r="E48" s="6" t="inlineStr">
        <is>
          <t>724.4%</t>
        </is>
      </c>
      <c r="F48" s="6" t="inlineStr">
        <is>
          <t>1,057.8%</t>
        </is>
      </c>
      <c r="G48" s="6" t="n"/>
      <c r="H48" s="6" t="n"/>
      <c r="I48" s="6" t="n"/>
      <c r="J48" s="6" t="n"/>
    </row>
    <row r="50" ht="150"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printed pp.32-33 (page corrected from 'p.31-33' on 2026-09-17 - p.31 is the appendices divider page; the table's own first page carries the footer 32, map rule 26) - https://monzo.com/static/docs/monzo-pillar-3-2022.pdf
NO KM1 EXISTS FOR FY2021 AND EARLIER IN ANY EDITION, WHICH IS WHY THOSE COLUMNS ARE BLANK. This is the strongest form of the finding and it was re-established from the documents on 17 September 2026, because a blank on this sheet is meant to carry exactly one meaning: Monzo has never published that figure, in any edition, on any basis. Two separate checks stand behind it.
(1) THE YEAR'S OWN EDITION PUBLISHES NO TEMPLATE. Template KM1 arrived with the Disclosure (CRR) Part of the PRA Rulebook; Monzo's FY2021 and FY2020 Pillar 3 reports (https://monzo.com/static/docs/monzo-pillar-3-2021.pdf and https://monzo.com/documents/pillar_3_2020.pdf) predate it. The FY2021 report's own contents page lists eight appendices - main features of capital instruments (CCA), own funds (CC1), CRR Leverage Ratio, IFRS 9 transitional impact, countercyclical capital buffer, asset encumbrance, non-performing and forborne exposures, and UK CRR disclosure requirements - and NO key-metrics appendix. Extraction from it is rich (161 hits for 'capital', 150 for 'ratio', 54 for 'leverage', 41 for 'buffer', 26 for 'CET1'), which is what makes its ZERO hits for 'KM1' and for 'UK 7a' evidence about the document rather than about the search; its single 'key metric' hit is a narrative sentence about the LCR.
(2) AND NO LATER EDITION CARRIES A COMPARATIVE FOR THOSE YEARS EITHER - the point that settles it. The FY2022 edition was Monzo's first to print the template, and IT PRINTS A SINGLE COLUMN: one column lettered 'a', headed £'000 and 2022, with no prior-year column anywhere in the table. Confirmed twice, by text extraction at full width and by reading a rendering of printed p.32 by eye; and the check is a sound one because the very next appendix in the same document, template CCA, renders its three columns 'a b c' correctly, so a multi-column header would have been visible had one existed. Two-column printing begins only with the FY2023 edition, whose columns are 2023 and 2022. So there is no FY2021 KM1 column in existence to fill this one from, and no amount of searching later editions would produce one.
The individual metric sheets in this workbook do carry FY2021 and FY2020 figures, sourced from those reports' own narrative capital tables - a different presentation on a different basis,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A DASH IS NOT A ZERO - BLANK CELLS IN FY2026 ARE DELIBERATE. From the FY2026 edition Monzo prints an em dash (—%) rather than a figure for UK 8a (conservation buffer for macro-prudential/systemic risk), UK 9a (systemic risk buffer), 10 (G-SII buffer) and UK 10a (O-SII buffer). Those cells are left BLANK here rather than written as 0%, because a dash in a regulatory template records that no such requirement applies to this firm, which is not the same statement as a requirement measured at zero. NOTE THE CONTRAST WITH EARLIER YEARS, which is the bank's own change of house style and not an inconsistency introduced here: the FY2022 and FY2023 editions print '0%' and the FY2024 and FY2025 editions print '0.00%' for those same four rows. Each year is reproduced as that year's document printed it.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1">
    <mergeCell ref="A50:J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CET1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Tier 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Not publicly disclosed</t>
        </is>
      </c>
      <c r="I4" s="6" t="inlineStr">
        <is>
          <t>104%</t>
        </is>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6" t="inlineStr">
        <is>
          <t>Credit risk (excluding CCR)</t>
        </is>
      </c>
      <c r="B4" s="6" t="n">
        <v>1914363</v>
      </c>
      <c r="C4" s="6" t="n">
        <v>1336768</v>
      </c>
      <c r="D4" s="6" t="n">
        <v>1290471</v>
      </c>
      <c r="E4" s="6" t="n">
        <v>821178</v>
      </c>
      <c r="F4" s="6" t="n">
        <v>285793</v>
      </c>
      <c r="G4" s="6" t="n">
        <v>151226</v>
      </c>
      <c r="H4" s="6" t="n">
        <v>157594</v>
      </c>
      <c r="I4" s="6" t="n"/>
      <c r="J4" s="6" t="n"/>
    </row>
    <row r="5">
      <c r="A5" s="6" t="inlineStr">
        <is>
          <t>Counterparty credit risk (CCR)</t>
        </is>
      </c>
      <c r="B5" s="6" t="n">
        <v>623</v>
      </c>
      <c r="C5" s="6" t="n">
        <v>1031</v>
      </c>
      <c r="D5" s="6" t="n">
        <v>7052</v>
      </c>
      <c r="E5" s="6" t="n">
        <v>0</v>
      </c>
      <c r="F5" s="6" t="n">
        <v>0</v>
      </c>
      <c r="G5" s="6" t="n">
        <v>0</v>
      </c>
      <c r="H5" s="6" t="n"/>
      <c r="I5" s="6" t="n"/>
      <c r="J5" s="6" t="n"/>
    </row>
    <row r="6">
      <c r="A6" s="6" t="inlineStr">
        <is>
          <t xml:space="preserve">  of which exposures to a CCP</t>
        </is>
      </c>
      <c r="B6" s="6" t="n">
        <v>623</v>
      </c>
      <c r="C6" s="6" t="n">
        <v>1031</v>
      </c>
      <c r="D6" s="6" t="n"/>
      <c r="E6" s="6" t="n"/>
      <c r="F6" s="6" t="n"/>
      <c r="G6" s="6" t="n"/>
      <c r="H6" s="6" t="n"/>
      <c r="I6" s="6" t="n"/>
      <c r="J6" s="6" t="n"/>
    </row>
    <row r="7">
      <c r="A7" s="6" t="inlineStr">
        <is>
          <t xml:space="preserve">  of which credit valuation adjustment (CVA)</t>
        </is>
      </c>
      <c r="B7" s="6" t="n"/>
      <c r="C7" s="6" t="n"/>
      <c r="D7" s="6" t="n">
        <v>4371</v>
      </c>
      <c r="E7" s="6" t="n"/>
      <c r="F7" s="6" t="n"/>
      <c r="G7" s="6" t="n"/>
      <c r="H7" s="6" t="n"/>
      <c r="I7" s="6" t="n"/>
      <c r="J7" s="6" t="n"/>
    </row>
    <row r="8">
      <c r="A8" s="6" t="inlineStr">
        <is>
          <t xml:space="preserve">  of which other CCR</t>
        </is>
      </c>
      <c r="B8" s="6" t="n"/>
      <c r="C8" s="6" t="n"/>
      <c r="D8" s="6" t="n">
        <v>2681</v>
      </c>
      <c r="E8" s="6" t="n"/>
      <c r="F8" s="6" t="n"/>
      <c r="G8" s="6" t="n"/>
      <c r="H8" s="6" t="n"/>
      <c r="I8" s="6" t="n"/>
      <c r="J8" s="6" t="n"/>
    </row>
    <row r="9">
      <c r="A9" s="6" t="inlineStr">
        <is>
          <t>Securitisation exposures (non-trading book, after the cap)</t>
        </is>
      </c>
      <c r="B9" s="6" t="n">
        <v>114458</v>
      </c>
      <c r="C9" s="6" t="n">
        <v>48405</v>
      </c>
      <c r="D9" s="6" t="n">
        <v>0</v>
      </c>
      <c r="E9" s="6" t="n">
        <v>0</v>
      </c>
      <c r="F9" s="6" t="n">
        <v>0</v>
      </c>
      <c r="G9" s="6" t="n">
        <v>0</v>
      </c>
      <c r="H9" s="6" t="n"/>
      <c r="I9" s="6" t="n"/>
      <c r="J9" s="6" t="n"/>
    </row>
    <row r="10">
      <c r="A10" s="6" t="inlineStr">
        <is>
          <t xml:space="preserve">  of which SEC-ERBA (including IAA)</t>
        </is>
      </c>
      <c r="B10" s="6" t="n">
        <v>114458</v>
      </c>
      <c r="C10" s="6" t="n">
        <v>28426</v>
      </c>
      <c r="D10" s="6" t="n"/>
      <c r="E10" s="6" t="n"/>
      <c r="F10" s="6" t="n"/>
      <c r="G10" s="6" t="n"/>
      <c r="H10" s="6" t="n"/>
      <c r="I10" s="6" t="n"/>
      <c r="J10" s="6" t="n"/>
    </row>
    <row r="11">
      <c r="A11" s="6" t="inlineStr">
        <is>
          <t xml:space="preserve">  of which SEC-SA approach</t>
        </is>
      </c>
      <c r="B11" s="6" t="n"/>
      <c r="C11" s="6" t="n">
        <v>19979</v>
      </c>
      <c r="D11" s="6" t="n"/>
      <c r="E11" s="6" t="n"/>
      <c r="F11" s="6" t="n"/>
      <c r="G11" s="6" t="n"/>
      <c r="H11" s="6" t="n"/>
      <c r="I11" s="6" t="n"/>
      <c r="J11" s="6" t="n"/>
    </row>
    <row r="12">
      <c r="A12" s="6" t="inlineStr">
        <is>
          <t>Market risk (position, FX and commodities risks)</t>
        </is>
      </c>
      <c r="B12" s="6" t="n">
        <v>54485</v>
      </c>
      <c r="C12" s="6" t="n">
        <v>0</v>
      </c>
      <c r="D12" s="6" t="n">
        <v>0</v>
      </c>
      <c r="E12" s="6" t="n">
        <v>0</v>
      </c>
      <c r="F12" s="6" t="n">
        <v>0</v>
      </c>
      <c r="G12" s="6" t="n">
        <v>0</v>
      </c>
      <c r="H12" s="6" t="n"/>
      <c r="I12" s="6" t="n"/>
      <c r="J12" s="6" t="n"/>
    </row>
    <row r="13">
      <c r="A13" s="6" t="inlineStr">
        <is>
          <t>Operational risk</t>
        </is>
      </c>
      <c r="B13" s="6" t="n">
        <v>1730655</v>
      </c>
      <c r="C13" s="6" t="n">
        <v>684978</v>
      </c>
      <c r="D13" s="6" t="n">
        <v>319405</v>
      </c>
      <c r="E13" s="6" t="n">
        <v>157864</v>
      </c>
      <c r="F13" s="6" t="n">
        <v>85056</v>
      </c>
      <c r="G13" s="6" t="n">
        <v>85427</v>
      </c>
      <c r="H13" s="6" t="n">
        <v>45114</v>
      </c>
      <c r="I13" s="6" t="n"/>
      <c r="J13" s="6" t="n"/>
    </row>
    <row r="14">
      <c r="A14" s="6" t="inlineStr">
        <is>
          <t>Amounts below thresholds for deduction (subject to 250% risk weight, for information)</t>
        </is>
      </c>
      <c r="B14" s="6" t="n"/>
      <c r="C14" s="6" t="n">
        <v>0</v>
      </c>
      <c r="D14" s="6" t="n">
        <v>8688</v>
      </c>
      <c r="E14" s="6" t="n">
        <v>5797</v>
      </c>
      <c r="F14" s="6" t="n">
        <v>0</v>
      </c>
      <c r="G14" s="6" t="n">
        <v>0</v>
      </c>
      <c r="H14" s="6" t="n"/>
      <c r="I14" s="6" t="n"/>
      <c r="J14" s="6" t="n"/>
    </row>
    <row r="15">
      <c r="A15" s="5" t="inlineStr">
        <is>
          <t>Total risk-weighted exposure amount (RWEAs)</t>
        </is>
      </c>
      <c r="B15" s="5" t="n">
        <v>3814585</v>
      </c>
      <c r="C15" s="5" t="n">
        <v>2071182</v>
      </c>
      <c r="D15" s="5" t="n">
        <v>1616928</v>
      </c>
      <c r="E15" s="5" t="n">
        <v>979042</v>
      </c>
      <c r="F15" s="5" t="n">
        <v>370849</v>
      </c>
      <c r="G15" s="5" t="n">
        <v>236653</v>
      </c>
      <c r="H15" s="5" t="n">
        <v>202708</v>
      </c>
      <c r="I15" s="5" t="n"/>
      <c r="J15" s="5" t="n"/>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J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publicly disclosed</t>
        </is>
      </c>
      <c r="J5" s="6" t="inlineStr">
        <is>
          <t>Not publicly disclosed</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row>
    <row r="9">
      <c r="A9" s="6" t="inlineStr">
        <is>
          <t>Leverage ratio including claims on central banks (%) (CRR basis, retired from FY2022)</t>
        </is>
      </c>
      <c r="B9" s="6" t="n"/>
      <c r="C9" s="6" t="n"/>
      <c r="D9" s="6" t="n"/>
      <c r="E9" s="6" t="n"/>
      <c r="F9" s="6" t="n"/>
      <c r="G9" s="6" t="inlineStr">
        <is>
          <t>6.4%</t>
        </is>
      </c>
      <c r="H9" s="6" t="n"/>
      <c r="I9" s="6" t="inlineStr">
        <is>
          <t>15.5%</t>
        </is>
      </c>
      <c r="J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disclosed</t>
        </is>
      </c>
      <c r="H6" s="6" t="inlineStr">
        <is>
          <t>Not publicly disclosed</t>
        </is>
      </c>
      <c r="I6" s="6" t="inlineStr">
        <is>
          <t>Not publicly disclosed</t>
        </is>
      </c>
      <c r="J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publicly disclosed</t>
        </is>
      </c>
      <c r="I4" s="6" t="inlineStr">
        <is>
          <t>Not publicly disclosed</t>
        </is>
      </c>
      <c r="J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2026-09-17T18:10:17Z</dcterms:created>
  <dcterms:modified xmlns:dcterms="http://purl.org/dc/terms/" xmlns:xsi="http://www.w3.org/2001/XMLSchema-instance" xsi:type="dcterms:W3CDTF">2026-09-17T18:10:17Z</dcterms:modified>
</cp:coreProperties>
</file>