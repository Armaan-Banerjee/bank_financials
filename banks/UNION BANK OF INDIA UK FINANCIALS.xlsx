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'Overview'!AW25</f>
            </strRef>
          </tx>
          <spPr>
            <a:ln xmlns:a="http://schemas.openxmlformats.org/drawingml/2006/main">
              <a:prstDash val="solid"/>
            </a:ln>
          </spPr>
          <cat>
            <numRef>
              <f>'Overview'!$AX$24:$BF$24</f>
            </numRef>
          </cat>
          <val>
            <numRef>
              <f>'Overview'!$AX$25:$BF$25</f>
            </numRef>
          </val>
        </ser>
        <ser>
          <idx val="1"/>
          <order val="1"/>
          <tx>
            <strRef>
              <f>'Overview'!AW26</f>
            </strRef>
          </tx>
          <spPr>
            <a:ln xmlns:a="http://schemas.openxmlformats.org/drawingml/2006/main">
              <a:prstDash val="solid"/>
            </a:ln>
          </spPr>
          <cat>
            <numRef>
              <f>'Overview'!$AX$24:$BF$24</f>
            </numRef>
          </cat>
          <val>
            <numRef>
              <f>'Overview'!$AX$26:$BF$26</f>
            </numRef>
          </val>
        </ser>
        <ser>
          <idx val="2"/>
          <order val="2"/>
          <tx>
            <strRef>
              <f>'Overview'!AW27</f>
            </strRef>
          </tx>
          <spPr>
            <a:ln xmlns:a="http://schemas.openxmlformats.org/drawingml/2006/main">
              <a:prstDash val="solid"/>
            </a:ln>
          </spPr>
          <cat>
            <numRef>
              <f>'Overview'!$AX$24:$BF$24</f>
            </numRef>
          </cat>
          <val>
            <numRef>
              <f>'Overview'!$AX$27:$BF$27</f>
            </numRef>
          </val>
        </ser>
        <ser>
          <idx val="3"/>
          <order val="3"/>
          <tx>
            <strRef>
              <f>'Overview'!AW28</f>
            </strRef>
          </tx>
          <spPr>
            <a:ln xmlns:a="http://schemas.openxmlformats.org/drawingml/2006/main">
              <a:prstDash val="solid"/>
            </a:ln>
          </spPr>
          <cat>
            <numRef>
              <f>'Overview'!$AX$24:$BF$24</f>
            </numRef>
          </cat>
          <val>
            <numRef>
              <f>'Overview'!$AX$28:$BF$28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422854.9</v>
      </c>
      <c r="C6" s="5" t="n">
        <v>372592.6</v>
      </c>
      <c r="D6" s="5" t="n">
        <v>403343.9</v>
      </c>
      <c r="E6" s="5" t="n">
        <v>391140.4</v>
      </c>
      <c r="F6" s="5" t="n">
        <v>305884.4</v>
      </c>
      <c r="G6" s="5" t="n">
        <v>283571.3</v>
      </c>
      <c r="H6" s="5" t="n">
        <v>320893.3</v>
      </c>
      <c r="I6" s="5" t="n">
        <v>348503.5</v>
      </c>
      <c r="J6" s="5" t="n">
        <v>313043.5</v>
      </c>
      <c r="M6" t="inlineStr">
        <is>
          <t>Total assets</t>
        </is>
      </c>
      <c r="N6" t="n">
        <v>313043.5</v>
      </c>
      <c r="O6" t="n">
        <v>348503.5</v>
      </c>
      <c r="P6" t="n">
        <v>320893.3</v>
      </c>
      <c r="Q6" t="n">
        <v>283571.3</v>
      </c>
      <c r="R6" t="n">
        <v>305884.4</v>
      </c>
      <c r="S6" t="n">
        <v>391140.4</v>
      </c>
      <c r="T6" t="n">
        <v>403343.9</v>
      </c>
      <c r="U6" t="n">
        <v>372592.6</v>
      </c>
      <c r="V6" t="n">
        <v>422854.9</v>
      </c>
      <c r="BI6" t="inlineStr">
        <is>
          <t>CET1 Ratio</t>
        </is>
      </c>
      <c r="BJ6" t="n">
        <v>20.55</v>
      </c>
      <c r="BK6" t="n">
        <v>20.95</v>
      </c>
      <c r="BL6" t="n">
        <v>34.02</v>
      </c>
      <c r="BM6" t="n">
        <v>32.37</v>
      </c>
      <c r="BN6" t="n">
        <v>32.05</v>
      </c>
      <c r="BO6" t="n">
        <v>29.5</v>
      </c>
      <c r="BP6" t="n">
        <v>27.67</v>
      </c>
      <c r="BQ6" t="n">
        <v>27.2</v>
      </c>
    </row>
    <row r="7">
      <c r="A7" s="5" t="inlineStr">
        <is>
          <t>Loans and advances to customers</t>
        </is>
      </c>
      <c r="B7" s="5" t="n">
        <v>264218.2</v>
      </c>
      <c r="C7" s="5" t="n">
        <v>263697.9</v>
      </c>
      <c r="D7" s="5" t="n">
        <v>268880.6</v>
      </c>
      <c r="E7" s="5" t="n">
        <v>257982</v>
      </c>
      <c r="F7" s="5" t="n">
        <v>217922.8</v>
      </c>
      <c r="G7" s="5" t="n">
        <v>186109.7</v>
      </c>
      <c r="H7" s="5" t="n">
        <v>206621.8</v>
      </c>
      <c r="I7" s="5" t="n">
        <v>231815</v>
      </c>
      <c r="J7" s="5" t="n">
        <v>240018.5</v>
      </c>
      <c r="M7" t="inlineStr">
        <is>
          <t>Loans and advances to customers</t>
        </is>
      </c>
      <c r="N7" t="n">
        <v>240018.5</v>
      </c>
      <c r="O7" t="n">
        <v>231815</v>
      </c>
      <c r="P7" t="n">
        <v>206621.8</v>
      </c>
      <c r="Q7" t="n">
        <v>186109.7</v>
      </c>
      <c r="R7" t="n">
        <v>217922.8</v>
      </c>
      <c r="S7" t="n">
        <v>257982</v>
      </c>
      <c r="T7" t="n">
        <v>268880.6</v>
      </c>
      <c r="U7" t="n">
        <v>263697.9</v>
      </c>
      <c r="V7" t="n">
        <v>264218.2</v>
      </c>
      <c r="BI7" t="inlineStr">
        <is>
          <t>Tier 1 Ratio</t>
        </is>
      </c>
      <c r="BJ7" t="n">
        <v>20.55</v>
      </c>
      <c r="BK7" t="n">
        <v>20.95</v>
      </c>
      <c r="BL7" t="n">
        <v>34.02</v>
      </c>
      <c r="BM7" t="n">
        <v>32.37</v>
      </c>
      <c r="BN7" t="n">
        <v>32.05</v>
      </c>
      <c r="BO7" t="n">
        <v>29.5</v>
      </c>
      <c r="BP7" t="n">
        <v>27.67</v>
      </c>
      <c r="BQ7" t="n">
        <v>27.2</v>
      </c>
    </row>
    <row r="8">
      <c r="A8" s="5" t="inlineStr">
        <is>
          <t>Deposits from customers</t>
        </is>
      </c>
      <c r="B8" s="5" t="n">
        <v>262605.4</v>
      </c>
      <c r="C8" s="5" t="n">
        <v>270048.8</v>
      </c>
      <c r="D8" s="5" t="n">
        <v>306793.1</v>
      </c>
      <c r="E8" s="5" t="n">
        <v>268913</v>
      </c>
      <c r="F8" s="5" t="n">
        <v>209380.8</v>
      </c>
      <c r="G8" s="5" t="n">
        <v>196528</v>
      </c>
      <c r="H8" s="5" t="n">
        <v>195048</v>
      </c>
      <c r="I8" s="5" t="n">
        <v>184020</v>
      </c>
      <c r="J8" s="5" t="n">
        <v>153613.6</v>
      </c>
      <c r="M8" t="inlineStr">
        <is>
          <t>Deposits from customers</t>
        </is>
      </c>
      <c r="N8" t="n">
        <v>153613.6</v>
      </c>
      <c r="O8" t="n">
        <v>184020</v>
      </c>
      <c r="P8" t="n">
        <v>195048</v>
      </c>
      <c r="Q8" t="n">
        <v>196528</v>
      </c>
      <c r="R8" t="n">
        <v>209380.8</v>
      </c>
      <c r="S8" t="n">
        <v>268913</v>
      </c>
      <c r="T8" t="n">
        <v>306793.1</v>
      </c>
      <c r="U8" t="n">
        <v>270048.8</v>
      </c>
      <c r="V8" t="n">
        <v>262605.4</v>
      </c>
      <c r="BI8" t="inlineStr">
        <is>
          <t>Total Capital Ratio</t>
        </is>
      </c>
      <c r="BJ8" t="n">
        <v>20.55</v>
      </c>
      <c r="BK8" t="n">
        <v>20.95</v>
      </c>
      <c r="BL8" t="n">
        <v>34.02</v>
      </c>
      <c r="BM8" t="n">
        <v>33.52</v>
      </c>
      <c r="BN8" t="n">
        <v>32.05</v>
      </c>
      <c r="BO8" t="n">
        <v>29.5</v>
      </c>
      <c r="BP8" t="n">
        <v>27.67</v>
      </c>
      <c r="BQ8" t="n">
        <v>27.2</v>
      </c>
    </row>
    <row r="9">
      <c r="A9" s="5" t="inlineStr">
        <is>
          <t>Total Shareholder's equity</t>
        </is>
      </c>
      <c r="B9" s="5" t="n">
        <v>86022.10000000001</v>
      </c>
      <c r="C9" s="5" t="n">
        <v>86444.60000000001</v>
      </c>
      <c r="D9" s="5" t="n">
        <v>92529.3</v>
      </c>
      <c r="E9" s="5" t="n">
        <v>92071.3</v>
      </c>
      <c r="F9" s="5" t="n">
        <v>86038.60000000001</v>
      </c>
      <c r="G9" s="5" t="n">
        <v>81051</v>
      </c>
      <c r="H9" s="5" t="n">
        <v>97563.5</v>
      </c>
      <c r="I9" s="5" t="n">
        <v>71617</v>
      </c>
      <c r="J9" s="5" t="n">
        <v>67406.10000000001</v>
      </c>
      <c r="M9" t="inlineStr">
        <is>
          <t>Total Shareholder's equity</t>
        </is>
      </c>
      <c r="N9" t="n">
        <v>67406.10000000001</v>
      </c>
      <c r="O9" t="n">
        <v>71617</v>
      </c>
      <c r="P9" t="n">
        <v>97563.5</v>
      </c>
      <c r="Q9" t="n">
        <v>81051</v>
      </c>
      <c r="R9" t="n">
        <v>86038.60000000001</v>
      </c>
      <c r="S9" t="n">
        <v>92071.3</v>
      </c>
      <c r="T9" t="n">
        <v>92529.3</v>
      </c>
      <c r="U9" t="n">
        <v>86444.60000000001</v>
      </c>
      <c r="V9" t="n">
        <v>86022.10000000001</v>
      </c>
      <c r="BI9" t="inlineStr">
        <is>
          <t>Leverage Ratio</t>
        </is>
      </c>
      <c r="BJ9" t="n">
        <v>21.23</v>
      </c>
      <c r="BK9" t="n">
        <v>20.19</v>
      </c>
      <c r="BL9" t="n">
        <v>29.43</v>
      </c>
      <c r="BM9" t="n">
        <v>27.57</v>
      </c>
      <c r="BN9" t="n">
        <v>27.49</v>
      </c>
      <c r="BO9" t="n">
        <v>23.92</v>
      </c>
      <c r="BP9" t="n">
        <v>22.81</v>
      </c>
      <c r="BQ9" t="n">
        <v>22.43</v>
      </c>
    </row>
    <row r="10">
      <c r="BI10" t="inlineStr">
        <is>
          <t>LCR</t>
        </is>
      </c>
      <c r="BJ10" t="n">
        <v>409</v>
      </c>
      <c r="BK10" t="n">
        <v>1113</v>
      </c>
      <c r="BL10" t="n">
        <v>1486</v>
      </c>
      <c r="BM10" t="n">
        <v>1446</v>
      </c>
      <c r="BN10" t="n">
        <v>951</v>
      </c>
      <c r="BO10" t="n">
        <v>2971</v>
      </c>
      <c r="BP10" t="n">
        <v>910</v>
      </c>
      <c r="BQ10" t="n">
        <v>1457</v>
      </c>
    </row>
    <row r="11">
      <c r="A11" s="3" t="inlineStr">
        <is>
          <t>Profit &amp; Loss Summary (£'000 (conv. from USD))</t>
        </is>
      </c>
      <c r="BI11" t="inlineStr">
        <is>
          <t>NSFR</t>
        </is>
      </c>
      <c r="BN11" t="n">
        <v>140</v>
      </c>
      <c r="BO11" t="n">
        <v>145</v>
      </c>
      <c r="BP11" t="n">
        <v>131</v>
      </c>
      <c r="BQ11" t="n">
        <v>136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Total Operating income</t>
        </is>
      </c>
      <c r="B13" s="5" t="n">
        <v>8803.200000000001</v>
      </c>
      <c r="C13" s="5" t="n">
        <v>10432.1</v>
      </c>
      <c r="D13" s="5" t="n">
        <v>13058.6</v>
      </c>
      <c r="E13" s="5" t="n">
        <v>11924.8</v>
      </c>
      <c r="F13" s="5" t="n">
        <v>7199.8</v>
      </c>
      <c r="G13" s="5" t="n">
        <v>7978.5</v>
      </c>
      <c r="H13" s="5" t="n">
        <v>10733.1</v>
      </c>
      <c r="I13" s="5" t="n">
        <v>10348.8</v>
      </c>
      <c r="J13" s="5" t="n">
        <v>9135.9</v>
      </c>
      <c r="Y13" t="inlineStr">
        <is>
          <t>Total Operating income</t>
        </is>
      </c>
      <c r="Z13" t="n">
        <v>9135.9</v>
      </c>
      <c r="AA13" t="n">
        <v>10348.8</v>
      </c>
      <c r="AB13" t="n">
        <v>10733.1</v>
      </c>
      <c r="AC13" t="n">
        <v>7978.5</v>
      </c>
      <c r="AD13" t="n">
        <v>7199.8</v>
      </c>
      <c r="AE13" t="n">
        <v>11924.8</v>
      </c>
      <c r="AF13" t="n">
        <v>13058.6</v>
      </c>
      <c r="AG13" t="n">
        <v>10432.1</v>
      </c>
      <c r="AH13" t="n">
        <v>8803.200000000001</v>
      </c>
    </row>
    <row r="14">
      <c r="A14" s="5" t="inlineStr">
        <is>
          <t>Operating expenses before impairment loss allowances</t>
        </is>
      </c>
      <c r="B14" s="5" t="n">
        <v>-7563.2</v>
      </c>
      <c r="C14" s="5" t="n">
        <v>-7619.6</v>
      </c>
      <c r="D14" s="5" t="n">
        <v>-7529.6</v>
      </c>
      <c r="E14" s="5" t="n">
        <v>-6113.1</v>
      </c>
      <c r="F14" s="5" t="n">
        <v>-5692.1</v>
      </c>
      <c r="G14" s="5" t="n">
        <v>-5208.8</v>
      </c>
      <c r="H14" s="5" t="n">
        <v>-5065.7</v>
      </c>
      <c r="I14" s="5" t="n">
        <v>-3826.1</v>
      </c>
      <c r="J14" s="5" t="n">
        <v>-2928.3</v>
      </c>
      <c r="Y14" t="inlineStr">
        <is>
          <t>Operating expenses before impairment loss allowances</t>
        </is>
      </c>
      <c r="Z14" t="n">
        <v>-2928.3</v>
      </c>
      <c r="AA14" t="n">
        <v>-3826.1</v>
      </c>
      <c r="AB14" t="n">
        <v>-5065.7</v>
      </c>
      <c r="AC14" t="n">
        <v>-5208.8</v>
      </c>
      <c r="AD14" t="n">
        <v>-5692.1</v>
      </c>
      <c r="AE14" t="n">
        <v>-6113.1</v>
      </c>
      <c r="AF14" t="n">
        <v>-7529.6</v>
      </c>
      <c r="AG14" t="n">
        <v>-7619.6</v>
      </c>
      <c r="AH14" t="n">
        <v>-7563.2</v>
      </c>
    </row>
    <row r="15">
      <c r="A15" s="5" t="inlineStr">
        <is>
          <t>Profit/(Loss) after tax</t>
        </is>
      </c>
      <c r="B15" s="5" t="n">
        <v>181.2</v>
      </c>
      <c r="C15" s="5" t="n">
        <v>-5172.6</v>
      </c>
      <c r="D15" s="5" t="n">
        <v>1182.7</v>
      </c>
      <c r="E15" s="5" t="n">
        <v>1549.4</v>
      </c>
      <c r="F15" s="5" t="n">
        <v>3872.4</v>
      </c>
      <c r="G15" s="5" t="n">
        <v>-8291.5</v>
      </c>
      <c r="H15" s="5" t="n">
        <v>-17353.1</v>
      </c>
      <c r="I15" s="5" t="n">
        <v>-10453.4</v>
      </c>
      <c r="J15" s="5" t="n">
        <v>3859.6</v>
      </c>
      <c r="Y15" t="inlineStr">
        <is>
          <t>Profit/(Loss) after tax</t>
        </is>
      </c>
      <c r="Z15" t="n">
        <v>3859.6</v>
      </c>
      <c r="AA15" t="n">
        <v>-10453.4</v>
      </c>
      <c r="AB15" t="n">
        <v>-17353.1</v>
      </c>
      <c r="AC15" t="n">
        <v>-8291.5</v>
      </c>
      <c r="AD15" t="n">
        <v>3872.4</v>
      </c>
      <c r="AE15" t="n">
        <v>1549.4</v>
      </c>
      <c r="AF15" t="n">
        <v>1182.7</v>
      </c>
      <c r="AG15" t="n">
        <v>-5172.6</v>
      </c>
      <c r="AH15" t="n">
        <v>181.2</v>
      </c>
    </row>
    <row r="17">
      <c r="A17" s="3" t="inlineStr">
        <is>
          <t>Statement of Changes in Equity Summary (£'000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86444.60000000001</v>
      </c>
      <c r="C19" s="5" t="n">
        <v>92529.3</v>
      </c>
      <c r="D19" s="5" t="n">
        <v>92071.3</v>
      </c>
      <c r="E19" s="5" t="n">
        <v>86038.60000000001</v>
      </c>
      <c r="F19" s="5" t="n">
        <v>81051</v>
      </c>
      <c r="G19" s="5" t="n">
        <v>97563.5</v>
      </c>
      <c r="H19" s="5" t="n">
        <v>71617</v>
      </c>
      <c r="I19" s="5" t="n">
        <v>67406.10000000001</v>
      </c>
      <c r="J19" s="5" t="n">
        <v>65073.2</v>
      </c>
      <c r="AK19" t="inlineStr">
        <is>
          <t>Opening equity</t>
        </is>
      </c>
      <c r="AL19" t="n">
        <v>65073.2</v>
      </c>
      <c r="AM19" t="n">
        <v>67406.10000000001</v>
      </c>
      <c r="AN19" t="n">
        <v>71617</v>
      </c>
      <c r="AO19" t="n">
        <v>97563.5</v>
      </c>
      <c r="AP19" t="n">
        <v>81051</v>
      </c>
      <c r="AQ19" t="n">
        <v>86038.60000000001</v>
      </c>
      <c r="AR19" t="n">
        <v>92071.3</v>
      </c>
      <c r="AS19" t="n">
        <v>92529.3</v>
      </c>
      <c r="AT19" t="n">
        <v>86444.60000000001</v>
      </c>
    </row>
    <row r="20">
      <c r="A20" s="5" t="inlineStr">
        <is>
          <t>Total comprehensive income/(loss) for the year</t>
        </is>
      </c>
      <c r="B20" s="5" t="n">
        <v>1376.5</v>
      </c>
      <c r="C20" s="5" t="n">
        <v>-4135.4</v>
      </c>
      <c r="D20" s="5" t="n">
        <v>2421.1</v>
      </c>
      <c r="E20" s="5" t="n">
        <v>492.4</v>
      </c>
      <c r="F20" s="5" t="n">
        <v>1048</v>
      </c>
      <c r="G20" s="5" t="n">
        <v>-6965.8</v>
      </c>
      <c r="H20" s="5" t="n">
        <v>-17547.4</v>
      </c>
      <c r="I20" s="5" t="n">
        <v>-9484.799999999999</v>
      </c>
      <c r="J20" s="5" t="n">
        <v>2392.8</v>
      </c>
      <c r="AK20" t="inlineStr">
        <is>
          <t>Total comprehensive income/(loss) for the year</t>
        </is>
      </c>
      <c r="AL20" t="n">
        <v>2392.8</v>
      </c>
      <c r="AM20" t="n">
        <v>-9484.799999999999</v>
      </c>
      <c r="AN20" t="n">
        <v>-17547.4</v>
      </c>
      <c r="AO20" t="n">
        <v>-6965.8</v>
      </c>
      <c r="AP20" t="n">
        <v>1048</v>
      </c>
      <c r="AQ20" t="n">
        <v>492.4</v>
      </c>
      <c r="AR20" t="n">
        <v>2421.1</v>
      </c>
      <c r="AS20" t="n">
        <v>-4135.4</v>
      </c>
      <c r="AT20" t="n">
        <v>1376.5</v>
      </c>
    </row>
    <row r="21">
      <c r="A21" s="5" t="inlineStr">
        <is>
          <t>Closing equity</t>
        </is>
      </c>
      <c r="B21" s="5" t="n">
        <v>86022.10000000001</v>
      </c>
      <c r="C21" s="5" t="n">
        <v>86444.60000000001</v>
      </c>
      <c r="D21" s="5" t="n">
        <v>92529.3</v>
      </c>
      <c r="E21" s="5" t="n">
        <v>92071.3</v>
      </c>
      <c r="F21" s="5" t="n">
        <v>86038.60000000001</v>
      </c>
      <c r="G21" s="5" t="n">
        <v>81051</v>
      </c>
      <c r="H21" s="5" t="n">
        <v>97563.5</v>
      </c>
      <c r="I21" s="5" t="n">
        <v>71617</v>
      </c>
      <c r="J21" s="5" t="n">
        <v>67406.10000000001</v>
      </c>
      <c r="AK21" t="inlineStr">
        <is>
          <t>Closing equity</t>
        </is>
      </c>
      <c r="AL21" t="n">
        <v>67406.10000000001</v>
      </c>
      <c r="AM21" t="n">
        <v>71617</v>
      </c>
      <c r="AN21" t="n">
        <v>97563.5</v>
      </c>
      <c r="AO21" t="n">
        <v>81051</v>
      </c>
      <c r="AP21" t="n">
        <v>86038.60000000001</v>
      </c>
      <c r="AQ21" t="n">
        <v>92071.3</v>
      </c>
      <c r="AR21" t="n">
        <v>92529.3</v>
      </c>
      <c r="AS21" t="n">
        <v>86444.60000000001</v>
      </c>
      <c r="AT21" t="n">
        <v>86022.10000000001</v>
      </c>
    </row>
    <row r="23">
      <c r="A23" s="3" t="inlineStr">
        <is>
          <t>Cash Flow Summary (£'000)</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AX24" t="inlineStr">
        <is>
          <t>FY2018</t>
        </is>
      </c>
      <c r="AY24" t="inlineStr">
        <is>
          <t>FY2019</t>
        </is>
      </c>
      <c r="AZ24" t="inlineStr">
        <is>
          <t>FY2020</t>
        </is>
      </c>
      <c r="BA24" t="inlineStr">
        <is>
          <t>FY2021</t>
        </is>
      </c>
      <c r="BB24" t="inlineStr">
        <is>
          <t>FY2022</t>
        </is>
      </c>
      <c r="BC24" t="inlineStr">
        <is>
          <t>FY2023</t>
        </is>
      </c>
      <c r="BD24" t="inlineStr">
        <is>
          <t>FY2024</t>
        </is>
      </c>
      <c r="BE24" t="inlineStr">
        <is>
          <t>FY2025</t>
        </is>
      </c>
      <c r="BF24" t="inlineStr">
        <is>
          <t>FY2026</t>
        </is>
      </c>
    </row>
    <row r="25">
      <c r="A25" s="5" t="inlineStr">
        <is>
          <t>Net cash generated from/(used in) operating activities</t>
        </is>
      </c>
      <c r="B25" s="5" t="n">
        <v>-53859.5</v>
      </c>
      <c r="C25" s="5" t="n">
        <v>-18923.7</v>
      </c>
      <c r="D25" s="5" t="n">
        <v>38833.2</v>
      </c>
      <c r="E25" s="5" t="n">
        <v>-10372.8</v>
      </c>
      <c r="F25" s="5" t="n">
        <v>-22070.2</v>
      </c>
      <c r="G25" s="5" t="n">
        <v>26091.9</v>
      </c>
      <c r="H25" s="5" t="n">
        <v>-13541.3</v>
      </c>
      <c r="I25" s="5" t="n">
        <v>8330.799999999999</v>
      </c>
      <c r="J25" s="5" t="n">
        <v>20806.6</v>
      </c>
      <c r="AW25" t="inlineStr">
        <is>
          <t>Net cash generated from/(used in) operating activities</t>
        </is>
      </c>
      <c r="AX25" t="n">
        <v>20806.6</v>
      </c>
      <c r="AY25" t="n">
        <v>8330.799999999999</v>
      </c>
      <c r="AZ25" t="n">
        <v>-13541.3</v>
      </c>
      <c r="BA25" t="n">
        <v>26091.9</v>
      </c>
      <c r="BB25" t="n">
        <v>-22070.2</v>
      </c>
      <c r="BC25" t="n">
        <v>-10372.8</v>
      </c>
      <c r="BD25" t="n">
        <v>38833.2</v>
      </c>
      <c r="BE25" t="n">
        <v>-18923.7</v>
      </c>
      <c r="BF25" t="n">
        <v>-53859.5</v>
      </c>
    </row>
    <row r="26">
      <c r="A26" s="5" t="inlineStr">
        <is>
          <t>Net cash generated from/(used in) investing activities</t>
        </is>
      </c>
      <c r="B26" s="5" t="n">
        <v>-512.3</v>
      </c>
      <c r="C26" s="5" t="n">
        <v>12698.2</v>
      </c>
      <c r="D26" s="5" t="n">
        <v>-17630.6</v>
      </c>
      <c r="E26" s="5" t="n">
        <v>2537.6</v>
      </c>
      <c r="F26" s="5" t="n">
        <v>17361.4</v>
      </c>
      <c r="G26" s="5" t="n">
        <v>-23141.1</v>
      </c>
      <c r="H26" s="5" t="n">
        <v>23879.5</v>
      </c>
      <c r="I26" s="5" t="n">
        <v>-12333.2</v>
      </c>
      <c r="J26" s="5" t="n">
        <v>-37031.4</v>
      </c>
      <c r="AW26" t="inlineStr">
        <is>
          <t>Net cash generated from/(used in) investing activities</t>
        </is>
      </c>
      <c r="AX26" t="n">
        <v>-37031.4</v>
      </c>
      <c r="AY26" t="n">
        <v>-12333.2</v>
      </c>
      <c r="AZ26" t="n">
        <v>23879.5</v>
      </c>
      <c r="BA26" t="n">
        <v>-23141.1</v>
      </c>
      <c r="BB26" t="n">
        <v>17361.4</v>
      </c>
      <c r="BC26" t="n">
        <v>2537.6</v>
      </c>
      <c r="BD26" t="n">
        <v>-17630.6</v>
      </c>
      <c r="BE26" t="n">
        <v>12698.2</v>
      </c>
      <c r="BF26" t="n">
        <v>-512.3</v>
      </c>
    </row>
    <row r="27">
      <c r="A27" s="5" t="inlineStr">
        <is>
          <t>Net cash generated from/(used in) financing activities</t>
        </is>
      </c>
      <c r="B27" s="5" t="n">
        <v>54726.7</v>
      </c>
      <c r="C27" s="5" t="n">
        <v>10910.4</v>
      </c>
      <c r="D27" s="5" t="n">
        <v>-29467.5</v>
      </c>
      <c r="E27" s="5" t="n">
        <v>19322.4</v>
      </c>
      <c r="F27" s="5" t="n">
        <v>4013.4</v>
      </c>
      <c r="G27" s="5" t="n">
        <v>-3151.7</v>
      </c>
      <c r="H27" s="5" t="n">
        <v>-8634.5</v>
      </c>
      <c r="I27" s="5" t="n">
        <v>6207.4</v>
      </c>
      <c r="J27" s="5" t="n">
        <v>16550.4</v>
      </c>
      <c r="AW27" t="inlineStr">
        <is>
          <t>Net cash generated from/(used in) financing activities</t>
        </is>
      </c>
      <c r="AX27" t="n">
        <v>16550.4</v>
      </c>
      <c r="AY27" t="n">
        <v>6207.4</v>
      </c>
      <c r="AZ27" t="n">
        <v>-8634.5</v>
      </c>
      <c r="BA27" t="n">
        <v>-3151.7</v>
      </c>
      <c r="BB27" t="n">
        <v>4013.4</v>
      </c>
      <c r="BC27" t="n">
        <v>19322.4</v>
      </c>
      <c r="BD27" t="n">
        <v>-29467.5</v>
      </c>
      <c r="BE27" t="n">
        <v>10910.4</v>
      </c>
      <c r="BF27" t="n">
        <v>54726.7</v>
      </c>
    </row>
    <row r="28">
      <c r="A28" s="5" t="inlineStr">
        <is>
          <t>Cash and cash equivalents at end of year</t>
        </is>
      </c>
      <c r="B28" s="5" t="n">
        <v>10695.7</v>
      </c>
      <c r="C28" s="5" t="n">
        <v>11111.5</v>
      </c>
      <c r="D28" s="5" t="n">
        <v>6625.9</v>
      </c>
      <c r="E28" s="5" t="n">
        <v>15657.2</v>
      </c>
      <c r="F28" s="5" t="n">
        <v>3796.7</v>
      </c>
      <c r="G28" s="5" t="n">
        <v>4661.6</v>
      </c>
      <c r="H28" s="5" t="n">
        <v>5042.1</v>
      </c>
      <c r="I28" s="5" t="n">
        <v>3239.2</v>
      </c>
      <c r="J28" s="5" t="n">
        <v>1011.9</v>
      </c>
      <c r="AW28" t="inlineStr">
        <is>
          <t>Cash and cash equivalents at end of year</t>
        </is>
      </c>
      <c r="AX28" t="n">
        <v>1011.9</v>
      </c>
      <c r="AY28" t="n">
        <v>3239.2</v>
      </c>
      <c r="AZ28" t="n">
        <v>5042.1</v>
      </c>
      <c r="BA28" t="n">
        <v>4661.6</v>
      </c>
      <c r="BB28" t="n">
        <v>3796.7</v>
      </c>
      <c r="BC28" t="n">
        <v>15657.2</v>
      </c>
      <c r="BD28" t="n">
        <v>6625.9</v>
      </c>
      <c r="BE28" t="n">
        <v>11111.5</v>
      </c>
      <c r="BF28" t="n">
        <v>10695.7</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row>
    <row r="32">
      <c r="A32" s="6" t="inlineStr">
        <is>
          <t>CET1 Ratio</t>
        </is>
      </c>
      <c r="B32" s="6" t="n"/>
      <c r="C32" s="6" t="inlineStr">
        <is>
          <t>27.20%</t>
        </is>
      </c>
      <c r="D32" s="6" t="inlineStr">
        <is>
          <t>27.67%</t>
        </is>
      </c>
      <c r="E32" s="6" t="inlineStr">
        <is>
          <t>29.50%</t>
        </is>
      </c>
      <c r="F32" s="6" t="inlineStr">
        <is>
          <t>32.05%</t>
        </is>
      </c>
      <c r="G32" s="6" t="inlineStr">
        <is>
          <t>32.37%</t>
        </is>
      </c>
      <c r="H32" s="6" t="inlineStr">
        <is>
          <t>34.02%</t>
        </is>
      </c>
      <c r="I32" s="6" t="inlineStr">
        <is>
          <t>20.95%</t>
        </is>
      </c>
      <c r="J32" s="6" t="inlineStr">
        <is>
          <t>20.55%</t>
        </is>
      </c>
    </row>
    <row r="33">
      <c r="A33" s="6" t="inlineStr">
        <is>
          <t>Tier 1 Ratio</t>
        </is>
      </c>
      <c r="B33" s="6" t="n"/>
      <c r="C33" s="6" t="inlineStr">
        <is>
          <t>27.20%</t>
        </is>
      </c>
      <c r="D33" s="6" t="inlineStr">
        <is>
          <t>27.67%</t>
        </is>
      </c>
      <c r="E33" s="6" t="inlineStr">
        <is>
          <t>29.50%</t>
        </is>
      </c>
      <c r="F33" s="6" t="inlineStr">
        <is>
          <t>32.05%</t>
        </is>
      </c>
      <c r="G33" s="6" t="inlineStr">
        <is>
          <t>32.37%</t>
        </is>
      </c>
      <c r="H33" s="6" t="inlineStr">
        <is>
          <t>34.02%</t>
        </is>
      </c>
      <c r="I33" s="6" t="inlineStr">
        <is>
          <t>20.95%</t>
        </is>
      </c>
      <c r="J33" s="6" t="inlineStr">
        <is>
          <t>20.55%</t>
        </is>
      </c>
    </row>
    <row r="34">
      <c r="A34" s="6" t="inlineStr">
        <is>
          <t>Total Capital Ratio</t>
        </is>
      </c>
      <c r="B34" s="6" t="n"/>
      <c r="C34" s="6" t="inlineStr">
        <is>
          <t>27.20%</t>
        </is>
      </c>
      <c r="D34" s="6" t="inlineStr">
        <is>
          <t>27.67%</t>
        </is>
      </c>
      <c r="E34" s="6" t="inlineStr">
        <is>
          <t>29.50%</t>
        </is>
      </c>
      <c r="F34" s="6" t="inlineStr">
        <is>
          <t>32.05%</t>
        </is>
      </c>
      <c r="G34" s="6" t="inlineStr">
        <is>
          <t>33.52%</t>
        </is>
      </c>
      <c r="H34" s="6" t="inlineStr">
        <is>
          <t>34.02%</t>
        </is>
      </c>
      <c r="I34" s="6" t="inlineStr">
        <is>
          <t>20.95%</t>
        </is>
      </c>
      <c r="J34" s="6" t="inlineStr">
        <is>
          <t>20.55%</t>
        </is>
      </c>
    </row>
    <row r="35">
      <c r="A35" s="6" t="inlineStr">
        <is>
          <t>Leverage Ratio</t>
        </is>
      </c>
      <c r="B35" s="6" t="n"/>
      <c r="C35" s="6" t="inlineStr">
        <is>
          <t>22.43%</t>
        </is>
      </c>
      <c r="D35" s="6" t="inlineStr">
        <is>
          <t>22.81%</t>
        </is>
      </c>
      <c r="E35" s="6" t="inlineStr">
        <is>
          <t>23.92%</t>
        </is>
      </c>
      <c r="F35" s="6" t="inlineStr">
        <is>
          <t>27.49%</t>
        </is>
      </c>
      <c r="G35" s="6" t="inlineStr">
        <is>
          <t>27.57%</t>
        </is>
      </c>
      <c r="H35" s="6" t="inlineStr">
        <is>
          <t>29.43%</t>
        </is>
      </c>
      <c r="I35" s="6" t="inlineStr">
        <is>
          <t>20.19%</t>
        </is>
      </c>
      <c r="J35" s="6" t="inlineStr">
        <is>
          <t>21.23%</t>
        </is>
      </c>
    </row>
    <row r="36">
      <c r="A36" s="6" t="inlineStr">
        <is>
          <t>LCR</t>
        </is>
      </c>
      <c r="B36" s="6" t="n"/>
      <c r="C36" s="6" t="inlineStr">
        <is>
          <t>1457%</t>
        </is>
      </c>
      <c r="D36" s="6" t="inlineStr">
        <is>
          <t>910%</t>
        </is>
      </c>
      <c r="E36" s="6" t="inlineStr">
        <is>
          <t>2971%</t>
        </is>
      </c>
      <c r="F36" s="6" t="inlineStr">
        <is>
          <t>951%</t>
        </is>
      </c>
      <c r="G36" s="6" t="inlineStr">
        <is>
          <t>1446%</t>
        </is>
      </c>
      <c r="H36" s="6" t="inlineStr">
        <is>
          <t>1486%</t>
        </is>
      </c>
      <c r="I36" s="6" t="inlineStr">
        <is>
          <t>1113%</t>
        </is>
      </c>
      <c r="J36" s="6" t="inlineStr">
        <is>
          <t>409%</t>
        </is>
      </c>
    </row>
    <row r="37">
      <c r="A37" s="6" t="inlineStr">
        <is>
          <t>NSFR</t>
        </is>
      </c>
      <c r="B37" s="6" t="n"/>
      <c r="C37" s="6" t="inlineStr">
        <is>
          <t>136%</t>
        </is>
      </c>
      <c r="D37" s="6" t="inlineStr">
        <is>
          <t>131%</t>
        </is>
      </c>
      <c r="E37" s="6" t="inlineStr">
        <is>
          <t>145%</t>
        </is>
      </c>
      <c r="F37" s="6" t="inlineStr">
        <is>
          <t>140%</t>
        </is>
      </c>
      <c r="G37" s="6" t="n"/>
      <c r="H37" s="6" t="n"/>
      <c r="I37" s="6" t="n"/>
      <c r="J37" s="6" t="n"/>
    </row>
    <row r="39" ht="45" customHeight="1">
      <c r="A39" s="7" t="inlineStr">
        <is>
          <t>Note: FY2026 was added on 2026-09-15 from the Annual Report and Financial Statements for the year ended 31 March 2026 (approved 16 June 2026), published on the Bank's own disclosures/financial-reports page. IMPORTANT: FY2026 populates the Balance Sheet, Profit &amp; Loss, Statement of Changes in Equity, Cash Flow Statement and Asset Quality sheets only. Every Pillar 3 sheet (CET1/Tier 1/Total Capital and their ratios, Total RWAs, RWA Breakdown, Leverage Ratio, LCR, NSFR) is blank for FY2026 because no FY2026 Pillar 3 Disclosure has been published yet and the FY2026 Annual Report gives no quantitative capital, RWA or liquidity figure anywhere - nothing was derived to fill the gap.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Assets</t>
        </is>
      </c>
      <c r="B4" s="6" t="n"/>
      <c r="C4" s="6" t="n"/>
      <c r="D4" s="6" t="n"/>
      <c r="E4" s="6" t="n"/>
      <c r="F4" s="6" t="n"/>
      <c r="G4" s="6" t="n"/>
      <c r="H4" s="6" t="n"/>
      <c r="I4" s="6" t="n"/>
      <c r="J4" s="6" t="n"/>
    </row>
    <row r="5">
      <c r="A5" s="6" t="inlineStr">
        <is>
          <t>Cash and cash equivalents</t>
        </is>
      </c>
      <c r="B5" s="6" t="n">
        <v>10876.6</v>
      </c>
      <c r="C5" s="6" t="n">
        <v>10995.4</v>
      </c>
      <c r="D5" s="6" t="n">
        <v>6599.1</v>
      </c>
      <c r="E5" s="6" t="n">
        <v>15250.7</v>
      </c>
      <c r="F5" s="6" t="n">
        <v>3928</v>
      </c>
      <c r="G5" s="6" t="n">
        <v>4457.8</v>
      </c>
      <c r="H5" s="6" t="n">
        <v>5168.9</v>
      </c>
      <c r="I5" s="6" t="n">
        <v>3257.1</v>
      </c>
      <c r="J5" s="6" t="n">
        <v>965.6</v>
      </c>
    </row>
    <row r="6">
      <c r="A6" s="6" t="inlineStr">
        <is>
          <t>Loans and advances to Banks</t>
        </is>
      </c>
      <c r="B6" s="6" t="n">
        <v>65213.1</v>
      </c>
      <c r="C6" s="6" t="n">
        <v>15648.3</v>
      </c>
      <c r="D6" s="6" t="n">
        <v>34061.9</v>
      </c>
      <c r="E6" s="6" t="n">
        <v>46886.9</v>
      </c>
      <c r="F6" s="6" t="n">
        <v>14582.9</v>
      </c>
      <c r="G6" s="6" t="n">
        <v>5798.8</v>
      </c>
      <c r="H6" s="6" t="n">
        <v>35518.8</v>
      </c>
      <c r="I6" s="6" t="n">
        <v>20212.6</v>
      </c>
      <c r="J6" s="6" t="n">
        <v>0</v>
      </c>
    </row>
    <row r="7">
      <c r="A7" s="6" t="inlineStr">
        <is>
          <t>Loans and advances to customers</t>
        </is>
      </c>
      <c r="B7" s="6" t="n">
        <v>264218.2</v>
      </c>
      <c r="C7" s="6" t="n">
        <v>263697.9</v>
      </c>
      <c r="D7" s="6" t="n">
        <v>268880.6</v>
      </c>
      <c r="E7" s="6" t="n">
        <v>257982</v>
      </c>
      <c r="F7" s="6" t="n">
        <v>217922.8</v>
      </c>
      <c r="G7" s="6" t="n">
        <v>186109.7</v>
      </c>
      <c r="H7" s="6" t="n">
        <v>206621.8</v>
      </c>
      <c r="I7" s="6" t="n">
        <v>231815</v>
      </c>
      <c r="J7" s="6" t="n">
        <v>240018.5</v>
      </c>
    </row>
    <row r="8">
      <c r="A8" s="6" t="inlineStr">
        <is>
          <t>Financial investments (amortised cost)</t>
        </is>
      </c>
      <c r="B8" s="6" t="n">
        <v>0</v>
      </c>
      <c r="C8" s="6" t="n">
        <v>1546.9</v>
      </c>
      <c r="D8" s="6" t="n">
        <v>3944.7</v>
      </c>
      <c r="E8" s="6" t="n">
        <v>5560.5</v>
      </c>
      <c r="F8" s="6" t="n">
        <v>8962.200000000001</v>
      </c>
      <c r="G8" s="6" t="n">
        <v>12560.9</v>
      </c>
      <c r="H8" s="6" t="n">
        <v>9725.1</v>
      </c>
      <c r="I8" s="6" t="n">
        <v>9392.9</v>
      </c>
      <c r="J8" s="6" t="n">
        <v>9839</v>
      </c>
    </row>
    <row r="9">
      <c r="A9" s="6" t="inlineStr">
        <is>
          <t>Financial investments (FVTPL)</t>
        </is>
      </c>
      <c r="B9" s="6" t="n">
        <v>1744</v>
      </c>
      <c r="C9" s="6" t="n">
        <v>2138.7</v>
      </c>
      <c r="D9" s="6" t="n">
        <v>2588.7</v>
      </c>
      <c r="E9" s="6" t="n">
        <v>1805.2</v>
      </c>
      <c r="F9" s="6" t="n">
        <v>1101.7</v>
      </c>
      <c r="G9" s="6" t="n">
        <v>953.9</v>
      </c>
      <c r="H9" s="6" t="n"/>
      <c r="I9" s="6" t="n">
        <v>0</v>
      </c>
      <c r="J9" s="6" t="n">
        <v>1365.4</v>
      </c>
    </row>
    <row r="10">
      <c r="A10" s="6" t="inlineStr">
        <is>
          <t>Derivative financial instruments (assets)</t>
        </is>
      </c>
      <c r="B10" s="6" t="n">
        <v>0</v>
      </c>
      <c r="C10" s="6" t="n">
        <v>0</v>
      </c>
      <c r="D10" s="6" t="n">
        <v>0</v>
      </c>
      <c r="E10" s="6" t="n">
        <v>181.2</v>
      </c>
      <c r="F10" s="6" t="n">
        <v>0</v>
      </c>
      <c r="G10" s="6" t="n">
        <v>1040.9</v>
      </c>
      <c r="H10" s="6" t="n">
        <v>0</v>
      </c>
      <c r="I10" s="6" t="n">
        <v>313.9</v>
      </c>
      <c r="J10" s="6" t="n">
        <v>0</v>
      </c>
    </row>
    <row r="11">
      <c r="A11" s="6" t="inlineStr">
        <is>
          <t>Financial investments (FVOCI)</t>
        </is>
      </c>
      <c r="B11" s="6" t="n">
        <v>76745.5</v>
      </c>
      <c r="C11" s="6" t="n">
        <v>73449.3</v>
      </c>
      <c r="D11" s="6" t="n">
        <v>81980.7</v>
      </c>
      <c r="E11" s="6" t="n">
        <v>62607.6</v>
      </c>
      <c r="F11" s="6" t="n">
        <v>57683.5</v>
      </c>
      <c r="G11" s="6" t="n">
        <v>71185.10000000001</v>
      </c>
      <c r="H11" s="6" t="n">
        <v>58504.4</v>
      </c>
      <c r="I11" s="6" t="n">
        <v>79254</v>
      </c>
      <c r="J11" s="6" t="n">
        <v>58633.9</v>
      </c>
    </row>
    <row r="12">
      <c r="A12" s="6" t="inlineStr">
        <is>
          <t>Property, plant and equipment</t>
        </is>
      </c>
      <c r="B12" s="6" t="n">
        <v>3019.4</v>
      </c>
      <c r="C12" s="6" t="n">
        <v>3552.3</v>
      </c>
      <c r="D12" s="6" t="n">
        <v>4122.1</v>
      </c>
      <c r="E12" s="6" t="n">
        <v>193.3</v>
      </c>
      <c r="F12" s="6" t="n">
        <v>489.3</v>
      </c>
      <c r="G12" s="6" t="n">
        <v>708.9</v>
      </c>
      <c r="H12" s="6" t="n">
        <v>1119.1</v>
      </c>
      <c r="I12" s="6" t="n">
        <v>222.6</v>
      </c>
      <c r="J12" s="6" t="n">
        <v>281.5</v>
      </c>
    </row>
    <row r="13">
      <c r="A13" s="6" t="inlineStr">
        <is>
          <t>Intangible assets</t>
        </is>
      </c>
      <c r="B13" s="6" t="n">
        <v>315.4</v>
      </c>
      <c r="C13" s="6" t="n">
        <v>13.9</v>
      </c>
      <c r="D13" s="6" t="n">
        <v>56.2</v>
      </c>
      <c r="E13" s="6" t="n">
        <v>106.8</v>
      </c>
      <c r="F13" s="6" t="n">
        <v>114.7</v>
      </c>
      <c r="G13" s="6" t="n">
        <v>71.8</v>
      </c>
      <c r="H13" s="6" t="n">
        <v>185.4</v>
      </c>
      <c r="I13" s="6" t="n">
        <v>125.9</v>
      </c>
      <c r="J13" s="6" t="n">
        <v>34.9</v>
      </c>
    </row>
    <row r="14">
      <c r="A14" s="6" t="inlineStr">
        <is>
          <t>Capital work in progress</t>
        </is>
      </c>
      <c r="B14" s="6" t="n">
        <v>0</v>
      </c>
      <c r="C14" s="6" t="n">
        <v>0</v>
      </c>
      <c r="D14" s="6" t="n">
        <v>0</v>
      </c>
      <c r="E14" s="6" t="n">
        <v>0</v>
      </c>
      <c r="F14" s="6" t="n">
        <v>0</v>
      </c>
      <c r="G14" s="6" t="n">
        <v>29.7</v>
      </c>
      <c r="H14" s="6" t="n">
        <v>0</v>
      </c>
      <c r="I14" s="6" t="n">
        <v>53.7</v>
      </c>
      <c r="J14" s="6" t="n">
        <v>49.9</v>
      </c>
    </row>
    <row r="15">
      <c r="A15" s="6" t="inlineStr">
        <is>
          <t>Deferred tax assets (net)</t>
        </is>
      </c>
      <c r="B15" s="6" t="n"/>
      <c r="C15" s="6" t="n"/>
      <c r="D15" s="6" t="n"/>
      <c r="E15" s="6" t="n"/>
      <c r="F15" s="6" t="n"/>
      <c r="G15" s="6" t="n"/>
      <c r="H15" s="6" t="n"/>
      <c r="I15" s="6" t="n">
        <v>1820.4</v>
      </c>
      <c r="J15" s="6" t="n">
        <v>576.5</v>
      </c>
    </row>
    <row r="16">
      <c r="A16" s="6" t="inlineStr">
        <is>
          <t>Other assets</t>
        </is>
      </c>
      <c r="B16" s="6" t="n">
        <v>722.6</v>
      </c>
      <c r="C16" s="6" t="n">
        <v>1550</v>
      </c>
      <c r="D16" s="6" t="n">
        <v>1109.9</v>
      </c>
      <c r="E16" s="6" t="n">
        <v>566.2</v>
      </c>
      <c r="F16" s="6" t="n">
        <v>1099.4</v>
      </c>
      <c r="G16" s="6" t="n">
        <v>653.8</v>
      </c>
      <c r="H16" s="6" t="n">
        <v>4051.4</v>
      </c>
      <c r="I16" s="6" t="n">
        <v>2034.5</v>
      </c>
      <c r="J16" s="6" t="n">
        <v>1278.4</v>
      </c>
    </row>
    <row r="17">
      <c r="A17" s="5" t="inlineStr">
        <is>
          <t>Total Assets</t>
        </is>
      </c>
      <c r="B17" s="5" t="n">
        <v>422854.9</v>
      </c>
      <c r="C17" s="5" t="n">
        <v>372592.6</v>
      </c>
      <c r="D17" s="5" t="n">
        <v>403343.9</v>
      </c>
      <c r="E17" s="5" t="n">
        <v>391140.4</v>
      </c>
      <c r="F17" s="5" t="n">
        <v>305884.4</v>
      </c>
      <c r="G17" s="5" t="n">
        <v>283571.3</v>
      </c>
      <c r="H17" s="5" t="n">
        <v>320893.3</v>
      </c>
      <c r="I17" s="5" t="n">
        <v>348503.5</v>
      </c>
      <c r="J17" s="5" t="n">
        <v>313043.5</v>
      </c>
    </row>
    <row r="18">
      <c r="A18" s="5" t="inlineStr">
        <is>
          <t>Liabilities</t>
        </is>
      </c>
      <c r="B18" s="6" t="n"/>
      <c r="C18" s="6" t="n"/>
      <c r="D18" s="6" t="n"/>
      <c r="E18" s="6" t="n"/>
      <c r="F18" s="6" t="n"/>
      <c r="G18" s="6" t="n"/>
      <c r="H18" s="6" t="n"/>
      <c r="I18" s="6" t="n"/>
      <c r="J18" s="6" t="n"/>
    </row>
    <row r="19">
      <c r="A19" s="6" t="inlineStr">
        <is>
          <t>Deposits from Banks</t>
        </is>
      </c>
      <c r="B19" s="6" t="n">
        <v>46207.9</v>
      </c>
      <c r="C19" s="6" t="n">
        <v>0</v>
      </c>
      <c r="D19" s="6" t="n">
        <v>0</v>
      </c>
      <c r="E19" s="6" t="n">
        <v>28976.1</v>
      </c>
      <c r="F19" s="6" t="n">
        <v>4566.9</v>
      </c>
      <c r="G19" s="6" t="n">
        <v>0</v>
      </c>
      <c r="H19" s="6" t="n">
        <v>17137.8</v>
      </c>
      <c r="I19" s="6" t="n">
        <v>22553.3</v>
      </c>
      <c r="J19" s="6" t="n">
        <v>22903.2</v>
      </c>
    </row>
    <row r="20">
      <c r="A20" s="6" t="inlineStr">
        <is>
          <t>Intra-group borrowings</t>
        </is>
      </c>
      <c r="B20" s="6" t="n"/>
      <c r="C20" s="6" t="n"/>
      <c r="D20" s="6" t="n"/>
      <c r="E20" s="6" t="n"/>
      <c r="F20" s="6" t="n"/>
      <c r="G20" s="6" t="n"/>
      <c r="H20" s="6" t="n">
        <v>0</v>
      </c>
      <c r="I20" s="6" t="n">
        <v>46480.4</v>
      </c>
      <c r="J20" s="6" t="n">
        <v>44487.3</v>
      </c>
    </row>
    <row r="21">
      <c r="A21" s="6" t="inlineStr">
        <is>
          <t>Deposits from customers</t>
        </is>
      </c>
      <c r="B21" s="6" t="n">
        <v>262605.4</v>
      </c>
      <c r="C21" s="6" t="n">
        <v>270048.8</v>
      </c>
      <c r="D21" s="6" t="n">
        <v>306793.1</v>
      </c>
      <c r="E21" s="6" t="n">
        <v>268913</v>
      </c>
      <c r="F21" s="6" t="n">
        <v>209380.8</v>
      </c>
      <c r="G21" s="6" t="n">
        <v>196528</v>
      </c>
      <c r="H21" s="6" t="n">
        <v>195048</v>
      </c>
      <c r="I21" s="6" t="n">
        <v>184020</v>
      </c>
      <c r="J21" s="6" t="n">
        <v>153613.6</v>
      </c>
    </row>
    <row r="22">
      <c r="A22" s="6" t="inlineStr">
        <is>
          <t>Repurchase agreements</t>
        </is>
      </c>
      <c r="B22" s="6" t="n">
        <v>23431.9</v>
      </c>
      <c r="C22" s="6" t="n">
        <v>11804.8</v>
      </c>
      <c r="D22" s="6" t="n">
        <v>0</v>
      </c>
      <c r="E22" s="6" t="n">
        <v>0</v>
      </c>
      <c r="F22" s="6" t="n">
        <v>3912</v>
      </c>
      <c r="G22" s="6" t="n">
        <v>3785.9</v>
      </c>
      <c r="H22" s="6" t="n">
        <v>7208.7</v>
      </c>
      <c r="I22" s="6" t="n">
        <v>23274</v>
      </c>
      <c r="J22" s="6" t="n">
        <v>23573.7</v>
      </c>
    </row>
    <row r="23">
      <c r="A23" s="6" t="inlineStr">
        <is>
          <t>Derivative financial instruments (liabilities)</t>
        </is>
      </c>
      <c r="B23" s="6" t="n">
        <v>284.3</v>
      </c>
      <c r="C23" s="6" t="n">
        <v>1112.3</v>
      </c>
      <c r="D23" s="6" t="n">
        <v>153.6</v>
      </c>
      <c r="E23" s="6" t="n">
        <v>0</v>
      </c>
      <c r="F23" s="6" t="n">
        <v>445.2</v>
      </c>
      <c r="G23" s="6" t="n">
        <v>0</v>
      </c>
      <c r="H23" s="6" t="n">
        <v>2588.1</v>
      </c>
      <c r="I23" s="6" t="n">
        <v>0</v>
      </c>
      <c r="J23" s="6" t="n">
        <v>303.6</v>
      </c>
    </row>
    <row r="24">
      <c r="A24" s="6" t="inlineStr">
        <is>
          <t>Provisions</t>
        </is>
      </c>
      <c r="B24" s="6" t="n">
        <v>148.6</v>
      </c>
      <c r="C24" s="6" t="n">
        <v>142.5</v>
      </c>
      <c r="D24" s="6" t="n">
        <v>136.2</v>
      </c>
      <c r="E24" s="6" t="n">
        <v>91.40000000000001</v>
      </c>
      <c r="F24" s="6" t="n">
        <v>85.90000000000001</v>
      </c>
      <c r="G24" s="6" t="n">
        <v>82.59999999999999</v>
      </c>
      <c r="H24" s="6" t="n">
        <v>90.3</v>
      </c>
      <c r="I24" s="6" t="n"/>
      <c r="J24" s="6" t="n"/>
    </row>
    <row r="25">
      <c r="A25" s="6" t="inlineStr">
        <is>
          <t>Other liabilities</t>
        </is>
      </c>
      <c r="B25" s="6" t="n">
        <v>4154.5</v>
      </c>
      <c r="C25" s="6" t="n">
        <v>3039.5</v>
      </c>
      <c r="D25" s="6" t="n">
        <v>3731.8</v>
      </c>
      <c r="E25" s="6" t="n">
        <v>1089.5</v>
      </c>
      <c r="F25" s="6" t="n">
        <v>1454.9</v>
      </c>
      <c r="G25" s="6" t="n">
        <v>2123.8</v>
      </c>
      <c r="H25" s="6" t="n">
        <v>1256.1</v>
      </c>
      <c r="I25" s="6" t="n">
        <v>560.2</v>
      </c>
      <c r="J25" s="6" t="n">
        <v>756.1</v>
      </c>
    </row>
    <row r="26">
      <c r="A26" s="5" t="inlineStr">
        <is>
          <t>Total Liabilities</t>
        </is>
      </c>
      <c r="B26" s="5" t="n">
        <v>336832.7</v>
      </c>
      <c r="C26" s="5" t="n">
        <v>286147.9</v>
      </c>
      <c r="D26" s="5" t="n">
        <v>310814.6</v>
      </c>
      <c r="E26" s="5" t="n">
        <v>299069.9</v>
      </c>
      <c r="F26" s="5" t="n">
        <v>219845.8</v>
      </c>
      <c r="G26" s="5" t="n">
        <v>202520.3</v>
      </c>
      <c r="H26" s="5" t="n">
        <v>223329</v>
      </c>
      <c r="I26" s="5" t="n">
        <v>276888</v>
      </c>
      <c r="J26" s="5" t="n">
        <v>245637.4</v>
      </c>
    </row>
    <row r="27">
      <c r="A27" s="5" t="inlineStr">
        <is>
          <t>Equity</t>
        </is>
      </c>
      <c r="B27" s="6" t="n"/>
      <c r="C27" s="6" t="n"/>
      <c r="D27" s="6" t="n"/>
      <c r="E27" s="6" t="n"/>
      <c r="F27" s="6" t="n"/>
      <c r="G27" s="6" t="n"/>
      <c r="H27" s="6" t="n"/>
      <c r="I27" s="6" t="n"/>
      <c r="J27" s="6" t="n"/>
    </row>
    <row r="28">
      <c r="A28" s="6" t="inlineStr">
        <is>
          <t>Share capital</t>
        </is>
      </c>
      <c r="B28" s="6" t="n">
        <v>113739.8</v>
      </c>
      <c r="C28" s="6" t="n">
        <v>116189</v>
      </c>
      <c r="D28" s="6" t="n">
        <v>118746</v>
      </c>
      <c r="E28" s="6" t="n">
        <v>121320</v>
      </c>
      <c r="F28" s="6" t="n">
        <v>113964.4</v>
      </c>
      <c r="G28" s="6" t="n">
        <v>108727.2</v>
      </c>
      <c r="H28" s="6" t="n">
        <v>120938.5</v>
      </c>
      <c r="I28" s="6" t="n">
        <v>76746</v>
      </c>
      <c r="J28" s="6" t="n">
        <v>64134.5</v>
      </c>
    </row>
    <row r="29">
      <c r="A29" s="6" t="inlineStr">
        <is>
          <t>Fair value reserves</t>
        </is>
      </c>
      <c r="B29" s="6" t="n">
        <v>-72.8</v>
      </c>
      <c r="C29" s="6" t="n">
        <v>-1316</v>
      </c>
      <c r="D29" s="6" t="n">
        <v>-2393.9</v>
      </c>
      <c r="E29" s="6" t="n">
        <v>-3705.9</v>
      </c>
      <c r="F29" s="6" t="n">
        <v>-2514.1</v>
      </c>
      <c r="G29" s="6" t="n">
        <v>389.2</v>
      </c>
      <c r="H29" s="6" t="n">
        <v>-976.4</v>
      </c>
      <c r="I29" s="6" t="n">
        <v>-739.8</v>
      </c>
      <c r="J29" s="6" t="n">
        <v>-1765.8</v>
      </c>
    </row>
    <row r="30">
      <c r="A30" s="6" t="inlineStr">
        <is>
          <t>Accumulated losses</t>
        </is>
      </c>
      <c r="B30" s="6" t="n">
        <v>-27644.8</v>
      </c>
      <c r="C30" s="6" t="n">
        <v>-28428.4</v>
      </c>
      <c r="D30" s="6" t="n">
        <v>-23822.8</v>
      </c>
      <c r="E30" s="6" t="n">
        <v>-25542.7</v>
      </c>
      <c r="F30" s="6" t="n">
        <v>-25411.8</v>
      </c>
      <c r="G30" s="6" t="n">
        <v>-28065.4</v>
      </c>
      <c r="H30" s="6" t="n">
        <v>-22398.6</v>
      </c>
      <c r="I30" s="6" t="n">
        <v>-4389.1</v>
      </c>
      <c r="J30" s="6" t="n">
        <v>5037.4</v>
      </c>
    </row>
    <row r="31">
      <c r="A31" s="5" t="inlineStr">
        <is>
          <t>Total Shareholder's equity</t>
        </is>
      </c>
      <c r="B31" s="5" t="n">
        <v>86022.10000000001</v>
      </c>
      <c r="C31" s="5" t="n">
        <v>86444.60000000001</v>
      </c>
      <c r="D31" s="5" t="n">
        <v>92529.3</v>
      </c>
      <c r="E31" s="5" t="n">
        <v>92071.3</v>
      </c>
      <c r="F31" s="5" t="n">
        <v>86038.60000000001</v>
      </c>
      <c r="G31" s="5" t="n">
        <v>81051</v>
      </c>
      <c r="H31" s="5" t="n">
        <v>97563.5</v>
      </c>
      <c r="I31" s="5" t="n">
        <v>71617</v>
      </c>
      <c r="J31" s="5" t="n">
        <v>67406.10000000001</v>
      </c>
    </row>
    <row r="33" ht="380" customHeight="1">
      <c r="A33" s="8" t="inlineStr">
        <is>
          <t>Sources - all figures are Union Bank of India (UK) Limited's own Statement of Financial Position (converted from USD to £, see FX conversion note below):
FY2026: Annual Report and Financial Statements, year ended 31 March 2026, p.32-33 (Statement of Financial Position) - https://www.unionbankofindiauk.co.uk/Portals/0/Annual%20Accounts%20UBIUK%202026%20Signed_1.pdf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FY2020: Financial Statements, year ended 31 March 2020, p.30-31 (Statement of Financial Position) - https://www.unionbankofindiauk.co.uk/Portals/0/pdf/Financial_Statements_UBI_UK_Mar_20_(Final)_Signed.pdf
FY2019: Annual Accounts, year ended 31 March 2019, p.24 (Statement of Financial Position) - https://www.unionbankofindiauk.co.uk/Portals/0/pdf/Annual_report_-_31_03_19_Signed..pdf
FY2018: Annual Accounts, year ended 31 March 2018, p.22 (Statement of Financial Position) - https://www.unionbankofindiauk.co.uk/Portals/0/pdf/Financial_Accounts_31_03_2018.pdf
FY2025 RECLASSIFICATION, not adopted (noted 2026-09-15): the FY2026 Annual Report's own FY2025 comparative column moves $105k from 'Other assets' to 'Intangible assets' (restated FY2025: intangibles $123k, other assets $1,896k; as originally reported: $18k and $2,001k). Total assets are unchanged at $481,017k either way. FY2025 is left as that year's own report originally presented it, per this project's standing convention of preferring each year's own report over a later restated comparative - so the FY2025 and FY2026 columns of those two lines are not strictly like-for-like. Every other FY2025 comparative in the FY2026 report (Income Statement, Statement of Financial Position, Statement of Changes in Equity, Statement of Cash Flows and the IFRS 9 stage tables) was checked line by line and agrees exactly with the figures already carried here - no other restatement.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
FY2018-FY2020 PRESENTATION NOTE: these years' own Balance Sheets show a 'Deferred tax assets (net)' asset line and an 'Intra-group borrowings' liability line, both absent from FY2021 onward (deferred tax assets appear to have run off; intra-group borrowings were repaid in full during FY2020 - see the Cash Flow Statement's 'Repayment to Intra-group borrowings' line). They also show no separate 'Provisions' line for FY2018/FY2019 (provisions are folded into 'Other liabilities' those two years); FY2020's own report is the first to break 'Provisions' ($112k) out of 'Other liabilities' - confirmed by cross-checking FY2020's own report's FY2019 comparative ('Provisions' $98k + 'Other liabilities' $632k = $730k), which reconciles exactly to FY2019's own report's single combined $730k 'Other liabilities' figure (used here, per this project's convention of preferring each year's own originally-published presentation).</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Income</t>
        </is>
      </c>
      <c r="B4" s="6" t="n"/>
      <c r="C4" s="6" t="n"/>
      <c r="D4" s="6" t="n"/>
      <c r="E4" s="6" t="n"/>
      <c r="F4" s="6" t="n"/>
      <c r="G4" s="6" t="n"/>
      <c r="H4" s="6" t="n"/>
      <c r="I4" s="6" t="n"/>
      <c r="J4" s="6" t="n"/>
    </row>
    <row r="5">
      <c r="A5" s="6" t="inlineStr">
        <is>
          <t>Interest and similar income</t>
        </is>
      </c>
      <c r="B5" s="6" t="n">
        <v>22364.5</v>
      </c>
      <c r="C5" s="6" t="n">
        <v>25242.3</v>
      </c>
      <c r="D5" s="6" t="n">
        <v>24663.4</v>
      </c>
      <c r="E5" s="6" t="n">
        <v>16510.8</v>
      </c>
      <c r="F5" s="6" t="n">
        <v>8382.9</v>
      </c>
      <c r="G5" s="6" t="n">
        <v>10376.7</v>
      </c>
      <c r="H5" s="6" t="n">
        <v>15978.1</v>
      </c>
      <c r="I5" s="6" t="n">
        <v>17193.6</v>
      </c>
      <c r="J5" s="6" t="n">
        <v>12986.6</v>
      </c>
    </row>
    <row r="6">
      <c r="A6" s="6" t="inlineStr">
        <is>
          <t>Interest and similar expense</t>
        </is>
      </c>
      <c r="B6" s="6" t="n">
        <v>-13306.2</v>
      </c>
      <c r="C6" s="6" t="n">
        <v>-15603.9</v>
      </c>
      <c r="D6" s="6" t="n">
        <v>-13394.8</v>
      </c>
      <c r="E6" s="6" t="n">
        <v>-5739.4</v>
      </c>
      <c r="F6" s="6" t="n">
        <v>-2364</v>
      </c>
      <c r="G6" s="6" t="n">
        <v>-3655.7</v>
      </c>
      <c r="H6" s="6" t="n">
        <v>-6361.2</v>
      </c>
      <c r="I6" s="6" t="n">
        <v>-7005.8</v>
      </c>
      <c r="J6" s="6" t="n">
        <v>-4725.2</v>
      </c>
    </row>
    <row r="7">
      <c r="A7" s="5" t="inlineStr">
        <is>
          <t>Net interest income</t>
        </is>
      </c>
      <c r="B7" s="5" t="n">
        <v>9058.200000000001</v>
      </c>
      <c r="C7" s="5" t="n">
        <v>9638.4</v>
      </c>
      <c r="D7" s="5" t="n">
        <v>11268.6</v>
      </c>
      <c r="E7" s="5" t="n">
        <v>10771.4</v>
      </c>
      <c r="F7" s="5" t="n">
        <v>6018.9</v>
      </c>
      <c r="G7" s="5" t="n">
        <v>6721</v>
      </c>
      <c r="H7" s="5" t="n">
        <v>9616.9</v>
      </c>
      <c r="I7" s="5" t="n">
        <v>10187.8</v>
      </c>
      <c r="J7" s="5" t="n">
        <v>8261.4</v>
      </c>
    </row>
    <row r="8">
      <c r="A8" s="6" t="inlineStr">
        <is>
          <t>Fees and commission income</t>
        </is>
      </c>
      <c r="B8" s="6" t="n">
        <v>12.7</v>
      </c>
      <c r="C8" s="6" t="n">
        <v>456.4</v>
      </c>
      <c r="D8" s="6" t="n">
        <v>565.9</v>
      </c>
      <c r="E8" s="6" t="n">
        <v>475.8</v>
      </c>
      <c r="F8" s="6" t="n">
        <v>574.3</v>
      </c>
      <c r="G8" s="6" t="n">
        <v>277.4</v>
      </c>
      <c r="H8" s="6" t="n">
        <v>118</v>
      </c>
      <c r="I8" s="6" t="n">
        <v>200.7</v>
      </c>
      <c r="J8" s="6" t="n">
        <v>404</v>
      </c>
    </row>
    <row r="9">
      <c r="A9" s="6" t="inlineStr">
        <is>
          <t>Net trading income/(expense)</t>
        </is>
      </c>
      <c r="B9" s="6" t="n">
        <v>-595.8</v>
      </c>
      <c r="C9" s="6" t="n">
        <v>-159.7</v>
      </c>
      <c r="D9" s="6" t="n">
        <v>36.6</v>
      </c>
      <c r="E9" s="6" t="n">
        <v>-54.8</v>
      </c>
      <c r="F9" s="6" t="n">
        <v>13.2</v>
      </c>
      <c r="G9" s="6" t="n">
        <v>22.7</v>
      </c>
      <c r="H9" s="6" t="n">
        <v>333.5</v>
      </c>
      <c r="I9" s="6" t="n">
        <v>41.2</v>
      </c>
      <c r="J9" s="6" t="n">
        <v>191.2</v>
      </c>
    </row>
    <row r="10">
      <c r="A10" s="6" t="inlineStr">
        <is>
          <t>Net other operating income</t>
        </is>
      </c>
      <c r="B10" s="6" t="n">
        <v>328.1</v>
      </c>
      <c r="C10" s="6" t="n">
        <v>497.1</v>
      </c>
      <c r="D10" s="6" t="n">
        <v>1187.5</v>
      </c>
      <c r="E10" s="6" t="n">
        <v>732.4</v>
      </c>
      <c r="F10" s="6" t="n">
        <v>593.4</v>
      </c>
      <c r="G10" s="6" t="n">
        <v>777.7</v>
      </c>
      <c r="H10" s="6" t="n">
        <v>664.7</v>
      </c>
      <c r="I10" s="6" t="n">
        <v>-80.90000000000001</v>
      </c>
      <c r="J10" s="6" t="n">
        <v>279.3</v>
      </c>
    </row>
    <row r="11">
      <c r="A11" s="6" t="inlineStr">
        <is>
          <t>Derecognition gain</t>
        </is>
      </c>
      <c r="B11" s="6" t="n"/>
      <c r="C11" s="6" t="n"/>
      <c r="D11" s="6" t="n"/>
      <c r="E11" s="6" t="n"/>
      <c r="F11" s="6" t="n">
        <v>0</v>
      </c>
      <c r="G11" s="6" t="n">
        <v>179.6</v>
      </c>
      <c r="H11" s="6" t="n"/>
      <c r="I11" s="6" t="n"/>
      <c r="J11" s="6" t="n"/>
    </row>
    <row r="12">
      <c r="A12" s="5" t="inlineStr">
        <is>
          <t>Total Operating income</t>
        </is>
      </c>
      <c r="B12" s="5" t="n">
        <v>8803.200000000001</v>
      </c>
      <c r="C12" s="5" t="n">
        <v>10432.1</v>
      </c>
      <c r="D12" s="5" t="n">
        <v>13058.6</v>
      </c>
      <c r="E12" s="5" t="n">
        <v>11924.8</v>
      </c>
      <c r="F12" s="5" t="n">
        <v>7199.8</v>
      </c>
      <c r="G12" s="5" t="n">
        <v>7978.5</v>
      </c>
      <c r="H12" s="5" t="n">
        <v>10733.1</v>
      </c>
      <c r="I12" s="5" t="n">
        <v>10348.8</v>
      </c>
      <c r="J12" s="5" t="n">
        <v>9135.9</v>
      </c>
    </row>
    <row r="13">
      <c r="A13" s="6" t="inlineStr">
        <is>
          <t>Personnel costs</t>
        </is>
      </c>
      <c r="B13" s="6" t="n">
        <v>-3999.7</v>
      </c>
      <c r="C13" s="6" t="n">
        <v>-3963.2</v>
      </c>
      <c r="D13" s="6" t="n">
        <v>-3541.8</v>
      </c>
      <c r="E13" s="6" t="n">
        <v>-3222.6</v>
      </c>
      <c r="F13" s="6" t="n">
        <v>-2797.2</v>
      </c>
      <c r="G13" s="6" t="n">
        <v>-2405.1</v>
      </c>
      <c r="H13" s="6" t="n">
        <v>-2190.7</v>
      </c>
      <c r="I13" s="6" t="n">
        <v>-1755.5</v>
      </c>
      <c r="J13" s="6" t="n">
        <v>-1517.6</v>
      </c>
    </row>
    <row r="14">
      <c r="A14" s="6" t="inlineStr">
        <is>
          <t>Operating lease</t>
        </is>
      </c>
      <c r="B14" s="6" t="n"/>
      <c r="C14" s="6" t="n"/>
      <c r="D14" s="6" t="n"/>
      <c r="E14" s="6" t="n"/>
      <c r="F14" s="6" t="n"/>
      <c r="G14" s="6" t="n"/>
      <c r="H14" s="6" t="n">
        <v>0</v>
      </c>
      <c r="I14" s="6" t="n">
        <v>-241.2</v>
      </c>
      <c r="J14" s="6" t="n">
        <v>-229.3</v>
      </c>
    </row>
    <row r="15">
      <c r="A15" s="6" t="inlineStr">
        <is>
          <t>Depreciation and amortisation</t>
        </is>
      </c>
      <c r="B15" s="6" t="n">
        <v>-513</v>
      </c>
      <c r="C15" s="6" t="n">
        <v>-536.2</v>
      </c>
      <c r="D15" s="6" t="n">
        <v>-515.9</v>
      </c>
      <c r="E15" s="6" t="n">
        <v>-426.8</v>
      </c>
      <c r="F15" s="6" t="n">
        <v>-380.4</v>
      </c>
      <c r="G15" s="6" t="n">
        <v>-400.2</v>
      </c>
      <c r="H15" s="6" t="n">
        <v>-460.9</v>
      </c>
      <c r="I15" s="6" t="n">
        <v>-122.1</v>
      </c>
      <c r="J15" s="6" t="n">
        <v>-104.6</v>
      </c>
    </row>
    <row r="16">
      <c r="A16" s="6" t="inlineStr">
        <is>
          <t>Finance Cost</t>
        </is>
      </c>
      <c r="B16" s="6" t="n">
        <v>-345.2</v>
      </c>
      <c r="C16" s="6" t="n">
        <v>-364.8</v>
      </c>
      <c r="D16" s="6" t="n">
        <v>-241.6</v>
      </c>
      <c r="E16" s="6" t="n">
        <v>-123.7</v>
      </c>
      <c r="F16" s="6" t="n"/>
      <c r="G16" s="6" t="n"/>
      <c r="H16" s="6" t="n"/>
      <c r="I16" s="6" t="n"/>
      <c r="J16" s="6" t="n"/>
    </row>
    <row r="17">
      <c r="A17" s="6" t="inlineStr">
        <is>
          <t>Other expenses</t>
        </is>
      </c>
      <c r="B17" s="6" t="n">
        <v>-2705.2</v>
      </c>
      <c r="C17" s="6" t="n">
        <v>-2755.4</v>
      </c>
      <c r="D17" s="6" t="n">
        <v>-3230.3</v>
      </c>
      <c r="E17" s="6" t="n">
        <v>-2339.9</v>
      </c>
      <c r="F17" s="6" t="n">
        <v>-2514.5</v>
      </c>
      <c r="G17" s="6" t="n">
        <v>-2403.5</v>
      </c>
      <c r="H17" s="6" t="n">
        <v>-2414.9</v>
      </c>
      <c r="I17" s="6" t="n">
        <v>-1707.4</v>
      </c>
      <c r="J17" s="6" t="n">
        <v>-1076.9</v>
      </c>
    </row>
    <row r="18">
      <c r="A18" s="5" t="inlineStr">
        <is>
          <t>Operating expenses before impairment loss allowances</t>
        </is>
      </c>
      <c r="B18" s="5" t="n">
        <v>-7563.2</v>
      </c>
      <c r="C18" s="5" t="n">
        <v>-7619.6</v>
      </c>
      <c r="D18" s="5" t="n">
        <v>-7529.6</v>
      </c>
      <c r="E18" s="5" t="n">
        <v>-6113.1</v>
      </c>
      <c r="F18" s="5" t="n">
        <v>-5692.1</v>
      </c>
      <c r="G18" s="5" t="n">
        <v>-5208.8</v>
      </c>
      <c r="H18" s="5" t="n">
        <v>-5065.7</v>
      </c>
      <c r="I18" s="5" t="n">
        <v>-3826.1</v>
      </c>
      <c r="J18" s="5" t="n">
        <v>-2928.3</v>
      </c>
    </row>
    <row r="19">
      <c r="A19" s="5" t="inlineStr">
        <is>
          <t>Operating profit before impairment loss allowances</t>
        </is>
      </c>
      <c r="B19" s="5" t="n">
        <v>1240</v>
      </c>
      <c r="C19" s="5" t="n">
        <v>2812.5</v>
      </c>
      <c r="D19" s="5" t="n">
        <v>5529</v>
      </c>
      <c r="E19" s="5" t="n">
        <v>5811.7</v>
      </c>
      <c r="F19" s="5" t="n">
        <v>1507.7</v>
      </c>
      <c r="G19" s="5" t="n">
        <v>2769.7</v>
      </c>
      <c r="H19" s="5" t="n">
        <v>5666.6</v>
      </c>
      <c r="I19" s="5" t="n">
        <v>6522.7</v>
      </c>
      <c r="J19" s="5" t="n">
        <v>6207.6</v>
      </c>
    </row>
    <row r="20">
      <c r="A20" s="6" t="inlineStr">
        <is>
          <t>Impairment loss allowances/(reversal)</t>
        </is>
      </c>
      <c r="B20" s="6" t="n">
        <v>-1049.1</v>
      </c>
      <c r="C20" s="6" t="n">
        <v>-8019.6</v>
      </c>
      <c r="D20" s="6" t="n">
        <v>-4445.6</v>
      </c>
      <c r="E20" s="6" t="n">
        <v>-4206.6</v>
      </c>
      <c r="F20" s="6" t="n">
        <v>2297.9</v>
      </c>
      <c r="G20" s="6" t="n">
        <v>-11209.7</v>
      </c>
      <c r="H20" s="6" t="n">
        <v>-20881</v>
      </c>
      <c r="I20" s="6" t="n">
        <v>-19219.2</v>
      </c>
      <c r="J20" s="6" t="n">
        <v>-1441.4</v>
      </c>
    </row>
    <row r="21">
      <c r="A21" s="6" t="inlineStr">
        <is>
          <t>Fair value gain/(loss) on Foreign Exchange Derivatives</t>
        </is>
      </c>
      <c r="B21" s="6" t="n">
        <v>-9.699999999999999</v>
      </c>
      <c r="C21" s="6" t="n">
        <v>34.4</v>
      </c>
      <c r="D21" s="6" t="n">
        <v>99.40000000000001</v>
      </c>
      <c r="E21" s="6" t="n">
        <v>-55.6</v>
      </c>
      <c r="F21" s="6" t="n">
        <v>66.8</v>
      </c>
      <c r="G21" s="6" t="n">
        <v>149.3</v>
      </c>
      <c r="H21" s="6" t="n">
        <v>-429.5</v>
      </c>
      <c r="I21" s="6" t="n"/>
      <c r="J21" s="6" t="n"/>
    </row>
    <row r="22">
      <c r="A22" s="5" t="inlineStr">
        <is>
          <t>Profit/(Loss) before tax</t>
        </is>
      </c>
      <c r="B22" s="5" t="n">
        <v>181.2</v>
      </c>
      <c r="C22" s="5" t="n">
        <v>-5172.6</v>
      </c>
      <c r="D22" s="5" t="n">
        <v>1182.7</v>
      </c>
      <c r="E22" s="5" t="n">
        <v>1549.4</v>
      </c>
      <c r="F22" s="5" t="n">
        <v>3872.4</v>
      </c>
      <c r="G22" s="5" t="n">
        <v>-8291.5</v>
      </c>
      <c r="H22" s="5" t="n">
        <v>-15643</v>
      </c>
      <c r="I22" s="5" t="n">
        <v>-12696.5</v>
      </c>
      <c r="J22" s="5" t="n">
        <v>4766.2</v>
      </c>
    </row>
    <row r="23">
      <c r="A23" s="6" t="inlineStr">
        <is>
          <t>Corporation tax (charge)/credit</t>
        </is>
      </c>
      <c r="B23" s="6" t="n">
        <v>0</v>
      </c>
      <c r="C23" s="6" t="n">
        <v>0</v>
      </c>
      <c r="D23" s="6" t="n">
        <v>0</v>
      </c>
      <c r="E23" s="6" t="n">
        <v>0</v>
      </c>
      <c r="F23" s="6" t="n">
        <v>0</v>
      </c>
      <c r="G23" s="6" t="n">
        <v>0</v>
      </c>
      <c r="H23" s="6" t="n">
        <v>-1710.1</v>
      </c>
      <c r="I23" s="6" t="n">
        <v>2243.2</v>
      </c>
      <c r="J23" s="6" t="n">
        <v>-906.6</v>
      </c>
    </row>
    <row r="24">
      <c r="A24" s="5" t="inlineStr">
        <is>
          <t>Profit/(Loss) after tax</t>
        </is>
      </c>
      <c r="B24" s="5" t="n">
        <v>181.2</v>
      </c>
      <c r="C24" s="5" t="n">
        <v>-5172.6</v>
      </c>
      <c r="D24" s="5" t="n">
        <v>1182.7</v>
      </c>
      <c r="E24" s="5" t="n">
        <v>1549.4</v>
      </c>
      <c r="F24" s="5" t="n">
        <v>3872.4</v>
      </c>
      <c r="G24" s="5" t="n">
        <v>-8291.5</v>
      </c>
      <c r="H24" s="5" t="n">
        <v>-17353.1</v>
      </c>
      <c r="I24" s="5" t="n">
        <v>-10453.4</v>
      </c>
      <c r="J24" s="5" t="n">
        <v>3859.6</v>
      </c>
    </row>
    <row r="25">
      <c r="A25" s="5" t="inlineStr">
        <is>
          <t>Other comprehensive income</t>
        </is>
      </c>
      <c r="B25" s="6" t="n"/>
      <c r="C25" s="6" t="n"/>
      <c r="D25" s="6" t="n"/>
      <c r="E25" s="6" t="n"/>
      <c r="F25" s="6" t="n"/>
      <c r="G25" s="6" t="n"/>
      <c r="H25" s="6" t="n"/>
      <c r="I25" s="6" t="n"/>
      <c r="J25" s="6" t="n"/>
    </row>
    <row r="26">
      <c r="A26" s="6" t="inlineStr">
        <is>
          <t>Fair value gain/(loss) on FVTOCI debt instruments</t>
        </is>
      </c>
      <c r="B26" s="6" t="n">
        <v>1195.3</v>
      </c>
      <c r="C26" s="6" t="n">
        <v>1037.2</v>
      </c>
      <c r="D26" s="6" t="n">
        <v>1238.4</v>
      </c>
      <c r="E26" s="6" t="n">
        <v>-1057</v>
      </c>
      <c r="F26" s="6" t="n">
        <v>-2824.4</v>
      </c>
      <c r="G26" s="6" t="n">
        <v>1325.7</v>
      </c>
      <c r="H26" s="6" t="n">
        <v>-194.3</v>
      </c>
      <c r="I26" s="6" t="n">
        <v>967.8</v>
      </c>
      <c r="J26" s="6" t="n">
        <v>-1466.8</v>
      </c>
    </row>
    <row r="27">
      <c r="A27" s="5" t="inlineStr">
        <is>
          <t>Total comprehensive income/(loss) for the year</t>
        </is>
      </c>
      <c r="B27" s="5" t="n">
        <v>1376.5</v>
      </c>
      <c r="C27" s="5" t="n">
        <v>-4135.4</v>
      </c>
      <c r="D27" s="5" t="n">
        <v>2421.1</v>
      </c>
      <c r="E27" s="5" t="n">
        <v>492.4</v>
      </c>
      <c r="F27" s="5" t="n">
        <v>1048</v>
      </c>
      <c r="G27" s="5" t="n">
        <v>-6965.8</v>
      </c>
      <c r="H27" s="5" t="n">
        <v>-17547.4</v>
      </c>
      <c r="I27" s="5" t="n">
        <v>-9484.799999999999</v>
      </c>
      <c r="J27" s="5" t="n">
        <v>2392.8</v>
      </c>
    </row>
    <row r="29" ht="340" customHeight="1">
      <c r="A29" s="8" t="inlineStr">
        <is>
          <t>Sources - all figures are Union Bank of India (UK) Limited's own Income Statement / Statement of Other Comprehensive Income (converted from USD to £, see FX conversion note below):
FY2026: Annual Report and Financial Statements, year ended 31 March 2026, p.30-31 (Income Statement / Statement of Other Comprehensive Income) - https://www.unionbankofindiauk.co.uk/Portals/0/Annual%20Accounts%20UBIUK%202026%20Signed_1.pdf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FY2020: Financial Statements, year ended 31 March 2020, p.28-29 (Income Statement / Statement of Comprehensive Income) - https://www.unionbankofindiauk.co.uk/Portals/0/pdf/Financial_Statements_UBI_UK_Mar_20_(Final)_Signed.pdf
FY2019: Annual Accounts, year ended 31 March 2019, p.22 (Income Statement) - https://www.unionbankofindiauk.co.uk/Portals/0/pdf/Annual_report_-_31_03_19_Signed..pdf
FY2018: Annual Accounts, year ended 31 March 2018, p.20 (Income Statement) - https://www.unionbankofindiauk.co.uk/Portals/0/pdf/Financial_Accounts_31_03_2018.pdf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from FY2021 onward; FY2018/FY2019/FY2020 each show a genuine tax charge or credit (a distinct 'Corporation tax (charge)/credit' line, reproduced here). FY2018-FY2020 each show a distinct 'Operating lease' expense line (IFRS 16 right-of-use depreciation replaces it from FY2020's own report onward, which is why the FY2020 figure is nil) - reproduced here as its own row rather than folded into 'Other expenses'. FY2020 also shows a 'Fair value Loss' line between impairment and profit/loss before tax, reproduced under the same 'Fair value gain/(loss) on Foreign Exchange Derivatives' row used for that item in FY2021 onward.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9:J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2017 through 31 March 2026 -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2017</t>
        </is>
      </c>
      <c r="B4" s="5" t="n">
        <v>63964.2</v>
      </c>
      <c r="C4" s="5" t="n">
        <v>-411</v>
      </c>
      <c r="D4" s="5" t="n">
        <v>1519.9</v>
      </c>
      <c r="E4" s="5" t="n">
        <v>65073.2</v>
      </c>
    </row>
    <row r="5">
      <c r="A5" s="6" t="inlineStr">
        <is>
          <t>Issue of share capital</t>
        </is>
      </c>
      <c r="B5" s="6" t="n">
        <v>7468.3</v>
      </c>
      <c r="C5" s="6" t="n"/>
      <c r="D5" s="6" t="n"/>
      <c r="E5" s="6" t="n">
        <v>7468.3</v>
      </c>
    </row>
    <row r="6">
      <c r="A6" s="6" t="inlineStr">
        <is>
          <t>Profit for the year</t>
        </is>
      </c>
      <c r="B6" s="6" t="n"/>
      <c r="C6" s="6" t="n"/>
      <c r="D6" s="6" t="n">
        <v>3859.6</v>
      </c>
      <c r="E6" s="6" t="n">
        <v>3859.6</v>
      </c>
    </row>
    <row r="7">
      <c r="A7" s="6" t="inlineStr">
        <is>
          <t>Other comprehensive income/(expense) - FV movement on FVTOCI debt instruments</t>
        </is>
      </c>
      <c r="B7" s="6" t="n"/>
      <c r="C7" s="6" t="n">
        <v>-1466.8</v>
      </c>
      <c r="D7" s="6" t="n"/>
      <c r="E7" s="6" t="n">
        <v>-1466.8</v>
      </c>
    </row>
    <row r="8">
      <c r="A8" s="5" t="inlineStr">
        <is>
          <t>Total comprehensive income for the year</t>
        </is>
      </c>
      <c r="B8" s="5" t="n"/>
      <c r="C8" s="5" t="n"/>
      <c r="D8" s="5" t="n"/>
      <c r="E8" s="5" t="n">
        <v>2392.8</v>
      </c>
    </row>
    <row r="9">
      <c r="A9" s="6" t="inlineStr">
        <is>
          <t>Effect of GBP/USD translation (£ conversion artefact - see FX note)</t>
        </is>
      </c>
      <c r="B9" s="6" t="n">
        <v>-7298</v>
      </c>
      <c r="C9" s="6" t="n">
        <v>112</v>
      </c>
      <c r="D9" s="6" t="n">
        <v>-342.1</v>
      </c>
      <c r="E9" s="6" t="n">
        <v>-59.9</v>
      </c>
    </row>
    <row r="10">
      <c r="A10" s="5" t="inlineStr">
        <is>
          <t>Balance as at 31 March 2018</t>
        </is>
      </c>
      <c r="B10" s="5" t="n">
        <v>64134.5</v>
      </c>
      <c r="C10" s="5" t="n">
        <v>-1765.8</v>
      </c>
      <c r="D10" s="5" t="n">
        <v>5037.4</v>
      </c>
      <c r="E10" s="5" t="n">
        <v>67406.10000000001</v>
      </c>
    </row>
    <row r="11">
      <c r="A11" s="6" t="inlineStr">
        <is>
          <t>Impact of IFRS 9 transition</t>
        </is>
      </c>
      <c r="B11" s="6" t="n">
        <v>0</v>
      </c>
      <c r="C11" s="6" t="n">
        <v>175.3</v>
      </c>
      <c r="D11" s="6" t="n">
        <v>646.3</v>
      </c>
      <c r="E11" s="6" t="n">
        <v>821.6</v>
      </c>
    </row>
    <row r="12">
      <c r="A12" s="6" t="inlineStr">
        <is>
          <t>Issue of share capital</t>
        </is>
      </c>
      <c r="B12" s="6" t="n">
        <v>7632.4</v>
      </c>
      <c r="C12" s="6" t="n"/>
      <c r="D12" s="6" t="n"/>
      <c r="E12" s="6" t="n">
        <v>7632.4</v>
      </c>
    </row>
    <row r="13">
      <c r="A13" s="6" t="inlineStr">
        <is>
          <t>(Loss)/Profit for the year</t>
        </is>
      </c>
      <c r="B13" s="6" t="n"/>
      <c r="C13" s="6" t="n"/>
      <c r="D13" s="6" t="n">
        <v>-10453.4</v>
      </c>
      <c r="E13" s="6" t="n">
        <v>-10453.4</v>
      </c>
    </row>
    <row r="14">
      <c r="A14" s="6" t="inlineStr">
        <is>
          <t>Other comprehensive income/(expense) - FV movement on FVTOCI debt instruments</t>
        </is>
      </c>
      <c r="B14" s="6" t="n"/>
      <c r="C14" s="6" t="n">
        <v>967.8</v>
      </c>
      <c r="D14" s="6" t="n"/>
      <c r="E14" s="6" t="n">
        <v>967.8</v>
      </c>
    </row>
    <row r="15">
      <c r="A15" s="5" t="inlineStr">
        <is>
          <t>Total comprehensive (loss)/income for the year</t>
        </is>
      </c>
      <c r="B15" s="5" t="n"/>
      <c r="C15" s="5" t="n"/>
      <c r="D15" s="5" t="n"/>
      <c r="E15" s="5" t="n">
        <v>-9484.799999999999</v>
      </c>
    </row>
    <row r="16">
      <c r="A16" s="6" t="inlineStr">
        <is>
          <t>Effect of GBP/USD translation (£ conversion artefact - see FX note)</t>
        </is>
      </c>
      <c r="B16" s="6" t="n">
        <v>4979.1</v>
      </c>
      <c r="C16" s="6" t="n">
        <v>-117.1</v>
      </c>
      <c r="D16" s="6" t="n">
        <v>380.6</v>
      </c>
      <c r="E16" s="6" t="n">
        <v>12874.1</v>
      </c>
    </row>
    <row r="17">
      <c r="A17" s="5" t="inlineStr">
        <is>
          <t>Balance as at 31 March 2019</t>
        </is>
      </c>
      <c r="B17" s="5" t="n">
        <v>76746</v>
      </c>
      <c r="C17" s="5" t="n">
        <v>-739.8</v>
      </c>
      <c r="D17" s="5" t="n">
        <v>-4389.1</v>
      </c>
      <c r="E17" s="5" t="n">
        <v>71617</v>
      </c>
    </row>
    <row r="18">
      <c r="A18" s="6" t="inlineStr">
        <is>
          <t>Issue of share capital</t>
        </is>
      </c>
      <c r="B18" s="6" t="n">
        <v>39329.8</v>
      </c>
      <c r="C18" s="6" t="n"/>
      <c r="D18" s="6" t="n"/>
      <c r="E18" s="6" t="n">
        <v>39329.8</v>
      </c>
    </row>
    <row r="19">
      <c r="A19" s="6" t="inlineStr">
        <is>
          <t>(Loss)/Profit for the year</t>
        </is>
      </c>
      <c r="B19" s="6" t="n"/>
      <c r="C19" s="6" t="n"/>
      <c r="D19" s="6" t="n">
        <v>-17353.1</v>
      </c>
      <c r="E19" s="6" t="n">
        <v>-17353.1</v>
      </c>
    </row>
    <row r="20">
      <c r="A20" s="6" t="inlineStr">
        <is>
          <t>Other comprehensive income/(expense) - FV movement on FVTOCI debt instruments</t>
        </is>
      </c>
      <c r="B20" s="6" t="n"/>
      <c r="C20" s="6" t="n">
        <v>-194.3</v>
      </c>
      <c r="D20" s="6" t="n"/>
      <c r="E20" s="6" t="n">
        <v>-194.3</v>
      </c>
    </row>
    <row r="21">
      <c r="A21" s="5" t="inlineStr">
        <is>
          <t>Total comprehensive (loss)/income for the year</t>
        </is>
      </c>
      <c r="B21" s="5" t="n"/>
      <c r="C21" s="5" t="n"/>
      <c r="D21" s="5" t="n"/>
      <c r="E21" s="5" t="n">
        <v>-17547.4</v>
      </c>
    </row>
    <row r="22">
      <c r="A22" s="6" t="inlineStr">
        <is>
          <t>Effect of GBP/USD translation (£ conversion artefact - see FX note)</t>
        </is>
      </c>
      <c r="B22" s="6" t="n">
        <v>4862.7</v>
      </c>
      <c r="C22" s="6" t="n">
        <v>-42.3</v>
      </c>
      <c r="D22" s="6" t="n">
        <v>-656.4</v>
      </c>
      <c r="E22" s="6" t="n">
        <v>43493.9</v>
      </c>
    </row>
    <row r="23">
      <c r="A23" s="5" t="inlineStr">
        <is>
          <t>Balance as at 31 March 2020</t>
        </is>
      </c>
      <c r="B23" s="5" t="n">
        <v>120938.5</v>
      </c>
      <c r="C23" s="5" t="n">
        <v>-976.4</v>
      </c>
      <c r="D23" s="5" t="n">
        <v>-22398.6</v>
      </c>
      <c r="E23" s="5" t="n">
        <v>97563.5</v>
      </c>
    </row>
    <row r="24">
      <c r="A24" s="6" t="inlineStr">
        <is>
          <t>(Loss)/Profit for the year</t>
        </is>
      </c>
      <c r="B24" s="6" t="n"/>
      <c r="C24" s="6" t="n"/>
      <c r="D24" s="6" t="n">
        <v>-8291.5</v>
      </c>
      <c r="E24" s="6" t="n">
        <v>-8291.5</v>
      </c>
    </row>
    <row r="25">
      <c r="A25" s="6" t="inlineStr">
        <is>
          <t>Other comprehensive income/(expense) - FV movement on FVTOCI debt instruments</t>
        </is>
      </c>
      <c r="B25" s="6" t="n"/>
      <c r="C25" s="6" t="n">
        <v>1325.7</v>
      </c>
      <c r="D25" s="6" t="n"/>
      <c r="E25" s="6" t="n">
        <v>1325.7</v>
      </c>
    </row>
    <row r="26">
      <c r="A26" s="5" t="inlineStr">
        <is>
          <t>Total comprehensive (loss)/income for the year</t>
        </is>
      </c>
      <c r="B26" s="5" t="n"/>
      <c r="C26" s="5" t="n"/>
      <c r="D26" s="5" t="n"/>
      <c r="E26" s="5" t="n">
        <v>-6965.8</v>
      </c>
    </row>
    <row r="27">
      <c r="A27" s="6" t="inlineStr">
        <is>
          <t>Effect of GBP/USD translation (£ conversion artefact - see FX note)</t>
        </is>
      </c>
      <c r="B27" s="6" t="n">
        <v>-12211.3</v>
      </c>
      <c r="C27" s="6" t="n">
        <v>39.9</v>
      </c>
      <c r="D27" s="6" t="n">
        <v>2624.7</v>
      </c>
      <c r="E27" s="6" t="n">
        <v>-9546.700000000001</v>
      </c>
    </row>
    <row r="28">
      <c r="A28" s="5" t="inlineStr">
        <is>
          <t>Balance as at 31 March 2021</t>
        </is>
      </c>
      <c r="B28" s="5" t="n">
        <v>108727.2</v>
      </c>
      <c r="C28" s="5" t="n">
        <v>389.2</v>
      </c>
      <c r="D28" s="5" t="n">
        <v>-28065.4</v>
      </c>
      <c r="E28" s="5" t="n">
        <v>81051</v>
      </c>
    </row>
    <row r="29">
      <c r="A29" s="6" t="inlineStr">
        <is>
          <t>Profit for the year</t>
        </is>
      </c>
      <c r="B29" s="6" t="n"/>
      <c r="C29" s="6" t="n"/>
      <c r="D29" s="6" t="n">
        <v>3872.4</v>
      </c>
      <c r="E29" s="6" t="n">
        <v>3872.4</v>
      </c>
    </row>
    <row r="30">
      <c r="A30" s="6" t="inlineStr">
        <is>
          <t>Other comprehensive income/(expense) - FV movement on FVTOCI debt instruments</t>
        </is>
      </c>
      <c r="B30" s="6" t="n"/>
      <c r="C30" s="6" t="n">
        <v>-2824.4</v>
      </c>
      <c r="D30" s="6" t="n"/>
      <c r="E30" s="6" t="n">
        <v>-2824.4</v>
      </c>
    </row>
    <row r="31">
      <c r="A31" s="5" t="inlineStr">
        <is>
          <t>Total comprehensive income for the year</t>
        </is>
      </c>
      <c r="B31" s="5" t="n"/>
      <c r="C31" s="5" t="n"/>
      <c r="D31" s="5" t="n"/>
      <c r="E31" s="5" t="n">
        <v>1048</v>
      </c>
    </row>
    <row r="32">
      <c r="A32" s="6" t="inlineStr">
        <is>
          <t>Effect of GBP/USD translation (£ conversion artefact - see FX note)</t>
        </is>
      </c>
      <c r="B32" s="6" t="n">
        <v>5237.2</v>
      </c>
      <c r="C32" s="6" t="n">
        <v>-78.90000000000001</v>
      </c>
      <c r="D32" s="6" t="n">
        <v>-1218.8</v>
      </c>
      <c r="E32" s="6" t="n">
        <v>3939.6</v>
      </c>
    </row>
    <row r="33">
      <c r="A33" s="5" t="inlineStr">
        <is>
          <t>Balance as at 31 March 2022</t>
        </is>
      </c>
      <c r="B33" s="5" t="n">
        <v>113964.4</v>
      </c>
      <c r="C33" s="5" t="n">
        <v>-2514.1</v>
      </c>
      <c r="D33" s="5" t="n">
        <v>-25411.8</v>
      </c>
      <c r="E33" s="5" t="n">
        <v>86038.60000000001</v>
      </c>
    </row>
    <row r="34">
      <c r="A34" s="6" t="inlineStr">
        <is>
          <t>Profit for the year</t>
        </is>
      </c>
      <c r="B34" s="6" t="n"/>
      <c r="C34" s="6" t="n"/>
      <c r="D34" s="6" t="n">
        <v>1549.4</v>
      </c>
      <c r="E34" s="6" t="n">
        <v>1549.4</v>
      </c>
    </row>
    <row r="35">
      <c r="A35" s="6" t="inlineStr">
        <is>
          <t>Other comprehensive income/(expense) - FV movement on FVTOCI debt instruments</t>
        </is>
      </c>
      <c r="B35" s="6" t="n"/>
      <c r="C35" s="6" t="n">
        <v>-1057</v>
      </c>
      <c r="D35" s="6" t="n"/>
      <c r="E35" s="6" t="n">
        <v>-1057</v>
      </c>
    </row>
    <row r="36">
      <c r="A36" s="5" t="inlineStr">
        <is>
          <t>Total comprehensive income for the year</t>
        </is>
      </c>
      <c r="B36" s="5" t="n"/>
      <c r="C36" s="5" t="n"/>
      <c r="D36" s="5" t="n"/>
      <c r="E36" s="5" t="n">
        <v>492.4</v>
      </c>
    </row>
    <row r="37">
      <c r="A37" s="6" t="inlineStr">
        <is>
          <t>Effect of GBP/USD translation (£ conversion artefact - see FX note)</t>
        </is>
      </c>
      <c r="B37" s="6" t="n">
        <v>7355.6</v>
      </c>
      <c r="C37" s="6" t="n">
        <v>-134.8</v>
      </c>
      <c r="D37" s="6" t="n">
        <v>-1680.3</v>
      </c>
      <c r="E37" s="6" t="n">
        <v>5540.3</v>
      </c>
    </row>
    <row r="38">
      <c r="A38" s="5" t="inlineStr">
        <is>
          <t>Balance as at 31 March 2023</t>
        </is>
      </c>
      <c r="B38" s="5" t="n">
        <v>121320</v>
      </c>
      <c r="C38" s="5" t="n">
        <v>-3705.9</v>
      </c>
      <c r="D38" s="5" t="n">
        <v>-25542.7</v>
      </c>
      <c r="E38" s="5" t="n">
        <v>92071.3</v>
      </c>
    </row>
    <row r="39">
      <c r="A39" s="6" t="inlineStr">
        <is>
          <t>Profit for the year</t>
        </is>
      </c>
      <c r="B39" s="6" t="n"/>
      <c r="C39" s="6" t="n"/>
      <c r="D39" s="6" t="n">
        <v>1182.7</v>
      </c>
      <c r="E39" s="6" t="n">
        <v>1182.7</v>
      </c>
    </row>
    <row r="40">
      <c r="A40" s="6" t="inlineStr">
        <is>
          <t>Other comprehensive income/(expense) - FV movement on FVTOCI debt instruments</t>
        </is>
      </c>
      <c r="B40" s="6" t="n"/>
      <c r="C40" s="6" t="n">
        <v>1238.4</v>
      </c>
      <c r="D40" s="6" t="n"/>
      <c r="E40" s="6" t="n">
        <v>1238.4</v>
      </c>
    </row>
    <row r="41">
      <c r="A41" s="5" t="inlineStr">
        <is>
          <t>Total comprehensive income for the year</t>
        </is>
      </c>
      <c r="B41" s="5" t="n"/>
      <c r="C41" s="5" t="n"/>
      <c r="D41" s="5" t="n"/>
      <c r="E41" s="5" t="n">
        <v>2421.1</v>
      </c>
    </row>
    <row r="42">
      <c r="A42" s="6" t="inlineStr">
        <is>
          <t>Effect of GBP/USD translation (£ conversion artefact - see FX note)</t>
        </is>
      </c>
      <c r="B42" s="6" t="n">
        <v>-2574</v>
      </c>
      <c r="C42" s="6" t="n">
        <v>73.59999999999999</v>
      </c>
      <c r="D42" s="6" t="n">
        <v>537.2</v>
      </c>
      <c r="E42" s="6" t="n">
        <v>-1963.1</v>
      </c>
    </row>
    <row r="43">
      <c r="A43" s="5" t="inlineStr">
        <is>
          <t>Balance as at 31 March 2024</t>
        </is>
      </c>
      <c r="B43" s="5" t="n">
        <v>118746</v>
      </c>
      <c r="C43" s="5" t="n">
        <v>-2393.9</v>
      </c>
      <c r="D43" s="5" t="n">
        <v>-23822.8</v>
      </c>
      <c r="E43" s="5" t="n">
        <v>92529.3</v>
      </c>
    </row>
    <row r="44">
      <c r="A44" s="6" t="inlineStr">
        <is>
          <t>(Loss)/Profit for the year</t>
        </is>
      </c>
      <c r="B44" s="6" t="n"/>
      <c r="C44" s="6" t="n"/>
      <c r="D44" s="6" t="n">
        <v>-5172.6</v>
      </c>
      <c r="E44" s="6" t="n">
        <v>-5172.6</v>
      </c>
    </row>
    <row r="45">
      <c r="A45" s="6" t="inlineStr">
        <is>
          <t>Other comprehensive income/(expense) - FV movement on FVTOCI debt instruments</t>
        </is>
      </c>
      <c r="B45" s="6" t="n"/>
      <c r="C45" s="6" t="n">
        <v>1037.2</v>
      </c>
      <c r="D45" s="6" t="n"/>
      <c r="E45" s="6" t="n">
        <v>1037.2</v>
      </c>
    </row>
    <row r="46">
      <c r="A46" s="5" t="inlineStr">
        <is>
          <t>Total comprehensive (loss)/income for the year</t>
        </is>
      </c>
      <c r="B46" s="5" t="n"/>
      <c r="C46" s="5" t="n"/>
      <c r="D46" s="5" t="n"/>
      <c r="E46" s="5" t="n">
        <v>-4135.4</v>
      </c>
    </row>
    <row r="47">
      <c r="A47" s="6" t="inlineStr">
        <is>
          <t>Effect of GBP/USD translation (£ conversion artefact - see FX note)</t>
        </is>
      </c>
      <c r="B47" s="6" t="n">
        <v>-2557</v>
      </c>
      <c r="C47" s="6" t="n">
        <v>40.7</v>
      </c>
      <c r="D47" s="6" t="n">
        <v>567</v>
      </c>
      <c r="E47" s="6" t="n">
        <v>-1949.3</v>
      </c>
    </row>
    <row r="48">
      <c r="A48" s="5" t="inlineStr">
        <is>
          <t>Balance as at 31 March 2025</t>
        </is>
      </c>
      <c r="B48" s="5" t="n">
        <v>116189</v>
      </c>
      <c r="C48" s="5" t="n">
        <v>-1316</v>
      </c>
      <c r="D48" s="5" t="n">
        <v>-28428.4</v>
      </c>
      <c r="E48" s="5" t="n">
        <v>86444.60000000001</v>
      </c>
    </row>
    <row r="49">
      <c r="A49" s="6" t="inlineStr">
        <is>
          <t>Profit for the year</t>
        </is>
      </c>
      <c r="B49" s="6" t="n"/>
      <c r="C49" s="6" t="n"/>
      <c r="D49" s="6" t="n">
        <v>181.2</v>
      </c>
      <c r="E49" s="6" t="n">
        <v>181.2</v>
      </c>
    </row>
    <row r="50">
      <c r="A50" s="6" t="inlineStr">
        <is>
          <t>Other comprehensive income/(expense) - FV movement on FVTOCI debt instruments</t>
        </is>
      </c>
      <c r="B50" s="6" t="n"/>
      <c r="C50" s="6" t="n">
        <v>1195.3</v>
      </c>
      <c r="D50" s="6" t="n"/>
      <c r="E50" s="6" t="n">
        <v>1195.3</v>
      </c>
    </row>
    <row r="51">
      <c r="A51" s="5" t="inlineStr">
        <is>
          <t>Total comprehensive income for the year</t>
        </is>
      </c>
      <c r="B51" s="5" t="n"/>
      <c r="C51" s="5" t="n"/>
      <c r="D51" s="5" t="n"/>
      <c r="E51" s="5" t="n">
        <v>1376.5</v>
      </c>
    </row>
    <row r="52">
      <c r="A52" s="6" t="inlineStr">
        <is>
          <t>Effect of GBP/USD translation (£ conversion artefact - see FX note)</t>
        </is>
      </c>
      <c r="B52" s="6" t="n">
        <v>-2449.2</v>
      </c>
      <c r="C52" s="6" t="n">
        <v>47.9</v>
      </c>
      <c r="D52" s="6" t="n">
        <v>602.4</v>
      </c>
      <c r="E52" s="6" t="n">
        <v>-1799</v>
      </c>
    </row>
    <row r="53">
      <c r="A53" s="5" t="inlineStr">
        <is>
          <t>Balance as at 31 March 2026</t>
        </is>
      </c>
      <c r="B53" s="5" t="n">
        <v>113739.8</v>
      </c>
      <c r="C53" s="5" t="n">
        <v>-72.8</v>
      </c>
      <c r="D53" s="5" t="n">
        <v>-27644.8</v>
      </c>
      <c r="E53" s="5" t="n">
        <v>86022.10000000001</v>
      </c>
    </row>
    <row r="55" ht="380" customHeight="1">
      <c r="A55" s="8" t="inlineStr">
        <is>
          <t>Sources - Union Bank of India (UK) Limited's own Statement of Changes in Equity (converted from USD to £; opening/closing balances at that year-end's SPOT rate, in-year movements at that year's AVERAGE rate - see FX conversion note on the Cash Flow Statement sheet):
FY2026: Annual Report and Financial Statements, year ended 31 March 2026, p.34 - https://www.unionbankofindiauk.co.uk/Portals/0/Annual%20Accounts%20UBIUK%202026%20Signed_1.pdf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FY2020: Financial Statements, year ended 31 March 2020, p.32 - https://www.unionbankofindiauk.co.uk/Portals/0/pdf/Financial_Statements_UBI_UK_Mar_20_(Final)_Signed.pdf
FY2019: Annual Accounts, year ended 31 March 2019 (Statement of Changes in Equity), as presented in the FY2020 Financial Statements' own comparative column (p.32; agrees exactly with FY2019's own report) - https://www.unionbankofindiauk.co.uk/Portals/0/pdf/Financial_Statements_UBI_UK_Mar_20_(Final)_Signed.pdf
FY2018: Annual Accounts, year ended 31 March 2018, p.23 - https://www.unionbankofindiauk.co.uk/Portals/0/pdf/Financial_Accounts_31_03_2018.pdf
Opening balance at 1 April 2020: as presented in the FY2022 Annual Report's own comparative column (p.34) - https://www.unionbankofindiauk.co.uk/Portals/0/pdf/Financial_Statements%20_31-03-2022.pdf
Opening balance at 1 April 2017: as presented in the FY2018 Annual Accounts' own comparative column (p.23) - https://www.unionbankofindiauk.co.uk/Portals/0/pdf/Financial_Accounts_31_03_2018.pdf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treasury shares, share-based payments, or FX/translation reserve movements in any year shown - the only two equity-component columns are Fair value reserves and Retained earnings (plus Issued capital), and Issued capital is static from FY2021 onward; FY2018/FY2019/FY2020 each saw a real cash share issuance ($10,000k FY2018, $10,000k FY2019, $50,000k FY2020, reproduced as a distinct 'Issue of share capital' row). FY2019 additionally shows a one-off 'Impact of IFRS 9 transition' row (Fair value reserves +$246k, Retained earnings +$907k, booked to opening equity at 1 April 2018 rather than through FY2019's own profit or OCI) - see the Cash Flow Statement's FY2018-FY2020 presentation note for the CF statement's separate $907k 'Impairment loss during transition period' line, which coincides with this amount.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Operating activities</t>
        </is>
      </c>
      <c r="B4" s="6" t="n"/>
      <c r="C4" s="6" t="n"/>
      <c r="D4" s="6" t="n"/>
      <c r="E4" s="6" t="n"/>
      <c r="F4" s="6" t="n"/>
      <c r="G4" s="6" t="n"/>
      <c r="H4" s="6" t="n"/>
      <c r="I4" s="6" t="n"/>
      <c r="J4" s="6" t="n"/>
    </row>
    <row r="5">
      <c r="A5" s="6" t="inlineStr">
        <is>
          <t>(Loss)/profit before tax for the year</t>
        </is>
      </c>
      <c r="B5" s="6" t="n">
        <v>181.2</v>
      </c>
      <c r="C5" s="6" t="n">
        <v>-5172.6</v>
      </c>
      <c r="D5" s="6" t="n">
        <v>1182.7</v>
      </c>
      <c r="E5" s="6" t="n">
        <v>1549.4</v>
      </c>
      <c r="F5" s="6" t="n">
        <v>3872.4</v>
      </c>
      <c r="G5" s="6" t="n">
        <v>-8291.5</v>
      </c>
      <c r="H5" s="6" t="n">
        <v>-15643</v>
      </c>
      <c r="I5" s="6" t="n">
        <v>-12696.5</v>
      </c>
      <c r="J5" s="6" t="n">
        <v>4766.2</v>
      </c>
    </row>
    <row r="6">
      <c r="A6" s="6" t="inlineStr">
        <is>
          <t>Interest Income</t>
        </is>
      </c>
      <c r="B6" s="6" t="n">
        <v>-22364.5</v>
      </c>
      <c r="C6" s="6" t="n">
        <v>-25242.3</v>
      </c>
      <c r="D6" s="6" t="n">
        <v>-24663.4</v>
      </c>
      <c r="E6" s="6" t="n">
        <v>-16510.8</v>
      </c>
      <c r="F6" s="6" t="n"/>
      <c r="G6" s="6" t="n"/>
      <c r="H6" s="6" t="n"/>
      <c r="I6" s="6" t="n"/>
      <c r="J6" s="6" t="n"/>
    </row>
    <row r="7">
      <c r="A7" s="6" t="inlineStr">
        <is>
          <t>Interest Expense</t>
        </is>
      </c>
      <c r="B7" s="6" t="n">
        <v>13306.2</v>
      </c>
      <c r="C7" s="6" t="n">
        <v>15603.9</v>
      </c>
      <c r="D7" s="6" t="n">
        <v>13394.8</v>
      </c>
      <c r="E7" s="6" t="n">
        <v>5739.4</v>
      </c>
      <c r="F7" s="6" t="n"/>
      <c r="G7" s="6" t="n"/>
      <c r="H7" s="6" t="n"/>
      <c r="I7" s="6" t="n"/>
      <c r="J7" s="6" t="n"/>
    </row>
    <row r="8">
      <c r="A8" s="6" t="inlineStr">
        <is>
          <t>Impairment loss allowances</t>
        </is>
      </c>
      <c r="B8" s="6" t="n">
        <v>1049.1</v>
      </c>
      <c r="C8" s="6" t="n">
        <v>8019.6</v>
      </c>
      <c r="D8" s="6" t="n">
        <v>4445.6</v>
      </c>
      <c r="E8" s="6" t="n">
        <v>4206.6</v>
      </c>
      <c r="F8" s="6" t="n"/>
      <c r="G8" s="6" t="n"/>
      <c r="H8" s="6" t="n"/>
      <c r="I8" s="6" t="n"/>
      <c r="J8" s="6" t="n"/>
    </row>
    <row r="9">
      <c r="A9" s="6" t="inlineStr">
        <is>
          <t>Impairment loss during transition period</t>
        </is>
      </c>
      <c r="B9" s="6" t="n"/>
      <c r="C9" s="6" t="n"/>
      <c r="D9" s="6" t="n"/>
      <c r="E9" s="6" t="n"/>
      <c r="F9" s="6" t="n"/>
      <c r="G9" s="6" t="n"/>
      <c r="H9" s="6" t="n"/>
      <c r="I9" s="6" t="n">
        <v>692.3</v>
      </c>
      <c r="J9" s="6" t="n"/>
    </row>
    <row r="10">
      <c r="A10" s="6" t="inlineStr">
        <is>
          <t>Amortisation of intangible non-current asset</t>
        </is>
      </c>
      <c r="B10" s="6" t="n">
        <v>52.2</v>
      </c>
      <c r="C10" s="6" t="n">
        <v>44.6</v>
      </c>
      <c r="D10" s="6" t="n">
        <v>49.3</v>
      </c>
      <c r="E10" s="6" t="n">
        <v>68.90000000000001</v>
      </c>
      <c r="F10" s="6" t="n">
        <v>72.7</v>
      </c>
      <c r="G10" s="6" t="n">
        <v>99.3</v>
      </c>
      <c r="H10" s="6" t="n">
        <v>121.9</v>
      </c>
      <c r="I10" s="6" t="n">
        <v>30.5</v>
      </c>
      <c r="J10" s="6" t="n">
        <v>13.4</v>
      </c>
    </row>
    <row r="11">
      <c r="A11" s="6" t="inlineStr">
        <is>
          <t>Depreciation for property, plant and equipment</t>
        </is>
      </c>
      <c r="B11" s="6" t="n">
        <v>460.8</v>
      </c>
      <c r="C11" s="6" t="n">
        <v>491.6</v>
      </c>
      <c r="D11" s="6" t="n">
        <v>466.6</v>
      </c>
      <c r="E11" s="6" t="n">
        <v>357.9</v>
      </c>
      <c r="F11" s="6" t="n">
        <v>308.4</v>
      </c>
      <c r="G11" s="6" t="n">
        <v>319.1</v>
      </c>
      <c r="H11" s="6" t="n">
        <v>338.2</v>
      </c>
      <c r="I11" s="6" t="n">
        <v>91.59999999999999</v>
      </c>
      <c r="J11" s="6" t="n">
        <v>91.09999999999999</v>
      </c>
    </row>
    <row r="12">
      <c r="A12" s="6" t="inlineStr">
        <is>
          <t>FV movement in derivatives</t>
        </is>
      </c>
      <c r="B12" s="6" t="n">
        <v>9.699999999999999</v>
      </c>
      <c r="C12" s="6" t="n">
        <v>-34.4</v>
      </c>
      <c r="D12" s="6" t="n">
        <v>-99.40000000000001</v>
      </c>
      <c r="E12" s="6" t="n">
        <v>55.6</v>
      </c>
      <c r="F12" s="6" t="n">
        <v>-67.59999999999999</v>
      </c>
      <c r="G12" s="6" t="n">
        <v>-149.3</v>
      </c>
      <c r="H12" s="6" t="n">
        <v>429.5</v>
      </c>
      <c r="I12" s="6" t="n"/>
      <c r="J12" s="6" t="n"/>
    </row>
    <row r="13">
      <c r="A13" s="6" t="inlineStr">
        <is>
          <t>Effects of exchange rate changes on cash and cash equivalents (operating adjustment)</t>
        </is>
      </c>
      <c r="B13" s="6" t="n">
        <v>243.8</v>
      </c>
      <c r="C13" s="6" t="n">
        <v>98.59999999999999</v>
      </c>
      <c r="D13" s="6" t="n">
        <v>97</v>
      </c>
      <c r="E13" s="6" t="n">
        <v>122.9</v>
      </c>
      <c r="F13" s="6" t="n">
        <v>24.2</v>
      </c>
      <c r="G13" s="6" t="n">
        <v>-3.8</v>
      </c>
      <c r="H13" s="6" t="n"/>
      <c r="I13" s="6" t="n"/>
      <c r="J13" s="6" t="n"/>
    </row>
    <row r="14">
      <c r="A14" s="6" t="inlineStr">
        <is>
          <t>FV movement of investments at FVTPL</t>
        </is>
      </c>
      <c r="B14" s="6" t="n">
        <v>343.7</v>
      </c>
      <c r="C14" s="6" t="n">
        <v>398.4</v>
      </c>
      <c r="D14" s="6" t="n">
        <v>-825.1</v>
      </c>
      <c r="E14" s="6" t="n"/>
      <c r="F14" s="6" t="n"/>
      <c r="G14" s="6" t="n"/>
      <c r="H14" s="6" t="n"/>
      <c r="I14" s="6" t="n"/>
      <c r="J14" s="6" t="n"/>
    </row>
    <row r="15">
      <c r="A15" s="6" t="inlineStr">
        <is>
          <t>Corporation tax credit/(charge) during the year</t>
        </is>
      </c>
      <c r="B15" s="6" t="n"/>
      <c r="C15" s="6" t="n"/>
      <c r="D15" s="6" t="n"/>
      <c r="E15" s="6" t="n"/>
      <c r="F15" s="6" t="n"/>
      <c r="G15" s="6" t="n"/>
      <c r="H15" s="6" t="n">
        <v>-1710.1</v>
      </c>
      <c r="I15" s="6" t="n">
        <v>2243.2</v>
      </c>
      <c r="J15" s="6" t="n"/>
    </row>
    <row r="16">
      <c r="A16" s="6" t="inlineStr">
        <is>
          <t>Finance Charge on Lease</t>
        </is>
      </c>
      <c r="B16" s="6" t="n">
        <v>167</v>
      </c>
      <c r="C16" s="6" t="n">
        <v>193.3</v>
      </c>
      <c r="D16" s="6" t="n">
        <v>131.9</v>
      </c>
      <c r="E16" s="6" t="n">
        <v>8.300000000000001</v>
      </c>
      <c r="F16" s="6" t="n">
        <v>17.6</v>
      </c>
      <c r="G16" s="6" t="n">
        <v>28.8</v>
      </c>
      <c r="H16" s="6" t="n">
        <v>41.7</v>
      </c>
      <c r="I16" s="6" t="n"/>
      <c r="J16" s="6" t="n"/>
    </row>
    <row r="17">
      <c r="A17" s="5" t="inlineStr">
        <is>
          <t>Cash flows before changes in working capital (excl. profit before tax - see presentation note)</t>
        </is>
      </c>
      <c r="B17" s="5" t="n">
        <v>-6731.8</v>
      </c>
      <c r="C17" s="5" t="n">
        <v>-426.6</v>
      </c>
      <c r="D17" s="5" t="n">
        <v>-7003.4</v>
      </c>
      <c r="E17" s="5" t="n">
        <v>-5951.2</v>
      </c>
      <c r="F17" s="5" t="n">
        <v>355.4</v>
      </c>
      <c r="G17" s="5" t="n">
        <v>294.1</v>
      </c>
      <c r="H17" s="5" t="n">
        <v>-777.9</v>
      </c>
      <c r="I17" s="5" t="n">
        <v>3057.5</v>
      </c>
      <c r="J17" s="5" t="n">
        <v>104.6</v>
      </c>
    </row>
    <row r="18">
      <c r="A18" s="6" t="inlineStr">
        <is>
          <t>(Increase)/Decrease in receivables &amp; prepayments</t>
        </is>
      </c>
      <c r="B18" s="6" t="n">
        <v>882.9</v>
      </c>
      <c r="C18" s="6" t="n">
        <v>-468.9</v>
      </c>
      <c r="D18" s="6" t="n">
        <v>-558</v>
      </c>
      <c r="E18" s="6" t="n">
        <v>620.3</v>
      </c>
      <c r="F18" s="6" t="n">
        <v>-400.2</v>
      </c>
      <c r="G18" s="6" t="n">
        <v>3125.1</v>
      </c>
      <c r="H18" s="6" t="n">
        <v>-1952.3</v>
      </c>
      <c r="I18" s="6" t="n">
        <v>283.2</v>
      </c>
      <c r="J18" s="6" t="n">
        <v>-708.7</v>
      </c>
    </row>
    <row r="19">
      <c r="A19" s="6" t="inlineStr">
        <is>
          <t>Tax paid</t>
        </is>
      </c>
      <c r="B19" s="6" t="n"/>
      <c r="C19" s="6" t="n"/>
      <c r="D19" s="6" t="n"/>
      <c r="E19" s="6" t="n"/>
      <c r="F19" s="6" t="n">
        <v>0</v>
      </c>
      <c r="G19" s="6" t="n">
        <v>0</v>
      </c>
      <c r="H19" s="6" t="n"/>
      <c r="I19" s="6" t="n">
        <v>-937.3</v>
      </c>
      <c r="J19" s="6" t="n"/>
    </row>
    <row r="20">
      <c r="A20" s="6" t="inlineStr">
        <is>
          <t>(Decrease)/Increase in other liabilities</t>
        </is>
      </c>
      <c r="B20" s="6" t="n">
        <v>1454</v>
      </c>
      <c r="C20" s="6" t="n">
        <v>-457.1</v>
      </c>
      <c r="D20" s="6" t="n">
        <v>631.1</v>
      </c>
      <c r="E20" s="6" t="n">
        <v>-121.2</v>
      </c>
      <c r="F20" s="6" t="n">
        <v>-417.1</v>
      </c>
      <c r="G20" s="6" t="n">
        <v>1345.4</v>
      </c>
      <c r="H20" s="6" t="n">
        <v>1443.4</v>
      </c>
      <c r="I20" s="6" t="n">
        <v>-1446.3</v>
      </c>
      <c r="J20" s="6" t="n">
        <v>-1324.9</v>
      </c>
    </row>
    <row r="21">
      <c r="A21" s="5" t="inlineStr">
        <is>
          <t>Net change in working capital</t>
        </is>
      </c>
      <c r="B21" s="5" t="n">
        <v>2336.9</v>
      </c>
      <c r="C21" s="5" t="n">
        <v>-926</v>
      </c>
      <c r="D21" s="5" t="n">
        <v>73.09999999999999</v>
      </c>
      <c r="E21" s="5" t="n">
        <v>499</v>
      </c>
      <c r="F21" s="5" t="n">
        <v>-817.4</v>
      </c>
      <c r="G21" s="5" t="n">
        <v>4470.6</v>
      </c>
      <c r="H21" s="5" t="n">
        <v>-508.9</v>
      </c>
      <c r="I21" s="5" t="n">
        <v>-2100.4</v>
      </c>
      <c r="J21" s="5" t="n">
        <v>-2033.6</v>
      </c>
    </row>
    <row r="22">
      <c r="A22" s="6" t="inlineStr">
        <is>
          <t>(Decrease)/Increase in loans and advances to customers</t>
        </is>
      </c>
      <c r="B22" s="6" t="n">
        <v>-6213.6</v>
      </c>
      <c r="C22" s="6" t="n">
        <v>-6307.6</v>
      </c>
      <c r="D22" s="6" t="n">
        <v>-19440.4</v>
      </c>
      <c r="E22" s="6" t="n">
        <v>-28982.8</v>
      </c>
      <c r="F22" s="6" t="n">
        <v>-22085.6</v>
      </c>
      <c r="G22" s="6" t="n">
        <v>-367.6</v>
      </c>
      <c r="H22" s="6" t="n">
        <v>36012</v>
      </c>
      <c r="I22" s="6" t="n">
        <v>26532.6</v>
      </c>
      <c r="J22" s="6" t="n">
        <v>-44684.8</v>
      </c>
    </row>
    <row r="23">
      <c r="A23" s="6" t="inlineStr">
        <is>
          <t>Interest received on loans and advances to customers</t>
        </is>
      </c>
      <c r="B23" s="6" t="n">
        <v>17403.6</v>
      </c>
      <c r="C23" s="6" t="n">
        <v>17527.2</v>
      </c>
      <c r="D23" s="6" t="n">
        <v>17660</v>
      </c>
      <c r="E23" s="6" t="n">
        <v>11919</v>
      </c>
      <c r="F23" s="6" t="n"/>
      <c r="G23" s="6" t="n"/>
      <c r="H23" s="6" t="n"/>
      <c r="I23" s="6" t="n"/>
      <c r="J23" s="6" t="n"/>
    </row>
    <row r="24">
      <c r="A24" s="6" t="inlineStr">
        <is>
          <t>Decrease/(Increase) in loans and advances to banks</t>
        </is>
      </c>
      <c r="B24" s="6" t="n">
        <v>-48927</v>
      </c>
      <c r="C24" s="6" t="n">
        <v>17806.7</v>
      </c>
      <c r="D24" s="6" t="n">
        <v>11937</v>
      </c>
      <c r="E24" s="6" t="n">
        <v>-32198</v>
      </c>
      <c r="F24" s="6" t="n">
        <v>-8220.6</v>
      </c>
      <c r="G24" s="6" t="n">
        <v>27328.1</v>
      </c>
      <c r="H24" s="6" t="n">
        <v>-13936.1</v>
      </c>
      <c r="I24" s="6" t="n">
        <v>-20101.5</v>
      </c>
      <c r="J24" s="6" t="n">
        <v>5227.8</v>
      </c>
    </row>
    <row r="25">
      <c r="A25" s="6" t="inlineStr">
        <is>
          <t>Interest received on loans and advances to banks</t>
        </is>
      </c>
      <c r="B25" s="6" t="n">
        <v>1979</v>
      </c>
      <c r="C25" s="6" t="n">
        <v>2950.3</v>
      </c>
      <c r="D25" s="6" t="n">
        <v>2789.1</v>
      </c>
      <c r="E25" s="6" t="n">
        <v>1215.6</v>
      </c>
      <c r="F25" s="6" t="n"/>
      <c r="G25" s="6" t="n"/>
      <c r="H25" s="6" t="n"/>
      <c r="I25" s="6" t="n"/>
      <c r="J25" s="6" t="n"/>
    </row>
    <row r="26">
      <c r="A26" s="6" t="inlineStr">
        <is>
          <t>Decrease in deposits from Banks</t>
        </is>
      </c>
      <c r="B26" s="6" t="n"/>
      <c r="C26" s="6" t="n"/>
      <c r="D26" s="6" t="n"/>
      <c r="E26" s="6" t="n"/>
      <c r="F26" s="6" t="n">
        <v>0</v>
      </c>
      <c r="G26" s="6" t="n">
        <v>-16111.6</v>
      </c>
      <c r="H26" s="6" t="n">
        <v>-6395.8</v>
      </c>
      <c r="I26" s="6" t="n">
        <v>-2101.2</v>
      </c>
      <c r="J26" s="6" t="n">
        <v>-2659.4</v>
      </c>
    </row>
    <row r="27">
      <c r="A27" s="6" t="inlineStr">
        <is>
          <t>(Decrease)/Increase in deposits from customers</t>
        </is>
      </c>
      <c r="B27" s="6" t="n">
        <v>28.3</v>
      </c>
      <c r="C27" s="6" t="n">
        <v>-29666.5</v>
      </c>
      <c r="D27" s="6" t="n">
        <v>37943.7</v>
      </c>
      <c r="E27" s="6" t="n">
        <v>44656.6</v>
      </c>
      <c r="F27" s="6" t="n">
        <v>3273.1</v>
      </c>
      <c r="G27" s="6" t="n">
        <v>22142</v>
      </c>
      <c r="H27" s="6" t="n">
        <v>1684.1</v>
      </c>
      <c r="I27" s="6" t="n">
        <v>18479.6</v>
      </c>
      <c r="J27" s="6" t="n">
        <v>34820</v>
      </c>
    </row>
    <row r="28">
      <c r="A28" s="6" t="inlineStr">
        <is>
          <t>Interest paid on deposits from customers</t>
        </is>
      </c>
      <c r="B28" s="6" t="n">
        <v>-13115.4</v>
      </c>
      <c r="C28" s="6" t="n">
        <v>-15715.1</v>
      </c>
      <c r="D28" s="6" t="n">
        <v>-6738.7</v>
      </c>
      <c r="E28" s="6" t="n">
        <v>-2351.6</v>
      </c>
      <c r="F28" s="6" t="n"/>
      <c r="G28" s="6" t="n"/>
      <c r="H28" s="6" t="n"/>
      <c r="I28" s="6" t="n"/>
      <c r="J28" s="6" t="n"/>
    </row>
    <row r="29">
      <c r="A29" s="6" t="inlineStr">
        <is>
          <t>Decrease/(Increase) in derivative financial instruments - Assets</t>
        </is>
      </c>
      <c r="B29" s="6" t="n"/>
      <c r="C29" s="6" t="n">
        <v>0</v>
      </c>
      <c r="D29" s="6" t="n">
        <v>178</v>
      </c>
      <c r="E29" s="6" t="n">
        <v>-186</v>
      </c>
      <c r="F29" s="6" t="n">
        <v>1054.6</v>
      </c>
      <c r="G29" s="6" t="n">
        <v>-1088.5</v>
      </c>
      <c r="H29" s="6" t="n">
        <v>321.7</v>
      </c>
      <c r="I29" s="6" t="n">
        <v>-312.2</v>
      </c>
      <c r="J29" s="6" t="n">
        <v>242</v>
      </c>
    </row>
    <row r="30">
      <c r="A30" s="6" t="inlineStr">
        <is>
          <t>Increase/(Decrease) in derivative financial instruments - Liabilities</t>
        </is>
      </c>
      <c r="B30" s="6" t="n">
        <v>-800.8</v>
      </c>
      <c r="C30" s="6" t="n">
        <v>1006.7</v>
      </c>
      <c r="D30" s="6" t="n">
        <v>251.2</v>
      </c>
      <c r="E30" s="6" t="n">
        <v>-543.1</v>
      </c>
      <c r="F30" s="6" t="n">
        <v>497.9</v>
      </c>
      <c r="G30" s="6" t="n">
        <v>-2283.8</v>
      </c>
      <c r="H30" s="6" t="n">
        <v>2525</v>
      </c>
      <c r="I30" s="6" t="n">
        <v>-325.1</v>
      </c>
      <c r="J30" s="6" t="n">
        <v>318.1</v>
      </c>
    </row>
    <row r="31">
      <c r="A31" s="6" t="inlineStr">
        <is>
          <t>Increase/(Decrease) in repurchase agreements (see FY2018-FY2020 presentation note)</t>
        </is>
      </c>
      <c r="B31" s="6" t="n"/>
      <c r="C31" s="6" t="n"/>
      <c r="D31" s="6" t="n"/>
      <c r="E31" s="6" t="n"/>
      <c r="F31" s="6" t="n"/>
      <c r="G31" s="6" t="n"/>
      <c r="H31" s="6" t="n">
        <v>-16821.4</v>
      </c>
      <c r="I31" s="6" t="n">
        <v>-2102.7</v>
      </c>
      <c r="J31" s="6" t="n">
        <v>24705.8</v>
      </c>
    </row>
    <row r="32">
      <c r="A32" s="5" t="inlineStr">
        <is>
          <t>Net cash generated from/(used in) operating activities</t>
        </is>
      </c>
      <c r="B32" s="5" t="n">
        <v>-53859.5</v>
      </c>
      <c r="C32" s="5" t="n">
        <v>-18923.7</v>
      </c>
      <c r="D32" s="5" t="n">
        <v>38833.2</v>
      </c>
      <c r="E32" s="5" t="n">
        <v>-10372.8</v>
      </c>
      <c r="F32" s="5" t="n">
        <v>-22070.2</v>
      </c>
      <c r="G32" s="5" t="n">
        <v>26091.9</v>
      </c>
      <c r="H32" s="5" t="n">
        <v>-13541.3</v>
      </c>
      <c r="I32" s="5" t="n">
        <v>8330.799999999999</v>
      </c>
      <c r="J32" s="5" t="n">
        <v>20806.6</v>
      </c>
    </row>
    <row r="33">
      <c r="A33" s="5" t="inlineStr">
        <is>
          <t>Investing activities</t>
        </is>
      </c>
      <c r="B33" s="6" t="n"/>
      <c r="C33" s="6" t="n"/>
      <c r="D33" s="6" t="n"/>
      <c r="E33" s="6" t="n"/>
      <c r="F33" s="6" t="n"/>
      <c r="G33" s="6" t="n"/>
      <c r="H33" s="6" t="n"/>
      <c r="I33" s="6" t="n"/>
      <c r="J33" s="6" t="n"/>
    </row>
    <row r="34">
      <c r="A34" s="6" t="inlineStr">
        <is>
          <t>Disposal/(Acquisition) of Investments - FVOCI</t>
        </is>
      </c>
      <c r="B34" s="6" t="n"/>
      <c r="C34" s="6" t="n"/>
      <c r="D34" s="6" t="n"/>
      <c r="E34" s="6" t="n"/>
      <c r="F34" s="6" t="n">
        <v>13539.7</v>
      </c>
      <c r="G34" s="6" t="n">
        <v>-18111.9</v>
      </c>
      <c r="H34" s="6" t="n">
        <v>23958.2</v>
      </c>
      <c r="I34" s="6" t="n">
        <v>-14862.6</v>
      </c>
      <c r="J34" s="6" t="n">
        <v>-35573.6</v>
      </c>
    </row>
    <row r="35">
      <c r="A35" s="6" t="inlineStr">
        <is>
          <t>Acquisition of Investments - FVOCI</t>
        </is>
      </c>
      <c r="B35" s="6" t="n">
        <v>-26264.3</v>
      </c>
      <c r="C35" s="6" t="n">
        <v>-11845</v>
      </c>
      <c r="D35" s="6" t="n">
        <v>-19321.2</v>
      </c>
      <c r="E35" s="6" t="n">
        <v>-2235.3</v>
      </c>
      <c r="F35" s="6" t="n"/>
      <c r="G35" s="6" t="n"/>
      <c r="H35" s="6" t="n"/>
      <c r="I35" s="6" t="n"/>
      <c r="J35" s="6" t="n"/>
    </row>
    <row r="36">
      <c r="A36" s="6" t="inlineStr">
        <is>
          <t>Proceeds from Investments</t>
        </is>
      </c>
      <c r="B36" s="6" t="n">
        <v>24286</v>
      </c>
      <c r="C36" s="6" t="n">
        <v>22029</v>
      </c>
      <c r="D36" s="6" t="n"/>
      <c r="E36" s="6" t="n"/>
      <c r="F36" s="6" t="n"/>
      <c r="G36" s="6" t="n"/>
      <c r="H36" s="6" t="n"/>
      <c r="I36" s="6" t="n"/>
      <c r="J36" s="6" t="n"/>
    </row>
    <row r="37">
      <c r="A37" s="6" t="inlineStr">
        <is>
          <t>Disposal/(Acquisition) of Investments - Amortised cost</t>
        </is>
      </c>
      <c r="B37" s="6" t="n"/>
      <c r="C37" s="6" t="n"/>
      <c r="D37" s="6" t="n"/>
      <c r="E37" s="6" t="n"/>
      <c r="F37" s="6" t="n">
        <v>4063.3</v>
      </c>
      <c r="G37" s="6" t="n">
        <v>-3991.5</v>
      </c>
      <c r="H37" s="6" t="n">
        <v>139.2</v>
      </c>
      <c r="I37" s="6" t="n">
        <v>1196.8</v>
      </c>
      <c r="J37" s="6" t="n">
        <v>42.6</v>
      </c>
    </row>
    <row r="38">
      <c r="A38" s="6" t="inlineStr">
        <is>
          <t>Proceeds from Investments - Amortised cost</t>
        </is>
      </c>
      <c r="B38" s="6" t="n"/>
      <c r="C38" s="6" t="n"/>
      <c r="D38" s="6" t="n">
        <v>1503.9</v>
      </c>
      <c r="E38" s="6" t="n">
        <v>4086.2</v>
      </c>
      <c r="F38" s="6" t="n"/>
      <c r="G38" s="6" t="n"/>
      <c r="H38" s="6" t="n"/>
      <c r="I38" s="6" t="n"/>
      <c r="J38" s="6" t="n"/>
    </row>
    <row r="39">
      <c r="A39" s="6" t="inlineStr">
        <is>
          <t>(Acquisition)/Disposal of Investments - FVTPL</t>
        </is>
      </c>
      <c r="B39" s="6" t="n"/>
      <c r="C39" s="6" t="n"/>
      <c r="D39" s="6" t="n"/>
      <c r="E39" s="6" t="n">
        <v>-649.3</v>
      </c>
      <c r="F39" s="6" t="n">
        <v>-97.7</v>
      </c>
      <c r="G39" s="6" t="n">
        <v>-997.5</v>
      </c>
      <c r="H39" s="6" t="n"/>
      <c r="I39" s="6" t="n">
        <v>1462.4</v>
      </c>
      <c r="J39" s="6" t="n">
        <v>-1430.9</v>
      </c>
    </row>
    <row r="40">
      <c r="A40" s="6" t="inlineStr">
        <is>
          <t>Interest received on Investments</t>
        </is>
      </c>
      <c r="B40" s="6" t="n">
        <v>1926.8</v>
      </c>
      <c r="C40" s="6" t="n">
        <v>2526.8</v>
      </c>
      <c r="D40" s="6" t="n">
        <v>1573.8</v>
      </c>
      <c r="E40" s="6" t="n">
        <v>1409.9</v>
      </c>
      <c r="F40" s="6" t="n"/>
      <c r="G40" s="6" t="n"/>
      <c r="H40" s="6" t="n"/>
      <c r="I40" s="6" t="n"/>
      <c r="J40" s="6" t="n"/>
    </row>
    <row r="41">
      <c r="A41" s="6" t="inlineStr">
        <is>
          <t>Disposal of property, plant and equipment</t>
        </is>
      </c>
      <c r="B41" s="6" t="n"/>
      <c r="C41" s="6" t="n"/>
      <c r="D41" s="6" t="n"/>
      <c r="E41" s="6" t="n"/>
      <c r="F41" s="6" t="n">
        <v>2.2</v>
      </c>
      <c r="G41" s="6" t="n">
        <v>1.5</v>
      </c>
      <c r="H41" s="6" t="n"/>
      <c r="I41" s="6" t="n"/>
      <c r="J41" s="6" t="n"/>
    </row>
    <row r="42">
      <c r="A42" s="6" t="inlineStr">
        <is>
          <t>Acquisition of property, plant and equipment</t>
        </is>
      </c>
      <c r="B42" s="6" t="n">
        <v>-10.4</v>
      </c>
      <c r="C42" s="6" t="n">
        <v>-9.4</v>
      </c>
      <c r="D42" s="6" t="n">
        <v>-1387</v>
      </c>
      <c r="E42" s="6" t="n">
        <v>-20.8</v>
      </c>
      <c r="F42" s="6" t="n">
        <v>-35.3</v>
      </c>
      <c r="G42" s="6" t="n">
        <v>-40.9</v>
      </c>
      <c r="H42" s="6" t="n">
        <v>-26</v>
      </c>
      <c r="I42" s="6" t="n">
        <v>-11.4</v>
      </c>
      <c r="J42" s="6" t="n">
        <v>-41.8</v>
      </c>
    </row>
    <row r="43">
      <c r="A43" s="6" t="inlineStr">
        <is>
          <t>Acquisition of intangible assets</t>
        </is>
      </c>
      <c r="B43" s="6" t="n">
        <v>-450.4</v>
      </c>
      <c r="C43" s="6" t="n">
        <v>-3.1</v>
      </c>
      <c r="D43" s="6" t="n"/>
      <c r="E43" s="6" t="n">
        <v>-53.1</v>
      </c>
      <c r="F43" s="6" t="n">
        <v>-110.9</v>
      </c>
      <c r="G43" s="6" t="n"/>
      <c r="H43" s="6" t="n">
        <v>-191.9</v>
      </c>
      <c r="I43" s="6" t="n">
        <v>-118.3</v>
      </c>
      <c r="J43" s="6" t="n">
        <v>-26.9</v>
      </c>
    </row>
    <row r="44">
      <c r="A44" s="6" t="inlineStr">
        <is>
          <t>(Increase)/decrease in capital work in progress</t>
        </is>
      </c>
      <c r="B44" s="6" t="n"/>
      <c r="C44" s="6" t="n"/>
      <c r="D44" s="6" t="n"/>
      <c r="E44" s="6" t="n"/>
      <c r="F44" s="6" t="n"/>
      <c r="G44" s="6" t="n"/>
      <c r="H44" s="6" t="n"/>
      <c r="I44" s="6" t="n">
        <v>0</v>
      </c>
      <c r="J44" s="6" t="n">
        <v>-0.7</v>
      </c>
    </row>
    <row r="45">
      <c r="A45" s="5" t="inlineStr">
        <is>
          <t>Net cash generated from/(used in) investing activities</t>
        </is>
      </c>
      <c r="B45" s="5" t="n">
        <v>-512.3</v>
      </c>
      <c r="C45" s="5" t="n">
        <v>12698.2</v>
      </c>
      <c r="D45" s="5" t="n">
        <v>-17630.6</v>
      </c>
      <c r="E45" s="5" t="n">
        <v>2537.6</v>
      </c>
      <c r="F45" s="5" t="n">
        <v>17361.4</v>
      </c>
      <c r="G45" s="5" t="n">
        <v>-23141.1</v>
      </c>
      <c r="H45" s="5" t="n">
        <v>23879.5</v>
      </c>
      <c r="I45" s="5" t="n">
        <v>-12333.2</v>
      </c>
      <c r="J45" s="5" t="n">
        <v>-37031.4</v>
      </c>
    </row>
    <row r="46">
      <c r="A46" s="5" t="inlineStr">
        <is>
          <t>Financing activities</t>
        </is>
      </c>
      <c r="B46" s="6" t="n"/>
      <c r="C46" s="6" t="n"/>
      <c r="D46" s="6" t="n"/>
      <c r="E46" s="6" t="n"/>
      <c r="F46" s="6" t="n"/>
      <c r="G46" s="6" t="n"/>
      <c r="H46" s="6" t="n"/>
      <c r="I46" s="6" t="n"/>
      <c r="J46" s="6" t="n"/>
    </row>
    <row r="47">
      <c r="A47" s="6" t="inlineStr">
        <is>
          <t>Proceeds from issue of equity share capital</t>
        </is>
      </c>
      <c r="B47" s="6" t="n"/>
      <c r="C47" s="6" t="n"/>
      <c r="D47" s="6" t="n"/>
      <c r="E47" s="6" t="n"/>
      <c r="F47" s="6" t="n"/>
      <c r="G47" s="6" t="n"/>
      <c r="H47" s="6" t="n">
        <v>39329.8</v>
      </c>
      <c r="I47" s="6" t="n">
        <v>7632.4</v>
      </c>
      <c r="J47" s="6" t="n">
        <v>7468.3</v>
      </c>
    </row>
    <row r="48">
      <c r="A48" s="6" t="inlineStr">
        <is>
          <t>Proceeds from Intra-group/Inter Bank borrowings</t>
        </is>
      </c>
      <c r="B48" s="6" t="n"/>
      <c r="C48" s="6" t="n"/>
      <c r="D48" s="6" t="n"/>
      <c r="E48" s="6" t="n">
        <v>29062.5</v>
      </c>
      <c r="F48" s="6" t="n">
        <v>4414.3</v>
      </c>
      <c r="G48" s="6" t="n"/>
      <c r="H48" s="6" t="n"/>
      <c r="I48" s="6" t="n"/>
      <c r="J48" s="6" t="n"/>
    </row>
    <row r="49">
      <c r="A49" s="6" t="inlineStr">
        <is>
          <t>Repayment of Inter Bank borrowings</t>
        </is>
      </c>
      <c r="B49" s="6" t="n"/>
      <c r="C49" s="6" t="n"/>
      <c r="D49" s="6" t="n">
        <v>-27819.7</v>
      </c>
      <c r="E49" s="6" t="n">
        <v>-4982.1</v>
      </c>
      <c r="F49" s="6" t="n"/>
      <c r="G49" s="6" t="n"/>
      <c r="H49" s="6" t="n"/>
      <c r="I49" s="6" t="n"/>
      <c r="J49" s="6" t="n"/>
    </row>
    <row r="50">
      <c r="A50" s="6" t="inlineStr">
        <is>
          <t>Proceeds from Deposits from Banks</t>
        </is>
      </c>
      <c r="B50" s="6" t="n">
        <v>44199.5</v>
      </c>
      <c r="C50" s="6" t="n"/>
      <c r="D50" s="6" t="n"/>
      <c r="E50" s="6" t="n"/>
      <c r="F50" s="6" t="n"/>
      <c r="G50" s="6" t="n"/>
      <c r="H50" s="6" t="n"/>
      <c r="I50" s="6" t="n"/>
      <c r="J50" s="6" t="n"/>
    </row>
    <row r="51">
      <c r="A51" s="6" t="inlineStr">
        <is>
          <t>Interest Paid on Inter bank borrowings</t>
        </is>
      </c>
      <c r="B51" s="6" t="n">
        <v>-260.2</v>
      </c>
      <c r="C51" s="6" t="n">
        <v>-18</v>
      </c>
      <c r="D51" s="6" t="n">
        <v>-1494.3</v>
      </c>
      <c r="E51" s="6" t="n">
        <v>-103</v>
      </c>
      <c r="F51" s="6" t="n"/>
      <c r="G51" s="6" t="n"/>
      <c r="H51" s="6" t="n"/>
      <c r="I51" s="6" t="n"/>
      <c r="J51" s="6" t="n"/>
    </row>
    <row r="52">
      <c r="A52" s="6" t="inlineStr">
        <is>
          <t>Proceeds from/(Repayment to) Intra-group borrowings (net, see FY2018-FY2020 presentation note)</t>
        </is>
      </c>
      <c r="B52" s="6" t="n"/>
      <c r="C52" s="6" t="n"/>
      <c r="D52" s="6" t="n"/>
      <c r="E52" s="6" t="n"/>
      <c r="F52" s="6" t="n"/>
      <c r="G52" s="6" t="n"/>
      <c r="H52" s="6" t="n">
        <v>-47640.2</v>
      </c>
      <c r="I52" s="6" t="n">
        <v>-1425</v>
      </c>
      <c r="J52" s="6" t="n">
        <v>9082.200000000001</v>
      </c>
    </row>
    <row r="53">
      <c r="A53" s="6" t="inlineStr">
        <is>
          <t>Decrease in repurchase agreements</t>
        </is>
      </c>
      <c r="B53" s="6" t="n"/>
      <c r="C53" s="6" t="n"/>
      <c r="D53" s="6" t="n"/>
      <c r="E53" s="6" t="n"/>
      <c r="F53" s="6" t="n">
        <v>-54.3</v>
      </c>
      <c r="G53" s="6" t="n">
        <v>-2818.2</v>
      </c>
      <c r="H53" s="6" t="n"/>
      <c r="I53" s="6" t="n"/>
      <c r="J53" s="6" t="n"/>
    </row>
    <row r="54">
      <c r="A54" s="6" t="inlineStr">
        <is>
          <t>Proceeds from Repurchase agreements</t>
        </is>
      </c>
      <c r="B54" s="6" t="n">
        <v>23011</v>
      </c>
      <c r="C54" s="6" t="n">
        <v>11782.4</v>
      </c>
      <c r="D54" s="6" t="n"/>
      <c r="E54" s="6" t="n"/>
      <c r="F54" s="6" t="n"/>
      <c r="G54" s="6" t="n"/>
      <c r="H54" s="6" t="n"/>
      <c r="I54" s="6" t="n"/>
      <c r="J54" s="6" t="n"/>
    </row>
    <row r="55">
      <c r="A55" s="6" t="inlineStr">
        <is>
          <t>Repayment of Repurchase agreements</t>
        </is>
      </c>
      <c r="B55" s="6" t="n">
        <v>-11223.6</v>
      </c>
      <c r="C55" s="6" t="n"/>
      <c r="D55" s="6" t="n"/>
      <c r="E55" s="6" t="n">
        <v>-4272.2</v>
      </c>
      <c r="F55" s="6" t="n"/>
      <c r="G55" s="6" t="n"/>
      <c r="H55" s="6" t="n"/>
      <c r="I55" s="6" t="n"/>
      <c r="J55" s="6" t="n"/>
    </row>
    <row r="56">
      <c r="A56" s="6" t="inlineStr">
        <is>
          <t>Interest Paid on Repurchase agreements</t>
        </is>
      </c>
      <c r="B56" s="6" t="n">
        <v>-549.5</v>
      </c>
      <c r="C56" s="6" t="n">
        <v>-513.5</v>
      </c>
      <c r="D56" s="6" t="n"/>
      <c r="E56" s="6" t="n">
        <v>-24.1</v>
      </c>
      <c r="F56" s="6" t="n"/>
      <c r="G56" s="6" t="n"/>
      <c r="H56" s="6" t="n"/>
      <c r="I56" s="6" t="n"/>
      <c r="J56" s="6" t="n"/>
    </row>
    <row r="57">
      <c r="A57" s="6" t="inlineStr">
        <is>
          <t>Repayment of Lease (Principal amt)</t>
        </is>
      </c>
      <c r="B57" s="6" t="n">
        <v>-450.4</v>
      </c>
      <c r="C57" s="6" t="n">
        <v>-340.5</v>
      </c>
      <c r="D57" s="6" t="n">
        <v>-153.4</v>
      </c>
      <c r="E57" s="6" t="n">
        <v>-358.7</v>
      </c>
      <c r="F57" s="6" t="n">
        <v>-329</v>
      </c>
      <c r="G57" s="6" t="n">
        <v>-304.7</v>
      </c>
      <c r="H57" s="6" t="n">
        <v>-283.2</v>
      </c>
      <c r="I57" s="6" t="n"/>
      <c r="J57" s="6" t="n"/>
    </row>
    <row r="58">
      <c r="A58" s="6" t="inlineStr">
        <is>
          <t>Payment of Interest on Lease</t>
        </is>
      </c>
      <c r="B58" s="6" t="n"/>
      <c r="C58" s="6" t="n"/>
      <c r="D58" s="6" t="n"/>
      <c r="E58" s="6" t="n"/>
      <c r="F58" s="6" t="n">
        <v>-17.6</v>
      </c>
      <c r="G58" s="6" t="n">
        <v>-28.8</v>
      </c>
      <c r="H58" s="6" t="n">
        <v>-41.7</v>
      </c>
      <c r="I58" s="6" t="n"/>
      <c r="J58" s="6" t="n"/>
    </row>
    <row r="59">
      <c r="A59" s="5" t="inlineStr">
        <is>
          <t>Net cash generated from/(used in) financing activities</t>
        </is>
      </c>
      <c r="B59" s="5" t="n">
        <v>54726.7</v>
      </c>
      <c r="C59" s="5" t="n">
        <v>10910.4</v>
      </c>
      <c r="D59" s="5" t="n">
        <v>-29467.5</v>
      </c>
      <c r="E59" s="5" t="n">
        <v>19322.4</v>
      </c>
      <c r="F59" s="5" t="n">
        <v>4013.4</v>
      </c>
      <c r="G59" s="5" t="n">
        <v>-3151.7</v>
      </c>
      <c r="H59" s="5" t="n">
        <v>-8634.5</v>
      </c>
      <c r="I59" s="5" t="n">
        <v>6207.4</v>
      </c>
      <c r="J59" s="5" t="n">
        <v>16550.4</v>
      </c>
    </row>
    <row r="60">
      <c r="A60" s="5" t="inlineStr">
        <is>
          <t>Net increase/(decrease) in cash and cash equivalents</t>
        </is>
      </c>
      <c r="B60" s="5" t="n">
        <v>354.9</v>
      </c>
      <c r="C60" s="5" t="n">
        <v>4684.9</v>
      </c>
      <c r="D60" s="5" t="n">
        <v>-8265.6</v>
      </c>
      <c r="E60" s="5" t="n">
        <v>11487.2</v>
      </c>
      <c r="F60" s="5" t="n">
        <v>-695.5</v>
      </c>
      <c r="G60" s="5" t="n">
        <v>-200.9</v>
      </c>
      <c r="H60" s="5" t="n">
        <v>1703.8</v>
      </c>
      <c r="I60" s="5" t="n">
        <v>2205</v>
      </c>
      <c r="J60" s="5" t="n">
        <v>325.6</v>
      </c>
    </row>
    <row r="61">
      <c r="A61" s="6" t="inlineStr">
        <is>
          <t>Cash and cash equivalents at beginning of the year</t>
        </is>
      </c>
      <c r="B61" s="6" t="n">
        <v>10995.4</v>
      </c>
      <c r="C61" s="6" t="n">
        <v>6599.1</v>
      </c>
      <c r="D61" s="6" t="n">
        <v>15250.7</v>
      </c>
      <c r="E61" s="6" t="n">
        <v>3928</v>
      </c>
      <c r="F61" s="6" t="n">
        <v>4457.8</v>
      </c>
      <c r="G61" s="6" t="n">
        <v>5168.1</v>
      </c>
      <c r="H61" s="6" t="n">
        <v>3257.1</v>
      </c>
      <c r="I61" s="6" t="n">
        <v>965.6</v>
      </c>
      <c r="J61" s="6" t="n">
        <v>734.8</v>
      </c>
    </row>
    <row r="62">
      <c r="A62" s="6" t="inlineStr">
        <is>
          <t>Effects of exchange rate changes on cash and cash equivalents (closing bridge)</t>
        </is>
      </c>
      <c r="B62" s="6" t="n">
        <v>-243.8</v>
      </c>
      <c r="C62" s="6" t="n">
        <v>-98.59999999999999</v>
      </c>
      <c r="D62" s="6" t="n">
        <v>-97</v>
      </c>
      <c r="E62" s="6" t="n">
        <v>-122.9</v>
      </c>
      <c r="F62" s="6" t="n">
        <v>-24.2</v>
      </c>
      <c r="G62" s="6" t="n">
        <v>3.8</v>
      </c>
      <c r="H62" s="6" t="n">
        <v>0</v>
      </c>
      <c r="I62" s="6" t="n">
        <v>0</v>
      </c>
      <c r="J62" s="6" t="n">
        <v>0</v>
      </c>
    </row>
    <row r="63">
      <c r="A63" s="6" t="inlineStr">
        <is>
          <t>Effect of GBP/USD translation (£ conversion artefact - see FX note)</t>
        </is>
      </c>
      <c r="B63" s="6" t="n">
        <v>-229.9</v>
      </c>
      <c r="C63" s="6" t="n">
        <v>-190</v>
      </c>
      <c r="D63" s="6" t="n">
        <v>-289</v>
      </c>
      <c r="E63" s="6" t="n">
        <v>-41.6</v>
      </c>
      <c r="F63" s="6" t="n">
        <v>189.9</v>
      </c>
      <c r="G63" s="6" t="n">
        <v>-513.2</v>
      </c>
      <c r="H63" s="6" t="n">
        <v>207.2</v>
      </c>
      <c r="I63" s="6" t="n">
        <v>86.5</v>
      </c>
      <c r="J63" s="6" t="n">
        <v>-94.8</v>
      </c>
    </row>
    <row r="64">
      <c r="A64" s="5" t="inlineStr">
        <is>
          <t>Cash and cash equivalents at close of the year</t>
        </is>
      </c>
      <c r="B64" s="5" t="n">
        <v>10876.6</v>
      </c>
      <c r="C64" s="5" t="n">
        <v>10995.4</v>
      </c>
      <c r="D64" s="5" t="n">
        <v>6599.1</v>
      </c>
      <c r="E64" s="5" t="n">
        <v>15250.7</v>
      </c>
      <c r="F64" s="5" t="n">
        <v>3928</v>
      </c>
      <c r="G64" s="5" t="n">
        <v>4457.8</v>
      </c>
      <c r="H64" s="5" t="n">
        <v>5168.1</v>
      </c>
      <c r="I64" s="5" t="n">
        <v>3257.1</v>
      </c>
      <c r="J64" s="5" t="n">
        <v>965.6</v>
      </c>
    </row>
    <row r="66" ht="340" customHeight="1">
      <c r="A66" s="8" t="inlineStr">
        <is>
          <t>Sources - all figures are Union Bank of India (UK) Limited's own Statement of Cash Flows (converted from USD to £, see FX conversion note below):
FY2026: Annual Report and Financial Statements, year ended 31 March 2026, p.35 (Statement of Cash Flows) - https://www.unionbankofindiauk.co.uk/Portals/0/Annual%20Accounts%20UBIUK%202026%20Signed_1.pdf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FY2020: Financial Statements, year ended 31 March 2020, p.33 (Statement of Cash Flows) - https://www.unionbankofindiauk.co.uk/Portals/0/pdf/Financial_Statements_UBI_UK_Mar_20_(Final)_Signed.pdf
FY2019: Annual Accounts, year ended 31 March 2019, p.26 (Statement of Cash Flows) - https://www.unionbankofindiauk.co.uk/Portals/0/pdf/Annual_report_-_31_03_19_Signed..pdf
FY2018: Annual Accounts, year ended 31 March 2018, p.24 (Statement of Cash Flows) - https://www.unionbankofindiauk.co.uk/Portals/0/pdf/Financial_Accounts_31_03_2018.pdf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FY2019's own report and FY2020's own report agree exactly on the FY2019 comparative figures shown in each (no restatement found between those two).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 (also holds for FY2018-FY2020).
FY2018-FY2020 PRESENTATION NOTE: these years' own Statements of Cash Flows classify 'repurchase agreements' movements and a single combined 'Proceeds from/(Repayment to) Intra-group borrowings' line within Operating and Financing activities respectively, but do not split intra-group borrowings into separate 'proceeds' and 'repayment' rows the way FY2022/FY2023's own reports do, and do not disclose interest-received/interest-paid splits at all (all folded into the combined loans/deposits movement lines) - reproduced here exactly as each year's own report presents it. FY2019/FY2020 additionally show a 'Corporation tax credit/(charge) during the year' reconciling item (deferred tax movements) and, in FY2019 only, a one-off 'Impairment loss during transition period' ($907k) coinciding with the IFRS 9 transition impact of the same amount booked to opening retained earnings in the Statement of Changes in Equity - both figures are reproduced as the Bank's own report presents them; the coincidence in amount is not explained in the source and is not resolved here.</t>
        </is>
      </c>
    </row>
  </sheetData>
  <mergeCells count="1">
    <mergeCell ref="A66:J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5" t="inlineStr">
        <is>
          <t>Gross carrying amount</t>
        </is>
      </c>
      <c r="B4" s="6" t="n"/>
      <c r="C4" s="6" t="n"/>
      <c r="D4" s="6" t="n"/>
      <c r="E4" s="6" t="n"/>
      <c r="F4" s="6" t="n"/>
      <c r="G4" s="6" t="n"/>
      <c r="H4" s="6" t="n"/>
      <c r="I4" s="6" t="n"/>
      <c r="J4" s="6" t="n"/>
    </row>
    <row r="5">
      <c r="A5" s="6" t="inlineStr">
        <is>
          <t>Stage 1 (12-month ECL)</t>
        </is>
      </c>
      <c r="B5" s="6" t="n">
        <v>221227.6</v>
      </c>
      <c r="C5" s="6" t="n">
        <v>217927.2</v>
      </c>
      <c r="D5" s="6" t="n">
        <v>230250.2</v>
      </c>
      <c r="E5" s="6" t="n">
        <v>231541.6</v>
      </c>
      <c r="F5" s="6" t="n">
        <v>194834.4</v>
      </c>
      <c r="G5" s="6" t="n">
        <v>151314.9</v>
      </c>
      <c r="H5" s="6" t="n">
        <v>141502.1</v>
      </c>
      <c r="I5" s="6" t="n">
        <v>170516.5</v>
      </c>
      <c r="J5" s="6" t="n"/>
    </row>
    <row r="6">
      <c r="A6" s="6" t="inlineStr">
        <is>
          <t>Stage 2 (lifetime ECL, not credit-impaired)</t>
        </is>
      </c>
      <c r="B6" s="6" t="n">
        <v>27783.6</v>
      </c>
      <c r="C6" s="6" t="n">
        <v>29663.1</v>
      </c>
      <c r="D6" s="6" t="n">
        <v>15438.6</v>
      </c>
      <c r="E6" s="6" t="n">
        <v>7036.6</v>
      </c>
      <c r="F6" s="6" t="n">
        <v>5082.1</v>
      </c>
      <c r="G6" s="6" t="n">
        <v>18656.9</v>
      </c>
      <c r="H6" s="6" t="n">
        <v>41277.1</v>
      </c>
      <c r="I6" s="6" t="n">
        <v>33298.5</v>
      </c>
      <c r="J6" s="6" t="n"/>
    </row>
    <row r="7">
      <c r="A7" s="6" t="inlineStr">
        <is>
          <t>Stage 3 (credit-impaired)</t>
        </is>
      </c>
      <c r="B7" s="6" t="n">
        <v>29552.6</v>
      </c>
      <c r="C7" s="6" t="n">
        <v>32861.3</v>
      </c>
      <c r="D7" s="6" t="n">
        <v>41143.9</v>
      </c>
      <c r="E7" s="6" t="n">
        <v>32593</v>
      </c>
      <c r="F7" s="6" t="n">
        <v>31164</v>
      </c>
      <c r="G7" s="6" t="n">
        <v>60184.8</v>
      </c>
      <c r="H7" s="6" t="n">
        <v>67528.8</v>
      </c>
      <c r="I7" s="6" t="n">
        <v>49083.7</v>
      </c>
      <c r="J7" s="6" t="n"/>
    </row>
    <row r="8">
      <c r="A8" s="5" t="inlineStr">
        <is>
          <t>Total gross carrying amount</t>
        </is>
      </c>
      <c r="B8" s="5" t="n">
        <v>278563.8</v>
      </c>
      <c r="C8" s="5" t="n">
        <v>280451.6</v>
      </c>
      <c r="D8" s="5" t="n">
        <v>286832.6</v>
      </c>
      <c r="E8" s="5" t="n">
        <v>271171.1</v>
      </c>
      <c r="F8" s="5" t="n">
        <v>231080.4</v>
      </c>
      <c r="G8" s="5" t="n">
        <v>230157.3</v>
      </c>
      <c r="H8" s="5" t="n">
        <v>250308</v>
      </c>
      <c r="I8" s="5" t="n">
        <v>252899.5</v>
      </c>
      <c r="J8" s="5" t="n"/>
    </row>
    <row r="9">
      <c r="A9" s="5" t="inlineStr">
        <is>
          <t>Impairment provision (ECL)</t>
        </is>
      </c>
      <c r="B9" s="6" t="n"/>
      <c r="C9" s="6" t="n"/>
      <c r="D9" s="6" t="n"/>
      <c r="E9" s="6" t="n"/>
      <c r="F9" s="6" t="n"/>
      <c r="G9" s="6" t="n"/>
      <c r="H9" s="6" t="n"/>
      <c r="I9" s="6" t="n"/>
      <c r="J9" s="6" t="n"/>
    </row>
    <row r="10">
      <c r="A10" s="6" t="inlineStr">
        <is>
          <t>Stage 1 impairment provision</t>
        </is>
      </c>
      <c r="B10" s="6" t="n">
        <v>-1042.6</v>
      </c>
      <c r="C10" s="6" t="n">
        <v>-1237.8</v>
      </c>
      <c r="D10" s="6" t="n">
        <v>-1406</v>
      </c>
      <c r="E10" s="6" t="n">
        <v>-638.1</v>
      </c>
      <c r="F10" s="6" t="n">
        <v>-1437.5</v>
      </c>
      <c r="G10" s="6" t="n">
        <v>-1950.6</v>
      </c>
      <c r="H10" s="6" t="n">
        <v>-3697.5</v>
      </c>
      <c r="I10" s="6" t="n">
        <v>-319.3</v>
      </c>
      <c r="J10" s="6" t="n"/>
    </row>
    <row r="11">
      <c r="A11" s="6" t="inlineStr">
        <is>
          <t>Stage 2 impairment provision</t>
        </is>
      </c>
      <c r="B11" s="6" t="n">
        <v>-2594.8</v>
      </c>
      <c r="C11" s="6" t="n">
        <v>-3439.2</v>
      </c>
      <c r="D11" s="6" t="n">
        <v>-276.3</v>
      </c>
      <c r="E11" s="6" t="n">
        <v>-38.8</v>
      </c>
      <c r="F11" s="6" t="n">
        <v>-464.2</v>
      </c>
      <c r="G11" s="6" t="n">
        <v>-1603.4</v>
      </c>
      <c r="H11" s="6" t="n">
        <v>-2330.9</v>
      </c>
      <c r="I11" s="6" t="n">
        <v>-26.9</v>
      </c>
      <c r="J11" s="6" t="n"/>
    </row>
    <row r="12">
      <c r="A12" s="6" t="inlineStr">
        <is>
          <t>Stage 3 impairment provision</t>
        </is>
      </c>
      <c r="B12" s="6" t="n">
        <v>-10244.2</v>
      </c>
      <c r="C12" s="6" t="n">
        <v>-11467.9</v>
      </c>
      <c r="D12" s="6" t="n">
        <v>-15581.1</v>
      </c>
      <c r="E12" s="6" t="n">
        <v>-12512.1</v>
      </c>
      <c r="F12" s="6" t="n">
        <v>-11255.9</v>
      </c>
      <c r="G12" s="6" t="n">
        <v>-40493.6</v>
      </c>
      <c r="H12" s="6" t="n">
        <v>-37658.6</v>
      </c>
      <c r="I12" s="6" t="n">
        <v>-20738.3</v>
      </c>
      <c r="J12" s="6" t="n"/>
    </row>
    <row r="13">
      <c r="A13" s="5" t="inlineStr">
        <is>
          <t>Total impairment provision</t>
        </is>
      </c>
      <c r="B13" s="5" t="n">
        <v>-13881.6</v>
      </c>
      <c r="C13" s="5" t="n">
        <v>-16144.8</v>
      </c>
      <c r="D13" s="5" t="n">
        <v>-17263.3</v>
      </c>
      <c r="E13" s="5" t="n">
        <v>-13189.1</v>
      </c>
      <c r="F13" s="5" t="n">
        <v>-13157.6</v>
      </c>
      <c r="G13" s="5" t="n">
        <v>-44046.8</v>
      </c>
      <c r="H13" s="5" t="n">
        <v>-43686.2</v>
      </c>
      <c r="I13" s="5" t="n">
        <v>-21084.4</v>
      </c>
      <c r="J13" s="5" t="n"/>
    </row>
    <row r="14">
      <c r="A14" s="5" t="inlineStr">
        <is>
          <t>Net amounts receivable</t>
        </is>
      </c>
      <c r="B14" s="6" t="n"/>
      <c r="C14" s="6" t="n"/>
      <c r="D14" s="6" t="n"/>
      <c r="E14" s="6" t="n"/>
      <c r="F14" s="6" t="n"/>
      <c r="G14" s="6" t="n"/>
      <c r="H14" s="6" t="n"/>
      <c r="I14" s="6" t="n"/>
      <c r="J14" s="6" t="n"/>
    </row>
    <row r="15">
      <c r="A15" s="6" t="inlineStr">
        <is>
          <t>Stage 1 net amounts receivable</t>
        </is>
      </c>
      <c r="B15" s="6" t="n">
        <v>220185</v>
      </c>
      <c r="C15" s="6" t="n">
        <v>216689.4</v>
      </c>
      <c r="D15" s="6" t="n">
        <v>228844.2</v>
      </c>
      <c r="E15" s="6" t="n">
        <v>230903.4</v>
      </c>
      <c r="F15" s="6" t="n">
        <v>193396.9</v>
      </c>
      <c r="G15" s="6" t="n">
        <v>149365</v>
      </c>
      <c r="H15" s="6" t="n">
        <v>137804.6</v>
      </c>
      <c r="I15" s="6" t="n">
        <v>170197.2</v>
      </c>
      <c r="J15" s="6" t="n"/>
    </row>
    <row r="16">
      <c r="A16" s="6" t="inlineStr">
        <is>
          <t>Stage 2 net amounts receivable</t>
        </is>
      </c>
      <c r="B16" s="6" t="n">
        <v>25188.8</v>
      </c>
      <c r="C16" s="6" t="n">
        <v>26223.9</v>
      </c>
      <c r="D16" s="6" t="n">
        <v>15162.3</v>
      </c>
      <c r="E16" s="6" t="n">
        <v>6997.7</v>
      </c>
      <c r="F16" s="6" t="n">
        <v>4617.8</v>
      </c>
      <c r="G16" s="6" t="n">
        <v>17054.2</v>
      </c>
      <c r="H16" s="6" t="n">
        <v>38946.2</v>
      </c>
      <c r="I16" s="6" t="n">
        <v>33271.7</v>
      </c>
      <c r="J16" s="6" t="n"/>
    </row>
    <row r="17">
      <c r="A17" s="6" t="inlineStr">
        <is>
          <t>Stage 3 net amounts receivable</t>
        </is>
      </c>
      <c r="B17" s="6" t="n">
        <v>19308.5</v>
      </c>
      <c r="C17" s="6" t="n">
        <v>21393.5</v>
      </c>
      <c r="D17" s="6" t="n">
        <v>25562.9</v>
      </c>
      <c r="E17" s="6" t="n">
        <v>20080.9</v>
      </c>
      <c r="F17" s="6" t="n">
        <v>19908.1</v>
      </c>
      <c r="G17" s="6" t="n">
        <v>19691.2</v>
      </c>
      <c r="H17" s="6" t="n">
        <v>29870.2</v>
      </c>
      <c r="I17" s="6" t="n">
        <v>28346.1</v>
      </c>
      <c r="J17" s="6" t="n"/>
    </row>
    <row r="18">
      <c r="A18" s="5" t="inlineStr">
        <is>
          <t>Total net amounts receivable (before processing-fee bridge)</t>
        </is>
      </c>
      <c r="B18" s="5" t="n">
        <v>264682.3</v>
      </c>
      <c r="C18" s="5" t="n">
        <v>264306.7</v>
      </c>
      <c r="D18" s="5" t="n">
        <v>269569.3</v>
      </c>
      <c r="E18" s="5" t="n">
        <v>257982</v>
      </c>
      <c r="F18" s="5" t="n">
        <v>217922.8</v>
      </c>
      <c r="G18" s="5" t="n">
        <v>186110.5</v>
      </c>
      <c r="H18" s="5" t="n">
        <v>206621.8</v>
      </c>
      <c r="I18" s="5" t="n">
        <v>231815</v>
      </c>
      <c r="J18" s="5" t="n"/>
    </row>
    <row r="19">
      <c r="A19" s="6" t="inlineStr">
        <is>
          <t>Less: unamortised portion of processing fees</t>
        </is>
      </c>
      <c r="B19" s="6" t="n">
        <v>-464.1</v>
      </c>
      <c r="C19" s="6" t="n">
        <v>-608.8</v>
      </c>
      <c r="D19" s="6" t="n">
        <v>-688.7</v>
      </c>
      <c r="E19" s="6" t="n"/>
      <c r="F19" s="6" t="n"/>
      <c r="G19" s="6" t="n"/>
      <c r="H19" s="6" t="n"/>
      <c r="I19" s="6" t="n"/>
      <c r="J19" s="6" t="n"/>
    </row>
    <row r="20">
      <c r="A20" s="5" t="inlineStr">
        <is>
          <t>Loans and advances to customers (per Balance Sheet)</t>
        </is>
      </c>
      <c r="B20" s="5" t="n">
        <v>264218.2</v>
      </c>
      <c r="C20" s="5" t="n">
        <v>263697.9</v>
      </c>
      <c r="D20" s="5" t="n">
        <v>268880.6</v>
      </c>
      <c r="E20" s="5" t="n">
        <v>257982</v>
      </c>
      <c r="F20" s="5" t="n">
        <v>217922.8</v>
      </c>
      <c r="G20" s="5" t="n">
        <v>186110.5</v>
      </c>
      <c r="H20" s="5" t="n">
        <v>206621.8</v>
      </c>
      <c r="I20" s="5" t="n">
        <v>231815</v>
      </c>
      <c r="J20" s="5" t="n"/>
    </row>
    <row r="21">
      <c r="A21" s="5" t="inlineStr">
        <is>
          <t>Derived ratios</t>
        </is>
      </c>
      <c r="B21" s="6" t="n"/>
      <c r="C21" s="6" t="n"/>
      <c r="D21" s="6" t="n"/>
      <c r="E21" s="6" t="n"/>
      <c r="F21" s="6" t="n"/>
      <c r="G21" s="6" t="n"/>
      <c r="H21" s="6" t="n"/>
      <c r="I21" s="6" t="n"/>
      <c r="J21" s="6" t="n"/>
    </row>
    <row r="22">
      <c r="A22" s="6" t="inlineStr">
        <is>
          <t>NPL ratio (Stage 3 gross / Total gross)</t>
        </is>
      </c>
      <c r="B22" s="6" t="inlineStr">
        <is>
          <t>10.61%</t>
        </is>
      </c>
      <c r="C22" s="6" t="inlineStr">
        <is>
          <t>11.72%</t>
        </is>
      </c>
      <c r="D22" s="6" t="inlineStr">
        <is>
          <t>14.34%</t>
        </is>
      </c>
      <c r="E22" s="6" t="inlineStr">
        <is>
          <t>12.02%</t>
        </is>
      </c>
      <c r="F22" s="6" t="inlineStr">
        <is>
          <t>13.49%</t>
        </is>
      </c>
      <c r="G22" s="6" t="inlineStr">
        <is>
          <t>26.15%</t>
        </is>
      </c>
      <c r="H22" s="6" t="inlineStr">
        <is>
          <t>26.98%</t>
        </is>
      </c>
      <c r="I22" s="6" t="inlineStr">
        <is>
          <t>19.41%</t>
        </is>
      </c>
      <c r="J22" s="6" t="n"/>
    </row>
    <row r="23">
      <c r="A23" s="6" t="inlineStr">
        <is>
          <t>Stage 3 coverage ratio (Stage 3 ECL / Stage 3 gross)</t>
        </is>
      </c>
      <c r="B23" s="6" t="inlineStr">
        <is>
          <t>34.66%</t>
        </is>
      </c>
      <c r="C23" s="6" t="inlineStr">
        <is>
          <t>34.90%</t>
        </is>
      </c>
      <c r="D23" s="6" t="inlineStr">
        <is>
          <t>37.87%</t>
        </is>
      </c>
      <c r="E23" s="6" t="inlineStr">
        <is>
          <t>38.39%</t>
        </is>
      </c>
      <c r="F23" s="6" t="inlineStr">
        <is>
          <t>36.12%</t>
        </is>
      </c>
      <c r="G23" s="6" t="inlineStr">
        <is>
          <t>67.28%</t>
        </is>
      </c>
      <c r="H23" s="6" t="inlineStr">
        <is>
          <t>55.77%</t>
        </is>
      </c>
      <c r="I23" s="6" t="inlineStr">
        <is>
          <t>42.25%</t>
        </is>
      </c>
      <c r="J23" s="6" t="n"/>
    </row>
    <row r="24">
      <c r="A24" s="6" t="inlineStr">
        <is>
          <t>Overall ECL coverage ratio (Total ECL / Total gross)</t>
        </is>
      </c>
      <c r="B24" s="6" t="inlineStr">
        <is>
          <t>4.98%</t>
        </is>
      </c>
      <c r="C24" s="6" t="inlineStr">
        <is>
          <t>5.76%</t>
        </is>
      </c>
      <c r="D24" s="6" t="inlineStr">
        <is>
          <t>6.02%</t>
        </is>
      </c>
      <c r="E24" s="6" t="inlineStr">
        <is>
          <t>4.86%</t>
        </is>
      </c>
      <c r="F24" s="6" t="inlineStr">
        <is>
          <t>5.69%</t>
        </is>
      </c>
      <c r="G24" s="6" t="inlineStr">
        <is>
          <t>19.14%</t>
        </is>
      </c>
      <c r="H24" s="6" t="inlineStr">
        <is>
          <t>17.45%</t>
        </is>
      </c>
      <c r="I24" s="6" t="inlineStr">
        <is>
          <t>8.34%</t>
        </is>
      </c>
      <c r="J24" s="6" t="n"/>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FY2026 and FY2025: Annual Report and Financial Statements, year ended 31 March 2026, p.60 (IFRS 9 Credit Quality - stage tables for both 31 March 2026 and 31 March 2025) and p.51 (Note 11 Loans and Advances to Customers, for the unamortised processing-fee bridge) - https://www.unionbankofindiauk.co.uk/Portals/0/Annual%20Accounts%20UBIUK%202026%20Signed_1.pdf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FY2020: Financial Statements, year ended 31 March 2020, p.64 (Country risk exposure - credit exposure stagewise) and p.61-62 (ECL provision rollforward) - https://www.unionbankofindiauk.co.uk/Portals/0/pdf/Financial_Statements_UBI_UK_Mar_20_(Final)_Signed.pdf
FY2019: Annual Accounts, year ended 31 March 2019, p.55 (Credit Risk Review - Loans to Customers by stage) - https://www.unionbankofindiauk.co.uk/Portals/0/pdf/Annual_report_-_31_03_19_Signed..pdf
SELF-SKIP - FY2018: no IFRS 9 stage-based credit quality disclosure exists for FY2018 - the Bank adopted IFRS 9 (replacing the IAS 39 incurred-loss model) from 1 April 2018, i.e. the start of FY2019, so its FY2018 Annual Accounts only disclose loans by 'neither past due nor impaired / past due but not impaired / impaired' (an IAS 39-style category, not Stage 1/2/3) - genuinely not the same disclosure as this sheet, not a search failure. FY2018 is therefore left blank on this sheet rather than force-mapped into IFRS 9 stages.
FY2020 note: FY2020's own Annual Report does not repeat the FY2019-style 'Loans to Customers as at [date]' gross-carrying/ECL-provision-by-stage table in one place; the FY2020 Stage 1/2/3 gross carrying figures used here are its own 'credit exposure stagewise' summary table (p.64, which reconciles exactly to the Balance Sheet's 'Loans and advances to customers' net figure once the ECL provision rollforward's own 31 March 2020 closing figures, by stage, are deducted), and the ECL provision figures are that same rollforward's own closing balances (p.61-62) - both are the Bank's own figures, just assembled from two adjacent notes rather than one combined table as in FY2019/FY2021 onward.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6:J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c r="C4" s="6" t="n">
        <v>86350.89999999999</v>
      </c>
      <c r="D4" s="6" t="n">
        <v>92389.2</v>
      </c>
      <c r="E4" s="6" t="n">
        <v>91897.39999999999</v>
      </c>
      <c r="F4" s="6" t="n">
        <v>85863.10000000001</v>
      </c>
      <c r="G4" s="6" t="n">
        <v>80516.8</v>
      </c>
      <c r="H4" s="6" t="n">
        <v>97317.60000000001</v>
      </c>
      <c r="I4" s="6" t="n">
        <v>71358.39999999999</v>
      </c>
      <c r="J4" s="6" t="n">
        <v>67321.3</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n"/>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c r="C4" s="6" t="n">
        <v>86350.89999999999</v>
      </c>
      <c r="D4" s="6" t="n">
        <v>92389.2</v>
      </c>
      <c r="E4" s="6" t="n">
        <v>91897.39999999999</v>
      </c>
      <c r="F4" s="6" t="n">
        <v>85863.10000000001</v>
      </c>
      <c r="G4" s="6" t="n">
        <v>80516.8</v>
      </c>
      <c r="H4" s="6" t="n">
        <v>97317.60000000001</v>
      </c>
      <c r="I4" s="6" t="n">
        <v>71358.39999999999</v>
      </c>
      <c r="J4" s="6" t="n">
        <v>67321.3</v>
      </c>
    </row>
    <row r="5" ht="60" customHeight="1">
      <c r="A5" s="7" t="inlineStr">
        <is>
          <t>Note: Equal to CET1 capital in every year - the Bank holds no Additional Tier 1 (AT1) instruments.</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n"/>
      <c r="C4" s="6" t="inlineStr">
        <is>
          <t>27.20%</t>
        </is>
      </c>
      <c r="D4" s="6" t="inlineStr">
        <is>
          <t>27.67%</t>
        </is>
      </c>
      <c r="E4" s="6" t="inlineStr">
        <is>
          <t>29.50%</t>
        </is>
      </c>
      <c r="F4" s="6" t="inlineStr">
        <is>
          <t>32.05%</t>
        </is>
      </c>
      <c r="G4" s="6" t="inlineStr">
        <is>
          <t>32.37%</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c r="C4" s="6" t="n">
        <v>86350.89999999999</v>
      </c>
      <c r="D4" s="6" t="n">
        <v>92389.2</v>
      </c>
      <c r="E4" s="6" t="n">
        <v>91897.39999999999</v>
      </c>
      <c r="F4" s="6" t="n">
        <v>85863.10000000001</v>
      </c>
      <c r="G4" s="6" t="n">
        <v>83369.8</v>
      </c>
      <c r="H4" s="6" t="n">
        <v>97317.60000000001</v>
      </c>
      <c r="I4" s="6" t="n">
        <v>71358.39999999999</v>
      </c>
      <c r="J4" s="6" t="n">
        <v>67321.3</v>
      </c>
    </row>
    <row r="5" ht="60" customHeight="1">
      <c r="A5" s="7" t="inlineStr">
        <is>
          <t>Note: Equal to CET1/Tier 1 capital in every year except FY2021 (no Tier 2 instruments); FY2021 Total capital ($115,017k) exceeds CET1/Tier 1 ($111,081k), implying Tier 2 capital held that year which had run off by FY2022 (not explicitly explained in the source).</t>
        </is>
      </c>
    </row>
    <row r="7" ht="13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n"/>
      <c r="C4" s="6" t="inlineStr">
        <is>
          <t>27.20%</t>
        </is>
      </c>
      <c r="D4" s="6" t="inlineStr">
        <is>
          <t>27.67%</t>
        </is>
      </c>
      <c r="E4" s="6" t="inlineStr">
        <is>
          <t>29.50%</t>
        </is>
      </c>
      <c r="F4" s="6" t="inlineStr">
        <is>
          <t>32.05%</t>
        </is>
      </c>
      <c r="G4" s="6" t="inlineStr">
        <is>
          <t>33.52%</t>
        </is>
      </c>
      <c r="H4" s="6" t="inlineStr">
        <is>
          <t>34.02%</t>
        </is>
      </c>
      <c r="I4" s="6" t="inlineStr">
        <is>
          <t>20.95%</t>
        </is>
      </c>
      <c r="J4" s="6" t="inlineStr">
        <is>
          <t>20.55%</t>
        </is>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Total RWAs</t>
        </is>
      </c>
    </row>
    <row r="2">
      <c r="A2" s="2" t="inlineStr">
        <is>
          <t>£'000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c r="C4" s="6" t="n">
        <v>317521.3</v>
      </c>
      <c r="D4" s="6" t="n">
        <v>333857.7</v>
      </c>
      <c r="E4" s="6" t="n">
        <v>311538.3</v>
      </c>
      <c r="F4" s="6" t="n">
        <v>267930.4</v>
      </c>
      <c r="G4" s="6" t="n">
        <v>248729.3</v>
      </c>
      <c r="H4" s="6" t="n">
        <v>286088</v>
      </c>
      <c r="I4" s="6" t="n">
        <v>340620.1</v>
      </c>
      <c r="J4" s="6" t="n">
        <v>327577.9</v>
      </c>
    </row>
    <row r="6" ht="130" customHeight="1">
      <c r="A6"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row>
    <row r="4">
      <c r="A4" s="6" t="inlineStr">
        <is>
          <t>Credit risk (excluding CCR) / Standardised approach</t>
        </is>
      </c>
      <c r="B4" s="6" t="n"/>
      <c r="C4" s="6" t="n">
        <v>291105.3</v>
      </c>
      <c r="D4" s="6" t="n">
        <v>309550.3</v>
      </c>
      <c r="E4" s="6" t="n">
        <v>293152.7</v>
      </c>
      <c r="F4" s="6" t="n">
        <v>251374.4</v>
      </c>
      <c r="G4" s="6" t="n">
        <v>228250.9</v>
      </c>
      <c r="H4" s="6" t="n">
        <v>258551.2</v>
      </c>
      <c r="I4" s="6" t="n">
        <v>307501.2</v>
      </c>
      <c r="J4" s="6" t="n">
        <v>311391.7</v>
      </c>
    </row>
    <row r="5">
      <c r="A5" s="6" t="inlineStr">
        <is>
          <t>Counterparty credit risk (CCR)</t>
        </is>
      </c>
      <c r="B5" s="6" t="n"/>
      <c r="C5" s="6" t="n">
        <v>3040.3</v>
      </c>
      <c r="D5" s="6" t="n">
        <v>2532.5</v>
      </c>
      <c r="E5" s="6" t="n">
        <v>863.8</v>
      </c>
      <c r="F5" s="6" t="n"/>
      <c r="G5" s="6" t="n"/>
      <c r="H5" s="6" t="n"/>
      <c r="I5" s="6" t="n"/>
      <c r="J5" s="6" t="n"/>
    </row>
    <row r="6">
      <c r="A6" s="6" t="inlineStr">
        <is>
          <t xml:space="preserve">  of which: Credit valuation adjustment (CVA)</t>
        </is>
      </c>
      <c r="B6" s="6" t="n"/>
      <c r="C6" s="6" t="n">
        <v>939.6</v>
      </c>
      <c r="D6" s="6" t="n">
        <v>790.8</v>
      </c>
      <c r="E6" s="6" t="n">
        <v>270.1</v>
      </c>
      <c r="F6" s="6" t="n">
        <v>263.6</v>
      </c>
      <c r="G6" s="6" t="n">
        <v>737.9</v>
      </c>
      <c r="H6" s="6" t="n">
        <v>273.3</v>
      </c>
      <c r="I6" s="6" t="n">
        <v>244.1</v>
      </c>
      <c r="J6" s="6" t="n">
        <v>44.9</v>
      </c>
    </row>
    <row r="7">
      <c r="A7" s="6" t="inlineStr">
        <is>
          <t>Market risk</t>
        </is>
      </c>
      <c r="B7" s="6" t="n"/>
      <c r="C7" s="6" t="n">
        <v>2227</v>
      </c>
      <c r="D7" s="6" t="n">
        <v>2987.7</v>
      </c>
      <c r="E7" s="6" t="n">
        <v>474.8</v>
      </c>
      <c r="F7" s="6" t="n">
        <v>1104.7</v>
      </c>
      <c r="G7" s="6" t="n">
        <v>4351.3</v>
      </c>
      <c r="H7" s="6" t="n">
        <v>7809.4</v>
      </c>
      <c r="I7" s="6" t="n">
        <v>16785.9</v>
      </c>
      <c r="J7" s="6" t="n">
        <v>5157.8</v>
      </c>
    </row>
    <row r="8">
      <c r="A8" s="6" t="inlineStr">
        <is>
          <t>Operational risk</t>
        </is>
      </c>
      <c r="B8" s="6" t="n"/>
      <c r="C8" s="6" t="n">
        <v>21149.5</v>
      </c>
      <c r="D8" s="6" t="n">
        <v>18788</v>
      </c>
      <c r="E8" s="6" t="n">
        <v>17047.1</v>
      </c>
      <c r="F8" s="6" t="n">
        <v>15187.7</v>
      </c>
      <c r="G8" s="6" t="n">
        <v>15389.2</v>
      </c>
      <c r="H8" s="6" t="n">
        <v>19454.2</v>
      </c>
      <c r="I8" s="6" t="n">
        <v>16089</v>
      </c>
      <c r="J8" s="6" t="n">
        <v>10983.4</v>
      </c>
    </row>
    <row r="9">
      <c r="A9" s="5" t="inlineStr">
        <is>
          <t>Total RWAs (risk-weighted exposure amount)</t>
        </is>
      </c>
      <c r="B9" s="5" t="n"/>
      <c r="C9" s="5" t="n">
        <v>317521.3</v>
      </c>
      <c r="D9" s="5" t="n">
        <v>333857.7</v>
      </c>
      <c r="E9" s="5" t="n">
        <v>311538.3</v>
      </c>
      <c r="F9" s="5" t="n">
        <v>267930.4</v>
      </c>
      <c r="G9" s="5" t="n">
        <v>248729.3</v>
      </c>
      <c r="H9" s="5" t="n">
        <v>286088</v>
      </c>
      <c r="I9" s="5" t="n">
        <v>340620.1</v>
      </c>
      <c r="J9" s="5" t="n">
        <v>327577.9</v>
      </c>
    </row>
    <row r="11" ht="340" customHeight="1">
      <c r="A11"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FY2020: Pillar 3 Disclosure 2020, p.23 (3.5 Overview of total RWA) - https://www.unionbankofindiauk.co.uk/Portals/0/pdf/Pillar_III_Disclosures_(2020)-Final.pdf
FY2019: Pillar III Disclosures 2019, p.13 (3.1.3 Overview of total RWA) - https://www.unionbankofindiauk.co.uk/Portals/0/pdf/2019_Pillar_III_Disclosures_-_RCC_Approved.pdf
FY2018: Pillar 3 Disclosures 2018, p.11 (3.1.3 Overview of total RWA) - https://www.unionbankofindiauk.co.uk/Portals/0/pdf/PIllar_3_Disclosures_31_03_2018.pdf
FY2026: BLANK - no FY2026 Pillar 3 Disclosure has been published (verified 2026-09-15; the Bank's own disclosures page still lists FY2025 as its latest Pillar 3, and the FY2026 Annual Report discloses no risk-weighted asset figure of any kind). See the note on the Total RWAs sheet.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FY2018/FY2019/FY2020's own Pillar 3 Disclosures use the same pre-UK-OV1 '3.1.3/3.5 Overview of total RWA' table format as FY2021/FY2022 (single combined 'Credit risk: Standardised approach' line, CVA shown separately, no distinct CCR category) - the 'Counterparty credit risk (CCR)' row is left blank for these three years too, on the same basis.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FY2018-FY2020 (added per HD-058, extending this workbook's floor back to FY2018, the Bank's confirmed historical floor) each use that year's own dedicated, originally-published Annual Report and Pillar 3 Disclosure, located on the Bank's own disclosures/financial-reports archive page and re-verified from the actual scanned PDFs. FY2018 predates the Bank's 1 April 2018 IFRS 9 transition (see ROUNDING/RESTATEMENT NOTE on the Balance Sheet sheet and the note on the Asset Quality sheet), so it has no IFRS 9 stage-based credit quality disclosure and no NSFR; its Income Statement/Balance Sheet/Cash Flow Statement also show a distinct 'Operating lease' expense line and 'Deferred tax assets (net)' / 'Intra-group borrowings' items that the Bank's presentation later folded into other lines or paid off entirely (all reproduced here as originally presented, not restated to match the later years' line items).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same table already used in build_smbc.py for its FY2017/FY2018/FY2019/FY2020 rates). Rates used (£1 = $X): 31 Mar 2017 spot 1.2507 (FY2018 opening cash only);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 RATE SOURCING (added 2026-09-15): the FY2026 pair was taken from the Bank of England's own Interactive Statistical Database rather than poundsterlinglive - series XUDLUSS (daily spot US$ into GBP): the spot is the 31 March 2026 daily rate (1.3188), and the average is the mean of the twelve month-end daily rates from 30 April 2025 to 31 March 2026 (1.3411). That aggregation was chosen because it reproduces the FY2018-FY2025 averages already carried above exactly (FY2018 1.3390, FY2019 1.3102, FY2020 1.2713, FY2022 1.3617, FY2023 1.2043, FY2024 1.2581) or to within 0.0001 (FY2025 1.2776 vs 1.2775); the one outlier is FY2021 (1.3180 computed vs 1.3193 carried, a 0.1% difference attributable to an Easter/holiday month-end date). A daily mean over the same window would give 1.3404 instead, so the FY2026 average carries roughly 0.05% of method uncertainty - immaterial at this scale but recorded here so the basis is reproducible. Every FY2026 spot rate is exact.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11:J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Leverage Ratio</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Leverage ratio total exposure measure</t>
        </is>
      </c>
      <c r="B4" s="6" t="n"/>
      <c r="C4" s="6" t="n">
        <v>384954.3</v>
      </c>
      <c r="D4" s="6" t="n">
        <v>405122.7</v>
      </c>
      <c r="E4" s="6" t="n">
        <v>384268.8</v>
      </c>
      <c r="F4" s="6" t="n">
        <v>312326.4</v>
      </c>
      <c r="G4" s="6" t="n">
        <v>292094.1</v>
      </c>
      <c r="H4" s="6" t="n">
        <v>330670</v>
      </c>
      <c r="I4" s="6" t="n">
        <v>353509.6</v>
      </c>
      <c r="J4" s="6" t="n">
        <v>317135.3</v>
      </c>
    </row>
    <row r="5">
      <c r="A5" s="6" t="inlineStr">
        <is>
          <t>Leverage ratio (%)</t>
        </is>
      </c>
      <c r="B5" s="6" t="n"/>
      <c r="C5" s="6" t="inlineStr">
        <is>
          <t>22.43%</t>
        </is>
      </c>
      <c r="D5" s="6" t="inlineStr">
        <is>
          <t>22.81%</t>
        </is>
      </c>
      <c r="E5" s="6" t="inlineStr">
        <is>
          <t>23.92%</t>
        </is>
      </c>
      <c r="F5" s="6" t="inlineStr">
        <is>
          <t>27.49%</t>
        </is>
      </c>
      <c r="G5" s="6" t="inlineStr">
        <is>
          <t>27.57%</t>
        </is>
      </c>
      <c r="H5" s="6" t="inlineStr">
        <is>
          <t>29.43%</t>
        </is>
      </c>
      <c r="I5" s="6" t="inlineStr">
        <is>
          <t>20.19%</t>
        </is>
      </c>
      <c r="J5" s="6" t="inlineStr">
        <is>
          <t>21.23%</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 FY2018-FY2020 also use the 'Basel III leverage ratio' basis.</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6:J6"/>
    <mergeCell ref="A8:J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LCR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t>
        </is>
      </c>
      <c r="B4" s="6" t="n"/>
      <c r="C4" s="6" t="n">
        <v>34055</v>
      </c>
      <c r="D4" s="6" t="n">
        <v>34705.5</v>
      </c>
      <c r="E4" s="6" t="n">
        <v>39337.6</v>
      </c>
      <c r="F4" s="6" t="n">
        <v>28093.8</v>
      </c>
      <c r="G4" s="6" t="n">
        <v>47032.5</v>
      </c>
      <c r="H4" s="6" t="n">
        <v>24762.6</v>
      </c>
      <c r="I4" s="6" t="n">
        <v>38308.5</v>
      </c>
      <c r="J4" s="6" t="n">
        <v>17753.2</v>
      </c>
    </row>
    <row r="5">
      <c r="A5" s="6" t="inlineStr">
        <is>
          <t>Total net cash outflows, adjusted value</t>
        </is>
      </c>
      <c r="B5" s="6" t="n"/>
      <c r="C5" s="6" t="n">
        <v>2336.9</v>
      </c>
      <c r="D5" s="6" t="n">
        <v>3811.7</v>
      </c>
      <c r="E5" s="6" t="n">
        <v>1324</v>
      </c>
      <c r="F5" s="6" t="n">
        <v>2954</v>
      </c>
      <c r="G5" s="6" t="n">
        <v>3251.7</v>
      </c>
      <c r="H5" s="6" t="n">
        <v>1666.5</v>
      </c>
      <c r="I5" s="6" t="n">
        <v>3442.1</v>
      </c>
      <c r="J5" s="6" t="n">
        <v>4336.9</v>
      </c>
    </row>
    <row r="6">
      <c r="A6" s="6" t="inlineStr">
        <is>
          <t>Liquidity Coverage Ratio (%)</t>
        </is>
      </c>
      <c r="B6" s="6" t="n"/>
      <c r="C6" s="6" t="inlineStr">
        <is>
          <t>1457%</t>
        </is>
      </c>
      <c r="D6" s="6" t="inlineStr">
        <is>
          <t>910%</t>
        </is>
      </c>
      <c r="E6" s="6" t="inlineStr">
        <is>
          <t>2971%</t>
        </is>
      </c>
      <c r="F6" s="6" t="inlineStr">
        <is>
          <t>951%</t>
        </is>
      </c>
      <c r="G6" s="6" t="inlineStr">
        <is>
          <t>1446%</t>
        </is>
      </c>
      <c r="H6" s="6" t="inlineStr">
        <is>
          <t>1486%</t>
        </is>
      </c>
      <c r="I6" s="6" t="inlineStr">
        <is>
          <t>1113%</t>
        </is>
      </c>
      <c r="J6" s="6" t="inlineStr">
        <is>
          <t>409%</t>
        </is>
      </c>
    </row>
    <row r="8" ht="130" customHeight="1">
      <c r="A8"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1">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NSFR</t>
        </is>
      </c>
    </row>
    <row r="2">
      <c r="A2" s="2" t="inlineStr">
        <is>
          <t>£'000 / %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c r="C4" s="6" t="n">
        <v>334557.7</v>
      </c>
      <c r="D4" s="6" t="n">
        <v>326675.1</v>
      </c>
      <c r="E4" s="6" t="n">
        <v>330298.4</v>
      </c>
      <c r="F4" s="6" t="n">
        <v>263123.4</v>
      </c>
      <c r="G4" s="6" t="n"/>
      <c r="H4" s="6" t="n"/>
      <c r="I4" s="6" t="n"/>
      <c r="J4" s="6" t="n"/>
    </row>
    <row r="5">
      <c r="A5" s="6" t="inlineStr">
        <is>
          <t>Total required stable funding</t>
        </is>
      </c>
      <c r="B5" s="6" t="n"/>
      <c r="C5" s="6" t="n">
        <v>246598</v>
      </c>
      <c r="D5" s="6" t="n">
        <v>249215.5</v>
      </c>
      <c r="E5" s="6" t="n">
        <v>228443.9</v>
      </c>
      <c r="F5" s="6" t="n">
        <v>188031.5</v>
      </c>
      <c r="G5" s="6" t="n"/>
      <c r="H5" s="6" t="n"/>
      <c r="I5" s="6" t="n"/>
      <c r="J5" s="6" t="n"/>
    </row>
    <row r="6">
      <c r="A6" s="6" t="inlineStr">
        <is>
          <t>Net Stable Funding Ratio (%)</t>
        </is>
      </c>
      <c r="B6" s="6" t="n"/>
      <c r="C6" s="6" t="inlineStr">
        <is>
          <t>136%</t>
        </is>
      </c>
      <c r="D6" s="6" t="inlineStr">
        <is>
          <t>131%</t>
        </is>
      </c>
      <c r="E6" s="6" t="inlineStr">
        <is>
          <t>145%</t>
        </is>
      </c>
      <c r="F6" s="6" t="inlineStr">
        <is>
          <t>140%</t>
        </is>
      </c>
      <c r="G6" s="6" t="inlineStr">
        <is>
          <t>Not disclosed</t>
        </is>
      </c>
      <c r="H6" s="6" t="inlineStr">
        <is>
          <t>Not disclosed</t>
        </is>
      </c>
      <c r="I6" s="6" t="inlineStr">
        <is>
          <t>Not disclosed</t>
        </is>
      </c>
      <c r="J6" s="6" t="inlineStr">
        <is>
          <t>Not disclosed</t>
        </is>
      </c>
    </row>
    <row r="7" ht="60" customHeight="1">
      <c r="A7" s="7" t="inlineStr">
        <is>
          <t>Note: The UK NSFR regime took effect from 1 January 2022, so no FY2018-FY2021 figures exist (consistent with other banks in this series). FY2022 figures are as presented in the FY2023 Pillar 3 report's own comparative column (FY2022's own Pillar 3 report predates NSFR disclosure for this Bank).</t>
        </is>
      </c>
    </row>
    <row r="9" ht="130" customHeight="1">
      <c r="A9"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Union Bank of India (UK)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disclosure (numeric or qualitative) or UK KM2 template found in any year's Pillar 3 report - consistent with the Bank's small size relative to typical MREL-in-scope thresholds.</t>
        </is>
      </c>
    </row>
    <row r="7" ht="150" customHeight="1">
      <c r="A7" s="8" t="inlineStr">
        <is>
          <t>YEAR-END: Union Bank of India (UK) Limited has a 31 MARCH financial year-end, not 31 December. Every 'FYnnnn' column below is the year ENDED 31 March of that calendar year - so FY2026 means the twelve months to 31 March 2026, and the Pillar 3 disclosure behind each column is dated 31-03-nnnn. This matters for any cross-bank comparison in this series: the same FY label on a December-year-end bank covers a window nine months earlier, and the two are not directly comparable without that caveat. It also drives the NSFR/leverage phase-in timing, since the PRA's disclosure requirements commenced on calendar-year boundaries rather than on this Bank's reporting dates.
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
FY2020: Pillar 3 Disclosure 2020, p.23 (3.4 Bank's prudential regulatory metrics) - https://www.unionbankofindiauk.co.uk/Portals/0/pdf/Pillar_III_Disclosures_(2020)-Final.pdf
FY2019: Pillar III Disclosures 2019, p.13 (3.1.2 Bank's prudential regulatory metrics) - https://www.unionbankofindiauk.co.uk/Portals/0/pdf/2019_Pillar_III_Disclosures_-_RCC_Approved.pdf
FY2018: Pillar 3 Disclosures 2018, p.10 (3.1.2 Bank's prudential regulatory metrics) - https://www.unionbankofindiauk.co.uk/Portals/0/pdf/PIllar_3_Disclosures_31_03_2018.pdf
FY2026 IS DELIBERATELY BLANK ON EVERY PILLAR 3 SHEET (verified 2026-09-15): the Bank's own disclosures/financial-reports page now lists 'Financial Accounts 31-03-2026' but its most recent Pillar 3 entry is still 'Pillar 3 Disclosure 31-03-2025', and every FY2026 filename permutation tried under /Portals/0/pdf/ returns the site's 82,647-byte soft-404 HTML page (content-type text/html) rather than a document, while the FY2025 file returns a real 2.3MB application/pdf. The FY2026 Annual Report itself contains NO quantitative capital disclosure: its Capital Risk note (p.67) is narrative only, and the Strategic Report (p.6) says the Capital Adequacy Ratio, LCR and NSFR 'remained well above regulatory requirements' without giving a single figure. Nothing on these sheets has been derived or back-solved from the audited equity figures - FY2026 should become fillable once the FY2026 Pillar 3 Disclosure is published.
Re-checked independently later the same day and unchanged. The page at https://www.unionbankofindiauk.co.uk/disclosures/financial-reports is this entity's full document index: it runs from 2015 to 2026 and pairs an accounts document with a Pillar 3 document for every year EXCEPT 2026, where 'Financial Accounts 31-03-2026' appears with no Pillar 3 alongside it. Note the FY2026 accounts sit at /Portals/0/ rather than the /Portals/0/pdf/ used by every prior year, so FY2026 Pillar 3 permutations were re-tried against BOTH paths; all returned the same soft-404.
THIRD INDEPENDENT RE-VERIFICATION (2026-09-15, maximum-effort sweep, prior verdict deliberately treated as unproven): confirmed again by three routes. (1) The live index was re-fetched with a browser user-agent and cookie jar and still lists 'Final_Pillar_3_Disclosure-31-03-2025.pdf' as the newest Pillar 3. (2) Six further FY2026 filename permutations were tried across both Portals paths; every one returns the identical 82,647-byte soft-404 HTML body, which is the site's signature for a missing file (a real PDF on this host returns megabytes - the FY2024 annual report returns 4,761,221 bytes from the same directory, so the path and credentials are demonstrably working). (3) A full Wayback CDX sweep of the whole domain with no filter returns ten Pillar 3 PDFs, the newest being Pillar_3_Disclosures_2024.pdf - no FY2025 or FY2026 edition has ever been archived. One false lead was chased and cleared: 'Signed_UBI_UK_Annual_Report_28_05.pdf', an undated filename on the index, is a real 4.7MB PDF but its cover reads 'For the year ended on 31 March 2024' - it is the FY2024 annual report, not an unlabelled FY2026 document. The gap is genuine and is a publication lag, not an access failure.
FOURTH INDEPENDENT CHECK (2026-09-15, separate session, prior verdicts again treated as unproven) - UNCHANGED, and now stated as a precise enumerated count rather than a description. The index page was re-fetched and every PDF link on it parsed out. It carries exactly ELEVEN Pillar 3 documents, an unbroken annual series with no missing year: 31-03-2015, 31-03-2016, 31-03-2017, 31-03-2018, 31-03-2019, 31-03-2020, 31-03-2021, 31-03-2022, 31-03-2023, 31-03-2024 and 31-03-2025. There is no twelfth. Because the series is unbroken, its stopping point is informative rather than ambiguous: this Bank does not skip Pillar 3 years, so FY2026's absence reads as not-yet-published, not as a policy change or an SDDT opt-in. The FY2026 ANNUAL ACCOUNTS are already on that same index ('Annual Accounts UBIUK 2026 Signed_1.pdf', which downloads as a real 2.7MB PDF), so the index is demonstrably current for FY2026 - the Pillar 3 is simply behind it, exactly the lag the Bank's own pattern predicts. THIS IS THE ONE RE-CHECKABLE NEGATIVE IN THIS WORKBOOK: re-fetch https://www.unionbankofindiauk.co.uk/disclosures/financial-reports and look for a 'Pillar 3 Disclosure 31-03-2026' entry; when it appears, every FY2026 Pillar 3 cell here becomes fillable in one pass. Contrast this with RCI Bank UK's FY2020-FY2022, which is a permanent negative because the documents were never produced at all.
The FY2026 Annual Report was ALSO re-read in full this session to confirm nothing fillable was left in it, rather than trusting the earlier read. Its only capital and liquidity statements are narrative: the Strategic Report says 'Capital Adequacy Ratio remained well above regulatory requirements' and that 'both the Liquidity Coverage Ratio (LCR) and Net Stable Funding Ratio (NSFR) remained well within Board-approved thresholds', neither with a figure; the Capital Risk note (p.67) says only that the Bank 'has had surplus capital over and above the capital required as per the ICG during the year' and that 'The Bank's regulatory capital is categorised into Tier one capital, which includes ordinary share capital, and retained earnings as shown in statement of change in equity.' That last sentence is a pointer to the equity statement, NOT a regulatory capital disclosure - reading a Tier 1 figure across from book equity would be a back-solve and is expressly not done here. A full-text scan of the report for CET1, Tier 1, Tier 2, RWA, risk-weighted, own funds, capital ratio, leverage ratio, LCR, NSFR and MREL returns no quantitative disclosure of any of them.</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2026-09-15T19:16:20Z</dcterms:created>
  <dcterms:modified xmlns:dcterms="http://purl.org/dc/terms/" xmlns:xsi="http://www.w3.org/2001/XMLSchema-instance" xsi:type="dcterms:W3CDTF">2026-09-15T19:16:20Z</dcterms:modified>
</cp:coreProperties>
</file>