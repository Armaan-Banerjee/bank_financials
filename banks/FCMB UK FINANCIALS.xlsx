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A90D9C"/>
        <bgColor rgb="00A90D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FCMB Bank (UK)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'Overview'!K6</f>
            </strRef>
          </tx>
          <spPr>
            <a:ln xmlns:a="http://schemas.openxmlformats.org/drawingml/2006/main">
              <a:prstDash val="solid"/>
            </a:ln>
          </spPr>
          <cat>
            <numRef>
              <f>'Overview'!$L$5:$R$5</f>
            </numRef>
          </cat>
          <val>
            <numRef>
              <f>'Overview'!$L$6:$R$6</f>
            </numRef>
          </val>
        </ser>
        <ser>
          <idx val="1"/>
          <order val="1"/>
          <tx>
            <strRef>
              <f>'Overview'!K7</f>
            </strRef>
          </tx>
          <spPr>
            <a:ln xmlns:a="http://schemas.openxmlformats.org/drawingml/2006/main">
              <a:prstDash val="solid"/>
            </a:ln>
          </spPr>
          <cat>
            <numRef>
              <f>'Overview'!$L$5:$R$5</f>
            </numRef>
          </cat>
          <val>
            <numRef>
              <f>'Overview'!$L$7:$R$7</f>
            </numRef>
          </val>
        </ser>
        <ser>
          <idx val="2"/>
          <order val="2"/>
          <tx>
            <strRef>
              <f>'Overview'!K8</f>
            </strRef>
          </tx>
          <spPr>
            <a:ln xmlns:a="http://schemas.openxmlformats.org/drawingml/2006/main">
              <a:prstDash val="solid"/>
            </a:ln>
          </spPr>
          <cat>
            <numRef>
              <f>'Overview'!$L$5:$R$5</f>
            </numRef>
          </cat>
          <val>
            <numRef>
              <f>'Overview'!$L$8:$R$8</f>
            </numRef>
          </val>
        </ser>
        <ser>
          <idx val="3"/>
          <order val="3"/>
          <tx>
            <strRef>
              <f>'Overview'!K9</f>
            </strRef>
          </tx>
          <spPr>
            <a:ln xmlns:a="http://schemas.openxmlformats.org/drawingml/2006/main">
              <a:prstDash val="solid"/>
            </a:ln>
          </spPr>
          <cat>
            <numRef>
              <f>'Overview'!$L$5:$R$5</f>
            </numRef>
          </cat>
          <val>
            <numRef>
              <f>'Overview'!$L$9:$R$9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FCMB Bank (UK)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'Overview'!U13</f>
            </strRef>
          </tx>
          <spPr>
            <a:ln xmlns:a="http://schemas.openxmlformats.org/drawingml/2006/main">
              <a:prstDash val="solid"/>
            </a:ln>
          </spPr>
          <cat>
            <numRef>
              <f>'Overview'!$V$12:$AB$12</f>
            </numRef>
          </cat>
          <val>
            <numRef>
              <f>'Overview'!$V$13:$AB$13</f>
            </numRef>
          </val>
        </ser>
        <ser>
          <idx val="1"/>
          <order val="1"/>
          <tx>
            <strRef>
              <f>'Overview'!U14</f>
            </strRef>
          </tx>
          <spPr>
            <a:ln xmlns:a="http://schemas.openxmlformats.org/drawingml/2006/main">
              <a:prstDash val="solid"/>
            </a:ln>
          </spPr>
          <cat>
            <numRef>
              <f>'Overview'!$V$12:$AB$12</f>
            </numRef>
          </cat>
          <val>
            <numRef>
              <f>'Overview'!$V$14:$AB$14</f>
            </numRef>
          </val>
        </ser>
        <ser>
          <idx val="2"/>
          <order val="2"/>
          <tx>
            <strRef>
              <f>'Overview'!U15</f>
            </strRef>
          </tx>
          <spPr>
            <a:ln xmlns:a="http://schemas.openxmlformats.org/drawingml/2006/main">
              <a:prstDash val="solid"/>
            </a:ln>
          </spPr>
          <cat>
            <numRef>
              <f>'Overview'!$V$12:$AB$12</f>
            </numRef>
          </cat>
          <val>
            <numRef>
              <f>'Overview'!$V$15:$AB$15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FCMB Bank (UK)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'Overview'!AE19</f>
            </strRef>
          </tx>
          <spPr>
            <a:ln xmlns:a="http://schemas.openxmlformats.org/drawingml/2006/main">
              <a:prstDash val="solid"/>
            </a:ln>
          </spPr>
          <cat>
            <numRef>
              <f>'Overview'!$AF$18:$AL$18</f>
            </numRef>
          </cat>
          <val>
            <numRef>
              <f>'Overview'!$AF$19:$AL$19</f>
            </numRef>
          </val>
        </ser>
        <ser>
          <idx val="1"/>
          <order val="1"/>
          <tx>
            <strRef>
              <f>'Overview'!AE20</f>
            </strRef>
          </tx>
          <spPr>
            <a:ln xmlns:a="http://schemas.openxmlformats.org/drawingml/2006/main">
              <a:prstDash val="solid"/>
            </a:ln>
          </spPr>
          <cat>
            <numRef>
              <f>'Overview'!$AF$18:$AL$18</f>
            </numRef>
          </cat>
          <val>
            <numRef>
              <f>'Overview'!$AF$20:$AL$20</f>
            </numRef>
          </val>
        </ser>
        <ser>
          <idx val="2"/>
          <order val="2"/>
          <tx>
            <strRef>
              <f>'Overview'!AE21</f>
            </strRef>
          </tx>
          <spPr>
            <a:ln xmlns:a="http://schemas.openxmlformats.org/drawingml/2006/main">
              <a:prstDash val="solid"/>
            </a:ln>
          </spPr>
          <cat>
            <numRef>
              <f>'Overview'!$AF$18:$AL$18</f>
            </numRef>
          </cat>
          <val>
            <numRef>
              <f>'Overview'!$AF$21:$AL$21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FCMB Bank (UK)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'Overview'!AO25</f>
            </strRef>
          </tx>
          <spPr>
            <a:ln xmlns:a="http://schemas.openxmlformats.org/drawingml/2006/main">
              <a:prstDash val="solid"/>
            </a:ln>
          </spPr>
          <cat>
            <numRef>
              <f>'Overview'!$AP$24:$AV$24</f>
            </numRef>
          </cat>
          <val>
            <numRef>
              <f>'Overview'!$AP$25:$AV$25</f>
            </numRef>
          </val>
        </ser>
        <ser>
          <idx val="1"/>
          <order val="1"/>
          <tx>
            <strRef>
              <f>'Overview'!AO26</f>
            </strRef>
          </tx>
          <spPr>
            <a:ln xmlns:a="http://schemas.openxmlformats.org/drawingml/2006/main">
              <a:prstDash val="solid"/>
            </a:ln>
          </spPr>
          <cat>
            <numRef>
              <f>'Overview'!$AP$24:$AV$24</f>
            </numRef>
          </cat>
          <val>
            <numRef>
              <f>'Overview'!$AP$26:$AV$26</f>
            </numRef>
          </val>
        </ser>
        <ser>
          <idx val="2"/>
          <order val="2"/>
          <tx>
            <strRef>
              <f>'Overview'!AO27</f>
            </strRef>
          </tx>
          <spPr>
            <a:ln xmlns:a="http://schemas.openxmlformats.org/drawingml/2006/main">
              <a:prstDash val="solid"/>
            </a:ln>
          </spPr>
          <cat>
            <numRef>
              <f>'Overview'!$AP$24:$AV$24</f>
            </numRef>
          </cat>
          <val>
            <numRef>
              <f>'Overview'!$AP$27:$AV$27</f>
            </numRef>
          </val>
        </ser>
        <ser>
          <idx val="3"/>
          <order val="3"/>
          <tx>
            <strRef>
              <f>'Overview'!AO28</f>
            </strRef>
          </tx>
          <spPr>
            <a:ln xmlns:a="http://schemas.openxmlformats.org/drawingml/2006/main">
              <a:prstDash val="solid"/>
            </a:ln>
          </spPr>
          <cat>
            <numRef>
              <f>'Overview'!$AP$24:$AV$24</f>
            </numRef>
          </cat>
          <val>
            <numRef>
              <f>'Overview'!$AP$28:$AV$28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FCMB Bank (UK)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'Overview'!AY6</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'Overview'!$AZ$6:$BE$6</f>
            </numRef>
          </val>
          <smooth val="0"/>
        </ser>
        <ser>
          <idx val="1"/>
          <order val="1"/>
          <tx>
            <strRef>
              <f>'Overview'!AY7</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'Overview'!$AZ$7:$BE$7</f>
            </numRef>
          </val>
          <smooth val="0"/>
        </ser>
        <ser>
          <idx val="2"/>
          <order val="2"/>
          <tx>
            <strRef>
              <f>'Overview'!AY8</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'Overview'!$AZ$8:$BE$8</f>
            </numRef>
          </val>
          <smooth val="0"/>
        </ser>
        <ser>
          <idx val="3"/>
          <order val="3"/>
          <tx>
            <strRef>
              <f>'Overview'!AY9</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'Overview'!$AZ$9:$BE$9</f>
            </numRef>
          </val>
          <smooth val="0"/>
        </ser>
        <ser>
          <idx val="4"/>
          <order val="4"/>
          <tx>
            <strRef>
              <f>'Overview'!AY10</f>
            </strRef>
          </tx>
          <spPr>
            <a:ln xmlns:a="http://schemas.openxmlformats.org/drawingml/2006/main">
              <a:prstDash val="solid"/>
            </a:ln>
          </spPr>
          <marker>
            <symbol val="none"/>
            <spPr>
              <a:ln xmlns:a="http://schemas.openxmlformats.org/drawingml/2006/main">
                <a:prstDash val="solid"/>
              </a:ln>
            </spPr>
          </marker>
          <cat>
            <numRef>
              <f>'Overview'!$AZ$5:$BE$5</f>
            </numRef>
          </cat>
          <val>
            <numRef>
              <f>'Overview'!$AZ$10:$BE$10</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40</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84</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106</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128</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E38"/>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s>
  <sheetData>
    <row r="1">
      <c r="A1" s="1" t="inlineStr">
        <is>
          <t>FCMB Bank (UK)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 (conv. from USD))</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L5" t="inlineStr">
        <is>
          <t>FY2019</t>
        </is>
      </c>
      <c r="M5" t="inlineStr">
        <is>
          <t>FY2020</t>
        </is>
      </c>
      <c r="N5" t="inlineStr">
        <is>
          <t>FY2021</t>
        </is>
      </c>
      <c r="O5" t="inlineStr">
        <is>
          <t>FY2022</t>
        </is>
      </c>
      <c r="P5" t="inlineStr">
        <is>
          <t>FY2023</t>
        </is>
      </c>
      <c r="Q5" t="inlineStr">
        <is>
          <t>FY2024</t>
        </is>
      </c>
      <c r="R5" t="inlineStr">
        <is>
          <t>FY2025</t>
        </is>
      </c>
      <c r="AZ5" t="inlineStr">
        <is>
          <t>FY2020</t>
        </is>
      </c>
      <c r="BA5" t="inlineStr">
        <is>
          <t>FY2021</t>
        </is>
      </c>
      <c r="BB5" t="inlineStr">
        <is>
          <t>FY2022</t>
        </is>
      </c>
      <c r="BC5" t="inlineStr">
        <is>
          <t>FY2023</t>
        </is>
      </c>
      <c r="BD5" t="inlineStr">
        <is>
          <t>FY2024</t>
        </is>
      </c>
      <c r="BE5" t="inlineStr">
        <is>
          <t>FY2025</t>
        </is>
      </c>
    </row>
    <row r="6">
      <c r="A6" s="5" t="inlineStr">
        <is>
          <t>Total assets</t>
        </is>
      </c>
      <c r="B6" s="5" t="n">
        <v>451390.7</v>
      </c>
      <c r="C6" s="5" t="n">
        <v>416637.4</v>
      </c>
      <c r="D6" s="5" t="n">
        <v>362314.5</v>
      </c>
      <c r="E6" s="5" t="n">
        <v>425778.8</v>
      </c>
      <c r="F6" s="5" t="n">
        <v>297650.4</v>
      </c>
      <c r="G6" s="5" t="n">
        <v>280054.6</v>
      </c>
      <c r="H6" s="5" t="n">
        <v>274316.9</v>
      </c>
      <c r="K6" t="inlineStr">
        <is>
          <t>Total assets</t>
        </is>
      </c>
      <c r="L6" t="n">
        <v>274316.9</v>
      </c>
      <c r="M6" t="n">
        <v>280054.6</v>
      </c>
      <c r="N6" t="n">
        <v>297650.4</v>
      </c>
      <c r="O6" t="n">
        <v>425778.8</v>
      </c>
      <c r="P6" t="n">
        <v>362314.5</v>
      </c>
      <c r="Q6" t="n">
        <v>416637.4</v>
      </c>
      <c r="R6" t="n">
        <v>451390.7</v>
      </c>
      <c r="AY6" t="inlineStr">
        <is>
          <t>CET1 Ratio</t>
        </is>
      </c>
      <c r="AZ6" t="n">
        <v>27.27</v>
      </c>
      <c r="BA6" t="n">
        <v>17.29</v>
      </c>
      <c r="BB6" t="n">
        <v>16.97</v>
      </c>
      <c r="BC6" t="n">
        <v>17.39</v>
      </c>
      <c r="BD6" t="n">
        <v>16.55</v>
      </c>
      <c r="BE6" t="n">
        <v>14.83</v>
      </c>
    </row>
    <row r="7">
      <c r="A7" s="5" t="inlineStr">
        <is>
          <t>Loans and advances to customers</t>
        </is>
      </c>
      <c r="B7" s="5" t="n">
        <v>86069.89999999999</v>
      </c>
      <c r="C7" s="5" t="n">
        <v>68791.39999999999</v>
      </c>
      <c r="D7" s="5" t="n">
        <v>58578.6</v>
      </c>
      <c r="E7" s="5" t="n">
        <v>59060.5</v>
      </c>
      <c r="F7" s="5" t="n">
        <v>58754.1</v>
      </c>
      <c r="G7" s="5" t="n">
        <v>37821.9</v>
      </c>
      <c r="H7" s="5" t="n">
        <v>28304.6</v>
      </c>
      <c r="K7" t="inlineStr">
        <is>
          <t>Loans and advances to customers</t>
        </is>
      </c>
      <c r="L7" t="n">
        <v>28304.6</v>
      </c>
      <c r="M7" t="n">
        <v>37821.9</v>
      </c>
      <c r="N7" t="n">
        <v>58754.1</v>
      </c>
      <c r="O7" t="n">
        <v>59060.5</v>
      </c>
      <c r="P7" t="n">
        <v>58578.6</v>
      </c>
      <c r="Q7" t="n">
        <v>68791.39999999999</v>
      </c>
      <c r="R7" t="n">
        <v>86069.89999999999</v>
      </c>
      <c r="AY7" t="inlineStr">
        <is>
          <t>Total Capital Ratio</t>
        </is>
      </c>
      <c r="AZ7" t="n">
        <v>29.16</v>
      </c>
      <c r="BA7" t="n">
        <v>19.3</v>
      </c>
      <c r="BB7" t="n">
        <v>20.33</v>
      </c>
      <c r="BC7" t="n">
        <v>20.73</v>
      </c>
      <c r="BD7" t="n">
        <v>19.29</v>
      </c>
      <c r="BE7" t="n">
        <v>17.43</v>
      </c>
    </row>
    <row r="8">
      <c r="A8" s="5" t="inlineStr">
        <is>
          <t>Deposits from customers</t>
        </is>
      </c>
      <c r="B8" s="5" t="n">
        <v>167885.2</v>
      </c>
      <c r="C8" s="5" t="n">
        <v>128119.3</v>
      </c>
      <c r="D8" s="5" t="n">
        <v>122000.9</v>
      </c>
      <c r="E8" s="5" t="n">
        <v>176178.6</v>
      </c>
      <c r="F8" s="5" t="n">
        <v>146047.2</v>
      </c>
      <c r="G8" s="5" t="n">
        <v>122653.8</v>
      </c>
      <c r="H8" s="5" t="n">
        <v>92437.3</v>
      </c>
      <c r="K8" t="inlineStr">
        <is>
          <t>Deposits from customers</t>
        </is>
      </c>
      <c r="L8" t="n">
        <v>92437.3</v>
      </c>
      <c r="M8" t="n">
        <v>122653.8</v>
      </c>
      <c r="N8" t="n">
        <v>146047.2</v>
      </c>
      <c r="O8" t="n">
        <v>176178.6</v>
      </c>
      <c r="P8" t="n">
        <v>122000.9</v>
      </c>
      <c r="Q8" t="n">
        <v>128119.3</v>
      </c>
      <c r="R8" t="n">
        <v>167885.2</v>
      </c>
      <c r="AY8" t="inlineStr">
        <is>
          <t>Leverage Ratio</t>
        </is>
      </c>
      <c r="BA8" t="n">
        <v>10.12</v>
      </c>
      <c r="BB8" t="n">
        <v>7.41</v>
      </c>
      <c r="BC8" t="n">
        <v>10.29</v>
      </c>
      <c r="BD8" t="n">
        <v>14.73</v>
      </c>
      <c r="BE8" t="n">
        <v>8.81</v>
      </c>
    </row>
    <row r="9">
      <c r="A9" s="5" t="inlineStr">
        <is>
          <t>Total equity</t>
        </is>
      </c>
      <c r="B9" s="5" t="n">
        <v>41433.2</v>
      </c>
      <c r="C9" s="5" t="n">
        <v>47350.9</v>
      </c>
      <c r="D9" s="5" t="n">
        <v>43429.4</v>
      </c>
      <c r="E9" s="5" t="n">
        <v>36482</v>
      </c>
      <c r="F9" s="5" t="n">
        <v>33373.9</v>
      </c>
      <c r="G9" s="5" t="n">
        <v>32098</v>
      </c>
      <c r="H9" s="5" t="n">
        <v>33319.4</v>
      </c>
      <c r="K9" t="inlineStr">
        <is>
          <t>Total equity</t>
        </is>
      </c>
      <c r="L9" t="n">
        <v>33319.4</v>
      </c>
      <c r="M9" t="n">
        <v>32098</v>
      </c>
      <c r="N9" t="n">
        <v>33373.9</v>
      </c>
      <c r="O9" t="n">
        <v>36482</v>
      </c>
      <c r="P9" t="n">
        <v>43429.4</v>
      </c>
      <c r="Q9" t="n">
        <v>47350.9</v>
      </c>
      <c r="R9" t="n">
        <v>41433.2</v>
      </c>
      <c r="AY9" t="inlineStr">
        <is>
          <t>LCR</t>
        </is>
      </c>
      <c r="BA9" t="n">
        <v>371</v>
      </c>
      <c r="BB9" t="n">
        <v>513</v>
      </c>
      <c r="BC9" t="n">
        <v>729</v>
      </c>
      <c r="BD9" t="n">
        <v>333</v>
      </c>
      <c r="BE9" t="n">
        <v>273</v>
      </c>
    </row>
    <row r="10">
      <c r="AY10" t="inlineStr">
        <is>
          <t>NSFR</t>
        </is>
      </c>
      <c r="BA10" t="n">
        <v>206</v>
      </c>
      <c r="BB10" t="n">
        <v>179</v>
      </c>
      <c r="BC10" t="n">
        <v>174</v>
      </c>
      <c r="BD10" t="n">
        <v>166</v>
      </c>
      <c r="BE10" t="n">
        <v>157</v>
      </c>
    </row>
    <row r="11">
      <c r="A11" s="3" t="inlineStr">
        <is>
          <t>Profit &amp; Loss Summary (£'000 (conv. from USD))</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V12" t="inlineStr">
        <is>
          <t>FY2019</t>
        </is>
      </c>
      <c r="W12" t="inlineStr">
        <is>
          <t>FY2020</t>
        </is>
      </c>
      <c r="X12" t="inlineStr">
        <is>
          <t>FY2021</t>
        </is>
      </c>
      <c r="Y12" t="inlineStr">
        <is>
          <t>FY2022</t>
        </is>
      </c>
      <c r="Z12" t="inlineStr">
        <is>
          <t>FY2023</t>
        </is>
      </c>
      <c r="AA12" t="inlineStr">
        <is>
          <t>FY2024</t>
        </is>
      </c>
      <c r="AB12" t="inlineStr">
        <is>
          <t>FY2025</t>
        </is>
      </c>
    </row>
    <row r="13">
      <c r="A13" s="5" t="inlineStr">
        <is>
          <t>Net operating income</t>
        </is>
      </c>
      <c r="B13" s="5" t="n">
        <v>10260.3</v>
      </c>
      <c r="C13" s="5" t="n">
        <v>16395.7</v>
      </c>
      <c r="D13" s="5" t="n">
        <v>17083.4</v>
      </c>
      <c r="E13" s="5" t="n">
        <v>13274.1</v>
      </c>
      <c r="F13" s="5" t="n">
        <v>9333.299999999999</v>
      </c>
      <c r="G13" s="5" t="n">
        <v>6419.1</v>
      </c>
      <c r="H13" s="5" t="n">
        <v>7513.8</v>
      </c>
      <c r="U13" t="inlineStr">
        <is>
          <t>Net operating income</t>
        </is>
      </c>
      <c r="V13" t="n">
        <v>7513.8</v>
      </c>
      <c r="W13" t="n">
        <v>6419.1</v>
      </c>
      <c r="X13" t="n">
        <v>9333.299999999999</v>
      </c>
      <c r="Y13" t="n">
        <v>13274.1</v>
      </c>
      <c r="Z13" t="n">
        <v>17083.4</v>
      </c>
      <c r="AA13" t="n">
        <v>16395.7</v>
      </c>
      <c r="AB13" t="n">
        <v>10260.3</v>
      </c>
    </row>
    <row r="14">
      <c r="A14" s="5" t="inlineStr">
        <is>
          <t>Total operating expenses</t>
        </is>
      </c>
      <c r="B14" s="5" t="n">
        <v>-13973.8</v>
      </c>
      <c r="C14" s="5" t="n">
        <v>-13813.2</v>
      </c>
      <c r="D14" s="5" t="n">
        <v>-12546.9</v>
      </c>
      <c r="E14" s="5" t="n">
        <v>-10885.2</v>
      </c>
      <c r="F14" s="5" t="n">
        <v>-8516</v>
      </c>
      <c r="G14" s="5" t="n">
        <v>-6836.8</v>
      </c>
      <c r="H14" s="5" t="n">
        <v>-6343.3</v>
      </c>
      <c r="U14" t="inlineStr">
        <is>
          <t>Total operating expenses</t>
        </is>
      </c>
      <c r="V14" t="n">
        <v>-6343.3</v>
      </c>
      <c r="W14" t="n">
        <v>-6836.8</v>
      </c>
      <c r="X14" t="n">
        <v>-8516</v>
      </c>
      <c r="Y14" t="n">
        <v>-10885.2</v>
      </c>
      <c r="Z14" t="n">
        <v>-12546.9</v>
      </c>
      <c r="AA14" t="n">
        <v>-13813.2</v>
      </c>
      <c r="AB14" t="n">
        <v>-13973.8</v>
      </c>
    </row>
    <row r="15">
      <c r="A15" s="5" t="inlineStr">
        <is>
          <t>Profit/(Loss) for the year</t>
        </is>
      </c>
      <c r="B15" s="5" t="n">
        <v>-2787.1</v>
      </c>
      <c r="C15" s="5" t="n">
        <v>1924.4</v>
      </c>
      <c r="D15" s="5" t="n">
        <v>3460.6</v>
      </c>
      <c r="E15" s="5" t="n">
        <v>1946</v>
      </c>
      <c r="F15" s="5" t="n">
        <v>1189.3</v>
      </c>
      <c r="G15" s="5" t="n">
        <v>-301.3</v>
      </c>
      <c r="H15" s="5" t="n">
        <v>1170.5</v>
      </c>
      <c r="U15" t="inlineStr">
        <is>
          <t>Profit/(Loss) for the year</t>
        </is>
      </c>
      <c r="V15" t="n">
        <v>1170.5</v>
      </c>
      <c r="W15" t="n">
        <v>-301.3</v>
      </c>
      <c r="X15" t="n">
        <v>1189.3</v>
      </c>
      <c r="Y15" t="n">
        <v>1946</v>
      </c>
      <c r="Z15" t="n">
        <v>3460.6</v>
      </c>
      <c r="AA15" t="n">
        <v>1924.4</v>
      </c>
      <c r="AB15" t="n">
        <v>-2787.1</v>
      </c>
    </row>
    <row r="17">
      <c r="A17" s="3" t="inlineStr">
        <is>
          <t>Statement of Changes in Equity Summary (£'000 (conv. from USD))</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AF18" t="inlineStr">
        <is>
          <t>FY2019</t>
        </is>
      </c>
      <c r="AG18" t="inlineStr">
        <is>
          <t>FY2020</t>
        </is>
      </c>
      <c r="AH18" t="inlineStr">
        <is>
          <t>FY2021</t>
        </is>
      </c>
      <c r="AI18" t="inlineStr">
        <is>
          <t>FY2022</t>
        </is>
      </c>
      <c r="AJ18" t="inlineStr">
        <is>
          <t>FY2023</t>
        </is>
      </c>
      <c r="AK18" t="inlineStr">
        <is>
          <t>FY2024</t>
        </is>
      </c>
      <c r="AL18" t="inlineStr">
        <is>
          <t>FY2025</t>
        </is>
      </c>
    </row>
    <row r="19">
      <c r="A19" s="5" t="inlineStr">
        <is>
          <t>Opening equity</t>
        </is>
      </c>
      <c r="B19" s="5" t="n">
        <v>47350.9</v>
      </c>
      <c r="C19" s="5" t="n">
        <v>43429.4</v>
      </c>
      <c r="D19" s="5" t="n">
        <v>36482</v>
      </c>
      <c r="E19" s="5" t="n">
        <v>33373.9</v>
      </c>
      <c r="F19" s="5" t="n">
        <v>32098</v>
      </c>
      <c r="G19" s="5" t="n">
        <v>33319.4</v>
      </c>
      <c r="H19" s="5" t="n"/>
      <c r="AE19" t="inlineStr">
        <is>
          <t>Opening equity</t>
        </is>
      </c>
      <c r="AG19" t="n">
        <v>33319.4</v>
      </c>
      <c r="AH19" t="n">
        <v>32098</v>
      </c>
      <c r="AI19" t="n">
        <v>33373.9</v>
      </c>
      <c r="AJ19" t="n">
        <v>36482</v>
      </c>
      <c r="AK19" t="n">
        <v>43429.4</v>
      </c>
      <c r="AL19" t="n">
        <v>47350.9</v>
      </c>
    </row>
    <row r="20">
      <c r="A20" s="5" t="inlineStr">
        <is>
          <t>Total comprehensive income/(loss) for the year</t>
        </is>
      </c>
      <c r="B20" s="5" t="n">
        <v>-2683.4</v>
      </c>
      <c r="C20" s="5" t="n">
        <v>3102.3</v>
      </c>
      <c r="D20" s="5" t="n">
        <v>4953.8</v>
      </c>
      <c r="E20" s="5" t="n">
        <v>-802.9</v>
      </c>
      <c r="F20" s="5" t="n">
        <v>927.7</v>
      </c>
      <c r="G20" s="5" t="n">
        <v>-111</v>
      </c>
      <c r="H20" s="5" t="n"/>
      <c r="AE20" t="inlineStr">
        <is>
          <t>Total comprehensive income/(loss) for the year</t>
        </is>
      </c>
      <c r="AG20" t="n">
        <v>-111</v>
      </c>
      <c r="AH20" t="n">
        <v>927.7</v>
      </c>
      <c r="AI20" t="n">
        <v>-802.9</v>
      </c>
      <c r="AJ20" t="n">
        <v>4953.8</v>
      </c>
      <c r="AK20" t="n">
        <v>3102.3</v>
      </c>
      <c r="AL20" t="n">
        <v>-2683.4</v>
      </c>
    </row>
    <row r="21">
      <c r="A21" s="5" t="inlineStr">
        <is>
          <t>Closing equity</t>
        </is>
      </c>
      <c r="B21" s="5" t="n">
        <v>41433.2</v>
      </c>
      <c r="C21" s="5" t="n">
        <v>47350.9</v>
      </c>
      <c r="D21" s="5" t="n">
        <v>43429.4</v>
      </c>
      <c r="E21" s="5" t="n">
        <v>36482</v>
      </c>
      <c r="F21" s="5" t="n">
        <v>33373.9</v>
      </c>
      <c r="G21" s="5" t="n">
        <v>32098</v>
      </c>
      <c r="H21" s="5" t="n">
        <v>33319.4</v>
      </c>
      <c r="AE21" t="inlineStr">
        <is>
          <t>Closing equity</t>
        </is>
      </c>
      <c r="AF21" t="n">
        <v>33319.4</v>
      </c>
      <c r="AG21" t="n">
        <v>32098</v>
      </c>
      <c r="AH21" t="n">
        <v>33373.9</v>
      </c>
      <c r="AI21" t="n">
        <v>36482</v>
      </c>
      <c r="AJ21" t="n">
        <v>43429.4</v>
      </c>
      <c r="AK21" t="n">
        <v>47350.9</v>
      </c>
      <c r="AL21" t="n">
        <v>41433.2</v>
      </c>
    </row>
    <row r="23">
      <c r="A23" s="3" t="inlineStr">
        <is>
          <t>Cash Flow Summary (£'000 (conv. from USD))</t>
        </is>
      </c>
    </row>
    <row r="24">
      <c r="A24" s="4" t="inlineStr">
        <is>
          <t>Line item</t>
        </is>
      </c>
      <c r="B24" s="4" t="inlineStr">
        <is>
          <t>FY2025</t>
        </is>
      </c>
      <c r="C24" s="4" t="inlineStr">
        <is>
          <t>FY2024</t>
        </is>
      </c>
      <c r="D24" s="4" t="inlineStr">
        <is>
          <t>FY2023</t>
        </is>
      </c>
      <c r="E24" s="4" t="inlineStr">
        <is>
          <t>FY2022</t>
        </is>
      </c>
      <c r="F24" s="4" t="inlineStr">
        <is>
          <t>FY2021</t>
        </is>
      </c>
      <c r="G24" s="4" t="inlineStr">
        <is>
          <t>FY2020</t>
        </is>
      </c>
      <c r="H24" s="4" t="inlineStr">
        <is>
          <t>FY2019</t>
        </is>
      </c>
      <c r="AP24" t="inlineStr">
        <is>
          <t>FY2019</t>
        </is>
      </c>
      <c r="AQ24" t="inlineStr">
        <is>
          <t>FY2020</t>
        </is>
      </c>
      <c r="AR24" t="inlineStr">
        <is>
          <t>FY2021</t>
        </is>
      </c>
      <c r="AS24" t="inlineStr">
        <is>
          <t>FY2022</t>
        </is>
      </c>
      <c r="AT24" t="inlineStr">
        <is>
          <t>FY2023</t>
        </is>
      </c>
      <c r="AU24" t="inlineStr">
        <is>
          <t>FY2024</t>
        </is>
      </c>
      <c r="AV24" t="inlineStr">
        <is>
          <t>FY2025</t>
        </is>
      </c>
    </row>
    <row r="25">
      <c r="A25" s="5" t="inlineStr">
        <is>
          <t>Net cash flows from operating activities</t>
        </is>
      </c>
      <c r="B25" s="5" t="n">
        <v>4230.7</v>
      </c>
      <c r="C25" s="5" t="n">
        <v>5533.8</v>
      </c>
      <c r="D25" s="5" t="n">
        <v>-81910.2</v>
      </c>
      <c r="E25" s="5" t="n">
        <v>90909.10000000001</v>
      </c>
      <c r="F25" s="5" t="n">
        <v>-15725.8</v>
      </c>
      <c r="G25" s="5" t="n">
        <v>-2038.5</v>
      </c>
      <c r="H25" s="5" t="n">
        <v>77612</v>
      </c>
      <c r="AO25" t="inlineStr">
        <is>
          <t>Net cash flows from operating activities</t>
        </is>
      </c>
      <c r="AP25" t="n">
        <v>77612</v>
      </c>
      <c r="AQ25" t="n">
        <v>-2038.5</v>
      </c>
      <c r="AR25" t="n">
        <v>-15725.8</v>
      </c>
      <c r="AS25" t="n">
        <v>90909.10000000001</v>
      </c>
      <c r="AT25" t="n">
        <v>-81910.2</v>
      </c>
      <c r="AU25" t="n">
        <v>5533.8</v>
      </c>
      <c r="AV25" t="n">
        <v>4230.7</v>
      </c>
    </row>
    <row r="26">
      <c r="A26" s="5" t="inlineStr">
        <is>
          <t>Net cash flows from investing activities</t>
        </is>
      </c>
      <c r="B26" s="5" t="n">
        <v>-2272.9</v>
      </c>
      <c r="C26" s="5" t="n">
        <v>-5407.6</v>
      </c>
      <c r="D26" s="5" t="n">
        <v>78518.39999999999</v>
      </c>
      <c r="E26" s="5" t="n">
        <v>-93365</v>
      </c>
      <c r="F26" s="5" t="n">
        <v>10905</v>
      </c>
      <c r="G26" s="5" t="n">
        <v>110.2</v>
      </c>
      <c r="H26" s="5" t="n">
        <v>-72513.3</v>
      </c>
      <c r="AO26" t="inlineStr">
        <is>
          <t>Net cash flows from investing activities</t>
        </is>
      </c>
      <c r="AP26" t="n">
        <v>-72513.3</v>
      </c>
      <c r="AQ26" t="n">
        <v>110.2</v>
      </c>
      <c r="AR26" t="n">
        <v>10905</v>
      </c>
      <c r="AS26" t="n">
        <v>-93365</v>
      </c>
      <c r="AT26" t="n">
        <v>78518.39999999999</v>
      </c>
      <c r="AU26" t="n">
        <v>-5407.6</v>
      </c>
      <c r="AV26" t="n">
        <v>-2272.9</v>
      </c>
    </row>
    <row r="27">
      <c r="A27" s="5" t="inlineStr">
        <is>
          <t>Net cash flows from financing activities</t>
        </is>
      </c>
      <c r="B27" s="5" t="n">
        <v>-342.8</v>
      </c>
      <c r="C27" s="5" t="n">
        <v>-313.5</v>
      </c>
      <c r="D27" s="5" t="n">
        <v>3691.2</v>
      </c>
      <c r="E27" s="5" t="n">
        <v>3430.3</v>
      </c>
      <c r="F27" s="5" t="n">
        <v>-292.9</v>
      </c>
      <c r="G27" s="5" t="n">
        <v>-317.8</v>
      </c>
      <c r="H27" s="5" t="n"/>
      <c r="AO27" t="inlineStr">
        <is>
          <t>Net cash flows from financing activities</t>
        </is>
      </c>
      <c r="AQ27" t="n">
        <v>-317.8</v>
      </c>
      <c r="AR27" t="n">
        <v>-292.9</v>
      </c>
      <c r="AS27" t="n">
        <v>3430.3</v>
      </c>
      <c r="AT27" t="n">
        <v>3691.2</v>
      </c>
      <c r="AU27" t="n">
        <v>-313.5</v>
      </c>
      <c r="AV27" t="n">
        <v>-342.8</v>
      </c>
    </row>
    <row r="28">
      <c r="A28" s="5" t="inlineStr">
        <is>
          <t>Cash and cash equivalents at 31 December</t>
        </is>
      </c>
      <c r="B28" s="5" t="n">
        <v>7486.3</v>
      </c>
      <c r="C28" s="5" t="n">
        <v>5806.3</v>
      </c>
      <c r="D28" s="5" t="n">
        <v>5889.5</v>
      </c>
      <c r="E28" s="5" t="n">
        <v>5884.2</v>
      </c>
      <c r="F28" s="5" t="n">
        <v>4422.7</v>
      </c>
      <c r="G28" s="5" t="n">
        <v>9533.799999999999</v>
      </c>
      <c r="H28" s="5" t="n">
        <v>11899.8</v>
      </c>
      <c r="AO28" t="inlineStr">
        <is>
          <t>Cash and cash equivalents at 31 December</t>
        </is>
      </c>
      <c r="AP28" t="n">
        <v>11899.8</v>
      </c>
      <c r="AQ28" t="n">
        <v>9533.799999999999</v>
      </c>
      <c r="AR28" t="n">
        <v>4422.7</v>
      </c>
      <c r="AS28" t="n">
        <v>5884.2</v>
      </c>
      <c r="AT28" t="n">
        <v>5889.5</v>
      </c>
      <c r="AU28" t="n">
        <v>5806.3</v>
      </c>
      <c r="AV28" t="n">
        <v>7486.3</v>
      </c>
    </row>
    <row r="30">
      <c r="A30" s="3" t="inlineStr">
        <is>
          <t>Pillar 3 Key Metrics</t>
        </is>
      </c>
    </row>
    <row r="31">
      <c r="A31" s="4" t="inlineStr">
        <is>
          <t>Line item</t>
        </is>
      </c>
      <c r="B31" s="4" t="inlineStr">
        <is>
          <t>FY2025</t>
        </is>
      </c>
      <c r="C31" s="4" t="inlineStr">
        <is>
          <t>FY2024</t>
        </is>
      </c>
      <c r="D31" s="4" t="inlineStr">
        <is>
          <t>FY2023</t>
        </is>
      </c>
      <c r="E31" s="4" t="inlineStr">
        <is>
          <t>FY2022</t>
        </is>
      </c>
      <c r="F31" s="4" t="inlineStr">
        <is>
          <t>FY2021</t>
        </is>
      </c>
      <c r="G31" s="4" t="inlineStr">
        <is>
          <t>FY2020</t>
        </is>
      </c>
    </row>
    <row r="32">
      <c r="A32" s="6" t="inlineStr">
        <is>
          <t>CET1 Ratio</t>
        </is>
      </c>
      <c r="B32" s="6" t="inlineStr">
        <is>
          <t>14.83%</t>
        </is>
      </c>
      <c r="C32" s="6" t="inlineStr">
        <is>
          <t>16.55%</t>
        </is>
      </c>
      <c r="D32" s="6" t="inlineStr">
        <is>
          <t>17.39%</t>
        </is>
      </c>
      <c r="E32" s="6" t="inlineStr">
        <is>
          <t>16.97%</t>
        </is>
      </c>
      <c r="F32" s="6" t="inlineStr">
        <is>
          <t>17.29%</t>
        </is>
      </c>
      <c r="G32" s="6" t="inlineStr">
        <is>
          <t>27.27%</t>
        </is>
      </c>
    </row>
    <row r="33">
      <c r="A33" s="6" t="inlineStr">
        <is>
          <t>Total Capital Ratio</t>
        </is>
      </c>
      <c r="B33" s="6" t="inlineStr">
        <is>
          <t>17.43%</t>
        </is>
      </c>
      <c r="C33" s="6" t="inlineStr">
        <is>
          <t>19.29%</t>
        </is>
      </c>
      <c r="D33" s="6" t="inlineStr">
        <is>
          <t>20.73%</t>
        </is>
      </c>
      <c r="E33" s="6" t="inlineStr">
        <is>
          <t>20.33%</t>
        </is>
      </c>
      <c r="F33" s="6" t="inlineStr">
        <is>
          <t>19.30%</t>
        </is>
      </c>
      <c r="G33" s="6" t="inlineStr">
        <is>
          <t>29.16%</t>
        </is>
      </c>
    </row>
    <row r="34">
      <c r="A34" s="6" t="inlineStr">
        <is>
          <t>Leverage Ratio</t>
        </is>
      </c>
      <c r="B34" s="6" t="inlineStr">
        <is>
          <t>8.81%</t>
        </is>
      </c>
      <c r="C34" s="6" t="inlineStr">
        <is>
          <t>14.73%</t>
        </is>
      </c>
      <c r="D34" s="6" t="inlineStr">
        <is>
          <t>10.29%</t>
        </is>
      </c>
      <c r="E34" s="6" t="inlineStr">
        <is>
          <t>7.41%</t>
        </is>
      </c>
      <c r="F34" s="6" t="inlineStr">
        <is>
          <t>10.12%</t>
        </is>
      </c>
      <c r="G34" s="6" t="n"/>
    </row>
    <row r="35">
      <c r="A35" s="6" t="inlineStr">
        <is>
          <t>LCR</t>
        </is>
      </c>
      <c r="B35" s="6" t="inlineStr">
        <is>
          <t>273%</t>
        </is>
      </c>
      <c r="C35" s="6" t="inlineStr">
        <is>
          <t>333%</t>
        </is>
      </c>
      <c r="D35" s="6" t="inlineStr">
        <is>
          <t>729%</t>
        </is>
      </c>
      <c r="E35" s="6" t="inlineStr">
        <is>
          <t>513%</t>
        </is>
      </c>
      <c r="F35" s="6" t="inlineStr">
        <is>
          <t>371%</t>
        </is>
      </c>
      <c r="G35" s="6" t="n"/>
    </row>
    <row r="36">
      <c r="A36" s="6" t="inlineStr">
        <is>
          <t>NSFR</t>
        </is>
      </c>
      <c r="B36" s="6" t="inlineStr">
        <is>
          <t>157%</t>
        </is>
      </c>
      <c r="C36" s="6" t="inlineStr">
        <is>
          <t>166%</t>
        </is>
      </c>
      <c r="D36" s="6" t="inlineStr">
        <is>
          <t>174%</t>
        </is>
      </c>
      <c r="E36" s="6" t="inlineStr">
        <is>
          <t>179%</t>
        </is>
      </c>
      <c r="F36" s="6" t="inlineStr">
        <is>
          <t>206%</t>
        </is>
      </c>
      <c r="G36" s="6" t="n"/>
    </row>
    <row r="38" ht="30" customHeight="1">
      <c r="A38" s="7" t="inlineStr">
        <is>
          <t>Note: Figures are duplicated from the detail sheets for at-a-glance trend viewing; see each sheet's own source citation for the underlying document/page. Cash flow and capital figures converted from USD - see the Cash Flow Statement sheet's source note for the FX methodology and exact rates used.</t>
        </is>
      </c>
    </row>
  </sheetData>
  <mergeCells count="1">
    <mergeCell ref="A38:H3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H3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FCMB Bank (UK) Limited — Statement of Financial Position</t>
        </is>
      </c>
    </row>
    <row r="2">
      <c r="A2" s="2" t="inlineStr">
        <is>
          <t>£'000, converted from USD - see source note at bottom for FX methodology and rates used.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Assets</t>
        </is>
      </c>
      <c r="B4" s="6" t="n"/>
      <c r="C4" s="6" t="n"/>
      <c r="D4" s="6" t="n"/>
      <c r="E4" s="6" t="n"/>
      <c r="F4" s="6" t="n"/>
      <c r="G4" s="6" t="n"/>
      <c r="H4" s="6" t="n"/>
    </row>
    <row r="5">
      <c r="A5" s="6" t="inlineStr">
        <is>
          <t>Cash and cash equivalents</t>
        </is>
      </c>
      <c r="B5" s="6" t="n">
        <v>7486.3</v>
      </c>
      <c r="C5" s="6" t="n">
        <v>5806.3</v>
      </c>
      <c r="D5" s="6" t="n">
        <v>5889.5</v>
      </c>
      <c r="E5" s="6" t="n">
        <v>5884.2</v>
      </c>
      <c r="F5" s="6" t="n">
        <v>4422.7</v>
      </c>
      <c r="G5" s="6" t="n">
        <v>9533.799999999999</v>
      </c>
      <c r="H5" s="6" t="n">
        <v>11907.4</v>
      </c>
    </row>
    <row r="6">
      <c r="A6" s="6" t="inlineStr">
        <is>
          <t>Loans and advances to banks</t>
        </is>
      </c>
      <c r="B6" s="6" t="n">
        <v>202396.1</v>
      </c>
      <c r="C6" s="6" t="n">
        <v>172028</v>
      </c>
      <c r="D6" s="6" t="n">
        <v>141046.2</v>
      </c>
      <c r="E6" s="6" t="n">
        <v>115672.2</v>
      </c>
      <c r="F6" s="6" t="n">
        <v>97883.39999999999</v>
      </c>
      <c r="G6" s="6" t="n">
        <v>86229.8</v>
      </c>
      <c r="H6" s="6" t="n">
        <v>84894.2</v>
      </c>
    </row>
    <row r="7">
      <c r="A7" s="6" t="inlineStr">
        <is>
          <t>Loans and advances to customers</t>
        </is>
      </c>
      <c r="B7" s="6" t="n">
        <v>86069.89999999999</v>
      </c>
      <c r="C7" s="6" t="n">
        <v>68791.39999999999</v>
      </c>
      <c r="D7" s="6" t="n">
        <v>58578.6</v>
      </c>
      <c r="E7" s="6" t="n">
        <v>59060.5</v>
      </c>
      <c r="F7" s="6" t="n">
        <v>58754.1</v>
      </c>
      <c r="G7" s="6" t="n">
        <v>37821.9</v>
      </c>
      <c r="H7" s="6" t="n">
        <v>28304.6</v>
      </c>
    </row>
    <row r="8">
      <c r="A8" s="6" t="inlineStr">
        <is>
          <t>Total investment securities</t>
        </is>
      </c>
      <c r="B8" s="6" t="n">
        <v>145326.7</v>
      </c>
      <c r="C8" s="6" t="n">
        <v>157220.7</v>
      </c>
      <c r="D8" s="6" t="n">
        <v>147581.3</v>
      </c>
      <c r="E8" s="6" t="n">
        <v>235386.8</v>
      </c>
      <c r="F8" s="6" t="n">
        <v>128746</v>
      </c>
      <c r="G8" s="6" t="n">
        <v>138826.9</v>
      </c>
      <c r="H8" s="6" t="n">
        <v>143643.8</v>
      </c>
    </row>
    <row r="9">
      <c r="A9" s="6" t="inlineStr">
        <is>
          <t>Investment securities - Government bonds (sovereign debt, FVOCI)</t>
        </is>
      </c>
      <c r="B9" s="6" t="n">
        <v>0</v>
      </c>
      <c r="C9" s="6" t="n">
        <v>4495.2</v>
      </c>
      <c r="D9" s="6" t="n">
        <v>4318.6</v>
      </c>
      <c r="E9" s="6" t="n">
        <v>4542.6</v>
      </c>
      <c r="F9" s="6" t="n">
        <v>5513.8</v>
      </c>
      <c r="G9" s="6" t="n">
        <v>0</v>
      </c>
      <c r="H9" s="6" t="n"/>
    </row>
    <row r="10">
      <c r="A10" s="6" t="inlineStr">
        <is>
          <t>Investment securities - Bank bonds (financial institution debt, FVOCI)</t>
        </is>
      </c>
      <c r="B10" s="6" t="n">
        <v>0</v>
      </c>
      <c r="C10" s="6" t="n">
        <v>12152.4</v>
      </c>
      <c r="D10" s="6" t="n">
        <v>12979.8</v>
      </c>
      <c r="E10" s="6" t="n">
        <v>12518.3</v>
      </c>
      <c r="F10" s="6" t="n">
        <v>12730.3</v>
      </c>
      <c r="G10" s="6" t="n">
        <v>2364.6</v>
      </c>
      <c r="H10" s="6" t="n"/>
    </row>
    <row r="11">
      <c r="A11" s="6" t="inlineStr">
        <is>
          <t>Investment securities - HQLA: US Treasury bills &amp; IBRD supranational bonds (FVOCI)</t>
        </is>
      </c>
      <c r="B11" s="6" t="n">
        <v>3799.8</v>
      </c>
      <c r="C11" s="6" t="n">
        <v>15912.2</v>
      </c>
      <c r="D11" s="6" t="n">
        <v>23141.9</v>
      </c>
      <c r="E11" s="6" t="n">
        <v>16062.6</v>
      </c>
      <c r="F11" s="6" t="n">
        <v>0</v>
      </c>
      <c r="G11" s="6" t="n">
        <v>0</v>
      </c>
      <c r="H11" s="6" t="n"/>
    </row>
    <row r="12">
      <c r="A12" s="6" t="inlineStr">
        <is>
          <t>Investment securities - Allowance for impairment losses on FVOCI investments</t>
        </is>
      </c>
      <c r="B12" s="6" t="n">
        <v>0</v>
      </c>
      <c r="C12" s="6" t="n">
        <v>0</v>
      </c>
      <c r="D12" s="6" t="n">
        <v>0</v>
      </c>
      <c r="E12" s="6" t="n">
        <v>0</v>
      </c>
      <c r="F12" s="6" t="n">
        <v>-103</v>
      </c>
      <c r="G12" s="6" t="n">
        <v>0</v>
      </c>
      <c r="H12" s="6" t="n"/>
    </row>
    <row r="13">
      <c r="A13" s="6" t="inlineStr">
        <is>
          <t>Investment securities - Fund investments - Government (FVTPL)</t>
        </is>
      </c>
      <c r="B13" s="6" t="n">
        <v>140222.9</v>
      </c>
      <c r="C13" s="6" t="n">
        <v>117917.8</v>
      </c>
      <c r="D13" s="6" t="n">
        <v>100001.2</v>
      </c>
      <c r="E13" s="6" t="n">
        <v>194960.7</v>
      </c>
      <c r="F13" s="6" t="n">
        <v>103372.6</v>
      </c>
      <c r="G13" s="6" t="n">
        <v>136462.4</v>
      </c>
      <c r="H13" s="6" t="n"/>
    </row>
    <row r="14">
      <c r="A14" s="6" t="inlineStr">
        <is>
          <t>Investment securities - Fund investments - Other (FVTPL)</t>
        </is>
      </c>
      <c r="B14" s="6" t="n">
        <v>1304</v>
      </c>
      <c r="C14" s="6" t="n">
        <v>6743</v>
      </c>
      <c r="D14" s="6" t="n">
        <v>7139.7</v>
      </c>
      <c r="E14" s="6" t="n">
        <v>7302.6</v>
      </c>
      <c r="F14" s="6" t="n">
        <v>7232.3</v>
      </c>
      <c r="G14" s="6" t="n">
        <v>0</v>
      </c>
      <c r="H14" s="6" t="n"/>
    </row>
    <row r="15">
      <c r="A15" s="6" t="inlineStr">
        <is>
          <t>Derivative financial instruments</t>
        </is>
      </c>
      <c r="B15" s="6" t="n">
        <v>2208.6</v>
      </c>
      <c r="C15" s="6" t="n">
        <v>1144.5</v>
      </c>
      <c r="D15" s="6" t="n">
        <v>1254.9</v>
      </c>
      <c r="E15" s="6" t="n">
        <v>1530.5</v>
      </c>
      <c r="F15" s="6" t="n">
        <v>616.9</v>
      </c>
      <c r="G15" s="6" t="n">
        <v>2720.2</v>
      </c>
      <c r="H15" s="6" t="n"/>
    </row>
    <row r="16">
      <c r="A16" s="6" t="inlineStr">
        <is>
          <t>Other assets</t>
        </is>
      </c>
      <c r="B16" s="6" t="n">
        <v>6861.3</v>
      </c>
      <c r="C16" s="6" t="n">
        <v>10391.4</v>
      </c>
      <c r="D16" s="6" t="n">
        <v>7146.7</v>
      </c>
      <c r="E16" s="6" t="n">
        <v>6257.2</v>
      </c>
      <c r="F16" s="6" t="n">
        <v>4874</v>
      </c>
      <c r="G16" s="6" t="n">
        <v>2582.6</v>
      </c>
      <c r="H16" s="6" t="n">
        <v>2899.8</v>
      </c>
    </row>
    <row r="17">
      <c r="A17" s="6" t="inlineStr">
        <is>
          <t>Deferred tax asset</t>
        </is>
      </c>
      <c r="B17" s="6" t="n">
        <v>265.7</v>
      </c>
      <c r="C17" s="6" t="n"/>
      <c r="D17" s="6" t="n">
        <v>15.6</v>
      </c>
      <c r="E17" s="6" t="n">
        <v>131.4</v>
      </c>
      <c r="F17" s="6" t="n">
        <v>488.7</v>
      </c>
      <c r="G17" s="6" t="n">
        <v>109.3</v>
      </c>
      <c r="H17" s="6" t="n"/>
    </row>
    <row r="18">
      <c r="A18" s="6" t="inlineStr">
        <is>
          <t>Property and equipment</t>
        </is>
      </c>
      <c r="B18" s="6" t="n">
        <v>384.4</v>
      </c>
      <c r="C18" s="6" t="n">
        <v>759.9</v>
      </c>
      <c r="D18" s="6" t="n">
        <v>377.3</v>
      </c>
      <c r="E18" s="6" t="n">
        <v>1530.9</v>
      </c>
      <c r="F18" s="6" t="n">
        <v>1653.8</v>
      </c>
      <c r="G18" s="6" t="n">
        <v>1912.5</v>
      </c>
      <c r="H18" s="6" t="n">
        <v>2274.6</v>
      </c>
    </row>
    <row r="19">
      <c r="A19" s="6" t="inlineStr">
        <is>
          <t>Intangible assets</t>
        </is>
      </c>
      <c r="B19" s="6" t="n">
        <v>391.7</v>
      </c>
      <c r="C19" s="6" t="n">
        <v>495.2</v>
      </c>
      <c r="D19" s="6" t="n">
        <v>424.5</v>
      </c>
      <c r="E19" s="6" t="n">
        <v>325.1</v>
      </c>
      <c r="F19" s="6" t="n">
        <v>210.8</v>
      </c>
      <c r="G19" s="6" t="n">
        <v>317.5</v>
      </c>
      <c r="H19" s="6" t="n">
        <v>407.6</v>
      </c>
    </row>
    <row r="20">
      <c r="A20" s="5" t="inlineStr">
        <is>
          <t>Total assets</t>
        </is>
      </c>
      <c r="B20" s="5" t="n">
        <v>451390.7</v>
      </c>
      <c r="C20" s="5" t="n">
        <v>416637.4</v>
      </c>
      <c r="D20" s="5" t="n">
        <v>362314.5</v>
      </c>
      <c r="E20" s="5" t="n">
        <v>425778.8</v>
      </c>
      <c r="F20" s="5" t="n">
        <v>297650.4</v>
      </c>
      <c r="G20" s="5" t="n">
        <v>280054.6</v>
      </c>
      <c r="H20" s="5" t="n">
        <v>274316.9</v>
      </c>
    </row>
    <row r="21">
      <c r="A21" s="5" t="inlineStr">
        <is>
          <t>Liabilities</t>
        </is>
      </c>
      <c r="B21" s="6" t="n"/>
      <c r="C21" s="6" t="n"/>
      <c r="D21" s="6" t="n"/>
      <c r="E21" s="6" t="n"/>
      <c r="F21" s="6" t="n"/>
      <c r="G21" s="6" t="n"/>
      <c r="H21" s="6" t="n"/>
    </row>
    <row r="22">
      <c r="A22" s="6" t="inlineStr">
        <is>
          <t>Deposits from banks</t>
        </is>
      </c>
      <c r="B22" s="6" t="n">
        <v>229457.6</v>
      </c>
      <c r="C22" s="6" t="n">
        <v>224146.2</v>
      </c>
      <c r="D22" s="6" t="n">
        <v>182288.2</v>
      </c>
      <c r="E22" s="6" t="n">
        <v>196841.5</v>
      </c>
      <c r="F22" s="6" t="n">
        <v>108485.5</v>
      </c>
      <c r="G22" s="6" t="n">
        <v>119082.6</v>
      </c>
      <c r="H22" s="6" t="n">
        <v>144091.6</v>
      </c>
    </row>
    <row r="23">
      <c r="A23" s="6" t="inlineStr">
        <is>
          <t>Deposits from customers</t>
        </is>
      </c>
      <c r="B23" s="6" t="n">
        <v>167885.2</v>
      </c>
      <c r="C23" s="6" t="n">
        <v>128119.3</v>
      </c>
      <c r="D23" s="6" t="n">
        <v>122000.9</v>
      </c>
      <c r="E23" s="6" t="n">
        <v>176178.6</v>
      </c>
      <c r="F23" s="6" t="n">
        <v>146047.2</v>
      </c>
      <c r="G23" s="6" t="n">
        <v>122653.8</v>
      </c>
      <c r="H23" s="6" t="n">
        <v>92437.3</v>
      </c>
    </row>
    <row r="24">
      <c r="A24" s="6" t="inlineStr">
        <is>
          <t>Derivative financial instruments</t>
        </is>
      </c>
      <c r="B24" s="6" t="n">
        <v>314.3</v>
      </c>
      <c r="C24" s="6" t="n">
        <v>1741</v>
      </c>
      <c r="D24" s="6" t="n">
        <v>823.8</v>
      </c>
      <c r="E24" s="6" t="n">
        <v>3047.5</v>
      </c>
      <c r="F24" s="6" t="n">
        <v>1609.6</v>
      </c>
      <c r="G24" s="6" t="n">
        <v>0</v>
      </c>
      <c r="H24" s="6" t="n"/>
    </row>
    <row r="25">
      <c r="A25" s="6" t="inlineStr">
        <is>
          <t>Current tax liability</t>
        </is>
      </c>
      <c r="B25" s="6" t="n"/>
      <c r="C25" s="6" t="n"/>
      <c r="D25" s="6" t="n"/>
      <c r="E25" s="6" t="n">
        <v>37.7</v>
      </c>
      <c r="F25" s="6" t="n"/>
      <c r="G25" s="6" t="n"/>
      <c r="H25" s="6" t="n"/>
    </row>
    <row r="26">
      <c r="A26" s="6" t="inlineStr">
        <is>
          <t>Other liabilities</t>
        </is>
      </c>
      <c r="B26" s="6" t="n">
        <v>5161.9</v>
      </c>
      <c r="C26" s="6" t="n">
        <v>7589.3</v>
      </c>
      <c r="D26" s="6" t="n">
        <v>6232.1</v>
      </c>
      <c r="E26" s="6" t="n">
        <v>5255.6</v>
      </c>
      <c r="F26" s="6" t="n">
        <v>4436.3</v>
      </c>
      <c r="G26" s="6" t="n">
        <v>4024.3</v>
      </c>
      <c r="H26" s="6" t="n">
        <v>4468.7</v>
      </c>
    </row>
    <row r="27">
      <c r="A27" s="6" t="inlineStr">
        <is>
          <t>Subordinated liabilities</t>
        </is>
      </c>
      <c r="B27" s="6" t="n">
        <v>7138.6</v>
      </c>
      <c r="C27" s="6" t="n">
        <v>7670.8</v>
      </c>
      <c r="D27" s="6" t="n">
        <v>7540.1</v>
      </c>
      <c r="E27" s="6" t="n">
        <v>7935.9</v>
      </c>
      <c r="F27" s="6" t="n">
        <v>3698</v>
      </c>
      <c r="G27" s="6" t="n">
        <v>2196</v>
      </c>
      <c r="H27" s="6" t="n"/>
    </row>
    <row r="28">
      <c r="A28" s="6" t="inlineStr">
        <is>
          <t>Deferred tax liability</t>
        </is>
      </c>
      <c r="B28" s="6" t="n"/>
      <c r="C28" s="6" t="n">
        <v>19.9</v>
      </c>
      <c r="D28" s="6" t="n"/>
      <c r="E28" s="6" t="n"/>
      <c r="F28" s="6" t="n"/>
      <c r="G28" s="6" t="n"/>
      <c r="H28" s="6" t="n"/>
    </row>
    <row r="29">
      <c r="A29" s="5" t="inlineStr">
        <is>
          <t>Total liabilities</t>
        </is>
      </c>
      <c r="B29" s="5" t="n">
        <v>409957.5</v>
      </c>
      <c r="C29" s="5" t="n">
        <v>369286.5</v>
      </c>
      <c r="D29" s="5" t="n">
        <v>318885.1</v>
      </c>
      <c r="E29" s="5" t="n">
        <v>389296.8</v>
      </c>
      <c r="F29" s="5" t="n">
        <v>264276.5</v>
      </c>
      <c r="G29" s="5" t="n">
        <v>247956.7</v>
      </c>
      <c r="H29" s="5" t="n">
        <v>240997.5</v>
      </c>
    </row>
    <row r="30">
      <c r="A30" s="5" t="inlineStr">
        <is>
          <t>Equity</t>
        </is>
      </c>
      <c r="B30" s="6" t="n"/>
      <c r="C30" s="6" t="n"/>
      <c r="D30" s="6" t="n"/>
      <c r="E30" s="6" t="n"/>
      <c r="F30" s="6" t="n"/>
      <c r="G30" s="6" t="n"/>
      <c r="H30" s="6" t="n"/>
    </row>
    <row r="31">
      <c r="A31" s="6" t="inlineStr">
        <is>
          <t>Issued capital</t>
        </is>
      </c>
      <c r="B31" s="6" t="n">
        <v>40080.3</v>
      </c>
      <c r="C31" s="6" t="n">
        <v>43068.3</v>
      </c>
      <c r="D31" s="6" t="n">
        <v>42334.3</v>
      </c>
      <c r="E31" s="6" t="n">
        <v>40423.2</v>
      </c>
      <c r="F31" s="6" t="n">
        <v>36166</v>
      </c>
      <c r="G31" s="6" t="n">
        <v>35795.3</v>
      </c>
      <c r="H31" s="6" t="n">
        <v>37037</v>
      </c>
    </row>
    <row r="32">
      <c r="A32" s="6" t="inlineStr">
        <is>
          <t>Retained earnings</t>
        </is>
      </c>
      <c r="B32" s="6" t="n">
        <v>1352.4</v>
      </c>
      <c r="C32" s="6" t="n">
        <v>4391.3</v>
      </c>
      <c r="D32" s="6" t="n">
        <v>2384.5</v>
      </c>
      <c r="E32" s="6" t="n">
        <v>-1048.8</v>
      </c>
      <c r="F32" s="6" t="n">
        <v>-2717.6</v>
      </c>
      <c r="G32" s="6" t="n">
        <v>-3886.9</v>
      </c>
      <c r="H32" s="6" t="n">
        <v>-3729</v>
      </c>
    </row>
    <row r="33">
      <c r="A33" s="6" t="inlineStr">
        <is>
          <t>Other reserves</t>
        </is>
      </c>
      <c r="B33" s="6" t="n">
        <v>0.5</v>
      </c>
      <c r="C33" s="6" t="n">
        <v>-108.7</v>
      </c>
      <c r="D33" s="6" t="n">
        <v>-1289.3</v>
      </c>
      <c r="E33" s="6" t="n">
        <v>-2892.4</v>
      </c>
      <c r="F33" s="6" t="n">
        <v>-74.5</v>
      </c>
      <c r="G33" s="6" t="n">
        <v>189.6</v>
      </c>
      <c r="H33" s="6" t="n">
        <v>11.1</v>
      </c>
    </row>
    <row r="34">
      <c r="A34" s="5" t="inlineStr">
        <is>
          <t>Total equity</t>
        </is>
      </c>
      <c r="B34" s="5" t="n">
        <v>41433.2</v>
      </c>
      <c r="C34" s="5" t="n">
        <v>47350.9</v>
      </c>
      <c r="D34" s="5" t="n">
        <v>43429.4</v>
      </c>
      <c r="E34" s="5" t="n">
        <v>36482</v>
      </c>
      <c r="F34" s="5" t="n">
        <v>33373.9</v>
      </c>
      <c r="G34" s="5" t="n">
        <v>32098</v>
      </c>
      <c r="H34" s="5" t="n">
        <v>33319.4</v>
      </c>
    </row>
    <row r="35">
      <c r="A35" s="5" t="inlineStr">
        <is>
          <t>Total liabilities and equity</t>
        </is>
      </c>
      <c r="B35" s="5" t="n">
        <v>451390.7</v>
      </c>
      <c r="C35" s="5" t="n">
        <v>416637.4</v>
      </c>
      <c r="D35" s="5" t="n">
        <v>362314.5</v>
      </c>
      <c r="E35" s="5" t="n">
        <v>425778.8</v>
      </c>
      <c r="F35" s="5" t="n">
        <v>297650.4</v>
      </c>
      <c r="G35" s="5" t="n">
        <v>280054.6</v>
      </c>
      <c r="H35" s="5" t="n">
        <v>274316.9</v>
      </c>
    </row>
    <row r="37" ht="390" customHeight="1">
      <c r="A37" s="8" t="inlineStr">
        <is>
          <t>Sources - FCMB Bank (UK) Limited's own Statement of Financial Position / Statement of Comprehensive Income / Statement of Changes in Equity, from its Companies House-filed Annual Report and Accounts:
FY2025: Audited Accounts 2025, p.40-41 - https://fcmbuk.com/wp-content/uploads/2026/08/SIGNED-FCMB-Bank-UK-Limited-Audited-Accounts-2025.pdf
FY2024: Audited Accounts 2024, p.29-30 (own-year figures - see reclassification note) - https://fcmbuk.com/wp-content/uploads/2025/09/FCMB-Bank-UK-Limited-Audited-Accounts-2024-Signed.pdf
FY2023: Audited Accounts 2023, p.31-32 - https://fcmbuk.com/wp-content/uploads/2024/07/FCMB-Bank-UK-Limited-Audited-Accounts-2023.pdf
FY2022: Annual Report &amp; Financial Statements 2022, p.29-30 - https://fcmbuk.com/wp-content/uploads/2023/09/FCMB-Bank-UK-Limited-Signed-Annual-Report-Financial-Statements-2022.pdf
FY2021: Audited Accounts 2021, p.26-27 - https://fcmbuk.com/wp-content/uploads/2023/09/FCMB-Bank-UK-Limited-Signed-Audited-Accounts-2021.pdf
FY2020: Audited Accounts 2021, pp.26-27 (audited comparative column) - https://fcmbuk.com/wp-content/uploads/2023/09/FCMB-Bank-UK-Limited-Signed-Audited-Accounts-2021.pdf
FY2019: Companies House-filed Annual Report and Financial Statements 2019, printed pp.26-27 (user-supplied primary PDF; deleted after extraction)
FCMB Bank (UK) Limited (company 06621225, FRN 502704) is a UK subsidiary of First City Monument Bank (Nigeria). Does NOT take the FRS 101/102 cash-flow exemption - a full Statement of Cash Flows exists every year. FY2020 is sourced from the FY2021 Annual Report's audited comparative column; FY2019 is sourced from the Companies House-filed statutory accounts supplied for this audit (printed pages 26-29). Each available year's own originally-published figures used throughout - the closing balance of each year ties exactly to the following year's own opening balance across all 5 years.
DATA QUALITY NOTE (FY2024): the FY2025 Annual Report's own FY2024 comparative column shows materially different 'Changes in operating assets and liabilities' line items (and a different Operating/Investing split) than FY2024's own originally-published Annual Report - e.g. 'Net (increase) in loans and advances to banks' is $(42,672,236) in the FY2025 report's comparative vs. $(35,611,527) in FY2024's own report. FY2024's own figures are used throughout (per project convention), and independently confirmed internally consistent (adjustments subtotal $2,243,237 + changes subtotal $4,830,112 = $7,073,349, matching FY2024's own printed operating total exactly). Net cash flow for the year, opening balance, and closing balance are IDENTICAL between both vintages ($(239,325) net change, both years) - only the Operating/Investing section split differs, consistent with a presentational reclassification rather than a change in the Bank's actual cash position. Similarly, FY2021's own report classifies 'Issuance of subordinated liabilities' ($2,000,000) within Operating activities, while later reports' FY2021 comparative reclassifies it into Financing activities - the FY2022 report's own footnote explicitly confirms this deliberate reclassification ('Subordinated liabilities were classified under operating activities in 2021. In 2022, subordinated liabilities have been classified under financing activities for the current year and in the prior year comparatives.'). FY2021's own original classification is used here, per convention.
FX CONVERSION: the Bank's functional and presentational currency is USD. Converted to £ per this project's established methodology: point-in-time/balance figures (capital, RWA, leverage exposure, HQLA, cash balances) use the Bank of England GBP/USD SPOT rate as at that fiscal year-end (31 December); flow figures (every cash flow statement line item) use the AVERAGE of Bank of England rates over that calendar year. Rate table reused from Zenith Bank UK/Union Bank of India UK (same 31 Dec year-end): 31 Dec 2020 spot 1.3661 (FY2021 opening cash only); FY2021 spot 1.3521 / average 1.3752; FY2022 spot 1.2097 / average 1.2362; FY2023 spot 1.2732 / average 1.2439; FY2024 spot 1.2515 / average 1.2782; FY2025 spot 1.3448 / average 1.3193. All % ratios are shown exactly as reported in USD, not converted (dimensionless, currency-invariant). An explicit 'Effect of GBP/USD translation' line reconciles the stock/flow rate mismatch so opening + flows + this line = closing exactly in £ terms; computed programmatically from the actual converted figures, not hardcoded.
BALANCE SHEET RECLASSIFICATION NOTE (FY2024): the FY2025 Annual Report's own FY2024 comparative column shows a different split between 'Loans and advances to banks' ($222,353,776), 'Loans and advances to customers' ($87,181,343) and 'Investment securities' ($192,066,892) than FY2024's own originally-published Annual Report ($215,293,067 / $86,092,409 / $196,761,703 respectively) - the FY2025 report's own Balance Sheet page states 'There has been a re-classification of accrued interest and some investment securities at the prior year-end have been recategorised as a debtor.' Total assets/liabilities/equity are IDENTICAL between both vintages ($521,421,659 total assets, $59,259,637 total equity) - only the asset-line split differs. FY2024's own originally-published figures are used throughout here, per project convention.
ASSET QUALITY RECLASSIFICATION NOTE (FY2024): similarly, the FY2025 report's own FY2024 comparative 'Net carrying value of exposure by risk rating' table shows Stage 1/2/3 splits ($409,617,076 / $6,832,107 / $3,121,198, total $419,570,381) that differ from FY2024's own originally-published note ($404,519,023 / $6,673,411 / $3,121,198, total $414,313,632) - consistent with the same reclassification. FY2024's own originally-published figures are used here too.</t>
        </is>
      </c>
    </row>
    <row r="39" ht="340" customHeight="1">
      <c r="A39" s="8" t="inlineStr">
        <is>
          <t>(continued)
RWA BREAKDOWN NOTE: the Bank's Pillar 3 Disclosures do not publish a UK OV1-style RWA-by-category table directly - only a 'Minimum Capital Requirements' table (8% of own funds requirement, by risk type). RWA by category is CALCULATED as (capital requirement / 8%) for each row, independently cross-checked against the Bank's own disclosed Total RWA/TREA figure (Total RWAs sheet) - the calculated Total Pillar 1 RWA ties to the disclosed TREA within rounding for every year (e.g. FY2025: $29,485k / 8% = $368,563k calculated vs $368,569k disclosed TREA).
INVESTMENT SECURITIES BREAKDOWN: the 'Investment securities - ...' sub-rows below the 'Total investment securities' line are transcribed from Note 15 'Investment securities' of each year's own Notes to the Financial Statements, which splits the balance both by measurement basis (fair value through other comprehensive income (FVOCI) vs fair value through profit or loss (FVTPL) - there is no amortised-cost investment securities balance in any year) and by instrument type (Government Bonds; Bank bonds; HQLA Investments, described in the note as 'high quality liquid assets [that] include US Treasury bills and bonds issued by International Bank of Restructuring and Development (IBRD)' - i.e. a sovereign/supranational mix not broken down further; an allowance for impairment losses against the FVOCI book; and Fund Investments - Government / Fund Investments - Other, both FVTPL): FY2025: Audited Accounts 2025, Note 15, p.62 - https://fcmbuk.com/wp-content/uploads/2026/08/SIGNED-FCMB-Bank-UK-Limited-Audited-Accounts-2025.pdf
FY2024: Audited Accounts 2024, Note 15, p.49 (own-year figures - see reclassification note above; the FY2025 report's own FY2024 comparative column shows different Note 15 sub-figures totalling $192,066,892, consistent with the same reclassification) - https://fcmbuk.com/wp-content/uploads/2025/09/FCMB-Bank-UK-Limited-Audited-Accounts-2024-Signed.pdf
FY2023: Audited Accounts 2023, Note 15, p.51 - https://fcmbuk.com/wp-content/uploads/2024/07/FCMB-Bank-UK-Limited-Audited-Accounts-2023.pdf
FY2022: Annual Report &amp; Financial Statements 2022, Note 15, p.50 - https://fcmbuk.com/wp-content/uploads/2023/09/FCMB-Bank-UK-Limited-Signed-Annual-Report-Financial-Statements-2022.pdf
FY2021: Audited Accounts 2021, Note 15, p.46 - https://fcmbuk.com/wp-content/uploads/2023/09/FCMB-Bank-UK-Limited-Signed-Audited-Accounts-2021.pdf
FY2020: Audited Accounts 2021, Note 15, p.46 (audited comparative column; FY2020 predates the 'HQLA Investments' sub-line introduced from FY2022 onwards, so that FY2020 sub-row is £0) - https://fcmbuk.com/wp-content/uploads/2023/09/FCMB-Bank-UK-Limited-Signed-Audited-Accounts-2021.pdf
FY2019: no breakdown available - the FY2019 Note 15 was not among the pages transcribed from the user-supplied primary PDF (since deleted after extraction), so the FY2019 sub-rows are left blank rather than estimated.
Each year's sub-rows sum exactly to that year's headline 'Total investment securities' line in underlying USD; after this project's independent per-row £'000 FX conversion (each row rounded to 1 decimal place separately) the sub-rows tie to the total within rounding (at most £0.1k) for any given year.</t>
        </is>
      </c>
    </row>
  </sheetData>
  <mergeCells count="2">
    <mergeCell ref="A37:H37"/>
    <mergeCell ref="A39:H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FCMB Bank (UK) Limited — Statement of Comprehensive Income</t>
        </is>
      </c>
    </row>
    <row r="2">
      <c r="A2" s="2" t="inlineStr">
        <is>
          <t>£'000, converted from USD - see source note at bottom for FX methodology and rates used. FY2023/FY2022 OCI shown as a single FVOCI fair value line (not broken into the FY2024/FY2025 3-line split) - matches each year's own disclosure.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Income</t>
        </is>
      </c>
      <c r="B4" s="6" t="n"/>
      <c r="C4" s="6" t="n"/>
      <c r="D4" s="6" t="n"/>
      <c r="E4" s="6" t="n"/>
      <c r="F4" s="6" t="n"/>
      <c r="G4" s="6" t="n"/>
      <c r="H4" s="6" t="n"/>
    </row>
    <row r="5">
      <c r="A5" s="6" t="inlineStr">
        <is>
          <t>Interest and similar income</t>
        </is>
      </c>
      <c r="B5" s="6" t="n">
        <v>25836.1</v>
      </c>
      <c r="C5" s="6" t="n">
        <v>28301.3</v>
      </c>
      <c r="D5" s="6" t="n">
        <v>25487.5</v>
      </c>
      <c r="E5" s="6" t="n">
        <v>15308.3</v>
      </c>
      <c r="F5" s="6" t="n">
        <v>8152</v>
      </c>
      <c r="G5" s="6" t="n">
        <v>7874.1</v>
      </c>
      <c r="H5" s="6" t="n">
        <v>9046.6</v>
      </c>
    </row>
    <row r="6">
      <c r="A6" s="6" t="inlineStr">
        <is>
          <t>Interest and similar expense</t>
        </is>
      </c>
      <c r="B6" s="6" t="n">
        <v>-14079.1</v>
      </c>
      <c r="C6" s="6" t="n">
        <v>-14350</v>
      </c>
      <c r="D6" s="6" t="n">
        <v>-11120</v>
      </c>
      <c r="E6" s="6" t="n">
        <v>-3582.8</v>
      </c>
      <c r="F6" s="6" t="n">
        <v>-2074.6</v>
      </c>
      <c r="G6" s="6" t="n">
        <v>-3813</v>
      </c>
      <c r="H6" s="6" t="n">
        <v>-4376.4</v>
      </c>
    </row>
    <row r="7">
      <c r="A7" s="5" t="inlineStr">
        <is>
          <t>Net interest income</t>
        </is>
      </c>
      <c r="B7" s="5" t="n">
        <v>11757</v>
      </c>
      <c r="C7" s="5" t="n">
        <v>13951.3</v>
      </c>
      <c r="D7" s="5" t="n">
        <v>14367.6</v>
      </c>
      <c r="E7" s="5" t="n">
        <v>11725.6</v>
      </c>
      <c r="F7" s="5" t="n">
        <v>6077.4</v>
      </c>
      <c r="G7" s="5" t="n">
        <v>4061.1</v>
      </c>
      <c r="H7" s="5" t="n">
        <v>4670.2</v>
      </c>
    </row>
    <row r="8">
      <c r="A8" s="6" t="inlineStr">
        <is>
          <t>Fees and commission income</t>
        </is>
      </c>
      <c r="B8" s="6" t="n">
        <v>2045.4</v>
      </c>
      <c r="C8" s="6" t="n">
        <v>1373.6</v>
      </c>
      <c r="D8" s="6" t="n">
        <v>1043</v>
      </c>
      <c r="E8" s="6" t="n">
        <v>1437.3</v>
      </c>
      <c r="F8" s="6" t="n">
        <v>1672.5</v>
      </c>
      <c r="G8" s="6" t="n">
        <v>1758.7</v>
      </c>
      <c r="H8" s="6" t="n"/>
    </row>
    <row r="9">
      <c r="A9" s="6" t="inlineStr">
        <is>
          <t>Fees and commission expense</t>
        </is>
      </c>
      <c r="B9" s="6" t="n">
        <v>-840</v>
      </c>
      <c r="C9" s="6" t="n">
        <v>-633.7</v>
      </c>
      <c r="D9" s="6" t="n">
        <v>-590.7</v>
      </c>
      <c r="E9" s="6" t="n">
        <v>-718.7</v>
      </c>
      <c r="F9" s="6" t="n">
        <v>-558.1</v>
      </c>
      <c r="G9" s="6" t="n">
        <v>-378.8</v>
      </c>
      <c r="H9" s="6" t="n"/>
    </row>
    <row r="10">
      <c r="A10" s="5" t="inlineStr">
        <is>
          <t>Net fee and commission income</t>
        </is>
      </c>
      <c r="B10" s="5" t="n">
        <v>1205.4</v>
      </c>
      <c r="C10" s="5" t="n">
        <v>739.9</v>
      </c>
      <c r="D10" s="5" t="n">
        <v>452.2</v>
      </c>
      <c r="E10" s="5" t="n">
        <v>718.7</v>
      </c>
      <c r="F10" s="5" t="n">
        <v>1114.5</v>
      </c>
      <c r="G10" s="5" t="n">
        <v>1379.9</v>
      </c>
      <c r="H10" s="5" t="n">
        <v>1833.9</v>
      </c>
    </row>
    <row r="11">
      <c r="A11" s="6" t="inlineStr">
        <is>
          <t>Other operating income</t>
        </is>
      </c>
      <c r="B11" s="6" t="n">
        <v>1378.9</v>
      </c>
      <c r="C11" s="6" t="n">
        <v>1727.9</v>
      </c>
      <c r="D11" s="6" t="n">
        <v>3707.2</v>
      </c>
      <c r="E11" s="6" t="n">
        <v>2858.9</v>
      </c>
      <c r="F11" s="6" t="n">
        <v>2198</v>
      </c>
      <c r="G11" s="6" t="n">
        <v>1270.3</v>
      </c>
      <c r="H11" s="6" t="n">
        <v>1018.3</v>
      </c>
    </row>
    <row r="12">
      <c r="A12" s="6" t="inlineStr">
        <is>
          <t>Impairment charges</t>
        </is>
      </c>
      <c r="B12" s="6" t="n">
        <v>-4081</v>
      </c>
      <c r="C12" s="6" t="n">
        <v>-23.4</v>
      </c>
      <c r="D12" s="6" t="n">
        <v>-1443.6</v>
      </c>
      <c r="E12" s="6" t="n">
        <v>-2029.1</v>
      </c>
      <c r="F12" s="6" t="n">
        <v>-56.6</v>
      </c>
      <c r="G12" s="6" t="n">
        <v>-292.2</v>
      </c>
      <c r="H12" s="6" t="n">
        <v>-8.6</v>
      </c>
    </row>
    <row r="13">
      <c r="A13" s="5" t="inlineStr">
        <is>
          <t>Net operating income</t>
        </is>
      </c>
      <c r="B13" s="5" t="n">
        <v>10260.3</v>
      </c>
      <c r="C13" s="5" t="n">
        <v>16395.7</v>
      </c>
      <c r="D13" s="5" t="n">
        <v>17083.4</v>
      </c>
      <c r="E13" s="5" t="n">
        <v>13274.1</v>
      </c>
      <c r="F13" s="5" t="n">
        <v>9333.299999999999</v>
      </c>
      <c r="G13" s="5" t="n">
        <v>6419.1</v>
      </c>
      <c r="H13" s="5" t="n">
        <v>7513.8</v>
      </c>
    </row>
    <row r="14">
      <c r="A14" s="6" t="inlineStr">
        <is>
          <t>Personnel expenses</t>
        </is>
      </c>
      <c r="B14" s="6" t="n">
        <v>-9790.299999999999</v>
      </c>
      <c r="C14" s="6" t="n">
        <v>-8993.299999999999</v>
      </c>
      <c r="D14" s="6" t="n">
        <v>-7947.8</v>
      </c>
      <c r="E14" s="6" t="n">
        <v>-6374.5</v>
      </c>
      <c r="F14" s="6" t="n">
        <v>-4993.7</v>
      </c>
      <c r="G14" s="6" t="n">
        <v>-4516</v>
      </c>
      <c r="H14" s="6" t="n"/>
    </row>
    <row r="15">
      <c r="A15" s="6" t="inlineStr">
        <is>
          <t>Depreciation and amortisation expenses</t>
        </is>
      </c>
      <c r="B15" s="6" t="n">
        <v>-604.3</v>
      </c>
      <c r="C15" s="6" t="n">
        <v>-629.5</v>
      </c>
      <c r="D15" s="6" t="n">
        <v>-540.8</v>
      </c>
      <c r="E15" s="6" t="n">
        <v>-469.2</v>
      </c>
      <c r="F15" s="6" t="n">
        <v>-439.1</v>
      </c>
      <c r="G15" s="6" t="n">
        <v>-466.7</v>
      </c>
      <c r="H15" s="6" t="n"/>
    </row>
    <row r="16">
      <c r="A16" s="6" t="inlineStr">
        <is>
          <t>General and administrative expenses</t>
        </is>
      </c>
      <c r="B16" s="6" t="n">
        <v>-3579.3</v>
      </c>
      <c r="C16" s="6" t="n">
        <v>-4190.4</v>
      </c>
      <c r="D16" s="6" t="n">
        <v>-4058.3</v>
      </c>
      <c r="E16" s="6" t="n">
        <v>-4041.5</v>
      </c>
      <c r="F16" s="6" t="n">
        <v>-2993.8</v>
      </c>
      <c r="G16" s="6" t="n">
        <v>-1680.3</v>
      </c>
      <c r="H16" s="6" t="n"/>
    </row>
    <row r="17">
      <c r="A17" s="6" t="inlineStr">
        <is>
          <t>Other operating expenses</t>
        </is>
      </c>
      <c r="B17" s="6" t="n"/>
      <c r="C17" s="6" t="n"/>
      <c r="D17" s="6" t="n"/>
      <c r="E17" s="6" t="n"/>
      <c r="F17" s="6" t="n">
        <v>-89.3</v>
      </c>
      <c r="G17" s="6" t="n">
        <v>-173.7</v>
      </c>
      <c r="H17" s="6" t="n"/>
    </row>
    <row r="18">
      <c r="A18" s="5" t="inlineStr">
        <is>
          <t>Total operating expenses</t>
        </is>
      </c>
      <c r="B18" s="5" t="n">
        <v>-13973.8</v>
      </c>
      <c r="C18" s="5" t="n">
        <v>-13813.2</v>
      </c>
      <c r="D18" s="5" t="n">
        <v>-12546.9</v>
      </c>
      <c r="E18" s="5" t="n">
        <v>-10885.2</v>
      </c>
      <c r="F18" s="5" t="n">
        <v>-8516</v>
      </c>
      <c r="G18" s="5" t="n">
        <v>-6836.8</v>
      </c>
      <c r="H18" s="5" t="n">
        <v>-6343.3</v>
      </c>
    </row>
    <row r="19">
      <c r="A19" s="5" t="inlineStr">
        <is>
          <t>Profit/(Loss) before tax</t>
        </is>
      </c>
      <c r="B19" s="5" t="n">
        <v>-3713.5</v>
      </c>
      <c r="C19" s="5" t="n">
        <v>2582.6</v>
      </c>
      <c r="D19" s="5" t="n">
        <v>4536.5</v>
      </c>
      <c r="E19" s="5" t="n">
        <v>2388.9</v>
      </c>
      <c r="F19" s="5" t="n">
        <v>817.4</v>
      </c>
      <c r="G19" s="5" t="n">
        <v>-417.6</v>
      </c>
      <c r="H19" s="5" t="n">
        <v>1170.5</v>
      </c>
    </row>
    <row r="20">
      <c r="A20" s="6" t="inlineStr">
        <is>
          <t>Taxation</t>
        </is>
      </c>
      <c r="B20" s="6" t="n">
        <v>926.3</v>
      </c>
      <c r="C20" s="6" t="n">
        <v>-658.1</v>
      </c>
      <c r="D20" s="6" t="n">
        <v>-1075.9</v>
      </c>
      <c r="E20" s="6" t="n">
        <v>-442.8</v>
      </c>
      <c r="F20" s="6" t="n">
        <v>371.9</v>
      </c>
      <c r="G20" s="6" t="n">
        <v>116.3</v>
      </c>
      <c r="H20" s="6" t="n"/>
    </row>
    <row r="21">
      <c r="A21" s="5" t="inlineStr">
        <is>
          <t>Profit/(Loss) for the year</t>
        </is>
      </c>
      <c r="B21" s="5" t="n">
        <v>-2787.1</v>
      </c>
      <c r="C21" s="5" t="n">
        <v>1924.4</v>
      </c>
      <c r="D21" s="5" t="n">
        <v>3460.6</v>
      </c>
      <c r="E21" s="5" t="n">
        <v>1946</v>
      </c>
      <c r="F21" s="5" t="n">
        <v>1189.3</v>
      </c>
      <c r="G21" s="5" t="n">
        <v>-301.3</v>
      </c>
      <c r="H21" s="5" t="n">
        <v>1170.5</v>
      </c>
    </row>
    <row r="22">
      <c r="A22" s="5" t="inlineStr">
        <is>
          <t>Other comprehensive income/(loss)</t>
        </is>
      </c>
      <c r="B22" s="6" t="n"/>
      <c r="C22" s="6" t="n"/>
      <c r="D22" s="6" t="n"/>
      <c r="E22" s="6" t="n"/>
      <c r="F22" s="6" t="n"/>
      <c r="G22" s="6" t="n"/>
      <c r="H22" s="6" t="n"/>
    </row>
    <row r="23">
      <c r="A23" s="6" t="inlineStr">
        <is>
          <t>Net change in fair value of FVOCI investments</t>
        </is>
      </c>
      <c r="B23" s="6" t="n">
        <v>273.5</v>
      </c>
      <c r="C23" s="6" t="n">
        <v>1145.5</v>
      </c>
      <c r="D23" s="6" t="n">
        <v>1493.2</v>
      </c>
      <c r="E23" s="6" t="n">
        <v>-2748.9</v>
      </c>
      <c r="F23" s="6" t="n">
        <v>-261.5</v>
      </c>
      <c r="G23" s="6" t="n">
        <v>201.7</v>
      </c>
      <c r="H23" s="6" t="n"/>
    </row>
    <row r="24">
      <c r="A24" s="6" t="inlineStr">
        <is>
          <t>Net amount reclassified to the income statement</t>
        </is>
      </c>
      <c r="B24" s="6" t="n">
        <v>-737.9</v>
      </c>
      <c r="C24" s="6" t="n">
        <v>824</v>
      </c>
      <c r="D24" s="6" t="n"/>
      <c r="E24" s="6" t="n"/>
      <c r="F24" s="6" t="n"/>
      <c r="G24" s="6" t="n">
        <v>-11.4</v>
      </c>
      <c r="H24" s="6" t="n"/>
    </row>
    <row r="25">
      <c r="A25" s="6" t="inlineStr">
        <is>
          <t>Recycling of ECL / net change in ECL on FVOCI investments</t>
        </is>
      </c>
      <c r="B25" s="6" t="n">
        <v>568.1</v>
      </c>
      <c r="C25" s="6" t="n">
        <v>-791.7</v>
      </c>
      <c r="D25" s="6" t="n"/>
      <c r="E25" s="6" t="n"/>
      <c r="F25" s="6" t="n"/>
      <c r="G25" s="6" t="n"/>
      <c r="H25" s="6" t="n"/>
    </row>
    <row r="26">
      <c r="A26" s="5" t="inlineStr">
        <is>
          <t>Other comprehensive income/(loss), net of tax</t>
        </is>
      </c>
      <c r="B26" s="5" t="n">
        <v>103.7</v>
      </c>
      <c r="C26" s="5" t="n">
        <v>1177.8</v>
      </c>
      <c r="D26" s="5" t="n">
        <v>1493.2</v>
      </c>
      <c r="E26" s="5" t="n">
        <v>-2748.9</v>
      </c>
      <c r="F26" s="5" t="n">
        <v>-261.5</v>
      </c>
      <c r="G26" s="5" t="n">
        <v>190.3</v>
      </c>
      <c r="H26" s="5" t="n"/>
    </row>
    <row r="27">
      <c r="A27" s="5" t="inlineStr">
        <is>
          <t>Total comprehensive income/(loss) for the year</t>
        </is>
      </c>
      <c r="B27" s="5" t="n">
        <v>-2683.4</v>
      </c>
      <c r="C27" s="5" t="n">
        <v>3102.3</v>
      </c>
      <c r="D27" s="5" t="n">
        <v>4953.8</v>
      </c>
      <c r="E27" s="5" t="n">
        <v>-802.9</v>
      </c>
      <c r="F27" s="5" t="n">
        <v>927.7</v>
      </c>
      <c r="G27" s="5" t="n">
        <v>-111</v>
      </c>
      <c r="H27" s="5" t="n"/>
    </row>
    <row r="29" ht="377" customHeight="1">
      <c r="A29" s="8" t="inlineStr">
        <is>
          <t>Sources - FCMB Bank (UK) Limited's own Statement of Financial Position / Statement of Comprehensive Income / Statement of Changes in Equity, from its Companies House-filed Annual Report and Accounts:
FY2025: Audited Accounts 2025, p.40-41 - https://fcmbuk.com/wp-content/uploads/2026/08/SIGNED-FCMB-Bank-UK-Limited-Audited-Accounts-2025.pdf
FY2024: Audited Accounts 2024, p.29-30 (own-year figures - see reclassification note) - https://fcmbuk.com/wp-content/uploads/2025/09/FCMB-Bank-UK-Limited-Audited-Accounts-2024-Signed.pdf
FY2023: Audited Accounts 2023, p.31-32 - https://fcmbuk.com/wp-content/uploads/2024/07/FCMB-Bank-UK-Limited-Audited-Accounts-2023.pdf
FY2022: Annual Report &amp; Financial Statements 2022, p.29-30 - https://fcmbuk.com/wp-content/uploads/2023/09/FCMB-Bank-UK-Limited-Signed-Annual-Report-Financial-Statements-2022.pdf
FY2021: Audited Accounts 2021, p.26-27 - https://fcmbuk.com/wp-content/uploads/2023/09/FCMB-Bank-UK-Limited-Signed-Audited-Accounts-2021.pdf
FY2020: Audited Accounts 2021, pp.26-27 (audited comparative column) - https://fcmbuk.com/wp-content/uploads/2023/09/FCMB-Bank-UK-Limited-Signed-Audited-Accounts-2021.pdf
FY2019: Companies House-filed Annual Report and Financial Statements 2019, printed pp.26-27 (user-supplied primary PDF; deleted after extraction)
FCMB Bank (UK) Limited (company 06621225, FRN 502704) is a UK subsidiary of First City Monument Bank (Nigeria). Does NOT take the FRS 101/102 cash-flow exemption - a full Statement of Cash Flows exists every year. FY2020 is sourced from the FY2021 Annual Report's audited comparative column; FY2019 is sourced from the Companies House-filed statutory accounts supplied for this audit (printed pages 26-29). Each available year's own originally-published figures used throughout - the closing balance of each year ties exactly to the following year's own opening balance across all 5 years.
DATA QUALITY NOTE (FY2024): the FY2025 Annual Report's own FY2024 comparative column shows materially different 'Changes in operating assets and liabilities' line items (and a different Operating/Investing split) than FY2024's own originally-published Annual Report - e.g. 'Net (increase) in loans and advances to banks' is $(42,672,236) in the FY2025 report's comparative vs. $(35,611,527) in FY2024's own report. FY2024's own figures are used throughout (per project convention), and independently confirmed internally consistent (adjustments subtotal $2,243,237 + changes subtotal $4,830,112 = $7,073,349, matching FY2024's own printed operating total exactly). Net cash flow for the year, opening balance, and closing balance are IDENTICAL between both vintages ($(239,325) net change, both years) - only the Operating/Investing section split differs, consistent with a presentational reclassification rather than a change in the Bank's actual cash position. Similarly, FY2021's own report classifies 'Issuance of subordinated liabilities' ($2,000,000) within Operating activities, while later reports' FY2021 comparative reclassifies it into Financing activities - the FY2022 report's own footnote explicitly confirms this deliberate reclassification ('Subordinated liabilities were classified under operating activities in 2021. In 2022, subordinated liabilities have been classified under financing activities for the current year and in the prior year comparatives.'). FY2021's own original classification is used here, per convention.
FX CONVERSION: the Bank's functional and presentational currency is USD. Converted to £ per this project's established methodology: point-in-time/balance figures (capital, RWA, leverage exposure, HQLA, cash balances) use the Bank of England GBP/USD SPOT rate as at that fiscal year-end (31 December); flow figures (every cash flow statement line item) use the AVERAGE of Bank of England rates over that calendar year. Rate table reused from Zenith Bank UK/Union Bank of India UK (same 31 Dec year-end): 31 Dec 2020 spot 1.3661 (FY2021 opening cash only); FY2021 spot 1.3521 / average 1.3752; FY2022 spot 1.2097 / average 1.2362; FY2023 spot 1.2732 / average 1.2439; FY2024 spot 1.2515 / average 1.2782; FY2025 spot 1.3448 / average 1.3193. All % ratios are shown exactly as reported in USD, not converted (dimensionless, currency-invariant). An explicit 'Effect of GBP/USD translation' line reconciles the stock/flow rate mismatch so opening + flows + this line = closing exactly in £ terms; computed programmatically from the actual converted figures, not hardcoded.
BALANCE SHEET RECLASSIFICATION NOTE (FY2024): the FY2025 Annual Report's own FY2024 comparative column shows a different split between 'Loans and advances to banks' ($222,353,776), 'Loans and advances to customers' ($87,181,343) and 'Investment securities' ($192,066,892) than FY2024's own originally-published Annual Report ($215,293,067 / $86,092,409 / $196,761,703 respectively) - the FY2025 report's own Balance Sheet page states 'There has been a re-classification of accrued interest and some investment securities at the prior year-end have been recategorised as a debtor.' Total assets/liabilities/equity are IDENTICAL between both vintages ($521,421,659 total assets, $59,259,637 total equity) - only the asset-line split differs. FY2024's own originally-published figures are used throughout here, per project convention.
ASSET QUALITY RECLASSIFICATION NOTE (FY2024): similarly, the FY2025 report's own FY2024 comparative 'Net carrying value of exposure by risk rating' table shows Stage 1/2/3 splits ($409,617,076 / $6,832,107 / $3,121,198, total $419,570,381) that differ from FY2024's own originally-published note ($404,519,023 / $6,673,411 / $3,121,198, total $414,313,632) - consistent with the same reclassification. FY2024's own originally-published figures are used here too.</t>
        </is>
      </c>
    </row>
    <row r="31" ht="340" customHeight="1">
      <c r="A31" s="8" t="inlineStr">
        <is>
          <t>(continued)
RWA BREAKDOWN NOTE: the Bank's Pillar 3 Disclosures do not publish a UK OV1-style RWA-by-category table directly - only a 'Minimum Capital Requirements' table (8% of own funds requirement, by risk type). RWA by category is CALCULATED as (capital requirement / 8%) for each row, independently cross-checked against the Bank's own disclosed Total RWA/TREA figure (Total RWAs sheet) - the calculated Total Pillar 1 RWA ties to the disclosed TREA within rounding for every year (e.g. FY2025: $29,485k / 8% = $368,563k calculated vs $368,569k disclosed TREA).
INVESTMENT SECURITIES BREAKDOWN: the 'Investment securities - ...' sub-rows below the 'Total investment securities' line are transcribed from Note 15 'Investment securities' of each year's own Notes to the Financial Statements, which splits the balance both by measurement basis (fair value through other comprehensive income (FVOCI) vs fair value through profit or loss (FVTPL) - there is no amortised-cost investment securities balance in any year) and by instrument type (Government Bonds; Bank bonds; HQLA Investments, described in the note as 'high quality liquid assets [that] include US Treasury bills and bonds issued by International Bank of Restructuring and Development (IBRD)' - i.e. a sovereign/supranational mix not broken down further; an allowance for impairment losses against the FVOCI book; and Fund Investments - Government / Fund Investments - Other, both FVTPL): FY2025: Audited Accounts 2025, Note 15, p.62 - https://fcmbuk.com/wp-content/uploads/2026/08/SIGNED-FCMB-Bank-UK-Limited-Audited-Accounts-2025.pdf
FY2024: Audited Accounts 2024, Note 15, p.49 (own-year figures - see reclassification note above; the FY2025 report's own FY2024 comparative column shows different Note 15 sub-figures totalling $192,066,892, consistent with the same reclassification) - https://fcmbuk.com/wp-content/uploads/2025/09/FCMB-Bank-UK-Limited-Audited-Accounts-2024-Signed.pdf
FY2023: Audited Accounts 2023, Note 15, p.51 - https://fcmbuk.com/wp-content/uploads/2024/07/FCMB-Bank-UK-Limited-Audited-Accounts-2023.pdf
FY2022: Annual Report &amp; Financial Statements 2022, Note 15, p.50 - https://fcmbuk.com/wp-content/uploads/2023/09/FCMB-Bank-UK-Limited-Signed-Annual-Report-Financial-Statements-2022.pdf
FY2021: Audited Accounts 2021, Note 15, p.46 - https://fcmbuk.com/wp-content/uploads/2023/09/FCMB-Bank-UK-Limited-Signed-Audited-Accounts-2021.pdf
FY2020: Audited Accounts 2021, Note 15, p.46 (audited comparative column; FY2020 predates the 'HQLA Investments' sub-line introduced from FY2022 onwards, so that FY2020 sub-row is £0) - https://fcmbuk.com/wp-content/uploads/2023/09/FCMB-Bank-UK-Limited-Signed-Audited-Accounts-2021.pdf
FY2019: no breakdown available - the FY2019 Note 15 was not among the pages transcribed from the user-supplied primary PDF (since deleted after extraction), so the FY2019 sub-rows are left blank rather than estimated.
Each year's sub-rows sum exactly to that year's headline 'Total investment securities' line in underlying USD; after this project's independent per-row £'000 FX conversion (each row rounded to 1 decimal place separately) the sub-rows tie to the total within rounding (at most £0.1k) for any given year.</t>
        </is>
      </c>
    </row>
  </sheetData>
  <mergeCells count="2">
    <mergeCell ref="A31:H31"/>
    <mergeCell ref="A29:H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8"/>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s>
  <sheetData>
    <row r="1">
      <c r="A1" s="1" t="inlineStr">
        <is>
          <t>FCMB Bank (UK) Limited — Statement of Changes in Equity</t>
        </is>
      </c>
    </row>
    <row r="2">
      <c r="A2" s="2" t="inlineStr">
        <is>
          <t>£'000, converted from USD - chronological, oldest to newest. See source note for FX methodology.</t>
        </is>
      </c>
    </row>
    <row r="3">
      <c r="A3" s="4" t="inlineStr">
        <is>
          <t>Movement</t>
        </is>
      </c>
      <c r="B3" s="4" t="inlineStr">
        <is>
          <t>Issued capital</t>
        </is>
      </c>
      <c r="C3" s="4" t="inlineStr">
        <is>
          <t>Retained earnings</t>
        </is>
      </c>
      <c r="D3" s="4" t="inlineStr">
        <is>
          <t>Other reserves</t>
        </is>
      </c>
      <c r="E3" s="4" t="inlineStr">
        <is>
          <t>Total equity</t>
        </is>
      </c>
    </row>
    <row r="4">
      <c r="A4" s="5" t="inlineStr">
        <is>
          <t>At 1 January 2019</t>
        </is>
      </c>
      <c r="B4" s="5" t="n">
        <v>38253.9</v>
      </c>
      <c r="C4" s="5" t="n">
        <v>-5022.7</v>
      </c>
      <c r="D4" s="5" t="n">
        <v>31.5</v>
      </c>
      <c r="E4" s="5" t="n">
        <v>33270.6</v>
      </c>
    </row>
    <row r="5">
      <c r="A5" s="6" t="inlineStr">
        <is>
          <t>Profit for the year (FY2019)</t>
        </is>
      </c>
      <c r="B5" s="6" t="n"/>
      <c r="C5" s="6" t="n">
        <v>1170.5</v>
      </c>
      <c r="D5" s="6" t="n"/>
      <c r="E5" s="6" t="n">
        <v>1170.5</v>
      </c>
    </row>
    <row r="6">
      <c r="A6" s="6" t="inlineStr">
        <is>
          <t>Other comprehensive income (FY2019)</t>
        </is>
      </c>
      <c r="B6" s="6" t="n"/>
      <c r="C6" s="6" t="n"/>
      <c r="D6" s="6" t="n">
        <v>-20</v>
      </c>
      <c r="E6" s="6" t="n">
        <v>-20</v>
      </c>
    </row>
    <row r="7">
      <c r="A7" s="5" t="inlineStr">
        <is>
          <t>Total comprehensive income (FY2019)</t>
        </is>
      </c>
      <c r="B7" s="5" t="n"/>
      <c r="C7" s="5" t="n">
        <v>1170.5</v>
      </c>
      <c r="D7" s="5" t="n">
        <v>-20</v>
      </c>
      <c r="E7" s="5" t="n">
        <v>1150.5</v>
      </c>
    </row>
    <row r="8">
      <c r="A8" s="6" t="inlineStr">
        <is>
          <t>FX translation effect on equity, net (FY2019)</t>
        </is>
      </c>
      <c r="B8" s="6" t="n"/>
      <c r="C8" s="6" t="n"/>
      <c r="D8" s="6" t="n"/>
      <c r="E8" s="6" t="n">
        <v>-1101.7</v>
      </c>
    </row>
    <row r="9">
      <c r="A9" s="5" t="inlineStr">
        <is>
          <t>At 31 December 2019</t>
        </is>
      </c>
      <c r="B9" s="5" t="n">
        <v>37037</v>
      </c>
      <c r="C9" s="5" t="n">
        <v>-3729</v>
      </c>
      <c r="D9" s="5" t="n">
        <v>11.1</v>
      </c>
      <c r="E9" s="5" t="n">
        <v>33319.4</v>
      </c>
    </row>
    <row r="10">
      <c r="A10" s="5" t="inlineStr">
        <is>
          <t>At 1 January 2020</t>
        </is>
      </c>
      <c r="B10" s="5" t="n">
        <v>35795.3</v>
      </c>
      <c r="C10" s="5" t="n">
        <v>-3603.8</v>
      </c>
      <c r="D10" s="5" t="n">
        <v>10.8</v>
      </c>
      <c r="E10" s="5" t="n">
        <v>32202.3</v>
      </c>
    </row>
    <row r="11">
      <c r="A11" s="6" t="inlineStr">
        <is>
          <t>Loss for the year (FY2020)</t>
        </is>
      </c>
      <c r="B11" s="6" t="n"/>
      <c r="C11" s="6" t="n">
        <v>-301.3</v>
      </c>
      <c r="D11" s="6" t="n"/>
      <c r="E11" s="6" t="n">
        <v>-301.3</v>
      </c>
    </row>
    <row r="12">
      <c r="A12" s="6" t="inlineStr">
        <is>
          <t>Other comprehensive income (FY2020)</t>
        </is>
      </c>
      <c r="B12" s="6" t="n"/>
      <c r="C12" s="6" t="n"/>
      <c r="D12" s="6" t="n">
        <v>190.3</v>
      </c>
      <c r="E12" s="6" t="n">
        <v>190.3</v>
      </c>
    </row>
    <row r="13">
      <c r="A13" s="5" t="inlineStr">
        <is>
          <t>Total comprehensive loss (FY2020)</t>
        </is>
      </c>
      <c r="B13" s="5" t="n"/>
      <c r="C13" s="5" t="n">
        <v>-301.3</v>
      </c>
      <c r="D13" s="5" t="n">
        <v>190.3</v>
      </c>
      <c r="E13" s="5" t="n">
        <v>-111</v>
      </c>
    </row>
    <row r="14">
      <c r="A14" s="6" t="inlineStr">
        <is>
          <t>FX translation effect on equity, net (FY2020)</t>
        </is>
      </c>
      <c r="B14" s="6" t="n"/>
      <c r="C14" s="6" t="n"/>
      <c r="D14" s="6" t="n"/>
      <c r="E14" s="6" t="n">
        <v>6.7</v>
      </c>
    </row>
    <row r="15">
      <c r="A15" s="5" t="inlineStr">
        <is>
          <t>At 31 December 2020</t>
        </is>
      </c>
      <c r="B15" s="5" t="n">
        <v>35795.3</v>
      </c>
      <c r="C15" s="5" t="n">
        <v>-3886.9</v>
      </c>
      <c r="D15" s="5" t="n">
        <v>189.6</v>
      </c>
      <c r="E15" s="5" t="n">
        <v>32098</v>
      </c>
    </row>
    <row r="16">
      <c r="A16" s="5" t="inlineStr">
        <is>
          <t>At 1 January 2021</t>
        </is>
      </c>
      <c r="B16" s="5" t="n">
        <v>35795.3</v>
      </c>
      <c r="C16" s="5" t="n">
        <v>-3886.9</v>
      </c>
      <c r="D16" s="5" t="n">
        <v>189.6</v>
      </c>
      <c r="E16" s="5" t="n">
        <v>32098</v>
      </c>
    </row>
    <row r="17">
      <c r="A17" s="6" t="inlineStr">
        <is>
          <t>Profit for the year (FY2021)</t>
        </is>
      </c>
      <c r="B17" s="6" t="n"/>
      <c r="C17" s="6" t="n">
        <v>1189.3</v>
      </c>
      <c r="D17" s="6" t="n"/>
      <c r="E17" s="6" t="n">
        <v>1189.3</v>
      </c>
    </row>
    <row r="18">
      <c r="A18" s="6" t="inlineStr">
        <is>
          <t>Other comprehensive income (FY2021)</t>
        </is>
      </c>
      <c r="B18" s="6" t="n"/>
      <c r="C18" s="6" t="n"/>
      <c r="D18" s="6" t="n">
        <v>-261.5</v>
      </c>
      <c r="E18" s="6" t="n">
        <v>-261.5</v>
      </c>
    </row>
    <row r="19">
      <c r="A19" s="5" t="inlineStr">
        <is>
          <t>Total comprehensive income (FY2021)</t>
        </is>
      </c>
      <c r="B19" s="5" t="n"/>
      <c r="C19" s="5" t="n">
        <v>1189.3</v>
      </c>
      <c r="D19" s="5" t="n">
        <v>-261.5</v>
      </c>
      <c r="E19" s="5" t="n">
        <v>927.7</v>
      </c>
    </row>
    <row r="20">
      <c r="A20" s="6" t="inlineStr">
        <is>
          <t>FX translation effect on equity, net (FY2021)</t>
        </is>
      </c>
      <c r="B20" s="6" t="n"/>
      <c r="C20" s="6" t="n"/>
      <c r="D20" s="6" t="n"/>
      <c r="E20" s="6" t="n">
        <v>348.1</v>
      </c>
    </row>
    <row r="21">
      <c r="A21" s="5" t="inlineStr">
        <is>
          <t>At 31 December 2021</t>
        </is>
      </c>
      <c r="B21" s="5" t="n">
        <v>36166</v>
      </c>
      <c r="C21" s="5" t="n">
        <v>-2717.6</v>
      </c>
      <c r="D21" s="5" t="n">
        <v>-74.5</v>
      </c>
      <c r="E21" s="5" t="n">
        <v>33373.9</v>
      </c>
    </row>
    <row r="22">
      <c r="A22" s="6" t="inlineStr">
        <is>
          <t>Profit for the year (FY2022)</t>
        </is>
      </c>
      <c r="B22" s="6" t="n"/>
      <c r="C22" s="6" t="n">
        <v>1946</v>
      </c>
      <c r="D22" s="6" t="n"/>
      <c r="E22" s="6" t="n">
        <v>1946</v>
      </c>
    </row>
    <row r="23">
      <c r="A23" s="6" t="inlineStr">
        <is>
          <t>Other comprehensive loss (FY2022)</t>
        </is>
      </c>
      <c r="B23" s="6" t="n"/>
      <c r="C23" s="6" t="n"/>
      <c r="D23" s="6" t="n">
        <v>-2748.9</v>
      </c>
      <c r="E23" s="6" t="n">
        <v>-2748.9</v>
      </c>
    </row>
    <row r="24">
      <c r="A24" s="5" t="inlineStr">
        <is>
          <t>Total comprehensive income/(loss) (FY2022)</t>
        </is>
      </c>
      <c r="B24" s="5" t="n"/>
      <c r="C24" s="5" t="n">
        <v>1946</v>
      </c>
      <c r="D24" s="5" t="n">
        <v>-2748.9</v>
      </c>
      <c r="E24" s="5" t="n">
        <v>-802.9</v>
      </c>
    </row>
    <row r="25">
      <c r="A25" s="6" t="inlineStr">
        <is>
          <t>FX translation effect on equity, net (FY2022)</t>
        </is>
      </c>
      <c r="B25" s="6" t="n"/>
      <c r="C25" s="6" t="n"/>
      <c r="D25" s="6" t="n"/>
      <c r="E25" s="6" t="n">
        <v>3911</v>
      </c>
    </row>
    <row r="26">
      <c r="A26" s="5" t="inlineStr">
        <is>
          <t>At 31 December 2022</t>
        </is>
      </c>
      <c r="B26" s="5" t="n">
        <v>40423.2</v>
      </c>
      <c r="C26" s="5" t="n">
        <v>-1048.8</v>
      </c>
      <c r="D26" s="5" t="n">
        <v>-2892.4</v>
      </c>
      <c r="E26" s="5" t="n">
        <v>36482</v>
      </c>
    </row>
    <row r="27">
      <c r="A27" s="6" t="inlineStr">
        <is>
          <t>Profit for the year (FY2023)</t>
        </is>
      </c>
      <c r="B27" s="6" t="n"/>
      <c r="C27" s="6" t="n">
        <v>3460.6</v>
      </c>
      <c r="D27" s="6" t="n"/>
      <c r="E27" s="6" t="n">
        <v>3460.6</v>
      </c>
    </row>
    <row r="28">
      <c r="A28" s="6" t="inlineStr">
        <is>
          <t>Other comprehensive income (FY2023)</t>
        </is>
      </c>
      <c r="B28" s="6" t="n"/>
      <c r="C28" s="6" t="n"/>
      <c r="D28" s="6" t="n">
        <v>1493.2</v>
      </c>
      <c r="E28" s="6" t="n">
        <v>1493.2</v>
      </c>
    </row>
    <row r="29">
      <c r="A29" s="5" t="inlineStr">
        <is>
          <t>Total comprehensive income (FY2023)</t>
        </is>
      </c>
      <c r="B29" s="5" t="n"/>
      <c r="C29" s="5" t="n">
        <v>3460.6</v>
      </c>
      <c r="D29" s="5" t="n">
        <v>1493.2</v>
      </c>
      <c r="E29" s="5" t="n">
        <v>4953.8</v>
      </c>
    </row>
    <row r="30">
      <c r="A30" s="6" t="inlineStr">
        <is>
          <t>Proceeds from shares issued (FY2023)</t>
        </is>
      </c>
      <c r="B30" s="6" t="n">
        <v>4019.6</v>
      </c>
      <c r="C30" s="6" t="n"/>
      <c r="D30" s="6" t="n"/>
      <c r="E30" s="6" t="n">
        <v>4019.6</v>
      </c>
    </row>
    <row r="31">
      <c r="A31" s="6" t="inlineStr">
        <is>
          <t>FX translation effect on equity, net (FY2023)</t>
        </is>
      </c>
      <c r="B31" s="6" t="n"/>
      <c r="C31" s="6" t="n"/>
      <c r="D31" s="6" t="n"/>
      <c r="E31" s="6" t="n">
        <v>-2026</v>
      </c>
    </row>
    <row r="32">
      <c r="A32" s="5" t="inlineStr">
        <is>
          <t>At 31 December 2023</t>
        </is>
      </c>
      <c r="B32" s="5" t="n">
        <v>42334.3</v>
      </c>
      <c r="C32" s="5" t="n">
        <v>2384.5</v>
      </c>
      <c r="D32" s="5" t="n">
        <v>-1289.3</v>
      </c>
      <c r="E32" s="5" t="n">
        <v>43429.4</v>
      </c>
    </row>
    <row r="33">
      <c r="A33" s="6" t="inlineStr">
        <is>
          <t>Profit for the year (FY2024)</t>
        </is>
      </c>
      <c r="B33" s="6" t="n"/>
      <c r="C33" s="6" t="n">
        <v>1924.4</v>
      </c>
      <c r="D33" s="6" t="n"/>
      <c r="E33" s="6" t="n">
        <v>1924.4</v>
      </c>
    </row>
    <row r="34">
      <c r="A34" s="6" t="inlineStr">
        <is>
          <t>Other comprehensive income (FY2024)</t>
        </is>
      </c>
      <c r="B34" s="6" t="n"/>
      <c r="C34" s="6" t="n"/>
      <c r="D34" s="6" t="n">
        <v>1177.8</v>
      </c>
      <c r="E34" s="6" t="n">
        <v>1177.8</v>
      </c>
    </row>
    <row r="35">
      <c r="A35" s="5" t="inlineStr">
        <is>
          <t>Total comprehensive income (FY2024)</t>
        </is>
      </c>
      <c r="B35" s="5" t="n"/>
      <c r="C35" s="5" t="n">
        <v>1924.4</v>
      </c>
      <c r="D35" s="5" t="n">
        <v>1177.8</v>
      </c>
      <c r="E35" s="5" t="n">
        <v>3102.3</v>
      </c>
    </row>
    <row r="36">
      <c r="A36" s="6" t="inlineStr">
        <is>
          <t>FX translation effect on equity, net (FY2024)</t>
        </is>
      </c>
      <c r="B36" s="6" t="n"/>
      <c r="C36" s="6" t="n"/>
      <c r="D36" s="6" t="n"/>
      <c r="E36" s="6" t="n">
        <v>819.3</v>
      </c>
    </row>
    <row r="37">
      <c r="A37" s="5" t="inlineStr">
        <is>
          <t>At 31 December 2024</t>
        </is>
      </c>
      <c r="B37" s="5" t="n">
        <v>43068.3</v>
      </c>
      <c r="C37" s="5" t="n">
        <v>4391.3</v>
      </c>
      <c r="D37" s="5" t="n">
        <v>-108.7</v>
      </c>
      <c r="E37" s="5" t="n">
        <v>47350.9</v>
      </c>
    </row>
    <row r="38">
      <c r="A38" s="6" t="inlineStr">
        <is>
          <t>Loss for the year (FY2025)</t>
        </is>
      </c>
      <c r="B38" s="6" t="n"/>
      <c r="C38" s="6" t="n">
        <v>-2787.1</v>
      </c>
      <c r="D38" s="6" t="n"/>
      <c r="E38" s="6" t="n">
        <v>-2787.1</v>
      </c>
    </row>
    <row r="39">
      <c r="A39" s="6" t="inlineStr">
        <is>
          <t>Other comprehensive income (FY2025)</t>
        </is>
      </c>
      <c r="B39" s="6" t="n"/>
      <c r="C39" s="6" t="n"/>
      <c r="D39" s="6" t="n">
        <v>103.7</v>
      </c>
      <c r="E39" s="6" t="n">
        <v>103.7</v>
      </c>
    </row>
    <row r="40">
      <c r="A40" s="5" t="inlineStr">
        <is>
          <t>Total comprehensive income/(loss) (FY2025)</t>
        </is>
      </c>
      <c r="B40" s="5" t="n"/>
      <c r="C40" s="5" t="n">
        <v>-2787.1</v>
      </c>
      <c r="D40" s="5" t="n">
        <v>103.7</v>
      </c>
      <c r="E40" s="5" t="n">
        <v>-2683.4</v>
      </c>
    </row>
    <row r="41">
      <c r="A41" s="6" t="inlineStr">
        <is>
          <t>FX translation effect on equity, net (FY2025)</t>
        </is>
      </c>
      <c r="B41" s="6" t="n"/>
      <c r="C41" s="6" t="n"/>
      <c r="D41" s="6" t="n"/>
      <c r="E41" s="6" t="n">
        <v>-3234.3</v>
      </c>
    </row>
    <row r="42">
      <c r="A42" s="5" t="inlineStr">
        <is>
          <t>At 31 December 2025</t>
        </is>
      </c>
      <c r="B42" s="5" t="n">
        <v>40080.3</v>
      </c>
      <c r="C42" s="5" t="n">
        <v>1352.4</v>
      </c>
      <c r="D42" s="5" t="n">
        <v>0.5</v>
      </c>
      <c r="E42" s="5" t="n">
        <v>41433.2</v>
      </c>
    </row>
    <row r="44" ht="340" customHeight="1">
      <c r="A44" s="8" t="inlineStr">
        <is>
          <t>Sources - FCMB Bank (UK) Limited's own Statement of Financial Position / Statement of Comprehensive Income / Statement of Changes in Equity, from its Companies House-filed Annual Report and Accounts:
FY2025: Audited Accounts 2025, p.40-41 - https://fcmbuk.com/wp-content/uploads/2026/08/SIGNED-FCMB-Bank-UK-Limited-Audited-Accounts-2025.pdf
FY2024: Audited Accounts 2024, p.29-30 (own-year figures - see reclassification note) - https://fcmbuk.com/wp-content/uploads/2025/09/FCMB-Bank-UK-Limited-Audited-Accounts-2024-Signed.pdf
FY2023: Audited Accounts 2023, p.31-32 - https://fcmbuk.com/wp-content/uploads/2024/07/FCMB-Bank-UK-Limited-Audited-Accounts-2023.pdf
FY2022: Annual Report &amp; Financial Statements 2022, p.29-30 - https://fcmbuk.com/wp-content/uploads/2023/09/FCMB-Bank-UK-Limited-Signed-Annual-Report-Financial-Statements-2022.pdf
FY2021: Audited Accounts 2021, p.26-27 - https://fcmbuk.com/wp-content/uploads/2023/09/FCMB-Bank-UK-Limited-Signed-Audited-Accounts-2021.pdf
FY2020: Audited Accounts 2021, pp.26-27 (audited comparative column) - https://fcmbuk.com/wp-content/uploads/2023/09/FCMB-Bank-UK-Limited-Signed-Audited-Accounts-2021.pdf
FY2019: Companies House-filed Annual Report and Financial Statements 2019, printed pp.26-27 (user-supplied primary PDF; deleted after extraction)
FCMB Bank (UK) Limited (company 06621225, FRN 502704) is a UK subsidiary of First City Monument Bank (Nigeria). Does NOT take the FRS 101/102 cash-flow exemption - a full Statement of Cash Flows exists every year. FY2020 is sourced from the FY2021 Annual Report's audited comparative column; FY2019 is sourced from the Companies House-filed statutory accounts supplied for this audit (printed pages 26-29). Each available year's own originally-published figures used throughout - the closing balance of each year ties exactly to the following year's own opening balance across all 5 years.
DATA QUALITY NOTE (FY2024): the FY2025 Annual Report's own FY2024 comparative column shows materially different 'Changes in operating assets and liabilities' line items (and a different Operating/Investing split) than FY2024's own originally-published Annual Report - e.g. 'Net (increase) in loans and advances to banks' is $(42,672,236) in the FY2025 report's comparative vs. $(35,611,527) in FY2024's own report. FY2024's own figures are used throughout (per project convention), and independently confirmed internally consistent (adjustments subtotal $2,243,237 + changes subtotal $4,830,112 = $7,073,349, matching FY2024's own printed operating total exactly). Net cash flow for the year, opening balance, and closing balance are IDENTICAL between both vintages ($(239,325) net change, both years) - only the Operating/Investing section split differs, consistent with a presentational reclassification rather than a change in the Bank's actual cash position. Similarly, FY2021's own report classifies 'Issuance of subordinated liabilities' ($2,000,000) within Operating activities, while later reports' FY2021 comparative reclassifies it into Financing activities - the FY2022 report's own footnote explicitly confirms this deliberate reclassification ('Subordinated liabilities were classified under operating activities in 2021. In 2022, subordinated liabilities have been classified under financing activities for the current year and in the prior year comparatives.'). FY2021's own original classification is used here, per convention.</t>
        </is>
      </c>
    </row>
    <row r="46" ht="403" customHeight="1">
      <c r="A46" s="8" t="inlineStr">
        <is>
          <t>(continued)
FX CONVERSION: the Bank's functional and presentational currency is USD. Converted to £ per this project's established methodology: point-in-time/balance figures (capital, RWA, leverage exposure, HQLA, cash balances) use the Bank of England GBP/USD SPOT rate as at that fiscal year-end (31 December); flow figures (every cash flow statement line item) use the AVERAGE of Bank of England rates over that calendar year. Rate table reused from Zenith Bank UK/Union Bank of India UK (same 31 Dec year-end): 31 Dec 2020 spot 1.3661 (FY2021 opening cash only); FY2021 spot 1.3521 / average 1.3752; FY2022 spot 1.2097 / average 1.2362; FY2023 spot 1.2732 / average 1.2439; FY2024 spot 1.2515 / average 1.2782; FY2025 spot 1.3448 / average 1.3193. All % ratios are shown exactly as reported in USD, not converted (dimensionless, currency-invariant). An explicit 'Effect of GBP/USD translation' line reconciles the stock/flow rate mismatch so opening + flows + this line = closing exactly in £ terms; computed programmatically from the actual converted figures, not hardcoded.
BALANCE SHEET RECLASSIFICATION NOTE (FY2024): the FY2025 Annual Report's own FY2024 comparative column shows a different split between 'Loans and advances to banks' ($222,353,776), 'Loans and advances to customers' ($87,181,343) and 'Investment securities' ($192,066,892) than FY2024's own originally-published Annual Report ($215,293,067 / $86,092,409 / $196,761,703 respectively) - the FY2025 report's own Balance Sheet page states 'There has been a re-classification of accrued interest and some investment securities at the prior year-end have been recategorised as a debtor.' Total assets/liabilities/equity are IDENTICAL between both vintages ($521,421,659 total assets, $59,259,637 total equity) - only the asset-line split differs. FY2024's own originally-published figures are used throughout here, per project convention.
ASSET QUALITY RECLASSIFICATION NOTE (FY2024): similarly, the FY2025 report's own FY2024 comparative 'Net carrying value of exposure by risk rating' table shows Stage 1/2/3 splits ($409,617,076 / $6,832,107 / $3,121,198, total $419,570,381) that differ from FY2024's own originally-published note ($404,519,023 / $6,673,411 / $3,121,198, total $414,313,632) - consistent with the same reclassification. FY2024's own originally-published figures are used here too.
RWA BREAKDOWN NOTE: the Bank's Pillar 3 Disclosures do not publish a UK OV1-style RWA-by-category table directly - only a 'Minimum Capital Requirements' table (8% of own funds requirement, by risk type). RWA by category is CALCULATED as (capital requirement / 8%) for each row, independently cross-checked against the Bank's own disclosed Total RWA/TREA figure (Total RWAs sheet) - the calculated Total Pillar 1 RWA ties to the disclosed TREA within rounding for every year (e.g. FY2025: $29,485k / 8% = $368,563k calculated vs $368,569k disclosed TREA).
INVESTMENT SECURITIES BREAKDOWN: the 'Investment securities - ...' sub-rows below the 'Total investment securities' line are transcribed from Note 15 'Investment securities' of each year's own Notes to the Financial Statements, which splits the balance both by measurement basis (fair value through other comprehensive income (FVOCI) vs fair value through profit or loss (FVTPL) - there is no amortised-cost investment securities balance in any year) and by instrument type (Government Bonds; Bank bonds; HQLA Investments, described in the note as 'high quality liquid assets [that] include US Treasury bills and bonds issued by International Bank of Restructuring and Development (IBRD)' - i.e. a sovereign/supranational mix not broken down further; an allowance for impairment losses against the FVOCI book; and Fund Investments - Government / Fund Investments - Other, both FVTPL): FY2025: Audited Accounts 2025, Note 15, p.62 - https://fcmbuk.com/wp-content/uploads/2026/08/SIGNED-FCMB-Bank-UK-Limited-Audited-Accounts-2025.pdf
FY2024: Audited Accounts 2024, Note 15, p.49 (own-year figures - see reclassification note above; the FY2025 report's own FY2024 comparative column shows different Note 15 sub-figures totalling $192,066,892, consistent with the same reclassification) - https://fcmbuk.com/wp-content/uploads/2025/09/FCMB-Bank-UK-Limited-Audited-Accounts-2024-Signed.pdf</t>
        </is>
      </c>
    </row>
    <row r="48" ht="340" customHeight="1">
      <c r="A48" s="8" t="inlineStr">
        <is>
          <t>(continued)
FY2023: Audited Accounts 2023, Note 15, p.51 - https://fcmbuk.com/wp-content/uploads/2024/07/FCMB-Bank-UK-Limited-Audited-Accounts-2023.pdf
FY2022: Annual Report &amp; Financial Statements 2022, Note 15, p.50 - https://fcmbuk.com/wp-content/uploads/2023/09/FCMB-Bank-UK-Limited-Signed-Annual-Report-Financial-Statements-2022.pdf
FY2021: Audited Accounts 2021, Note 15, p.46 - https://fcmbuk.com/wp-content/uploads/2023/09/FCMB-Bank-UK-Limited-Signed-Audited-Accounts-2021.pdf
FY2020: Audited Accounts 2021, Note 15, p.46 (audited comparative column; FY2020 predates the 'HQLA Investments' sub-line introduced from FY2022 onwards, so that FY2020 sub-row is £0) - https://fcmbuk.com/wp-content/uploads/2023/09/FCMB-Bank-UK-Limited-Signed-Audited-Accounts-2021.pdf
FY2019: no breakdown available - the FY2019 Note 15 was not among the pages transcribed from the user-supplied primary PDF (since deleted after extraction), so the FY2019 sub-rows are left blank rather than estimated.
Each year's sub-rows sum exactly to that year's headline 'Total investment securities' line in underlying USD; after this project's independent per-row £'000 FX conversion (each row rounded to 1 decimal place separately) the sub-rows tie to the total within rounding (at most £0.1k) for any given year.
FX METHODOLOGY FOR THIS SHEET: opening balances converted at the prior year-end's spot rate, movement lines at that year's average rate, closing balances at that year-end's spot rate - the same convention used throughout this workbook. Converting stocks and flows at different rates within one year means the roll-forward doesn't tie exactly in GBP even though it ties exactly in USD (independently verified against each year's own source table before conversion) - an explicit 'FX translation effect on equity, net' row (Total column only, computed as the balancing figure) is included each year, same treatment as this entity's own Cash Flow Statement's 'Effect of GBP/USD translation' line.</t>
        </is>
      </c>
    </row>
  </sheetData>
  <mergeCells count="3">
    <mergeCell ref="A44:E44"/>
    <mergeCell ref="A46:E46"/>
    <mergeCell ref="A48:E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5"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FCMB Bank (UK) Limited — Statement of Cash Flows</t>
        </is>
      </c>
    </row>
    <row r="2">
      <c r="A2" s="2" t="inlineStr">
        <is>
          <t>£'000, converted from USD - see source note at bottom for FX methodology and rates used.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row>
    <row r="4">
      <c r="A4" s="5" t="inlineStr">
        <is>
          <t>Operating activities</t>
        </is>
      </c>
      <c r="B4" s="6" t="n"/>
      <c r="C4" s="6" t="n"/>
      <c r="D4" s="6" t="n"/>
      <c r="E4" s="6" t="n"/>
      <c r="F4" s="6" t="n"/>
      <c r="G4" s="6" t="n"/>
      <c r="H4" s="6" t="n"/>
    </row>
    <row r="5">
      <c r="A5" s="6" t="inlineStr">
        <is>
          <t>Profit/(Loss) before tax for the year</t>
        </is>
      </c>
      <c r="B5" s="6" t="n">
        <v>-3713.5</v>
      </c>
      <c r="C5" s="6" t="n">
        <v>2582.6</v>
      </c>
      <c r="D5" s="6" t="n">
        <v>4536.5</v>
      </c>
      <c r="E5" s="6" t="n">
        <v>2388.9</v>
      </c>
      <c r="F5" s="6" t="n">
        <v>817.4</v>
      </c>
      <c r="G5" s="6" t="n">
        <v>-417.6</v>
      </c>
      <c r="H5" s="6" t="n">
        <v>1170.5</v>
      </c>
    </row>
    <row r="6">
      <c r="A6" s="6" t="inlineStr">
        <is>
          <t>Depreciation and amortisation</t>
        </is>
      </c>
      <c r="B6" s="6" t="n">
        <v>604.3</v>
      </c>
      <c r="C6" s="6" t="n">
        <v>629.5</v>
      </c>
      <c r="D6" s="6" t="n">
        <v>540.8</v>
      </c>
      <c r="E6" s="6" t="n">
        <v>469.2</v>
      </c>
      <c r="F6" s="6" t="n">
        <v>439.1</v>
      </c>
      <c r="G6" s="6" t="n">
        <v>466.7</v>
      </c>
      <c r="H6" s="6" t="n">
        <v>405.5</v>
      </c>
    </row>
    <row r="7">
      <c r="A7" s="6" t="inlineStr">
        <is>
          <t>Non-cash PPE movements</t>
        </is>
      </c>
      <c r="B7" s="6" t="n"/>
      <c r="C7" s="6" t="n"/>
      <c r="D7" s="6" t="n">
        <v>812.1</v>
      </c>
      <c r="E7" s="6" t="n"/>
      <c r="F7" s="6" t="n"/>
      <c r="G7" s="6" t="n"/>
      <c r="H7" s="6" t="n"/>
    </row>
    <row r="8">
      <c r="A8" s="6" t="inlineStr">
        <is>
          <t>Changes to ROU asset, Interest &amp; lease liability</t>
        </is>
      </c>
      <c r="B8" s="6" t="n">
        <v>2.4</v>
      </c>
      <c r="C8" s="6" t="n">
        <v>-650.7</v>
      </c>
      <c r="D8" s="6" t="n"/>
      <c r="E8" s="6" t="n"/>
      <c r="F8" s="6" t="n"/>
      <c r="G8" s="6" t="n"/>
      <c r="H8" s="6" t="n"/>
    </row>
    <row r="9">
      <c r="A9" s="6" t="inlineStr">
        <is>
          <t>Provision/impairment charge for loan losses (label varies by year - see source note)</t>
        </is>
      </c>
      <c r="B9" s="6" t="n">
        <v>4081</v>
      </c>
      <c r="C9" s="6" t="n">
        <v>-800.6</v>
      </c>
      <c r="D9" s="6" t="n">
        <v>1443.6</v>
      </c>
      <c r="E9" s="6" t="n">
        <v>2029.1</v>
      </c>
      <c r="F9" s="6" t="n">
        <v>56.6</v>
      </c>
      <c r="G9" s="6" t="n">
        <v>292.2</v>
      </c>
      <c r="H9" s="6" t="n">
        <v>8.6</v>
      </c>
    </row>
    <row r="10">
      <c r="A10" s="6" t="inlineStr">
        <is>
          <t>(Net gain)/Loss on investment activities</t>
        </is>
      </c>
      <c r="B10" s="6" t="n">
        <v>681.3</v>
      </c>
      <c r="C10" s="6" t="n"/>
      <c r="D10" s="6" t="n"/>
      <c r="E10" s="6" t="n"/>
      <c r="F10" s="6" t="n"/>
      <c r="G10" s="6" t="n"/>
      <c r="H10" s="6" t="n"/>
    </row>
    <row r="11">
      <c r="A11" s="6" t="inlineStr">
        <is>
          <t>Effect of currency translation on cash and cash equivalents (operating adjustment)</t>
        </is>
      </c>
      <c r="B11" s="6" t="n">
        <v>-508</v>
      </c>
      <c r="C11" s="6" t="n">
        <v>-5.8</v>
      </c>
      <c r="D11" s="6" t="n">
        <v>-6.5</v>
      </c>
      <c r="E11" s="6" t="n">
        <v>53.7</v>
      </c>
      <c r="F11" s="6" t="n">
        <v>8.699999999999999</v>
      </c>
      <c r="G11" s="6" t="n">
        <v>-152.8</v>
      </c>
      <c r="H11" s="6" t="n">
        <v>-12.1</v>
      </c>
    </row>
    <row r="12">
      <c r="A12" s="5" t="inlineStr">
        <is>
          <t>Cash flows from operating activities before changes in operating assets and liabilities</t>
        </is>
      </c>
      <c r="B12" s="5" t="n">
        <v>1147.4</v>
      </c>
      <c r="C12" s="5" t="n">
        <v>1755</v>
      </c>
      <c r="D12" s="5" t="n">
        <v>7326.4</v>
      </c>
      <c r="E12" s="5" t="n">
        <v>4940.9</v>
      </c>
      <c r="F12" s="5" t="n">
        <v>1321.7</v>
      </c>
      <c r="G12" s="5" t="n">
        <v>188.5</v>
      </c>
      <c r="H12" s="5" t="n">
        <v>1572.4</v>
      </c>
    </row>
    <row r="13">
      <c r="A13" s="6" t="inlineStr">
        <is>
          <t>Net (increase) in loans and advances to banks</t>
        </is>
      </c>
      <c r="B13" s="6" t="n">
        <v>-37830.2</v>
      </c>
      <c r="C13" s="6" t="n">
        <v>-27860.7</v>
      </c>
      <c r="D13" s="6" t="n">
        <v>-32346.8</v>
      </c>
      <c r="E13" s="6" t="n">
        <v>-6302.3</v>
      </c>
      <c r="F13" s="6" t="n">
        <v>-10438</v>
      </c>
      <c r="G13" s="6" t="n">
        <v>-4549.6</v>
      </c>
      <c r="H13" s="6" t="n">
        <v>51.5</v>
      </c>
    </row>
    <row r="14">
      <c r="A14" s="6" t="inlineStr">
        <is>
          <t>Net (increase)/decrease in loans and advances to customers</t>
        </is>
      </c>
      <c r="B14" s="6" t="n">
        <v>-25669.6</v>
      </c>
      <c r="C14" s="6" t="n">
        <v>-9076.200000000001</v>
      </c>
      <c r="D14" s="6" t="n">
        <v>-3027.2</v>
      </c>
      <c r="E14" s="6" t="n">
        <v>5464</v>
      </c>
      <c r="F14" s="6" t="n">
        <v>-20298.9</v>
      </c>
      <c r="G14" s="6" t="n">
        <v>-11328.3</v>
      </c>
      <c r="H14" s="6" t="n">
        <v>-18183.6</v>
      </c>
    </row>
    <row r="15">
      <c r="A15" s="6" t="inlineStr">
        <is>
          <t>Net decrease/(increase) in derivative FIs</t>
        </is>
      </c>
      <c r="B15" s="6" t="n">
        <v>-2496.7</v>
      </c>
      <c r="C15" s="6" t="n">
        <v>1013.4</v>
      </c>
      <c r="D15" s="6" t="n">
        <v>-1916.6</v>
      </c>
      <c r="E15" s="6" t="n">
        <v>398.8</v>
      </c>
      <c r="F15" s="6" t="n">
        <v>3678.2</v>
      </c>
      <c r="G15" s="6" t="n">
        <v>-2894.8</v>
      </c>
      <c r="H15" s="6" t="n"/>
    </row>
    <row r="16">
      <c r="A16" s="6" t="inlineStr">
        <is>
          <t>Net (increase)/decrease in other assets</t>
        </is>
      </c>
      <c r="B16" s="6" t="n">
        <v>30.4</v>
      </c>
      <c r="C16" s="6" t="n">
        <v>-3166.4</v>
      </c>
      <c r="D16" s="6" t="n">
        <v>-836</v>
      </c>
      <c r="E16" s="6" t="n">
        <v>-792.1</v>
      </c>
      <c r="F16" s="6" t="n">
        <v>-2226.5</v>
      </c>
      <c r="G16" s="6" t="n">
        <v>226.5</v>
      </c>
      <c r="H16" s="6" t="n"/>
    </row>
    <row r="17">
      <c r="A17" s="6" t="inlineStr">
        <is>
          <t>Net increase/(decrease) in deposits from banks</t>
        </is>
      </c>
      <c r="B17" s="6" t="n">
        <v>20537.3</v>
      </c>
      <c r="C17" s="6" t="n">
        <v>37888.9</v>
      </c>
      <c r="D17" s="6" t="n">
        <v>-4847.5</v>
      </c>
      <c r="E17" s="6" t="n">
        <v>73965.39999999999</v>
      </c>
      <c r="F17" s="6" t="n">
        <v>-11631.4</v>
      </c>
      <c r="G17" s="6" t="n">
        <v>-21473.4</v>
      </c>
      <c r="H17" s="6" t="n">
        <v>35529.2</v>
      </c>
    </row>
    <row r="18">
      <c r="A18" s="6" t="inlineStr">
        <is>
          <t>Net increase/(decrease) in deposits from customers</t>
        </is>
      </c>
      <c r="B18" s="6" t="n">
        <v>47065</v>
      </c>
      <c r="C18" s="6" t="n">
        <v>3919.4</v>
      </c>
      <c r="D18" s="6" t="n">
        <v>-46460</v>
      </c>
      <c r="E18" s="6" t="n">
        <v>12662</v>
      </c>
      <c r="F18" s="6" t="n">
        <v>21751.8</v>
      </c>
      <c r="G18" s="6" t="n">
        <v>35454.1</v>
      </c>
      <c r="H18" s="6" t="n">
        <v>58301.6</v>
      </c>
    </row>
    <row r="19">
      <c r="A19" s="6" t="inlineStr">
        <is>
          <t>Net increase in subordinated liabilities</t>
        </is>
      </c>
      <c r="B19" s="6" t="n"/>
      <c r="C19" s="6" t="n"/>
      <c r="D19" s="6" t="n"/>
      <c r="E19" s="6" t="n"/>
      <c r="F19" s="6" t="n">
        <v>1454.3</v>
      </c>
      <c r="G19" s="6" t="n">
        <v>2337</v>
      </c>
      <c r="H19" s="6" t="n"/>
    </row>
    <row r="20">
      <c r="A20" s="6" t="inlineStr">
        <is>
          <t>Net increase/(decrease) in other liabilities</t>
        </is>
      </c>
      <c r="B20" s="6" t="n">
        <v>1661.4</v>
      </c>
      <c r="C20" s="6" t="n">
        <v>1537.1</v>
      </c>
      <c r="D20" s="6" t="n">
        <v>1555.5</v>
      </c>
      <c r="E20" s="6" t="n">
        <v>572.5</v>
      </c>
      <c r="F20" s="6" t="n">
        <v>663</v>
      </c>
      <c r="G20" s="6" t="n">
        <v>1.6</v>
      </c>
      <c r="H20" s="6" t="n"/>
    </row>
    <row r="21">
      <c r="A21" s="6" t="inlineStr">
        <is>
          <t>Taxation Paid</t>
        </is>
      </c>
      <c r="B21" s="6" t="n">
        <v>-214.3</v>
      </c>
      <c r="C21" s="6" t="n">
        <v>-476.5</v>
      </c>
      <c r="D21" s="6" t="n">
        <v>-1358.1</v>
      </c>
      <c r="E21" s="6" t="n"/>
      <c r="F21" s="6" t="n"/>
      <c r="G21" s="6" t="n"/>
      <c r="H21" s="6" t="n"/>
    </row>
    <row r="22">
      <c r="A22" s="5" t="inlineStr">
        <is>
          <t>Net cash flows from operating activities</t>
        </is>
      </c>
      <c r="B22" s="5" t="n">
        <v>4230.7</v>
      </c>
      <c r="C22" s="5" t="n">
        <v>5533.8</v>
      </c>
      <c r="D22" s="5" t="n">
        <v>-81910.2</v>
      </c>
      <c r="E22" s="5" t="n">
        <v>90909.10000000001</v>
      </c>
      <c r="F22" s="5" t="n">
        <v>-15725.8</v>
      </c>
      <c r="G22" s="5" t="n">
        <v>-2038.5</v>
      </c>
      <c r="H22" s="5" t="n">
        <v>77612</v>
      </c>
    </row>
    <row r="23">
      <c r="A23" s="5" t="inlineStr">
        <is>
          <t>Investing activities</t>
        </is>
      </c>
      <c r="B23" s="6" t="n"/>
      <c r="C23" s="6" t="n"/>
      <c r="D23" s="6" t="n"/>
      <c r="E23" s="6" t="n"/>
      <c r="F23" s="6" t="n"/>
      <c r="G23" s="6" t="n"/>
      <c r="H23" s="6" t="n"/>
    </row>
    <row r="24">
      <c r="A24" s="6" t="inlineStr">
        <is>
          <t>Acquisition of investment securities</t>
        </is>
      </c>
      <c r="B24" s="6" t="n">
        <v>-1350534.2</v>
      </c>
      <c r="C24" s="6" t="n">
        <v>-1220943.1</v>
      </c>
      <c r="D24" s="6" t="n">
        <v>-1536112.2</v>
      </c>
      <c r="E24" s="6" t="n">
        <v>-625692.6</v>
      </c>
      <c r="F24" s="6" t="n">
        <v>-465511.3</v>
      </c>
      <c r="G24" s="6" t="n">
        <v>-567718.2</v>
      </c>
      <c r="H24" s="6" t="n">
        <v>-586474</v>
      </c>
    </row>
    <row r="25">
      <c r="A25" s="6" t="inlineStr">
        <is>
          <t>Disposal of investment securities</t>
        </is>
      </c>
      <c r="B25" s="6" t="n">
        <v>1348466.1</v>
      </c>
      <c r="C25" s="6" t="n">
        <v>1215944.5</v>
      </c>
      <c r="D25" s="6" t="n">
        <v>1614999.1</v>
      </c>
      <c r="E25" s="6" t="n">
        <v>532573.6</v>
      </c>
      <c r="F25" s="6" t="n">
        <v>476473.5</v>
      </c>
      <c r="G25" s="6" t="n">
        <v>567909.6</v>
      </c>
      <c r="H25" s="6" t="n">
        <v>514377.5</v>
      </c>
    </row>
    <row r="26">
      <c r="A26" s="6" t="inlineStr">
        <is>
          <t>Purchases of property and equipment</t>
        </is>
      </c>
      <c r="B26" s="6" t="n">
        <v>-78</v>
      </c>
      <c r="C26" s="6" t="n">
        <v>-157.4</v>
      </c>
      <c r="D26" s="6" t="n">
        <v>-81.5</v>
      </c>
      <c r="E26" s="6" t="n">
        <v>-23.7</v>
      </c>
      <c r="F26" s="6" t="n">
        <v>-23</v>
      </c>
      <c r="G26" s="6" t="n">
        <v>-20</v>
      </c>
      <c r="H26" s="6" t="n">
        <v>-113.1</v>
      </c>
    </row>
    <row r="27">
      <c r="A27" s="6" t="inlineStr">
        <is>
          <t>Purchases of intangible assets</t>
        </is>
      </c>
      <c r="B27" s="6" t="n">
        <v>-126.9</v>
      </c>
      <c r="C27" s="6" t="n">
        <v>-251.6</v>
      </c>
      <c r="D27" s="6" t="n">
        <v>-287.1</v>
      </c>
      <c r="E27" s="6" t="n">
        <v>-222.2</v>
      </c>
      <c r="F27" s="6" t="n">
        <v>-34.1</v>
      </c>
      <c r="G27" s="6" t="n">
        <v>-61.2</v>
      </c>
      <c r="H27" s="6" t="n">
        <v>-303.7</v>
      </c>
    </row>
    <row r="28">
      <c r="A28" s="5" t="inlineStr">
        <is>
          <t>Net cash flows from investing activities</t>
        </is>
      </c>
      <c r="B28" s="5" t="n">
        <v>-2272.9</v>
      </c>
      <c r="C28" s="5" t="n">
        <v>-5407.6</v>
      </c>
      <c r="D28" s="5" t="n">
        <v>78518.39999999999</v>
      </c>
      <c r="E28" s="5" t="n">
        <v>-93365</v>
      </c>
      <c r="F28" s="5" t="n">
        <v>10905</v>
      </c>
      <c r="G28" s="5" t="n">
        <v>110.2</v>
      </c>
      <c r="H28" s="5" t="n">
        <v>-72513.3</v>
      </c>
    </row>
    <row r="29">
      <c r="A29" s="5" t="inlineStr">
        <is>
          <t>Financing activities</t>
        </is>
      </c>
      <c r="B29" s="6" t="n"/>
      <c r="C29" s="6" t="n"/>
      <c r="D29" s="6" t="n"/>
      <c r="E29" s="6" t="n"/>
      <c r="F29" s="6" t="n"/>
      <c r="G29" s="6" t="n"/>
      <c r="H29" s="6" t="n"/>
    </row>
    <row r="30">
      <c r="A30" s="6" t="inlineStr">
        <is>
          <t>Issuance of own shares</t>
        </is>
      </c>
      <c r="B30" s="6" t="n"/>
      <c r="C30" s="6" t="n"/>
      <c r="D30" s="6" t="n">
        <v>4019.6</v>
      </c>
      <c r="E30" s="6" t="n"/>
      <c r="F30" s="6" t="n"/>
      <c r="G30" s="6" t="n"/>
      <c r="H30" s="6" t="n"/>
    </row>
    <row r="31">
      <c r="A31" s="6" t="inlineStr">
        <is>
          <t>Issuance of subordinated liabilities</t>
        </is>
      </c>
      <c r="B31" s="6" t="n"/>
      <c r="C31" s="6" t="n"/>
      <c r="D31" s="6" t="n"/>
      <c r="E31" s="6" t="n">
        <v>3721.1</v>
      </c>
      <c r="F31" s="6" t="n"/>
      <c r="G31" s="6" t="n"/>
      <c r="H31" s="6" t="n"/>
    </row>
    <row r="32">
      <c r="A32" s="6" t="inlineStr">
        <is>
          <t>Payments made for lease liability</t>
        </is>
      </c>
      <c r="B32" s="6" t="n">
        <v>-342.8</v>
      </c>
      <c r="C32" s="6" t="n">
        <v>-313.5</v>
      </c>
      <c r="D32" s="6" t="n">
        <v>-328.4</v>
      </c>
      <c r="E32" s="6" t="n">
        <v>-290.8</v>
      </c>
      <c r="F32" s="6" t="n">
        <v>-292.9</v>
      </c>
      <c r="G32" s="6" t="n">
        <v>-317.8</v>
      </c>
      <c r="H32" s="6" t="n"/>
    </row>
    <row r="33">
      <c r="A33" s="5" t="inlineStr">
        <is>
          <t>Net cash flows from financing activities</t>
        </is>
      </c>
      <c r="B33" s="5" t="n">
        <v>-342.8</v>
      </c>
      <c r="C33" s="5" t="n">
        <v>-313.5</v>
      </c>
      <c r="D33" s="5" t="n">
        <v>3691.2</v>
      </c>
      <c r="E33" s="5" t="n">
        <v>3430.3</v>
      </c>
      <c r="F33" s="5" t="n">
        <v>-292.9</v>
      </c>
      <c r="G33" s="5" t="n">
        <v>-317.8</v>
      </c>
      <c r="H33" s="5" t="n"/>
    </row>
    <row r="34">
      <c r="A34" s="5" t="inlineStr">
        <is>
          <t>Net (decrease)/increase in cash and cash equivalents</t>
        </is>
      </c>
      <c r="B34" s="5" t="n">
        <v>1615</v>
      </c>
      <c r="C34" s="5" t="n">
        <v>-187.2</v>
      </c>
      <c r="D34" s="5" t="n">
        <v>299.4</v>
      </c>
      <c r="E34" s="5" t="n">
        <v>974.4</v>
      </c>
      <c r="F34" s="5" t="n">
        <v>-5113.7</v>
      </c>
      <c r="G34" s="5" t="n">
        <v>-2246.1</v>
      </c>
      <c r="H34" s="5" t="n">
        <v>5099.2</v>
      </c>
    </row>
    <row r="35">
      <c r="A35" s="6" t="inlineStr">
        <is>
          <t>Cash and cash equivalents at 1 January</t>
        </is>
      </c>
      <c r="B35" s="6" t="n">
        <v>5806.3</v>
      </c>
      <c r="C35" s="6" t="n">
        <v>5889.5</v>
      </c>
      <c r="D35" s="6" t="n">
        <v>5884.2</v>
      </c>
      <c r="E35" s="6" t="n">
        <v>4422.7</v>
      </c>
      <c r="F35" s="6" t="n">
        <v>9533.799999999999</v>
      </c>
      <c r="G35" s="6" t="n">
        <v>11899.8</v>
      </c>
      <c r="H35" s="6" t="n">
        <v>7175.5</v>
      </c>
    </row>
    <row r="36">
      <c r="A36" s="6" t="inlineStr">
        <is>
          <t>Effect of currency translation on cash and cash equivalents (closing bridge)</t>
        </is>
      </c>
      <c r="B36" s="6" t="n">
        <v>508</v>
      </c>
      <c r="C36" s="6" t="n">
        <v>5.8</v>
      </c>
      <c r="D36" s="6" t="n">
        <v>6.5</v>
      </c>
      <c r="E36" s="6" t="n">
        <v>-53.7</v>
      </c>
      <c r="F36" s="6" t="n">
        <v>-8.699999999999999</v>
      </c>
      <c r="G36" s="6" t="n">
        <v>152.8</v>
      </c>
      <c r="H36" s="6" t="n"/>
    </row>
    <row r="37">
      <c r="A37" s="6" t="inlineStr">
        <is>
          <t>Effect of GBP/USD translation (£ conversion artefact - see FX note)</t>
        </is>
      </c>
      <c r="B37" s="6" t="n">
        <v>-443</v>
      </c>
      <c r="C37" s="6" t="n">
        <v>98.2</v>
      </c>
      <c r="D37" s="6" t="n">
        <v>-300.6</v>
      </c>
      <c r="E37" s="6" t="n">
        <v>540.8</v>
      </c>
      <c r="F37" s="6" t="n">
        <v>11.3</v>
      </c>
      <c r="G37" s="6" t="n">
        <v>-272.7</v>
      </c>
      <c r="H37" s="6" t="n">
        <v>-374.9</v>
      </c>
    </row>
    <row r="38">
      <c r="A38" s="5" t="inlineStr">
        <is>
          <t>Cash and cash equivalents at 31 December</t>
        </is>
      </c>
      <c r="B38" s="5" t="n">
        <v>7486.3</v>
      </c>
      <c r="C38" s="5" t="n">
        <v>5806.3</v>
      </c>
      <c r="D38" s="5" t="n">
        <v>5889.5</v>
      </c>
      <c r="E38" s="5" t="n">
        <v>5884.2</v>
      </c>
      <c r="F38" s="5" t="n">
        <v>4422.7</v>
      </c>
      <c r="G38" s="5" t="n">
        <v>9533.799999999999</v>
      </c>
      <c r="H38" s="5" t="n">
        <v>11899.8</v>
      </c>
    </row>
    <row r="40" ht="280" customHeight="1">
      <c r="A40" s="8" t="inlineStr">
        <is>
          <t>Sources - FCMB Bank (UK) Limited's own Statement of Cash Flows, from its Companies House-filed Annual Report and Accounts (also published on the Bank's own site):
FY2025: Audited Accounts 2025, p.42-43 - https://fcmbuk.com/wp-content/uploads/2026/08/SIGNED-FCMB-Bank-UK-Limited-Audited-Accounts-2025.pdf
FY2024: Audited Accounts 2024, p.31 (own-year figures; FY2024 comparative in the FY2025 report cross-checked and matched exactly) - https://fcmbuk.com/wp-content/uploads/2025/09/FCMB-Bank-UK-Limited-Audited-Accounts-2024-Signed.pdf
FY2023: Audited Accounts 2023, p.33 - https://fcmbuk.com/wp-content/uploads/2024/07/FCMB-Bank-UK-Limited-Audited-Accounts-2023.pdf
FY2022: Annual Report &amp; Financial Statements 2022, p.31 (own-year figures; FY2022 comparative in the FY2023 report cross-checked and matched exactly) - https://fcmbuk.com/wp-content/uploads/2023/09/FCMB-Bank-UK-Limited-Signed-Annual-Report-Financial-Statements-2022.pdf
FY2021: Audited Accounts 2021, p.28 - https://fcmbuk.com/wp-content/uploads/2023/09/FCMB-Bank-UK-Limited-Signed-Audited-Accounts-2021.pdf
FY2020: Audited Accounts 2021, p.28 (audited comparative column) - https://fcmbuk.com/wp-content/uploads/2023/09/FCMB-Bank-UK-Limited-Signed-Audited-Accounts-2021.pdf
FY2019: Companies House-filed FCMB Bank (UK) Limited Annual Report and Financial Statements 2019, printed pp.26-29 (user-supplied primary PDF; deleted after extraction)
FCMB Bank (UK) Limited (company 06621225, FRN 502704) is a UK subsidiary of First City Monument Bank (Nigeria). Does NOT take the FRS 101/102 cash-flow exemption - a full Statement of Cash Flows exists every year. FY2020 is sourced from the FY2021 Annual Report's audited comparative column; FY2019 is sourced from the Companies House-filed statutory accounts supplied for this audit (printed pages 26-29). Each available year's own originally-published figures used throughout - the closing balance of each year ties exactly to the following year's own opening balance across all 5 years.
DATA QUALITY NOTE (FY2024): the FY2025 Annual Report's own FY2024 comparative column shows materially different 'Changes in operating assets and liabilities' line items (and a different Operating/Investing split) than FY2024's own originally-published Annual Report - e.g. 'Net (increase) in loans and advances to banks' is $(42,672,236) in the FY2025 report's comparative vs. $(35,611,527) in FY2024's own report. FY2024's own figures are used throughout (per project convention), and independently confirmed internally consistent (adjustments subtotal $2,243,237 + changes subtotal $4,830,112 = $7,073,349, matching FY2024's own printed operating total exactly). Net cash flow for the year, opening balance, and closing balance are IDENTICAL between both vintages ($(239,325) net change, both years) - only the Operating/Investing section split differs, consistent with a presentational reclassification rather than a change in the Bank's actual cash position. Similarly, FY2021's own report classifies 'Issuance of subordinated liabilities' ($2,000,000) within Operating activities, while later reports' FY2021 comparative reclassifies it into Financing activities - the FY2022 report's own footnote explicitly confirms this deliberate reclassification ('Subordinated liabilities were classified under operating activities in 2021. In 2022, subordinated liabilities have been classified under financing activities for the current year and in the prior year comparatives.'). FY2021's own original classification is used here, per convention.
FX CONVERSION: the Bank's functional and presentational currency is USD. Converted to £ per this project's established methodology: point-in-time/balance figures (capital, RWA, leverage exposure, HQLA, cash balances) use the Bank of England GBP/USD SPOT rate as at that fiscal year-end (31 December); flow figures (every cash flow statement line item) use the AVERAGE of Bank of England rates over that calendar year. Rate table reused from Zenith Bank UK/Union Bank of India UK (same 31 Dec year-end): 31 Dec 2020 spot 1.3661 (FY2021 opening cash only); FY2021 spot 1.3521 / average 1.3752; FY2022 spot 1.2097 / average 1.2362; FY2023 spot 1.2732 / average 1.2439; FY2024 spot 1.2515 / average 1.2782; FY2025 spot 1.3448 / average 1.3193. All % ratios are shown exactly as reported in USD, not converted (dimensionless, currency-invariant). An explicit 'Effect of GBP/USD translation' line reconciles the stock/flow rate mismatch so opening + flows + this line = closing exactly in £ terms; computed programmatically from the actual converted figures, not hardcoded.</t>
        </is>
      </c>
    </row>
  </sheetData>
  <mergeCells count="1">
    <mergeCell ref="A40:H4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FCMB Bank (UK) Limited — Asset Quality / Credit Risk Disclosures</t>
        </is>
      </c>
    </row>
    <row r="2">
      <c r="A2" s="2" t="inlineStr">
        <is>
          <t>£'000, converted from USD (stock figures) - see source note at bottom for FX methodology and rates used.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5" t="inlineStr">
        <is>
          <t>Gross carrying amount by IFRS 9 stage (calculated - see source note)</t>
        </is>
      </c>
      <c r="B4" s="6" t="n"/>
      <c r="C4" s="6" t="n"/>
      <c r="D4" s="6" t="n"/>
      <c r="E4" s="6" t="n"/>
      <c r="F4" s="6" t="n"/>
      <c r="G4" s="6" t="n"/>
    </row>
    <row r="5">
      <c r="A5" s="6" t="inlineStr">
        <is>
          <t>Stage 1 (12-month ECL)</t>
        </is>
      </c>
      <c r="B5" s="6" t="n">
        <v>330139.5</v>
      </c>
      <c r="C5" s="6" t="n">
        <v>324761.1</v>
      </c>
      <c r="D5" s="6" t="n">
        <v>261294.3</v>
      </c>
      <c r="E5" s="6" t="n">
        <v>232393.2</v>
      </c>
      <c r="F5" s="6" t="n">
        <v>211142.3</v>
      </c>
      <c r="G5" s="6" t="n">
        <v>157665.9</v>
      </c>
    </row>
    <row r="6">
      <c r="A6" s="6" t="inlineStr">
        <is>
          <t>Stage 2 (lifetime ECL, not credit-impaired)</t>
        </is>
      </c>
      <c r="B6" s="6" t="n">
        <v>1575</v>
      </c>
      <c r="C6" s="6" t="n">
        <v>5623.5</v>
      </c>
      <c r="D6" s="6" t="n">
        <v>8178.7</v>
      </c>
      <c r="E6" s="6" t="n">
        <v>7618</v>
      </c>
      <c r="F6" s="6" t="n">
        <v>392</v>
      </c>
      <c r="G6" s="6" t="n">
        <v>0</v>
      </c>
    </row>
    <row r="7">
      <c r="A7" s="6" t="inlineStr">
        <is>
          <t>Stage 3 (credit-impaired)</t>
        </is>
      </c>
      <c r="B7" s="6" t="n">
        <v>9970.700000000001</v>
      </c>
      <c r="C7" s="6" t="n">
        <v>3858.3</v>
      </c>
      <c r="D7" s="6" t="n">
        <v>5501</v>
      </c>
      <c r="E7" s="6" t="n">
        <v>4637.4</v>
      </c>
      <c r="F7" s="6" t="n">
        <v>0</v>
      </c>
      <c r="G7" s="6" t="n">
        <v>0</v>
      </c>
    </row>
    <row r="8">
      <c r="A8" s="5" t="inlineStr">
        <is>
          <t>Total gross carrying amount</t>
        </is>
      </c>
      <c r="B8" s="5" t="n">
        <v>341685.1</v>
      </c>
      <c r="C8" s="5" t="n">
        <v>334242.9</v>
      </c>
      <c r="D8" s="5" t="n">
        <v>274974</v>
      </c>
      <c r="E8" s="5" t="n">
        <v>244648.6</v>
      </c>
      <c r="F8" s="5" t="n">
        <v>211534.3</v>
      </c>
      <c r="G8" s="5" t="n">
        <v>157665.9</v>
      </c>
    </row>
    <row r="9">
      <c r="A9" s="5" t="inlineStr">
        <is>
          <t>ECL allowance by stage</t>
        </is>
      </c>
      <c r="B9" s="6" t="n"/>
      <c r="C9" s="6" t="n"/>
      <c r="D9" s="6" t="n"/>
      <c r="E9" s="6" t="n"/>
      <c r="F9" s="6" t="n"/>
      <c r="G9" s="6" t="n"/>
    </row>
    <row r="10">
      <c r="A10" s="6" t="inlineStr">
        <is>
          <t>Stage 1 ECL</t>
        </is>
      </c>
      <c r="B10" s="6" t="n">
        <v>1621.6</v>
      </c>
      <c r="C10" s="6" t="n">
        <v>1533.8</v>
      </c>
      <c r="D10" s="6" t="n">
        <v>1649</v>
      </c>
      <c r="E10" s="6" t="n">
        <v>1068.1</v>
      </c>
      <c r="F10" s="6" t="n">
        <v>525.1</v>
      </c>
      <c r="G10" s="6" t="n">
        <v>463.2</v>
      </c>
    </row>
    <row r="11">
      <c r="A11" s="6" t="inlineStr">
        <is>
          <t>Stage 2 ECL</t>
        </is>
      </c>
      <c r="B11" s="6" t="n">
        <v>36.6</v>
      </c>
      <c r="C11" s="6" t="n">
        <v>291.1</v>
      </c>
      <c r="D11" s="6" t="n">
        <v>253</v>
      </c>
      <c r="E11" s="6" t="n">
        <v>170.5</v>
      </c>
      <c r="F11" s="6" t="n">
        <v>0.4</v>
      </c>
      <c r="G11" s="6" t="n">
        <v>0</v>
      </c>
    </row>
    <row r="12">
      <c r="A12" s="6" t="inlineStr">
        <is>
          <t>Stage 3 ECL</t>
        </is>
      </c>
      <c r="B12" s="6" t="n">
        <v>5132.6</v>
      </c>
      <c r="C12" s="6" t="n">
        <v>1364.4</v>
      </c>
      <c r="D12" s="6" t="n">
        <v>2036.6</v>
      </c>
      <c r="E12" s="6" t="n">
        <v>1422.5</v>
      </c>
      <c r="F12" s="6" t="n">
        <v>0</v>
      </c>
      <c r="G12" s="6" t="n">
        <v>0</v>
      </c>
    </row>
    <row r="13">
      <c r="A13" s="5" t="inlineStr">
        <is>
          <t>Total ECL allowance</t>
        </is>
      </c>
      <c r="B13" s="5" t="n">
        <v>6790.8</v>
      </c>
      <c r="C13" s="5" t="n">
        <v>3189.3</v>
      </c>
      <c r="D13" s="5" t="n">
        <v>3938.6</v>
      </c>
      <c r="E13" s="5" t="n">
        <v>2661</v>
      </c>
      <c r="F13" s="5" t="n">
        <v>525.6</v>
      </c>
      <c r="G13" s="5" t="n">
        <v>463.2</v>
      </c>
    </row>
    <row r="14">
      <c r="A14" s="5" t="inlineStr">
        <is>
          <t>Net carrying amount by stage (as reported)</t>
        </is>
      </c>
      <c r="B14" s="6" t="n"/>
      <c r="C14" s="6" t="n"/>
      <c r="D14" s="6" t="n"/>
      <c r="E14" s="6" t="n"/>
      <c r="F14" s="6" t="n"/>
      <c r="G14" s="6" t="n"/>
    </row>
    <row r="15">
      <c r="A15" s="6" t="inlineStr">
        <is>
          <t>Stage 1</t>
        </is>
      </c>
      <c r="B15" s="6" t="n">
        <v>328517.8</v>
      </c>
      <c r="C15" s="6" t="n">
        <v>323227.3</v>
      </c>
      <c r="D15" s="6" t="n">
        <v>259645.3</v>
      </c>
      <c r="E15" s="6" t="n">
        <v>231325.1</v>
      </c>
      <c r="F15" s="6" t="n">
        <v>210617.1</v>
      </c>
      <c r="G15" s="6" t="n">
        <v>157202.6</v>
      </c>
    </row>
    <row r="16">
      <c r="A16" s="6" t="inlineStr">
        <is>
          <t>Stage 2</t>
        </is>
      </c>
      <c r="B16" s="6" t="n">
        <v>1538.4</v>
      </c>
      <c r="C16" s="6" t="n">
        <v>5332.3</v>
      </c>
      <c r="D16" s="6" t="n">
        <v>7925.6</v>
      </c>
      <c r="E16" s="6" t="n">
        <v>7447.6</v>
      </c>
      <c r="F16" s="6" t="n">
        <v>391.6</v>
      </c>
      <c r="G16" s="6" t="n">
        <v>0</v>
      </c>
    </row>
    <row r="17">
      <c r="A17" s="6" t="inlineStr">
        <is>
          <t>Stage 3</t>
        </is>
      </c>
      <c r="B17" s="6" t="n">
        <v>4838.1</v>
      </c>
      <c r="C17" s="6" t="n">
        <v>2494</v>
      </c>
      <c r="D17" s="6" t="n">
        <v>3464.4</v>
      </c>
      <c r="E17" s="6" t="n">
        <v>3214.9</v>
      </c>
      <c r="F17" s="6" t="n">
        <v>0</v>
      </c>
      <c r="G17" s="6" t="n">
        <v>0</v>
      </c>
    </row>
    <row r="18">
      <c r="A18" s="5" t="inlineStr">
        <is>
          <t>Total net carrying amount</t>
        </is>
      </c>
      <c r="B18" s="5" t="n">
        <v>334894.4</v>
      </c>
      <c r="C18" s="5" t="n">
        <v>331053.6</v>
      </c>
      <c r="D18" s="5" t="n">
        <v>271035.3</v>
      </c>
      <c r="E18" s="5" t="n">
        <v>241987.6</v>
      </c>
      <c r="F18" s="5" t="n">
        <v>211008.8</v>
      </c>
      <c r="G18" s="5" t="n">
        <v>157202.6</v>
      </c>
    </row>
    <row r="19">
      <c r="A19" s="5" t="inlineStr">
        <is>
          <t>Derived ratios</t>
        </is>
      </c>
      <c r="B19" s="6" t="n"/>
      <c r="C19" s="6" t="n"/>
      <c r="D19" s="6" t="n"/>
      <c r="E19" s="6" t="n"/>
      <c r="F19" s="6" t="n"/>
      <c r="G19" s="6" t="n"/>
    </row>
    <row r="20">
      <c r="A20" s="6" t="inlineStr">
        <is>
          <t>NPL ratio (Stage 3 gross / Total gross)</t>
        </is>
      </c>
      <c r="B20" s="6" t="inlineStr">
        <is>
          <t>2.92%</t>
        </is>
      </c>
      <c r="C20" s="6" t="inlineStr">
        <is>
          <t>1.15%</t>
        </is>
      </c>
      <c r="D20" s="6" t="inlineStr">
        <is>
          <t>2.00%</t>
        </is>
      </c>
      <c r="E20" s="6" t="inlineStr">
        <is>
          <t>1.90%</t>
        </is>
      </c>
      <c r="F20" s="6" t="inlineStr">
        <is>
          <t>0.00%</t>
        </is>
      </c>
      <c r="G20" s="6" t="inlineStr">
        <is>
          <t>0.00%</t>
        </is>
      </c>
    </row>
    <row r="21">
      <c r="A21" s="6" t="inlineStr">
        <is>
          <t>Stage 3 coverage ratio (Stage 3 ECL / Stage 3 gross)</t>
        </is>
      </c>
      <c r="B21" s="6" t="inlineStr">
        <is>
          <t>51.48%</t>
        </is>
      </c>
      <c r="C21" s="6" t="inlineStr">
        <is>
          <t>35.36%</t>
        </is>
      </c>
      <c r="D21" s="6" t="inlineStr">
        <is>
          <t>37.02%</t>
        </is>
      </c>
      <c r="E21" s="6" t="inlineStr">
        <is>
          <t>30.67%</t>
        </is>
      </c>
      <c r="F21" s="6" t="n"/>
      <c r="G21" s="6" t="n"/>
    </row>
    <row r="22">
      <c r="A22" s="6" t="inlineStr">
        <is>
          <t>Total ECL coverage ratio (Total ECL / Total gross)</t>
        </is>
      </c>
      <c r="B22" s="6" t="inlineStr">
        <is>
          <t>1.99%</t>
        </is>
      </c>
      <c r="C22" s="6" t="inlineStr">
        <is>
          <t>0.95%</t>
        </is>
      </c>
      <c r="D22" s="6" t="inlineStr">
        <is>
          <t>1.43%</t>
        </is>
      </c>
      <c r="E22" s="6" t="inlineStr">
        <is>
          <t>1.09%</t>
        </is>
      </c>
      <c r="F22" s="6" t="inlineStr">
        <is>
          <t>0.25%</t>
        </is>
      </c>
      <c r="G22" s="6" t="inlineStr">
        <is>
          <t>0.29%</t>
        </is>
      </c>
    </row>
    <row r="24" ht="280" customHeight="1">
      <c r="A24" s="8" t="inlineStr">
        <is>
          <t xml:space="preserve">Sources - FCMB Bank (UK) Limited's own 'Net carrying value of exposure by risk rating' (IFRS 9 stage) and 'Expected Credit Loss by Stage' notes, Note 24 (Financial instruments and risk management), from its Companies House-filed Annual Report and Accounts:
FY2025: Audited Accounts 2025, p.79-80 - https://fcmbuk.com/wp-content/uploads/2026/08/SIGNED-FCMB-Bank-UK-Limited-Audited-Accounts-2025.pdf
FY2024: Audited Accounts 2024, p.65 (own-year figures - see reclassification note) - https://fcmbuk.com/wp-content/uploads/2025/09/FCMB-Bank-UK-Limited-Audited-Accounts-2024-Signed.pdf
FY2023: Audited Accounts 2023, p.67 - https://fcmbuk.com/wp-content/uploads/2024/07/FCMB-Bank-UK-Limited-Audited-Accounts-2023.pdf
FY2022: Annual Report &amp; Financial Statements 2022, p.66 - https://fcmbuk.com/wp-content/uploads/2023/09/FCMB-Bank-UK-Limited-Signed-Annual-Report-Financial-Statements-2022.pdf
FY2021: Audited Accounts 2021, p.61 (ECL by stage sourced from this page's own narrative text) - https://fcmbuk.com/wp-content/uploads/2023/09/FCMB-Bank-UK-Limited-Signed-Audited-Accounts-2021.pdf
FY2020: Audited Accounts 2021, p.61 (audited comparative column and narrative) - https://fcmbuk.com/wp-content/uploads/2023/09/FCMB-Bank-UK-Limited-Signed-Audited-Accounts-2021.pdf
Gross carrying amount by stage is CALCULATED as Net carrying amount + ECL allowance for that stage (the Bank discloses net carrying value and ECL by stage separately, not gross carrying amount directly). NPL ratio = Stage 3 gross carrying / Total gross carrying; Stage 3 coverage ratio = Stage 3 ECL / Stage 3 gross carrying (blank for FY2021, which had zero Stage 3 exposure); Total ECL coverage = Total ECL / Total gross carrying.
FCMB Bank (UK) Limited (company 06621225, FRN 502704) is a UK subsidiary of First City Monument Bank (Nigeria). Does NOT take the FRS 101/102 cash-flow exemption - a full Statement of Cash Flows exists every year. FY2020 is sourced from the FY2021 Annual Report's audited comparative column; FY2019 is sourced from the Companies House-filed statutory accounts supplied for this audit (printed pages 26-29). Each available year's own originally-published figures used throughout - the closing balance of each year ties exactly to the following year's own opening balance across all 5 years.
</t>
        </is>
      </c>
    </row>
  </sheetData>
  <mergeCells count="1">
    <mergeCell ref="A24:G2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47"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FCMB Bank (UK) Limited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c r="G4" s="6" t="inlineStr">
        <is>
          <t>Not computed</t>
        </is>
      </c>
      <c r="H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c r="G5" s="6" t="inlineStr">
        <is>
          <t>Not computed</t>
        </is>
      </c>
      <c r="H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c r="G6" s="6" t="inlineStr">
        <is>
          <t>Not computed</t>
        </is>
      </c>
      <c r="H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c r="G7" s="6" t="inlineStr">
        <is>
          <t>Not computed</t>
        </is>
      </c>
      <c r="H7" s="6" t="inlineStr">
        <is>
          <t>Not computed</t>
        </is>
      </c>
    </row>
    <row r="8">
      <c r="A8" s="6" t="inlineStr">
        <is>
          <t>FCMB Bank (UK) Limited's own published return</t>
        </is>
      </c>
      <c r="B8" s="6" t="inlineStr">
        <is>
          <t>Not published</t>
        </is>
      </c>
      <c r="C8" s="6" t="inlineStr">
        <is>
          <t>Not published</t>
        </is>
      </c>
      <c r="D8" s="6" t="inlineStr">
        <is>
          <t>Not published</t>
        </is>
      </c>
      <c r="E8" s="6" t="inlineStr">
        <is>
          <t>Not published</t>
        </is>
      </c>
      <c r="F8" s="6" t="inlineStr">
        <is>
          <t>Not published</t>
        </is>
      </c>
      <c r="G8" s="6" t="inlineStr">
        <is>
          <t>Not published</t>
        </is>
      </c>
      <c r="H8" s="6" t="inlineStr">
        <is>
          <t>Not published</t>
        </is>
      </c>
    </row>
    <row r="9" ht="247" customHeight="1">
      <c r="A9" s="7" t="inlineStr">
        <is>
          <t>Note: COMPUTED, NOT PUBLISHED. FCMB Bank (UK) Limited publishes no ROE, RoTE or ROA in its 2025 Annual Report. Full-text search of the 95-page born-digital report found no genuine return ratio. The KPI table lists net operating income, operating expenses, loss before tax, net interest margin, total capital ratio and total assets, but no return measure. Every percentage above is therefore this project's own arithmetic on the figures printed on this workbook's statement sheets, and is labelled as such. That the bank publishes none is a POSITIVE FINDING, recorded in research/profitability/published_returns.jsonl, and not a failed search: for this bank the computed figure is the only figure there is.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FY2019 HAS NO AVERAGE-BASIS RATIO, AND THAT IS CORRECT. An average denominator needs an opening balance, and FY2019 is the oldest column this workbook carries, so there is no prior year to open from. The blank is structural, not a missing figure. The year-end basis is shown for FY2019 because it needs only the closing balance.
WHY SOME CELLS SAY 'NOT COMPUTED'. Every year above is marked 'Not computed' rather than given a number, and the reason is a unit problem, not a missing figure. This workbook's statement sheets print (£'000):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t>
        </is>
      </c>
    </row>
    <row r="11" ht="170" customHeight="1">
      <c r="A11" s="8" t="inlineStr">
        <is>
          <t>Computed by this workbook's own build script from the Profit &amp; Loss and Balance Sheet sheets of this same workbook - the Profit &amp; Loss row “profit/(loss) for the year” and the Balance Sheet rows “total equity” and “total assets”, resolved BY LABEL at build time through the shared resolver scripts/profitability_rows.py, so this sheet cannot drift from the statements it summarises. Those rows are themselves transcribed from FCMB Bank (UK) Limited's Annual Report and Accounts for each year; see the source cells on the Balance Sheet and Profit &amp; Loss sheets for the exact document, page and table behind every input to every percentage above.
The finding that FCMB Bank (UK) Limited publishes no return of its own is recorded in research/profitability/published_returns.jsonl under ‘FCMB UK’, verified against the bank's own annual report rendered at 300 dpi.</t>
        </is>
      </c>
    </row>
  </sheetData>
  <mergeCells count="2">
    <mergeCell ref="A9:H9"/>
    <mergeCell ref="A11:H1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FCMB Bank (UK) Limited — KM1 Key Metrics</t>
        </is>
      </c>
    </row>
    <row r="2">
      <c r="A2" s="2" t="inlineStr">
        <is>
          <t>Not applicable — the Bank publishes Pillar 3 disclosures every year, but no edition uses the UK KM1 key-metrics template. Its capital disclosure is a bespoke 15-row 'Key Regulatory Metrics' table of the Bank's own design, which is a different thing. See the source note for the test applied, and the individual Pillar 3 metric sheets for what that table does disclose.</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UK KM1 key-metrics template</t>
        </is>
      </c>
      <c r="B4" s="6" t="inlineStr">
        <is>
          <t>Not used in any Pillar 3 edition</t>
        </is>
      </c>
      <c r="C4" s="6" t="inlineStr">
        <is>
          <t>Not used in any Pillar 3 edition</t>
        </is>
      </c>
      <c r="D4" s="6" t="inlineStr">
        <is>
          <t>Not used in any Pillar 3 edition</t>
        </is>
      </c>
      <c r="E4" s="6" t="inlineStr">
        <is>
          <t>Not used in any Pillar 3 edition</t>
        </is>
      </c>
      <c r="F4" s="6" t="inlineStr">
        <is>
          <t>Not used in any Pillar 3 edition</t>
        </is>
      </c>
      <c r="G4" s="6" t="inlineStr">
        <is>
          <t>Not used in any Pillar 3 edition</t>
        </is>
      </c>
      <c r="H4" s="6" t="inlineStr">
        <is>
          <t>Not used in any Pillar 3 edition</t>
        </is>
      </c>
    </row>
    <row r="6" ht="409" customHeight="1">
      <c r="A6"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
WHY THIS SHEET IS 'NOT APPLICABLE' RATHER THAN BLANK OR UNRESEARCHED
FCMB Bank (UK) Limited DOES publish Pillar 3 disclosures - a continuous annual series, the newest being the FYE 2025 edition - but none of them uses the UK KM1 key-metrics template. This is the distinction between 'no Pillar 3 is published', 'a Pillar 3 is published but the template is not used' and 'the rows are formally excluded'. This bank is the middle case, and the entry above says so.
WHAT THE BANK PUBLISHES INSTEAD. Every edition prints a bespoke 15-row table of the Bank's own design, headed 'Key Regulatory Metrics'. A shared caption is not the test; the ROW SET is. That table has no row numbers, no Tier 1 capital row, no capital-ratio rows of any kind, no SREP block, and no countercyclical-buffer or G-SII rows. It is missing the majority of the template's rows and the whole of three of its sections, so it is a different disclosure that happens to summarise some of the same quantities - not the template printed without numbering.
HOW THAT WAS ESTABLISHED (2026-09-17). Six editions (FYE 2020 to FYE 2025) were read in full and the FYE 2019 edition was phrase-tested. Every edition was searched on whole phrases that cannot occur as substrings of ordinary prose - 'Available own funds', 'Total SREP own funds requirements', 'Additional CET1 SREP', 'Tier 1 ratio', 'Common Equity Tier 1 ratio' and 'KM1' - and every one returned zero hits in every edition. The only near-misses, 'countercyclical' and 'combined buffer requirement', were inspected line by line rather than counted: they belong to a different table and to the Bank's own narrative, not to a key-metrics template. A hit count was never treated as an answer in either direction.
NOTHING IS BACK-FILLED. The individual Pillar 3 metric sheets in this workbook carry what the Bank's own table does disclose. No KM1 row is reconstructed here from the statutory accounts, from the parent's disclosures, or from any figure on those sheets - a template the Bank did not publish is not manufactured on its behalf.
ENTITY BASIS. FCMB Bank (UK) Limited publishes its own entity-level Pillar 3, so this finding rests on the UK entity's own documents throughout. No figure from FCMB Group Plc's consolidated disclosures is used or substituted anywhere on this sheet.</t>
        </is>
      </c>
    </row>
  </sheetData>
  <mergeCells count="1">
    <mergeCell ref="A6:H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FCMB Bank (UK) Limited — CET1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Common Equity Tier 1 (CET1) Capital</t>
        </is>
      </c>
      <c r="B4" s="6" t="n">
        <v>40642.5</v>
      </c>
      <c r="C4" s="6" t="n">
        <v>46305.2</v>
      </c>
      <c r="D4" s="6" t="n">
        <v>39296.3</v>
      </c>
      <c r="E4" s="6" t="n">
        <v>33331.4</v>
      </c>
      <c r="F4" s="6" t="n">
        <v>31739.5</v>
      </c>
      <c r="G4" s="6" t="n">
        <v>31671.2</v>
      </c>
    </row>
    <row r="6" ht="195" customHeight="1">
      <c r="A6"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1">
    <mergeCell ref="A6:G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FCMB Bank (UK) Limited — CET1 Ratio</t>
        </is>
      </c>
    </row>
    <row r="2">
      <c r="A2" s="2" t="inlineStr">
        <is>
          <t>% of TREA (calculated - see note)</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CET1 Ratio</t>
        </is>
      </c>
      <c r="B4" s="6" t="inlineStr">
        <is>
          <t>14.83%</t>
        </is>
      </c>
      <c r="C4" s="6" t="inlineStr">
        <is>
          <t>16.55%</t>
        </is>
      </c>
      <c r="D4" s="6" t="inlineStr">
        <is>
          <t>17.39%</t>
        </is>
      </c>
      <c r="E4" s="6" t="inlineStr">
        <is>
          <t>16.97%</t>
        </is>
      </c>
      <c r="F4" s="6" t="inlineStr">
        <is>
          <t>17.29%</t>
        </is>
      </c>
      <c r="G4" s="6" t="inlineStr">
        <is>
          <t>27.27%</t>
        </is>
      </c>
    </row>
    <row r="5" ht="30" customHeight="1">
      <c r="A5" s="7" t="inlineStr">
        <is>
          <t>Note: CALCULATED as CET1 Capital / Total Risk-Weighted exposure amount (TREA) for each year - neither the Bank's Annual Report nor its Pillar 3 Disclosures state a CET1 ratio % directly, only the underlying £/$ amounts (see CET1 Capital and Total RWAs sheets).</t>
        </is>
      </c>
    </row>
    <row r="7" ht="195" customHeight="1">
      <c r="A7"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2">
    <mergeCell ref="A7:G7"/>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FCMB Bank (UK) Limited — Tier 1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t>
        </is>
      </c>
      <c r="B4" s="6" t="n">
        <v>43092.7</v>
      </c>
      <c r="C4" s="6" t="n">
        <v>46305.2</v>
      </c>
      <c r="D4" s="6" t="inlineStr">
        <is>
          <t>Not disclosed - this edition prints no Tier 1 subtotal row</t>
        </is>
      </c>
      <c r="E4" s="6" t="inlineStr">
        <is>
          <t>Not disclosed - this edition prints no Tier 1 subtotal row</t>
        </is>
      </c>
      <c r="F4" s="6" t="inlineStr">
        <is>
          <t>Not disclosed - this edition prints no Tier 1 subtotal row</t>
        </is>
      </c>
      <c r="G4" s="6" t="n">
        <v>31671.2</v>
      </c>
    </row>
    <row r="5" ht="390" customHeight="1">
      <c r="A5" s="7" t="inlineStr">
        <is>
          <t>Note: WHERE THE BANK'S OWN CAPITAL TABLE PRINTS A TIER 1 SUBTOTAL, AND WHERE IT DOES NOT. All six editions FYE2020-FYE2025 were re-fetched live on 2026-09-18 (HTTP 200, Content-Type application/pdf, %PDF magic bytes on every one) and read in full. The Bank's capital table - 'Total Available Capital', section 3.2 in the FY2020-FY2023 editions and section 4.2 from FY2024 - changes shape between the FY2023 and FY2024 editions:
- FY2024 AND FY2025 EDITIONS: the table gained an explicit 'Total Tier 1 capital' subtotal row, printed under a 'Tier 1 capital (T1)' block heading. Those two years' amounts are transcribed from that printed row.
- FY2020 THROUGH FY2023 EDITIONS: no Tier 1 subtotal row of any kind is printed. The table lists the components (share capital, retained earnings, AFS/OCI reserves, intangible assets, other capital adjustments), then Tier 2 capital, then 'Total regulatory capital (CAR)'. FY2023, FY2022 and FY2021 are therefore recorded above as not disclosed - NOT summed from the components, and NOT back-solved from the printed ratio times RWA. The arithmetic is available and is deliberately not used: the FY2023 column's components foot exactly to 50,032, which is also what the FY2024 edition's comparative column prints, but a figure the Bank did not print is not manufactured here and a later edition's comparative is not this project's source for an own year.
WHAT THE SUPERSEDED NOTE GOT RIGHT AND WHAT IT GOT WRONG. It said the 'Key Regulatory Metrics' table gives only CET1 and Total Capital with no separate Tier 1 breakdown. That is correct, and it is why the Tier 1 amount cannot be read off THAT table. It then generalised to 'FY2021 onward is not publicly disclosed as a separate line', which read as covering the Tier 1 RATIO too. It does not: the capital-adequacy table in every edition FY2020-FY2025 prints a 'Tier 1 capital ratio' row, and all six years are now carried on the Tier 1 Ratio sheet from their own editions.
TIER 1 IS STILL NOT ASSUMED EQUAL TO CET1. Total Capital exceeds CET1 in every year (e.g. FY2025 $64,256k against $54,656k), the difference being $9,600k of subordinated loans the Bank labels Tier 2. Where the Bank does print a Tier 1 subtotal it happens to equal CET1 (FY2024: 57,951 on both the capital table's 'Total Tier 1 capital' row and the Key Regulatory Metrics CET1 row) - but that is the Bank's own printing for those years, not an equivalence applied on its behalf to the years it left blank.
FY2020 - A CORRECTION TO THIS WORKBOOK'S OWN EARLIER WORDING. The superseded note described FY2020's $43,266k as 'explicitly disclosed in the old-format Pillar 3 table'. It is not printed as a row. The FYE2020 edition's section 3.2 table prints share capital 48,900, retained earnings (5,200), AFS reserves '-' and intangible assets (434) in its 2020 column and no Tier 1 subtotal; 48,900 - 5,200 - 434 = 43,266. The figure is left in place because it is the value this workbook has carried and it agrees with the CET1 Capital sheet, but it is a COMPONENT SUM and is labelled as one here so a future session can decide whether it belongs on a disclosure sheet at all. Flagged rather than silently kept or silently removed.
THE FY2025 EDITION PRINTS A TIER 1 AMOUNT THAT ITS OWN TABLE CONTRADICTS, AND IT IS REPRODUCED AS PRINTED. In the FYE2025 edition's section 4.2 table the 'Total Tier 1 capital' row reads 57,951 in BOTH the 31/12/2025 and the 31/12/2024 columns; 57,951 is the FY2024 figure. Three separate numbers in that same table disagree with it for 2025: (a) the 31/12/2025 column's own components foot to 54,657 (53,900 + 1,819 + 1 - 527 - 536); (b) the table's Total capital 64,256 less its Tier 2 subordinated loans 9,600 leaves 54,656; (c) the table's own 'Tier 1 capital ratio' of 14.8% against its own risk weighted assets of 368,569 implies 54,656, where 57,951/368,569 would be 15.72%. The Key Regulatory Metrics table on p.3 of the same document prints CET1 of 54,656. The printed 57,951 therefore reads as a cell carried forward from the prior-year column. It is transcribed exactly as the Bank printed it and the disagreement is documented, per this project's rule that a figure is never adjusted to make a set tie - the same treatment as Bank of Africa UK's FY2019 table (GA-016). A reader who needs an internally consistent 2025 Tier 1 amount should use the CET1 Capital sheet, which carries the Bank's own printed 54,656.</t>
        </is>
      </c>
    </row>
    <row r="7" ht="195" customHeight="1">
      <c r="A7"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2">
    <mergeCell ref="A7:G7"/>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FCMB Bank (UK)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Tier 1 Capital ratio</t>
        </is>
      </c>
      <c r="B4" s="6" t="inlineStr">
        <is>
          <t>14.8%</t>
        </is>
      </c>
      <c r="C4" s="6" t="inlineStr">
        <is>
          <t>16.5%</t>
        </is>
      </c>
      <c r="D4" s="6" t="inlineStr">
        <is>
          <t>17%</t>
        </is>
      </c>
      <c r="E4" s="6" t="inlineStr">
        <is>
          <t>17%</t>
        </is>
      </c>
      <c r="F4" s="6" t="inlineStr">
        <is>
          <t>17%</t>
        </is>
      </c>
      <c r="G4" s="6" t="inlineStr">
        <is>
          <t>25%</t>
        </is>
      </c>
    </row>
    <row r="5" ht="390" customHeight="1">
      <c r="A5" s="7" t="inlineStr">
        <is>
          <t>Note: ALL SIX YEARS ARE PRINTED FIGURES FROM THAT YEAR'S OWN EDITION - nothing on this sheet is calculated and nothing is taken from a later edition's comparative column. Each is the capital-adequacy table's 'Tier 1 capital ratio' row: FY2025 14.8% and FY2024 16.5% from section 4.2 of their own editions; FY2023 17%, FY2022 17% and FY2021 17% from section 3.2 of theirs; FY2020 25% from section 3.2 of the FYE2020 edition. FY2021-FY2025 were added 2026-09-18, closing five leading gaps that existed only because an earlier pass read the 'Key Regulatory Metrics' table and not the capital-adequacy table in the same documents.
TWO DIFFERENT DENOMINATORS LIVE IN ONE DOCUMENT, and that is what makes these printed ratios reconcile. The capital-adequacy table carries its own 'Risk weighted assets' row, which in the FY2021-FY2023 editions is SMALLER than the Total Risk-Weighted exposure amount (TREA) printed in the same document's Key Regulatory Metrics table. The printed Tier 1 ratios reconcile against TREA, not against the capital table's own RWA row: FY2023 50,032/287,662 = 17.39% (TREA) against 50,032/257,090 = 19.46% (cap-table RWA), for a printed 17%; FY2022 40,321/237,643 = 16.97% against 40,321/214,632 = 18.79%, for a printed 17%; FY2021 42,915/248,258 = 17.29% against 42,915/225,003 = 19.07%, for a printed 17%. From FY2024 the two rows agree (350,177 and 368,569) and the question falls away. Both figures are the Bank's own and neither is adjusted here.
FY2020 - THE GA-016 'IMPOSSIBLE' TRIPLE, RESOLVED WITHOUT EDITING ANY FIGURE (2026-09-18). GA-016 flagged FY2020 as a Tier 1 ratio BELOW the CET1 ratio, which cannot happen when Tier 1 contains CET1. There is nothing to fix, because the two sides are not measurements of the same thing: the Tier 1 ratio is PRINTED (25%) and the CET1 ratio is CALCULATED by this workbook (43,266/158,682 = 27.27%, and the CET1 Ratio sheet says on its face that it is calculated). The FYE2020 edition prints a 'Tier 1 capital ratio' of 25% and a 'Total capital ratio' of 26% and NO CET1 ratio row at all - confirmed by reading that edition in full on 2026-09-18. FY2020 is further the one year whose printed ratios reconcile against nothing in its own table: the printed total capital ratio of 26% sits against 46,266/158,682 = 29.16%. The Bank's own FY2020 set is internally inconsistent. Recorded, not reconciled, and no figure changed.
WHERE THE BANK'S OWN CAPITAL TABLE PRINTS A TIER 1 SUBTOTAL, AND WHERE IT DOES NOT. All six editions FYE2020-FYE2025 were re-fetched live on 2026-09-18 (HTTP 200, Content-Type application/pdf, %PDF magic bytes on every one) and read in full. The Bank's capital table - 'Total Available Capital', section 3.2 in the FY2020-FY2023 editions and section 4.2 from FY2024 - changes shape between the FY2023 and FY2024 editions:
- FY2024 AND FY2025 EDITIONS: the table gained an explicit 'Total Tier 1 capital' subtotal row, printed under a 'Tier 1 capital (T1)' block heading. Those two years' amounts are transcribed from that printed row.
- FY2020 THROUGH FY2023 EDITIONS: no Tier 1 subtotal row of any kind is printed. The table lists the components (share capital, retained earnings, AFS/OCI reserves, intangible assets, other capital adjustments), then Tier 2 capital, then 'Total regulatory capital (CAR)'. FY2023, FY2022 and FY2021 are therefore recorded above as not disclosed - NOT summed from the components, and NOT back-solved from the printed ratio times RWA. The arithmetic is available and is deliberately not used: the FY2023 column's components foot exactly to 50,032, which is also what the FY2024 edition's comparative column prints, but a figure the Bank did not print is not manufactured here and a later edition's comparative is not this project's source for an own year.
WHAT THE SUPERSEDED NOTE GOT RIGHT AND WHAT IT GOT WRONG. It said the 'Key Regulatory Metrics' table gives only CET1 and Total Capital with no separate Tier 1 breakdown. That is correct, and it is why the Tier 1 amount cannot be read off THAT table. It then generalised to 'FY2021 onward is not publicly disclosed as a separate line', which read as covering the Tier 1 RATIO too. It does not: the capital-adequacy table in every edition FY2020-FY2025 prints a 'Tier 1 capital ratio' row, and all six years are now carried on the Tier 1 Ratio sheet from their own editions.</t>
        </is>
      </c>
    </row>
    <row r="6" ht="117" customHeight="1">
      <c r="A6" s="7" t="inlineStr">
        <is>
          <t>(continued)
TIER 1 IS STILL NOT ASSUMED EQUAL TO CET1. Total Capital exceeds CET1 in every year (e.g. FY2025 $64,256k against $54,656k), the difference being $9,600k of subordinated loans the Bank labels Tier 2. Where the Bank does print a Tier 1 subtotal it happens to equal CET1 (FY2024: 57,951 on both the capital table's 'Total Tier 1 capital' row and the Key Regulatory Metrics CET1 row) - but that is the Bank's own printing for those years, not an equivalence applied on its behalf to the years it left blank.
FY2020 - A CORRECTION TO THIS WORKBOOK'S OWN EARLIER WORDING. The superseded note described FY2020's $43,266k as 'explicitly disclosed in the old-format Pillar 3 table'. It is not printed as a row. The FYE2020 edition's section 3.2 table prints share capital 48,900, retained earnings (5,200), AFS reserves '-' and intangible assets (434) in its 2020 column and no Tier 1 subtotal; 48,900 - 5,200 - 434 = 43,266. The figure is left in place because it is the value this workbook has carried and it agrees with the CET1 Capital sheet, but it is a COMPONENT SUM and is labelled as one here so a future session can decide whether it belongs on a disclosure sheet at all. Flagged rather than silently kept or silently removed.</t>
        </is>
      </c>
    </row>
    <row r="8" ht="195" customHeight="1">
      <c r="A8"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3">
    <mergeCell ref="A8:G8"/>
    <mergeCell ref="A6:G6"/>
    <mergeCell ref="A5:G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FCMB Bank (UK) Limited — Total Capital</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t>
        </is>
      </c>
      <c r="B4" s="6" t="n">
        <v>47781.1</v>
      </c>
      <c r="C4" s="6" t="n">
        <v>53976</v>
      </c>
      <c r="D4" s="6" t="n">
        <v>46836.3</v>
      </c>
      <c r="E4" s="6" t="n">
        <v>39935.5</v>
      </c>
      <c r="F4" s="6" t="n">
        <v>35437.5</v>
      </c>
      <c r="G4" s="6" t="n">
        <v>33867.2</v>
      </c>
    </row>
    <row r="6" ht="195" customHeight="1">
      <c r="A6"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1">
    <mergeCell ref="A6:G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FCMB Bank (UK) Limited — Total Capital Ratio</t>
        </is>
      </c>
    </row>
    <row r="2">
      <c r="A2" s="2" t="inlineStr">
        <is>
          <t>% of TREA (calculated - see note)</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Capital Ratio</t>
        </is>
      </c>
      <c r="B4" s="6" t="inlineStr">
        <is>
          <t>17.43%</t>
        </is>
      </c>
      <c r="C4" s="6" t="inlineStr">
        <is>
          <t>19.29%</t>
        </is>
      </c>
      <c r="D4" s="6" t="inlineStr">
        <is>
          <t>20.73%</t>
        </is>
      </c>
      <c r="E4" s="6" t="inlineStr">
        <is>
          <t>20.33%</t>
        </is>
      </c>
      <c r="F4" s="6" t="inlineStr">
        <is>
          <t>19.30%</t>
        </is>
      </c>
      <c r="G4" s="6" t="inlineStr">
        <is>
          <t>29.16%</t>
        </is>
      </c>
    </row>
    <row r="5" ht="30" customHeight="1">
      <c r="A5" s="7" t="inlineStr">
        <is>
          <t>Note: CALCULATED as Total Capital / Total Risk-Weighted exposure amount (TREA) for each year - not directly stated as a percentage in the source (see CET1 Ratio sheet for the same caveat).</t>
        </is>
      </c>
    </row>
    <row r="7" ht="195" customHeight="1">
      <c r="A7"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2">
    <mergeCell ref="A7:G7"/>
    <mergeCell ref="A5:G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FCMB Bank (UK) Limited — Total RWAs</t>
        </is>
      </c>
    </row>
    <row r="2">
      <c r="A2" s="2" t="inlineStr">
        <is>
          <t>£'000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row>
    <row r="4">
      <c r="A4" s="6" t="inlineStr">
        <is>
          <t>Total Risk-Weighted exposure amount (TREA)</t>
        </is>
      </c>
      <c r="B4" s="6" t="n">
        <v>274069.8</v>
      </c>
      <c r="C4" s="6" t="n">
        <v>279805.8</v>
      </c>
      <c r="D4" s="6" t="n">
        <v>225936.2</v>
      </c>
      <c r="E4" s="6" t="n">
        <v>196447.9</v>
      </c>
      <c r="F4" s="6" t="n">
        <v>183609.2</v>
      </c>
      <c r="G4" s="6" t="n">
        <v>116156.9</v>
      </c>
    </row>
    <row r="6" ht="195" customHeight="1">
      <c r="A6"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1">
    <mergeCell ref="A6:G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FCMB Bank (UK) Limited — RWA Breakdown</t>
        </is>
      </c>
    </row>
    <row r="2">
      <c r="A2" s="2" t="inlineStr">
        <is>
          <t>£'000, converted from USD - CALCULATED from disclosed Minimum Capital Requirements (see source note). CVA Risk only disclosed from FY2024 onward.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row>
    <row r="4">
      <c r="A4" s="6" t="inlineStr">
        <is>
          <t>Credit risk</t>
        </is>
      </c>
      <c r="B4" s="6" t="n">
        <v>240667.8</v>
      </c>
      <c r="C4" s="6" t="n">
        <v>241919.7</v>
      </c>
      <c r="D4" s="6" t="n">
        <v>201922.3</v>
      </c>
      <c r="E4" s="6" t="n">
        <v>177420</v>
      </c>
      <c r="F4" s="6" t="n">
        <v>166407.8</v>
      </c>
      <c r="G4" s="6" t="n">
        <v>116161</v>
      </c>
    </row>
    <row r="5">
      <c r="A5" s="6" t="inlineStr">
        <is>
          <t>Market risk</t>
        </is>
      </c>
      <c r="B5" s="6" t="n">
        <v>3987.6</v>
      </c>
      <c r="C5" s="6" t="n">
        <v>6332.4</v>
      </c>
      <c r="D5" s="6" t="n">
        <v>4162.7</v>
      </c>
      <c r="E5" s="6" t="n">
        <v>2924.3</v>
      </c>
      <c r="F5" s="6" t="n">
        <v>4844.3</v>
      </c>
      <c r="G5" s="6" t="n">
        <v>1775.1</v>
      </c>
    </row>
    <row r="6">
      <c r="A6" s="6" t="inlineStr">
        <is>
          <t>Operational risk</t>
        </is>
      </c>
      <c r="B6" s="6" t="n">
        <v>29260.9</v>
      </c>
      <c r="C6" s="6" t="n">
        <v>31442.3</v>
      </c>
      <c r="D6" s="6" t="n">
        <v>19851.6</v>
      </c>
      <c r="E6" s="6" t="n">
        <v>16099</v>
      </c>
      <c r="F6" s="6" t="n">
        <v>12360.4</v>
      </c>
      <c r="G6" s="6" t="n">
        <v>11071.7</v>
      </c>
    </row>
    <row r="7">
      <c r="A7" s="6" t="inlineStr">
        <is>
          <t>CVA risk</t>
        </is>
      </c>
      <c r="B7" s="6" t="n">
        <v>148.7</v>
      </c>
      <c r="C7" s="6" t="n">
        <v>119.9</v>
      </c>
      <c r="D7" s="6" t="n"/>
      <c r="E7" s="6" t="n"/>
      <c r="F7" s="6" t="n"/>
      <c r="G7" s="6" t="n"/>
    </row>
    <row r="8">
      <c r="A8" s="5" t="inlineStr">
        <is>
          <t>Total RWAs (calculated)</t>
        </is>
      </c>
      <c r="B8" s="5" t="n">
        <v>274064.9</v>
      </c>
      <c r="C8" s="5" t="n">
        <v>279804.2</v>
      </c>
      <c r="D8" s="5" t="n">
        <v>225936.6</v>
      </c>
      <c r="E8" s="5" t="n">
        <v>196443.3</v>
      </c>
      <c r="F8" s="5" t="n">
        <v>183612.5</v>
      </c>
      <c r="G8" s="5" t="n">
        <v>129007.8</v>
      </c>
    </row>
    <row r="10" ht="390" customHeight="1">
      <c r="A10"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
RWA BREAKDOWN NOTE: the Bank's Pillar 3 Disclosures do not publish a UK OV1-style RWA-by-category table directly - only a 'Minimum Capital Requirements' table (8% of own funds requirement, by risk type). RWA by category is CALCULATED as (capital requirement / 8%) for each row, independently cross-checked against the Bank's own disclosed Total RWA/TREA figure (Total RWAs sheet) - the calculated Total Pillar 1 RWA ties to the disclosed TREA within rounding for every year (e.g. FY2025: $29,485k / 8% = $368,563k calculated vs $368,569k disclosed TREA).
INVESTMENT SECURITIES BREAKDOWN: the 'Investment securities - ...' sub-rows below the 'Total investment securities' line are transcribed from Note 15 'Investment securities' of each year's own Notes to the Financial Statements, which splits the balance both by measurement basis (fair value through other comprehensive income (FVOCI) vs fair value through profit or loss (FVTPL) - there is no amortised-cost investment securities balance in any year) and by instrument type (Government Bonds; Bank bonds; HQLA Investments, described in the note as 'high quality liquid assets [that] include US Treasury bills and bonds issued by International Bank of Restructuring and Development (IBRD)' - i.e. a sovereign/supranational mix not broken down further; an allowance for impairment losses against the FVOCI book; and Fund Investments - Government / Fund Investments - Other, both FVTPL): FY2025: Audited Accounts 2025, Note 15, p.62 - https://fcmbuk.com/wp-content/uploads/2026/08/SIGNED-FCMB-Bank-UK-Limited-Audited-Accounts-2025.pdf
FY2024: Audited Accounts 2024, Note 15, p.49 (own-year figures - see reclassification note above; the FY2025 report's own FY2024 comparative column shows different Note 15 sub-figures totalling $192,066,892, consistent with the same reclassification) - https://fcmbuk.com/wp-content/uploads/2025/09/FCMB-Bank-UK-Limited-Audited-Accounts-2024-Signed.pdf
FY2023: Audited Accounts 2023, Note 15, p.51 - https://fcmbuk.com/wp-content/uploads/2024/07/FCMB-Bank-UK-Limited-Audited-Accounts-2023.pdf
FY2022: Annual Report &amp; Financial Statements 2022, Note 15, p.50 - https://fcmbuk.com/wp-content/uploads/2023/09/FCMB-Bank-UK-Limited-Signed-Annual-Report-Financial-Statements-2022.pdf
FY2021: Audited Accounts 2021, Note 15, p.46 - https://fcmbuk.com/wp-content/uploads/2023/09/FCMB-Bank-UK-Limited-Signed-Audited-Accounts-2021.pdf</t>
        </is>
      </c>
    </row>
    <row r="12" ht="200" customHeight="1">
      <c r="A12" s="8" t="inlineStr">
        <is>
          <t>(continued)
FY2020: Audited Accounts 2021, Note 15, p.46 (audited comparative column; FY2020 predates the 'HQLA Investments' sub-line introduced from FY2022 onwards, so that FY2020 sub-row is £0) - https://fcmbuk.com/wp-content/uploads/2023/09/FCMB-Bank-UK-Limited-Signed-Audited-Accounts-2021.pdf
FY2019: no breakdown available - the FY2019 Note 15 was not among the pages transcribed from the user-supplied primary PDF (since deleted after extraction), so the FY2019 sub-rows are left blank rather than estimated.
Each year's sub-rows sum exactly to that year's headline 'Total investment securities' line in underlying USD; after this project's independent per-row £'000 FX conversion (each row rounded to 1 decimal place separately) the sub-rows tie to the total within rounding (at most £0.1k) for any given year.</t>
        </is>
      </c>
    </row>
  </sheetData>
  <mergeCells count="2">
    <mergeCell ref="A10:G10"/>
    <mergeCell ref="A12:G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FCMB Bank (UK)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row>
    <row r="4">
      <c r="A4" s="6" t="inlineStr">
        <is>
          <t>Leverage Ratio</t>
        </is>
      </c>
      <c r="B4" s="6" t="inlineStr">
        <is>
          <t>8.81%</t>
        </is>
      </c>
      <c r="C4" s="6" t="inlineStr">
        <is>
          <t>14.73%</t>
        </is>
      </c>
      <c r="D4" s="6" t="inlineStr">
        <is>
          <t>10.29%</t>
        </is>
      </c>
      <c r="E4" s="6" t="inlineStr">
        <is>
          <t>7.41%</t>
        </is>
      </c>
      <c r="F4" s="6" t="inlineStr">
        <is>
          <t>10.12%</t>
        </is>
      </c>
    </row>
    <row r="5" ht="78" customHeight="1">
      <c r="A5" s="7" t="inlineStr">
        <is>
          <t>Note: LEVERAGE BASIS: THE BANK PUBLISHES ONE RATIO AND ATTACHES NO BASIS QUALIFIER TO IT (GA-026, 2026-10-09). Its key-metrics table is bespoke and unnumbered, and its 'Leverage Ratio' block is exactly two rows, captioned plainly 'Total exposure measure' and 'Leverage Ratio %', running straight into the Liquidity Coverage Ratio block. The Bank prints no UK LR2 / LRCom table, and no rows 24, UK-24a, UK-24b or UK-25c appear in any edition. It never uses the 'excluding claims on central banks' wording that other UK banks adopted on 1 January 2022. The single ratio is therefore recorded exactly as published, unqualified: NO BASIS IS ASSERTED THAT THE BANK DID NOT PRINT, and in particular it is not labelled as the excluding basis merely because that is what most UK banks now publish. FY2025 edition p.4 rendered and read at 300 dpi, so the qualifier rows are established absent from the TABLE, not merely from a text search.</t>
        </is>
      </c>
    </row>
    <row r="7" ht="208" customHeight="1">
      <c r="A7"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2">
    <mergeCell ref="A5:F5"/>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FCMB Bank (UK) Limited — LCR</t>
        </is>
      </c>
    </row>
    <row r="2">
      <c r="A2" s="2" t="inlineStr">
        <is>
          <t>% (12-month average - see methodology note)</t>
        </is>
      </c>
    </row>
    <row r="3">
      <c r="A3" s="4" t="inlineStr">
        <is>
          <t>Metric</t>
        </is>
      </c>
      <c r="B3" s="4" t="inlineStr">
        <is>
          <t>FY2025</t>
        </is>
      </c>
      <c r="C3" s="4" t="inlineStr">
        <is>
          <t>FY2024</t>
        </is>
      </c>
      <c r="D3" s="4" t="inlineStr">
        <is>
          <t>FY2023</t>
        </is>
      </c>
      <c r="E3" s="4" t="inlineStr">
        <is>
          <t>FY2022</t>
        </is>
      </c>
      <c r="F3" s="4" t="inlineStr">
        <is>
          <t>FY2021</t>
        </is>
      </c>
    </row>
    <row r="4">
      <c r="A4" s="6" t="inlineStr">
        <is>
          <t>Liquidity Coverage Ratio</t>
        </is>
      </c>
      <c r="B4" s="6" t="inlineStr">
        <is>
          <t>273%</t>
        </is>
      </c>
      <c r="C4" s="6" t="inlineStr">
        <is>
          <t>333%</t>
        </is>
      </c>
      <c r="D4" s="6" t="inlineStr">
        <is>
          <t>729%</t>
        </is>
      </c>
      <c r="E4" s="6" t="inlineStr">
        <is>
          <t>513%</t>
        </is>
      </c>
      <c r="F4" s="6" t="inlineStr">
        <is>
          <t>371%</t>
        </is>
      </c>
    </row>
    <row r="6" ht="208" customHeight="1">
      <c r="A6"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1">
    <mergeCell ref="A6:F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FCMB Bank (UK) Limited — NSFR</t>
        </is>
      </c>
    </row>
    <row r="2">
      <c r="A2" s="2" t="inlineStr">
        <is>
          <t>% (4-quarter average - see methodology note)</t>
        </is>
      </c>
    </row>
    <row r="3">
      <c r="A3" s="4" t="inlineStr">
        <is>
          <t>Metric</t>
        </is>
      </c>
      <c r="B3" s="4" t="inlineStr">
        <is>
          <t>FY2025</t>
        </is>
      </c>
      <c r="C3" s="4" t="inlineStr">
        <is>
          <t>FY2024</t>
        </is>
      </c>
      <c r="D3" s="4" t="inlineStr">
        <is>
          <t>FY2023</t>
        </is>
      </c>
      <c r="E3" s="4" t="inlineStr">
        <is>
          <t>FY2022</t>
        </is>
      </c>
      <c r="F3" s="4" t="inlineStr">
        <is>
          <t>FY2021</t>
        </is>
      </c>
    </row>
    <row r="4">
      <c r="A4" s="6" t="inlineStr">
        <is>
          <t>Net Stable Funding Ratio</t>
        </is>
      </c>
      <c r="B4" s="6" t="inlineStr">
        <is>
          <t>157%</t>
        </is>
      </c>
      <c r="C4" s="6" t="inlineStr">
        <is>
          <t>166%</t>
        </is>
      </c>
      <c r="D4" s="6" t="inlineStr">
        <is>
          <t>174%</t>
        </is>
      </c>
      <c r="E4" s="6" t="inlineStr">
        <is>
          <t>179%</t>
        </is>
      </c>
      <c r="F4" s="6" t="inlineStr">
        <is>
          <t>206%</t>
        </is>
      </c>
    </row>
    <row r="6" ht="208" customHeight="1">
      <c r="A6"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1">
    <mergeCell ref="A6:F6"/>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FCMB Bank (UK)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MREL Ratio</t>
        </is>
      </c>
      <c r="B4" s="6" t="inlineStr">
        <is>
          <t>Not published – no MREL figure or requirement in the FY2025 FCMB UK Pillar 3 (text-searched 2026-09-19)</t>
        </is>
      </c>
      <c r="C4" s="6" t="inlineStr">
        <is>
          <t>Not published – no MREL figure or requirement in the FY2024 FCMB UK Pillar 3 (text-searched 2026-09-19)</t>
        </is>
      </c>
      <c r="D4" s="6" t="inlineStr">
        <is>
          <t>Not published – no MREL figure or requirement in the FY2023 FCMB UK Pillar 3 (text-searched 2026-09-19)</t>
        </is>
      </c>
      <c r="E4" s="6" t="inlineStr">
        <is>
          <t>Not published – no MREL figure or requirement in the FY2022 FCMB UK Pillar 3 (text-searched 2026-09-19)</t>
        </is>
      </c>
      <c r="F4" s="6" t="inlineStr">
        <is>
          <t>Not published – no MREL figure or requirement in the FY2021 FCMB UK Pillar 3 (text-searched 2026-09-19)</t>
        </is>
      </c>
      <c r="G4" s="6" t="inlineStr">
        <is>
          <t>Not published – no MREL figure or requirement in the FY2020 FCMB UK Pillar 3 (text-searched 2026-09-19)</t>
        </is>
      </c>
      <c r="H4" s="6" t="inlineStr">
        <is>
          <t>Not published – no MREL figure or requirement in the FY2019 FCMB UK Pillar 3 (text-searched 2026-09-19)</t>
        </is>
      </c>
    </row>
    <row r="5" ht="52" customHeight="1">
      <c r="A5" s="7" t="inlineStr">
        <is>
          <t>Note: Not publicly disclosed in any of the 5 years' Pillar 3 Disclosures reviewed - no MREL figure or exemption statement found. GA-020 re-check 2026-09-19: each edition FY2019-FY2025 re-fetched (FY2019 from Wayback: https://web.archive.org/web/20210125000915id_/https://www.fcmbuk.com/wp-content/uploads/2020/12/Pillar-III-Disclosures-FYE-2019-08Oct20-v3-002.pdf) and searched for 'MREL', 'eligible liabilities' and 'loss-absorbing'. The only hit is the FY2025 edition's description of the PRA's forthcoming PS11/26 MREL-resources disclosure (applying from 1 January 2027); no edition prints an MREL figure or states the Bank's MREL requirement.</t>
        </is>
      </c>
    </row>
    <row r="7" ht="182" customHeight="1">
      <c r="A7" s="8" t="inlineStr">
        <is>
          <t>Sources - FCMB Bank (UK) Limited Pillar 3 Disclosures ('Key Regulatory Metrics' table):
FY2025: Pillar III Disclosures FYE 2025, p.3 - https://fcmbuk.com/wp-content/uploads/2026/08/5.-Pillar-III-Disclosures-FYE-2025-30-June-2026.pdf
FY2024: Pillar III Disclosures FYE 2024, p.2 (own-year; also cross-checked against FY2025's comparative column, matched exactly) - https://fcmbuk.com/wp-content/uploads/2025/09/Pillar-III-Disclosures-FYE-2024.pdf
FY2023: Pillar III Disclosures FYE 2023, p.19 (own-year; also cross-checked against FY2024's comparative column, matched exactly) - https://fcmbuk.com/wp-content/uploads/2024/08/Pillar-III-Disclosures-FYE-2023.pdf
FY2022: Pillar III Disclosures FYE 2022, p.19 (own-year; also cross-checked against FY2023's comparative column, matched exactly) - https://fcmbuk.com/wp-content/uploads/2023/09/Pillar-III-Disclosures-FYE-2022.pdf
FY2021: sourced from FY2022's Pillar III Disclosures own comparative column - the FY2021 document itself (Pillar III Disclosures FYE 2021, https://fcmbuk.com/wp-content/uploads/2022/07/Pillar-III-Disclosures-FYE-2021-002.pdf) pre-dates this 'Key Regulatory Metrics'/KM1-style table and only discloses a 'Minimum Capital Requirements' breakdown with no CET1/Total Capital/RWA/Leverage/LCR/NSFR figures - same pattern as Aldermore/BLME/Bank of Ireland UK/British Arab Commercial Bank elsewhere in this project.
FY2020: Pillar III Disclosures FYE 2020, pp.8-9 (old-format capital and RWA tables; no KM1 leverage/LCR/NSFR table) - https://www.fcmbuk.com/wp-content/uploads/2021/12/Pillar-III-Disclosures-FYE-2020.pdf
LCR/NSFR methodology note (per the Bank's own documents, CRR Article 447): each LCR component is calculated as a 12-month average, and NSFR components as the average of the last 4 quarters - i.e. the LCR%/NSFR% shown are themselves already period averages, not point-in-time spot ratios.</t>
        </is>
      </c>
    </row>
  </sheetData>
  <mergeCells count="2">
    <mergeCell ref="A7:H7"/>
    <mergeCell ref="A5:H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2026-10-26T09:36:02Z</dcterms:created>
  <dcterms:modified xmlns:dcterms="http://purl.org/dc/terms/" xmlns:xsi="http://www.w3.org/2001/XMLSchema-instance" xsi:type="dcterms:W3CDTF">2026-10-26T09:36:02Z</dcterms:modified>
</cp:coreProperties>
</file>