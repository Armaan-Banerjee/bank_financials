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a:prstDash val="solid"/>
            </a:ln>
          </spPr>
          <cat>
            <numRef>
              <f>'Overview'!$L$5:$R$5</f>
            </numRef>
          </cat>
          <val>
            <numRef>
              <f>'Overview'!$L$6:$R$6</f>
            </numRef>
          </val>
        </ser>
        <ser>
          <idx val="1"/>
          <order val="1"/>
          <tx>
            <strRef>
              <f>'Overview'!K7</f>
            </strRef>
          </tx>
          <spPr>
            <a:ln>
              <a:prstDash val="solid"/>
            </a:ln>
          </spPr>
          <cat>
            <numRef>
              <f>'Overview'!$L$5:$R$5</f>
            </numRef>
          </cat>
          <val>
            <numRef>
              <f>'Overview'!$L$7:$R$7</f>
            </numRef>
          </val>
        </ser>
        <ser>
          <idx val="2"/>
          <order val="2"/>
          <tx>
            <strRef>
              <f>'Overview'!K8</f>
            </strRef>
          </tx>
          <spPr>
            <a:ln>
              <a:prstDash val="solid"/>
            </a:ln>
          </spPr>
          <cat>
            <numRef>
              <f>'Overview'!$L$5:$R$5</f>
            </numRef>
          </cat>
          <val>
            <numRef>
              <f>'Overview'!$L$8:$R$8</f>
            </numRef>
          </val>
        </ser>
        <ser>
          <idx val="3"/>
          <order val="3"/>
          <tx>
            <strRef>
              <f>'Overview'!K9</f>
            </strRef>
          </tx>
          <spPr>
            <a:l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a:prstDash val="solid"/>
            </a:ln>
          </spPr>
          <cat>
            <numRef>
              <f>'Overview'!$V$12:$AB$12</f>
            </numRef>
          </cat>
          <val>
            <numRef>
              <f>'Overview'!$V$13:$AB$13</f>
            </numRef>
          </val>
        </ser>
        <ser>
          <idx val="1"/>
          <order val="1"/>
          <tx>
            <strRef>
              <f>'Overview'!U14</f>
            </strRef>
          </tx>
          <spPr>
            <a:ln>
              <a:prstDash val="solid"/>
            </a:ln>
          </spPr>
          <cat>
            <numRef>
              <f>'Overview'!$V$12:$AB$12</f>
            </numRef>
          </cat>
          <val>
            <numRef>
              <f>'Overview'!$V$14:$AB$14</f>
            </numRef>
          </val>
        </ser>
        <ser>
          <idx val="2"/>
          <order val="2"/>
          <tx>
            <strRef>
              <f>'Overview'!U15</f>
            </strRef>
          </tx>
          <spPr>
            <a:l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a:prstDash val="solid"/>
            </a:ln>
          </spPr>
          <cat>
            <numRef>
              <f>'Overview'!$AF$18:$AL$18</f>
            </numRef>
          </cat>
          <val>
            <numRef>
              <f>'Overview'!$AF$19:$AL$19</f>
            </numRef>
          </val>
        </ser>
        <ser>
          <idx val="1"/>
          <order val="1"/>
          <tx>
            <strRef>
              <f>'Overview'!AE20</f>
            </strRef>
          </tx>
          <spPr>
            <a:ln>
              <a:prstDash val="solid"/>
            </a:ln>
          </spPr>
          <cat>
            <numRef>
              <f>'Overview'!$AF$18:$AL$18</f>
            </numRef>
          </cat>
          <val>
            <numRef>
              <f>'Overview'!$AF$20:$AL$20</f>
            </numRef>
          </val>
        </ser>
        <ser>
          <idx val="2"/>
          <order val="2"/>
          <tx>
            <strRef>
              <f>'Overview'!AE21</f>
            </strRef>
          </tx>
          <spPr>
            <a:l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a:prstDash val="solid"/>
            </a:ln>
          </spPr>
          <cat>
            <numRef>
              <f>'Overview'!$AP$24:$AV$24</f>
            </numRef>
          </cat>
          <val>
            <numRef>
              <f>'Overview'!$AP$25:$AV$25</f>
            </numRef>
          </val>
        </ser>
        <ser>
          <idx val="1"/>
          <order val="1"/>
          <tx>
            <strRef>
              <f>'Overview'!AO26</f>
            </strRef>
          </tx>
          <spPr>
            <a:ln>
              <a:prstDash val="solid"/>
            </a:ln>
          </spPr>
          <cat>
            <numRef>
              <f>'Overview'!$AP$24:$AV$24</f>
            </numRef>
          </cat>
          <val>
            <numRef>
              <f>'Overview'!$AP$26:$AV$26</f>
            </numRef>
          </val>
        </ser>
        <ser>
          <idx val="2"/>
          <order val="2"/>
          <tx>
            <strRef>
              <f>'Overview'!AO27</f>
            </strRef>
          </tx>
          <spPr>
            <a:ln>
              <a:prstDash val="solid"/>
            </a:ln>
          </spPr>
          <cat>
            <numRef>
              <f>'Overview'!$AP$24:$AV$24</f>
            </numRef>
          </cat>
          <val>
            <numRef>
              <f>'Overview'!$AP$27:$AV$27</f>
            </numRef>
          </val>
        </ser>
        <ser>
          <idx val="3"/>
          <order val="3"/>
          <tx>
            <strRef>
              <f>'Overview'!AO28</f>
            </strRef>
          </tx>
          <spPr>
            <a:l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a:prstDash val="solid"/>
            </a:ln>
          </spPr>
          <marker>
            <symbol val="none"/>
            <spPr>
              <a:ln>
                <a:prstDash val="solid"/>
              </a:ln>
            </spPr>
          </marker>
          <cat>
            <numRef>
              <f>'Overview'!$AZ$5:$BF$5</f>
            </numRef>
          </cat>
          <val>
            <numRef>
              <f>'Overview'!$AZ$6:$BF$6</f>
            </numRef>
          </val>
          <smooth val="0"/>
        </ser>
        <ser>
          <idx val="1"/>
          <order val="1"/>
          <tx>
            <strRef>
              <f>'Overview'!AY7</f>
            </strRef>
          </tx>
          <spPr>
            <a:ln>
              <a:prstDash val="solid"/>
            </a:ln>
          </spPr>
          <marker>
            <symbol val="none"/>
            <spPr>
              <a:ln>
                <a:prstDash val="solid"/>
              </a:ln>
            </spPr>
          </marker>
          <cat>
            <numRef>
              <f>'Overview'!$AZ$5:$BF$5</f>
            </numRef>
          </cat>
          <val>
            <numRef>
              <f>'Overview'!$AZ$7:$BF$7</f>
            </numRef>
          </val>
          <smooth val="0"/>
        </ser>
        <ser>
          <idx val="2"/>
          <order val="2"/>
          <tx>
            <strRef>
              <f>'Overview'!AY8</f>
            </strRef>
          </tx>
          <spPr>
            <a:ln>
              <a:prstDash val="solid"/>
            </a:ln>
          </spPr>
          <marker>
            <symbol val="none"/>
            <spPr>
              <a:ln>
                <a:prstDash val="solid"/>
              </a:ln>
            </spPr>
          </marker>
          <cat>
            <numRef>
              <f>'Overview'!$AZ$5:$BF$5</f>
            </numRef>
          </cat>
          <val>
            <numRef>
              <f>'Overview'!$AZ$8:$BF$8</f>
            </numRef>
          </val>
          <smooth val="0"/>
        </ser>
        <ser>
          <idx val="3"/>
          <order val="3"/>
          <tx>
            <strRef>
              <f>'Overview'!AY9</f>
            </strRef>
          </tx>
          <spPr>
            <a:ln>
              <a:prstDash val="solid"/>
            </a:ln>
          </spPr>
          <marker>
            <symbol val="none"/>
            <spPr>
              <a:ln>
                <a:prstDash val="solid"/>
              </a:ln>
            </spPr>
          </marker>
          <cat>
            <numRef>
              <f>'Overview'!$AZ$5:$BF$5</f>
            </numRef>
          </cat>
          <val>
            <numRef>
              <f>'Overview'!$AZ$9:$BF$9</f>
            </numRef>
          </val>
          <smooth val="0"/>
        </ser>
        <ser>
          <idx val="4"/>
          <order val="4"/>
          <tx>
            <strRef>
              <f>'Overview'!AY10</f>
            </strRef>
          </tx>
          <spPr>
            <a:ln>
              <a:prstDash val="solid"/>
            </a:ln>
          </spPr>
          <marker>
            <symbol val="none"/>
            <spPr>
              <a:ln>
                <a:prstDash val="solid"/>
              </a:ln>
            </spPr>
          </marker>
          <cat>
            <numRef>
              <f>'Overview'!$AZ$5:$BF$5</f>
            </numRef>
          </cat>
          <val>
            <numRef>
              <f>'Overview'!$AZ$10:$BF$10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62</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84</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106</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128</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451390.7</v>
      </c>
      <c r="C6" s="5" t="n">
        <v>416637.4</v>
      </c>
      <c r="D6" s="5" t="n">
        <v>362314.5</v>
      </c>
      <c r="E6" s="5" t="n">
        <v>425778.8</v>
      </c>
      <c r="F6" s="5" t="n">
        <v>297650.4</v>
      </c>
      <c r="G6" s="5" t="n">
        <v>280054.6</v>
      </c>
      <c r="H6" s="5" t="n">
        <v>274316.9</v>
      </c>
      <c r="K6" t="inlineStr">
        <is>
          <t>Total assets</t>
        </is>
      </c>
      <c r="L6" t="n">
        <v>274316.9</v>
      </c>
      <c r="M6" t="n">
        <v>280054.6</v>
      </c>
      <c r="N6" t="n">
        <v>297650.4</v>
      </c>
      <c r="O6" t="n">
        <v>425778.8</v>
      </c>
      <c r="P6" t="n">
        <v>362314.5</v>
      </c>
      <c r="Q6" t="n">
        <v>416637.4</v>
      </c>
      <c r="R6" t="n">
        <v>451390.7</v>
      </c>
      <c r="AY6" t="inlineStr">
        <is>
          <t>CET1 Ratio</t>
        </is>
      </c>
      <c r="BA6" t="n">
        <v>27.27</v>
      </c>
      <c r="BB6" t="n">
        <v>17.29</v>
      </c>
      <c r="BC6" t="n">
        <v>16.97</v>
      </c>
      <c r="BD6" t="n">
        <v>17.39</v>
      </c>
      <c r="BE6" t="n">
        <v>16.55</v>
      </c>
      <c r="BF6" t="n">
        <v>14.83</v>
      </c>
    </row>
    <row r="7">
      <c r="A7" s="5" t="inlineStr">
        <is>
          <t>Loans and advances to customers</t>
        </is>
      </c>
      <c r="B7" s="5" t="n">
        <v>86069.89999999999</v>
      </c>
      <c r="C7" s="5" t="n">
        <v>68791.39999999999</v>
      </c>
      <c r="D7" s="5" t="n">
        <v>58578.6</v>
      </c>
      <c r="E7" s="5" t="n">
        <v>59060.5</v>
      </c>
      <c r="F7" s="5" t="n">
        <v>58754.1</v>
      </c>
      <c r="G7" s="5" t="n">
        <v>37821.9</v>
      </c>
      <c r="H7" s="5" t="n">
        <v>28304.6</v>
      </c>
      <c r="K7" t="inlineStr">
        <is>
          <t>Loans and advances to customers</t>
        </is>
      </c>
      <c r="L7" t="n">
        <v>28304.6</v>
      </c>
      <c r="M7" t="n">
        <v>37821.9</v>
      </c>
      <c r="N7" t="n">
        <v>58754.1</v>
      </c>
      <c r="O7" t="n">
        <v>59060.5</v>
      </c>
      <c r="P7" t="n">
        <v>58578.6</v>
      </c>
      <c r="Q7" t="n">
        <v>68791.39999999999</v>
      </c>
      <c r="R7" t="n">
        <v>86069.89999999999</v>
      </c>
      <c r="AY7" t="inlineStr">
        <is>
          <t>Total Capital Ratio</t>
        </is>
      </c>
      <c r="BA7" t="n">
        <v>29.16</v>
      </c>
      <c r="BB7" t="n">
        <v>19.3</v>
      </c>
      <c r="BC7" t="n">
        <v>20.33</v>
      </c>
      <c r="BD7" t="n">
        <v>20.73</v>
      </c>
      <c r="BE7" t="n">
        <v>19.29</v>
      </c>
      <c r="BF7" t="n">
        <v>17.43</v>
      </c>
    </row>
    <row r="8">
      <c r="A8" s="5" t="inlineStr">
        <is>
          <t>Deposits from customers</t>
        </is>
      </c>
      <c r="B8" s="5" t="n">
        <v>167885.2</v>
      </c>
      <c r="C8" s="5" t="n">
        <v>128119.3</v>
      </c>
      <c r="D8" s="5" t="n">
        <v>122000.9</v>
      </c>
      <c r="E8" s="5" t="n">
        <v>176178.6</v>
      </c>
      <c r="F8" s="5" t="n">
        <v>146047.2</v>
      </c>
      <c r="G8" s="5" t="n">
        <v>122653.8</v>
      </c>
      <c r="H8" s="5" t="n">
        <v>92437.3</v>
      </c>
      <c r="K8" t="inlineStr">
        <is>
          <t>Deposits from customers</t>
        </is>
      </c>
      <c r="L8" t="n">
        <v>92437.3</v>
      </c>
      <c r="M8" t="n">
        <v>122653.8</v>
      </c>
      <c r="N8" t="n">
        <v>146047.2</v>
      </c>
      <c r="O8" t="n">
        <v>176178.6</v>
      </c>
      <c r="P8" t="n">
        <v>122000.9</v>
      </c>
      <c r="Q8" t="n">
        <v>128119.3</v>
      </c>
      <c r="R8" t="n">
        <v>167885.2</v>
      </c>
      <c r="AY8" t="inlineStr">
        <is>
          <t>Leverage Ratio</t>
        </is>
      </c>
      <c r="BB8" t="n">
        <v>10.12</v>
      </c>
      <c r="BC8" t="n">
        <v>7.41</v>
      </c>
      <c r="BD8" t="n">
        <v>10.29</v>
      </c>
      <c r="BE8" t="n">
        <v>14.73</v>
      </c>
      <c r="BF8" t="n">
        <v>8.81</v>
      </c>
    </row>
    <row r="9">
      <c r="A9" s="5" t="inlineStr">
        <is>
          <t>Total equity</t>
        </is>
      </c>
      <c r="B9" s="5" t="n">
        <v>41433.2</v>
      </c>
      <c r="C9" s="5" t="n">
        <v>47350.9</v>
      </c>
      <c r="D9" s="5" t="n">
        <v>43429.4</v>
      </c>
      <c r="E9" s="5" t="n">
        <v>36482</v>
      </c>
      <c r="F9" s="5" t="n">
        <v>33373.9</v>
      </c>
      <c r="G9" s="5" t="n">
        <v>32098</v>
      </c>
      <c r="H9" s="5" t="n">
        <v>33319.4</v>
      </c>
      <c r="K9" t="inlineStr">
        <is>
          <t>Total equity</t>
        </is>
      </c>
      <c r="L9" t="n">
        <v>33319.4</v>
      </c>
      <c r="M9" t="n">
        <v>32098</v>
      </c>
      <c r="N9" t="n">
        <v>33373.9</v>
      </c>
      <c r="O9" t="n">
        <v>36482</v>
      </c>
      <c r="P9" t="n">
        <v>43429.4</v>
      </c>
      <c r="Q9" t="n">
        <v>47350.9</v>
      </c>
      <c r="R9" t="n">
        <v>41433.2</v>
      </c>
      <c r="AY9" t="inlineStr">
        <is>
          <t>LCR</t>
        </is>
      </c>
      <c r="BB9" t="n">
        <v>371</v>
      </c>
      <c r="BC9" t="n">
        <v>513</v>
      </c>
      <c r="BD9" t="n">
        <v>729</v>
      </c>
      <c r="BE9" t="n">
        <v>333</v>
      </c>
      <c r="BF9" t="n">
        <v>273</v>
      </c>
    </row>
    <row r="10">
      <c r="AY10" t="inlineStr">
        <is>
          <t>NSFR</t>
        </is>
      </c>
      <c r="BB10" t="n">
        <v>206</v>
      </c>
      <c r="BC10" t="n">
        <v>179</v>
      </c>
      <c r="BD10" t="n">
        <v>174</v>
      </c>
      <c r="BE10" t="n">
        <v>166</v>
      </c>
      <c r="BF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operating income</t>
        </is>
      </c>
      <c r="B13" s="5" t="n">
        <v>10260.3</v>
      </c>
      <c r="C13" s="5" t="n">
        <v>16395.7</v>
      </c>
      <c r="D13" s="5" t="n">
        <v>17083.4</v>
      </c>
      <c r="E13" s="5" t="n">
        <v>13274.1</v>
      </c>
      <c r="F13" s="5" t="n">
        <v>9333.299999999999</v>
      </c>
      <c r="G13" s="5" t="n">
        <v>6419.1</v>
      </c>
      <c r="H13" s="5" t="n">
        <v>7513.8</v>
      </c>
      <c r="U13" t="inlineStr">
        <is>
          <t>Net operating income</t>
        </is>
      </c>
      <c r="V13" t="n">
        <v>7513.8</v>
      </c>
      <c r="W13" t="n">
        <v>6419.1</v>
      </c>
      <c r="X13" t="n">
        <v>9333.299999999999</v>
      </c>
      <c r="Y13" t="n">
        <v>13274.1</v>
      </c>
      <c r="Z13" t="n">
        <v>17083.4</v>
      </c>
      <c r="AA13" t="n">
        <v>16395.7</v>
      </c>
      <c r="AB13" t="n">
        <v>10260.3</v>
      </c>
    </row>
    <row r="14">
      <c r="A14" s="5" t="inlineStr">
        <is>
          <t>Total operating expenses</t>
        </is>
      </c>
      <c r="B14" s="5" t="n">
        <v>-13973.8</v>
      </c>
      <c r="C14" s="5" t="n">
        <v>-13813.2</v>
      </c>
      <c r="D14" s="5" t="n">
        <v>-12546.9</v>
      </c>
      <c r="E14" s="5" t="n">
        <v>-10885.2</v>
      </c>
      <c r="F14" s="5" t="n">
        <v>-8516</v>
      </c>
      <c r="G14" s="5" t="n">
        <v>-6836.8</v>
      </c>
      <c r="H14" s="5" t="n">
        <v>-6343.3</v>
      </c>
      <c r="U14" t="inlineStr">
        <is>
          <t>Total operating expenses</t>
        </is>
      </c>
      <c r="V14" t="n">
        <v>-6343.3</v>
      </c>
      <c r="W14" t="n">
        <v>-6836.8</v>
      </c>
      <c r="X14" t="n">
        <v>-8516</v>
      </c>
      <c r="Y14" t="n">
        <v>-10885.2</v>
      </c>
      <c r="Z14" t="n">
        <v>-12546.9</v>
      </c>
      <c r="AA14" t="n">
        <v>-13813.2</v>
      </c>
      <c r="AB14" t="n">
        <v>-13973.8</v>
      </c>
    </row>
    <row r="15">
      <c r="A15" s="5" t="inlineStr">
        <is>
          <t>Profit/(Loss) for the year</t>
        </is>
      </c>
      <c r="B15" s="5" t="n">
        <v>-2787.1</v>
      </c>
      <c r="C15" s="5" t="n">
        <v>1924.4</v>
      </c>
      <c r="D15" s="5" t="n">
        <v>3460.6</v>
      </c>
      <c r="E15" s="5" t="n">
        <v>1946</v>
      </c>
      <c r="F15" s="5" t="n">
        <v>1189.3</v>
      </c>
      <c r="G15" s="5" t="n">
        <v>-301.3</v>
      </c>
      <c r="H15" s="5" t="n">
        <v>1170.5</v>
      </c>
      <c r="U15" t="inlineStr">
        <is>
          <t>Profit/(Loss) for the year</t>
        </is>
      </c>
      <c r="V15" t="n">
        <v>1170.5</v>
      </c>
      <c r="W15" t="n">
        <v>-301.3</v>
      </c>
      <c r="X15" t="n">
        <v>1189.3</v>
      </c>
      <c r="Y15" t="n">
        <v>1946</v>
      </c>
      <c r="Z15" t="n">
        <v>3460.6</v>
      </c>
      <c r="AA15" t="n">
        <v>1924.4</v>
      </c>
      <c r="AB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47350.9</v>
      </c>
      <c r="C19" s="5" t="n">
        <v>43429.4</v>
      </c>
      <c r="D19" s="5" t="n">
        <v>36482</v>
      </c>
      <c r="E19" s="5" t="n">
        <v>33373.9</v>
      </c>
      <c r="F19" s="5" t="n">
        <v>32098</v>
      </c>
      <c r="G19" s="5" t="n">
        <v>33319.4</v>
      </c>
      <c r="H19" s="5" t="n"/>
      <c r="AE19" t="inlineStr">
        <is>
          <t>Opening equity</t>
        </is>
      </c>
      <c r="AG19" t="n">
        <v>33319.4</v>
      </c>
      <c r="AH19" t="n">
        <v>32098</v>
      </c>
      <c r="AI19" t="n">
        <v>33373.9</v>
      </c>
      <c r="AJ19" t="n">
        <v>36482</v>
      </c>
      <c r="AK19" t="n">
        <v>43429.4</v>
      </c>
      <c r="AL19" t="n">
        <v>47350.9</v>
      </c>
    </row>
    <row r="20">
      <c r="A20" s="5" t="inlineStr">
        <is>
          <t>Total comprehensive income/(loss) for the year</t>
        </is>
      </c>
      <c r="B20" s="5" t="n">
        <v>-2683.4</v>
      </c>
      <c r="C20" s="5" t="n">
        <v>3102.3</v>
      </c>
      <c r="D20" s="5" t="n">
        <v>4953.8</v>
      </c>
      <c r="E20" s="5" t="n">
        <v>-802.9</v>
      </c>
      <c r="F20" s="5" t="n">
        <v>927.7</v>
      </c>
      <c r="G20" s="5" t="n">
        <v>-111</v>
      </c>
      <c r="H20" s="5" t="n"/>
      <c r="AE20" t="inlineStr">
        <is>
          <t>Total comprehensive income/(loss) for the year</t>
        </is>
      </c>
      <c r="AG20" t="n">
        <v>-111</v>
      </c>
      <c r="AH20" t="n">
        <v>927.7</v>
      </c>
      <c r="AI20" t="n">
        <v>-802.9</v>
      </c>
      <c r="AJ20" t="n">
        <v>4953.8</v>
      </c>
      <c r="AK20" t="n">
        <v>3102.3</v>
      </c>
      <c r="AL20" t="n">
        <v>-2683.4</v>
      </c>
    </row>
    <row r="21">
      <c r="A21" s="5" t="inlineStr">
        <is>
          <t>Closing equity</t>
        </is>
      </c>
      <c r="B21" s="5" t="n">
        <v>41433.2</v>
      </c>
      <c r="C21" s="5" t="n">
        <v>47350.9</v>
      </c>
      <c r="D21" s="5" t="n">
        <v>43429.4</v>
      </c>
      <c r="E21" s="5" t="n">
        <v>36482</v>
      </c>
      <c r="F21" s="5" t="n">
        <v>33373.9</v>
      </c>
      <c r="G21" s="5" t="n">
        <v>32098</v>
      </c>
      <c r="H21" s="5" t="n">
        <v>33319.4</v>
      </c>
      <c r="AE21" t="inlineStr">
        <is>
          <t>Closing equity</t>
        </is>
      </c>
      <c r="AF21" t="n">
        <v>33319.4</v>
      </c>
      <c r="AG21" t="n">
        <v>32098</v>
      </c>
      <c r="AH21" t="n">
        <v>33373.9</v>
      </c>
      <c r="AI21" t="n">
        <v>36482</v>
      </c>
      <c r="AJ21" t="n">
        <v>43429.4</v>
      </c>
      <c r="AK21" t="n">
        <v>47350.9</v>
      </c>
      <c r="AL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flows from operating activities</t>
        </is>
      </c>
      <c r="B25" s="5" t="n">
        <v>4230.7</v>
      </c>
      <c r="C25" s="5" t="n">
        <v>5533.8</v>
      </c>
      <c r="D25" s="5" t="n">
        <v>-81910.2</v>
      </c>
      <c r="E25" s="5" t="n">
        <v>90909.10000000001</v>
      </c>
      <c r="F25" s="5" t="n">
        <v>-15725.8</v>
      </c>
      <c r="G25" s="5" t="n">
        <v>-2038.5</v>
      </c>
      <c r="H25" s="5" t="n">
        <v>77612</v>
      </c>
      <c r="AO25" t="inlineStr">
        <is>
          <t>Net cash flows from operating activities</t>
        </is>
      </c>
      <c r="AP25" t="n">
        <v>77612</v>
      </c>
      <c r="AQ25" t="n">
        <v>-2038.5</v>
      </c>
      <c r="AR25" t="n">
        <v>-15725.8</v>
      </c>
      <c r="AS25" t="n">
        <v>90909.10000000001</v>
      </c>
      <c r="AT25" t="n">
        <v>-81910.2</v>
      </c>
      <c r="AU25" t="n">
        <v>5533.8</v>
      </c>
      <c r="AV25" t="n">
        <v>4230.7</v>
      </c>
    </row>
    <row r="26">
      <c r="A26" s="5" t="inlineStr">
        <is>
          <t>Net cash flows from investing activities</t>
        </is>
      </c>
      <c r="B26" s="5" t="n">
        <v>-2272.9</v>
      </c>
      <c r="C26" s="5" t="n">
        <v>-5407.6</v>
      </c>
      <c r="D26" s="5" t="n">
        <v>78518.39999999999</v>
      </c>
      <c r="E26" s="5" t="n">
        <v>-93365</v>
      </c>
      <c r="F26" s="5" t="n">
        <v>10905</v>
      </c>
      <c r="G26" s="5" t="n">
        <v>110.2</v>
      </c>
      <c r="H26" s="5" t="n">
        <v>-72513.3</v>
      </c>
      <c r="AO26" t="inlineStr">
        <is>
          <t>Net cash flows from investing activities</t>
        </is>
      </c>
      <c r="AP26" t="n">
        <v>-72513.3</v>
      </c>
      <c r="AQ26" t="n">
        <v>110.2</v>
      </c>
      <c r="AR26" t="n">
        <v>10905</v>
      </c>
      <c r="AS26" t="n">
        <v>-93365</v>
      </c>
      <c r="AT26" t="n">
        <v>78518.39999999999</v>
      </c>
      <c r="AU26" t="n">
        <v>-5407.6</v>
      </c>
      <c r="AV26" t="n">
        <v>-2272.9</v>
      </c>
    </row>
    <row r="27">
      <c r="A27" s="5" t="inlineStr">
        <is>
          <t>Net cash flows from financing activities</t>
        </is>
      </c>
      <c r="B27" s="5" t="n">
        <v>-342.8</v>
      </c>
      <c r="C27" s="5" t="n">
        <v>-313.5</v>
      </c>
      <c r="D27" s="5" t="n">
        <v>3691.2</v>
      </c>
      <c r="E27" s="5" t="n">
        <v>3430.3</v>
      </c>
      <c r="F27" s="5" t="n">
        <v>-292.9</v>
      </c>
      <c r="G27" s="5" t="n">
        <v>-317.8</v>
      </c>
      <c r="H27" s="5" t="n"/>
      <c r="AO27" t="inlineStr">
        <is>
          <t>Net cash flows from financing activities</t>
        </is>
      </c>
      <c r="AQ27" t="n">
        <v>-317.8</v>
      </c>
      <c r="AR27" t="n">
        <v>-292.9</v>
      </c>
      <c r="AS27" t="n">
        <v>3430.3</v>
      </c>
      <c r="AT27" t="n">
        <v>3691.2</v>
      </c>
      <c r="AU27" t="n">
        <v>-313.5</v>
      </c>
      <c r="AV27" t="n">
        <v>-342.8</v>
      </c>
    </row>
    <row r="28">
      <c r="A28" s="5" t="inlineStr">
        <is>
          <t>Cash and cash equivalents at 31 December</t>
        </is>
      </c>
      <c r="B28" s="5" t="n">
        <v>7486.3</v>
      </c>
      <c r="C28" s="5" t="n">
        <v>5806.3</v>
      </c>
      <c r="D28" s="5" t="n">
        <v>5889.5</v>
      </c>
      <c r="E28" s="5" t="n">
        <v>5884.2</v>
      </c>
      <c r="F28" s="5" t="n">
        <v>4422.7</v>
      </c>
      <c r="G28" s="5" t="n">
        <v>9533.799999999999</v>
      </c>
      <c r="H28" s="5" t="n">
        <v>11899.8</v>
      </c>
      <c r="AO28" t="inlineStr">
        <is>
          <t>Cash and cash equivalents at 31 December</t>
        </is>
      </c>
      <c r="AP28" t="n">
        <v>11899.8</v>
      </c>
      <c r="AQ28" t="n">
        <v>9533.799999999999</v>
      </c>
      <c r="AR28" t="n">
        <v>4422.7</v>
      </c>
      <c r="AS28" t="n">
        <v>5884.2</v>
      </c>
      <c r="AT28" t="n">
        <v>5889.5</v>
      </c>
      <c r="AU28" t="n">
        <v>5806.3</v>
      </c>
      <c r="AV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14.83%</t>
        </is>
      </c>
      <c r="C32" s="6" t="inlineStr">
        <is>
          <t>16.55%</t>
        </is>
      </c>
      <c r="D32" s="6" t="inlineStr">
        <is>
          <t>17.39%</t>
        </is>
      </c>
      <c r="E32" s="6" t="inlineStr">
        <is>
          <t>16.97%</t>
        </is>
      </c>
      <c r="F32" s="6" t="inlineStr">
        <is>
          <t>17.29%</t>
        </is>
      </c>
      <c r="G32" s="6" t="inlineStr">
        <is>
          <t>27.27%</t>
        </is>
      </c>
      <c r="H32" s="6" t="n"/>
    </row>
    <row r="33">
      <c r="A33" s="6" t="inlineStr">
        <is>
          <t>Total Capital Ratio</t>
        </is>
      </c>
      <c r="B33" s="6" t="inlineStr">
        <is>
          <t>17.43%</t>
        </is>
      </c>
      <c r="C33" s="6" t="inlineStr">
        <is>
          <t>19.29%</t>
        </is>
      </c>
      <c r="D33" s="6" t="inlineStr">
        <is>
          <t>20.73%</t>
        </is>
      </c>
      <c r="E33" s="6" t="inlineStr">
        <is>
          <t>20.33%</t>
        </is>
      </c>
      <c r="F33" s="6" t="inlineStr">
        <is>
          <t>19.30%</t>
        </is>
      </c>
      <c r="G33" s="6" t="inlineStr">
        <is>
          <t>29.16%</t>
        </is>
      </c>
      <c r="H33" s="6" t="n"/>
    </row>
    <row r="34">
      <c r="A34" s="6" t="inlineStr">
        <is>
          <t>Leverage Ratio</t>
        </is>
      </c>
      <c r="B34" s="6" t="inlineStr">
        <is>
          <t>8.81%</t>
        </is>
      </c>
      <c r="C34" s="6" t="inlineStr">
        <is>
          <t>14.73%</t>
        </is>
      </c>
      <c r="D34" s="6" t="inlineStr">
        <is>
          <t>10.29%</t>
        </is>
      </c>
      <c r="E34" s="6" t="inlineStr">
        <is>
          <t>7.41%</t>
        </is>
      </c>
      <c r="F34" s="6" t="inlineStr">
        <is>
          <t>10.12%</t>
        </is>
      </c>
      <c r="G34" s="6" t="n"/>
      <c r="H34" s="6" t="n"/>
    </row>
    <row r="35">
      <c r="A35" s="6" t="inlineStr">
        <is>
          <t>LCR</t>
        </is>
      </c>
      <c r="B35" s="6" t="inlineStr">
        <is>
          <t>273%</t>
        </is>
      </c>
      <c r="C35" s="6" t="inlineStr">
        <is>
          <t>333%</t>
        </is>
      </c>
      <c r="D35" s="6" t="inlineStr">
        <is>
          <t>729%</t>
        </is>
      </c>
      <c r="E35" s="6" t="inlineStr">
        <is>
          <t>513%</t>
        </is>
      </c>
      <c r="F35" s="6" t="inlineStr">
        <is>
          <t>371%</t>
        </is>
      </c>
      <c r="G35" s="6" t="n"/>
      <c r="H35" s="6" t="n"/>
    </row>
    <row r="36">
      <c r="A36" s="6" t="inlineStr">
        <is>
          <t>NSFR</t>
        </is>
      </c>
      <c r="B36" s="6" t="inlineStr">
        <is>
          <t>157%</t>
        </is>
      </c>
      <c r="C36" s="6" t="inlineStr">
        <is>
          <t>166%</t>
        </is>
      </c>
      <c r="D36" s="6" t="inlineStr">
        <is>
          <t>174%</t>
        </is>
      </c>
      <c r="E36" s="6" t="inlineStr">
        <is>
          <t>179%</t>
        </is>
      </c>
      <c r="F36" s="6" t="inlineStr">
        <is>
          <t>206%</t>
        </is>
      </c>
      <c r="G36" s="6" t="n"/>
      <c r="H36" s="6" t="n"/>
    </row>
    <row r="38" ht="45"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7486.3</v>
      </c>
      <c r="C5" s="6" t="n">
        <v>5806.3</v>
      </c>
      <c r="D5" s="6" t="n">
        <v>5889.5</v>
      </c>
      <c r="E5" s="6" t="n">
        <v>5884.2</v>
      </c>
      <c r="F5" s="6" t="n">
        <v>4422.7</v>
      </c>
      <c r="G5" s="6" t="n">
        <v>9533.799999999999</v>
      </c>
      <c r="H5" s="6" t="n">
        <v>11907.4</v>
      </c>
    </row>
    <row r="6">
      <c r="A6" s="6" t="inlineStr">
        <is>
          <t>Loans and advances to banks</t>
        </is>
      </c>
      <c r="B6" s="6" t="n">
        <v>202396.1</v>
      </c>
      <c r="C6" s="6" t="n">
        <v>172028</v>
      </c>
      <c r="D6" s="6" t="n">
        <v>141046.2</v>
      </c>
      <c r="E6" s="6" t="n">
        <v>115672.2</v>
      </c>
      <c r="F6" s="6" t="n">
        <v>97883.39999999999</v>
      </c>
      <c r="G6" s="6" t="n">
        <v>86229.8</v>
      </c>
      <c r="H6" s="6" t="n">
        <v>84894.2</v>
      </c>
    </row>
    <row r="7">
      <c r="A7" s="6" t="inlineStr">
        <is>
          <t>Loans and advances to customers</t>
        </is>
      </c>
      <c r="B7" s="6" t="n">
        <v>86069.89999999999</v>
      </c>
      <c r="C7" s="6" t="n">
        <v>68791.39999999999</v>
      </c>
      <c r="D7" s="6" t="n">
        <v>58578.6</v>
      </c>
      <c r="E7" s="6" t="n">
        <v>59060.5</v>
      </c>
      <c r="F7" s="6" t="n">
        <v>58754.1</v>
      </c>
      <c r="G7" s="6" t="n">
        <v>37821.9</v>
      </c>
      <c r="H7" s="6" t="n">
        <v>28304.6</v>
      </c>
    </row>
    <row r="8">
      <c r="A8" s="6" t="inlineStr">
        <is>
          <t>Investment securities</t>
        </is>
      </c>
      <c r="B8" s="6" t="n">
        <v>145326.7</v>
      </c>
      <c r="C8" s="6" t="n">
        <v>157220.7</v>
      </c>
      <c r="D8" s="6" t="n">
        <v>147581.3</v>
      </c>
      <c r="E8" s="6" t="n">
        <v>235386.8</v>
      </c>
      <c r="F8" s="6" t="n">
        <v>128746</v>
      </c>
      <c r="G8" s="6" t="n">
        <v>138826.9</v>
      </c>
      <c r="H8" s="6" t="n">
        <v>143643.8</v>
      </c>
    </row>
    <row r="9">
      <c r="A9" s="6" t="inlineStr">
        <is>
          <t>Derivative financial instruments</t>
        </is>
      </c>
      <c r="B9" s="6" t="n">
        <v>2208.6</v>
      </c>
      <c r="C9" s="6" t="n">
        <v>1144.5</v>
      </c>
      <c r="D9" s="6" t="n">
        <v>1254.9</v>
      </c>
      <c r="E9" s="6" t="n">
        <v>1530.5</v>
      </c>
      <c r="F9" s="6" t="n">
        <v>616.9</v>
      </c>
      <c r="G9" s="6" t="n">
        <v>2720.2</v>
      </c>
      <c r="H9" s="6" t="n"/>
    </row>
    <row r="10">
      <c r="A10" s="6" t="inlineStr">
        <is>
          <t>Other assets</t>
        </is>
      </c>
      <c r="B10" s="6" t="n">
        <v>6861.3</v>
      </c>
      <c r="C10" s="6" t="n">
        <v>10391.4</v>
      </c>
      <c r="D10" s="6" t="n">
        <v>7146.7</v>
      </c>
      <c r="E10" s="6" t="n">
        <v>6257.2</v>
      </c>
      <c r="F10" s="6" t="n">
        <v>4874</v>
      </c>
      <c r="G10" s="6" t="n">
        <v>2582.6</v>
      </c>
      <c r="H10" s="6" t="n">
        <v>2899.8</v>
      </c>
    </row>
    <row r="11">
      <c r="A11" s="6" t="inlineStr">
        <is>
          <t>Deferred tax asset</t>
        </is>
      </c>
      <c r="B11" s="6" t="n">
        <v>265.7</v>
      </c>
      <c r="C11" s="6" t="n"/>
      <c r="D11" s="6" t="n">
        <v>15.6</v>
      </c>
      <c r="E11" s="6" t="n">
        <v>131.4</v>
      </c>
      <c r="F11" s="6" t="n">
        <v>488.7</v>
      </c>
      <c r="G11" s="6" t="n">
        <v>109.3</v>
      </c>
      <c r="H11" s="6" t="n"/>
    </row>
    <row r="12">
      <c r="A12" s="6" t="inlineStr">
        <is>
          <t>Property and equipment</t>
        </is>
      </c>
      <c r="B12" s="6" t="n">
        <v>384.4</v>
      </c>
      <c r="C12" s="6" t="n">
        <v>759.9</v>
      </c>
      <c r="D12" s="6" t="n">
        <v>377.3</v>
      </c>
      <c r="E12" s="6" t="n">
        <v>1530.9</v>
      </c>
      <c r="F12" s="6" t="n">
        <v>1653.8</v>
      </c>
      <c r="G12" s="6" t="n">
        <v>1912.5</v>
      </c>
      <c r="H12" s="6" t="n">
        <v>2274.6</v>
      </c>
    </row>
    <row r="13">
      <c r="A13" s="6" t="inlineStr">
        <is>
          <t>Intangible assets</t>
        </is>
      </c>
      <c r="B13" s="6" t="n">
        <v>391.7</v>
      </c>
      <c r="C13" s="6" t="n">
        <v>495.2</v>
      </c>
      <c r="D13" s="6" t="n">
        <v>424.5</v>
      </c>
      <c r="E13" s="6" t="n">
        <v>325.1</v>
      </c>
      <c r="F13" s="6" t="n">
        <v>210.8</v>
      </c>
      <c r="G13" s="6" t="n">
        <v>317.5</v>
      </c>
      <c r="H13" s="6" t="n">
        <v>407.6</v>
      </c>
    </row>
    <row r="14">
      <c r="A14" s="5" t="inlineStr">
        <is>
          <t>Total assets</t>
        </is>
      </c>
      <c r="B14" s="5" t="n">
        <v>451390.7</v>
      </c>
      <c r="C14" s="5" t="n">
        <v>416637.4</v>
      </c>
      <c r="D14" s="5" t="n">
        <v>362314.5</v>
      </c>
      <c r="E14" s="5" t="n">
        <v>425778.8</v>
      </c>
      <c r="F14" s="5" t="n">
        <v>297650.4</v>
      </c>
      <c r="G14" s="5" t="n">
        <v>280054.6</v>
      </c>
      <c r="H14" s="5" t="n">
        <v>274316.9</v>
      </c>
    </row>
    <row r="15">
      <c r="A15" s="5" t="inlineStr">
        <is>
          <t>Liabilities</t>
        </is>
      </c>
      <c r="B15" s="6" t="n"/>
      <c r="C15" s="6" t="n"/>
      <c r="D15" s="6" t="n"/>
      <c r="E15" s="6" t="n"/>
      <c r="F15" s="6" t="n"/>
      <c r="G15" s="6" t="n"/>
      <c r="H15" s="6" t="n"/>
    </row>
    <row r="16">
      <c r="A16" s="6" t="inlineStr">
        <is>
          <t>Deposits from banks</t>
        </is>
      </c>
      <c r="B16" s="6" t="n">
        <v>229457.6</v>
      </c>
      <c r="C16" s="6" t="n">
        <v>224146.2</v>
      </c>
      <c r="D16" s="6" t="n">
        <v>182288.2</v>
      </c>
      <c r="E16" s="6" t="n">
        <v>196841.5</v>
      </c>
      <c r="F16" s="6" t="n">
        <v>108485.5</v>
      </c>
      <c r="G16" s="6" t="n">
        <v>119082.6</v>
      </c>
      <c r="H16" s="6" t="n">
        <v>144091.6</v>
      </c>
    </row>
    <row r="17">
      <c r="A17" s="6" t="inlineStr">
        <is>
          <t>Deposits from customers</t>
        </is>
      </c>
      <c r="B17" s="6" t="n">
        <v>167885.2</v>
      </c>
      <c r="C17" s="6" t="n">
        <v>128119.3</v>
      </c>
      <c r="D17" s="6" t="n">
        <v>122000.9</v>
      </c>
      <c r="E17" s="6" t="n">
        <v>176178.6</v>
      </c>
      <c r="F17" s="6" t="n">
        <v>146047.2</v>
      </c>
      <c r="G17" s="6" t="n">
        <v>122653.8</v>
      </c>
      <c r="H17" s="6" t="n">
        <v>92437.3</v>
      </c>
    </row>
    <row r="18">
      <c r="A18" s="6" t="inlineStr">
        <is>
          <t>Derivative financial instruments</t>
        </is>
      </c>
      <c r="B18" s="6" t="n">
        <v>314.3</v>
      </c>
      <c r="C18" s="6" t="n">
        <v>1741</v>
      </c>
      <c r="D18" s="6" t="n">
        <v>823.8</v>
      </c>
      <c r="E18" s="6" t="n">
        <v>3047.5</v>
      </c>
      <c r="F18" s="6" t="n">
        <v>1609.6</v>
      </c>
      <c r="G18" s="6" t="n">
        <v>0</v>
      </c>
      <c r="H18" s="6" t="n"/>
    </row>
    <row r="19">
      <c r="A19" s="6" t="inlineStr">
        <is>
          <t>Current tax liability</t>
        </is>
      </c>
      <c r="B19" s="6" t="n"/>
      <c r="C19" s="6" t="n"/>
      <c r="D19" s="6" t="n"/>
      <c r="E19" s="6" t="n">
        <v>37.7</v>
      </c>
      <c r="F19" s="6" t="n"/>
      <c r="G19" s="6" t="n"/>
      <c r="H19" s="6" t="n"/>
    </row>
    <row r="20">
      <c r="A20" s="6" t="inlineStr">
        <is>
          <t>Other liabilities</t>
        </is>
      </c>
      <c r="B20" s="6" t="n">
        <v>5161.9</v>
      </c>
      <c r="C20" s="6" t="n">
        <v>7589.3</v>
      </c>
      <c r="D20" s="6" t="n">
        <v>6232.1</v>
      </c>
      <c r="E20" s="6" t="n">
        <v>5255.6</v>
      </c>
      <c r="F20" s="6" t="n">
        <v>4436.3</v>
      </c>
      <c r="G20" s="6" t="n">
        <v>4024.3</v>
      </c>
      <c r="H20" s="6" t="n">
        <v>4468.7</v>
      </c>
    </row>
    <row r="21">
      <c r="A21" s="6" t="inlineStr">
        <is>
          <t>Subordinated liabilities</t>
        </is>
      </c>
      <c r="B21" s="6" t="n">
        <v>7138.6</v>
      </c>
      <c r="C21" s="6" t="n">
        <v>7670.8</v>
      </c>
      <c r="D21" s="6" t="n">
        <v>7540.1</v>
      </c>
      <c r="E21" s="6" t="n">
        <v>7935.9</v>
      </c>
      <c r="F21" s="6" t="n">
        <v>3698</v>
      </c>
      <c r="G21" s="6" t="n">
        <v>2196</v>
      </c>
      <c r="H21" s="6" t="n"/>
    </row>
    <row r="22">
      <c r="A22" s="6" t="inlineStr">
        <is>
          <t>Deferred tax liability</t>
        </is>
      </c>
      <c r="B22" s="6" t="n"/>
      <c r="C22" s="6" t="n">
        <v>19.9</v>
      </c>
      <c r="D22" s="6" t="n"/>
      <c r="E22" s="6" t="n"/>
      <c r="F22" s="6" t="n"/>
      <c r="G22" s="6" t="n"/>
      <c r="H22" s="6" t="n"/>
    </row>
    <row r="23">
      <c r="A23" s="5" t="inlineStr">
        <is>
          <t>Total liabilities</t>
        </is>
      </c>
      <c r="B23" s="5" t="n">
        <v>409957.5</v>
      </c>
      <c r="C23" s="5" t="n">
        <v>369286.5</v>
      </c>
      <c r="D23" s="5" t="n">
        <v>318885.1</v>
      </c>
      <c r="E23" s="5" t="n">
        <v>389296.8</v>
      </c>
      <c r="F23" s="5" t="n">
        <v>264276.5</v>
      </c>
      <c r="G23" s="5" t="n">
        <v>247956.7</v>
      </c>
      <c r="H23" s="5" t="n">
        <v>240997.5</v>
      </c>
    </row>
    <row r="24">
      <c r="A24" s="5" t="inlineStr">
        <is>
          <t>Equity</t>
        </is>
      </c>
      <c r="B24" s="6" t="n"/>
      <c r="C24" s="6" t="n"/>
      <c r="D24" s="6" t="n"/>
      <c r="E24" s="6" t="n"/>
      <c r="F24" s="6" t="n"/>
      <c r="G24" s="6" t="n"/>
      <c r="H24" s="6" t="n"/>
    </row>
    <row r="25">
      <c r="A25" s="6" t="inlineStr">
        <is>
          <t>Issued capital</t>
        </is>
      </c>
      <c r="B25" s="6" t="n">
        <v>40080.3</v>
      </c>
      <c r="C25" s="6" t="n">
        <v>43068.3</v>
      </c>
      <c r="D25" s="6" t="n">
        <v>42334.3</v>
      </c>
      <c r="E25" s="6" t="n">
        <v>40423.2</v>
      </c>
      <c r="F25" s="6" t="n">
        <v>36166</v>
      </c>
      <c r="G25" s="6" t="n">
        <v>35795.3</v>
      </c>
      <c r="H25" s="6" t="n">
        <v>37037</v>
      </c>
    </row>
    <row r="26">
      <c r="A26" s="6" t="inlineStr">
        <is>
          <t>Retained earnings</t>
        </is>
      </c>
      <c r="B26" s="6" t="n">
        <v>1352.4</v>
      </c>
      <c r="C26" s="6" t="n">
        <v>4391.3</v>
      </c>
      <c r="D26" s="6" t="n">
        <v>2384.5</v>
      </c>
      <c r="E26" s="6" t="n">
        <v>-1048.8</v>
      </c>
      <c r="F26" s="6" t="n">
        <v>-2717.6</v>
      </c>
      <c r="G26" s="6" t="n">
        <v>-3886.9</v>
      </c>
      <c r="H26" s="6" t="n">
        <v>-3729</v>
      </c>
    </row>
    <row r="27">
      <c r="A27" s="6" t="inlineStr">
        <is>
          <t>Other reserves</t>
        </is>
      </c>
      <c r="B27" s="6" t="n">
        <v>0.5</v>
      </c>
      <c r="C27" s="6" t="n">
        <v>-108.7</v>
      </c>
      <c r="D27" s="6" t="n">
        <v>-1289.3</v>
      </c>
      <c r="E27" s="6" t="n">
        <v>-2892.4</v>
      </c>
      <c r="F27" s="6" t="n">
        <v>-74.5</v>
      </c>
      <c r="G27" s="6" t="n">
        <v>189.6</v>
      </c>
      <c r="H27" s="6" t="n">
        <v>11.1</v>
      </c>
    </row>
    <row r="28">
      <c r="A28" s="5" t="inlineStr">
        <is>
          <t>Total equity</t>
        </is>
      </c>
      <c r="B28" s="5" t="n">
        <v>41433.2</v>
      </c>
      <c r="C28" s="5" t="n">
        <v>47350.9</v>
      </c>
      <c r="D28" s="5" t="n">
        <v>43429.4</v>
      </c>
      <c r="E28" s="5" t="n">
        <v>36482</v>
      </c>
      <c r="F28" s="5" t="n">
        <v>33373.9</v>
      </c>
      <c r="G28" s="5" t="n">
        <v>32098</v>
      </c>
      <c r="H28" s="5" t="n">
        <v>33319.4</v>
      </c>
    </row>
    <row r="29">
      <c r="A29" s="5" t="inlineStr">
        <is>
          <t>Total liabilities and equity</t>
        </is>
      </c>
      <c r="B29" s="5" t="n">
        <v>451390.7</v>
      </c>
      <c r="C29" s="5" t="n">
        <v>416637.4</v>
      </c>
      <c r="D29" s="5" t="n">
        <v>362314.5</v>
      </c>
      <c r="E29" s="5" t="n">
        <v>425778.8</v>
      </c>
      <c r="F29" s="5" t="n">
        <v>297650.4</v>
      </c>
      <c r="G29" s="5" t="n">
        <v>280054.6</v>
      </c>
      <c r="H29" s="5" t="n">
        <v>274316.9</v>
      </c>
    </row>
    <row r="31" ht="340" customHeight="1">
      <c r="A31"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t>
        </is>
      </c>
    </row>
  </sheetData>
  <mergeCells count="1">
    <mergeCell ref="A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25836.1</v>
      </c>
      <c r="C5" s="6" t="n">
        <v>28301.3</v>
      </c>
      <c r="D5" s="6" t="n">
        <v>25487.5</v>
      </c>
      <c r="E5" s="6" t="n">
        <v>15308.3</v>
      </c>
      <c r="F5" s="6" t="n">
        <v>8152</v>
      </c>
      <c r="G5" s="6" t="n">
        <v>7874.1</v>
      </c>
      <c r="H5" s="6" t="n">
        <v>9046.6</v>
      </c>
    </row>
    <row r="6">
      <c r="A6" s="6" t="inlineStr">
        <is>
          <t>Interest and similar expense</t>
        </is>
      </c>
      <c r="B6" s="6" t="n">
        <v>-14079.1</v>
      </c>
      <c r="C6" s="6" t="n">
        <v>-14350</v>
      </c>
      <c r="D6" s="6" t="n">
        <v>-11120</v>
      </c>
      <c r="E6" s="6" t="n">
        <v>-3582.8</v>
      </c>
      <c r="F6" s="6" t="n">
        <v>-2074.6</v>
      </c>
      <c r="G6" s="6" t="n">
        <v>-3813</v>
      </c>
      <c r="H6" s="6" t="n">
        <v>-4376.4</v>
      </c>
    </row>
    <row r="7">
      <c r="A7" s="5" t="inlineStr">
        <is>
          <t>Net interest income</t>
        </is>
      </c>
      <c r="B7" s="5" t="n">
        <v>11757</v>
      </c>
      <c r="C7" s="5" t="n">
        <v>13951.3</v>
      </c>
      <c r="D7" s="5" t="n">
        <v>14367.6</v>
      </c>
      <c r="E7" s="5" t="n">
        <v>11725.6</v>
      </c>
      <c r="F7" s="5" t="n">
        <v>6077.4</v>
      </c>
      <c r="G7" s="5" t="n">
        <v>4061.1</v>
      </c>
      <c r="H7" s="5" t="n">
        <v>4670.2</v>
      </c>
    </row>
    <row r="8">
      <c r="A8" s="6" t="inlineStr">
        <is>
          <t>Fees and commission income</t>
        </is>
      </c>
      <c r="B8" s="6" t="n">
        <v>2045.4</v>
      </c>
      <c r="C8" s="6" t="n">
        <v>1373.6</v>
      </c>
      <c r="D8" s="6" t="n">
        <v>1043</v>
      </c>
      <c r="E8" s="6" t="n">
        <v>1437.3</v>
      </c>
      <c r="F8" s="6" t="n">
        <v>1672.5</v>
      </c>
      <c r="G8" s="6" t="n">
        <v>1758.7</v>
      </c>
      <c r="H8" s="6" t="n"/>
    </row>
    <row r="9">
      <c r="A9" s="6" t="inlineStr">
        <is>
          <t>Fees and commission expense</t>
        </is>
      </c>
      <c r="B9" s="6" t="n">
        <v>-840</v>
      </c>
      <c r="C9" s="6" t="n">
        <v>-633.7</v>
      </c>
      <c r="D9" s="6" t="n">
        <v>-590.7</v>
      </c>
      <c r="E9" s="6" t="n">
        <v>-718.7</v>
      </c>
      <c r="F9" s="6" t="n">
        <v>-558.1</v>
      </c>
      <c r="G9" s="6" t="n">
        <v>-378.8</v>
      </c>
      <c r="H9" s="6" t="n"/>
    </row>
    <row r="10">
      <c r="A10" s="5" t="inlineStr">
        <is>
          <t>Net fee and commission income</t>
        </is>
      </c>
      <c r="B10" s="5" t="n">
        <v>1205.4</v>
      </c>
      <c r="C10" s="5" t="n">
        <v>739.9</v>
      </c>
      <c r="D10" s="5" t="n">
        <v>452.2</v>
      </c>
      <c r="E10" s="5" t="n">
        <v>718.7</v>
      </c>
      <c r="F10" s="5" t="n">
        <v>1114.5</v>
      </c>
      <c r="G10" s="5" t="n">
        <v>1379.9</v>
      </c>
      <c r="H10" s="5" t="n">
        <v>1833.9</v>
      </c>
    </row>
    <row r="11">
      <c r="A11" s="6" t="inlineStr">
        <is>
          <t>Other operating income</t>
        </is>
      </c>
      <c r="B11" s="6" t="n">
        <v>1378.9</v>
      </c>
      <c r="C11" s="6" t="n">
        <v>1727.9</v>
      </c>
      <c r="D11" s="6" t="n">
        <v>3707.2</v>
      </c>
      <c r="E11" s="6" t="n">
        <v>2858.9</v>
      </c>
      <c r="F11" s="6" t="n">
        <v>2198</v>
      </c>
      <c r="G11" s="6" t="n">
        <v>1270.3</v>
      </c>
      <c r="H11" s="6" t="n">
        <v>1018.3</v>
      </c>
    </row>
    <row r="12">
      <c r="A12" s="6" t="inlineStr">
        <is>
          <t>Impairment charges</t>
        </is>
      </c>
      <c r="B12" s="6" t="n">
        <v>-4081</v>
      </c>
      <c r="C12" s="6" t="n">
        <v>-23.4</v>
      </c>
      <c r="D12" s="6" t="n">
        <v>-1443.6</v>
      </c>
      <c r="E12" s="6" t="n">
        <v>-2029.1</v>
      </c>
      <c r="F12" s="6" t="n">
        <v>-56.6</v>
      </c>
      <c r="G12" s="6" t="n">
        <v>-292.2</v>
      </c>
      <c r="H12" s="6" t="n">
        <v>-8.6</v>
      </c>
    </row>
    <row r="13">
      <c r="A13" s="5" t="inlineStr">
        <is>
          <t>Net operating income</t>
        </is>
      </c>
      <c r="B13" s="5" t="n">
        <v>10260.3</v>
      </c>
      <c r="C13" s="5" t="n">
        <v>16395.7</v>
      </c>
      <c r="D13" s="5" t="n">
        <v>17083.4</v>
      </c>
      <c r="E13" s="5" t="n">
        <v>13274.1</v>
      </c>
      <c r="F13" s="5" t="n">
        <v>9333.299999999999</v>
      </c>
      <c r="G13" s="5" t="n">
        <v>6419.1</v>
      </c>
      <c r="H13" s="5" t="n">
        <v>7513.8</v>
      </c>
    </row>
    <row r="14">
      <c r="A14" s="6" t="inlineStr">
        <is>
          <t>Personnel expenses</t>
        </is>
      </c>
      <c r="B14" s="6" t="n">
        <v>-9790.299999999999</v>
      </c>
      <c r="C14" s="6" t="n">
        <v>-8993.299999999999</v>
      </c>
      <c r="D14" s="6" t="n">
        <v>-7947.8</v>
      </c>
      <c r="E14" s="6" t="n">
        <v>-6374.5</v>
      </c>
      <c r="F14" s="6" t="n">
        <v>-4993.7</v>
      </c>
      <c r="G14" s="6" t="n">
        <v>-4516</v>
      </c>
      <c r="H14" s="6" t="n"/>
    </row>
    <row r="15">
      <c r="A15" s="6" t="inlineStr">
        <is>
          <t>Depreciation and amortisation expenses</t>
        </is>
      </c>
      <c r="B15" s="6" t="n">
        <v>-604.3</v>
      </c>
      <c r="C15" s="6" t="n">
        <v>-629.5</v>
      </c>
      <c r="D15" s="6" t="n">
        <v>-540.8</v>
      </c>
      <c r="E15" s="6" t="n">
        <v>-469.2</v>
      </c>
      <c r="F15" s="6" t="n">
        <v>-439.1</v>
      </c>
      <c r="G15" s="6" t="n">
        <v>-466.7</v>
      </c>
      <c r="H15" s="6" t="n"/>
    </row>
    <row r="16">
      <c r="A16" s="6" t="inlineStr">
        <is>
          <t>General and administrative expenses</t>
        </is>
      </c>
      <c r="B16" s="6" t="n">
        <v>-3579.3</v>
      </c>
      <c r="C16" s="6" t="n">
        <v>-4190.4</v>
      </c>
      <c r="D16" s="6" t="n">
        <v>-4058.3</v>
      </c>
      <c r="E16" s="6" t="n">
        <v>-4041.5</v>
      </c>
      <c r="F16" s="6" t="n">
        <v>-2993.8</v>
      </c>
      <c r="G16" s="6" t="n">
        <v>-1680.3</v>
      </c>
      <c r="H16" s="6" t="n"/>
    </row>
    <row r="17">
      <c r="A17" s="6" t="inlineStr">
        <is>
          <t>Other operating expenses</t>
        </is>
      </c>
      <c r="B17" s="6" t="n"/>
      <c r="C17" s="6" t="n"/>
      <c r="D17" s="6" t="n"/>
      <c r="E17" s="6" t="n"/>
      <c r="F17" s="6" t="n">
        <v>-89.3</v>
      </c>
      <c r="G17" s="6" t="n">
        <v>-173.7</v>
      </c>
      <c r="H17" s="6" t="n"/>
    </row>
    <row r="18">
      <c r="A18" s="5" t="inlineStr">
        <is>
          <t>Total operating expenses</t>
        </is>
      </c>
      <c r="B18" s="5" t="n">
        <v>-13973.8</v>
      </c>
      <c r="C18" s="5" t="n">
        <v>-13813.2</v>
      </c>
      <c r="D18" s="5" t="n">
        <v>-12546.9</v>
      </c>
      <c r="E18" s="5" t="n">
        <v>-10885.2</v>
      </c>
      <c r="F18" s="5" t="n">
        <v>-8516</v>
      </c>
      <c r="G18" s="5" t="n">
        <v>-6836.8</v>
      </c>
      <c r="H18" s="5" t="n">
        <v>-6343.3</v>
      </c>
    </row>
    <row r="19">
      <c r="A19" s="5" t="inlineStr">
        <is>
          <t>Profit/(Loss) before tax</t>
        </is>
      </c>
      <c r="B19" s="5" t="n">
        <v>-3713.5</v>
      </c>
      <c r="C19" s="5" t="n">
        <v>2582.6</v>
      </c>
      <c r="D19" s="5" t="n">
        <v>4536.5</v>
      </c>
      <c r="E19" s="5" t="n">
        <v>2388.9</v>
      </c>
      <c r="F19" s="5" t="n">
        <v>817.4</v>
      </c>
      <c r="G19" s="5" t="n">
        <v>-417.6</v>
      </c>
      <c r="H19" s="5" t="n">
        <v>1170.5</v>
      </c>
    </row>
    <row r="20">
      <c r="A20" s="6" t="inlineStr">
        <is>
          <t>Taxation</t>
        </is>
      </c>
      <c r="B20" s="6" t="n">
        <v>926.3</v>
      </c>
      <c r="C20" s="6" t="n">
        <v>-658.1</v>
      </c>
      <c r="D20" s="6" t="n">
        <v>-1075.9</v>
      </c>
      <c r="E20" s="6" t="n">
        <v>-442.8</v>
      </c>
      <c r="F20" s="6" t="n">
        <v>371.9</v>
      </c>
      <c r="G20" s="6" t="n">
        <v>116.3</v>
      </c>
      <c r="H20" s="6" t="n"/>
    </row>
    <row r="21">
      <c r="A21" s="5" t="inlineStr">
        <is>
          <t>Profit/(Loss) for the year</t>
        </is>
      </c>
      <c r="B21" s="5" t="n">
        <v>-2787.1</v>
      </c>
      <c r="C21" s="5" t="n">
        <v>1924.4</v>
      </c>
      <c r="D21" s="5" t="n">
        <v>3460.6</v>
      </c>
      <c r="E21" s="5" t="n">
        <v>1946</v>
      </c>
      <c r="F21" s="5" t="n">
        <v>1189.3</v>
      </c>
      <c r="G21" s="5" t="n">
        <v>-301.3</v>
      </c>
      <c r="H21" s="5" t="n">
        <v>1170.5</v>
      </c>
    </row>
    <row r="22">
      <c r="A22" s="5" t="inlineStr">
        <is>
          <t>Other comprehensive income/(loss)</t>
        </is>
      </c>
      <c r="B22" s="6" t="n"/>
      <c r="C22" s="6" t="n"/>
      <c r="D22" s="6" t="n"/>
      <c r="E22" s="6" t="n"/>
      <c r="F22" s="6" t="n"/>
      <c r="G22" s="6" t="n"/>
      <c r="H22" s="6" t="n"/>
    </row>
    <row r="23">
      <c r="A23" s="6" t="inlineStr">
        <is>
          <t>Net change in fair value of FVOCI investments</t>
        </is>
      </c>
      <c r="B23" s="6" t="n">
        <v>273.5</v>
      </c>
      <c r="C23" s="6" t="n">
        <v>1145.5</v>
      </c>
      <c r="D23" s="6" t="n">
        <v>1493.2</v>
      </c>
      <c r="E23" s="6" t="n">
        <v>-2748.9</v>
      </c>
      <c r="F23" s="6" t="n">
        <v>-261.5</v>
      </c>
      <c r="G23" s="6" t="n">
        <v>201.7</v>
      </c>
      <c r="H23" s="6" t="n"/>
    </row>
    <row r="24">
      <c r="A24" s="6" t="inlineStr">
        <is>
          <t>Net amount reclassified to the income statement</t>
        </is>
      </c>
      <c r="B24" s="6" t="n">
        <v>-737.9</v>
      </c>
      <c r="C24" s="6" t="n">
        <v>824</v>
      </c>
      <c r="D24" s="6" t="n"/>
      <c r="E24" s="6" t="n"/>
      <c r="F24" s="6" t="n"/>
      <c r="G24" s="6" t="n">
        <v>-11.4</v>
      </c>
      <c r="H24" s="6" t="n"/>
    </row>
    <row r="25">
      <c r="A25" s="6" t="inlineStr">
        <is>
          <t>Recycling of ECL / net change in ECL on FVOCI investments</t>
        </is>
      </c>
      <c r="B25" s="6" t="n">
        <v>568.1</v>
      </c>
      <c r="C25" s="6" t="n">
        <v>-791.7</v>
      </c>
      <c r="D25" s="6" t="n"/>
      <c r="E25" s="6" t="n"/>
      <c r="F25" s="6" t="n"/>
      <c r="G25" s="6" t="n"/>
      <c r="H25" s="6" t="n"/>
    </row>
    <row r="26">
      <c r="A26" s="5" t="inlineStr">
        <is>
          <t>Other comprehensive income/(loss), net of tax</t>
        </is>
      </c>
      <c r="B26" s="5" t="n">
        <v>103.7</v>
      </c>
      <c r="C26" s="5" t="n">
        <v>1177.8</v>
      </c>
      <c r="D26" s="5" t="n">
        <v>1493.2</v>
      </c>
      <c r="E26" s="5" t="n">
        <v>-2748.9</v>
      </c>
      <c r="F26" s="5" t="n">
        <v>-261.5</v>
      </c>
      <c r="G26" s="5" t="n">
        <v>190.3</v>
      </c>
      <c r="H26" s="5" t="n"/>
    </row>
    <row r="27">
      <c r="A27" s="5" t="inlineStr">
        <is>
          <t>Total comprehensive income/(loss) for the year</t>
        </is>
      </c>
      <c r="B27" s="5" t="n">
        <v>-2683.4</v>
      </c>
      <c r="C27" s="5" t="n">
        <v>3102.3</v>
      </c>
      <c r="D27" s="5" t="n">
        <v>4953.8</v>
      </c>
      <c r="E27" s="5" t="n">
        <v>-802.9</v>
      </c>
      <c r="F27" s="5" t="n">
        <v>927.7</v>
      </c>
      <c r="G27" s="5" t="n">
        <v>-111</v>
      </c>
      <c r="H27" s="5" t="n"/>
    </row>
    <row r="29" ht="340"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2019</t>
        </is>
      </c>
      <c r="B4" s="5" t="n">
        <v>38253.9</v>
      </c>
      <c r="C4" s="5" t="n">
        <v>-5022.7</v>
      </c>
      <c r="D4" s="5" t="n">
        <v>31.5</v>
      </c>
      <c r="E4" s="5" t="n">
        <v>33270.6</v>
      </c>
    </row>
    <row r="5">
      <c r="A5" s="6" t="inlineStr">
        <is>
          <t>Profit for the year (FY2019)</t>
        </is>
      </c>
      <c r="B5" s="6" t="n"/>
      <c r="C5" s="6" t="n">
        <v>1170.5</v>
      </c>
      <c r="D5" s="6" t="n"/>
      <c r="E5" s="6" t="n">
        <v>1170.5</v>
      </c>
    </row>
    <row r="6">
      <c r="A6" s="6" t="inlineStr">
        <is>
          <t>Other comprehensive income (FY2019)</t>
        </is>
      </c>
      <c r="B6" s="6" t="n"/>
      <c r="C6" s="6" t="n"/>
      <c r="D6" s="6" t="n">
        <v>-20</v>
      </c>
      <c r="E6" s="6" t="n">
        <v>-20</v>
      </c>
    </row>
    <row r="7">
      <c r="A7" s="5" t="inlineStr">
        <is>
          <t>Total comprehensive income (FY2019)</t>
        </is>
      </c>
      <c r="B7" s="5" t="n"/>
      <c r="C7" s="5" t="n">
        <v>1170.5</v>
      </c>
      <c r="D7" s="5" t="n">
        <v>-20</v>
      </c>
      <c r="E7" s="5" t="n">
        <v>1150.5</v>
      </c>
    </row>
    <row r="8">
      <c r="A8" s="6" t="inlineStr">
        <is>
          <t>FX translation effect on equity, net (FY2019)</t>
        </is>
      </c>
      <c r="B8" s="6" t="n"/>
      <c r="C8" s="6" t="n"/>
      <c r="D8" s="6" t="n"/>
      <c r="E8" s="6" t="n">
        <v>-1101.7</v>
      </c>
    </row>
    <row r="9">
      <c r="A9" s="5" t="inlineStr">
        <is>
          <t>At 31 December 2019</t>
        </is>
      </c>
      <c r="B9" s="5" t="n">
        <v>37037</v>
      </c>
      <c r="C9" s="5" t="n">
        <v>-3729</v>
      </c>
      <c r="D9" s="5" t="n">
        <v>11.1</v>
      </c>
      <c r="E9" s="5" t="n">
        <v>33319.4</v>
      </c>
    </row>
    <row r="10">
      <c r="A10" s="5" t="inlineStr">
        <is>
          <t>At 1 January 2020</t>
        </is>
      </c>
      <c r="B10" s="5" t="n">
        <v>35795.3</v>
      </c>
      <c r="C10" s="5" t="n">
        <v>-3603.8</v>
      </c>
      <c r="D10" s="5" t="n">
        <v>10.8</v>
      </c>
      <c r="E10" s="5" t="n">
        <v>32202.3</v>
      </c>
    </row>
    <row r="11">
      <c r="A11" s="6" t="inlineStr">
        <is>
          <t>Loss for the year (FY2020)</t>
        </is>
      </c>
      <c r="B11" s="6" t="n"/>
      <c r="C11" s="6" t="n">
        <v>-301.3</v>
      </c>
      <c r="D11" s="6" t="n"/>
      <c r="E11" s="6" t="n">
        <v>-301.3</v>
      </c>
    </row>
    <row r="12">
      <c r="A12" s="6" t="inlineStr">
        <is>
          <t>Other comprehensive income (FY2020)</t>
        </is>
      </c>
      <c r="B12" s="6" t="n"/>
      <c r="C12" s="6" t="n"/>
      <c r="D12" s="6" t="n">
        <v>190.3</v>
      </c>
      <c r="E12" s="6" t="n">
        <v>190.3</v>
      </c>
    </row>
    <row r="13">
      <c r="A13" s="5" t="inlineStr">
        <is>
          <t>Total comprehensive loss (FY2020)</t>
        </is>
      </c>
      <c r="B13" s="5" t="n"/>
      <c r="C13" s="5" t="n">
        <v>-301.3</v>
      </c>
      <c r="D13" s="5" t="n">
        <v>190.3</v>
      </c>
      <c r="E13" s="5" t="n">
        <v>-111</v>
      </c>
    </row>
    <row r="14">
      <c r="A14" s="6" t="inlineStr">
        <is>
          <t>FX translation effect on equity, net (FY2020)</t>
        </is>
      </c>
      <c r="B14" s="6" t="n"/>
      <c r="C14" s="6" t="n"/>
      <c r="D14" s="6" t="n"/>
      <c r="E14" s="6" t="n">
        <v>6.7</v>
      </c>
    </row>
    <row r="15">
      <c r="A15" s="5" t="inlineStr">
        <is>
          <t>At 31 December 2020</t>
        </is>
      </c>
      <c r="B15" s="5" t="n">
        <v>35795.3</v>
      </c>
      <c r="C15" s="5" t="n">
        <v>-3886.9</v>
      </c>
      <c r="D15" s="5" t="n">
        <v>189.6</v>
      </c>
      <c r="E15" s="5" t="n">
        <v>32098</v>
      </c>
    </row>
    <row r="16">
      <c r="A16" s="5" t="inlineStr">
        <is>
          <t>At 1 January 2021</t>
        </is>
      </c>
      <c r="B16" s="5" t="n">
        <v>35795.3</v>
      </c>
      <c r="C16" s="5" t="n">
        <v>-3886.9</v>
      </c>
      <c r="D16" s="5" t="n">
        <v>189.6</v>
      </c>
      <c r="E16" s="5" t="n">
        <v>32098</v>
      </c>
    </row>
    <row r="17">
      <c r="A17" s="6" t="inlineStr">
        <is>
          <t>Profit for the year (FY2021)</t>
        </is>
      </c>
      <c r="B17" s="6" t="n"/>
      <c r="C17" s="6" t="n">
        <v>1189.3</v>
      </c>
      <c r="D17" s="6" t="n"/>
      <c r="E17" s="6" t="n">
        <v>1189.3</v>
      </c>
    </row>
    <row r="18">
      <c r="A18" s="6" t="inlineStr">
        <is>
          <t>Other comprehensive income (FY2021)</t>
        </is>
      </c>
      <c r="B18" s="6" t="n"/>
      <c r="C18" s="6" t="n"/>
      <c r="D18" s="6" t="n">
        <v>-261.5</v>
      </c>
      <c r="E18" s="6" t="n">
        <v>-261.5</v>
      </c>
    </row>
    <row r="19">
      <c r="A19" s="5" t="inlineStr">
        <is>
          <t>Total comprehensive income (FY2021)</t>
        </is>
      </c>
      <c r="B19" s="5" t="n"/>
      <c r="C19" s="5" t="n">
        <v>1189.3</v>
      </c>
      <c r="D19" s="5" t="n">
        <v>-261.5</v>
      </c>
      <c r="E19" s="5" t="n">
        <v>927.7</v>
      </c>
    </row>
    <row r="20">
      <c r="A20" s="6" t="inlineStr">
        <is>
          <t>FX translation effect on equity, net (FY2021)</t>
        </is>
      </c>
      <c r="B20" s="6" t="n"/>
      <c r="C20" s="6" t="n"/>
      <c r="D20" s="6" t="n"/>
      <c r="E20" s="6" t="n">
        <v>348.1</v>
      </c>
    </row>
    <row r="21">
      <c r="A21" s="5" t="inlineStr">
        <is>
          <t>At 31 December 2021</t>
        </is>
      </c>
      <c r="B21" s="5" t="n">
        <v>36166</v>
      </c>
      <c r="C21" s="5" t="n">
        <v>-2717.6</v>
      </c>
      <c r="D21" s="5" t="n">
        <v>-74.5</v>
      </c>
      <c r="E21" s="5" t="n">
        <v>33373.9</v>
      </c>
    </row>
    <row r="22">
      <c r="A22" s="6" t="inlineStr">
        <is>
          <t>Profit for the year (FY2022)</t>
        </is>
      </c>
      <c r="B22" s="6" t="n"/>
      <c r="C22" s="6" t="n">
        <v>1946</v>
      </c>
      <c r="D22" s="6" t="n"/>
      <c r="E22" s="6" t="n">
        <v>1946</v>
      </c>
    </row>
    <row r="23">
      <c r="A23" s="6" t="inlineStr">
        <is>
          <t>Other comprehensive loss (FY2022)</t>
        </is>
      </c>
      <c r="B23" s="6" t="n"/>
      <c r="C23" s="6" t="n"/>
      <c r="D23" s="6" t="n">
        <v>-2748.9</v>
      </c>
      <c r="E23" s="6" t="n">
        <v>-2748.9</v>
      </c>
    </row>
    <row r="24">
      <c r="A24" s="5" t="inlineStr">
        <is>
          <t>Total comprehensive income/(loss) (FY2022)</t>
        </is>
      </c>
      <c r="B24" s="5" t="n"/>
      <c r="C24" s="5" t="n">
        <v>1946</v>
      </c>
      <c r="D24" s="5" t="n">
        <v>-2748.9</v>
      </c>
      <c r="E24" s="5" t="n">
        <v>-802.9</v>
      </c>
    </row>
    <row r="25">
      <c r="A25" s="6" t="inlineStr">
        <is>
          <t>FX translation effect on equity, net (FY2022)</t>
        </is>
      </c>
      <c r="B25" s="6" t="n"/>
      <c r="C25" s="6" t="n"/>
      <c r="D25" s="6" t="n"/>
      <c r="E25" s="6" t="n">
        <v>3911</v>
      </c>
    </row>
    <row r="26">
      <c r="A26" s="5" t="inlineStr">
        <is>
          <t>At 31 December 2022</t>
        </is>
      </c>
      <c r="B26" s="5" t="n">
        <v>40423.2</v>
      </c>
      <c r="C26" s="5" t="n">
        <v>-1048.8</v>
      </c>
      <c r="D26" s="5" t="n">
        <v>-2892.4</v>
      </c>
      <c r="E26" s="5" t="n">
        <v>36482</v>
      </c>
    </row>
    <row r="27">
      <c r="A27" s="6" t="inlineStr">
        <is>
          <t>Profit for the year (FY2023)</t>
        </is>
      </c>
      <c r="B27" s="6" t="n"/>
      <c r="C27" s="6" t="n">
        <v>3460.6</v>
      </c>
      <c r="D27" s="6" t="n"/>
      <c r="E27" s="6" t="n">
        <v>3460.6</v>
      </c>
    </row>
    <row r="28">
      <c r="A28" s="6" t="inlineStr">
        <is>
          <t>Other comprehensive income (FY2023)</t>
        </is>
      </c>
      <c r="B28" s="6" t="n"/>
      <c r="C28" s="6" t="n"/>
      <c r="D28" s="6" t="n">
        <v>1493.2</v>
      </c>
      <c r="E28" s="6" t="n">
        <v>1493.2</v>
      </c>
    </row>
    <row r="29">
      <c r="A29" s="5" t="inlineStr">
        <is>
          <t>Total comprehensive income (FY2023)</t>
        </is>
      </c>
      <c r="B29" s="5" t="n"/>
      <c r="C29" s="5" t="n">
        <v>3460.6</v>
      </c>
      <c r="D29" s="5" t="n">
        <v>1493.2</v>
      </c>
      <c r="E29" s="5" t="n">
        <v>4953.8</v>
      </c>
    </row>
    <row r="30">
      <c r="A30" s="6" t="inlineStr">
        <is>
          <t>Proceeds from shares issued (FY2023)</t>
        </is>
      </c>
      <c r="B30" s="6" t="n">
        <v>4019.6</v>
      </c>
      <c r="C30" s="6" t="n"/>
      <c r="D30" s="6" t="n"/>
      <c r="E30" s="6" t="n">
        <v>4019.6</v>
      </c>
    </row>
    <row r="31">
      <c r="A31" s="6" t="inlineStr">
        <is>
          <t>FX translation effect on equity, net (FY2023)</t>
        </is>
      </c>
      <c r="B31" s="6" t="n"/>
      <c r="C31" s="6" t="n"/>
      <c r="D31" s="6" t="n"/>
      <c r="E31" s="6" t="n">
        <v>-2026</v>
      </c>
    </row>
    <row r="32">
      <c r="A32" s="5" t="inlineStr">
        <is>
          <t>At 31 December 2023</t>
        </is>
      </c>
      <c r="B32" s="5" t="n">
        <v>42334.3</v>
      </c>
      <c r="C32" s="5" t="n">
        <v>2384.5</v>
      </c>
      <c r="D32" s="5" t="n">
        <v>-1289.3</v>
      </c>
      <c r="E32" s="5" t="n">
        <v>43429.4</v>
      </c>
    </row>
    <row r="33">
      <c r="A33" s="6" t="inlineStr">
        <is>
          <t>Profit for the year (FY2024)</t>
        </is>
      </c>
      <c r="B33" s="6" t="n"/>
      <c r="C33" s="6" t="n">
        <v>1924.4</v>
      </c>
      <c r="D33" s="6" t="n"/>
      <c r="E33" s="6" t="n">
        <v>1924.4</v>
      </c>
    </row>
    <row r="34">
      <c r="A34" s="6" t="inlineStr">
        <is>
          <t>Other comprehensive income (FY2024)</t>
        </is>
      </c>
      <c r="B34" s="6" t="n"/>
      <c r="C34" s="6" t="n"/>
      <c r="D34" s="6" t="n">
        <v>1177.8</v>
      </c>
      <c r="E34" s="6" t="n">
        <v>1177.8</v>
      </c>
    </row>
    <row r="35">
      <c r="A35" s="5" t="inlineStr">
        <is>
          <t>Total comprehensive income (FY2024)</t>
        </is>
      </c>
      <c r="B35" s="5" t="n"/>
      <c r="C35" s="5" t="n">
        <v>1924.4</v>
      </c>
      <c r="D35" s="5" t="n">
        <v>1177.8</v>
      </c>
      <c r="E35" s="5" t="n">
        <v>3102.3</v>
      </c>
    </row>
    <row r="36">
      <c r="A36" s="6" t="inlineStr">
        <is>
          <t>FX translation effect on equity, net (FY2024)</t>
        </is>
      </c>
      <c r="B36" s="6" t="n"/>
      <c r="C36" s="6" t="n"/>
      <c r="D36" s="6" t="n"/>
      <c r="E36" s="6" t="n">
        <v>819.3</v>
      </c>
    </row>
    <row r="37">
      <c r="A37" s="5" t="inlineStr">
        <is>
          <t>At 31 December 2024</t>
        </is>
      </c>
      <c r="B37" s="5" t="n">
        <v>43068.3</v>
      </c>
      <c r="C37" s="5" t="n">
        <v>4391.3</v>
      </c>
      <c r="D37" s="5" t="n">
        <v>-108.7</v>
      </c>
      <c r="E37" s="5" t="n">
        <v>47350.9</v>
      </c>
    </row>
    <row r="38">
      <c r="A38" s="6" t="inlineStr">
        <is>
          <t>Loss for the year (FY2025)</t>
        </is>
      </c>
      <c r="B38" s="6" t="n"/>
      <c r="C38" s="6" t="n">
        <v>-2787.1</v>
      </c>
      <c r="D38" s="6" t="n"/>
      <c r="E38" s="6" t="n">
        <v>-2787.1</v>
      </c>
    </row>
    <row r="39">
      <c r="A39" s="6" t="inlineStr">
        <is>
          <t>Other comprehensive income (FY2025)</t>
        </is>
      </c>
      <c r="B39" s="6" t="n"/>
      <c r="C39" s="6" t="n"/>
      <c r="D39" s="6" t="n">
        <v>103.7</v>
      </c>
      <c r="E39" s="6" t="n">
        <v>103.7</v>
      </c>
    </row>
    <row r="40">
      <c r="A40" s="5" t="inlineStr">
        <is>
          <t>Total comprehensive income/(loss) (FY2025)</t>
        </is>
      </c>
      <c r="B40" s="5" t="n"/>
      <c r="C40" s="5" t="n">
        <v>-2787.1</v>
      </c>
      <c r="D40" s="5" t="n">
        <v>103.7</v>
      </c>
      <c r="E40" s="5" t="n">
        <v>-2683.4</v>
      </c>
    </row>
    <row r="41">
      <c r="A41" s="6" t="inlineStr">
        <is>
          <t>FX translation effect on equity, net (FY2025)</t>
        </is>
      </c>
      <c r="B41" s="6" t="n"/>
      <c r="C41" s="6" t="n"/>
      <c r="D41" s="6" t="n"/>
      <c r="E41" s="6" t="n">
        <v>-3234.3</v>
      </c>
    </row>
    <row r="42">
      <c r="A42" s="5" t="inlineStr">
        <is>
          <t>At 31 December 2025</t>
        </is>
      </c>
      <c r="B42" s="5" t="n">
        <v>40080.3</v>
      </c>
      <c r="C42" s="5" t="n">
        <v>1352.4</v>
      </c>
      <c r="D42" s="5" t="n">
        <v>0.5</v>
      </c>
      <c r="E42" s="5" t="n">
        <v>41433.2</v>
      </c>
    </row>
    <row r="44" ht="340" customHeight="1">
      <c r="A44"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44:E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Profit/(Loss) before tax for the year</t>
        </is>
      </c>
      <c r="B5" s="6" t="n">
        <v>-3713.5</v>
      </c>
      <c r="C5" s="6" t="n">
        <v>2582.6</v>
      </c>
      <c r="D5" s="6" t="n">
        <v>4536.5</v>
      </c>
      <c r="E5" s="6" t="n">
        <v>2388.9</v>
      </c>
      <c r="F5" s="6" t="n">
        <v>817.4</v>
      </c>
      <c r="G5" s="6" t="n">
        <v>-417.6</v>
      </c>
      <c r="H5" s="6" t="n">
        <v>1170.5</v>
      </c>
    </row>
    <row r="6">
      <c r="A6" s="6" t="inlineStr">
        <is>
          <t>Depreciation and amortisation</t>
        </is>
      </c>
      <c r="B6" s="6" t="n">
        <v>604.3</v>
      </c>
      <c r="C6" s="6" t="n">
        <v>629.5</v>
      </c>
      <c r="D6" s="6" t="n">
        <v>540.8</v>
      </c>
      <c r="E6" s="6" t="n">
        <v>469.2</v>
      </c>
      <c r="F6" s="6" t="n">
        <v>439.1</v>
      </c>
      <c r="G6" s="6" t="n">
        <v>466.7</v>
      </c>
      <c r="H6" s="6" t="n">
        <v>405.5</v>
      </c>
    </row>
    <row r="7">
      <c r="A7" s="6" t="inlineStr">
        <is>
          <t>Non-cash PPE movements</t>
        </is>
      </c>
      <c r="B7" s="6" t="n"/>
      <c r="C7" s="6" t="n"/>
      <c r="D7" s="6" t="n">
        <v>812.1</v>
      </c>
      <c r="E7" s="6" t="n"/>
      <c r="F7" s="6" t="n"/>
      <c r="G7" s="6" t="n"/>
      <c r="H7" s="6" t="n"/>
    </row>
    <row r="8">
      <c r="A8" s="6" t="inlineStr">
        <is>
          <t>Changes to ROU asset, Interest &amp; lease liability</t>
        </is>
      </c>
      <c r="B8" s="6" t="n">
        <v>2.4</v>
      </c>
      <c r="C8" s="6" t="n">
        <v>-650.7</v>
      </c>
      <c r="D8" s="6" t="n"/>
      <c r="E8" s="6" t="n"/>
      <c r="F8" s="6" t="n"/>
      <c r="G8" s="6" t="n"/>
      <c r="H8" s="6" t="n"/>
    </row>
    <row r="9">
      <c r="A9" s="6" t="inlineStr">
        <is>
          <t>Provision/impairment charge for loan losses (label varies by year - see source note)</t>
        </is>
      </c>
      <c r="B9" s="6" t="n">
        <v>4081</v>
      </c>
      <c r="C9" s="6" t="n">
        <v>-800.6</v>
      </c>
      <c r="D9" s="6" t="n">
        <v>1443.6</v>
      </c>
      <c r="E9" s="6" t="n">
        <v>2029.1</v>
      </c>
      <c r="F9" s="6" t="n">
        <v>56.6</v>
      </c>
      <c r="G9" s="6" t="n">
        <v>292.2</v>
      </c>
      <c r="H9" s="6" t="n">
        <v>8.6</v>
      </c>
    </row>
    <row r="10">
      <c r="A10" s="6" t="inlineStr">
        <is>
          <t>(Net gain)/Loss on investment activities</t>
        </is>
      </c>
      <c r="B10" s="6" t="n">
        <v>681.3</v>
      </c>
      <c r="C10" s="6" t="n"/>
      <c r="D10" s="6" t="n"/>
      <c r="E10" s="6" t="n"/>
      <c r="F10" s="6" t="n"/>
      <c r="G10" s="6" t="n"/>
      <c r="H10" s="6" t="n"/>
    </row>
    <row r="11">
      <c r="A11" s="6" t="inlineStr">
        <is>
          <t>Effect of currency translation on cash and cash equivalents (operating adjustment)</t>
        </is>
      </c>
      <c r="B11" s="6" t="n">
        <v>-508</v>
      </c>
      <c r="C11" s="6" t="n">
        <v>-5.8</v>
      </c>
      <c r="D11" s="6" t="n">
        <v>-6.5</v>
      </c>
      <c r="E11" s="6" t="n">
        <v>53.7</v>
      </c>
      <c r="F11" s="6" t="n">
        <v>8.699999999999999</v>
      </c>
      <c r="G11" s="6" t="n">
        <v>-152.8</v>
      </c>
      <c r="H11" s="6" t="n">
        <v>-12.1</v>
      </c>
    </row>
    <row r="12">
      <c r="A12" s="5" t="inlineStr">
        <is>
          <t>Cash flows from operating activities before changes in operating assets and liabilities</t>
        </is>
      </c>
      <c r="B12" s="5" t="n">
        <v>1147.4</v>
      </c>
      <c r="C12" s="5" t="n">
        <v>1755</v>
      </c>
      <c r="D12" s="5" t="n">
        <v>7326.4</v>
      </c>
      <c r="E12" s="5" t="n">
        <v>4940.9</v>
      </c>
      <c r="F12" s="5" t="n">
        <v>1321.7</v>
      </c>
      <c r="G12" s="5" t="n">
        <v>188.5</v>
      </c>
      <c r="H12" s="5" t="n">
        <v>1572.4</v>
      </c>
    </row>
    <row r="13">
      <c r="A13" s="6" t="inlineStr">
        <is>
          <t>Net (increase) in loans and advances to banks</t>
        </is>
      </c>
      <c r="B13" s="6" t="n">
        <v>-37830.2</v>
      </c>
      <c r="C13" s="6" t="n">
        <v>-27860.7</v>
      </c>
      <c r="D13" s="6" t="n">
        <v>-32346.8</v>
      </c>
      <c r="E13" s="6" t="n">
        <v>-6302.3</v>
      </c>
      <c r="F13" s="6" t="n">
        <v>-10438</v>
      </c>
      <c r="G13" s="6" t="n">
        <v>-4549.6</v>
      </c>
      <c r="H13" s="6" t="n">
        <v>51.5</v>
      </c>
    </row>
    <row r="14">
      <c r="A14" s="6" t="inlineStr">
        <is>
          <t>Net (increase)/decrease in loans and advances to customers</t>
        </is>
      </c>
      <c r="B14" s="6" t="n">
        <v>-25669.6</v>
      </c>
      <c r="C14" s="6" t="n">
        <v>-9076.200000000001</v>
      </c>
      <c r="D14" s="6" t="n">
        <v>-3027.2</v>
      </c>
      <c r="E14" s="6" t="n">
        <v>5464</v>
      </c>
      <c r="F14" s="6" t="n">
        <v>-20298.9</v>
      </c>
      <c r="G14" s="6" t="n">
        <v>-11328.3</v>
      </c>
      <c r="H14" s="6" t="n">
        <v>-18183.6</v>
      </c>
    </row>
    <row r="15">
      <c r="A15" s="6" t="inlineStr">
        <is>
          <t>Net decrease/(increase) in derivative FIs</t>
        </is>
      </c>
      <c r="B15" s="6" t="n">
        <v>-2496.7</v>
      </c>
      <c r="C15" s="6" t="n">
        <v>1013.4</v>
      </c>
      <c r="D15" s="6" t="n">
        <v>-1916.6</v>
      </c>
      <c r="E15" s="6" t="n">
        <v>398.8</v>
      </c>
      <c r="F15" s="6" t="n">
        <v>3678.2</v>
      </c>
      <c r="G15" s="6" t="n">
        <v>-2894.8</v>
      </c>
      <c r="H15" s="6" t="n"/>
    </row>
    <row r="16">
      <c r="A16" s="6" t="inlineStr">
        <is>
          <t>Net (increase)/decrease in other assets</t>
        </is>
      </c>
      <c r="B16" s="6" t="n">
        <v>30.4</v>
      </c>
      <c r="C16" s="6" t="n">
        <v>-3166.4</v>
      </c>
      <c r="D16" s="6" t="n">
        <v>-836</v>
      </c>
      <c r="E16" s="6" t="n">
        <v>-792.1</v>
      </c>
      <c r="F16" s="6" t="n">
        <v>-2226.5</v>
      </c>
      <c r="G16" s="6" t="n">
        <v>226.5</v>
      </c>
      <c r="H16" s="6" t="n"/>
    </row>
    <row r="17">
      <c r="A17" s="6" t="inlineStr">
        <is>
          <t>Net increase/(decrease) in deposits from banks</t>
        </is>
      </c>
      <c r="B17" s="6" t="n">
        <v>20537.3</v>
      </c>
      <c r="C17" s="6" t="n">
        <v>37888.9</v>
      </c>
      <c r="D17" s="6" t="n">
        <v>-4847.5</v>
      </c>
      <c r="E17" s="6" t="n">
        <v>73965.39999999999</v>
      </c>
      <c r="F17" s="6" t="n">
        <v>-11631.4</v>
      </c>
      <c r="G17" s="6" t="n">
        <v>-21473.4</v>
      </c>
      <c r="H17" s="6" t="n">
        <v>35529.2</v>
      </c>
    </row>
    <row r="18">
      <c r="A18" s="6" t="inlineStr">
        <is>
          <t>Net increase/(decrease) in deposits from customers</t>
        </is>
      </c>
      <c r="B18" s="6" t="n">
        <v>47065</v>
      </c>
      <c r="C18" s="6" t="n">
        <v>3919.4</v>
      </c>
      <c r="D18" s="6" t="n">
        <v>-46460</v>
      </c>
      <c r="E18" s="6" t="n">
        <v>12662</v>
      </c>
      <c r="F18" s="6" t="n">
        <v>21751.8</v>
      </c>
      <c r="G18" s="6" t="n">
        <v>35454.1</v>
      </c>
      <c r="H18" s="6" t="n">
        <v>58301.6</v>
      </c>
    </row>
    <row r="19">
      <c r="A19" s="6" t="inlineStr">
        <is>
          <t>Net increase in subordinated liabilities</t>
        </is>
      </c>
      <c r="B19" s="6" t="n"/>
      <c r="C19" s="6" t="n"/>
      <c r="D19" s="6" t="n"/>
      <c r="E19" s="6" t="n"/>
      <c r="F19" s="6" t="n">
        <v>1454.3</v>
      </c>
      <c r="G19" s="6" t="n">
        <v>2337</v>
      </c>
      <c r="H19" s="6" t="n"/>
    </row>
    <row r="20">
      <c r="A20" s="6" t="inlineStr">
        <is>
          <t>Net increase/(decrease) in other liabilities</t>
        </is>
      </c>
      <c r="B20" s="6" t="n">
        <v>1661.4</v>
      </c>
      <c r="C20" s="6" t="n">
        <v>1537.1</v>
      </c>
      <c r="D20" s="6" t="n">
        <v>1555.5</v>
      </c>
      <c r="E20" s="6" t="n">
        <v>572.5</v>
      </c>
      <c r="F20" s="6" t="n">
        <v>663</v>
      </c>
      <c r="G20" s="6" t="n">
        <v>1.6</v>
      </c>
      <c r="H20" s="6" t="n"/>
    </row>
    <row r="21">
      <c r="A21" s="6" t="inlineStr">
        <is>
          <t>Taxation Paid</t>
        </is>
      </c>
      <c r="B21" s="6" t="n">
        <v>-214.3</v>
      </c>
      <c r="C21" s="6" t="n">
        <v>-476.5</v>
      </c>
      <c r="D21" s="6" t="n">
        <v>-1358.1</v>
      </c>
      <c r="E21" s="6" t="n"/>
      <c r="F21" s="6" t="n"/>
      <c r="G21" s="6" t="n"/>
      <c r="H21" s="6" t="n"/>
    </row>
    <row r="22">
      <c r="A22" s="5" t="inlineStr">
        <is>
          <t>Net cash flows from operating activities</t>
        </is>
      </c>
      <c r="B22" s="5" t="n">
        <v>4230.7</v>
      </c>
      <c r="C22" s="5" t="n">
        <v>5533.8</v>
      </c>
      <c r="D22" s="5" t="n">
        <v>-81910.2</v>
      </c>
      <c r="E22" s="5" t="n">
        <v>90909.10000000001</v>
      </c>
      <c r="F22" s="5" t="n">
        <v>-15725.8</v>
      </c>
      <c r="G22" s="5" t="n">
        <v>-2038.5</v>
      </c>
      <c r="H22" s="5" t="n">
        <v>77612</v>
      </c>
    </row>
    <row r="23">
      <c r="A23" s="5" t="inlineStr">
        <is>
          <t>Investing activities</t>
        </is>
      </c>
      <c r="B23" s="6" t="n"/>
      <c r="C23" s="6" t="n"/>
      <c r="D23" s="6" t="n"/>
      <c r="E23" s="6" t="n"/>
      <c r="F23" s="6" t="n"/>
      <c r="G23" s="6" t="n"/>
      <c r="H23" s="6" t="n"/>
    </row>
    <row r="24">
      <c r="A24" s="6" t="inlineStr">
        <is>
          <t>Acquisition of investment securities</t>
        </is>
      </c>
      <c r="B24" s="6" t="n">
        <v>-1350534.2</v>
      </c>
      <c r="C24" s="6" t="n">
        <v>-1220943.1</v>
      </c>
      <c r="D24" s="6" t="n">
        <v>-1536112.2</v>
      </c>
      <c r="E24" s="6" t="n">
        <v>-625692.6</v>
      </c>
      <c r="F24" s="6" t="n">
        <v>-465511.3</v>
      </c>
      <c r="G24" s="6" t="n">
        <v>-567718.2</v>
      </c>
      <c r="H24" s="6" t="n">
        <v>-586474</v>
      </c>
    </row>
    <row r="25">
      <c r="A25" s="6" t="inlineStr">
        <is>
          <t>Disposal of investment securities</t>
        </is>
      </c>
      <c r="B25" s="6" t="n">
        <v>1348466.1</v>
      </c>
      <c r="C25" s="6" t="n">
        <v>1215944.5</v>
      </c>
      <c r="D25" s="6" t="n">
        <v>1614999.1</v>
      </c>
      <c r="E25" s="6" t="n">
        <v>532573.6</v>
      </c>
      <c r="F25" s="6" t="n">
        <v>476473.5</v>
      </c>
      <c r="G25" s="6" t="n">
        <v>567909.6</v>
      </c>
      <c r="H25" s="6" t="n">
        <v>514377.5</v>
      </c>
    </row>
    <row r="26">
      <c r="A26" s="6" t="inlineStr">
        <is>
          <t>Purchases of property and equipment</t>
        </is>
      </c>
      <c r="B26" s="6" t="n">
        <v>-78</v>
      </c>
      <c r="C26" s="6" t="n">
        <v>-157.4</v>
      </c>
      <c r="D26" s="6" t="n">
        <v>-81.5</v>
      </c>
      <c r="E26" s="6" t="n">
        <v>-23.7</v>
      </c>
      <c r="F26" s="6" t="n">
        <v>-23</v>
      </c>
      <c r="G26" s="6" t="n">
        <v>-20</v>
      </c>
      <c r="H26" s="6" t="n">
        <v>-113.1</v>
      </c>
    </row>
    <row r="27">
      <c r="A27" s="6" t="inlineStr">
        <is>
          <t>Purchases of intangible assets</t>
        </is>
      </c>
      <c r="B27" s="6" t="n">
        <v>-126.9</v>
      </c>
      <c r="C27" s="6" t="n">
        <v>-251.6</v>
      </c>
      <c r="D27" s="6" t="n">
        <v>-287.1</v>
      </c>
      <c r="E27" s="6" t="n">
        <v>-222.2</v>
      </c>
      <c r="F27" s="6" t="n">
        <v>-34.1</v>
      </c>
      <c r="G27" s="6" t="n">
        <v>-61.2</v>
      </c>
      <c r="H27" s="6" t="n">
        <v>-303.7</v>
      </c>
    </row>
    <row r="28">
      <c r="A28" s="5" t="inlineStr">
        <is>
          <t>Net cash flows from investing activities</t>
        </is>
      </c>
      <c r="B28" s="5" t="n">
        <v>-2272.9</v>
      </c>
      <c r="C28" s="5" t="n">
        <v>-5407.6</v>
      </c>
      <c r="D28" s="5" t="n">
        <v>78518.39999999999</v>
      </c>
      <c r="E28" s="5" t="n">
        <v>-93365</v>
      </c>
      <c r="F28" s="5" t="n">
        <v>10905</v>
      </c>
      <c r="G28" s="5" t="n">
        <v>110.2</v>
      </c>
      <c r="H28" s="5" t="n">
        <v>-72513.3</v>
      </c>
    </row>
    <row r="29">
      <c r="A29" s="5" t="inlineStr">
        <is>
          <t>Financing activities</t>
        </is>
      </c>
      <c r="B29" s="6" t="n"/>
      <c r="C29" s="6" t="n"/>
      <c r="D29" s="6" t="n"/>
      <c r="E29" s="6" t="n"/>
      <c r="F29" s="6" t="n"/>
      <c r="G29" s="6" t="n"/>
      <c r="H29" s="6" t="n"/>
    </row>
    <row r="30">
      <c r="A30" s="6" t="inlineStr">
        <is>
          <t>Issuance of own shares</t>
        </is>
      </c>
      <c r="B30" s="6" t="n"/>
      <c r="C30" s="6" t="n"/>
      <c r="D30" s="6" t="n">
        <v>4019.6</v>
      </c>
      <c r="E30" s="6" t="n"/>
      <c r="F30" s="6" t="n"/>
      <c r="G30" s="6" t="n"/>
      <c r="H30" s="6" t="n"/>
    </row>
    <row r="31">
      <c r="A31" s="6" t="inlineStr">
        <is>
          <t>Issuance of subordinated liabilities</t>
        </is>
      </c>
      <c r="B31" s="6" t="n"/>
      <c r="C31" s="6" t="n"/>
      <c r="D31" s="6" t="n"/>
      <c r="E31" s="6" t="n">
        <v>3721.1</v>
      </c>
      <c r="F31" s="6" t="n"/>
      <c r="G31" s="6" t="n"/>
      <c r="H31" s="6" t="n"/>
    </row>
    <row r="32">
      <c r="A32" s="6" t="inlineStr">
        <is>
          <t>Payments made for lease liability</t>
        </is>
      </c>
      <c r="B32" s="6" t="n">
        <v>-342.8</v>
      </c>
      <c r="C32" s="6" t="n">
        <v>-313.5</v>
      </c>
      <c r="D32" s="6" t="n">
        <v>-328.4</v>
      </c>
      <c r="E32" s="6" t="n">
        <v>-290.8</v>
      </c>
      <c r="F32" s="6" t="n">
        <v>-292.9</v>
      </c>
      <c r="G32" s="6" t="n">
        <v>-317.8</v>
      </c>
      <c r="H32" s="6" t="n"/>
    </row>
    <row r="33">
      <c r="A33" s="5" t="inlineStr">
        <is>
          <t>Net cash flows from financing activities</t>
        </is>
      </c>
      <c r="B33" s="5" t="n">
        <v>-342.8</v>
      </c>
      <c r="C33" s="5" t="n">
        <v>-313.5</v>
      </c>
      <c r="D33" s="5" t="n">
        <v>3691.2</v>
      </c>
      <c r="E33" s="5" t="n">
        <v>3430.3</v>
      </c>
      <c r="F33" s="5" t="n">
        <v>-292.9</v>
      </c>
      <c r="G33" s="5" t="n">
        <v>-317.8</v>
      </c>
      <c r="H33" s="5" t="n"/>
    </row>
    <row r="34">
      <c r="A34" s="5" t="inlineStr">
        <is>
          <t>Net (decrease)/increase in cash and cash equivalents</t>
        </is>
      </c>
      <c r="B34" s="5" t="n">
        <v>1615</v>
      </c>
      <c r="C34" s="5" t="n">
        <v>-187.2</v>
      </c>
      <c r="D34" s="5" t="n">
        <v>299.4</v>
      </c>
      <c r="E34" s="5" t="n">
        <v>974.4</v>
      </c>
      <c r="F34" s="5" t="n">
        <v>-5113.7</v>
      </c>
      <c r="G34" s="5" t="n">
        <v>-2246.1</v>
      </c>
      <c r="H34" s="5" t="n">
        <v>5099.2</v>
      </c>
    </row>
    <row r="35">
      <c r="A35" s="6" t="inlineStr">
        <is>
          <t>Cash and cash equivalents at 1 January</t>
        </is>
      </c>
      <c r="B35" s="6" t="n">
        <v>5806.3</v>
      </c>
      <c r="C35" s="6" t="n">
        <v>5889.5</v>
      </c>
      <c r="D35" s="6" t="n">
        <v>5884.2</v>
      </c>
      <c r="E35" s="6" t="n">
        <v>4422.7</v>
      </c>
      <c r="F35" s="6" t="n">
        <v>9533.799999999999</v>
      </c>
      <c r="G35" s="6" t="n">
        <v>11899.8</v>
      </c>
      <c r="H35" s="6" t="n">
        <v>7175.5</v>
      </c>
    </row>
    <row r="36">
      <c r="A36" s="6" t="inlineStr">
        <is>
          <t>Effect of currency translation on cash and cash equivalents (closing bridge)</t>
        </is>
      </c>
      <c r="B36" s="6" t="n">
        <v>508</v>
      </c>
      <c r="C36" s="6" t="n">
        <v>5.8</v>
      </c>
      <c r="D36" s="6" t="n">
        <v>6.5</v>
      </c>
      <c r="E36" s="6" t="n">
        <v>-53.7</v>
      </c>
      <c r="F36" s="6" t="n">
        <v>-8.699999999999999</v>
      </c>
      <c r="G36" s="6" t="n">
        <v>152.8</v>
      </c>
      <c r="H36" s="6" t="n"/>
    </row>
    <row r="37">
      <c r="A37" s="6" t="inlineStr">
        <is>
          <t>Effect of GBP/USD translation (£ conversion artefact - see FX note)</t>
        </is>
      </c>
      <c r="B37" s="6" t="n">
        <v>-443</v>
      </c>
      <c r="C37" s="6" t="n">
        <v>98.2</v>
      </c>
      <c r="D37" s="6" t="n">
        <v>-300.6</v>
      </c>
      <c r="E37" s="6" t="n">
        <v>540.8</v>
      </c>
      <c r="F37" s="6" t="n">
        <v>11.3</v>
      </c>
      <c r="G37" s="6" t="n">
        <v>-272.7</v>
      </c>
      <c r="H37" s="6" t="n">
        <v>-374.9</v>
      </c>
    </row>
    <row r="38">
      <c r="A38" s="5" t="inlineStr">
        <is>
          <t>Cash and cash equivalents at 31 December</t>
        </is>
      </c>
      <c r="B38" s="5" t="n">
        <v>7486.3</v>
      </c>
      <c r="C38" s="5" t="n">
        <v>5806.3</v>
      </c>
      <c r="D38" s="5" t="n">
        <v>5889.5</v>
      </c>
      <c r="E38" s="5" t="n">
        <v>5884.2</v>
      </c>
      <c r="F38" s="5" t="n">
        <v>4422.7</v>
      </c>
      <c r="G38" s="5" t="n">
        <v>9533.799999999999</v>
      </c>
      <c r="H38" s="5" t="n">
        <v>11899.8</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FY2020: Audited Accounts 2021, p.28 (audited comparative column) - https://fcmbuk.com/wp-content/uploads/2023/09/FCMB-Bank-UK-Limited-Signed-Audited-Accounts-2021.pdf
FY2019: Companies House-filed FCMB Bank (UK) Limited Annual Report and Financial Statements 2019, printed pp.26-29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Gross carrying amount by IFRS 9 stage (calculated - see source note)</t>
        </is>
      </c>
      <c r="B4" s="6" t="n"/>
      <c r="C4" s="6" t="n"/>
      <c r="D4" s="6" t="n"/>
      <c r="E4" s="6" t="n"/>
      <c r="F4" s="6" t="n"/>
      <c r="G4" s="6" t="n"/>
      <c r="H4" s="6" t="n"/>
    </row>
    <row r="5">
      <c r="A5" s="6" t="inlineStr">
        <is>
          <t>Stage 1 (12-month ECL)</t>
        </is>
      </c>
      <c r="B5" s="6" t="n">
        <v>330139.5</v>
      </c>
      <c r="C5" s="6" t="n">
        <v>324761.1</v>
      </c>
      <c r="D5" s="6" t="n">
        <v>261294.3</v>
      </c>
      <c r="E5" s="6" t="n">
        <v>232393.2</v>
      </c>
      <c r="F5" s="6" t="n">
        <v>211142.3</v>
      </c>
      <c r="G5" s="6" t="n">
        <v>157665.9</v>
      </c>
      <c r="H5" s="6" t="n"/>
    </row>
    <row r="6">
      <c r="A6" s="6" t="inlineStr">
        <is>
          <t>Stage 2 (lifetime ECL, not credit-impaired)</t>
        </is>
      </c>
      <c r="B6" s="6" t="n">
        <v>1575</v>
      </c>
      <c r="C6" s="6" t="n">
        <v>5623.5</v>
      </c>
      <c r="D6" s="6" t="n">
        <v>8178.7</v>
      </c>
      <c r="E6" s="6" t="n">
        <v>7618</v>
      </c>
      <c r="F6" s="6" t="n">
        <v>392</v>
      </c>
      <c r="G6" s="6" t="n">
        <v>0</v>
      </c>
      <c r="H6" s="6" t="n"/>
    </row>
    <row r="7">
      <c r="A7" s="6" t="inlineStr">
        <is>
          <t>Stage 3 (credit-impaired)</t>
        </is>
      </c>
      <c r="B7" s="6" t="n">
        <v>9970.700000000001</v>
      </c>
      <c r="C7" s="6" t="n">
        <v>3858.3</v>
      </c>
      <c r="D7" s="6" t="n">
        <v>5501</v>
      </c>
      <c r="E7" s="6" t="n">
        <v>4637.4</v>
      </c>
      <c r="F7" s="6" t="n">
        <v>0</v>
      </c>
      <c r="G7" s="6" t="n">
        <v>0</v>
      </c>
      <c r="H7" s="6" t="n"/>
    </row>
    <row r="8">
      <c r="A8" s="5" t="inlineStr">
        <is>
          <t>Total gross carrying amount</t>
        </is>
      </c>
      <c r="B8" s="5" t="n">
        <v>341685.1</v>
      </c>
      <c r="C8" s="5" t="n">
        <v>334242.9</v>
      </c>
      <c r="D8" s="5" t="n">
        <v>274974</v>
      </c>
      <c r="E8" s="5" t="n">
        <v>244648.6</v>
      </c>
      <c r="F8" s="5" t="n">
        <v>211534.3</v>
      </c>
      <c r="G8" s="5" t="n">
        <v>157665.9</v>
      </c>
      <c r="H8" s="5" t="n"/>
    </row>
    <row r="9">
      <c r="A9" s="5" t="inlineStr">
        <is>
          <t>ECL allowance by stage</t>
        </is>
      </c>
      <c r="B9" s="6" t="n"/>
      <c r="C9" s="6" t="n"/>
      <c r="D9" s="6" t="n"/>
      <c r="E9" s="6" t="n"/>
      <c r="F9" s="6" t="n"/>
      <c r="G9" s="6" t="n"/>
      <c r="H9" s="6" t="n"/>
    </row>
    <row r="10">
      <c r="A10" s="6" t="inlineStr">
        <is>
          <t>Stage 1 ECL</t>
        </is>
      </c>
      <c r="B10" s="6" t="n">
        <v>1621.6</v>
      </c>
      <c r="C10" s="6" t="n">
        <v>1533.8</v>
      </c>
      <c r="D10" s="6" t="n">
        <v>1649</v>
      </c>
      <c r="E10" s="6" t="n">
        <v>1068.1</v>
      </c>
      <c r="F10" s="6" t="n">
        <v>525.1</v>
      </c>
      <c r="G10" s="6" t="n">
        <v>463.2</v>
      </c>
      <c r="H10" s="6" t="n"/>
    </row>
    <row r="11">
      <c r="A11" s="6" t="inlineStr">
        <is>
          <t>Stage 2 ECL</t>
        </is>
      </c>
      <c r="B11" s="6" t="n">
        <v>36.6</v>
      </c>
      <c r="C11" s="6" t="n">
        <v>291.1</v>
      </c>
      <c r="D11" s="6" t="n">
        <v>253</v>
      </c>
      <c r="E11" s="6" t="n">
        <v>170.5</v>
      </c>
      <c r="F11" s="6" t="n">
        <v>0.4</v>
      </c>
      <c r="G11" s="6" t="n">
        <v>0</v>
      </c>
      <c r="H11" s="6" t="n"/>
    </row>
    <row r="12">
      <c r="A12" s="6" t="inlineStr">
        <is>
          <t>Stage 3 ECL</t>
        </is>
      </c>
      <c r="B12" s="6" t="n">
        <v>5132.6</v>
      </c>
      <c r="C12" s="6" t="n">
        <v>1364.4</v>
      </c>
      <c r="D12" s="6" t="n">
        <v>2036.6</v>
      </c>
      <c r="E12" s="6" t="n">
        <v>1422.5</v>
      </c>
      <c r="F12" s="6" t="n">
        <v>0</v>
      </c>
      <c r="G12" s="6" t="n">
        <v>0</v>
      </c>
      <c r="H12" s="6" t="n"/>
    </row>
    <row r="13">
      <c r="A13" s="5" t="inlineStr">
        <is>
          <t>Total ECL allowance</t>
        </is>
      </c>
      <c r="B13" s="5" t="n">
        <v>6790.8</v>
      </c>
      <c r="C13" s="5" t="n">
        <v>3189.3</v>
      </c>
      <c r="D13" s="5" t="n">
        <v>3938.6</v>
      </c>
      <c r="E13" s="5" t="n">
        <v>2661</v>
      </c>
      <c r="F13" s="5" t="n">
        <v>525.6</v>
      </c>
      <c r="G13" s="5" t="n">
        <v>463.2</v>
      </c>
      <c r="H13" s="5" t="n"/>
    </row>
    <row r="14">
      <c r="A14" s="5" t="inlineStr">
        <is>
          <t>Net carrying amount by stage (as reported)</t>
        </is>
      </c>
      <c r="B14" s="6" t="n"/>
      <c r="C14" s="6" t="n"/>
      <c r="D14" s="6" t="n"/>
      <c r="E14" s="6" t="n"/>
      <c r="F14" s="6" t="n"/>
      <c r="G14" s="6" t="n"/>
      <c r="H14" s="6" t="n"/>
    </row>
    <row r="15">
      <c r="A15" s="6" t="inlineStr">
        <is>
          <t>Stage 1</t>
        </is>
      </c>
      <c r="B15" s="6" t="n">
        <v>328517.8</v>
      </c>
      <c r="C15" s="6" t="n">
        <v>323227.3</v>
      </c>
      <c r="D15" s="6" t="n">
        <v>259645.3</v>
      </c>
      <c r="E15" s="6" t="n">
        <v>231325.1</v>
      </c>
      <c r="F15" s="6" t="n">
        <v>210617.1</v>
      </c>
      <c r="G15" s="6" t="n">
        <v>157202.6</v>
      </c>
      <c r="H15" s="6" t="n"/>
    </row>
    <row r="16">
      <c r="A16" s="6" t="inlineStr">
        <is>
          <t>Stage 2</t>
        </is>
      </c>
      <c r="B16" s="6" t="n">
        <v>1538.4</v>
      </c>
      <c r="C16" s="6" t="n">
        <v>5332.3</v>
      </c>
      <c r="D16" s="6" t="n">
        <v>7925.6</v>
      </c>
      <c r="E16" s="6" t="n">
        <v>7447.6</v>
      </c>
      <c r="F16" s="6" t="n">
        <v>391.6</v>
      </c>
      <c r="G16" s="6" t="n">
        <v>0</v>
      </c>
      <c r="H16" s="6" t="n"/>
    </row>
    <row r="17">
      <c r="A17" s="6" t="inlineStr">
        <is>
          <t>Stage 3</t>
        </is>
      </c>
      <c r="B17" s="6" t="n">
        <v>4838.1</v>
      </c>
      <c r="C17" s="6" t="n">
        <v>2494</v>
      </c>
      <c r="D17" s="6" t="n">
        <v>3464.4</v>
      </c>
      <c r="E17" s="6" t="n">
        <v>3214.9</v>
      </c>
      <c r="F17" s="6" t="n">
        <v>0</v>
      </c>
      <c r="G17" s="6" t="n">
        <v>0</v>
      </c>
      <c r="H17" s="6" t="n"/>
    </row>
    <row r="18">
      <c r="A18" s="5" t="inlineStr">
        <is>
          <t>Total net carrying amount</t>
        </is>
      </c>
      <c r="B18" s="5" t="n">
        <v>334894.4</v>
      </c>
      <c r="C18" s="5" t="n">
        <v>331053.6</v>
      </c>
      <c r="D18" s="5" t="n">
        <v>271035.3</v>
      </c>
      <c r="E18" s="5" t="n">
        <v>241987.6</v>
      </c>
      <c r="F18" s="5" t="n">
        <v>211008.8</v>
      </c>
      <c r="G18" s="5" t="n">
        <v>157202.6</v>
      </c>
      <c r="H18" s="5" t="n"/>
    </row>
    <row r="19">
      <c r="A19" s="5" t="inlineStr">
        <is>
          <t>Derived ratios</t>
        </is>
      </c>
      <c r="B19" s="6" t="n"/>
      <c r="C19" s="6" t="n"/>
      <c r="D19" s="6" t="n"/>
      <c r="E19" s="6" t="n"/>
      <c r="F19" s="6" t="n"/>
      <c r="G19" s="6" t="n"/>
      <c r="H19" s="6" t="n"/>
    </row>
    <row r="20">
      <c r="A20" s="6" t="inlineStr">
        <is>
          <t>NPL ratio (Stage 3 gross / Total gross)</t>
        </is>
      </c>
      <c r="B20" s="6" t="inlineStr">
        <is>
          <t>2.92%</t>
        </is>
      </c>
      <c r="C20" s="6" t="inlineStr">
        <is>
          <t>1.15%</t>
        </is>
      </c>
      <c r="D20" s="6" t="inlineStr">
        <is>
          <t>2.00%</t>
        </is>
      </c>
      <c r="E20" s="6" t="inlineStr">
        <is>
          <t>1.90%</t>
        </is>
      </c>
      <c r="F20" s="6" t="inlineStr">
        <is>
          <t>0.00%</t>
        </is>
      </c>
      <c r="G20" s="6" t="inlineStr">
        <is>
          <t>0.00%</t>
        </is>
      </c>
      <c r="H20" s="6" t="n"/>
    </row>
    <row r="21">
      <c r="A21" s="6" t="inlineStr">
        <is>
          <t>Stage 3 coverage ratio (Stage 3 ECL / Stage 3 gross)</t>
        </is>
      </c>
      <c r="B21" s="6" t="inlineStr">
        <is>
          <t>51.48%</t>
        </is>
      </c>
      <c r="C21" s="6" t="inlineStr">
        <is>
          <t>35.36%</t>
        </is>
      </c>
      <c r="D21" s="6" t="inlineStr">
        <is>
          <t>37.02%</t>
        </is>
      </c>
      <c r="E21" s="6" t="inlineStr">
        <is>
          <t>30.67%</t>
        </is>
      </c>
      <c r="F21" s="6" t="n"/>
      <c r="G21" s="6" t="n"/>
      <c r="H21" s="6" t="n"/>
    </row>
    <row r="22">
      <c r="A22" s="6" t="inlineStr">
        <is>
          <t>Total ECL coverage ratio (Total ECL / Total gross)</t>
        </is>
      </c>
      <c r="B22" s="6" t="inlineStr">
        <is>
          <t>1.99%</t>
        </is>
      </c>
      <c r="C22" s="6" t="inlineStr">
        <is>
          <t>0.95%</t>
        </is>
      </c>
      <c r="D22" s="6" t="inlineStr">
        <is>
          <t>1.43%</t>
        </is>
      </c>
      <c r="E22" s="6" t="inlineStr">
        <is>
          <t>1.09%</t>
        </is>
      </c>
      <c r="F22" s="6" t="inlineStr">
        <is>
          <t>0.25%</t>
        </is>
      </c>
      <c r="G22" s="6" t="inlineStr">
        <is>
          <t>0.29%</t>
        </is>
      </c>
      <c r="H22" s="6" t="n"/>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FY2020: Audited Accounts 2021, p.61 (audited comparative column and narrative)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40642.5</v>
      </c>
      <c r="C4" s="6" t="n">
        <v>46305.2</v>
      </c>
      <c r="D4" s="6" t="n">
        <v>39296.3</v>
      </c>
      <c r="E4" s="6" t="n">
        <v>33331.4</v>
      </c>
      <c r="F4" s="6" t="n">
        <v>31739.5</v>
      </c>
      <c r="G4" s="6" t="n">
        <v>31671.2</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14.83%</t>
        </is>
      </c>
      <c r="C4" s="6" t="inlineStr">
        <is>
          <t>16.55%</t>
        </is>
      </c>
      <c r="D4" s="6" t="inlineStr">
        <is>
          <t>17.39%</t>
        </is>
      </c>
      <c r="E4" s="6" t="inlineStr">
        <is>
          <t>16.97%</t>
        </is>
      </c>
      <c r="F4" s="6" t="inlineStr">
        <is>
          <t>17.29%</t>
        </is>
      </c>
      <c r="G4" s="6" t="inlineStr">
        <is>
          <t>27.27%</t>
        </is>
      </c>
      <c r="H4" s="6" t="n"/>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c r="C4" s="6" t="n"/>
      <c r="D4" s="6" t="n"/>
      <c r="E4" s="6" t="n"/>
      <c r="F4" s="6" t="n"/>
      <c r="G4" s="6" t="n">
        <v>31671.2</v>
      </c>
      <c r="H4" s="6" t="n"/>
    </row>
    <row r="5" ht="60" customHeight="1">
      <c r="A5" s="7" t="inlineStr">
        <is>
          <t>Note: FY2020 is explicitly disclosed in the old-format Pillar 3 table ($43,266k: issued capital + retained earnings less intangibles). FY2021 onward is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t>
        </is>
      </c>
      <c r="B4" s="6" t="n"/>
      <c r="C4" s="6" t="n"/>
      <c r="D4" s="6" t="n"/>
      <c r="E4" s="6" t="n"/>
      <c r="F4" s="6" t="n"/>
      <c r="G4" s="6" t="inlineStr">
        <is>
          <t>25%</t>
        </is>
      </c>
      <c r="H4" s="6" t="n"/>
    </row>
    <row r="5" ht="60" customHeight="1">
      <c r="A5" s="7" t="inlineStr">
        <is>
          <t>Note: FY2020 is explicitly disclosed in the old-format Pillar 3 table. FY2021 onward is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47781.1</v>
      </c>
      <c r="C4" s="6" t="n">
        <v>53976</v>
      </c>
      <c r="D4" s="6" t="n">
        <v>46836.3</v>
      </c>
      <c r="E4" s="6" t="n">
        <v>39935.5</v>
      </c>
      <c r="F4" s="6" t="n">
        <v>35437.5</v>
      </c>
      <c r="G4" s="6" t="n">
        <v>33867.2</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17.43%</t>
        </is>
      </c>
      <c r="C4" s="6" t="inlineStr">
        <is>
          <t>19.29%</t>
        </is>
      </c>
      <c r="D4" s="6" t="inlineStr">
        <is>
          <t>20.73%</t>
        </is>
      </c>
      <c r="E4" s="6" t="inlineStr">
        <is>
          <t>20.33%</t>
        </is>
      </c>
      <c r="F4" s="6" t="inlineStr">
        <is>
          <t>19.30%</t>
        </is>
      </c>
      <c r="G4" s="6" t="inlineStr">
        <is>
          <t>29.16%</t>
        </is>
      </c>
      <c r="H4" s="6" t="n"/>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 (TREA)</t>
        </is>
      </c>
      <c r="B4" s="6" t="n">
        <v>274069.8</v>
      </c>
      <c r="C4" s="6" t="n">
        <v>279805.8</v>
      </c>
      <c r="D4" s="6" t="n">
        <v>225936.2</v>
      </c>
      <c r="E4" s="6" t="n">
        <v>196447.9</v>
      </c>
      <c r="F4" s="6" t="n">
        <v>183609.2</v>
      </c>
      <c r="G4" s="6" t="n">
        <v>116156.9</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t>
        </is>
      </c>
      <c r="B4" s="6" t="n">
        <v>240667.8</v>
      </c>
      <c r="C4" s="6" t="n">
        <v>241919.7</v>
      </c>
      <c r="D4" s="6" t="n">
        <v>201922.3</v>
      </c>
      <c r="E4" s="6" t="n">
        <v>177420</v>
      </c>
      <c r="F4" s="6" t="n">
        <v>166407.8</v>
      </c>
      <c r="G4" s="6" t="n">
        <v>116161</v>
      </c>
      <c r="H4" s="6" t="n"/>
    </row>
    <row r="5">
      <c r="A5" s="6" t="inlineStr">
        <is>
          <t>Market risk</t>
        </is>
      </c>
      <c r="B5" s="6" t="n">
        <v>3987.6</v>
      </c>
      <c r="C5" s="6" t="n">
        <v>6332.4</v>
      </c>
      <c r="D5" s="6" t="n">
        <v>4162.7</v>
      </c>
      <c r="E5" s="6" t="n">
        <v>2924.3</v>
      </c>
      <c r="F5" s="6" t="n">
        <v>4844.3</v>
      </c>
      <c r="G5" s="6" t="n">
        <v>1775.1</v>
      </c>
      <c r="H5" s="6" t="n"/>
    </row>
    <row r="6">
      <c r="A6" s="6" t="inlineStr">
        <is>
          <t>Operational risk</t>
        </is>
      </c>
      <c r="B6" s="6" t="n">
        <v>29260.9</v>
      </c>
      <c r="C6" s="6" t="n">
        <v>31442.3</v>
      </c>
      <c r="D6" s="6" t="n">
        <v>19851.6</v>
      </c>
      <c r="E6" s="6" t="n">
        <v>16099</v>
      </c>
      <c r="F6" s="6" t="n">
        <v>12360.4</v>
      </c>
      <c r="G6" s="6" t="n">
        <v>11071.7</v>
      </c>
      <c r="H6" s="6" t="n"/>
    </row>
    <row r="7">
      <c r="A7" s="6" t="inlineStr">
        <is>
          <t>CVA risk</t>
        </is>
      </c>
      <c r="B7" s="6" t="n">
        <v>148.7</v>
      </c>
      <c r="C7" s="6" t="n">
        <v>119.9</v>
      </c>
      <c r="D7" s="6" t="n"/>
      <c r="E7" s="6" t="n"/>
      <c r="F7" s="6" t="n"/>
      <c r="G7" s="6" t="n"/>
      <c r="H7" s="6" t="n"/>
    </row>
    <row r="8">
      <c r="A8" s="5" t="inlineStr">
        <is>
          <t>Total RWAs (calculated)</t>
        </is>
      </c>
      <c r="B8" s="5" t="n">
        <v>274064.9</v>
      </c>
      <c r="C8" s="5" t="n">
        <v>279804.2</v>
      </c>
      <c r="D8" s="5" t="n">
        <v>225936.6</v>
      </c>
      <c r="E8" s="5" t="n">
        <v>196443.3</v>
      </c>
      <c r="F8" s="5" t="n">
        <v>183612.5</v>
      </c>
      <c r="G8" s="5" t="n">
        <v>129007.8</v>
      </c>
      <c r="H8" s="5" t="n"/>
    </row>
    <row r="10" ht="20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t>
        </is>
      </c>
    </row>
  </sheetData>
  <mergeCells count="1">
    <mergeCell ref="A10:H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8.81%</t>
        </is>
      </c>
      <c r="C4" s="6" t="inlineStr">
        <is>
          <t>14.73%</t>
        </is>
      </c>
      <c r="D4" s="6" t="inlineStr">
        <is>
          <t>10.29%</t>
        </is>
      </c>
      <c r="E4" s="6" t="inlineStr">
        <is>
          <t>7.41%</t>
        </is>
      </c>
      <c r="F4" s="6" t="inlineStr">
        <is>
          <t>10.12%</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273%</t>
        </is>
      </c>
      <c r="C4" s="6" t="inlineStr">
        <is>
          <t>333%</t>
        </is>
      </c>
      <c r="D4" s="6" t="inlineStr">
        <is>
          <t>729%</t>
        </is>
      </c>
      <c r="E4" s="6" t="inlineStr">
        <is>
          <t>513%</t>
        </is>
      </c>
      <c r="F4" s="6" t="inlineStr">
        <is>
          <t>371%</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157%</t>
        </is>
      </c>
      <c r="C4" s="6" t="inlineStr">
        <is>
          <t>166%</t>
        </is>
      </c>
      <c r="D4" s="6" t="inlineStr">
        <is>
          <t>174%</t>
        </is>
      </c>
      <c r="E4" s="6" t="inlineStr">
        <is>
          <t>179%</t>
        </is>
      </c>
      <c r="F4" s="6" t="inlineStr">
        <is>
          <t>206%</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publicly disclosed in any of the 5 years' Pillar 3 Disclosures reviewed - no MREL figure or exemption statement found.</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2026-09-06T11:42:55Z</dcterms:created>
  <dcterms:modified xsi:type="dcterms:W3CDTF">2026-09-06T11:42:55Z</dcterms:modified>
</cp:coreProperties>
</file>