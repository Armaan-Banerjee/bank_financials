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A90D9C"/>
        <bgColor rgb="00A90D9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FCMB 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'Overview'!K6</f>
            </strRef>
          </tx>
          <spPr>
            <a:ln xmlns:a="http://schemas.openxmlformats.org/drawingml/2006/main">
              <a:prstDash val="solid"/>
            </a:ln>
          </spPr>
          <cat>
            <numRef>
              <f>'Overview'!$L$5:$R$5</f>
            </numRef>
          </cat>
          <val>
            <numRef>
              <f>'Overview'!$L$6:$R$6</f>
            </numRef>
          </val>
        </ser>
        <ser>
          <idx val="1"/>
          <order val="1"/>
          <tx>
            <strRef>
              <f>'Overview'!K7</f>
            </strRef>
          </tx>
          <spPr>
            <a:ln xmlns:a="http://schemas.openxmlformats.org/drawingml/2006/main">
              <a:prstDash val="solid"/>
            </a:ln>
          </spPr>
          <cat>
            <numRef>
              <f>'Overview'!$L$5:$R$5</f>
            </numRef>
          </cat>
          <val>
            <numRef>
              <f>'Overview'!$L$7:$R$7</f>
            </numRef>
          </val>
        </ser>
        <ser>
          <idx val="2"/>
          <order val="2"/>
          <tx>
            <strRef>
              <f>'Overview'!K8</f>
            </strRef>
          </tx>
          <spPr>
            <a:ln xmlns:a="http://schemas.openxmlformats.org/drawingml/2006/main">
              <a:prstDash val="solid"/>
            </a:ln>
          </spPr>
          <cat>
            <numRef>
              <f>'Overview'!$L$5:$R$5</f>
            </numRef>
          </cat>
          <val>
            <numRef>
              <f>'Overview'!$L$8:$R$8</f>
            </numRef>
          </val>
        </ser>
        <ser>
          <idx val="3"/>
          <order val="3"/>
          <tx>
            <strRef>
              <f>'Overview'!K9</f>
            </strRef>
          </tx>
          <spPr>
            <a:ln xmlns:a="http://schemas.openxmlformats.org/drawingml/2006/main">
              <a:prstDash val="solid"/>
            </a:ln>
          </spPr>
          <cat>
            <numRef>
              <f>'Overview'!$L$5:$R$5</f>
            </numRef>
          </cat>
          <val>
            <numRef>
              <f>'Overview'!$L$9:$R$9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FCMB 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'Overview'!U13</f>
            </strRef>
          </tx>
          <spPr>
            <a:ln xmlns:a="http://schemas.openxmlformats.org/drawingml/2006/main">
              <a:prstDash val="solid"/>
            </a:ln>
          </spPr>
          <cat>
            <numRef>
              <f>'Overview'!$V$12:$AB$12</f>
            </numRef>
          </cat>
          <val>
            <numRef>
              <f>'Overview'!$V$13:$AB$13</f>
            </numRef>
          </val>
        </ser>
        <ser>
          <idx val="1"/>
          <order val="1"/>
          <tx>
            <strRef>
              <f>'Overview'!U14</f>
            </strRef>
          </tx>
          <spPr>
            <a:ln xmlns:a="http://schemas.openxmlformats.org/drawingml/2006/main">
              <a:prstDash val="solid"/>
            </a:ln>
          </spPr>
          <cat>
            <numRef>
              <f>'Overview'!$V$12:$AB$12</f>
            </numRef>
          </cat>
          <val>
            <numRef>
              <f>'Overview'!$V$14:$AB$14</f>
            </numRef>
          </val>
        </ser>
        <ser>
          <idx val="2"/>
          <order val="2"/>
          <tx>
            <strRef>
              <f>'Overview'!U15</f>
            </strRef>
          </tx>
          <spPr>
            <a:ln xmlns:a="http://schemas.openxmlformats.org/drawingml/2006/main">
              <a:prstDash val="solid"/>
            </a:ln>
          </spPr>
          <cat>
            <numRef>
              <f>'Overview'!$V$12:$AB$12</f>
            </numRef>
          </cat>
          <val>
            <numRef>
              <f>'Overview'!$V$15:$AB$15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FCMB 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'Overview'!AE19</f>
            </strRef>
          </tx>
          <spPr>
            <a:ln xmlns:a="http://schemas.openxmlformats.org/drawingml/2006/main">
              <a:prstDash val="solid"/>
            </a:ln>
          </spPr>
          <cat>
            <numRef>
              <f>'Overview'!$AF$18:$AL$18</f>
            </numRef>
          </cat>
          <val>
            <numRef>
              <f>'Overview'!$AF$19:$AL$19</f>
            </numRef>
          </val>
        </ser>
        <ser>
          <idx val="1"/>
          <order val="1"/>
          <tx>
            <strRef>
              <f>'Overview'!AE20</f>
            </strRef>
          </tx>
          <spPr>
            <a:ln xmlns:a="http://schemas.openxmlformats.org/drawingml/2006/main">
              <a:prstDash val="solid"/>
            </a:ln>
          </spPr>
          <cat>
            <numRef>
              <f>'Overview'!$AF$18:$AL$18</f>
            </numRef>
          </cat>
          <val>
            <numRef>
              <f>'Overview'!$AF$20:$AL$20</f>
            </numRef>
          </val>
        </ser>
        <ser>
          <idx val="2"/>
          <order val="2"/>
          <tx>
            <strRef>
              <f>'Overview'!AE21</f>
            </strRef>
          </tx>
          <spPr>
            <a:ln xmlns:a="http://schemas.openxmlformats.org/drawingml/2006/main">
              <a:prstDash val="solid"/>
            </a:ln>
          </spPr>
          <cat>
            <numRef>
              <f>'Overview'!$AF$18:$AL$18</f>
            </numRef>
          </cat>
          <val>
            <numRef>
              <f>'Overview'!$AF$21:$AL$21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FCMB Bank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'Overview'!AO25</f>
            </strRef>
          </tx>
          <spPr>
            <a:ln xmlns:a="http://schemas.openxmlformats.org/drawingml/2006/main">
              <a:prstDash val="solid"/>
            </a:ln>
          </spPr>
          <cat>
            <numRef>
              <f>'Overview'!$AP$24:$AV$24</f>
            </numRef>
          </cat>
          <val>
            <numRef>
              <f>'Overview'!$AP$25:$AV$25</f>
            </numRef>
          </val>
        </ser>
        <ser>
          <idx val="1"/>
          <order val="1"/>
          <tx>
            <strRef>
              <f>'Overview'!AO26</f>
            </strRef>
          </tx>
          <spPr>
            <a:ln xmlns:a="http://schemas.openxmlformats.org/drawingml/2006/main">
              <a:prstDash val="solid"/>
            </a:ln>
          </spPr>
          <cat>
            <numRef>
              <f>'Overview'!$AP$24:$AV$24</f>
            </numRef>
          </cat>
          <val>
            <numRef>
              <f>'Overview'!$AP$26:$AV$26</f>
            </numRef>
          </val>
        </ser>
        <ser>
          <idx val="2"/>
          <order val="2"/>
          <tx>
            <strRef>
              <f>'Overview'!AO27</f>
            </strRef>
          </tx>
          <spPr>
            <a:ln xmlns:a="http://schemas.openxmlformats.org/drawingml/2006/main">
              <a:prstDash val="solid"/>
            </a:ln>
          </spPr>
          <cat>
            <numRef>
              <f>'Overview'!$AP$24:$AV$24</f>
            </numRef>
          </cat>
          <val>
            <numRef>
              <f>'Overview'!$AP$27:$AV$27</f>
            </numRef>
          </val>
        </ser>
        <ser>
          <idx val="3"/>
          <order val="3"/>
          <tx>
            <strRef>
              <f>'Overview'!AO28</f>
            </strRef>
          </tx>
          <spPr>
            <a:ln xmlns:a="http://schemas.openxmlformats.org/drawingml/2006/main">
              <a:prstDash val="solid"/>
            </a:ln>
          </spPr>
          <cat>
            <numRef>
              <f>'Overview'!$AP$24:$AV$24</f>
            </numRef>
          </cat>
          <val>
            <numRef>
              <f>'Overview'!$AP$28:$AV$28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FCMB 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'Overview'!AY6</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'Overview'!$AZ$6:$BF$6</f>
            </numRef>
          </val>
          <smooth val="0"/>
        </ser>
        <ser>
          <idx val="1"/>
          <order val="1"/>
          <tx>
            <strRef>
              <f>'Overview'!AY7</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'Overview'!$AZ$7:$BF$7</f>
            </numRef>
          </val>
          <smooth val="0"/>
        </ser>
        <ser>
          <idx val="2"/>
          <order val="2"/>
          <tx>
            <strRef>
              <f>'Overview'!AY8</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'Overview'!$AZ$8:$BF$8</f>
            </numRef>
          </val>
          <smooth val="0"/>
        </ser>
        <ser>
          <idx val="3"/>
          <order val="3"/>
          <tx>
            <strRef>
              <f>'Overview'!AY9</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'Overview'!$AZ$9:$BF$9</f>
            </numRef>
          </val>
          <smooth val="0"/>
        </ser>
        <ser>
          <idx val="4"/>
          <order val="4"/>
          <tx>
            <strRef>
              <f>'Overview'!AY10</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'Overview'!$AZ$10:$BF$10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F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s>
  <sheetData>
    <row r="1">
      <c r="A1" s="1" t="inlineStr">
        <is>
          <t>FCMB Bank (UK)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 (conv. from USD))</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L5" t="inlineStr">
        <is>
          <t>FY2019</t>
        </is>
      </c>
      <c r="M5" t="inlineStr">
        <is>
          <t>FY2020</t>
        </is>
      </c>
      <c r="N5" t="inlineStr">
        <is>
          <t>FY2021</t>
        </is>
      </c>
      <c r="O5" t="inlineStr">
        <is>
          <t>FY2022</t>
        </is>
      </c>
      <c r="P5" t="inlineStr">
        <is>
          <t>FY2023</t>
        </is>
      </c>
      <c r="Q5" t="inlineStr">
        <is>
          <t>FY2024</t>
        </is>
      </c>
      <c r="R5" t="inlineStr">
        <is>
          <t>FY2025</t>
        </is>
      </c>
      <c r="AZ5" t="inlineStr">
        <is>
          <t>FY2019</t>
        </is>
      </c>
      <c r="BA5" t="inlineStr">
        <is>
          <t>FY2020</t>
        </is>
      </c>
      <c r="BB5" t="inlineStr">
        <is>
          <t>FY2021</t>
        </is>
      </c>
      <c r="BC5" t="inlineStr">
        <is>
          <t>FY2022</t>
        </is>
      </c>
      <c r="BD5" t="inlineStr">
        <is>
          <t>FY2023</t>
        </is>
      </c>
      <c r="BE5" t="inlineStr">
        <is>
          <t>FY2024</t>
        </is>
      </c>
      <c r="BF5" t="inlineStr">
        <is>
          <t>FY2025</t>
        </is>
      </c>
    </row>
    <row r="6">
      <c r="A6" s="5" t="inlineStr">
        <is>
          <t>Total assets</t>
        </is>
      </c>
      <c r="B6" s="5" t="n">
        <v>451390.7</v>
      </c>
      <c r="C6" s="5" t="n">
        <v>416637.4</v>
      </c>
      <c r="D6" s="5" t="n">
        <v>362314.5</v>
      </c>
      <c r="E6" s="5" t="n">
        <v>425778.8</v>
      </c>
      <c r="F6" s="5" t="n">
        <v>297650.4</v>
      </c>
      <c r="G6" s="5" t="n">
        <v>280054.6</v>
      </c>
      <c r="H6" s="5" t="n">
        <v>274316.9</v>
      </c>
      <c r="K6" t="inlineStr">
        <is>
          <t>Total assets</t>
        </is>
      </c>
      <c r="L6" t="n">
        <v>274316.9</v>
      </c>
      <c r="M6" t="n">
        <v>280054.6</v>
      </c>
      <c r="N6" t="n">
        <v>297650.4</v>
      </c>
      <c r="O6" t="n">
        <v>425778.8</v>
      </c>
      <c r="P6" t="n">
        <v>362314.5</v>
      </c>
      <c r="Q6" t="n">
        <v>416637.4</v>
      </c>
      <c r="R6" t="n">
        <v>451390.7</v>
      </c>
      <c r="AY6" t="inlineStr">
        <is>
          <t>CET1 Ratio</t>
        </is>
      </c>
      <c r="BA6" t="n">
        <v>27.27</v>
      </c>
      <c r="BB6" t="n">
        <v>17.29</v>
      </c>
      <c r="BC6" t="n">
        <v>16.97</v>
      </c>
      <c r="BD6" t="n">
        <v>17.39</v>
      </c>
      <c r="BE6" t="n">
        <v>16.55</v>
      </c>
      <c r="BF6" t="n">
        <v>14.83</v>
      </c>
    </row>
    <row r="7">
      <c r="A7" s="5" t="inlineStr">
        <is>
          <t>Loans and advances to customers</t>
        </is>
      </c>
      <c r="B7" s="5" t="n">
        <v>86069.89999999999</v>
      </c>
      <c r="C7" s="5" t="n">
        <v>68791.39999999999</v>
      </c>
      <c r="D7" s="5" t="n">
        <v>58578.6</v>
      </c>
      <c r="E7" s="5" t="n">
        <v>59060.5</v>
      </c>
      <c r="F7" s="5" t="n">
        <v>58754.1</v>
      </c>
      <c r="G7" s="5" t="n">
        <v>37821.9</v>
      </c>
      <c r="H7" s="5" t="n">
        <v>28304.6</v>
      </c>
      <c r="K7" t="inlineStr">
        <is>
          <t>Loans and advances to customers</t>
        </is>
      </c>
      <c r="L7" t="n">
        <v>28304.6</v>
      </c>
      <c r="M7" t="n">
        <v>37821.9</v>
      </c>
      <c r="N7" t="n">
        <v>58754.1</v>
      </c>
      <c r="O7" t="n">
        <v>59060.5</v>
      </c>
      <c r="P7" t="n">
        <v>58578.6</v>
      </c>
      <c r="Q7" t="n">
        <v>68791.39999999999</v>
      </c>
      <c r="R7" t="n">
        <v>86069.89999999999</v>
      </c>
      <c r="AY7" t="inlineStr">
        <is>
          <t>Total Capital Ratio</t>
        </is>
      </c>
      <c r="BA7" t="n">
        <v>29.16</v>
      </c>
      <c r="BB7" t="n">
        <v>19.3</v>
      </c>
      <c r="BC7" t="n">
        <v>20.33</v>
      </c>
      <c r="BD7" t="n">
        <v>20.73</v>
      </c>
      <c r="BE7" t="n">
        <v>19.29</v>
      </c>
      <c r="BF7" t="n">
        <v>17.43</v>
      </c>
    </row>
    <row r="8">
      <c r="A8" s="5" t="inlineStr">
        <is>
          <t>Deposits from customers</t>
        </is>
      </c>
      <c r="B8" s="5" t="n">
        <v>167885.2</v>
      </c>
      <c r="C8" s="5" t="n">
        <v>128119.3</v>
      </c>
      <c r="D8" s="5" t="n">
        <v>122000.9</v>
      </c>
      <c r="E8" s="5" t="n">
        <v>176178.6</v>
      </c>
      <c r="F8" s="5" t="n">
        <v>146047.2</v>
      </c>
      <c r="G8" s="5" t="n">
        <v>122653.8</v>
      </c>
      <c r="H8" s="5" t="n">
        <v>92437.3</v>
      </c>
      <c r="K8" t="inlineStr">
        <is>
          <t>Deposits from customers</t>
        </is>
      </c>
      <c r="L8" t="n">
        <v>92437.3</v>
      </c>
      <c r="M8" t="n">
        <v>122653.8</v>
      </c>
      <c r="N8" t="n">
        <v>146047.2</v>
      </c>
      <c r="O8" t="n">
        <v>176178.6</v>
      </c>
      <c r="P8" t="n">
        <v>122000.9</v>
      </c>
      <c r="Q8" t="n">
        <v>128119.3</v>
      </c>
      <c r="R8" t="n">
        <v>167885.2</v>
      </c>
      <c r="AY8" t="inlineStr">
        <is>
          <t>Leverage Ratio</t>
        </is>
      </c>
      <c r="BB8" t="n">
        <v>10.12</v>
      </c>
      <c r="BC8" t="n">
        <v>7.41</v>
      </c>
      <c r="BD8" t="n">
        <v>10.29</v>
      </c>
      <c r="BE8" t="n">
        <v>14.73</v>
      </c>
      <c r="BF8" t="n">
        <v>8.81</v>
      </c>
    </row>
    <row r="9">
      <c r="A9" s="5" t="inlineStr">
        <is>
          <t>Total equity</t>
        </is>
      </c>
      <c r="B9" s="5" t="n">
        <v>41433.2</v>
      </c>
      <c r="C9" s="5" t="n">
        <v>47350.9</v>
      </c>
      <c r="D9" s="5" t="n">
        <v>43429.4</v>
      </c>
      <c r="E9" s="5" t="n">
        <v>36482</v>
      </c>
      <c r="F9" s="5" t="n">
        <v>33373.9</v>
      </c>
      <c r="G9" s="5" t="n">
        <v>32098</v>
      </c>
      <c r="H9" s="5" t="n">
        <v>33319.4</v>
      </c>
      <c r="K9" t="inlineStr">
        <is>
          <t>Total equity</t>
        </is>
      </c>
      <c r="L9" t="n">
        <v>33319.4</v>
      </c>
      <c r="M9" t="n">
        <v>32098</v>
      </c>
      <c r="N9" t="n">
        <v>33373.9</v>
      </c>
      <c r="O9" t="n">
        <v>36482</v>
      </c>
      <c r="P9" t="n">
        <v>43429.4</v>
      </c>
      <c r="Q9" t="n">
        <v>47350.9</v>
      </c>
      <c r="R9" t="n">
        <v>41433.2</v>
      </c>
      <c r="AY9" t="inlineStr">
        <is>
          <t>LCR</t>
        </is>
      </c>
      <c r="BB9" t="n">
        <v>371</v>
      </c>
      <c r="BC9" t="n">
        <v>513</v>
      </c>
      <c r="BD9" t="n">
        <v>729</v>
      </c>
      <c r="BE9" t="n">
        <v>333</v>
      </c>
      <c r="BF9" t="n">
        <v>273</v>
      </c>
    </row>
    <row r="10">
      <c r="AY10" t="inlineStr">
        <is>
          <t>NSFR</t>
        </is>
      </c>
      <c r="BB10" t="n">
        <v>206</v>
      </c>
      <c r="BC10" t="n">
        <v>179</v>
      </c>
      <c r="BD10" t="n">
        <v>174</v>
      </c>
      <c r="BE10" t="n">
        <v>166</v>
      </c>
      <c r="BF10" t="n">
        <v>157</v>
      </c>
    </row>
    <row r="11">
      <c r="A11" s="3" t="inlineStr">
        <is>
          <t>Profit &amp; Loss Summary (£'000 (conv. from USD))</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V12" t="inlineStr">
        <is>
          <t>FY2019</t>
        </is>
      </c>
      <c r="W12" t="inlineStr">
        <is>
          <t>FY2020</t>
        </is>
      </c>
      <c r="X12" t="inlineStr">
        <is>
          <t>FY2021</t>
        </is>
      </c>
      <c r="Y12" t="inlineStr">
        <is>
          <t>FY2022</t>
        </is>
      </c>
      <c r="Z12" t="inlineStr">
        <is>
          <t>FY2023</t>
        </is>
      </c>
      <c r="AA12" t="inlineStr">
        <is>
          <t>FY2024</t>
        </is>
      </c>
      <c r="AB12" t="inlineStr">
        <is>
          <t>FY2025</t>
        </is>
      </c>
    </row>
    <row r="13">
      <c r="A13" s="5" t="inlineStr">
        <is>
          <t>Net operating income</t>
        </is>
      </c>
      <c r="B13" s="5" t="n">
        <v>10260.3</v>
      </c>
      <c r="C13" s="5" t="n">
        <v>16395.7</v>
      </c>
      <c r="D13" s="5" t="n">
        <v>17083.4</v>
      </c>
      <c r="E13" s="5" t="n">
        <v>13274.1</v>
      </c>
      <c r="F13" s="5" t="n">
        <v>9333.299999999999</v>
      </c>
      <c r="G13" s="5" t="n">
        <v>6419.1</v>
      </c>
      <c r="H13" s="5" t="n">
        <v>7513.8</v>
      </c>
      <c r="U13" t="inlineStr">
        <is>
          <t>Net operating income</t>
        </is>
      </c>
      <c r="V13" t="n">
        <v>7513.8</v>
      </c>
      <c r="W13" t="n">
        <v>6419.1</v>
      </c>
      <c r="X13" t="n">
        <v>9333.299999999999</v>
      </c>
      <c r="Y13" t="n">
        <v>13274.1</v>
      </c>
      <c r="Z13" t="n">
        <v>17083.4</v>
      </c>
      <c r="AA13" t="n">
        <v>16395.7</v>
      </c>
      <c r="AB13" t="n">
        <v>10260.3</v>
      </c>
    </row>
    <row r="14">
      <c r="A14" s="5" t="inlineStr">
        <is>
          <t>Total operating expenses</t>
        </is>
      </c>
      <c r="B14" s="5" t="n">
        <v>-13973.8</v>
      </c>
      <c r="C14" s="5" t="n">
        <v>-13813.2</v>
      </c>
      <c r="D14" s="5" t="n">
        <v>-12546.9</v>
      </c>
      <c r="E14" s="5" t="n">
        <v>-10885.2</v>
      </c>
      <c r="F14" s="5" t="n">
        <v>-8516</v>
      </c>
      <c r="G14" s="5" t="n">
        <v>-6836.8</v>
      </c>
      <c r="H14" s="5" t="n">
        <v>-6343.3</v>
      </c>
      <c r="U14" t="inlineStr">
        <is>
          <t>Total operating expenses</t>
        </is>
      </c>
      <c r="V14" t="n">
        <v>-6343.3</v>
      </c>
      <c r="W14" t="n">
        <v>-6836.8</v>
      </c>
      <c r="X14" t="n">
        <v>-8516</v>
      </c>
      <c r="Y14" t="n">
        <v>-10885.2</v>
      </c>
      <c r="Z14" t="n">
        <v>-12546.9</v>
      </c>
      <c r="AA14" t="n">
        <v>-13813.2</v>
      </c>
      <c r="AB14" t="n">
        <v>-13973.8</v>
      </c>
    </row>
    <row r="15">
      <c r="A15" s="5" t="inlineStr">
        <is>
          <t>Profit/(Loss) for the year</t>
        </is>
      </c>
      <c r="B15" s="5" t="n">
        <v>-2787.1</v>
      </c>
      <c r="C15" s="5" t="n">
        <v>1924.4</v>
      </c>
      <c r="D15" s="5" t="n">
        <v>3460.6</v>
      </c>
      <c r="E15" s="5" t="n">
        <v>1946</v>
      </c>
      <c r="F15" s="5" t="n">
        <v>1189.3</v>
      </c>
      <c r="G15" s="5" t="n">
        <v>-301.3</v>
      </c>
      <c r="H15" s="5" t="n">
        <v>1170.5</v>
      </c>
      <c r="U15" t="inlineStr">
        <is>
          <t>Profit/(Loss) for the year</t>
        </is>
      </c>
      <c r="V15" t="n">
        <v>1170.5</v>
      </c>
      <c r="W15" t="n">
        <v>-301.3</v>
      </c>
      <c r="X15" t="n">
        <v>1189.3</v>
      </c>
      <c r="Y15" t="n">
        <v>1946</v>
      </c>
      <c r="Z15" t="n">
        <v>3460.6</v>
      </c>
      <c r="AA15" t="n">
        <v>1924.4</v>
      </c>
      <c r="AB15" t="n">
        <v>-2787.1</v>
      </c>
    </row>
    <row r="17">
      <c r="A17" s="3" t="inlineStr">
        <is>
          <t>Statement of Changes in Equity Summary (£'000 (conv. from USD))</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AF18" t="inlineStr">
        <is>
          <t>FY2019</t>
        </is>
      </c>
      <c r="AG18" t="inlineStr">
        <is>
          <t>FY2020</t>
        </is>
      </c>
      <c r="AH18" t="inlineStr">
        <is>
          <t>FY2021</t>
        </is>
      </c>
      <c r="AI18" t="inlineStr">
        <is>
          <t>FY2022</t>
        </is>
      </c>
      <c r="AJ18" t="inlineStr">
        <is>
          <t>FY2023</t>
        </is>
      </c>
      <c r="AK18" t="inlineStr">
        <is>
          <t>FY2024</t>
        </is>
      </c>
      <c r="AL18" t="inlineStr">
        <is>
          <t>FY2025</t>
        </is>
      </c>
    </row>
    <row r="19">
      <c r="A19" s="5" t="inlineStr">
        <is>
          <t>Opening equity</t>
        </is>
      </c>
      <c r="B19" s="5" t="n">
        <v>47350.9</v>
      </c>
      <c r="C19" s="5" t="n">
        <v>43429.4</v>
      </c>
      <c r="D19" s="5" t="n">
        <v>36482</v>
      </c>
      <c r="E19" s="5" t="n">
        <v>33373.9</v>
      </c>
      <c r="F19" s="5" t="n">
        <v>32098</v>
      </c>
      <c r="G19" s="5" t="n">
        <v>33319.4</v>
      </c>
      <c r="H19" s="5" t="n"/>
      <c r="AE19" t="inlineStr">
        <is>
          <t>Opening equity</t>
        </is>
      </c>
      <c r="AG19" t="n">
        <v>33319.4</v>
      </c>
      <c r="AH19" t="n">
        <v>32098</v>
      </c>
      <c r="AI19" t="n">
        <v>33373.9</v>
      </c>
      <c r="AJ19" t="n">
        <v>36482</v>
      </c>
      <c r="AK19" t="n">
        <v>43429.4</v>
      </c>
      <c r="AL19" t="n">
        <v>47350.9</v>
      </c>
    </row>
    <row r="20">
      <c r="A20" s="5" t="inlineStr">
        <is>
          <t>Total comprehensive income/(loss) for the year</t>
        </is>
      </c>
      <c r="B20" s="5" t="n">
        <v>-2683.4</v>
      </c>
      <c r="C20" s="5" t="n">
        <v>3102.3</v>
      </c>
      <c r="D20" s="5" t="n">
        <v>4953.8</v>
      </c>
      <c r="E20" s="5" t="n">
        <v>-802.9</v>
      </c>
      <c r="F20" s="5" t="n">
        <v>927.7</v>
      </c>
      <c r="G20" s="5" t="n">
        <v>-111</v>
      </c>
      <c r="H20" s="5" t="n"/>
      <c r="AE20" t="inlineStr">
        <is>
          <t>Total comprehensive income/(loss) for the year</t>
        </is>
      </c>
      <c r="AG20" t="n">
        <v>-111</v>
      </c>
      <c r="AH20" t="n">
        <v>927.7</v>
      </c>
      <c r="AI20" t="n">
        <v>-802.9</v>
      </c>
      <c r="AJ20" t="n">
        <v>4953.8</v>
      </c>
      <c r="AK20" t="n">
        <v>3102.3</v>
      </c>
      <c r="AL20" t="n">
        <v>-2683.4</v>
      </c>
    </row>
    <row r="21">
      <c r="A21" s="5" t="inlineStr">
        <is>
          <t>Closing equity</t>
        </is>
      </c>
      <c r="B21" s="5" t="n">
        <v>41433.2</v>
      </c>
      <c r="C21" s="5" t="n">
        <v>47350.9</v>
      </c>
      <c r="D21" s="5" t="n">
        <v>43429.4</v>
      </c>
      <c r="E21" s="5" t="n">
        <v>36482</v>
      </c>
      <c r="F21" s="5" t="n">
        <v>33373.9</v>
      </c>
      <c r="G21" s="5" t="n">
        <v>32098</v>
      </c>
      <c r="H21" s="5" t="n">
        <v>33319.4</v>
      </c>
      <c r="AE21" t="inlineStr">
        <is>
          <t>Closing equity</t>
        </is>
      </c>
      <c r="AF21" t="n">
        <v>33319.4</v>
      </c>
      <c r="AG21" t="n">
        <v>32098</v>
      </c>
      <c r="AH21" t="n">
        <v>33373.9</v>
      </c>
      <c r="AI21" t="n">
        <v>36482</v>
      </c>
      <c r="AJ21" t="n">
        <v>43429.4</v>
      </c>
      <c r="AK21" t="n">
        <v>47350.9</v>
      </c>
      <c r="AL21" t="n">
        <v>41433.2</v>
      </c>
    </row>
    <row r="23">
      <c r="A23" s="3" t="inlineStr">
        <is>
          <t>Cash Flow Summary (£'000 (conv. from USD))</t>
        </is>
      </c>
    </row>
    <row r="24">
      <c r="A24" s="4" t="inlineStr">
        <is>
          <t>Line item</t>
        </is>
      </c>
      <c r="B24" s="4" t="inlineStr">
        <is>
          <t>FY2025</t>
        </is>
      </c>
      <c r="C24" s="4" t="inlineStr">
        <is>
          <t>FY2024</t>
        </is>
      </c>
      <c r="D24" s="4" t="inlineStr">
        <is>
          <t>FY2023</t>
        </is>
      </c>
      <c r="E24" s="4" t="inlineStr">
        <is>
          <t>FY2022</t>
        </is>
      </c>
      <c r="F24" s="4" t="inlineStr">
        <is>
          <t>FY2021</t>
        </is>
      </c>
      <c r="G24" s="4" t="inlineStr">
        <is>
          <t>FY2020</t>
        </is>
      </c>
      <c r="H24" s="4" t="inlineStr">
        <is>
          <t>FY2019</t>
        </is>
      </c>
      <c r="AP24" t="inlineStr">
        <is>
          <t>FY2019</t>
        </is>
      </c>
      <c r="AQ24" t="inlineStr">
        <is>
          <t>FY2020</t>
        </is>
      </c>
      <c r="AR24" t="inlineStr">
        <is>
          <t>FY2021</t>
        </is>
      </c>
      <c r="AS24" t="inlineStr">
        <is>
          <t>FY2022</t>
        </is>
      </c>
      <c r="AT24" t="inlineStr">
        <is>
          <t>FY2023</t>
        </is>
      </c>
      <c r="AU24" t="inlineStr">
        <is>
          <t>FY2024</t>
        </is>
      </c>
      <c r="AV24" t="inlineStr">
        <is>
          <t>FY2025</t>
        </is>
      </c>
    </row>
    <row r="25">
      <c r="A25" s="5" t="inlineStr">
        <is>
          <t>Net cash flows from operating activities</t>
        </is>
      </c>
      <c r="B25" s="5" t="n">
        <v>4230.7</v>
      </c>
      <c r="C25" s="5" t="n">
        <v>5533.8</v>
      </c>
      <c r="D25" s="5" t="n">
        <v>-81910.2</v>
      </c>
      <c r="E25" s="5" t="n">
        <v>90909.10000000001</v>
      </c>
      <c r="F25" s="5" t="n">
        <v>-15725.8</v>
      </c>
      <c r="G25" s="5" t="n">
        <v>-2038.5</v>
      </c>
      <c r="H25" s="5" t="n">
        <v>77612</v>
      </c>
      <c r="AO25" t="inlineStr">
        <is>
          <t>Net cash flows from operating activities</t>
        </is>
      </c>
      <c r="AP25" t="n">
        <v>77612</v>
      </c>
      <c r="AQ25" t="n">
        <v>-2038.5</v>
      </c>
      <c r="AR25" t="n">
        <v>-15725.8</v>
      </c>
      <c r="AS25" t="n">
        <v>90909.10000000001</v>
      </c>
      <c r="AT25" t="n">
        <v>-81910.2</v>
      </c>
      <c r="AU25" t="n">
        <v>5533.8</v>
      </c>
      <c r="AV25" t="n">
        <v>4230.7</v>
      </c>
    </row>
    <row r="26">
      <c r="A26" s="5" t="inlineStr">
        <is>
          <t>Net cash flows from investing activities</t>
        </is>
      </c>
      <c r="B26" s="5" t="n">
        <v>-2272.9</v>
      </c>
      <c r="C26" s="5" t="n">
        <v>-5407.6</v>
      </c>
      <c r="D26" s="5" t="n">
        <v>78518.39999999999</v>
      </c>
      <c r="E26" s="5" t="n">
        <v>-93365</v>
      </c>
      <c r="F26" s="5" t="n">
        <v>10905</v>
      </c>
      <c r="G26" s="5" t="n">
        <v>110.2</v>
      </c>
      <c r="H26" s="5" t="n">
        <v>-72513.3</v>
      </c>
      <c r="AO26" t="inlineStr">
        <is>
          <t>Net cash flows from investing activities</t>
        </is>
      </c>
      <c r="AP26" t="n">
        <v>-72513.3</v>
      </c>
      <c r="AQ26" t="n">
        <v>110.2</v>
      </c>
      <c r="AR26" t="n">
        <v>10905</v>
      </c>
      <c r="AS26" t="n">
        <v>-93365</v>
      </c>
      <c r="AT26" t="n">
        <v>78518.39999999999</v>
      </c>
      <c r="AU26" t="n">
        <v>-5407.6</v>
      </c>
      <c r="AV26" t="n">
        <v>-2272.9</v>
      </c>
    </row>
    <row r="27">
      <c r="A27" s="5" t="inlineStr">
        <is>
          <t>Net cash flows from financing activities</t>
        </is>
      </c>
      <c r="B27" s="5" t="n">
        <v>-342.8</v>
      </c>
      <c r="C27" s="5" t="n">
        <v>-313.5</v>
      </c>
      <c r="D27" s="5" t="n">
        <v>3691.2</v>
      </c>
      <c r="E27" s="5" t="n">
        <v>3430.3</v>
      </c>
      <c r="F27" s="5" t="n">
        <v>-292.9</v>
      </c>
      <c r="G27" s="5" t="n">
        <v>-317.8</v>
      </c>
      <c r="H27" s="5" t="n"/>
      <c r="AO27" t="inlineStr">
        <is>
          <t>Net cash flows from financing activities</t>
        </is>
      </c>
      <c r="AQ27" t="n">
        <v>-317.8</v>
      </c>
      <c r="AR27" t="n">
        <v>-292.9</v>
      </c>
      <c r="AS27" t="n">
        <v>3430.3</v>
      </c>
      <c r="AT27" t="n">
        <v>3691.2</v>
      </c>
      <c r="AU27" t="n">
        <v>-313.5</v>
      </c>
      <c r="AV27" t="n">
        <v>-342.8</v>
      </c>
    </row>
    <row r="28">
      <c r="A28" s="5" t="inlineStr">
        <is>
          <t>Cash and cash equivalents at 31 December</t>
        </is>
      </c>
      <c r="B28" s="5" t="n">
        <v>7486.3</v>
      </c>
      <c r="C28" s="5" t="n">
        <v>5806.3</v>
      </c>
      <c r="D28" s="5" t="n">
        <v>5889.5</v>
      </c>
      <c r="E28" s="5" t="n">
        <v>5884.2</v>
      </c>
      <c r="F28" s="5" t="n">
        <v>4422.7</v>
      </c>
      <c r="G28" s="5" t="n">
        <v>9533.799999999999</v>
      </c>
      <c r="H28" s="5" t="n">
        <v>11899.8</v>
      </c>
      <c r="AO28" t="inlineStr">
        <is>
          <t>Cash and cash equivalents at 31 December</t>
        </is>
      </c>
      <c r="AP28" t="n">
        <v>11899.8</v>
      </c>
      <c r="AQ28" t="n">
        <v>9533.799999999999</v>
      </c>
      <c r="AR28" t="n">
        <v>4422.7</v>
      </c>
      <c r="AS28" t="n">
        <v>5884.2</v>
      </c>
      <c r="AT28" t="n">
        <v>5889.5</v>
      </c>
      <c r="AU28" t="n">
        <v>5806.3</v>
      </c>
      <c r="AV28" t="n">
        <v>7486.3</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c r="H31" s="4" t="inlineStr">
        <is>
          <t>FY2019</t>
        </is>
      </c>
    </row>
    <row r="32">
      <c r="A32" s="6" t="inlineStr">
        <is>
          <t>CET1 Ratio</t>
        </is>
      </c>
      <c r="B32" s="6" t="inlineStr">
        <is>
          <t>14.83%</t>
        </is>
      </c>
      <c r="C32" s="6" t="inlineStr">
        <is>
          <t>16.55%</t>
        </is>
      </c>
      <c r="D32" s="6" t="inlineStr">
        <is>
          <t>17.39%</t>
        </is>
      </c>
      <c r="E32" s="6" t="inlineStr">
        <is>
          <t>16.97%</t>
        </is>
      </c>
      <c r="F32" s="6" t="inlineStr">
        <is>
          <t>17.29%</t>
        </is>
      </c>
      <c r="G32" s="6" t="inlineStr">
        <is>
          <t>27.27%</t>
        </is>
      </c>
      <c r="H32" s="6" t="n"/>
    </row>
    <row r="33">
      <c r="A33" s="6" t="inlineStr">
        <is>
          <t>Total Capital Ratio</t>
        </is>
      </c>
      <c r="B33" s="6" t="inlineStr">
        <is>
          <t>17.43%</t>
        </is>
      </c>
      <c r="C33" s="6" t="inlineStr">
        <is>
          <t>19.29%</t>
        </is>
      </c>
      <c r="D33" s="6" t="inlineStr">
        <is>
          <t>20.73%</t>
        </is>
      </c>
      <c r="E33" s="6" t="inlineStr">
        <is>
          <t>20.33%</t>
        </is>
      </c>
      <c r="F33" s="6" t="inlineStr">
        <is>
          <t>19.30%</t>
        </is>
      </c>
      <c r="G33" s="6" t="inlineStr">
        <is>
          <t>29.16%</t>
        </is>
      </c>
      <c r="H33" s="6" t="n"/>
    </row>
    <row r="34">
      <c r="A34" s="6" t="inlineStr">
        <is>
          <t>Leverage Ratio</t>
        </is>
      </c>
      <c r="B34" s="6" t="inlineStr">
        <is>
          <t>8.81%</t>
        </is>
      </c>
      <c r="C34" s="6" t="inlineStr">
        <is>
          <t>14.73%</t>
        </is>
      </c>
      <c r="D34" s="6" t="inlineStr">
        <is>
          <t>10.29%</t>
        </is>
      </c>
      <c r="E34" s="6" t="inlineStr">
        <is>
          <t>7.41%</t>
        </is>
      </c>
      <c r="F34" s="6" t="inlineStr">
        <is>
          <t>10.12%</t>
        </is>
      </c>
      <c r="G34" s="6" t="n"/>
      <c r="H34" s="6" t="n"/>
    </row>
    <row r="35">
      <c r="A35" s="6" t="inlineStr">
        <is>
          <t>LCR</t>
        </is>
      </c>
      <c r="B35" s="6" t="inlineStr">
        <is>
          <t>273%</t>
        </is>
      </c>
      <c r="C35" s="6" t="inlineStr">
        <is>
          <t>333%</t>
        </is>
      </c>
      <c r="D35" s="6" t="inlineStr">
        <is>
          <t>729%</t>
        </is>
      </c>
      <c r="E35" s="6" t="inlineStr">
        <is>
          <t>513%</t>
        </is>
      </c>
      <c r="F35" s="6" t="inlineStr">
        <is>
          <t>371%</t>
        </is>
      </c>
      <c r="G35" s="6" t="n"/>
      <c r="H35" s="6" t="n"/>
    </row>
    <row r="36">
      <c r="A36" s="6" t="inlineStr">
        <is>
          <t>NSFR</t>
        </is>
      </c>
      <c r="B36" s="6" t="inlineStr">
        <is>
          <t>157%</t>
        </is>
      </c>
      <c r="C36" s="6" t="inlineStr">
        <is>
          <t>166%</t>
        </is>
      </c>
      <c r="D36" s="6" t="inlineStr">
        <is>
          <t>174%</t>
        </is>
      </c>
      <c r="E36" s="6" t="inlineStr">
        <is>
          <t>179%</t>
        </is>
      </c>
      <c r="F36" s="6" t="inlineStr">
        <is>
          <t>206%</t>
        </is>
      </c>
      <c r="G36" s="6" t="n"/>
      <c r="H36" s="6" t="n"/>
    </row>
    <row r="38" ht="45" customHeight="1">
      <c r="A38" s="7" t="inlineStr">
        <is>
          <t>Note: Figures are duplicated from the detail sheets for at-a-glance trend viewing; see each sheet's own source citation for the underlying document/page. Cash flow and capital figures converted from USD - see the Cash Flow Statement sheet's source note for the FX methodology and exact rates used.</t>
        </is>
      </c>
    </row>
  </sheetData>
  <mergeCells count="1">
    <mergeCell ref="A38:H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FCMB Bank (UK) Limited — Statement of Financial Position</t>
        </is>
      </c>
    </row>
    <row r="2">
      <c r="A2" s="2" t="inlineStr">
        <is>
          <t>£'000, converted from USD - see source note at bottom for FX methodology and rates used.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Assets</t>
        </is>
      </c>
      <c r="B4" s="6" t="n"/>
      <c r="C4" s="6" t="n"/>
      <c r="D4" s="6" t="n"/>
      <c r="E4" s="6" t="n"/>
      <c r="F4" s="6" t="n"/>
      <c r="G4" s="6" t="n"/>
      <c r="H4" s="6" t="n"/>
    </row>
    <row r="5">
      <c r="A5" s="6" t="inlineStr">
        <is>
          <t>Cash and cash equivalents</t>
        </is>
      </c>
      <c r="B5" s="6" t="n">
        <v>7486.3</v>
      </c>
      <c r="C5" s="6" t="n">
        <v>5806.3</v>
      </c>
      <c r="D5" s="6" t="n">
        <v>5889.5</v>
      </c>
      <c r="E5" s="6" t="n">
        <v>5884.2</v>
      </c>
      <c r="F5" s="6" t="n">
        <v>4422.7</v>
      </c>
      <c r="G5" s="6" t="n">
        <v>9533.799999999999</v>
      </c>
      <c r="H5" s="6" t="n">
        <v>11907.4</v>
      </c>
    </row>
    <row r="6">
      <c r="A6" s="6" t="inlineStr">
        <is>
          <t>Loans and advances to banks</t>
        </is>
      </c>
      <c r="B6" s="6" t="n">
        <v>202396.1</v>
      </c>
      <c r="C6" s="6" t="n">
        <v>172028</v>
      </c>
      <c r="D6" s="6" t="n">
        <v>141046.2</v>
      </c>
      <c r="E6" s="6" t="n">
        <v>115672.2</v>
      </c>
      <c r="F6" s="6" t="n">
        <v>97883.39999999999</v>
      </c>
      <c r="G6" s="6" t="n">
        <v>86229.8</v>
      </c>
      <c r="H6" s="6" t="n">
        <v>84894.2</v>
      </c>
    </row>
    <row r="7">
      <c r="A7" s="6" t="inlineStr">
        <is>
          <t>Loans and advances to customers</t>
        </is>
      </c>
      <c r="B7" s="6" t="n">
        <v>86069.89999999999</v>
      </c>
      <c r="C7" s="6" t="n">
        <v>68791.39999999999</v>
      </c>
      <c r="D7" s="6" t="n">
        <v>58578.6</v>
      </c>
      <c r="E7" s="6" t="n">
        <v>59060.5</v>
      </c>
      <c r="F7" s="6" t="n">
        <v>58754.1</v>
      </c>
      <c r="G7" s="6" t="n">
        <v>37821.9</v>
      </c>
      <c r="H7" s="6" t="n">
        <v>28304.6</v>
      </c>
    </row>
    <row r="8">
      <c r="A8" s="6" t="inlineStr">
        <is>
          <t>Total investment securities</t>
        </is>
      </c>
      <c r="B8" s="6" t="n">
        <v>145326.7</v>
      </c>
      <c r="C8" s="6" t="n">
        <v>157220.7</v>
      </c>
      <c r="D8" s="6" t="n">
        <v>147581.3</v>
      </c>
      <c r="E8" s="6" t="n">
        <v>235386.8</v>
      </c>
      <c r="F8" s="6" t="n">
        <v>128746</v>
      </c>
      <c r="G8" s="6" t="n">
        <v>138826.9</v>
      </c>
      <c r="H8" s="6" t="n">
        <v>143643.8</v>
      </c>
    </row>
    <row r="9">
      <c r="A9" s="6" t="inlineStr">
        <is>
          <t>Investment securities - Government bonds (sovereign debt, FVOCI)</t>
        </is>
      </c>
      <c r="B9" s="6" t="n">
        <v>0</v>
      </c>
      <c r="C9" s="6" t="n">
        <v>4495.2</v>
      </c>
      <c r="D9" s="6" t="n">
        <v>4318.6</v>
      </c>
      <c r="E9" s="6" t="n">
        <v>4542.6</v>
      </c>
      <c r="F9" s="6" t="n">
        <v>5513.8</v>
      </c>
      <c r="G9" s="6" t="n">
        <v>0</v>
      </c>
      <c r="H9" s="6" t="n"/>
    </row>
    <row r="10">
      <c r="A10" s="6" t="inlineStr">
        <is>
          <t>Investment securities - Bank bonds (financial institution debt, FVOCI)</t>
        </is>
      </c>
      <c r="B10" s="6" t="n">
        <v>0</v>
      </c>
      <c r="C10" s="6" t="n">
        <v>12152.4</v>
      </c>
      <c r="D10" s="6" t="n">
        <v>12979.8</v>
      </c>
      <c r="E10" s="6" t="n">
        <v>12518.3</v>
      </c>
      <c r="F10" s="6" t="n">
        <v>12730.3</v>
      </c>
      <c r="G10" s="6" t="n">
        <v>2364.6</v>
      </c>
      <c r="H10" s="6" t="n"/>
    </row>
    <row r="11">
      <c r="A11" s="6" t="inlineStr">
        <is>
          <t>Investment securities - HQLA: US Treasury bills &amp; IBRD supranational bonds (FVOCI)</t>
        </is>
      </c>
      <c r="B11" s="6" t="n">
        <v>3799.8</v>
      </c>
      <c r="C11" s="6" t="n">
        <v>15912.2</v>
      </c>
      <c r="D11" s="6" t="n">
        <v>23141.9</v>
      </c>
      <c r="E11" s="6" t="n">
        <v>16062.6</v>
      </c>
      <c r="F11" s="6" t="n">
        <v>0</v>
      </c>
      <c r="G11" s="6" t="n">
        <v>0</v>
      </c>
      <c r="H11" s="6" t="n"/>
    </row>
    <row r="12">
      <c r="A12" s="6" t="inlineStr">
        <is>
          <t>Investment securities - Allowance for impairment losses on FVOCI investments</t>
        </is>
      </c>
      <c r="B12" s="6" t="n">
        <v>0</v>
      </c>
      <c r="C12" s="6" t="n">
        <v>0</v>
      </c>
      <c r="D12" s="6" t="n">
        <v>0</v>
      </c>
      <c r="E12" s="6" t="n">
        <v>0</v>
      </c>
      <c r="F12" s="6" t="n">
        <v>-103</v>
      </c>
      <c r="G12" s="6" t="n">
        <v>0</v>
      </c>
      <c r="H12" s="6" t="n"/>
    </row>
    <row r="13">
      <c r="A13" s="6" t="inlineStr">
        <is>
          <t>Investment securities - Fund investments - Government (FVTPL)</t>
        </is>
      </c>
      <c r="B13" s="6" t="n">
        <v>140222.9</v>
      </c>
      <c r="C13" s="6" t="n">
        <v>117917.8</v>
      </c>
      <c r="D13" s="6" t="n">
        <v>100001.2</v>
      </c>
      <c r="E13" s="6" t="n">
        <v>194960.7</v>
      </c>
      <c r="F13" s="6" t="n">
        <v>103372.6</v>
      </c>
      <c r="G13" s="6" t="n">
        <v>136462.4</v>
      </c>
      <c r="H13" s="6" t="n"/>
    </row>
    <row r="14">
      <c r="A14" s="6" t="inlineStr">
        <is>
          <t>Investment securities - Fund investments - Other (FVTPL)</t>
        </is>
      </c>
      <c r="B14" s="6" t="n">
        <v>1304</v>
      </c>
      <c r="C14" s="6" t="n">
        <v>6743</v>
      </c>
      <c r="D14" s="6" t="n">
        <v>7139.7</v>
      </c>
      <c r="E14" s="6" t="n">
        <v>7302.6</v>
      </c>
      <c r="F14" s="6" t="n">
        <v>7232.3</v>
      </c>
      <c r="G14" s="6" t="n">
        <v>0</v>
      </c>
      <c r="H14" s="6" t="n"/>
    </row>
    <row r="15">
      <c r="A15" s="6" t="inlineStr">
        <is>
          <t>Derivative financial instruments</t>
        </is>
      </c>
      <c r="B15" s="6" t="n">
        <v>2208.6</v>
      </c>
      <c r="C15" s="6" t="n">
        <v>1144.5</v>
      </c>
      <c r="D15" s="6" t="n">
        <v>1254.9</v>
      </c>
      <c r="E15" s="6" t="n">
        <v>1530.5</v>
      </c>
      <c r="F15" s="6" t="n">
        <v>616.9</v>
      </c>
      <c r="G15" s="6" t="n">
        <v>2720.2</v>
      </c>
      <c r="H15" s="6" t="n"/>
    </row>
    <row r="16">
      <c r="A16" s="6" t="inlineStr">
        <is>
          <t>Other assets</t>
        </is>
      </c>
      <c r="B16" s="6" t="n">
        <v>6861.3</v>
      </c>
      <c r="C16" s="6" t="n">
        <v>10391.4</v>
      </c>
      <c r="D16" s="6" t="n">
        <v>7146.7</v>
      </c>
      <c r="E16" s="6" t="n">
        <v>6257.2</v>
      </c>
      <c r="F16" s="6" t="n">
        <v>4874</v>
      </c>
      <c r="G16" s="6" t="n">
        <v>2582.6</v>
      </c>
      <c r="H16" s="6" t="n">
        <v>2899.8</v>
      </c>
    </row>
    <row r="17">
      <c r="A17" s="6" t="inlineStr">
        <is>
          <t>Deferred tax asset</t>
        </is>
      </c>
      <c r="B17" s="6" t="n">
        <v>265.7</v>
      </c>
      <c r="C17" s="6" t="n"/>
      <c r="D17" s="6" t="n">
        <v>15.6</v>
      </c>
      <c r="E17" s="6" t="n">
        <v>131.4</v>
      </c>
      <c r="F17" s="6" t="n">
        <v>488.7</v>
      </c>
      <c r="G17" s="6" t="n">
        <v>109.3</v>
      </c>
      <c r="H17" s="6" t="n"/>
    </row>
    <row r="18">
      <c r="A18" s="6" t="inlineStr">
        <is>
          <t>Property and equipment</t>
        </is>
      </c>
      <c r="B18" s="6" t="n">
        <v>384.4</v>
      </c>
      <c r="C18" s="6" t="n">
        <v>759.9</v>
      </c>
      <c r="D18" s="6" t="n">
        <v>377.3</v>
      </c>
      <c r="E18" s="6" t="n">
        <v>1530.9</v>
      </c>
      <c r="F18" s="6" t="n">
        <v>1653.8</v>
      </c>
      <c r="G18" s="6" t="n">
        <v>1912.5</v>
      </c>
      <c r="H18" s="6" t="n">
        <v>2274.6</v>
      </c>
    </row>
    <row r="19">
      <c r="A19" s="6" t="inlineStr">
        <is>
          <t>Intangible assets</t>
        </is>
      </c>
      <c r="B19" s="6" t="n">
        <v>391.7</v>
      </c>
      <c r="C19" s="6" t="n">
        <v>495.2</v>
      </c>
      <c r="D19" s="6" t="n">
        <v>424.5</v>
      </c>
      <c r="E19" s="6" t="n">
        <v>325.1</v>
      </c>
      <c r="F19" s="6" t="n">
        <v>210.8</v>
      </c>
      <c r="G19" s="6" t="n">
        <v>317.5</v>
      </c>
      <c r="H19" s="6" t="n">
        <v>407.6</v>
      </c>
    </row>
    <row r="20">
      <c r="A20" s="5" t="inlineStr">
        <is>
          <t>Total assets</t>
        </is>
      </c>
      <c r="B20" s="5" t="n">
        <v>451390.7</v>
      </c>
      <c r="C20" s="5" t="n">
        <v>416637.4</v>
      </c>
      <c r="D20" s="5" t="n">
        <v>362314.5</v>
      </c>
      <c r="E20" s="5" t="n">
        <v>425778.8</v>
      </c>
      <c r="F20" s="5" t="n">
        <v>297650.4</v>
      </c>
      <c r="G20" s="5" t="n">
        <v>280054.6</v>
      </c>
      <c r="H20" s="5" t="n">
        <v>274316.9</v>
      </c>
    </row>
    <row r="21">
      <c r="A21" s="5" t="inlineStr">
        <is>
          <t>Liabilities</t>
        </is>
      </c>
      <c r="B21" s="6" t="n"/>
      <c r="C21" s="6" t="n"/>
      <c r="D21" s="6" t="n"/>
      <c r="E21" s="6" t="n"/>
      <c r="F21" s="6" t="n"/>
      <c r="G21" s="6" t="n"/>
      <c r="H21" s="6" t="n"/>
    </row>
    <row r="22">
      <c r="A22" s="6" t="inlineStr">
        <is>
          <t>Deposits from banks</t>
        </is>
      </c>
      <c r="B22" s="6" t="n">
        <v>229457.6</v>
      </c>
      <c r="C22" s="6" t="n">
        <v>224146.2</v>
      </c>
      <c r="D22" s="6" t="n">
        <v>182288.2</v>
      </c>
      <c r="E22" s="6" t="n">
        <v>196841.5</v>
      </c>
      <c r="F22" s="6" t="n">
        <v>108485.5</v>
      </c>
      <c r="G22" s="6" t="n">
        <v>119082.6</v>
      </c>
      <c r="H22" s="6" t="n">
        <v>144091.6</v>
      </c>
    </row>
    <row r="23">
      <c r="A23" s="6" t="inlineStr">
        <is>
          <t>Deposits from customers</t>
        </is>
      </c>
      <c r="B23" s="6" t="n">
        <v>167885.2</v>
      </c>
      <c r="C23" s="6" t="n">
        <v>128119.3</v>
      </c>
      <c r="D23" s="6" t="n">
        <v>122000.9</v>
      </c>
      <c r="E23" s="6" t="n">
        <v>176178.6</v>
      </c>
      <c r="F23" s="6" t="n">
        <v>146047.2</v>
      </c>
      <c r="G23" s="6" t="n">
        <v>122653.8</v>
      </c>
      <c r="H23" s="6" t="n">
        <v>92437.3</v>
      </c>
    </row>
    <row r="24">
      <c r="A24" s="6" t="inlineStr">
        <is>
          <t>Derivative financial instruments</t>
        </is>
      </c>
      <c r="B24" s="6" t="n">
        <v>314.3</v>
      </c>
      <c r="C24" s="6" t="n">
        <v>1741</v>
      </c>
      <c r="D24" s="6" t="n">
        <v>823.8</v>
      </c>
      <c r="E24" s="6" t="n">
        <v>3047.5</v>
      </c>
      <c r="F24" s="6" t="n">
        <v>1609.6</v>
      </c>
      <c r="G24" s="6" t="n">
        <v>0</v>
      </c>
      <c r="H24" s="6" t="n"/>
    </row>
    <row r="25">
      <c r="A25" s="6" t="inlineStr">
        <is>
          <t>Current tax liability</t>
        </is>
      </c>
      <c r="B25" s="6" t="n"/>
      <c r="C25" s="6" t="n"/>
      <c r="D25" s="6" t="n"/>
      <c r="E25" s="6" t="n">
        <v>37.7</v>
      </c>
      <c r="F25" s="6" t="n"/>
      <c r="G25" s="6" t="n"/>
      <c r="H25" s="6" t="n"/>
    </row>
    <row r="26">
      <c r="A26" s="6" t="inlineStr">
        <is>
          <t>Other liabilities</t>
        </is>
      </c>
      <c r="B26" s="6" t="n">
        <v>5161.9</v>
      </c>
      <c r="C26" s="6" t="n">
        <v>7589.3</v>
      </c>
      <c r="D26" s="6" t="n">
        <v>6232.1</v>
      </c>
      <c r="E26" s="6" t="n">
        <v>5255.6</v>
      </c>
      <c r="F26" s="6" t="n">
        <v>4436.3</v>
      </c>
      <c r="G26" s="6" t="n">
        <v>4024.3</v>
      </c>
      <c r="H26" s="6" t="n">
        <v>4468.7</v>
      </c>
    </row>
    <row r="27">
      <c r="A27" s="6" t="inlineStr">
        <is>
          <t>Subordinated liabilities</t>
        </is>
      </c>
      <c r="B27" s="6" t="n">
        <v>7138.6</v>
      </c>
      <c r="C27" s="6" t="n">
        <v>7670.8</v>
      </c>
      <c r="D27" s="6" t="n">
        <v>7540.1</v>
      </c>
      <c r="E27" s="6" t="n">
        <v>7935.9</v>
      </c>
      <c r="F27" s="6" t="n">
        <v>3698</v>
      </c>
      <c r="G27" s="6" t="n">
        <v>2196</v>
      </c>
      <c r="H27" s="6" t="n"/>
    </row>
    <row r="28">
      <c r="A28" s="6" t="inlineStr">
        <is>
          <t>Deferred tax liability</t>
        </is>
      </c>
      <c r="B28" s="6" t="n"/>
      <c r="C28" s="6" t="n">
        <v>19.9</v>
      </c>
      <c r="D28" s="6" t="n"/>
      <c r="E28" s="6" t="n"/>
      <c r="F28" s="6" t="n"/>
      <c r="G28" s="6" t="n"/>
      <c r="H28" s="6" t="n"/>
    </row>
    <row r="29">
      <c r="A29" s="5" t="inlineStr">
        <is>
          <t>Total liabilities</t>
        </is>
      </c>
      <c r="B29" s="5" t="n">
        <v>409957.5</v>
      </c>
      <c r="C29" s="5" t="n">
        <v>369286.5</v>
      </c>
      <c r="D29" s="5" t="n">
        <v>318885.1</v>
      </c>
      <c r="E29" s="5" t="n">
        <v>389296.8</v>
      </c>
      <c r="F29" s="5" t="n">
        <v>264276.5</v>
      </c>
      <c r="G29" s="5" t="n">
        <v>247956.7</v>
      </c>
      <c r="H29" s="5" t="n">
        <v>240997.5</v>
      </c>
    </row>
    <row r="30">
      <c r="A30" s="5" t="inlineStr">
        <is>
          <t>Equity</t>
        </is>
      </c>
      <c r="B30" s="6" t="n"/>
      <c r="C30" s="6" t="n"/>
      <c r="D30" s="6" t="n"/>
      <c r="E30" s="6" t="n"/>
      <c r="F30" s="6" t="n"/>
      <c r="G30" s="6" t="n"/>
      <c r="H30" s="6" t="n"/>
    </row>
    <row r="31">
      <c r="A31" s="6" t="inlineStr">
        <is>
          <t>Issued capital</t>
        </is>
      </c>
      <c r="B31" s="6" t="n">
        <v>40080.3</v>
      </c>
      <c r="C31" s="6" t="n">
        <v>43068.3</v>
      </c>
      <c r="D31" s="6" t="n">
        <v>42334.3</v>
      </c>
      <c r="E31" s="6" t="n">
        <v>40423.2</v>
      </c>
      <c r="F31" s="6" t="n">
        <v>36166</v>
      </c>
      <c r="G31" s="6" t="n">
        <v>35795.3</v>
      </c>
      <c r="H31" s="6" t="n">
        <v>37037</v>
      </c>
    </row>
    <row r="32">
      <c r="A32" s="6" t="inlineStr">
        <is>
          <t>Retained earnings</t>
        </is>
      </c>
      <c r="B32" s="6" t="n">
        <v>1352.4</v>
      </c>
      <c r="C32" s="6" t="n">
        <v>4391.3</v>
      </c>
      <c r="D32" s="6" t="n">
        <v>2384.5</v>
      </c>
      <c r="E32" s="6" t="n">
        <v>-1048.8</v>
      </c>
      <c r="F32" s="6" t="n">
        <v>-2717.6</v>
      </c>
      <c r="G32" s="6" t="n">
        <v>-3886.9</v>
      </c>
      <c r="H32" s="6" t="n">
        <v>-3729</v>
      </c>
    </row>
    <row r="33">
      <c r="A33" s="6" t="inlineStr">
        <is>
          <t>Other reserves</t>
        </is>
      </c>
      <c r="B33" s="6" t="n">
        <v>0.5</v>
      </c>
      <c r="C33" s="6" t="n">
        <v>-108.7</v>
      </c>
      <c r="D33" s="6" t="n">
        <v>-1289.3</v>
      </c>
      <c r="E33" s="6" t="n">
        <v>-2892.4</v>
      </c>
      <c r="F33" s="6" t="n">
        <v>-74.5</v>
      </c>
      <c r="G33" s="6" t="n">
        <v>189.6</v>
      </c>
      <c r="H33" s="6" t="n">
        <v>11.1</v>
      </c>
    </row>
    <row r="34">
      <c r="A34" s="5" t="inlineStr">
        <is>
          <t>Total equity</t>
        </is>
      </c>
      <c r="B34" s="5" t="n">
        <v>41433.2</v>
      </c>
      <c r="C34" s="5" t="n">
        <v>47350.9</v>
      </c>
      <c r="D34" s="5" t="n">
        <v>43429.4</v>
      </c>
      <c r="E34" s="5" t="n">
        <v>36482</v>
      </c>
      <c r="F34" s="5" t="n">
        <v>33373.9</v>
      </c>
      <c r="G34" s="5" t="n">
        <v>32098</v>
      </c>
      <c r="H34" s="5" t="n">
        <v>33319.4</v>
      </c>
    </row>
    <row r="35">
      <c r="A35" s="5" t="inlineStr">
        <is>
          <t>Total liabilities and equity</t>
        </is>
      </c>
      <c r="B35" s="5" t="n">
        <v>451390.7</v>
      </c>
      <c r="C35" s="5" t="n">
        <v>416637.4</v>
      </c>
      <c r="D35" s="5" t="n">
        <v>362314.5</v>
      </c>
      <c r="E35" s="5" t="n">
        <v>425778.8</v>
      </c>
      <c r="F35" s="5" t="n">
        <v>297650.4</v>
      </c>
      <c r="G35" s="5" t="n">
        <v>280054.6</v>
      </c>
      <c r="H35" s="5" t="n">
        <v>274316.9</v>
      </c>
    </row>
    <row r="37" ht="340" customHeight="1">
      <c r="A37" s="8" t="inlineStr">
        <is>
          <t>Sources - FCMB Bank (UK) Limited's own Statement of Financial Position / Statement of Comprehensive Income / Statement of Changes in Equity, from its Companies House-filed Annual Report and Accounts:
FY2025: Audited Accounts 2025, p.40-41 - https://fcmbuk.com/wp-content/uploads/2026/08/SIGNED-FCMB-Bank-UK-Limited-Audited-Accounts-2025.pdf
FY2024: Audited Accounts 2024, p.29-30 (own-year figures - see reclassification note) - https://fcmbuk.com/wp-content/uploads/2025/09/FCMB-Bank-UK-Limited-Audited-Accounts-2024-Signed.pdf
FY2023: Audited Accounts 2023, p.31-32 - https://fcmbuk.com/wp-content/uploads/2024/07/FCMB-Bank-UK-Limited-Audited-Accounts-2023.pdf
FY2022: Annual Report &amp; Financial Statements 2022, p.29-30 - https://fcmbuk.com/wp-content/uploads/2023/09/FCMB-Bank-UK-Limited-Signed-Annual-Report-Financial-Statements-2022.pdf
FY2021: Audited Accounts 2021, p.26-27 - https://fcmbuk.com/wp-content/uploads/2023/09/FCMB-Bank-UK-Limited-Signed-Audited-Accounts-2021.pdf
FY2020: Audited Accounts 2021, pp.26-27 (audited comparative column) - https://fcmbuk.com/wp-content/uploads/2023/09/FCMB-Bank-UK-Limited-Signed-Audited-Accounts-2021.pdf
FY2019: Companies House-filed Annual Report and Financial Statements 2019, printed pp.26-27 (user-supplied primary PDF; deleted after extraction)
FCMB Bank (UK) Limited (company 06621225, FRN 502704) is a UK subsidiary of First City Monument Bank (Nigeria). Does NOT take the FRS 101/102 cash-flow exemption - a full Statement of Cash Flows exists every year. FY2020 is sourced from the FY2021 Annual Report's audited comparative column; FY2019 is sourced from the Companies House-filed statutory accounts supplied for this audit (printed pages 26-29). Each available year's own originally-published figures used throughout - the closing balance of each year ties exactly to the following year's own opening balance across all 5 years.
DATA QUALITY NOTE (FY2024): the FY2025 Annual Report's own FY2024 comparative column shows materially different 'Changes in operating assets and liabilities' line items (and a different Operating/Investing split) than FY2024's own originally-published Annual Report - e.g. 'Net (increase) in loans and advances to banks' is $(42,672,236) in the FY2025 report's comparative vs. $(35,611,527) in FY2024's own report. FY2024's own figures are used throughout (per project convention), and independently confirmed internally consistent (adjustments subtotal $2,243,237 + changes subtotal $4,830,112 = $7,073,349, matching FY2024's own printed operating total exactly). Net cash flow for the year, opening balance, and closing balance are IDENTICAL between both vintages ($(239,325) net change, both years) - only the Operating/Investing section split differs, consistent with a presentational reclassification rather than a change in the Bank's actual cash position. Similarly, FY2021's own report classifies 'Issuance of subordinated liabilities' ($2,000,000) within Operating activities, while later reports' FY2021 comparative reclassifies it into Financing activities - the FY2022 report's own footnote explicitly confirms this deliberate reclassification ('Subordinated liabilities were classified under operating activities in 2021. In 2022, subordinated liabilities have been classified under financing activities for the current year and in the prior year comparatives.'). FY2021's own original classification is used here, per convention.
FX CONVERSION: the Bank's functional and presentational currency is USD. Converted to £ per this project's established methodology: point-in-time/balance figures (capital, RWA, leverage exposure, HQLA, cash balances) use the Bank of England GBP/USD SPOT rate as at that fiscal year-end (31 December); flow figures (every cash flow statement line item) use the AVERAGE of Bank of England rates over that calendar year. Rate table reused from Zenith Bank UK/Union Bank of India UK (same 31 Dec year-end): 31 Dec 2020 spot 1.3661 (FY2021 opening cash only); FY2021 spot 1.3521 / average 1.3752; FY2022 spot 1.2097 / average 1.2362; FY2023 spot 1.2732 / average 1.2439; FY2024 spot 1.2515 / average 1.2782; FY2025 spot 1.3448 / average 1.3193. All % ratios are shown exactly as reported in USD, not converted (dimensionless, currency-invariant). An explicit 'Effect of GBP/USD translation' line reconciles the stock/flow rate mismatch so opening + flows + this line = closing exactly in £ terms; computed programmatically from the actual converted figures, not hardcoded.
BALANCE SHEET RECLASSIFICATION NOTE (FY2024): the FY2025 Annual Report's own FY2024 comparative column shows a different split between 'Loans and advances to banks' ($222,353,776), 'Loans and advances to customers' ($87,181,343) and 'Investment securities' ($192,066,892) than FY2024's own originally-published Annual Report ($215,293,067 / $86,092,409 / $196,761,703 respectively) - the FY2025 report's own Balance Sheet page states 'There has been a re-classification of accrued interest and some investment securities at the prior year-end have been recategorised as a debtor.' Total assets/liabilities/equity are IDENTICAL between both vintages ($521,421,659 total assets, $59,259,637 total equity) - only the asset-line split differs. FY2024's own originally-published figures are used throughout here, per project convention.
ASSET QUALITY RECLASSIFICATION NOTE (FY2024): similarly, the FY2025 report's own FY2024 comparative 'Net carrying value of exposure by risk rating' table shows Stage 1/2/3 splits ($409,617,076 / $6,832,107 / $3,121,198, total $419,570,381) that differ from FY2024's own originally-published note ($404,519,023 / $6,673,411 / $3,121,198, total $414,313,632) - consistent with the same reclassification. FY2024's own originally-published figures are used here too.
RWA BREAKDOWN NOTE: the Bank's Pillar 3 Disclosures do not publish a UK OV1-style RWA-by-category table directly - only a 'Minimum Capital Requirements' table (8% of own funds requirement, by risk type). RWA by category is CALCULATED as (capital requirement / 8%) for each row, independently cross-checked against the Bank's own disclosed Total RWA/TREA figure (Total RWAs sheet) - the calculated Total Pillar 1 RWA ties to the disclosed TREA within rounding for every year (e.g. FY2025: $29,485k / 8% = $368,563k calculated vs $368,569k disclosed TREA).
INVESTMENT SECURITIES BREAKDOWN: the 'Investment securities - ...' sub-rows below the 'Total investment securities' line are transcribed from Note 15 'Investment securities' of each year's own Notes to the Financial Statements, which splits the balance both by measurement basis (fair value through other comprehensive income (FVOCI) vs fair value through profit or loss (FVTPL) - there is no amortised-cost investment securities balance in any year) and by instrument type (Government Bonds; Bank bonds; HQLA Investments, described in the note as 'high quality liquid assets [that] include US Treasury bills and bonds issued by International Bank of Restructuring and Development (IBRD)' - i.e. a sovereign/supranational mix not broken down further; an allowance for impairment losses against the FVOCI book; and Fund Investments - Government / Fund Investments - Other, both FVTPL): FY2025: Audited Accounts 2025, Note 15, p.62 - https://fcmbuk.com/wp-content/uploads/2026/08/SIGNED-FCMB-Bank-UK-Limited-Audited-Accounts-2025.pdf
FY2024: Audited Accounts 2024, Note 15, p.49 (own-year figures - see reclassification note above; the FY2025 report's own FY2024 comparative column shows different Note 15 sub-figures totalling $192,066,892, consistent with the same reclassification) - https://fcmbuk.com/wp-content/uploads/2025/09/FCMB-Bank-UK-Limited-Audited-Accounts-2024-Signed.pdf
FY2023: Audited Accounts 2023, Note 15, p.51 - https://fcmbuk.com/wp-content/uploads/2024/07/FCMB-Bank-UK-Limited-Audited-Accounts-2023.pdf
FY2022: Annual Report &amp; Financial Statements 2022, Note 15, p.50 - https://fcmbuk.com/wp-content/uploads/2023/09/FCMB-Bank-UK-Limited-Signed-Annual-Report-Financial-Statements-2022.pdf
FY2021: Audited Accounts 2021, Note 15, p.46 - https://fcmbuk.com/wp-content/uploads/2023/09/FCMB-Bank-UK-Limited-Signed-Audited-Accounts-2021.pdf
FY2020: Audited Accounts 2021, Note 15, p.46 (audited comparative column; FY2020 predates the 'HQLA Investments' sub-line introduced from FY2022 onwards, so that FY2020 sub-row is £0) - https://fcmbuk.com/wp-content/uploads/2023/09/FCMB-Bank-UK-Limited-Signed-Audited-Accounts-2021.pdf
FY2019: no breakdown available - the FY2019 Note 15 was not among the pages transcribed from the user-supplied primary PDF (since deleted after extraction), so the FY2019 sub-rows are left blank rather than estimated.
Each year's sub-rows sum exactly to that year's headline 'Total investment securities' line in underlying USD; after this project's independent per-row £'000 FX conversion (each row rounded to 1 decimal place separately) the sub-rows tie to the total within rounding (at most £0.1k) for any given year.</t>
        </is>
      </c>
    </row>
  </sheetData>
  <mergeCells count="1">
    <mergeCell ref="A37:H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FCMB Bank (UK) Limited — Statement of Comprehensive Income</t>
        </is>
      </c>
    </row>
    <row r="2">
      <c r="A2" s="2" t="inlineStr">
        <is>
          <t>£'000, converted from USD - see source note at bottom for FX methodology and rates used. FY2023/FY2022 OCI shown as a single FVOCI fair value line (not broken into the FY2024/FY2025 3-line split) - matches each year's own disclosure.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Income</t>
        </is>
      </c>
      <c r="B4" s="6" t="n"/>
      <c r="C4" s="6" t="n"/>
      <c r="D4" s="6" t="n"/>
      <c r="E4" s="6" t="n"/>
      <c r="F4" s="6" t="n"/>
      <c r="G4" s="6" t="n"/>
      <c r="H4" s="6" t="n"/>
    </row>
    <row r="5">
      <c r="A5" s="6" t="inlineStr">
        <is>
          <t>Interest and similar income</t>
        </is>
      </c>
      <c r="B5" s="6" t="n">
        <v>25836.1</v>
      </c>
      <c r="C5" s="6" t="n">
        <v>28301.3</v>
      </c>
      <c r="D5" s="6" t="n">
        <v>25487.5</v>
      </c>
      <c r="E5" s="6" t="n">
        <v>15308.3</v>
      </c>
      <c r="F5" s="6" t="n">
        <v>8152</v>
      </c>
      <c r="G5" s="6" t="n">
        <v>7874.1</v>
      </c>
      <c r="H5" s="6" t="n">
        <v>9046.6</v>
      </c>
    </row>
    <row r="6">
      <c r="A6" s="6" t="inlineStr">
        <is>
          <t>Interest and similar expense</t>
        </is>
      </c>
      <c r="B6" s="6" t="n">
        <v>-14079.1</v>
      </c>
      <c r="C6" s="6" t="n">
        <v>-14350</v>
      </c>
      <c r="D6" s="6" t="n">
        <v>-11120</v>
      </c>
      <c r="E6" s="6" t="n">
        <v>-3582.8</v>
      </c>
      <c r="F6" s="6" t="n">
        <v>-2074.6</v>
      </c>
      <c r="G6" s="6" t="n">
        <v>-3813</v>
      </c>
      <c r="H6" s="6" t="n">
        <v>-4376.4</v>
      </c>
    </row>
    <row r="7">
      <c r="A7" s="5" t="inlineStr">
        <is>
          <t>Net interest income</t>
        </is>
      </c>
      <c r="B7" s="5" t="n">
        <v>11757</v>
      </c>
      <c r="C7" s="5" t="n">
        <v>13951.3</v>
      </c>
      <c r="D7" s="5" t="n">
        <v>14367.6</v>
      </c>
      <c r="E7" s="5" t="n">
        <v>11725.6</v>
      </c>
      <c r="F7" s="5" t="n">
        <v>6077.4</v>
      </c>
      <c r="G7" s="5" t="n">
        <v>4061.1</v>
      </c>
      <c r="H7" s="5" t="n">
        <v>4670.2</v>
      </c>
    </row>
    <row r="8">
      <c r="A8" s="6" t="inlineStr">
        <is>
          <t>Fees and commission income</t>
        </is>
      </c>
      <c r="B8" s="6" t="n">
        <v>2045.4</v>
      </c>
      <c r="C8" s="6" t="n">
        <v>1373.6</v>
      </c>
      <c r="D8" s="6" t="n">
        <v>1043</v>
      </c>
      <c r="E8" s="6" t="n">
        <v>1437.3</v>
      </c>
      <c r="F8" s="6" t="n">
        <v>1672.5</v>
      </c>
      <c r="G8" s="6" t="n">
        <v>1758.7</v>
      </c>
      <c r="H8" s="6" t="n"/>
    </row>
    <row r="9">
      <c r="A9" s="6" t="inlineStr">
        <is>
          <t>Fees and commission expense</t>
        </is>
      </c>
      <c r="B9" s="6" t="n">
        <v>-840</v>
      </c>
      <c r="C9" s="6" t="n">
        <v>-633.7</v>
      </c>
      <c r="D9" s="6" t="n">
        <v>-590.7</v>
      </c>
      <c r="E9" s="6" t="n">
        <v>-718.7</v>
      </c>
      <c r="F9" s="6" t="n">
        <v>-558.1</v>
      </c>
      <c r="G9" s="6" t="n">
        <v>-378.8</v>
      </c>
      <c r="H9" s="6" t="n"/>
    </row>
    <row r="10">
      <c r="A10" s="5" t="inlineStr">
        <is>
          <t>Net fee and commission income</t>
        </is>
      </c>
      <c r="B10" s="5" t="n">
        <v>1205.4</v>
      </c>
      <c r="C10" s="5" t="n">
        <v>739.9</v>
      </c>
      <c r="D10" s="5" t="n">
        <v>452.2</v>
      </c>
      <c r="E10" s="5" t="n">
        <v>718.7</v>
      </c>
      <c r="F10" s="5" t="n">
        <v>1114.5</v>
      </c>
      <c r="G10" s="5" t="n">
        <v>1379.9</v>
      </c>
      <c r="H10" s="5" t="n">
        <v>1833.9</v>
      </c>
    </row>
    <row r="11">
      <c r="A11" s="6" t="inlineStr">
        <is>
          <t>Other operating income</t>
        </is>
      </c>
      <c r="B11" s="6" t="n">
        <v>1378.9</v>
      </c>
      <c r="C11" s="6" t="n">
        <v>1727.9</v>
      </c>
      <c r="D11" s="6" t="n">
        <v>3707.2</v>
      </c>
      <c r="E11" s="6" t="n">
        <v>2858.9</v>
      </c>
      <c r="F11" s="6" t="n">
        <v>2198</v>
      </c>
      <c r="G11" s="6" t="n">
        <v>1270.3</v>
      </c>
      <c r="H11" s="6" t="n">
        <v>1018.3</v>
      </c>
    </row>
    <row r="12">
      <c r="A12" s="6" t="inlineStr">
        <is>
          <t>Impairment charges</t>
        </is>
      </c>
      <c r="B12" s="6" t="n">
        <v>-4081</v>
      </c>
      <c r="C12" s="6" t="n">
        <v>-23.4</v>
      </c>
      <c r="D12" s="6" t="n">
        <v>-1443.6</v>
      </c>
      <c r="E12" s="6" t="n">
        <v>-2029.1</v>
      </c>
      <c r="F12" s="6" t="n">
        <v>-56.6</v>
      </c>
      <c r="G12" s="6" t="n">
        <v>-292.2</v>
      </c>
      <c r="H12" s="6" t="n">
        <v>-8.6</v>
      </c>
    </row>
    <row r="13">
      <c r="A13" s="5" t="inlineStr">
        <is>
          <t>Net operating income</t>
        </is>
      </c>
      <c r="B13" s="5" t="n">
        <v>10260.3</v>
      </c>
      <c r="C13" s="5" t="n">
        <v>16395.7</v>
      </c>
      <c r="D13" s="5" t="n">
        <v>17083.4</v>
      </c>
      <c r="E13" s="5" t="n">
        <v>13274.1</v>
      </c>
      <c r="F13" s="5" t="n">
        <v>9333.299999999999</v>
      </c>
      <c r="G13" s="5" t="n">
        <v>6419.1</v>
      </c>
      <c r="H13" s="5" t="n">
        <v>7513.8</v>
      </c>
    </row>
    <row r="14">
      <c r="A14" s="6" t="inlineStr">
        <is>
          <t>Personnel expenses</t>
        </is>
      </c>
      <c r="B14" s="6" t="n">
        <v>-9790.299999999999</v>
      </c>
      <c r="C14" s="6" t="n">
        <v>-8993.299999999999</v>
      </c>
      <c r="D14" s="6" t="n">
        <v>-7947.8</v>
      </c>
      <c r="E14" s="6" t="n">
        <v>-6374.5</v>
      </c>
      <c r="F14" s="6" t="n">
        <v>-4993.7</v>
      </c>
      <c r="G14" s="6" t="n">
        <v>-4516</v>
      </c>
      <c r="H14" s="6" t="n"/>
    </row>
    <row r="15">
      <c r="A15" s="6" t="inlineStr">
        <is>
          <t>Depreciation and amortisation expenses</t>
        </is>
      </c>
      <c r="B15" s="6" t="n">
        <v>-604.3</v>
      </c>
      <c r="C15" s="6" t="n">
        <v>-629.5</v>
      </c>
      <c r="D15" s="6" t="n">
        <v>-540.8</v>
      </c>
      <c r="E15" s="6" t="n">
        <v>-469.2</v>
      </c>
      <c r="F15" s="6" t="n">
        <v>-439.1</v>
      </c>
      <c r="G15" s="6" t="n">
        <v>-466.7</v>
      </c>
      <c r="H15" s="6" t="n"/>
    </row>
    <row r="16">
      <c r="A16" s="6" t="inlineStr">
        <is>
          <t>General and administrative expenses</t>
        </is>
      </c>
      <c r="B16" s="6" t="n">
        <v>-3579.3</v>
      </c>
      <c r="C16" s="6" t="n">
        <v>-4190.4</v>
      </c>
      <c r="D16" s="6" t="n">
        <v>-4058.3</v>
      </c>
      <c r="E16" s="6" t="n">
        <v>-4041.5</v>
      </c>
      <c r="F16" s="6" t="n">
        <v>-2993.8</v>
      </c>
      <c r="G16" s="6" t="n">
        <v>-1680.3</v>
      </c>
      <c r="H16" s="6" t="n"/>
    </row>
    <row r="17">
      <c r="A17" s="6" t="inlineStr">
        <is>
          <t>Other operating expenses</t>
        </is>
      </c>
      <c r="B17" s="6" t="n"/>
      <c r="C17" s="6" t="n"/>
      <c r="D17" s="6" t="n"/>
      <c r="E17" s="6" t="n"/>
      <c r="F17" s="6" t="n">
        <v>-89.3</v>
      </c>
      <c r="G17" s="6" t="n">
        <v>-173.7</v>
      </c>
      <c r="H17" s="6" t="n"/>
    </row>
    <row r="18">
      <c r="A18" s="5" t="inlineStr">
        <is>
          <t>Total operating expenses</t>
        </is>
      </c>
      <c r="B18" s="5" t="n">
        <v>-13973.8</v>
      </c>
      <c r="C18" s="5" t="n">
        <v>-13813.2</v>
      </c>
      <c r="D18" s="5" t="n">
        <v>-12546.9</v>
      </c>
      <c r="E18" s="5" t="n">
        <v>-10885.2</v>
      </c>
      <c r="F18" s="5" t="n">
        <v>-8516</v>
      </c>
      <c r="G18" s="5" t="n">
        <v>-6836.8</v>
      </c>
      <c r="H18" s="5" t="n">
        <v>-6343.3</v>
      </c>
    </row>
    <row r="19">
      <c r="A19" s="5" t="inlineStr">
        <is>
          <t>Profit/(Loss) before tax</t>
        </is>
      </c>
      <c r="B19" s="5" t="n">
        <v>-3713.5</v>
      </c>
      <c r="C19" s="5" t="n">
        <v>2582.6</v>
      </c>
      <c r="D19" s="5" t="n">
        <v>4536.5</v>
      </c>
      <c r="E19" s="5" t="n">
        <v>2388.9</v>
      </c>
      <c r="F19" s="5" t="n">
        <v>817.4</v>
      </c>
      <c r="G19" s="5" t="n">
        <v>-417.6</v>
      </c>
      <c r="H19" s="5" t="n">
        <v>1170.5</v>
      </c>
    </row>
    <row r="20">
      <c r="A20" s="6" t="inlineStr">
        <is>
          <t>Taxation</t>
        </is>
      </c>
      <c r="B20" s="6" t="n">
        <v>926.3</v>
      </c>
      <c r="C20" s="6" t="n">
        <v>-658.1</v>
      </c>
      <c r="D20" s="6" t="n">
        <v>-1075.9</v>
      </c>
      <c r="E20" s="6" t="n">
        <v>-442.8</v>
      </c>
      <c r="F20" s="6" t="n">
        <v>371.9</v>
      </c>
      <c r="G20" s="6" t="n">
        <v>116.3</v>
      </c>
      <c r="H20" s="6" t="n"/>
    </row>
    <row r="21">
      <c r="A21" s="5" t="inlineStr">
        <is>
          <t>Profit/(Loss) for the year</t>
        </is>
      </c>
      <c r="B21" s="5" t="n">
        <v>-2787.1</v>
      </c>
      <c r="C21" s="5" t="n">
        <v>1924.4</v>
      </c>
      <c r="D21" s="5" t="n">
        <v>3460.6</v>
      </c>
      <c r="E21" s="5" t="n">
        <v>1946</v>
      </c>
      <c r="F21" s="5" t="n">
        <v>1189.3</v>
      </c>
      <c r="G21" s="5" t="n">
        <v>-301.3</v>
      </c>
      <c r="H21" s="5" t="n">
        <v>1170.5</v>
      </c>
    </row>
    <row r="22">
      <c r="A22" s="5" t="inlineStr">
        <is>
          <t>Other comprehensive income/(loss)</t>
        </is>
      </c>
      <c r="B22" s="6" t="n"/>
      <c r="C22" s="6" t="n"/>
      <c r="D22" s="6" t="n"/>
      <c r="E22" s="6" t="n"/>
      <c r="F22" s="6" t="n"/>
      <c r="G22" s="6" t="n"/>
      <c r="H22" s="6" t="n"/>
    </row>
    <row r="23">
      <c r="A23" s="6" t="inlineStr">
        <is>
          <t>Net change in fair value of FVOCI investments</t>
        </is>
      </c>
      <c r="B23" s="6" t="n">
        <v>273.5</v>
      </c>
      <c r="C23" s="6" t="n">
        <v>1145.5</v>
      </c>
      <c r="D23" s="6" t="n">
        <v>1493.2</v>
      </c>
      <c r="E23" s="6" t="n">
        <v>-2748.9</v>
      </c>
      <c r="F23" s="6" t="n">
        <v>-261.5</v>
      </c>
      <c r="G23" s="6" t="n">
        <v>201.7</v>
      </c>
      <c r="H23" s="6" t="n"/>
    </row>
    <row r="24">
      <c r="A24" s="6" t="inlineStr">
        <is>
          <t>Net amount reclassified to the income statement</t>
        </is>
      </c>
      <c r="B24" s="6" t="n">
        <v>-737.9</v>
      </c>
      <c r="C24" s="6" t="n">
        <v>824</v>
      </c>
      <c r="D24" s="6" t="n"/>
      <c r="E24" s="6" t="n"/>
      <c r="F24" s="6" t="n"/>
      <c r="G24" s="6" t="n">
        <v>-11.4</v>
      </c>
      <c r="H24" s="6" t="n"/>
    </row>
    <row r="25">
      <c r="A25" s="6" t="inlineStr">
        <is>
          <t>Recycling of ECL / net change in ECL on FVOCI investments</t>
        </is>
      </c>
      <c r="B25" s="6" t="n">
        <v>568.1</v>
      </c>
      <c r="C25" s="6" t="n">
        <v>-791.7</v>
      </c>
      <c r="D25" s="6" t="n"/>
      <c r="E25" s="6" t="n"/>
      <c r="F25" s="6" t="n"/>
      <c r="G25" s="6" t="n"/>
      <c r="H25" s="6" t="n"/>
    </row>
    <row r="26">
      <c r="A26" s="5" t="inlineStr">
        <is>
          <t>Other comprehensive income/(loss), net of tax</t>
        </is>
      </c>
      <c r="B26" s="5" t="n">
        <v>103.7</v>
      </c>
      <c r="C26" s="5" t="n">
        <v>1177.8</v>
      </c>
      <c r="D26" s="5" t="n">
        <v>1493.2</v>
      </c>
      <c r="E26" s="5" t="n">
        <v>-2748.9</v>
      </c>
      <c r="F26" s="5" t="n">
        <v>-261.5</v>
      </c>
      <c r="G26" s="5" t="n">
        <v>190.3</v>
      </c>
      <c r="H26" s="5" t="n"/>
    </row>
    <row r="27">
      <c r="A27" s="5" t="inlineStr">
        <is>
          <t>Total comprehensive income/(loss) for the year</t>
        </is>
      </c>
      <c r="B27" s="5" t="n">
        <v>-2683.4</v>
      </c>
      <c r="C27" s="5" t="n">
        <v>3102.3</v>
      </c>
      <c r="D27" s="5" t="n">
        <v>4953.8</v>
      </c>
      <c r="E27" s="5" t="n">
        <v>-802.9</v>
      </c>
      <c r="F27" s="5" t="n">
        <v>927.7</v>
      </c>
      <c r="G27" s="5" t="n">
        <v>-111</v>
      </c>
      <c r="H27" s="5" t="n"/>
    </row>
    <row r="29" ht="340" customHeight="1">
      <c r="A29" s="8" t="inlineStr">
        <is>
          <t>Sources - FCMB Bank (UK) Limited's own Statement of Financial Position / Statement of Comprehensive Income / Statement of Changes in Equity, from its Companies House-filed Annual Report and Accounts:
FY2025: Audited Accounts 2025, p.40-41 - https://fcmbuk.com/wp-content/uploads/2026/08/SIGNED-FCMB-Bank-UK-Limited-Audited-Accounts-2025.pdf
FY2024: Audited Accounts 2024, p.29-30 (own-year figures - see reclassification note) - https://fcmbuk.com/wp-content/uploads/2025/09/FCMB-Bank-UK-Limited-Audited-Accounts-2024-Signed.pdf
FY2023: Audited Accounts 2023, p.31-32 - https://fcmbuk.com/wp-content/uploads/2024/07/FCMB-Bank-UK-Limited-Audited-Accounts-2023.pdf
FY2022: Annual Report &amp; Financial Statements 2022, p.29-30 - https://fcmbuk.com/wp-content/uploads/2023/09/FCMB-Bank-UK-Limited-Signed-Annual-Report-Financial-Statements-2022.pdf
FY2021: Audited Accounts 2021, p.26-27 - https://fcmbuk.com/wp-content/uploads/2023/09/FCMB-Bank-UK-Limited-Signed-Audited-Accounts-2021.pdf
FY2020: Audited Accounts 2021, pp.26-27 (audited comparative column) - https://fcmbuk.com/wp-content/uploads/2023/09/FCMB-Bank-UK-Limited-Signed-Audited-Accounts-2021.pdf
FY2019: Companies House-filed Annual Report and Financial Statements 2019, printed pp.26-27 (user-supplied primary PDF; deleted after extraction)
FCMB Bank (UK) Limited (company 06621225, FRN 502704) is a UK subsidiary of First City Monument Bank (Nigeria). Does NOT take the FRS 101/102 cash-flow exemption - a full Statement of Cash Flows exists every year. FY2020 is sourced from the FY2021 Annual Report's audited comparative column; FY2019 is sourced from the Companies House-filed statutory accounts supplied for this audit (printed pages 26-29). Each available year's own originally-published figures used throughout - the closing balance of each year ties exactly to the following year's own opening balance across all 5 years.
DATA QUALITY NOTE (FY2024): the FY2025 Annual Report's own FY2024 comparative column shows materially different 'Changes in operating assets and liabilities' line items (and a different Operating/Investing split) than FY2024's own originally-published Annual Report - e.g. 'Net (increase) in loans and advances to banks' is $(42,672,236) in the FY2025 report's comparative vs. $(35,611,527) in FY2024's own report. FY2024's own figures are used throughout (per project convention), and independently confirmed internally consistent (adjustments subtotal $2,243,237 + changes subtotal $4,830,112 = $7,073,349, matching FY2024's own printed operating total exactly). Net cash flow for the year, opening balance, and closing balance are IDENTICAL between both vintages ($(239,325) net change, both years) - only the Operating/Investing section split differs, consistent with a presentational reclassification rather than a change in the Bank's actual cash position. Similarly, FY2021's own report classifies 'Issuance of subordinated liabilities' ($2,000,000) within Operating activities, while later reports' FY2021 comparative reclassifies it into Financing activities - the FY2022 report's own footnote explicitly confirms this deliberate reclassification ('Subordinated liabilities were classified under operating activities in 2021. In 2022, subordinated liabilities have been classified under financing activities for the current year and in the prior year comparatives.'). FY2021's own original classification is used here, per convention.
FX CONVERSION: the Bank's functional and presentational currency is USD. Converted to £ per this project's established methodology: point-in-time/balance figures (capital, RWA, leverage exposure, HQLA, cash balances) use the Bank of England GBP/USD SPOT rate as at that fiscal year-end (31 December); flow figures (every cash flow statement line item) use the AVERAGE of Bank of England rates over that calendar year. Rate table reused from Zenith Bank UK/Union Bank of India UK (same 31 Dec year-end): 31 Dec 2020 spot 1.3661 (FY2021 opening cash only); FY2021 spot 1.3521 / average 1.3752; FY2022 spot 1.2097 / average 1.2362; FY2023 spot 1.2732 / average 1.2439; FY2024 spot 1.2515 / average 1.2782; FY2025 spot 1.3448 / average 1.3193. All % ratios are shown exactly as reported in USD, not converted (dimensionless, currency-invariant). An explicit 'Effect of GBP/USD translation' line reconciles the stock/flow rate mismatch so opening + flows + this line = closing exactly in £ terms; computed programmatically from the actual converted figures, not hardcoded.
BALANCE SHEET RECLASSIFICATION NOTE (FY2024): the FY2025 Annual Report's own FY2024 comparative column shows a different split between 'Loans and advances to banks' ($222,353,776), 'Loans and advances to customers' ($87,181,343) and 'Investment securities' ($192,066,892) than FY2024's own originally-published Annual Report ($215,293,067 / $86,092,409 / $196,761,703 respectively) - the FY2025 report's own Balance Sheet page states 'There has been a re-classification of accrued interest and some investment securities at the prior year-end have been recategorised as a debtor.' Total assets/liabilities/equity are IDENTICAL between both vintages ($521,421,659 total assets, $59,259,637 total equity) - only the asset-line split differs. FY2024's own originally-published figures are used throughout here, per project convention.
ASSET QUALITY RECLASSIFICATION NOTE (FY2024): similarly, the FY2025 report's own FY2024 comparative 'Net carrying value of exposure by risk rating' table shows Stage 1/2/3 splits ($409,617,076 / $6,832,107 / $3,121,198, total $419,570,381) that differ from FY2024's own originally-published note ($404,519,023 / $6,673,411 / $3,121,198, total $414,313,632) - consistent with the same reclassification. FY2024's own originally-published figures are used here too.
RWA BREAKDOWN NOTE: the Bank's Pillar 3 Disclosures do not publish a UK OV1-style RWA-by-category table directly - only a 'Minimum Capital Requirements' table (8% of own funds requirement, by risk type). RWA by category is CALCULATED as (capital requirement / 8%) for each row, independently cross-checked against the Bank's own disclosed Total RWA/TREA figure (Total RWAs sheet) - the calculated Total Pillar 1 RWA ties to the disclosed TREA within rounding for every year (e.g. FY2025: $29,485k / 8% = $368,563k calculated vs $368,569k disclosed TREA).
INVESTMENT SECURITIES BREAKDOWN: the 'Investment securities - ...' sub-rows below the 'Total investment securities' line are transcribed from Note 15 'Investment securities' of each year's own Notes to the Financial Statements, which splits the balance both by measurement basis (fair value through other comprehensive income (FVOCI) vs fair value through profit or loss (FVTPL) - there is no amortised-cost investment securities balance in any year) and by instrument type (Government Bonds; Bank bonds; HQLA Investments, described in the note as 'high quality liquid assets [that] include US Treasury bills and bonds issued by International Bank of Restructuring and Development (IBRD)' - i.e. a sovereign/supranational mix not broken down further; an allowance for impairment losses against the FVOCI book; and Fund Investments - Government / Fund Investments - Other, both FVTPL): FY2025: Audited Accounts 2025, Note 15, p.62 - https://fcmbuk.com/wp-content/uploads/2026/08/SIGNED-FCMB-Bank-UK-Limited-Audited-Accounts-2025.pdf
FY2024: Audited Accounts 2024, Note 15, p.49 (own-year figures - see reclassification note above; the FY2025 report's own FY2024 comparative column shows different Note 15 sub-figures totalling $192,066,892, consistent with the same reclassification) - https://fcmbuk.com/wp-content/uploads/2025/09/FCMB-Bank-UK-Limited-Audited-Accounts-2024-Signed.pdf
FY2023: Audited Accounts 2023, Note 15, p.51 - https://fcmbuk.com/wp-content/uploads/2024/07/FCMB-Bank-UK-Limited-Audited-Accounts-2023.pdf
FY2022: Annual Report &amp; Financial Statements 2022, Note 15, p.50 - https://fcmbuk.com/wp-content/uploads/2023/09/FCMB-Bank-UK-Limited-Signed-Annual-Report-Financial-Statements-2022.pdf
FY2021: Audited Accounts 2021, Note 15, p.46 - https://fcmbuk.com/wp-content/uploads/2023/09/FCMB-Bank-UK-Limited-Signed-Audited-Accounts-2021.pdf
FY2020: Audited Accounts 2021, Note 15, p.46 (audited comparative column; FY2020 predates the 'HQLA Investments' sub-line introduced from FY2022 onwards, so that FY2020 sub-row is £0) - https://fcmbuk.com/wp-content/uploads/2023/09/FCMB-Bank-UK-Limited-Signed-Audited-Accounts-2021.pdf
FY2019: no breakdown available - the FY2019 Note 15 was not among the pages transcribed from the user-supplied primary PDF (since deleted after extraction), so the FY2019 sub-rows are left blank rather than estimated.
Each year's sub-rows sum exactly to that year's headline 'Total investment securities' line in underlying USD; after this project's independent per-row £'000 FX conversion (each row rounded to 1 decimal place separately) the sub-rows tie to the total within rounding (at most £0.1k) for any given year.</t>
        </is>
      </c>
    </row>
  </sheetData>
  <mergeCells count="1">
    <mergeCell ref="A29:H2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44"/>
  <sheetViews>
    <sheetView workbookViewId="0">
      <pane ySplit="4" topLeftCell="A5" activePane="bottomLeft" state="frozen"/>
      <selection pane="bottomLeft" activeCell="A1" sqref="A1"/>
    </sheetView>
  </sheetViews>
  <sheetFormatPr baseColWidth="8" defaultRowHeight="15"/>
  <cols>
    <col width="56" customWidth="1" min="1" max="1"/>
    <col width="15" customWidth="1" min="2" max="2"/>
    <col width="15" customWidth="1" min="3" max="3"/>
    <col width="15" customWidth="1" min="4" max="4"/>
    <col width="15" customWidth="1" min="5" max="5"/>
  </cols>
  <sheetData>
    <row r="1">
      <c r="A1" s="1" t="inlineStr">
        <is>
          <t>FCMB Bank (UK) Limited — Statement of Changes in Equity</t>
        </is>
      </c>
    </row>
    <row r="2">
      <c r="A2" s="2" t="inlineStr">
        <is>
          <t>£'000, converted from USD - chronological, oldest to newest. See source note for FX methodology.</t>
        </is>
      </c>
    </row>
    <row r="3">
      <c r="A3" s="4" t="inlineStr">
        <is>
          <t>Movement</t>
        </is>
      </c>
      <c r="B3" s="4" t="inlineStr">
        <is>
          <t>Issued capital</t>
        </is>
      </c>
      <c r="C3" s="4" t="inlineStr">
        <is>
          <t>Retained earnings</t>
        </is>
      </c>
      <c r="D3" s="4" t="inlineStr">
        <is>
          <t>Other reserves</t>
        </is>
      </c>
      <c r="E3" s="4" t="inlineStr">
        <is>
          <t>Total equity</t>
        </is>
      </c>
    </row>
    <row r="4">
      <c r="A4" s="5" t="inlineStr">
        <is>
          <t>At 1 January 2019</t>
        </is>
      </c>
      <c r="B4" s="5" t="n">
        <v>38253.9</v>
      </c>
      <c r="C4" s="5" t="n">
        <v>-5022.7</v>
      </c>
      <c r="D4" s="5" t="n">
        <v>31.5</v>
      </c>
      <c r="E4" s="5" t="n">
        <v>33270.6</v>
      </c>
    </row>
    <row r="5">
      <c r="A5" s="6" t="inlineStr">
        <is>
          <t>Profit for the year (FY2019)</t>
        </is>
      </c>
      <c r="B5" s="6" t="n"/>
      <c r="C5" s="6" t="n">
        <v>1170.5</v>
      </c>
      <c r="D5" s="6" t="n"/>
      <c r="E5" s="6" t="n">
        <v>1170.5</v>
      </c>
    </row>
    <row r="6">
      <c r="A6" s="6" t="inlineStr">
        <is>
          <t>Other comprehensive income (FY2019)</t>
        </is>
      </c>
      <c r="B6" s="6" t="n"/>
      <c r="C6" s="6" t="n"/>
      <c r="D6" s="6" t="n">
        <v>-20</v>
      </c>
      <c r="E6" s="6" t="n">
        <v>-20</v>
      </c>
    </row>
    <row r="7">
      <c r="A7" s="5" t="inlineStr">
        <is>
          <t>Total comprehensive income (FY2019)</t>
        </is>
      </c>
      <c r="B7" s="5" t="n"/>
      <c r="C7" s="5" t="n">
        <v>1170.5</v>
      </c>
      <c r="D7" s="5" t="n">
        <v>-20</v>
      </c>
      <c r="E7" s="5" t="n">
        <v>1150.5</v>
      </c>
    </row>
    <row r="8">
      <c r="A8" s="6" t="inlineStr">
        <is>
          <t>FX translation effect on equity, net (FY2019)</t>
        </is>
      </c>
      <c r="B8" s="6" t="n"/>
      <c r="C8" s="6" t="n"/>
      <c r="D8" s="6" t="n"/>
      <c r="E8" s="6" t="n">
        <v>-1101.7</v>
      </c>
    </row>
    <row r="9">
      <c r="A9" s="5" t="inlineStr">
        <is>
          <t>At 31 December 2019</t>
        </is>
      </c>
      <c r="B9" s="5" t="n">
        <v>37037</v>
      </c>
      <c r="C9" s="5" t="n">
        <v>-3729</v>
      </c>
      <c r="D9" s="5" t="n">
        <v>11.1</v>
      </c>
      <c r="E9" s="5" t="n">
        <v>33319.4</v>
      </c>
    </row>
    <row r="10">
      <c r="A10" s="5" t="inlineStr">
        <is>
          <t>At 1 January 2020</t>
        </is>
      </c>
      <c r="B10" s="5" t="n">
        <v>35795.3</v>
      </c>
      <c r="C10" s="5" t="n">
        <v>-3603.8</v>
      </c>
      <c r="D10" s="5" t="n">
        <v>10.8</v>
      </c>
      <c r="E10" s="5" t="n">
        <v>32202.3</v>
      </c>
    </row>
    <row r="11">
      <c r="A11" s="6" t="inlineStr">
        <is>
          <t>Loss for the year (FY2020)</t>
        </is>
      </c>
      <c r="B11" s="6" t="n"/>
      <c r="C11" s="6" t="n">
        <v>-301.3</v>
      </c>
      <c r="D11" s="6" t="n"/>
      <c r="E11" s="6" t="n">
        <v>-301.3</v>
      </c>
    </row>
    <row r="12">
      <c r="A12" s="6" t="inlineStr">
        <is>
          <t>Other comprehensive income (FY2020)</t>
        </is>
      </c>
      <c r="B12" s="6" t="n"/>
      <c r="C12" s="6" t="n"/>
      <c r="D12" s="6" t="n">
        <v>190.3</v>
      </c>
      <c r="E12" s="6" t="n">
        <v>190.3</v>
      </c>
    </row>
    <row r="13">
      <c r="A13" s="5" t="inlineStr">
        <is>
          <t>Total comprehensive loss (FY2020)</t>
        </is>
      </c>
      <c r="B13" s="5" t="n"/>
      <c r="C13" s="5" t="n">
        <v>-301.3</v>
      </c>
      <c r="D13" s="5" t="n">
        <v>190.3</v>
      </c>
      <c r="E13" s="5" t="n">
        <v>-111</v>
      </c>
    </row>
    <row r="14">
      <c r="A14" s="6" t="inlineStr">
        <is>
          <t>FX translation effect on equity, net (FY2020)</t>
        </is>
      </c>
      <c r="B14" s="6" t="n"/>
      <c r="C14" s="6" t="n"/>
      <c r="D14" s="6" t="n"/>
      <c r="E14" s="6" t="n">
        <v>6.7</v>
      </c>
    </row>
    <row r="15">
      <c r="A15" s="5" t="inlineStr">
        <is>
          <t>At 31 December 2020</t>
        </is>
      </c>
      <c r="B15" s="5" t="n">
        <v>35795.3</v>
      </c>
      <c r="C15" s="5" t="n">
        <v>-3886.9</v>
      </c>
      <c r="D15" s="5" t="n">
        <v>189.6</v>
      </c>
      <c r="E15" s="5" t="n">
        <v>32098</v>
      </c>
    </row>
    <row r="16">
      <c r="A16" s="5" t="inlineStr">
        <is>
          <t>At 1 January 2021</t>
        </is>
      </c>
      <c r="B16" s="5" t="n">
        <v>35795.3</v>
      </c>
      <c r="C16" s="5" t="n">
        <v>-3886.9</v>
      </c>
      <c r="D16" s="5" t="n">
        <v>189.6</v>
      </c>
      <c r="E16" s="5" t="n">
        <v>32098</v>
      </c>
    </row>
    <row r="17">
      <c r="A17" s="6" t="inlineStr">
        <is>
          <t>Profit for the year (FY2021)</t>
        </is>
      </c>
      <c r="B17" s="6" t="n"/>
      <c r="C17" s="6" t="n">
        <v>1189.3</v>
      </c>
      <c r="D17" s="6" t="n"/>
      <c r="E17" s="6" t="n">
        <v>1189.3</v>
      </c>
    </row>
    <row r="18">
      <c r="A18" s="6" t="inlineStr">
        <is>
          <t>Other comprehensive income (FY2021)</t>
        </is>
      </c>
      <c r="B18" s="6" t="n"/>
      <c r="C18" s="6" t="n"/>
      <c r="D18" s="6" t="n">
        <v>-261.5</v>
      </c>
      <c r="E18" s="6" t="n">
        <v>-261.5</v>
      </c>
    </row>
    <row r="19">
      <c r="A19" s="5" t="inlineStr">
        <is>
          <t>Total comprehensive income (FY2021)</t>
        </is>
      </c>
      <c r="B19" s="5" t="n"/>
      <c r="C19" s="5" t="n">
        <v>1189.3</v>
      </c>
      <c r="D19" s="5" t="n">
        <v>-261.5</v>
      </c>
      <c r="E19" s="5" t="n">
        <v>927.7</v>
      </c>
    </row>
    <row r="20">
      <c r="A20" s="6" t="inlineStr">
        <is>
          <t>FX translation effect on equity, net (FY2021)</t>
        </is>
      </c>
      <c r="B20" s="6" t="n"/>
      <c r="C20" s="6" t="n"/>
      <c r="D20" s="6" t="n"/>
      <c r="E20" s="6" t="n">
        <v>348.1</v>
      </c>
    </row>
    <row r="21">
      <c r="A21" s="5" t="inlineStr">
        <is>
          <t>At 31 December 2021</t>
        </is>
      </c>
      <c r="B21" s="5" t="n">
        <v>36166</v>
      </c>
      <c r="C21" s="5" t="n">
        <v>-2717.6</v>
      </c>
      <c r="D21" s="5" t="n">
        <v>-74.5</v>
      </c>
      <c r="E21" s="5" t="n">
        <v>33373.9</v>
      </c>
    </row>
    <row r="22">
      <c r="A22" s="6" t="inlineStr">
        <is>
          <t>Profit for the year (FY2022)</t>
        </is>
      </c>
      <c r="B22" s="6" t="n"/>
      <c r="C22" s="6" t="n">
        <v>1946</v>
      </c>
      <c r="D22" s="6" t="n"/>
      <c r="E22" s="6" t="n">
        <v>1946</v>
      </c>
    </row>
    <row r="23">
      <c r="A23" s="6" t="inlineStr">
        <is>
          <t>Other comprehensive loss (FY2022)</t>
        </is>
      </c>
      <c r="B23" s="6" t="n"/>
      <c r="C23" s="6" t="n"/>
      <c r="D23" s="6" t="n">
        <v>-2748.9</v>
      </c>
      <c r="E23" s="6" t="n">
        <v>-2748.9</v>
      </c>
    </row>
    <row r="24">
      <c r="A24" s="5" t="inlineStr">
        <is>
          <t>Total comprehensive income/(loss) (FY2022)</t>
        </is>
      </c>
      <c r="B24" s="5" t="n"/>
      <c r="C24" s="5" t="n">
        <v>1946</v>
      </c>
      <c r="D24" s="5" t="n">
        <v>-2748.9</v>
      </c>
      <c r="E24" s="5" t="n">
        <v>-802.9</v>
      </c>
    </row>
    <row r="25">
      <c r="A25" s="6" t="inlineStr">
        <is>
          <t>FX translation effect on equity, net (FY2022)</t>
        </is>
      </c>
      <c r="B25" s="6" t="n"/>
      <c r="C25" s="6" t="n"/>
      <c r="D25" s="6" t="n"/>
      <c r="E25" s="6" t="n">
        <v>3911</v>
      </c>
    </row>
    <row r="26">
      <c r="A26" s="5" t="inlineStr">
        <is>
          <t>At 31 December 2022</t>
        </is>
      </c>
      <c r="B26" s="5" t="n">
        <v>40423.2</v>
      </c>
      <c r="C26" s="5" t="n">
        <v>-1048.8</v>
      </c>
      <c r="D26" s="5" t="n">
        <v>-2892.4</v>
      </c>
      <c r="E26" s="5" t="n">
        <v>36482</v>
      </c>
    </row>
    <row r="27">
      <c r="A27" s="6" t="inlineStr">
        <is>
          <t>Profit for the year (FY2023)</t>
        </is>
      </c>
      <c r="B27" s="6" t="n"/>
      <c r="C27" s="6" t="n">
        <v>3460.6</v>
      </c>
      <c r="D27" s="6" t="n"/>
      <c r="E27" s="6" t="n">
        <v>3460.6</v>
      </c>
    </row>
    <row r="28">
      <c r="A28" s="6" t="inlineStr">
        <is>
          <t>Other comprehensive income (FY2023)</t>
        </is>
      </c>
      <c r="B28" s="6" t="n"/>
      <c r="C28" s="6" t="n"/>
      <c r="D28" s="6" t="n">
        <v>1493.2</v>
      </c>
      <c r="E28" s="6" t="n">
        <v>1493.2</v>
      </c>
    </row>
    <row r="29">
      <c r="A29" s="5" t="inlineStr">
        <is>
          <t>Total comprehensive income (FY2023)</t>
        </is>
      </c>
      <c r="B29" s="5" t="n"/>
      <c r="C29" s="5" t="n">
        <v>3460.6</v>
      </c>
      <c r="D29" s="5" t="n">
        <v>1493.2</v>
      </c>
      <c r="E29" s="5" t="n">
        <v>4953.8</v>
      </c>
    </row>
    <row r="30">
      <c r="A30" s="6" t="inlineStr">
        <is>
          <t>Proceeds from shares issued (FY2023)</t>
        </is>
      </c>
      <c r="B30" s="6" t="n">
        <v>4019.6</v>
      </c>
      <c r="C30" s="6" t="n"/>
      <c r="D30" s="6" t="n"/>
      <c r="E30" s="6" t="n">
        <v>4019.6</v>
      </c>
    </row>
    <row r="31">
      <c r="A31" s="6" t="inlineStr">
        <is>
          <t>FX translation effect on equity, net (FY2023)</t>
        </is>
      </c>
      <c r="B31" s="6" t="n"/>
      <c r="C31" s="6" t="n"/>
      <c r="D31" s="6" t="n"/>
      <c r="E31" s="6" t="n">
        <v>-2026</v>
      </c>
    </row>
    <row r="32">
      <c r="A32" s="5" t="inlineStr">
        <is>
          <t>At 31 December 2023</t>
        </is>
      </c>
      <c r="B32" s="5" t="n">
        <v>42334.3</v>
      </c>
      <c r="C32" s="5" t="n">
        <v>2384.5</v>
      </c>
      <c r="D32" s="5" t="n">
        <v>-1289.3</v>
      </c>
      <c r="E32" s="5" t="n">
        <v>43429.4</v>
      </c>
    </row>
    <row r="33">
      <c r="A33" s="6" t="inlineStr">
        <is>
          <t>Profit for the year (FY2024)</t>
        </is>
      </c>
      <c r="B33" s="6" t="n"/>
      <c r="C33" s="6" t="n">
        <v>1924.4</v>
      </c>
      <c r="D33" s="6" t="n"/>
      <c r="E33" s="6" t="n">
        <v>1924.4</v>
      </c>
    </row>
    <row r="34">
      <c r="A34" s="6" t="inlineStr">
        <is>
          <t>Other comprehensive income (FY2024)</t>
        </is>
      </c>
      <c r="B34" s="6" t="n"/>
      <c r="C34" s="6" t="n"/>
      <c r="D34" s="6" t="n">
        <v>1177.8</v>
      </c>
      <c r="E34" s="6" t="n">
        <v>1177.8</v>
      </c>
    </row>
    <row r="35">
      <c r="A35" s="5" t="inlineStr">
        <is>
          <t>Total comprehensive income (FY2024)</t>
        </is>
      </c>
      <c r="B35" s="5" t="n"/>
      <c r="C35" s="5" t="n">
        <v>1924.4</v>
      </c>
      <c r="D35" s="5" t="n">
        <v>1177.8</v>
      </c>
      <c r="E35" s="5" t="n">
        <v>3102.3</v>
      </c>
    </row>
    <row r="36">
      <c r="A36" s="6" t="inlineStr">
        <is>
          <t>FX translation effect on equity, net (FY2024)</t>
        </is>
      </c>
      <c r="B36" s="6" t="n"/>
      <c r="C36" s="6" t="n"/>
      <c r="D36" s="6" t="n"/>
      <c r="E36" s="6" t="n">
        <v>819.3</v>
      </c>
    </row>
    <row r="37">
      <c r="A37" s="5" t="inlineStr">
        <is>
          <t>At 31 December 2024</t>
        </is>
      </c>
      <c r="B37" s="5" t="n">
        <v>43068.3</v>
      </c>
      <c r="C37" s="5" t="n">
        <v>4391.3</v>
      </c>
      <c r="D37" s="5" t="n">
        <v>-108.7</v>
      </c>
      <c r="E37" s="5" t="n">
        <v>47350.9</v>
      </c>
    </row>
    <row r="38">
      <c r="A38" s="6" t="inlineStr">
        <is>
          <t>Loss for the year (FY2025)</t>
        </is>
      </c>
      <c r="B38" s="6" t="n"/>
      <c r="C38" s="6" t="n">
        <v>-2787.1</v>
      </c>
      <c r="D38" s="6" t="n"/>
      <c r="E38" s="6" t="n">
        <v>-2787.1</v>
      </c>
    </row>
    <row r="39">
      <c r="A39" s="6" t="inlineStr">
        <is>
          <t>Other comprehensive income (FY2025)</t>
        </is>
      </c>
      <c r="B39" s="6" t="n"/>
      <c r="C39" s="6" t="n"/>
      <c r="D39" s="6" t="n">
        <v>103.7</v>
      </c>
      <c r="E39" s="6" t="n">
        <v>103.7</v>
      </c>
    </row>
    <row r="40">
      <c r="A40" s="5" t="inlineStr">
        <is>
          <t>Total comprehensive income/(loss) (FY2025)</t>
        </is>
      </c>
      <c r="B40" s="5" t="n"/>
      <c r="C40" s="5" t="n">
        <v>-2787.1</v>
      </c>
      <c r="D40" s="5" t="n">
        <v>103.7</v>
      </c>
      <c r="E40" s="5" t="n">
        <v>-2683.4</v>
      </c>
    </row>
    <row r="41">
      <c r="A41" s="6" t="inlineStr">
        <is>
          <t>FX translation effect on equity, net (FY2025)</t>
        </is>
      </c>
      <c r="B41" s="6" t="n"/>
      <c r="C41" s="6" t="n"/>
      <c r="D41" s="6" t="n"/>
      <c r="E41" s="6" t="n">
        <v>-3234.3</v>
      </c>
    </row>
    <row r="42">
      <c r="A42" s="5" t="inlineStr">
        <is>
          <t>At 31 December 2025</t>
        </is>
      </c>
      <c r="B42" s="5" t="n">
        <v>40080.3</v>
      </c>
      <c r="C42" s="5" t="n">
        <v>1352.4</v>
      </c>
      <c r="D42" s="5" t="n">
        <v>0.5</v>
      </c>
      <c r="E42" s="5" t="n">
        <v>41433.2</v>
      </c>
    </row>
    <row r="44" ht="340" customHeight="1">
      <c r="A44" s="8" t="inlineStr">
        <is>
          <t>Sources - FCMB Bank (UK) Limited's own Statement of Financial Position / Statement of Comprehensive Income / Statement of Changes in Equity, from its Companies House-filed Annual Report and Accounts:
FY2025: Audited Accounts 2025, p.40-41 - https://fcmbuk.com/wp-content/uploads/2026/08/SIGNED-FCMB-Bank-UK-Limited-Audited-Accounts-2025.pdf
FY2024: Audited Accounts 2024, p.29-30 (own-year figures - see reclassification note) - https://fcmbuk.com/wp-content/uploads/2025/09/FCMB-Bank-UK-Limited-Audited-Accounts-2024-Signed.pdf
FY2023: Audited Accounts 2023, p.31-32 - https://fcmbuk.com/wp-content/uploads/2024/07/FCMB-Bank-UK-Limited-Audited-Accounts-2023.pdf
FY2022: Annual Report &amp; Financial Statements 2022, p.29-30 - https://fcmbuk.com/wp-content/uploads/2023/09/FCMB-Bank-UK-Limited-Signed-Annual-Report-Financial-Statements-2022.pdf
FY2021: Audited Accounts 2021, p.26-27 - https://fcmbuk.com/wp-content/uploads/2023/09/FCMB-Bank-UK-Limited-Signed-Audited-Accounts-2021.pdf
FY2020: Audited Accounts 2021, pp.26-27 (audited comparative column) - https://fcmbuk.com/wp-content/uploads/2023/09/FCMB-Bank-UK-Limited-Signed-Audited-Accounts-2021.pdf
FY2019: Companies House-filed Annual Report and Financial Statements 2019, printed pp.26-27 (user-supplied primary PDF; deleted after extraction)
FCMB Bank (UK) Limited (company 06621225, FRN 502704) is a UK subsidiary of First City Monument Bank (Nigeria). Does NOT take the FRS 101/102 cash-flow exemption - a full Statement of Cash Flows exists every year. FY2020 is sourced from the FY2021 Annual Report's audited comparative column; FY2019 is sourced from the Companies House-filed statutory accounts supplied for this audit (printed pages 26-29). Each available year's own originally-published figures used throughout - the closing balance of each year ties exactly to the following year's own opening balance across all 5 years.
DATA QUALITY NOTE (FY2024): the FY2025 Annual Report's own FY2024 comparative column shows materially different 'Changes in operating assets and liabilities' line items (and a different Operating/Investing split) than FY2024's own originally-published Annual Report - e.g. 'Net (increase) in loans and advances to banks' is $(42,672,236) in the FY2025 report's comparative vs. $(35,611,527) in FY2024's own report. FY2024's own figures are used throughout (per project convention), and independently confirmed internally consistent (adjustments subtotal $2,243,237 + changes subtotal $4,830,112 = $7,073,349, matching FY2024's own printed operating total exactly). Net cash flow for the year, opening balance, and closing balance are IDENTICAL between both vintages ($(239,325) net change, both years) - only the Operating/Investing section split differs, consistent with a presentational reclassification rather than a change in the Bank's actual cash position. Similarly, FY2021's own report classifies 'Issuance of subordinated liabilities' ($2,000,000) within Operating activities, while later reports' FY2021 comparative reclassifies it into Financing activities - the FY2022 report's own footnote explicitly confirms this deliberate reclassification ('Subordinated liabilities were classified under operating activities in 2021. In 2022, subordinated liabilities have been classified under financing activities for the current year and in the prior year comparatives.'). FY2021's own original classification is used here, per convention.
FX CONVERSION: the Bank's functional and presentational currency is USD. Converted to £ per this project's established methodology: point-in-time/balance figures (capital, RWA, leverage exposure, HQLA, cash balances) use the Bank of England GBP/USD SPOT rate as at that fiscal year-end (31 December); flow figures (every cash flow statement line item) use the AVERAGE of Bank of England rates over that calendar year. Rate table reused from Zenith Bank UK/Union Bank of India UK (same 31 Dec year-end): 31 Dec 2020 spot 1.3661 (FY2021 opening cash only); FY2021 spot 1.3521 / average 1.3752; FY2022 spot 1.2097 / average 1.2362; FY2023 spot 1.2732 / average 1.2439; FY2024 spot 1.2515 / average 1.2782; FY2025 spot 1.3448 / average 1.3193. All % ratios are shown exactly as reported in USD, not converted (dimensionless, currency-invariant). An explicit 'Effect of GBP/USD translation' line reconciles the stock/flow rate mismatch so opening + flows + this line = closing exactly in £ terms; computed programmatically from the actual converted figures, not hardcoded.
BALANCE SHEET RECLASSIFICATION NOTE (FY2024): the FY2025 Annual Report's own FY2024 comparative column shows a different split between 'Loans and advances to banks' ($222,353,776), 'Loans and advances to customers' ($87,181,343) and 'Investment securities' ($192,066,892) than FY2024's own originally-published Annual Report ($215,293,067 / $86,092,409 / $196,761,703 respectively) - the FY2025 report's own Balance Sheet page states 'There has been a re-classification of accrued interest and some investment securities at the prior year-end have been recategorised as a debtor.' Total assets/liabilities/equity are IDENTICAL between both vintages ($521,421,659 total assets, $59,259,637 total equity) - only the asset-line split differs. FY2024's own originally-published figures are used throughout here, per project convention.
ASSET QUALITY RECLASSIFICATION NOTE (FY2024): similarly, the FY2025 report's own FY2024 comparative 'Net carrying value of exposure by risk rating' table shows Stage 1/2/3 splits ($409,617,076 / $6,832,107 / $3,121,198, total $419,570,381) that differ from FY2024's own originally-published note ($404,519,023 / $6,673,411 / $3,121,198, total $414,313,632) - consistent with the same reclassification. FY2024's own originally-published figures are used here too.
RWA BREAKDOWN NOTE: the Bank's Pillar 3 Disclosures do not publish a UK OV1-style RWA-by-category table directly - only a 'Minimum Capital Requirements' table (8% of own funds requirement, by risk type). RWA by category is CALCULATED as (capital requirement / 8%) for each row, independently cross-checked against the Bank's own disclosed Total RWA/TREA figure (Total RWAs sheet) - the calculated Total Pillar 1 RWA ties to the disclosed TREA within rounding for every year (e.g. FY2025: $29,485k / 8% = $368,563k calculated vs $368,569k disclosed TREA).
INVESTMENT SECURITIES BREAKDOWN: the 'Investment securities - ...' sub-rows below the 'Total investment securities' line are transcribed from Note 15 'Investment securities' of each year's own Notes to the Financial Statements, which splits the balance both by measurement basis (fair value through other comprehensive income (FVOCI) vs fair value through profit or loss (FVTPL) - there is no amortised-cost investment securities balance in any year) and by instrument type (Government Bonds; Bank bonds; HQLA Investments, described in the note as 'high quality liquid assets [that] include US Treasury bills and bonds issued by International Bank of Restructuring and Development (IBRD)' - i.e. a sovereign/supranational mix not broken down further; an allowance for impairment losses against the FVOCI book; and Fund Investments - Government / Fund Investments - Other, both FVTPL): FY2025: Audited Accounts 2025, Note 15, p.62 - https://fcmbuk.com/wp-content/uploads/2026/08/SIGNED-FCMB-Bank-UK-Limited-Audited-Accounts-2025.pdf
FY2024: Audited Accounts 2024, Note 15, p.49 (own-year figures - see reclassification note above; the FY2025 report's own FY2024 comparative column shows different Note 15 sub-figures totalling $192,066,892, consistent with the same reclassification) - https://fcmbuk.com/wp-content/uploads/2025/09/FCMB-Bank-UK-Limited-Audited-Accounts-2024-Signed.pdf
FY2023: Audited Accounts 2023, Note 15, p.51 - https://fcmbuk.com/wp-content/uploads/2024/07/FCMB-Bank-UK-Limited-Audited-Accounts-2023.pdf
FY2022: Annual Report &amp; Financial Statements 2022, Note 15, p.50 - https://fcmbuk.com/wp-content/uploads/2023/09/FCMB-Bank-UK-Limited-Signed-Annual-Report-Financial-Statements-2022.pdf
FY2021: Audited Accounts 2021, Note 15, p.46 - https://fcmbuk.com/wp-content/uploads/2023/09/FCMB-Bank-UK-Limited-Signed-Audited-Accounts-2021.pdf
FY2020: Audited Accounts 2021, Note 15, p.46 (audited comparative column; FY2020 predates the 'HQLA Investments' sub-line introduced from FY2022 onwards, so that FY2020 sub-row is £0) - https://fcmbuk.com/wp-content/uploads/2023/09/FCMB-Bank-UK-Limited-Signed-Audited-Accounts-2021.pdf
FY2019: no breakdown available - the FY2019 Note 15 was not among the pages transcribed from the user-supplied primary PDF (since deleted after extraction), so the FY2019 sub-rows are left blank rather than estimated.
Each year's sub-rows sum exactly to that year's headline 'Total investment securities' line in underlying USD; after this project's independent per-row £'000 FX conversion (each row rounded to 1 decimal place separately) the sub-rows tie to the total within rounding (at most £0.1k) for any given year.
FX METHODOLOGY FOR THIS SHEET: opening balances converted at the prior year-end's spot rate, movement lines at that year's average rate, closing balances at that year-end's spot rate - the same convention used throughout this workbook. Converting stocks and flows at different rates within one year means the roll-forward doesn't tie exactly in GBP even though it ties exactly in USD (independently verified against each year's own source table before conversion) - an explicit 'FX translation effect on equity, net' row (Total column only, computed as the balancing figure) is included each year, same treatment as this entity's own Cash Flow Statement's 'Effect of GBP/USD translation' line.</t>
        </is>
      </c>
    </row>
  </sheetData>
  <mergeCells count="1">
    <mergeCell ref="A44:E4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5"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FCMB Bank (UK) Limited — Statement of Cash Flows</t>
        </is>
      </c>
    </row>
    <row r="2">
      <c r="A2" s="2" t="inlineStr">
        <is>
          <t>£'000, converted from USD - see source note at bottom for FX methodology and rates used.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Operating activities</t>
        </is>
      </c>
      <c r="B4" s="6" t="n"/>
      <c r="C4" s="6" t="n"/>
      <c r="D4" s="6" t="n"/>
      <c r="E4" s="6" t="n"/>
      <c r="F4" s="6" t="n"/>
      <c r="G4" s="6" t="n"/>
      <c r="H4" s="6" t="n"/>
    </row>
    <row r="5">
      <c r="A5" s="6" t="inlineStr">
        <is>
          <t>Profit/(Loss) before tax for the year</t>
        </is>
      </c>
      <c r="B5" s="6" t="n">
        <v>-3713.5</v>
      </c>
      <c r="C5" s="6" t="n">
        <v>2582.6</v>
      </c>
      <c r="D5" s="6" t="n">
        <v>4536.5</v>
      </c>
      <c r="E5" s="6" t="n">
        <v>2388.9</v>
      </c>
      <c r="F5" s="6" t="n">
        <v>817.4</v>
      </c>
      <c r="G5" s="6" t="n">
        <v>-417.6</v>
      </c>
      <c r="H5" s="6" t="n">
        <v>1170.5</v>
      </c>
    </row>
    <row r="6">
      <c r="A6" s="6" t="inlineStr">
        <is>
          <t>Depreciation and amortisation</t>
        </is>
      </c>
      <c r="B6" s="6" t="n">
        <v>604.3</v>
      </c>
      <c r="C6" s="6" t="n">
        <v>629.5</v>
      </c>
      <c r="D6" s="6" t="n">
        <v>540.8</v>
      </c>
      <c r="E6" s="6" t="n">
        <v>469.2</v>
      </c>
      <c r="F6" s="6" t="n">
        <v>439.1</v>
      </c>
      <c r="G6" s="6" t="n">
        <v>466.7</v>
      </c>
      <c r="H6" s="6" t="n">
        <v>405.5</v>
      </c>
    </row>
    <row r="7">
      <c r="A7" s="6" t="inlineStr">
        <is>
          <t>Non-cash PPE movements</t>
        </is>
      </c>
      <c r="B7" s="6" t="n"/>
      <c r="C7" s="6" t="n"/>
      <c r="D7" s="6" t="n">
        <v>812.1</v>
      </c>
      <c r="E7" s="6" t="n"/>
      <c r="F7" s="6" t="n"/>
      <c r="G7" s="6" t="n"/>
      <c r="H7" s="6" t="n"/>
    </row>
    <row r="8">
      <c r="A8" s="6" t="inlineStr">
        <is>
          <t>Changes to ROU asset, Interest &amp; lease liability</t>
        </is>
      </c>
      <c r="B8" s="6" t="n">
        <v>2.4</v>
      </c>
      <c r="C8" s="6" t="n">
        <v>-650.7</v>
      </c>
      <c r="D8" s="6" t="n"/>
      <c r="E8" s="6" t="n"/>
      <c r="F8" s="6" t="n"/>
      <c r="G8" s="6" t="n"/>
      <c r="H8" s="6" t="n"/>
    </row>
    <row r="9">
      <c r="A9" s="6" t="inlineStr">
        <is>
          <t>Provision/impairment charge for loan losses (label varies by year - see source note)</t>
        </is>
      </c>
      <c r="B9" s="6" t="n">
        <v>4081</v>
      </c>
      <c r="C9" s="6" t="n">
        <v>-800.6</v>
      </c>
      <c r="D9" s="6" t="n">
        <v>1443.6</v>
      </c>
      <c r="E9" s="6" t="n">
        <v>2029.1</v>
      </c>
      <c r="F9" s="6" t="n">
        <v>56.6</v>
      </c>
      <c r="G9" s="6" t="n">
        <v>292.2</v>
      </c>
      <c r="H9" s="6" t="n">
        <v>8.6</v>
      </c>
    </row>
    <row r="10">
      <c r="A10" s="6" t="inlineStr">
        <is>
          <t>(Net gain)/Loss on investment activities</t>
        </is>
      </c>
      <c r="B10" s="6" t="n">
        <v>681.3</v>
      </c>
      <c r="C10" s="6" t="n"/>
      <c r="D10" s="6" t="n"/>
      <c r="E10" s="6" t="n"/>
      <c r="F10" s="6" t="n"/>
      <c r="G10" s="6" t="n"/>
      <c r="H10" s="6" t="n"/>
    </row>
    <row r="11">
      <c r="A11" s="6" t="inlineStr">
        <is>
          <t>Effect of currency translation on cash and cash equivalents (operating adjustment)</t>
        </is>
      </c>
      <c r="B11" s="6" t="n">
        <v>-508</v>
      </c>
      <c r="C11" s="6" t="n">
        <v>-5.8</v>
      </c>
      <c r="D11" s="6" t="n">
        <v>-6.5</v>
      </c>
      <c r="E11" s="6" t="n">
        <v>53.7</v>
      </c>
      <c r="F11" s="6" t="n">
        <v>8.699999999999999</v>
      </c>
      <c r="G11" s="6" t="n">
        <v>-152.8</v>
      </c>
      <c r="H11" s="6" t="n">
        <v>-12.1</v>
      </c>
    </row>
    <row r="12">
      <c r="A12" s="5" t="inlineStr">
        <is>
          <t>Cash flows from operating activities before changes in operating assets and liabilities</t>
        </is>
      </c>
      <c r="B12" s="5" t="n">
        <v>1147.4</v>
      </c>
      <c r="C12" s="5" t="n">
        <v>1755</v>
      </c>
      <c r="D12" s="5" t="n">
        <v>7326.4</v>
      </c>
      <c r="E12" s="5" t="n">
        <v>4940.9</v>
      </c>
      <c r="F12" s="5" t="n">
        <v>1321.7</v>
      </c>
      <c r="G12" s="5" t="n">
        <v>188.5</v>
      </c>
      <c r="H12" s="5" t="n">
        <v>1572.4</v>
      </c>
    </row>
    <row r="13">
      <c r="A13" s="6" t="inlineStr">
        <is>
          <t>Net (increase) in loans and advances to banks</t>
        </is>
      </c>
      <c r="B13" s="6" t="n">
        <v>-37830.2</v>
      </c>
      <c r="C13" s="6" t="n">
        <v>-27860.7</v>
      </c>
      <c r="D13" s="6" t="n">
        <v>-32346.8</v>
      </c>
      <c r="E13" s="6" t="n">
        <v>-6302.3</v>
      </c>
      <c r="F13" s="6" t="n">
        <v>-10438</v>
      </c>
      <c r="G13" s="6" t="n">
        <v>-4549.6</v>
      </c>
      <c r="H13" s="6" t="n">
        <v>51.5</v>
      </c>
    </row>
    <row r="14">
      <c r="A14" s="6" t="inlineStr">
        <is>
          <t>Net (increase)/decrease in loans and advances to customers</t>
        </is>
      </c>
      <c r="B14" s="6" t="n">
        <v>-25669.6</v>
      </c>
      <c r="C14" s="6" t="n">
        <v>-9076.200000000001</v>
      </c>
      <c r="D14" s="6" t="n">
        <v>-3027.2</v>
      </c>
      <c r="E14" s="6" t="n">
        <v>5464</v>
      </c>
      <c r="F14" s="6" t="n">
        <v>-20298.9</v>
      </c>
      <c r="G14" s="6" t="n">
        <v>-11328.3</v>
      </c>
      <c r="H14" s="6" t="n">
        <v>-18183.6</v>
      </c>
    </row>
    <row r="15">
      <c r="A15" s="6" t="inlineStr">
        <is>
          <t>Net decrease/(increase) in derivative FIs</t>
        </is>
      </c>
      <c r="B15" s="6" t="n">
        <v>-2496.7</v>
      </c>
      <c r="C15" s="6" t="n">
        <v>1013.4</v>
      </c>
      <c r="D15" s="6" t="n">
        <v>-1916.6</v>
      </c>
      <c r="E15" s="6" t="n">
        <v>398.8</v>
      </c>
      <c r="F15" s="6" t="n">
        <v>3678.2</v>
      </c>
      <c r="G15" s="6" t="n">
        <v>-2894.8</v>
      </c>
      <c r="H15" s="6" t="n"/>
    </row>
    <row r="16">
      <c r="A16" s="6" t="inlineStr">
        <is>
          <t>Net (increase)/decrease in other assets</t>
        </is>
      </c>
      <c r="B16" s="6" t="n">
        <v>30.4</v>
      </c>
      <c r="C16" s="6" t="n">
        <v>-3166.4</v>
      </c>
      <c r="D16" s="6" t="n">
        <v>-836</v>
      </c>
      <c r="E16" s="6" t="n">
        <v>-792.1</v>
      </c>
      <c r="F16" s="6" t="n">
        <v>-2226.5</v>
      </c>
      <c r="G16" s="6" t="n">
        <v>226.5</v>
      </c>
      <c r="H16" s="6" t="n"/>
    </row>
    <row r="17">
      <c r="A17" s="6" t="inlineStr">
        <is>
          <t>Net increase/(decrease) in deposits from banks</t>
        </is>
      </c>
      <c r="B17" s="6" t="n">
        <v>20537.3</v>
      </c>
      <c r="C17" s="6" t="n">
        <v>37888.9</v>
      </c>
      <c r="D17" s="6" t="n">
        <v>-4847.5</v>
      </c>
      <c r="E17" s="6" t="n">
        <v>73965.39999999999</v>
      </c>
      <c r="F17" s="6" t="n">
        <v>-11631.4</v>
      </c>
      <c r="G17" s="6" t="n">
        <v>-21473.4</v>
      </c>
      <c r="H17" s="6" t="n">
        <v>35529.2</v>
      </c>
    </row>
    <row r="18">
      <c r="A18" s="6" t="inlineStr">
        <is>
          <t>Net increase/(decrease) in deposits from customers</t>
        </is>
      </c>
      <c r="B18" s="6" t="n">
        <v>47065</v>
      </c>
      <c r="C18" s="6" t="n">
        <v>3919.4</v>
      </c>
      <c r="D18" s="6" t="n">
        <v>-46460</v>
      </c>
      <c r="E18" s="6" t="n">
        <v>12662</v>
      </c>
      <c r="F18" s="6" t="n">
        <v>21751.8</v>
      </c>
      <c r="G18" s="6" t="n">
        <v>35454.1</v>
      </c>
      <c r="H18" s="6" t="n">
        <v>58301.6</v>
      </c>
    </row>
    <row r="19">
      <c r="A19" s="6" t="inlineStr">
        <is>
          <t>Net increase in subordinated liabilities</t>
        </is>
      </c>
      <c r="B19" s="6" t="n"/>
      <c r="C19" s="6" t="n"/>
      <c r="D19" s="6" t="n"/>
      <c r="E19" s="6" t="n"/>
      <c r="F19" s="6" t="n">
        <v>1454.3</v>
      </c>
      <c r="G19" s="6" t="n">
        <v>2337</v>
      </c>
      <c r="H19" s="6" t="n"/>
    </row>
    <row r="20">
      <c r="A20" s="6" t="inlineStr">
        <is>
          <t>Net increase/(decrease) in other liabilities</t>
        </is>
      </c>
      <c r="B20" s="6" t="n">
        <v>1661.4</v>
      </c>
      <c r="C20" s="6" t="n">
        <v>1537.1</v>
      </c>
      <c r="D20" s="6" t="n">
        <v>1555.5</v>
      </c>
      <c r="E20" s="6" t="n">
        <v>572.5</v>
      </c>
      <c r="F20" s="6" t="n">
        <v>663</v>
      </c>
      <c r="G20" s="6" t="n">
        <v>1.6</v>
      </c>
      <c r="H20" s="6" t="n"/>
    </row>
    <row r="21">
      <c r="A21" s="6" t="inlineStr">
        <is>
          <t>Taxation Paid</t>
        </is>
      </c>
      <c r="B21" s="6" t="n">
        <v>-214.3</v>
      </c>
      <c r="C21" s="6" t="n">
        <v>-476.5</v>
      </c>
      <c r="D21" s="6" t="n">
        <v>-1358.1</v>
      </c>
      <c r="E21" s="6" t="n"/>
      <c r="F21" s="6" t="n"/>
      <c r="G21" s="6" t="n"/>
      <c r="H21" s="6" t="n"/>
    </row>
    <row r="22">
      <c r="A22" s="5" t="inlineStr">
        <is>
          <t>Net cash flows from operating activities</t>
        </is>
      </c>
      <c r="B22" s="5" t="n">
        <v>4230.7</v>
      </c>
      <c r="C22" s="5" t="n">
        <v>5533.8</v>
      </c>
      <c r="D22" s="5" t="n">
        <v>-81910.2</v>
      </c>
      <c r="E22" s="5" t="n">
        <v>90909.10000000001</v>
      </c>
      <c r="F22" s="5" t="n">
        <v>-15725.8</v>
      </c>
      <c r="G22" s="5" t="n">
        <v>-2038.5</v>
      </c>
      <c r="H22" s="5" t="n">
        <v>77612</v>
      </c>
    </row>
    <row r="23">
      <c r="A23" s="5" t="inlineStr">
        <is>
          <t>Investing activities</t>
        </is>
      </c>
      <c r="B23" s="6" t="n"/>
      <c r="C23" s="6" t="n"/>
      <c r="D23" s="6" t="n"/>
      <c r="E23" s="6" t="n"/>
      <c r="F23" s="6" t="n"/>
      <c r="G23" s="6" t="n"/>
      <c r="H23" s="6" t="n"/>
    </row>
    <row r="24">
      <c r="A24" s="6" t="inlineStr">
        <is>
          <t>Acquisition of investment securities</t>
        </is>
      </c>
      <c r="B24" s="6" t="n">
        <v>-1350534.2</v>
      </c>
      <c r="C24" s="6" t="n">
        <v>-1220943.1</v>
      </c>
      <c r="D24" s="6" t="n">
        <v>-1536112.2</v>
      </c>
      <c r="E24" s="6" t="n">
        <v>-625692.6</v>
      </c>
      <c r="F24" s="6" t="n">
        <v>-465511.3</v>
      </c>
      <c r="G24" s="6" t="n">
        <v>-567718.2</v>
      </c>
      <c r="H24" s="6" t="n">
        <v>-586474</v>
      </c>
    </row>
    <row r="25">
      <c r="A25" s="6" t="inlineStr">
        <is>
          <t>Disposal of investment securities</t>
        </is>
      </c>
      <c r="B25" s="6" t="n">
        <v>1348466.1</v>
      </c>
      <c r="C25" s="6" t="n">
        <v>1215944.5</v>
      </c>
      <c r="D25" s="6" t="n">
        <v>1614999.1</v>
      </c>
      <c r="E25" s="6" t="n">
        <v>532573.6</v>
      </c>
      <c r="F25" s="6" t="n">
        <v>476473.5</v>
      </c>
      <c r="G25" s="6" t="n">
        <v>567909.6</v>
      </c>
      <c r="H25" s="6" t="n">
        <v>514377.5</v>
      </c>
    </row>
    <row r="26">
      <c r="A26" s="6" t="inlineStr">
        <is>
          <t>Purchases of property and equipment</t>
        </is>
      </c>
      <c r="B26" s="6" t="n">
        <v>-78</v>
      </c>
      <c r="C26" s="6" t="n">
        <v>-157.4</v>
      </c>
      <c r="D26" s="6" t="n">
        <v>-81.5</v>
      </c>
      <c r="E26" s="6" t="n">
        <v>-23.7</v>
      </c>
      <c r="F26" s="6" t="n">
        <v>-23</v>
      </c>
      <c r="G26" s="6" t="n">
        <v>-20</v>
      </c>
      <c r="H26" s="6" t="n">
        <v>-113.1</v>
      </c>
    </row>
    <row r="27">
      <c r="A27" s="6" t="inlineStr">
        <is>
          <t>Purchases of intangible assets</t>
        </is>
      </c>
      <c r="B27" s="6" t="n">
        <v>-126.9</v>
      </c>
      <c r="C27" s="6" t="n">
        <v>-251.6</v>
      </c>
      <c r="D27" s="6" t="n">
        <v>-287.1</v>
      </c>
      <c r="E27" s="6" t="n">
        <v>-222.2</v>
      </c>
      <c r="F27" s="6" t="n">
        <v>-34.1</v>
      </c>
      <c r="G27" s="6" t="n">
        <v>-61.2</v>
      </c>
      <c r="H27" s="6" t="n">
        <v>-303.7</v>
      </c>
    </row>
    <row r="28">
      <c r="A28" s="5" t="inlineStr">
        <is>
          <t>Net cash flows from investing activities</t>
        </is>
      </c>
      <c r="B28" s="5" t="n">
        <v>-2272.9</v>
      </c>
      <c r="C28" s="5" t="n">
        <v>-5407.6</v>
      </c>
      <c r="D28" s="5" t="n">
        <v>78518.39999999999</v>
      </c>
      <c r="E28" s="5" t="n">
        <v>-93365</v>
      </c>
      <c r="F28" s="5" t="n">
        <v>10905</v>
      </c>
      <c r="G28" s="5" t="n">
        <v>110.2</v>
      </c>
      <c r="H28" s="5" t="n">
        <v>-72513.3</v>
      </c>
    </row>
    <row r="29">
      <c r="A29" s="5" t="inlineStr">
        <is>
          <t>Financing activities</t>
        </is>
      </c>
      <c r="B29" s="6" t="n"/>
      <c r="C29" s="6" t="n"/>
      <c r="D29" s="6" t="n"/>
      <c r="E29" s="6" t="n"/>
      <c r="F29" s="6" t="n"/>
      <c r="G29" s="6" t="n"/>
      <c r="H29" s="6" t="n"/>
    </row>
    <row r="30">
      <c r="A30" s="6" t="inlineStr">
        <is>
          <t>Issuance of own shares</t>
        </is>
      </c>
      <c r="B30" s="6" t="n"/>
      <c r="C30" s="6" t="n"/>
      <c r="D30" s="6" t="n">
        <v>4019.6</v>
      </c>
      <c r="E30" s="6" t="n"/>
      <c r="F30" s="6" t="n"/>
      <c r="G30" s="6" t="n"/>
      <c r="H30" s="6" t="n"/>
    </row>
    <row r="31">
      <c r="A31" s="6" t="inlineStr">
        <is>
          <t>Issuance of subordinated liabilities</t>
        </is>
      </c>
      <c r="B31" s="6" t="n"/>
      <c r="C31" s="6" t="n"/>
      <c r="D31" s="6" t="n"/>
      <c r="E31" s="6" t="n">
        <v>3721.1</v>
      </c>
      <c r="F31" s="6" t="n"/>
      <c r="G31" s="6" t="n"/>
      <c r="H31" s="6" t="n"/>
    </row>
    <row r="32">
      <c r="A32" s="6" t="inlineStr">
        <is>
          <t>Payments made for lease liability</t>
        </is>
      </c>
      <c r="B32" s="6" t="n">
        <v>-342.8</v>
      </c>
      <c r="C32" s="6" t="n">
        <v>-313.5</v>
      </c>
      <c r="D32" s="6" t="n">
        <v>-328.4</v>
      </c>
      <c r="E32" s="6" t="n">
        <v>-290.8</v>
      </c>
      <c r="F32" s="6" t="n">
        <v>-292.9</v>
      </c>
      <c r="G32" s="6" t="n">
        <v>-317.8</v>
      </c>
      <c r="H32" s="6" t="n"/>
    </row>
    <row r="33">
      <c r="A33" s="5" t="inlineStr">
        <is>
          <t>Net cash flows from financing activities</t>
        </is>
      </c>
      <c r="B33" s="5" t="n">
        <v>-342.8</v>
      </c>
      <c r="C33" s="5" t="n">
        <v>-313.5</v>
      </c>
      <c r="D33" s="5" t="n">
        <v>3691.2</v>
      </c>
      <c r="E33" s="5" t="n">
        <v>3430.3</v>
      </c>
      <c r="F33" s="5" t="n">
        <v>-292.9</v>
      </c>
      <c r="G33" s="5" t="n">
        <v>-317.8</v>
      </c>
      <c r="H33" s="5" t="n"/>
    </row>
    <row r="34">
      <c r="A34" s="5" t="inlineStr">
        <is>
          <t>Net (decrease)/increase in cash and cash equivalents</t>
        </is>
      </c>
      <c r="B34" s="5" t="n">
        <v>1615</v>
      </c>
      <c r="C34" s="5" t="n">
        <v>-187.2</v>
      </c>
      <c r="D34" s="5" t="n">
        <v>299.4</v>
      </c>
      <c r="E34" s="5" t="n">
        <v>974.4</v>
      </c>
      <c r="F34" s="5" t="n">
        <v>-5113.7</v>
      </c>
      <c r="G34" s="5" t="n">
        <v>-2246.1</v>
      </c>
      <c r="H34" s="5" t="n">
        <v>5099.2</v>
      </c>
    </row>
    <row r="35">
      <c r="A35" s="6" t="inlineStr">
        <is>
          <t>Cash and cash equivalents at 1 January</t>
        </is>
      </c>
      <c r="B35" s="6" t="n">
        <v>5806.3</v>
      </c>
      <c r="C35" s="6" t="n">
        <v>5889.5</v>
      </c>
      <c r="D35" s="6" t="n">
        <v>5884.2</v>
      </c>
      <c r="E35" s="6" t="n">
        <v>4422.7</v>
      </c>
      <c r="F35" s="6" t="n">
        <v>9533.799999999999</v>
      </c>
      <c r="G35" s="6" t="n">
        <v>11899.8</v>
      </c>
      <c r="H35" s="6" t="n">
        <v>7175.5</v>
      </c>
    </row>
    <row r="36">
      <c r="A36" s="6" t="inlineStr">
        <is>
          <t>Effect of currency translation on cash and cash equivalents (closing bridge)</t>
        </is>
      </c>
      <c r="B36" s="6" t="n">
        <v>508</v>
      </c>
      <c r="C36" s="6" t="n">
        <v>5.8</v>
      </c>
      <c r="D36" s="6" t="n">
        <v>6.5</v>
      </c>
      <c r="E36" s="6" t="n">
        <v>-53.7</v>
      </c>
      <c r="F36" s="6" t="n">
        <v>-8.699999999999999</v>
      </c>
      <c r="G36" s="6" t="n">
        <v>152.8</v>
      </c>
      <c r="H36" s="6" t="n"/>
    </row>
    <row r="37">
      <c r="A37" s="6" t="inlineStr">
        <is>
          <t>Effect of GBP/USD translation (£ conversion artefact - see FX note)</t>
        </is>
      </c>
      <c r="B37" s="6" t="n">
        <v>-443</v>
      </c>
      <c r="C37" s="6" t="n">
        <v>98.2</v>
      </c>
      <c r="D37" s="6" t="n">
        <v>-300.6</v>
      </c>
      <c r="E37" s="6" t="n">
        <v>540.8</v>
      </c>
      <c r="F37" s="6" t="n">
        <v>11.3</v>
      </c>
      <c r="G37" s="6" t="n">
        <v>-272.7</v>
      </c>
      <c r="H37" s="6" t="n">
        <v>-374.9</v>
      </c>
    </row>
    <row r="38">
      <c r="A38" s="5" t="inlineStr">
        <is>
          <t>Cash and cash equivalents at 31 December</t>
        </is>
      </c>
      <c r="B38" s="5" t="n">
        <v>7486.3</v>
      </c>
      <c r="C38" s="5" t="n">
        <v>5806.3</v>
      </c>
      <c r="D38" s="5" t="n">
        <v>5889.5</v>
      </c>
      <c r="E38" s="5" t="n">
        <v>5884.2</v>
      </c>
      <c r="F38" s="5" t="n">
        <v>4422.7</v>
      </c>
      <c r="G38" s="5" t="n">
        <v>9533.799999999999</v>
      </c>
      <c r="H38" s="5" t="n">
        <v>11899.8</v>
      </c>
    </row>
    <row r="40" ht="280" customHeight="1">
      <c r="A40" s="8" t="inlineStr">
        <is>
          <t>Sources - FCMB Bank (UK) Limited's own Statement of Cash Flows, from its Companies House-filed Annual Report and Accounts (also published on the Bank's own site):
FY2025: Audited Accounts 2025, p.42-43 - https://fcmbuk.com/wp-content/uploads/2026/08/SIGNED-FCMB-Bank-UK-Limited-Audited-Accounts-2025.pdf
FY2024: Audited Accounts 2024, p.31 (own-year figures; FY2024 comparative in the FY2025 report cross-checked and matched exactly) - https://fcmbuk.com/wp-content/uploads/2025/09/FCMB-Bank-UK-Limited-Audited-Accounts-2024-Signed.pdf
FY2023: Audited Accounts 2023, p.33 - https://fcmbuk.com/wp-content/uploads/2024/07/FCMB-Bank-UK-Limited-Audited-Accounts-2023.pdf
FY2022: Annual Report &amp; Financial Statements 2022, p.31 (own-year figures; FY2022 comparative in the FY2023 report cross-checked and matched exactly) - https://fcmbuk.com/wp-content/uploads/2023/09/FCMB-Bank-UK-Limited-Signed-Annual-Report-Financial-Statements-2022.pdf
FY2021: Audited Accounts 2021, p.28 - https://fcmbuk.com/wp-content/uploads/2023/09/FCMB-Bank-UK-Limited-Signed-Audited-Accounts-2021.pdf
FY2020: Audited Accounts 2021, p.28 (audited comparative column) - https://fcmbuk.com/wp-content/uploads/2023/09/FCMB-Bank-UK-Limited-Signed-Audited-Accounts-2021.pdf
FY2019: Companies House-filed FCMB Bank (UK) Limited Annual Report and Financial Statements 2019, printed pp.26-29 (user-supplied primary PDF; deleted after extraction)
FCMB Bank (UK) Limited (company 06621225, FRN 502704) is a UK subsidiary of First City Monument Bank (Nigeria). Does NOT take the FRS 101/102 cash-flow exemption - a full Statement of Cash Flows exists every year. FY2020 is sourced from the FY2021 Annual Report's audited comparative column; FY2019 is sourced from the Companies House-filed statutory accounts supplied for this audit (printed pages 26-29). Each available year's own originally-published figures used throughout - the closing balance of each year ties exactly to the following year's own opening balance across all 5 years.
DATA QUALITY NOTE (FY2024): the FY2025 Annual Report's own FY2024 comparative column shows materially different 'Changes in operating assets and liabilities' line items (and a different Operating/Investing split) than FY2024's own originally-published Annual Report - e.g. 'Net (increase) in loans and advances to banks' is $(42,672,236) in the FY2025 report's comparative vs. $(35,611,527) in FY2024's own report. FY2024's own figures are used throughout (per project convention), and independently confirmed internally consistent (adjustments subtotal $2,243,237 + changes subtotal $4,830,112 = $7,073,349, matching FY2024's own printed operating total exactly). Net cash flow for the year, opening balance, and closing balance are IDENTICAL between both vintages ($(239,325) net change, both years) - only the Operating/Investing section split differs, consistent with a presentational reclassification rather than a change in the Bank's actual cash position. Similarly, FY2021's own report classifies 'Issuance of subordinated liabilities' ($2,000,000) within Operating activities, while later reports' FY2021 comparative reclassifies it into Financing activities - the FY2022 report's own footnote explicitly confirms this deliberate reclassification ('Subordinated liabilities were classified under operating activities in 2021. In 2022, subordinated liabilities have been classified under financing activities for the current year and in the prior year comparatives.'). FY2021's own original classification is used here, per convention.
FX CONVERSION: the Bank's functional and presentational currency is USD. Converted to £ per this project's established methodology: point-in-time/balance figures (capital, RWA, leverage exposure, HQLA, cash balances) use the Bank of England GBP/USD SPOT rate as at that fiscal year-end (31 December); flow figures (every cash flow statement line item) use the AVERAGE of Bank of England rates over that calendar year. Rate table reused from Zenith Bank UK/Union Bank of India UK (same 31 Dec year-end): 31 Dec 2020 spot 1.3661 (FY2021 opening cash only); FY2021 spot 1.3521 / average 1.3752; FY2022 spot 1.2097 / average 1.2362; FY2023 spot 1.2732 / average 1.2439; FY2024 spot 1.2515 / average 1.2782; FY2025 spot 1.3448 / average 1.3193. All % ratios are shown exactly as reported in USD, not converted (dimensionless, currency-invariant). An explicit 'Effect of GBP/USD translation' line reconciles the stock/flow rate mismatch so opening + flows + this line = closing exactly in £ terms; computed programmatically from the actual converted figures, not hardcoded.</t>
        </is>
      </c>
    </row>
  </sheetData>
  <mergeCells count="1">
    <mergeCell ref="A40:H4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FCMB Bank (UK) Limited — Asset Quality / Credit Risk Disclosures</t>
        </is>
      </c>
    </row>
    <row r="2">
      <c r="A2" s="2" t="inlineStr">
        <is>
          <t>£'000, converted from USD (stock figures) - see source note at bottom for FX methodology and rates used.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Gross carrying amount by IFRS 9 stage (calculated - see source note)</t>
        </is>
      </c>
      <c r="B4" s="6" t="n"/>
      <c r="C4" s="6" t="n"/>
      <c r="D4" s="6" t="n"/>
      <c r="E4" s="6" t="n"/>
      <c r="F4" s="6" t="n"/>
      <c r="G4" s="6" t="n"/>
      <c r="H4" s="6" t="n"/>
    </row>
    <row r="5">
      <c r="A5" s="6" t="inlineStr">
        <is>
          <t>Stage 1 (12-month ECL)</t>
        </is>
      </c>
      <c r="B5" s="6" t="n">
        <v>330139.5</v>
      </c>
      <c r="C5" s="6" t="n">
        <v>324761.1</v>
      </c>
      <c r="D5" s="6" t="n">
        <v>261294.3</v>
      </c>
      <c r="E5" s="6" t="n">
        <v>232393.2</v>
      </c>
      <c r="F5" s="6" t="n">
        <v>211142.3</v>
      </c>
      <c r="G5" s="6" t="n">
        <v>157665.9</v>
      </c>
      <c r="H5" s="6" t="n"/>
    </row>
    <row r="6">
      <c r="A6" s="6" t="inlineStr">
        <is>
          <t>Stage 2 (lifetime ECL, not credit-impaired)</t>
        </is>
      </c>
      <c r="B6" s="6" t="n">
        <v>1575</v>
      </c>
      <c r="C6" s="6" t="n">
        <v>5623.5</v>
      </c>
      <c r="D6" s="6" t="n">
        <v>8178.7</v>
      </c>
      <c r="E6" s="6" t="n">
        <v>7618</v>
      </c>
      <c r="F6" s="6" t="n">
        <v>392</v>
      </c>
      <c r="G6" s="6" t="n">
        <v>0</v>
      </c>
      <c r="H6" s="6" t="n"/>
    </row>
    <row r="7">
      <c r="A7" s="6" t="inlineStr">
        <is>
          <t>Stage 3 (credit-impaired)</t>
        </is>
      </c>
      <c r="B7" s="6" t="n">
        <v>9970.700000000001</v>
      </c>
      <c r="C7" s="6" t="n">
        <v>3858.3</v>
      </c>
      <c r="D7" s="6" t="n">
        <v>5501</v>
      </c>
      <c r="E7" s="6" t="n">
        <v>4637.4</v>
      </c>
      <c r="F7" s="6" t="n">
        <v>0</v>
      </c>
      <c r="G7" s="6" t="n">
        <v>0</v>
      </c>
      <c r="H7" s="6" t="n"/>
    </row>
    <row r="8">
      <c r="A8" s="5" t="inlineStr">
        <is>
          <t>Total gross carrying amount</t>
        </is>
      </c>
      <c r="B8" s="5" t="n">
        <v>341685.1</v>
      </c>
      <c r="C8" s="5" t="n">
        <v>334242.9</v>
      </c>
      <c r="D8" s="5" t="n">
        <v>274974</v>
      </c>
      <c r="E8" s="5" t="n">
        <v>244648.6</v>
      </c>
      <c r="F8" s="5" t="n">
        <v>211534.3</v>
      </c>
      <c r="G8" s="5" t="n">
        <v>157665.9</v>
      </c>
      <c r="H8" s="5" t="n"/>
    </row>
    <row r="9">
      <c r="A9" s="5" t="inlineStr">
        <is>
          <t>ECL allowance by stage</t>
        </is>
      </c>
      <c r="B9" s="6" t="n"/>
      <c r="C9" s="6" t="n"/>
      <c r="D9" s="6" t="n"/>
      <c r="E9" s="6" t="n"/>
      <c r="F9" s="6" t="n"/>
      <c r="G9" s="6" t="n"/>
      <c r="H9" s="6" t="n"/>
    </row>
    <row r="10">
      <c r="A10" s="6" t="inlineStr">
        <is>
          <t>Stage 1 ECL</t>
        </is>
      </c>
      <c r="B10" s="6" t="n">
        <v>1621.6</v>
      </c>
      <c r="C10" s="6" t="n">
        <v>1533.8</v>
      </c>
      <c r="D10" s="6" t="n">
        <v>1649</v>
      </c>
      <c r="E10" s="6" t="n">
        <v>1068.1</v>
      </c>
      <c r="F10" s="6" t="n">
        <v>525.1</v>
      </c>
      <c r="G10" s="6" t="n">
        <v>463.2</v>
      </c>
      <c r="H10" s="6" t="n"/>
    </row>
    <row r="11">
      <c r="A11" s="6" t="inlineStr">
        <is>
          <t>Stage 2 ECL</t>
        </is>
      </c>
      <c r="B11" s="6" t="n">
        <v>36.6</v>
      </c>
      <c r="C11" s="6" t="n">
        <v>291.1</v>
      </c>
      <c r="D11" s="6" t="n">
        <v>253</v>
      </c>
      <c r="E11" s="6" t="n">
        <v>170.5</v>
      </c>
      <c r="F11" s="6" t="n">
        <v>0.4</v>
      </c>
      <c r="G11" s="6" t="n">
        <v>0</v>
      </c>
      <c r="H11" s="6" t="n"/>
    </row>
    <row r="12">
      <c r="A12" s="6" t="inlineStr">
        <is>
          <t>Stage 3 ECL</t>
        </is>
      </c>
      <c r="B12" s="6" t="n">
        <v>5132.6</v>
      </c>
      <c r="C12" s="6" t="n">
        <v>1364.4</v>
      </c>
      <c r="D12" s="6" t="n">
        <v>2036.6</v>
      </c>
      <c r="E12" s="6" t="n">
        <v>1422.5</v>
      </c>
      <c r="F12" s="6" t="n">
        <v>0</v>
      </c>
      <c r="G12" s="6" t="n">
        <v>0</v>
      </c>
      <c r="H12" s="6" t="n"/>
    </row>
    <row r="13">
      <c r="A13" s="5" t="inlineStr">
        <is>
          <t>Total ECL allowance</t>
        </is>
      </c>
      <c r="B13" s="5" t="n">
        <v>6790.8</v>
      </c>
      <c r="C13" s="5" t="n">
        <v>3189.3</v>
      </c>
      <c r="D13" s="5" t="n">
        <v>3938.6</v>
      </c>
      <c r="E13" s="5" t="n">
        <v>2661</v>
      </c>
      <c r="F13" s="5" t="n">
        <v>525.6</v>
      </c>
      <c r="G13" s="5" t="n">
        <v>463.2</v>
      </c>
      <c r="H13" s="5" t="n"/>
    </row>
    <row r="14">
      <c r="A14" s="5" t="inlineStr">
        <is>
          <t>Net carrying amount by stage (as reported)</t>
        </is>
      </c>
      <c r="B14" s="6" t="n"/>
      <c r="C14" s="6" t="n"/>
      <c r="D14" s="6" t="n"/>
      <c r="E14" s="6" t="n"/>
      <c r="F14" s="6" t="n"/>
      <c r="G14" s="6" t="n"/>
      <c r="H14" s="6" t="n"/>
    </row>
    <row r="15">
      <c r="A15" s="6" t="inlineStr">
        <is>
          <t>Stage 1</t>
        </is>
      </c>
      <c r="B15" s="6" t="n">
        <v>328517.8</v>
      </c>
      <c r="C15" s="6" t="n">
        <v>323227.3</v>
      </c>
      <c r="D15" s="6" t="n">
        <v>259645.3</v>
      </c>
      <c r="E15" s="6" t="n">
        <v>231325.1</v>
      </c>
      <c r="F15" s="6" t="n">
        <v>210617.1</v>
      </c>
      <c r="G15" s="6" t="n">
        <v>157202.6</v>
      </c>
      <c r="H15" s="6" t="n"/>
    </row>
    <row r="16">
      <c r="A16" s="6" t="inlineStr">
        <is>
          <t>Stage 2</t>
        </is>
      </c>
      <c r="B16" s="6" t="n">
        <v>1538.4</v>
      </c>
      <c r="C16" s="6" t="n">
        <v>5332.3</v>
      </c>
      <c r="D16" s="6" t="n">
        <v>7925.6</v>
      </c>
      <c r="E16" s="6" t="n">
        <v>7447.6</v>
      </c>
      <c r="F16" s="6" t="n">
        <v>391.6</v>
      </c>
      <c r="G16" s="6" t="n">
        <v>0</v>
      </c>
      <c r="H16" s="6" t="n"/>
    </row>
    <row r="17">
      <c r="A17" s="6" t="inlineStr">
        <is>
          <t>Stage 3</t>
        </is>
      </c>
      <c r="B17" s="6" t="n">
        <v>4838.1</v>
      </c>
      <c r="C17" s="6" t="n">
        <v>2494</v>
      </c>
      <c r="D17" s="6" t="n">
        <v>3464.4</v>
      </c>
      <c r="E17" s="6" t="n">
        <v>3214.9</v>
      </c>
      <c r="F17" s="6" t="n">
        <v>0</v>
      </c>
      <c r="G17" s="6" t="n">
        <v>0</v>
      </c>
      <c r="H17" s="6" t="n"/>
    </row>
    <row r="18">
      <c r="A18" s="5" t="inlineStr">
        <is>
          <t>Total net carrying amount</t>
        </is>
      </c>
      <c r="B18" s="5" t="n">
        <v>334894.4</v>
      </c>
      <c r="C18" s="5" t="n">
        <v>331053.6</v>
      </c>
      <c r="D18" s="5" t="n">
        <v>271035.3</v>
      </c>
      <c r="E18" s="5" t="n">
        <v>241987.6</v>
      </c>
      <c r="F18" s="5" t="n">
        <v>211008.8</v>
      </c>
      <c r="G18" s="5" t="n">
        <v>157202.6</v>
      </c>
      <c r="H18" s="5" t="n"/>
    </row>
    <row r="19">
      <c r="A19" s="5" t="inlineStr">
        <is>
          <t>Derived ratios</t>
        </is>
      </c>
      <c r="B19" s="6" t="n"/>
      <c r="C19" s="6" t="n"/>
      <c r="D19" s="6" t="n"/>
      <c r="E19" s="6" t="n"/>
      <c r="F19" s="6" t="n"/>
      <c r="G19" s="6" t="n"/>
      <c r="H19" s="6" t="n"/>
    </row>
    <row r="20">
      <c r="A20" s="6" t="inlineStr">
        <is>
          <t>NPL ratio (Stage 3 gross / Total gross)</t>
        </is>
      </c>
      <c r="B20" s="6" t="inlineStr">
        <is>
          <t>2.92%</t>
        </is>
      </c>
      <c r="C20" s="6" t="inlineStr">
        <is>
          <t>1.15%</t>
        </is>
      </c>
      <c r="D20" s="6" t="inlineStr">
        <is>
          <t>2.00%</t>
        </is>
      </c>
      <c r="E20" s="6" t="inlineStr">
        <is>
          <t>1.90%</t>
        </is>
      </c>
      <c r="F20" s="6" t="inlineStr">
        <is>
          <t>0.00%</t>
        </is>
      </c>
      <c r="G20" s="6" t="inlineStr">
        <is>
          <t>0.00%</t>
        </is>
      </c>
      <c r="H20" s="6" t="n"/>
    </row>
    <row r="21">
      <c r="A21" s="6" t="inlineStr">
        <is>
          <t>Stage 3 coverage ratio (Stage 3 ECL / Stage 3 gross)</t>
        </is>
      </c>
      <c r="B21" s="6" t="inlineStr">
        <is>
          <t>51.48%</t>
        </is>
      </c>
      <c r="C21" s="6" t="inlineStr">
        <is>
          <t>35.36%</t>
        </is>
      </c>
      <c r="D21" s="6" t="inlineStr">
        <is>
          <t>37.02%</t>
        </is>
      </c>
      <c r="E21" s="6" t="inlineStr">
        <is>
          <t>30.67%</t>
        </is>
      </c>
      <c r="F21" s="6" t="n"/>
      <c r="G21" s="6" t="n"/>
      <c r="H21" s="6" t="n"/>
    </row>
    <row r="22">
      <c r="A22" s="6" t="inlineStr">
        <is>
          <t>Total ECL coverage ratio (Total ECL / Total gross)</t>
        </is>
      </c>
      <c r="B22" s="6" t="inlineStr">
        <is>
          <t>1.99%</t>
        </is>
      </c>
      <c r="C22" s="6" t="inlineStr">
        <is>
          <t>0.95%</t>
        </is>
      </c>
      <c r="D22" s="6" t="inlineStr">
        <is>
          <t>1.43%</t>
        </is>
      </c>
      <c r="E22" s="6" t="inlineStr">
        <is>
          <t>1.09%</t>
        </is>
      </c>
      <c r="F22" s="6" t="inlineStr">
        <is>
          <t>0.25%</t>
        </is>
      </c>
      <c r="G22" s="6" t="inlineStr">
        <is>
          <t>0.29%</t>
        </is>
      </c>
      <c r="H22" s="6" t="n"/>
    </row>
    <row r="24" ht="280" customHeight="1">
      <c r="A24" s="8" t="inlineStr">
        <is>
          <t xml:space="preserve">Sources - FCMB Bank (UK) Limited's own 'Net carrying value of exposure by risk rating' (IFRS 9 stage) and 'Expected Credit Loss by Stage' notes, Note 24 (Financial instruments and risk management), from its Companies House-filed Annual Report and Accounts:
FY2025: Audited Accounts 2025, p.79-80 - https://fcmbuk.com/wp-content/uploads/2026/08/SIGNED-FCMB-Bank-UK-Limited-Audited-Accounts-2025.pdf
FY2024: Audited Accounts 2024, p.65 (own-year figures - see reclassification note) - https://fcmbuk.com/wp-content/uploads/2025/09/FCMB-Bank-UK-Limited-Audited-Accounts-2024-Signed.pdf
FY2023: Audited Accounts 2023, p.67 - https://fcmbuk.com/wp-content/uploads/2024/07/FCMB-Bank-UK-Limited-Audited-Accounts-2023.pdf
FY2022: Annual Report &amp; Financial Statements 2022, p.66 - https://fcmbuk.com/wp-content/uploads/2023/09/FCMB-Bank-UK-Limited-Signed-Annual-Report-Financial-Statements-2022.pdf
FY2021: Audited Accounts 2021, p.61 (ECL by stage sourced from this page's own narrative text) - https://fcmbuk.com/wp-content/uploads/2023/09/FCMB-Bank-UK-Limited-Signed-Audited-Accounts-2021.pdf
FY2020: Audited Accounts 2021, p.61 (audited comparative column and narrative) - https://fcmbuk.com/wp-content/uploads/2023/09/FCMB-Bank-UK-Limited-Signed-Audited-Accounts-2021.pdf
Gross carrying amount by stage is CALCULATED as Net carrying amount + ECL allowance for that stage (the Bank discloses net carrying value and ECL by stage separately, not gross carrying amount directly). NPL ratio = Stage 3 gross carrying / Total gross carrying; Stage 3 coverage ratio = Stage 3 ECL / Stage 3 gross carrying (blank for FY2021, which had zero Stage 3 exposure); Total ECL coverage = Total ECL / Total gross carrying.
FCMB Bank (UK) Limited (company 06621225, FRN 502704) is a UK subsidiary of First City Monument Bank (Nigeria). Does NOT take the FRS 101/102 cash-flow exemption - a full Statement of Cash Flows exists every year. FY2020 is sourced from the FY2021 Annual Report's audited comparative column; FY2019 is sourced from the Companies House-filed statutory accounts supplied for this audit (printed pages 26-29). Each available year's own originally-published figures used throughout - the closing balance of each year ties exactly to the following year's own opening balance across all 5 years.
</t>
        </is>
      </c>
    </row>
  </sheetData>
  <mergeCells count="1">
    <mergeCell ref="A24:H2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FCMB Bank (UK) Limited — CET1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Common Equity Tier 1 (CET1) Capital</t>
        </is>
      </c>
      <c r="B4" s="6" t="n">
        <v>40642.5</v>
      </c>
      <c r="C4" s="6" t="n">
        <v>46305.2</v>
      </c>
      <c r="D4" s="6" t="n">
        <v>39296.3</v>
      </c>
      <c r="E4" s="6" t="n">
        <v>33331.4</v>
      </c>
      <c r="F4" s="6" t="n">
        <v>31739.5</v>
      </c>
      <c r="G4" s="6" t="n">
        <v>31671.2</v>
      </c>
      <c r="H4" s="6" t="n"/>
    </row>
    <row r="6" ht="170" customHeight="1">
      <c r="A6" s="8" t="inlineStr">
        <is>
          <t>Sources - FCMB Bank (UK) Limited Pillar 3 Disclosures ('Key Regulatory Metrics' table):
FY2025: Pillar III Disclosures FYE 2025, p.3 - https://fcmbuk.com/wp-content/uploads/2026/08/5.-Pillar-III-Disclosures-FYE-2025-30-June-2026.pdf
FY2024: Pillar III Disclosures FYE 2024, p.2 (own-year; also cross-checked against FY2025's comparative column, matched exactly) - https://fcmbuk.com/wp-content/uploads/2025/09/Pillar-III-Disclosures-FYE-2024.pdf
FY2023: Pillar III Disclosures FYE 2023, p.19 (own-year; also cross-checked against FY2024's comparative column, matched exactly) - https://fcmbuk.com/wp-content/uploads/2024/08/Pillar-III-Disclosures-FYE-2023.pdf
FY2022: Pillar III Disclosures FYE 2022, p.19 (own-year; also cross-checked against FY2023's comparative column, matched exactly) - https://fcmbuk.com/wp-content/uploads/2023/09/Pillar-III-Disclosures-FYE-2022.pdf
FY2021: sourced from FY2022's Pillar III Disclosures own comparative column - the FY2021 document itself (Pillar III Disclosures FYE 2021, https://fcmbuk.com/wp-content/uploads/2022/07/Pillar-III-Disclosures-FYE-2021-002.pdf) pre-dates this 'Key Regulatory Metrics'/KM1-style table and only discloses a 'Minimum Capital Requirements' breakdown with no CET1/Total Capital/RWA/Leverage/LCR/NSFR figures - same pattern as Aldermore/BLME/Bank of Ireland UK/British Arab Commercial Bank elsewhere in this project.
FY2020: Pillar III Disclosures FYE 2020, pp.8-9 (old-format capital and RWA tables; no KM1 leverage/LCR/NSFR table) - https://www.fcmbuk.com/wp-content/uploads/2021/12/Pillar-III-Disclosures-FYE-2020.pdf
LCR/NSFR methodology note (per the Bank's own documents, CRR Article 447): each LCR component is calculated as a 12-month average, and NSFR components as the average of the last 4 quarters - i.e. the LCR%/NSFR% shown are themselves already period averages, not point-in-time spot ratios.</t>
        </is>
      </c>
    </row>
  </sheetData>
  <mergeCells count="1">
    <mergeCell ref="A6:H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FCMB Bank (UK) Limited — CET1 Ratio</t>
        </is>
      </c>
    </row>
    <row r="2">
      <c r="A2" s="2" t="inlineStr">
        <is>
          <t>% of TREA (calculated - see note)</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CET1 Ratio</t>
        </is>
      </c>
      <c r="B4" s="6" t="inlineStr">
        <is>
          <t>14.83%</t>
        </is>
      </c>
      <c r="C4" s="6" t="inlineStr">
        <is>
          <t>16.55%</t>
        </is>
      </c>
      <c r="D4" s="6" t="inlineStr">
        <is>
          <t>17.39%</t>
        </is>
      </c>
      <c r="E4" s="6" t="inlineStr">
        <is>
          <t>16.97%</t>
        </is>
      </c>
      <c r="F4" s="6" t="inlineStr">
        <is>
          <t>17.29%</t>
        </is>
      </c>
      <c r="G4" s="6" t="inlineStr">
        <is>
          <t>27.27%</t>
        </is>
      </c>
      <c r="H4" s="6" t="n"/>
    </row>
    <row r="5" ht="60" customHeight="1">
      <c r="A5" s="7" t="inlineStr">
        <is>
          <t>Note: CALCULATED as CET1 Capital / Total Risk-Weighted exposure amount (TREA) for each year - neither the Bank's Annual Report nor its Pillar 3 Disclosures state a CET1 ratio % directly, only the underlying £/$ amounts (see CET1 Capital and Total RWAs sheets).</t>
        </is>
      </c>
    </row>
    <row r="7" ht="170" customHeight="1">
      <c r="A7" s="8" t="inlineStr">
        <is>
          <t>Sources - FCMB Bank (UK) Limited Pillar 3 Disclosures ('Key Regulatory Metrics' table):
FY2025: Pillar III Disclosures FYE 2025, p.3 - https://fcmbuk.com/wp-content/uploads/2026/08/5.-Pillar-III-Disclosures-FYE-2025-30-June-2026.pdf
FY2024: Pillar III Disclosures FYE 2024, p.2 (own-year; also cross-checked against FY2025's comparative column, matched exactly) - https://fcmbuk.com/wp-content/uploads/2025/09/Pillar-III-Disclosures-FYE-2024.pdf
FY2023: Pillar III Disclosures FYE 2023, p.19 (own-year; also cross-checked against FY2024's comparative column, matched exactly) - https://fcmbuk.com/wp-content/uploads/2024/08/Pillar-III-Disclosures-FYE-2023.pdf
FY2022: Pillar III Disclosures FYE 2022, p.19 (own-year; also cross-checked against FY2023's comparative column, matched exactly) - https://fcmbuk.com/wp-content/uploads/2023/09/Pillar-III-Disclosures-FYE-2022.pdf
FY2021: sourced from FY2022's Pillar III Disclosures own comparative column - the FY2021 document itself (Pillar III Disclosures FYE 2021, https://fcmbuk.com/wp-content/uploads/2022/07/Pillar-III-Disclosures-FYE-2021-002.pdf) pre-dates this 'Key Regulatory Metrics'/KM1-style table and only discloses a 'Minimum Capital Requirements' breakdown with no CET1/Total Capital/RWA/Leverage/LCR/NSFR figures - same pattern as Aldermore/BLME/Bank of Ireland UK/British Arab Commercial Bank elsewhere in this project.
FY2020: Pillar III Disclosures FYE 2020, pp.8-9 (old-format capital and RWA tables; no KM1 leverage/LCR/NSFR table) - https://www.fcmbuk.com/wp-content/uploads/2021/12/Pillar-III-Disclosures-FYE-2020.pdf
LCR/NSFR methodology note (per the Bank's own documents, CRR Article 447): each LCR component is calculated as a 12-month average, and NSFR components as the average of the last 4 quarters - i.e. the LCR%/NSFR% shown are themselves already period averages, not point-in-time spot ratios.</t>
        </is>
      </c>
    </row>
  </sheetData>
  <mergeCells count="2">
    <mergeCell ref="A7:H7"/>
    <mergeCell ref="A5:H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FCMB Bank (UK) Limited — Tier 1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Capital</t>
        </is>
      </c>
      <c r="B4" s="6" t="n"/>
      <c r="C4" s="6" t="n"/>
      <c r="D4" s="6" t="n"/>
      <c r="E4" s="6" t="n"/>
      <c r="F4" s="6" t="n"/>
      <c r="G4" s="6" t="n">
        <v>31671.2</v>
      </c>
      <c r="H4" s="6" t="n"/>
    </row>
    <row r="5" ht="60" customHeight="1">
      <c r="A5" s="7" t="inlineStr">
        <is>
          <t>Note: FY2020 is explicitly disclosed in the old-format Pillar 3 table ($43,266k: issued capital + retained earnings less intangibles). FY2021 onward is not publicly disclosed as a separate line - the Bank's 'Key Regulatory Metrics' table only gives Common Equity Tier 1 (CET1) Capital and Total Capital, with no separate Tier 1 breakdown. Total Capital exceeds CET1 in every year shown (e.g. FY2025: $64,256k vs $54,656k), confirming some Additional Tier 1 and/or Tier 2 capital exists, but it isn't broken out - NOT assumed equal to CET1.</t>
        </is>
      </c>
    </row>
    <row r="7" ht="170" customHeight="1">
      <c r="A7" s="8" t="inlineStr">
        <is>
          <t>Sources - FCMB Bank (UK) Limited Pillar 3 Disclosures ('Key Regulatory Metrics' table):
FY2025: Pillar III Disclosures FYE 2025, p.3 - https://fcmbuk.com/wp-content/uploads/2026/08/5.-Pillar-III-Disclosures-FYE-2025-30-June-2026.pdf
FY2024: Pillar III Disclosures FYE 2024, p.2 (own-year; also cross-checked against FY2025's comparative column, matched exactly) - https://fcmbuk.com/wp-content/uploads/2025/09/Pillar-III-Disclosures-FYE-2024.pdf
FY2023: Pillar III Disclosures FYE 2023, p.19 (own-year; also cross-checked against FY2024's comparative column, matched exactly) - https://fcmbuk.com/wp-content/uploads/2024/08/Pillar-III-Disclosures-FYE-2023.pdf
FY2022: Pillar III Disclosures FYE 2022, p.19 (own-year; also cross-checked against FY2023's comparative column, matched exactly) - https://fcmbuk.com/wp-content/uploads/2023/09/Pillar-III-Disclosures-FYE-2022.pdf
FY2021: sourced from FY2022's Pillar III Disclosures own comparative column - the FY2021 document itself (Pillar III Disclosures FYE 2021, https://fcmbuk.com/wp-content/uploads/2022/07/Pillar-III-Disclosures-FYE-2021-002.pdf) pre-dates this 'Key Regulatory Metrics'/KM1-style table and only discloses a 'Minimum Capital Requirements' breakdown with no CET1/Total Capital/RWA/Leverage/LCR/NSFR figures - same pattern as Aldermore/BLME/Bank of Ireland UK/British Arab Commercial Bank elsewhere in this project.
FY2020: Pillar III Disclosures FYE 2020, pp.8-9 (old-format capital and RWA tables; no KM1 leverage/LCR/NSFR table) - https://www.fcmbuk.com/wp-content/uploads/2021/12/Pillar-III-Disclosures-FYE-2020.pdf
LCR/NSFR methodology note (per the Bank's own documents, CRR Article 447): each LCR component is calculated as a 12-month average, and NSFR components as the average of the last 4 quarters - i.e. the LCR%/NSFR% shown are themselves already period averages, not point-in-time spot ratios.</t>
        </is>
      </c>
    </row>
  </sheetData>
  <mergeCells count="2">
    <mergeCell ref="A7:H7"/>
    <mergeCell ref="A5:H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FCMB Bank (UK)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Capital ratio</t>
        </is>
      </c>
      <c r="B4" s="6" t="n"/>
      <c r="C4" s="6" t="n"/>
      <c r="D4" s="6" t="n"/>
      <c r="E4" s="6" t="n"/>
      <c r="F4" s="6" t="n"/>
      <c r="G4" s="6" t="inlineStr">
        <is>
          <t>25%</t>
        </is>
      </c>
      <c r="H4" s="6" t="n"/>
    </row>
    <row r="5" ht="60" customHeight="1">
      <c r="A5" s="7" t="inlineStr">
        <is>
          <t>Note: FY2020 is explicitly disclosed in the old-format Pillar 3 table. FY2021 onward is not publicly disclosed as a separate line - the Bank's 'Key Regulatory Metrics' table only gives Common Equity Tier 1 (CET1) Capital and Total Capital, with no separate Tier 1 breakdown. Total Capital exceeds CET1 in every year shown (e.g. FY2025: $64,256k vs $54,656k), confirming some Additional Tier 1 and/or Tier 2 capital exists, but it isn't broken out - NOT assumed equal to CET1.</t>
        </is>
      </c>
    </row>
    <row r="7" ht="170" customHeight="1">
      <c r="A7" s="8" t="inlineStr">
        <is>
          <t>Sources - FCMB Bank (UK) Limited Pillar 3 Disclosures ('Key Regulatory Metrics' table):
FY2025: Pillar III Disclosures FYE 2025, p.3 - https://fcmbuk.com/wp-content/uploads/2026/08/5.-Pillar-III-Disclosures-FYE-2025-30-June-2026.pdf
FY2024: Pillar III Disclosures FYE 2024, p.2 (own-year; also cross-checked against FY2025's comparative column, matched exactly) - https://fcmbuk.com/wp-content/uploads/2025/09/Pillar-III-Disclosures-FYE-2024.pdf
FY2023: Pillar III Disclosures FYE 2023, p.19 (own-year; also cross-checked against FY2024's comparative column, matched exactly) - https://fcmbuk.com/wp-content/uploads/2024/08/Pillar-III-Disclosures-FYE-2023.pdf
FY2022: Pillar III Disclosures FYE 2022, p.19 (own-year; also cross-checked against FY2023's comparative column, matched exactly) - https://fcmbuk.com/wp-content/uploads/2023/09/Pillar-III-Disclosures-FYE-2022.pdf
FY2021: sourced from FY2022's Pillar III Disclosures own comparative column - the FY2021 document itself (Pillar III Disclosures FYE 2021, https://fcmbuk.com/wp-content/uploads/2022/07/Pillar-III-Disclosures-FYE-2021-002.pdf) pre-dates this 'Key Regulatory Metrics'/KM1-style table and only discloses a 'Minimum Capital Requirements' breakdown with no CET1/Total Capital/RWA/Leverage/LCR/NSFR figures - same pattern as Aldermore/BLME/Bank of Ireland UK/British Arab Commercial Bank elsewhere in this project.
FY2020: Pillar III Disclosures FYE 2020, pp.8-9 (old-format capital and RWA tables; no KM1 leverage/LCR/NSFR table) - https://www.fcmbuk.com/wp-content/uploads/2021/12/Pillar-III-Disclosures-FYE-2020.pdf
LCR/NSFR methodology note (per the Bank's own documents, CRR Article 447): each LCR component is calculated as a 12-month average, and NSFR components as the average of the last 4 quarters - i.e. the LCR%/NSFR% shown are themselves already period averages, not point-in-time spot ratios.</t>
        </is>
      </c>
    </row>
  </sheetData>
  <mergeCells count="2">
    <mergeCell ref="A7:H7"/>
    <mergeCell ref="A5:H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FCMB Bank (UK) Limited — Total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t>
        </is>
      </c>
      <c r="B4" s="6" t="n">
        <v>47781.1</v>
      </c>
      <c r="C4" s="6" t="n">
        <v>53976</v>
      </c>
      <c r="D4" s="6" t="n">
        <v>46836.3</v>
      </c>
      <c r="E4" s="6" t="n">
        <v>39935.5</v>
      </c>
      <c r="F4" s="6" t="n">
        <v>35437.5</v>
      </c>
      <c r="G4" s="6" t="n">
        <v>33867.2</v>
      </c>
      <c r="H4" s="6" t="n"/>
    </row>
    <row r="6" ht="170" customHeight="1">
      <c r="A6" s="8" t="inlineStr">
        <is>
          <t>Sources - FCMB Bank (UK) Limited Pillar 3 Disclosures ('Key Regulatory Metrics' table):
FY2025: Pillar III Disclosures FYE 2025, p.3 - https://fcmbuk.com/wp-content/uploads/2026/08/5.-Pillar-III-Disclosures-FYE-2025-30-June-2026.pdf
FY2024: Pillar III Disclosures FYE 2024, p.2 (own-year; also cross-checked against FY2025's comparative column, matched exactly) - https://fcmbuk.com/wp-content/uploads/2025/09/Pillar-III-Disclosures-FYE-2024.pdf
FY2023: Pillar III Disclosures FYE 2023, p.19 (own-year; also cross-checked against FY2024's comparative column, matched exactly) - https://fcmbuk.com/wp-content/uploads/2024/08/Pillar-III-Disclosures-FYE-2023.pdf
FY2022: Pillar III Disclosures FYE 2022, p.19 (own-year; also cross-checked against FY2023's comparative column, matched exactly) - https://fcmbuk.com/wp-content/uploads/2023/09/Pillar-III-Disclosures-FYE-2022.pdf
FY2021: sourced from FY2022's Pillar III Disclosures own comparative column - the FY2021 document itself (Pillar III Disclosures FYE 2021, https://fcmbuk.com/wp-content/uploads/2022/07/Pillar-III-Disclosures-FYE-2021-002.pdf) pre-dates this 'Key Regulatory Metrics'/KM1-style table and only discloses a 'Minimum Capital Requirements' breakdown with no CET1/Total Capital/RWA/Leverage/LCR/NSFR figures - same pattern as Aldermore/BLME/Bank of Ireland UK/British Arab Commercial Bank elsewhere in this project.
FY2020: Pillar III Disclosures FYE 2020, pp.8-9 (old-format capital and RWA tables; no KM1 leverage/LCR/NSFR table) - https://www.fcmbuk.com/wp-content/uploads/2021/12/Pillar-III-Disclosures-FYE-2020.pdf
LCR/NSFR methodology note (per the Bank's own documents, CRR Article 447): each LCR component is calculated as a 12-month average, and NSFR components as the average of the last 4 quarters - i.e. the LCR%/NSFR% shown are themselves already period averages, not point-in-time spot ratios.</t>
        </is>
      </c>
    </row>
  </sheetData>
  <mergeCells count="1">
    <mergeCell ref="A6:H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FCMB Bank (UK) Limited — Total Capital Ratio</t>
        </is>
      </c>
    </row>
    <row r="2">
      <c r="A2" s="2" t="inlineStr">
        <is>
          <t>% of TREA (calculated - see note)</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 Ratio</t>
        </is>
      </c>
      <c r="B4" s="6" t="inlineStr">
        <is>
          <t>17.43%</t>
        </is>
      </c>
      <c r="C4" s="6" t="inlineStr">
        <is>
          <t>19.29%</t>
        </is>
      </c>
      <c r="D4" s="6" t="inlineStr">
        <is>
          <t>20.73%</t>
        </is>
      </c>
      <c r="E4" s="6" t="inlineStr">
        <is>
          <t>20.33%</t>
        </is>
      </c>
      <c r="F4" s="6" t="inlineStr">
        <is>
          <t>19.30%</t>
        </is>
      </c>
      <c r="G4" s="6" t="inlineStr">
        <is>
          <t>29.16%</t>
        </is>
      </c>
      <c r="H4" s="6" t="n"/>
    </row>
    <row r="5" ht="60" customHeight="1">
      <c r="A5" s="7" t="inlineStr">
        <is>
          <t>Note: CALCULATED as Total Capital / Total Risk-Weighted exposure amount (TREA) for each year - not directly stated as a percentage in the source (see CET1 Ratio sheet for the same caveat).</t>
        </is>
      </c>
    </row>
    <row r="7" ht="170" customHeight="1">
      <c r="A7" s="8" t="inlineStr">
        <is>
          <t>Sources - FCMB Bank (UK) Limited Pillar 3 Disclosures ('Key Regulatory Metrics' table):
FY2025: Pillar III Disclosures FYE 2025, p.3 - https://fcmbuk.com/wp-content/uploads/2026/08/5.-Pillar-III-Disclosures-FYE-2025-30-June-2026.pdf
FY2024: Pillar III Disclosures FYE 2024, p.2 (own-year; also cross-checked against FY2025's comparative column, matched exactly) - https://fcmbuk.com/wp-content/uploads/2025/09/Pillar-III-Disclosures-FYE-2024.pdf
FY2023: Pillar III Disclosures FYE 2023, p.19 (own-year; also cross-checked against FY2024's comparative column, matched exactly) - https://fcmbuk.com/wp-content/uploads/2024/08/Pillar-III-Disclosures-FYE-2023.pdf
FY2022: Pillar III Disclosures FYE 2022, p.19 (own-year; also cross-checked against FY2023's comparative column, matched exactly) - https://fcmbuk.com/wp-content/uploads/2023/09/Pillar-III-Disclosures-FYE-2022.pdf
FY2021: sourced from FY2022's Pillar III Disclosures own comparative column - the FY2021 document itself (Pillar III Disclosures FYE 2021, https://fcmbuk.com/wp-content/uploads/2022/07/Pillar-III-Disclosures-FYE-2021-002.pdf) pre-dates this 'Key Regulatory Metrics'/KM1-style table and only discloses a 'Minimum Capital Requirements' breakdown with no CET1/Total Capital/RWA/Leverage/LCR/NSFR figures - same pattern as Aldermore/BLME/Bank of Ireland UK/British Arab Commercial Bank elsewhere in this project.
FY2020: Pillar III Disclosures FYE 2020, pp.8-9 (old-format capital and RWA tables; no KM1 leverage/LCR/NSFR table) - https://www.fcmbuk.com/wp-content/uploads/2021/12/Pillar-III-Disclosures-FYE-2020.pdf
LCR/NSFR methodology note (per the Bank's own documents, CRR Article 447): each LCR component is calculated as a 12-month average, and NSFR components as the average of the last 4 quarters - i.e. the LCR%/NSFR% shown are themselves already period averages, not point-in-time spot ratios.</t>
        </is>
      </c>
    </row>
  </sheetData>
  <mergeCells count="2">
    <mergeCell ref="A7:H7"/>
    <mergeCell ref="A5:H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FCMB Bank (UK) Limited — Total RWAs</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Risk-Weighted exposure amount (TREA)</t>
        </is>
      </c>
      <c r="B4" s="6" t="n">
        <v>274069.8</v>
      </c>
      <c r="C4" s="6" t="n">
        <v>279805.8</v>
      </c>
      <c r="D4" s="6" t="n">
        <v>225936.2</v>
      </c>
      <c r="E4" s="6" t="n">
        <v>196447.9</v>
      </c>
      <c r="F4" s="6" t="n">
        <v>183609.2</v>
      </c>
      <c r="G4" s="6" t="n">
        <v>116156.9</v>
      </c>
      <c r="H4" s="6" t="n"/>
    </row>
    <row r="6" ht="170" customHeight="1">
      <c r="A6" s="8" t="inlineStr">
        <is>
          <t>Sources - FCMB Bank (UK) Limited Pillar 3 Disclosures ('Key Regulatory Metrics' table):
FY2025: Pillar III Disclosures FYE 2025, p.3 - https://fcmbuk.com/wp-content/uploads/2026/08/5.-Pillar-III-Disclosures-FYE-2025-30-June-2026.pdf
FY2024: Pillar III Disclosures FYE 2024, p.2 (own-year; also cross-checked against FY2025's comparative column, matched exactly) - https://fcmbuk.com/wp-content/uploads/2025/09/Pillar-III-Disclosures-FYE-2024.pdf
FY2023: Pillar III Disclosures FYE 2023, p.19 (own-year; also cross-checked against FY2024's comparative column, matched exactly) - https://fcmbuk.com/wp-content/uploads/2024/08/Pillar-III-Disclosures-FYE-2023.pdf
FY2022: Pillar III Disclosures FYE 2022, p.19 (own-year; also cross-checked against FY2023's comparative column, matched exactly) - https://fcmbuk.com/wp-content/uploads/2023/09/Pillar-III-Disclosures-FYE-2022.pdf
FY2021: sourced from FY2022's Pillar III Disclosures own comparative column - the FY2021 document itself (Pillar III Disclosures FYE 2021, https://fcmbuk.com/wp-content/uploads/2022/07/Pillar-III-Disclosures-FYE-2021-002.pdf) pre-dates this 'Key Regulatory Metrics'/KM1-style table and only discloses a 'Minimum Capital Requirements' breakdown with no CET1/Total Capital/RWA/Leverage/LCR/NSFR figures - same pattern as Aldermore/BLME/Bank of Ireland UK/British Arab Commercial Bank elsewhere in this project.
FY2020: Pillar III Disclosures FYE 2020, pp.8-9 (old-format capital and RWA tables; no KM1 leverage/LCR/NSFR table) - https://www.fcmbuk.com/wp-content/uploads/2021/12/Pillar-III-Disclosures-FYE-2020.pdf
LCR/NSFR methodology note (per the Bank's own documents, CRR Article 447): each LCR component is calculated as a 12-month average, and NSFR components as the average of the last 4 quarters - i.e. the LCR%/NSFR% shown are themselves already period averages, not point-in-time spot ratios.</t>
        </is>
      </c>
    </row>
  </sheetData>
  <mergeCells count="1">
    <mergeCell ref="A6:H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FCMB Bank (UK) Limited — RWA Breakdown</t>
        </is>
      </c>
    </row>
    <row r="2">
      <c r="A2" s="2" t="inlineStr">
        <is>
          <t>£'000, converted from USD - CALCULATED from disclosed Minimum Capital Requirements (see source note). CVA Risk only disclosed from FY2024 onward.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6" t="inlineStr">
        <is>
          <t>Credit risk</t>
        </is>
      </c>
      <c r="B4" s="6" t="n">
        <v>240667.8</v>
      </c>
      <c r="C4" s="6" t="n">
        <v>241919.7</v>
      </c>
      <c r="D4" s="6" t="n">
        <v>201922.3</v>
      </c>
      <c r="E4" s="6" t="n">
        <v>177420</v>
      </c>
      <c r="F4" s="6" t="n">
        <v>166407.8</v>
      </c>
      <c r="G4" s="6" t="n">
        <v>116161</v>
      </c>
      <c r="H4" s="6" t="n"/>
    </row>
    <row r="5">
      <c r="A5" s="6" t="inlineStr">
        <is>
          <t>Market risk</t>
        </is>
      </c>
      <c r="B5" s="6" t="n">
        <v>3987.6</v>
      </c>
      <c r="C5" s="6" t="n">
        <v>6332.4</v>
      </c>
      <c r="D5" s="6" t="n">
        <v>4162.7</v>
      </c>
      <c r="E5" s="6" t="n">
        <v>2924.3</v>
      </c>
      <c r="F5" s="6" t="n">
        <v>4844.3</v>
      </c>
      <c r="G5" s="6" t="n">
        <v>1775.1</v>
      </c>
      <c r="H5" s="6" t="n"/>
    </row>
    <row r="6">
      <c r="A6" s="6" t="inlineStr">
        <is>
          <t>Operational risk</t>
        </is>
      </c>
      <c r="B6" s="6" t="n">
        <v>29260.9</v>
      </c>
      <c r="C6" s="6" t="n">
        <v>31442.3</v>
      </c>
      <c r="D6" s="6" t="n">
        <v>19851.6</v>
      </c>
      <c r="E6" s="6" t="n">
        <v>16099</v>
      </c>
      <c r="F6" s="6" t="n">
        <v>12360.4</v>
      </c>
      <c r="G6" s="6" t="n">
        <v>11071.7</v>
      </c>
      <c r="H6" s="6" t="n"/>
    </row>
    <row r="7">
      <c r="A7" s="6" t="inlineStr">
        <is>
          <t>CVA risk</t>
        </is>
      </c>
      <c r="B7" s="6" t="n">
        <v>148.7</v>
      </c>
      <c r="C7" s="6" t="n">
        <v>119.9</v>
      </c>
      <c r="D7" s="6" t="n"/>
      <c r="E7" s="6" t="n"/>
      <c r="F7" s="6" t="n"/>
      <c r="G7" s="6" t="n"/>
      <c r="H7" s="6" t="n"/>
    </row>
    <row r="8">
      <c r="A8" s="5" t="inlineStr">
        <is>
          <t>Total RWAs (calculated)</t>
        </is>
      </c>
      <c r="B8" s="5" t="n">
        <v>274064.9</v>
      </c>
      <c r="C8" s="5" t="n">
        <v>279804.2</v>
      </c>
      <c r="D8" s="5" t="n">
        <v>225936.6</v>
      </c>
      <c r="E8" s="5" t="n">
        <v>196443.3</v>
      </c>
      <c r="F8" s="5" t="n">
        <v>183612.5</v>
      </c>
      <c r="G8" s="5" t="n">
        <v>129007.8</v>
      </c>
      <c r="H8" s="5" t="n"/>
    </row>
    <row r="10" ht="200" customHeight="1">
      <c r="A10" s="8" t="inlineStr">
        <is>
          <t>Sources - FCMB Bank (UK) Limited Pillar 3 Disclosures ('Key Regulatory Metrics' table):
FY2025: Pillar III Disclosures FYE 2025, p.3 - https://fcmbuk.com/wp-content/uploads/2026/08/5.-Pillar-III-Disclosures-FYE-2025-30-June-2026.pdf
FY2024: Pillar III Disclosures FYE 2024, p.2 (own-year; also cross-checked against FY2025's comparative column, matched exactly) - https://fcmbuk.com/wp-content/uploads/2025/09/Pillar-III-Disclosures-FYE-2024.pdf
FY2023: Pillar III Disclosures FYE 2023, p.19 (own-year; also cross-checked against FY2024's comparative column, matched exactly) - https://fcmbuk.com/wp-content/uploads/2024/08/Pillar-III-Disclosures-FYE-2023.pdf
FY2022: Pillar III Disclosures FYE 2022, p.19 (own-year; also cross-checked against FY2023's comparative column, matched exactly) - https://fcmbuk.com/wp-content/uploads/2023/09/Pillar-III-Disclosures-FYE-2022.pdf
FY2021: sourced from FY2022's Pillar III Disclosures own comparative column - the FY2021 document itself (Pillar III Disclosures FYE 2021, https://fcmbuk.com/wp-content/uploads/2022/07/Pillar-III-Disclosures-FYE-2021-002.pdf) pre-dates this 'Key Regulatory Metrics'/KM1-style table and only discloses a 'Minimum Capital Requirements' breakdown with no CET1/Total Capital/RWA/Leverage/LCR/NSFR figures - same pattern as Aldermore/BLME/Bank of Ireland UK/British Arab Commercial Bank elsewhere in this project.
FY2020: Pillar III Disclosures FYE 2020, pp.8-9 (old-format capital and RWA tables; no KM1 leverage/LCR/NSFR table) - https://www.fcmbuk.com/wp-content/uploads/2021/12/Pillar-III-Disclosures-FYE-2020.pdf
LCR/NSFR methodology note (per the Bank's own documents, CRR Article 447): each LCR component is calculated as a 12-month average, and NSFR components as the average of the last 4 quarters - i.e. the LCR%/NSFR% shown are themselves already period averages, not point-in-time spot ratios.
RWA BREAKDOWN NOTE: the Bank's Pillar 3 Disclosures do not publish a UK OV1-style RWA-by-category table directly - only a 'Minimum Capital Requirements' table (8% of own funds requirement, by risk type). RWA by category is CALCULATED as (capital requirement / 8%) for each row, independently cross-checked against the Bank's own disclosed Total RWA/TREA figure (Total RWAs sheet) - the calculated Total Pillar 1 RWA ties to the disclosed TREA within rounding for every year (e.g. FY2025: $29,485k / 8% = $368,563k calculated vs $368,569k disclosed TREA).
INVESTMENT SECURITIES BREAKDOWN: the 'Investment securities - ...' sub-rows below the 'Total investment securities' line are transcribed from Note 15 'Investment securities' of each year's own Notes to the Financial Statements, which splits the balance both by measurement basis (fair value through other comprehensive income (FVOCI) vs fair value through profit or loss (FVTPL) - there is no amortised-cost investment securities balance in any year) and by instrument type (Government Bonds; Bank bonds; HQLA Investments, described in the note as 'high quality liquid assets [that] include US Treasury bills and bonds issued by International Bank of Restructuring and Development (IBRD)' - i.e. a sovereign/supranational mix not broken down further; an allowance for impairment losses against the FVOCI book; and Fund Investments - Government / Fund Investments - Other, both FVTPL): FY2025: Audited Accounts 2025, Note 15, p.62 - https://fcmbuk.com/wp-content/uploads/2026/08/SIGNED-FCMB-Bank-UK-Limited-Audited-Accounts-2025.pdf
FY2024: Audited Accounts 2024, Note 15, p.49 (own-year figures - see reclassification note above; the FY2025 report's own FY2024 comparative column shows different Note 15 sub-figures totalling $192,066,892, consistent with the same reclassification) - https://fcmbuk.com/wp-content/uploads/2025/09/FCMB-Bank-UK-Limited-Audited-Accounts-2024-Signed.pdf
FY2023: Audited Accounts 2023, Note 15, p.51 - https://fcmbuk.com/wp-content/uploads/2024/07/FCMB-Bank-UK-Limited-Audited-Accounts-2023.pdf
FY2022: Annual Report &amp; Financial Statements 2022, Note 15, p.50 - https://fcmbuk.com/wp-content/uploads/2023/09/FCMB-Bank-UK-Limited-Signed-Annual-Report-Financial-Statements-2022.pdf
FY2021: Audited Accounts 2021, Note 15, p.46 - https://fcmbuk.com/wp-content/uploads/2023/09/FCMB-Bank-UK-Limited-Signed-Audited-Accounts-2021.pdf
FY2020: Audited Accounts 2021, Note 15, p.46 (audited comparative column; FY2020 predates the 'HQLA Investments' sub-line introduced from FY2022 onwards, so that FY2020 sub-row is £0) - https://fcmbuk.com/wp-content/uploads/2023/09/FCMB-Bank-UK-Limited-Signed-Audited-Accounts-2021.pdf
FY2019: no breakdown available - the FY2019 Note 15 was not among the pages transcribed from the user-supplied primary PDF (since deleted after extraction), so the FY2019 sub-rows are left blank rather than estimated.
Each year's sub-rows sum exactly to that year's headline 'Total investment securities' line in underlying USD; after this project's independent per-row £'000 FX conversion (each row rounded to 1 decimal place separately) the sub-rows tie to the total within rounding (at most £0.1k) for any given year.</t>
        </is>
      </c>
    </row>
  </sheetData>
  <mergeCells count="1">
    <mergeCell ref="A10:H10"/>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FCMB Bank (UK)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Leverage Ratio</t>
        </is>
      </c>
      <c r="B4" s="6" t="inlineStr">
        <is>
          <t>8.81%</t>
        </is>
      </c>
      <c r="C4" s="6" t="inlineStr">
        <is>
          <t>14.73%</t>
        </is>
      </c>
      <c r="D4" s="6" t="inlineStr">
        <is>
          <t>10.29%</t>
        </is>
      </c>
      <c r="E4" s="6" t="inlineStr">
        <is>
          <t>7.41%</t>
        </is>
      </c>
      <c r="F4" s="6" t="inlineStr">
        <is>
          <t>10.12%</t>
        </is>
      </c>
      <c r="G4" s="6" t="n"/>
      <c r="H4" s="6" t="n"/>
    </row>
    <row r="6" ht="170" customHeight="1">
      <c r="A6" s="8" t="inlineStr">
        <is>
          <t>Sources - FCMB Bank (UK) Limited Pillar 3 Disclosures ('Key Regulatory Metrics' table):
FY2025: Pillar III Disclosures FYE 2025, p.3 - https://fcmbuk.com/wp-content/uploads/2026/08/5.-Pillar-III-Disclosures-FYE-2025-30-June-2026.pdf
FY2024: Pillar III Disclosures FYE 2024, p.2 (own-year; also cross-checked against FY2025's comparative column, matched exactly) - https://fcmbuk.com/wp-content/uploads/2025/09/Pillar-III-Disclosures-FYE-2024.pdf
FY2023: Pillar III Disclosures FYE 2023, p.19 (own-year; also cross-checked against FY2024's comparative column, matched exactly) - https://fcmbuk.com/wp-content/uploads/2024/08/Pillar-III-Disclosures-FYE-2023.pdf
FY2022: Pillar III Disclosures FYE 2022, p.19 (own-year; also cross-checked against FY2023's comparative column, matched exactly) - https://fcmbuk.com/wp-content/uploads/2023/09/Pillar-III-Disclosures-FYE-2022.pdf
FY2021: sourced from FY2022's Pillar III Disclosures own comparative column - the FY2021 document itself (Pillar III Disclosures FYE 2021, https://fcmbuk.com/wp-content/uploads/2022/07/Pillar-III-Disclosures-FYE-2021-002.pdf) pre-dates this 'Key Regulatory Metrics'/KM1-style table and only discloses a 'Minimum Capital Requirements' breakdown with no CET1/Total Capital/RWA/Leverage/LCR/NSFR figures - same pattern as Aldermore/BLME/Bank of Ireland UK/British Arab Commercial Bank elsewhere in this project.
FY2020: Pillar III Disclosures FYE 2020, pp.8-9 (old-format capital and RWA tables; no KM1 leverage/LCR/NSFR table) - https://www.fcmbuk.com/wp-content/uploads/2021/12/Pillar-III-Disclosures-FYE-2020.pdf
LCR/NSFR methodology note (per the Bank's own documents, CRR Article 447): each LCR component is calculated as a 12-month average, and NSFR components as the average of the last 4 quarters - i.e. the LCR%/NSFR% shown are themselves already period averages, not point-in-time spot ratios.</t>
        </is>
      </c>
    </row>
  </sheetData>
  <mergeCells count="1">
    <mergeCell ref="A6:H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FCMB Bank (UK) Limited — LCR</t>
        </is>
      </c>
    </row>
    <row r="2">
      <c r="A2" s="2" t="inlineStr">
        <is>
          <t>% (12-month average - see methodology note)</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Liquidity Coverage Ratio</t>
        </is>
      </c>
      <c r="B4" s="6" t="inlineStr">
        <is>
          <t>273%</t>
        </is>
      </c>
      <c r="C4" s="6" t="inlineStr">
        <is>
          <t>333%</t>
        </is>
      </c>
      <c r="D4" s="6" t="inlineStr">
        <is>
          <t>729%</t>
        </is>
      </c>
      <c r="E4" s="6" t="inlineStr">
        <is>
          <t>513%</t>
        </is>
      </c>
      <c r="F4" s="6" t="inlineStr">
        <is>
          <t>371%</t>
        </is>
      </c>
      <c r="G4" s="6" t="n"/>
      <c r="H4" s="6" t="n"/>
    </row>
    <row r="6" ht="170" customHeight="1">
      <c r="A6" s="8" t="inlineStr">
        <is>
          <t>Sources - FCMB Bank (UK) Limited Pillar 3 Disclosures ('Key Regulatory Metrics' table):
FY2025: Pillar III Disclosures FYE 2025, p.3 - https://fcmbuk.com/wp-content/uploads/2026/08/5.-Pillar-III-Disclosures-FYE-2025-30-June-2026.pdf
FY2024: Pillar III Disclosures FYE 2024, p.2 (own-year; also cross-checked against FY2025's comparative column, matched exactly) - https://fcmbuk.com/wp-content/uploads/2025/09/Pillar-III-Disclosures-FYE-2024.pdf
FY2023: Pillar III Disclosures FYE 2023, p.19 (own-year; also cross-checked against FY2024's comparative column, matched exactly) - https://fcmbuk.com/wp-content/uploads/2024/08/Pillar-III-Disclosures-FYE-2023.pdf
FY2022: Pillar III Disclosures FYE 2022, p.19 (own-year; also cross-checked against FY2023's comparative column, matched exactly) - https://fcmbuk.com/wp-content/uploads/2023/09/Pillar-III-Disclosures-FYE-2022.pdf
FY2021: sourced from FY2022's Pillar III Disclosures own comparative column - the FY2021 document itself (Pillar III Disclosures FYE 2021, https://fcmbuk.com/wp-content/uploads/2022/07/Pillar-III-Disclosures-FYE-2021-002.pdf) pre-dates this 'Key Regulatory Metrics'/KM1-style table and only discloses a 'Minimum Capital Requirements' breakdown with no CET1/Total Capital/RWA/Leverage/LCR/NSFR figures - same pattern as Aldermore/BLME/Bank of Ireland UK/British Arab Commercial Bank elsewhere in this project.
FY2020: Pillar III Disclosures FYE 2020, pp.8-9 (old-format capital and RWA tables; no KM1 leverage/LCR/NSFR table) - https://www.fcmbuk.com/wp-content/uploads/2021/12/Pillar-III-Disclosures-FYE-2020.pdf
LCR/NSFR methodology note (per the Bank's own documents, CRR Article 447): each LCR component is calculated as a 12-month average, and NSFR components as the average of the last 4 quarters - i.e. the LCR%/NSFR% shown are themselves already period averages, not point-in-time spot ratios.</t>
        </is>
      </c>
    </row>
  </sheetData>
  <mergeCells count="1">
    <mergeCell ref="A6:H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FCMB Bank (UK) Limited — NSFR</t>
        </is>
      </c>
    </row>
    <row r="2">
      <c r="A2" s="2" t="inlineStr">
        <is>
          <t>% (4-quarter average - see methodology note)</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Net Stable Funding Ratio</t>
        </is>
      </c>
      <c r="B4" s="6" t="inlineStr">
        <is>
          <t>157%</t>
        </is>
      </c>
      <c r="C4" s="6" t="inlineStr">
        <is>
          <t>166%</t>
        </is>
      </c>
      <c r="D4" s="6" t="inlineStr">
        <is>
          <t>174%</t>
        </is>
      </c>
      <c r="E4" s="6" t="inlineStr">
        <is>
          <t>179%</t>
        </is>
      </c>
      <c r="F4" s="6" t="inlineStr">
        <is>
          <t>206%</t>
        </is>
      </c>
      <c r="G4" s="6" t="n"/>
      <c r="H4" s="6" t="n"/>
    </row>
    <row r="6" ht="170" customHeight="1">
      <c r="A6" s="8" t="inlineStr">
        <is>
          <t>Sources - FCMB Bank (UK) Limited Pillar 3 Disclosures ('Key Regulatory Metrics' table):
FY2025: Pillar III Disclosures FYE 2025, p.3 - https://fcmbuk.com/wp-content/uploads/2026/08/5.-Pillar-III-Disclosures-FYE-2025-30-June-2026.pdf
FY2024: Pillar III Disclosures FYE 2024, p.2 (own-year; also cross-checked against FY2025's comparative column, matched exactly) - https://fcmbuk.com/wp-content/uploads/2025/09/Pillar-III-Disclosures-FYE-2024.pdf
FY2023: Pillar III Disclosures FYE 2023, p.19 (own-year; also cross-checked against FY2024's comparative column, matched exactly) - https://fcmbuk.com/wp-content/uploads/2024/08/Pillar-III-Disclosures-FYE-2023.pdf
FY2022: Pillar III Disclosures FYE 2022, p.19 (own-year; also cross-checked against FY2023's comparative column, matched exactly) - https://fcmbuk.com/wp-content/uploads/2023/09/Pillar-III-Disclosures-FYE-2022.pdf
FY2021: sourced from FY2022's Pillar III Disclosures own comparative column - the FY2021 document itself (Pillar III Disclosures FYE 2021, https://fcmbuk.com/wp-content/uploads/2022/07/Pillar-III-Disclosures-FYE-2021-002.pdf) pre-dates this 'Key Regulatory Metrics'/KM1-style table and only discloses a 'Minimum Capital Requirements' breakdown with no CET1/Total Capital/RWA/Leverage/LCR/NSFR figures - same pattern as Aldermore/BLME/Bank of Ireland UK/British Arab Commercial Bank elsewhere in this project.
FY2020: Pillar III Disclosures FYE 2020, pp.8-9 (old-format capital and RWA tables; no KM1 leverage/LCR/NSFR table) - https://www.fcmbuk.com/wp-content/uploads/2021/12/Pillar-III-Disclosures-FYE-2020.pdf
LCR/NSFR methodology note (per the Bank's own documents, CRR Article 447): each LCR component is calculated as a 12-month average, and NSFR components as the average of the last 4 quarters - i.e. the LCR%/NSFR% shown are themselves already period averages, not point-in-time spot ratios.</t>
        </is>
      </c>
    </row>
  </sheetData>
  <mergeCells count="1">
    <mergeCell ref="A6:H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FCMB Bank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row>
    <row r="5" ht="60" customHeight="1">
      <c r="A5" s="7" t="inlineStr">
        <is>
          <t>Note: Not publicly disclosed in any of the 5 years' Pillar 3 Disclosures reviewed - no MREL figure or exemption statement found.</t>
        </is>
      </c>
    </row>
    <row r="7" ht="150" customHeight="1">
      <c r="A7" s="8" t="inlineStr">
        <is>
          <t>Sources - FCMB Bank (UK) Limited Pillar 3 Disclosures ('Key Regulatory Metrics' table):
FY2025: Pillar III Disclosures FYE 2025, p.3 - https://fcmbuk.com/wp-content/uploads/2026/08/5.-Pillar-III-Disclosures-FYE-2025-30-June-2026.pdf
FY2024: Pillar III Disclosures FYE 2024, p.2 (own-year; also cross-checked against FY2025's comparative column, matched exactly) - https://fcmbuk.com/wp-content/uploads/2025/09/Pillar-III-Disclosures-FYE-2024.pdf
FY2023: Pillar III Disclosures FYE 2023, p.19 (own-year; also cross-checked against FY2024's comparative column, matched exactly) - https://fcmbuk.com/wp-content/uploads/2024/08/Pillar-III-Disclosures-FYE-2023.pdf
FY2022: Pillar III Disclosures FYE 2022, p.19 (own-year; also cross-checked against FY2023's comparative column, matched exactly) - https://fcmbuk.com/wp-content/uploads/2023/09/Pillar-III-Disclosures-FYE-2022.pdf
FY2021: sourced from FY2022's Pillar III Disclosures own comparative column - the FY2021 document itself (Pillar III Disclosures FYE 2021, https://fcmbuk.com/wp-content/uploads/2022/07/Pillar-III-Disclosures-FYE-2021-002.pdf) pre-dates this 'Key Regulatory Metrics'/KM1-style table and only discloses a 'Minimum Capital Requirements' breakdown with no CET1/Total Capital/RWA/Leverage/LCR/NSFR figures - same pattern as Aldermore/BLME/Bank of Ireland UK/British Arab Commercial Bank elsewhere in this project.
FY2020: Pillar III Disclosures FYE 2020, pp.8-9 (old-format capital and RWA tables; no KM1 leverage/LCR/NSFR table) - https://www.fcmbuk.com/wp-content/uploads/2021/12/Pillar-III-Disclosures-FYE-2020.pdf
LCR/NSFR methodology note (per the Bank's own documents, CRR Article 447): each LCR component is calculated as a 12-month average, and NSFR components as the average of the last 4 quarters - i.e. the LCR%/NSFR% shown are themselves already period averages, not point-in-time spot ratios.</t>
        </is>
      </c>
    </row>
  </sheetData>
  <mergeCells count="2">
    <mergeCell ref="A7:H7"/>
    <mergeCell ref="A5:H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2026-09-07T18:00:02Z</dcterms:created>
  <dcterms:modified xmlns:dcterms="http://purl.org/dc/terms/" xmlns:xsi="http://www.w3.org/2001/XMLSchema-instance" xsi:type="dcterms:W3CDTF">2026-09-07T18:00:02Z</dcterms:modified>
</cp:coreProperties>
</file>