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1B3B6F"/>
        <bgColor rgb="001B3B6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Investec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Investec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Investec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'Overview'!AK19</f>
            </strRef>
          </tx>
          <spPr>
            <a:ln xmlns:a="http://schemas.openxmlformats.org/drawingml/2006/main">
              <a:prstDash val="solid"/>
            </a:ln>
          </spPr>
          <cat>
            <numRef>
              <f>'Overview'!$AL$18:$AT$18</f>
            </numRef>
          </cat>
          <val>
            <numRef>
              <f>'Overview'!$AL$19:$AT$19</f>
            </numRef>
          </val>
        </ser>
        <ser>
          <idx val="1"/>
          <order val="1"/>
          <tx>
            <strRef>
              <f>'Overview'!AK20</f>
            </strRef>
          </tx>
          <spPr>
            <a:ln xmlns:a="http://schemas.openxmlformats.org/drawingml/2006/main">
              <a:prstDash val="solid"/>
            </a:ln>
          </spPr>
          <cat>
            <numRef>
              <f>'Overview'!$AL$18:$AT$18</f>
            </numRef>
          </cat>
          <val>
            <numRef>
              <f>'Overview'!$AL$20:$AT$20</f>
            </numRef>
          </val>
        </ser>
        <ser>
          <idx val="2"/>
          <order val="2"/>
          <tx>
            <strRef>
              <f>'Overview'!AK21</f>
            </strRef>
          </tx>
          <spPr>
            <a:ln xmlns:a="http://schemas.openxmlformats.org/drawingml/2006/main">
              <a:prstDash val="solid"/>
            </a:ln>
          </spPr>
          <cat>
            <numRef>
              <f>'Overview'!$AL$18:$AT$18</f>
            </numRef>
          </cat>
          <val>
            <numRef>
              <f>'Overview'!$AL$21:$AT$21</f>
            </numRef>
          </val>
        </ser>
        <ser>
          <idx val="3"/>
          <order val="3"/>
          <tx>
            <strRef>
              <f>'Overview'!AK22</f>
            </strRef>
          </tx>
          <spPr>
            <a:ln xmlns:a="http://schemas.openxmlformats.org/drawingml/2006/main">
              <a:prstDash val="solid"/>
            </a:ln>
          </spPr>
          <cat>
            <numRef>
              <f>'Overview'!$AL$18:$AT$18</f>
            </numRef>
          </cat>
          <val>
            <numRef>
              <f>'Overview'!$AL$22:$AT$22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Investec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'Overview'!AW26</f>
            </strRef>
          </tx>
          <spPr>
            <a:ln xmlns:a="http://schemas.openxmlformats.org/drawingml/2006/main">
              <a:prstDash val="solid"/>
            </a:ln>
          </spPr>
          <cat>
            <numRef>
              <f>'Overview'!$AX$25:$BF$25</f>
            </numRef>
          </cat>
          <val>
            <numRef>
              <f>'Overview'!$AX$26:$BF$26</f>
            </numRef>
          </val>
        </ser>
        <ser>
          <idx val="1"/>
          <order val="1"/>
          <tx>
            <strRef>
              <f>'Overview'!AW27</f>
            </strRef>
          </tx>
          <spPr>
            <a:ln xmlns:a="http://schemas.openxmlformats.org/drawingml/2006/main">
              <a:prstDash val="solid"/>
            </a:ln>
          </spPr>
          <cat>
            <numRef>
              <f>'Overview'!$AX$25:$BF$25</f>
            </numRef>
          </cat>
          <val>
            <numRef>
              <f>'Overview'!$AX$27:$BF$27</f>
            </numRef>
          </val>
        </ser>
        <ser>
          <idx val="2"/>
          <order val="2"/>
          <tx>
            <strRef>
              <f>'Overview'!AW28</f>
            </strRef>
          </tx>
          <spPr>
            <a:ln xmlns:a="http://schemas.openxmlformats.org/drawingml/2006/main">
              <a:prstDash val="solid"/>
            </a:ln>
          </spPr>
          <cat>
            <numRef>
              <f>'Overview'!$AX$25:$BF$25</f>
            </numRef>
          </cat>
          <val>
            <numRef>
              <f>'Overview'!$AX$28:$BF$28</f>
            </numRef>
          </val>
        </ser>
        <ser>
          <idx val="3"/>
          <order val="3"/>
          <tx>
            <strRef>
              <f>'Overview'!AW29</f>
            </strRef>
          </tx>
          <spPr>
            <a:ln xmlns:a="http://schemas.openxmlformats.org/drawingml/2006/main">
              <a:prstDash val="solid"/>
            </a:ln>
          </spPr>
          <cat>
            <numRef>
              <f>'Overview'!$AX$25:$BF$25</f>
            </numRef>
          </cat>
          <val>
            <numRef>
              <f>'Overview'!$AX$29:$BF$29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Investec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'Overview'!$BJ$6:$BR$6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'Overview'!$BJ$7:$BR$7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'Overview'!$BJ$8:$BR$8</f>
            </numRef>
          </val>
          <smooth val="0"/>
        </ser>
        <ser>
          <idx val="3"/>
          <order val="3"/>
          <tx>
            <strRef>
              <f>'Overview'!BI9</f>
            </strRef>
          </tx>
          <spPr>
            <a:ln xmlns:a="http://schemas.openxmlformats.org/drawingml/2006/main">
              <a:prstDash val="solid"/>
            </a:ln>
          </spPr>
          <marker>
            <symbol val="none"/>
            <spPr>
              <a:ln xmlns:a="http://schemas.openxmlformats.org/drawingml/2006/main">
                <a:prstDash val="solid"/>
              </a:ln>
            </spPr>
          </marker>
          <cat>
            <numRef>
              <f>'Overview'!$BJ$5:$BR$5</f>
            </numRef>
          </cat>
          <val>
            <numRef>
              <f>'Overview'!$BJ$9:$BR$9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www.investec.com/content/dam/investor-relations/basel-pillar-iii-regulatory-disclosures/2025/Investec-plc-group-and-Investec-Bank-plc-Pillar-3-disclosure-report-30-Sept-2025.pdf" TargetMode="External" Id="rId1"/><Relationship Type="http://schemas.openxmlformats.org/officeDocument/2006/relationships/hyperlink" Target="https://www.investec.com/content/dam/investor-relations/basel-pillar-iii-regulatory-disclosures/2025/Investec-plc-group-and-Investec-Bank-plc-Pillar-3-disclosure-report-30-Sept-2025.pdf" TargetMode="External" Id="rId2"/><Relationship Type="http://schemas.openxmlformats.org/officeDocument/2006/relationships/hyperlink" Target="https://www.investec.com/content/dam/investor-relations/basel-pillar-iii-regulatory-disclosures/2024/Investec-plc-Group-and-Investec-Bank-plc-Pillar-3-disclosure-report-30-Sept-2024.pdf" TargetMode="External" Id="rId3"/><Relationship Type="http://schemas.openxmlformats.org/officeDocument/2006/relationships/hyperlink" Target="https://www.investec.com/content/dam/investor-relations/basel-pillar-iii-regulatory-disclosures/2024/Investec-plc-Group-and-Investec-Bank-plc-Pillar-3-disclosure-report-30-Sept-2024.pdf" TargetMode="External" Id="rId4"/><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5"/><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6"/><Relationship Type="http://schemas.openxmlformats.org/officeDocument/2006/relationships/hyperlink" Target="https://www.investec.com/content/dam/investor-relations/financial-information/group-financial-results/2022/Investec-plc-group-Interim-Pillar-3-disclosure-report-30-September-2022.pdf" TargetMode="External" Id="rId7"/><Relationship Type="http://schemas.openxmlformats.org/officeDocument/2006/relationships/hyperlink" Target="https://www.investec.com/content/dam/investor-relations/financial-information/group-financial-results/2022/Investec-plc-group-Interim-Pillar-3-disclosure-report-30-September-2022.pdf" TargetMode="External" Id="rId8"/><Relationship Type="http://schemas.openxmlformats.org/officeDocument/2006/relationships/hyperlink" Target="https://www.investec.com/content/dam/investor-relations/basel-pillar-iii-regulatory-disclosures/2025/Investec-plc-group-and-Investec-Bank-plc-Pillar-3-disclosure-report-30-Sept-2025.pdf" TargetMode="External" Id="rId9"/><Relationship Type="http://schemas.openxmlformats.org/officeDocument/2006/relationships/hyperlink" Target="https://www.investec.com/content/dam/investor-relations/basel-pillar-iii-regulatory-disclosures/2025/Investec-plc-group-and-Investec-Bank-plc-Pillar-3-disclosure-report-30-Sept-2025.pdf" TargetMode="External" Id="rId10"/><Relationship Type="http://schemas.openxmlformats.org/officeDocument/2006/relationships/hyperlink" Target="https://www.investec.com/content/dam/investor-relations/basel-pillar-iii-regulatory-disclosures/2024/Investec-plc-Group-and-Investec-Bank-plc-Pillar-3-disclosure-report-30-Sept-2024.pdf" TargetMode="External" Id="rId11"/><Relationship Type="http://schemas.openxmlformats.org/officeDocument/2006/relationships/hyperlink" Target="https://www.investec.com/content/dam/investor-relations/basel-pillar-iii-regulatory-disclosures/2024/Investec-plc-Group-and-Investec-Bank-plc-Pillar-3-disclosure-report-30-Sept-2024.pdf" TargetMode="External" Id="rId12"/><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Relationship Type="http://schemas.openxmlformats.org/officeDocument/2006/relationships/hyperlink" Target="https://www.investec.com/content/dam/investor-relations/financial-information/group-financial-results/2022/Investec-plc-group-Interim-Pillar-3-disclosure-report-30-September-2022.pdf" TargetMode="External" Id="rId15"/><Relationship Type="http://schemas.openxmlformats.org/officeDocument/2006/relationships/hyperlink" Target="https://www.investec.com/content/dam/investor-relations/financial-information/group-financial-results/2022/Investec-plc-group-Interim-Pillar-3-disclosure-report-30-September-2022.pdf" TargetMode="External" Id="rId16"/><Relationship Type="http://schemas.openxmlformats.org/officeDocument/2006/relationships/hyperlink" Target="https://www.investec.com/content/dam/investor-relations/basel-pillar-iii-regulatory-disclosures/2025/Investec-plc-group-and-Investec-Bank-plc-Pillar-3-disclosure-report-30-Sept-2025.pdf" TargetMode="External" Id="rId17"/><Relationship Type="http://schemas.openxmlformats.org/officeDocument/2006/relationships/hyperlink" Target="https://www.investec.com/content/dam/investor-relations/basel-pillar-iii-regulatory-disclosures/2025/Investec-plc-group-and-Investec-Bank-plc-Pillar-3-disclosure-report-30-Sept-2025.pdf" TargetMode="External" Id="rId18"/><Relationship Type="http://schemas.openxmlformats.org/officeDocument/2006/relationships/hyperlink" Target="https://www.investec.com/content/dam/investor-relations/basel-pillar-iii-regulatory-disclosures/2024/Investec-plc-Group-and-Investec-Bank-plc-Pillar-3-disclosure-report-30-Sept-2024.pdf" TargetMode="External" Id="rId19"/><Relationship Type="http://schemas.openxmlformats.org/officeDocument/2006/relationships/hyperlink" Target="https://www.investec.com/content/dam/investor-relations/basel-pillar-iii-regulatory-disclosures/2024/Investec-plc-Group-and-Investec-Bank-plc-Pillar-3-disclosure-report-30-Sept-2024.pdf" TargetMode="External" Id="rId20"/><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21"/><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22"/><Relationship Type="http://schemas.openxmlformats.org/officeDocument/2006/relationships/hyperlink" Target="https://www.investec.com/content/dam/investor-relations/financial-information/group-financial-results/2022/Investec-plc-group-Interim-Pillar-3-disclosure-report-30-September-2022.pdf" TargetMode="External" Id="rId23"/><Relationship Type="http://schemas.openxmlformats.org/officeDocument/2006/relationships/hyperlink" Target="https://www.investec.com/content/dam/investor-relations/financial-information/group-financial-results/2022/Investec-plc-group-Interim-Pillar-3-disclosure-report-30-September-2022.pdf" TargetMode="External" Id="rId24"/><Relationship Type="http://schemas.openxmlformats.org/officeDocument/2006/relationships/hyperlink" Target="https://www.investec.com/content/dam/investor-relations/basel-pillar-iii-regulatory-disclosures/2025/Investec-plc-group-and-Investec-Bank-plc-Pillar-3-disclosure-report-30-Sept-2025.pdf" TargetMode="External" Id="rId25"/><Relationship Type="http://schemas.openxmlformats.org/officeDocument/2006/relationships/hyperlink" Target="https://www.investec.com/content/dam/investor-relations/basel-pillar-iii-regulatory-disclosures/2025/Investec-plc-group-and-Investec-Bank-plc-Pillar-3-disclosure-report-30-Sept-2025.pdf" TargetMode="External" Id="rId26"/><Relationship Type="http://schemas.openxmlformats.org/officeDocument/2006/relationships/hyperlink" Target="https://www.investec.com/content/dam/investor-relations/basel-pillar-iii-regulatory-disclosures/2024/Investec-plc-Group-and-Investec-Bank-plc-Pillar-3-disclosure-report-30-Sept-2024.pdf" TargetMode="External" Id="rId27"/><Relationship Type="http://schemas.openxmlformats.org/officeDocument/2006/relationships/hyperlink" Target="https://www.investec.com/content/dam/investor-relations/basel-pillar-iii-regulatory-disclosures/2024/Investec-plc-Group-and-Investec-Bank-plc-Pillar-3-disclosure-report-30-Sept-2024.pdf" TargetMode="External" Id="rId28"/><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29"/><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30"/><Relationship Type="http://schemas.openxmlformats.org/officeDocument/2006/relationships/hyperlink" Target="https://www.investec.com/content/dam/investor-relations/financial-information/group-financial-results/2022/Investec-plc-group-Interim-Pillar-3-disclosure-report-30-September-2022.pdf" TargetMode="External" Id="rId31"/><Relationship Type="http://schemas.openxmlformats.org/officeDocument/2006/relationships/hyperlink" Target="https://www.investec.com/content/dam/investor-relations/financial-information/group-financial-results/2022/Investec-plc-group-Interim-Pillar-3-disclosure-report-30-September-2022.pdf" TargetMode="External" Id="rId32"/><Relationship Type="http://schemas.openxmlformats.org/officeDocument/2006/relationships/hyperlink" Target="https://www.investec.com/content/dam/investor-relations/basel-pillar-iii-regulatory-disclosures/2025/Investec-plc-group-and-Investec-Bank-plc-Pillar-3-disclosure-report-30-Sept-2025.pdf" TargetMode="External" Id="rId33"/><Relationship Type="http://schemas.openxmlformats.org/officeDocument/2006/relationships/hyperlink" Target="https://www.investec.com/content/dam/investor-relations/basel-pillar-iii-regulatory-disclosures/2025/Investec-plc-group-and-Investec-Bank-plc-Pillar-3-disclosure-report-30-Sept-2025.pdf" TargetMode="External" Id="rId34"/><Relationship Type="http://schemas.openxmlformats.org/officeDocument/2006/relationships/hyperlink" Target="https://www.investec.com/content/dam/investor-relations/basel-pillar-iii-regulatory-disclosures/2024/Investec-plc-Group-and-Investec-Bank-plc-Pillar-3-disclosure-report-30-Sept-2024.pdf" TargetMode="External" Id="rId35"/><Relationship Type="http://schemas.openxmlformats.org/officeDocument/2006/relationships/hyperlink" Target="https://www.investec.com/content/dam/investor-relations/basel-pillar-iii-regulatory-disclosures/2024/Investec-plc-Group-and-Investec-Bank-plc-Pillar-3-disclosure-report-30-Sept-2024.pdf" TargetMode="External" Id="rId36"/><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37"/><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38"/><Relationship Type="http://schemas.openxmlformats.org/officeDocument/2006/relationships/hyperlink" Target="https://www.investec.com/content/dam/investor-relations/financial-information/group-financial-results/2022/Investec-plc-group-Interim-Pillar-3-disclosure-report-30-September-2022.pdf" TargetMode="External" Id="rId39"/><Relationship Type="http://schemas.openxmlformats.org/officeDocument/2006/relationships/hyperlink" Target="https://www.investec.com/content/dam/investor-relations/financial-information/group-financial-results/2022/Investec-plc-group-Interim-Pillar-3-disclosure-report-30-September-2022.pdf" TargetMode="External" Id="rId40"/><Relationship Type="http://schemas.openxmlformats.org/officeDocument/2006/relationships/hyperlink" Target="https://www.investec.com/content/dam/investor-relations/basel-pillar-iii-regulatory-disclosures/2025/Investec-plc-group-and-Investec-Bank-plc-Pillar-3-disclosure-report-30-Sept-2025.pdf" TargetMode="External" Id="rId41"/><Relationship Type="http://schemas.openxmlformats.org/officeDocument/2006/relationships/hyperlink" Target="https://www.investec.com/content/dam/investor-relations/basel-pillar-iii-regulatory-disclosures/2025/Investec-plc-group-and-Investec-Bank-plc-Pillar-3-disclosure-report-30-Sept-2025.pdf" TargetMode="External" Id="rId42"/><Relationship Type="http://schemas.openxmlformats.org/officeDocument/2006/relationships/hyperlink" Target="https://www.investec.com/content/dam/investor-relations/basel-pillar-iii-regulatory-disclosures/2024/Investec-plc-Group-and-Investec-Bank-plc-Pillar-3-disclosure-report-30-Sept-2024.pdf" TargetMode="External" Id="rId43"/><Relationship Type="http://schemas.openxmlformats.org/officeDocument/2006/relationships/hyperlink" Target="https://www.investec.com/content/dam/investor-relations/basel-pillar-iii-regulatory-disclosures/2024/Investec-plc-Group-and-Investec-Bank-plc-Pillar-3-disclosure-report-30-Sept-2024.pdf" TargetMode="External" Id="rId44"/><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45"/><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46"/><Relationship Type="http://schemas.openxmlformats.org/officeDocument/2006/relationships/hyperlink" Target="https://www.investec.com/content/dam/investor-relations/financial-information/group-financial-results/2022/Investec-plc-group-Interim-Pillar-3-disclosure-report-30-September-2022.pdf" TargetMode="External" Id="rId47"/><Relationship Type="http://schemas.openxmlformats.org/officeDocument/2006/relationships/hyperlink" Target="https://www.investec.com/content/dam/investor-relations/financial-information/group-financial-results/2022/Investec-plc-group-Interim-Pillar-3-disclosure-report-30-September-2022.pdf" TargetMode="External" Id="rId48"/><Relationship Type="http://schemas.openxmlformats.org/officeDocument/2006/relationships/hyperlink" Target="https://www.investec.com/content/dam/investor-relations/basel-pillar-iii-regulatory-disclosures/2025/Investec-plc-group-and-Investec-Bank-plc-Pillar-3-disclosure-report-30-Sept-2025.pdf" TargetMode="External" Id="rId49"/><Relationship Type="http://schemas.openxmlformats.org/officeDocument/2006/relationships/hyperlink" Target="https://www.investec.com/content/dam/investor-relations/basel-pillar-iii-regulatory-disclosures/2025/Investec-plc-group-and-Investec-Bank-plc-Pillar-3-disclosure-report-30-Sept-2025.pdf" TargetMode="External" Id="rId50"/><Relationship Type="http://schemas.openxmlformats.org/officeDocument/2006/relationships/hyperlink" Target="https://www.investec.com/content/dam/investor-relations/basel-pillar-iii-regulatory-disclosures/2024/Investec-plc-Group-and-Investec-Bank-plc-Pillar-3-disclosure-report-30-Sept-2024.pdf" TargetMode="External" Id="rId51"/><Relationship Type="http://schemas.openxmlformats.org/officeDocument/2006/relationships/hyperlink" Target="https://www.investec.com/content/dam/investor-relations/basel-pillar-iii-regulatory-disclosures/2024/Investec-plc-Group-and-Investec-Bank-plc-Pillar-3-disclosure-report-30-Sept-2024.pdf" TargetMode="External" Id="rId52"/><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53"/><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54"/><Relationship Type="http://schemas.openxmlformats.org/officeDocument/2006/relationships/hyperlink" Target="https://www.investec.com/content/dam/investor-relations/financial-information/group-financial-results/2022/Investec-plc-group-Interim-Pillar-3-disclosure-report-30-September-2022.pdf" TargetMode="External" Id="rId55"/><Relationship Type="http://schemas.openxmlformats.org/officeDocument/2006/relationships/hyperlink" Target="https://www.investec.com/content/dam/investor-relations/financial-information/group-financial-results/2022/Investec-plc-group-Interim-Pillar-3-disclosure-report-30-September-2022.pdf" TargetMode="External" Id="rId56"/><Relationship Type="http://schemas.openxmlformats.org/officeDocument/2006/relationships/hyperlink" Target="https://www.investec.com/content/dam/investor-relations/basel-pillar-iii-regulatory-disclosures/2025/Investec-plc-group-and-Investec-Bank-plc-Pillar-3-disclosure-report-30-Sept-2025.pdf" TargetMode="External" Id="rId57"/><Relationship Type="http://schemas.openxmlformats.org/officeDocument/2006/relationships/hyperlink" Target="https://www.investec.com/content/dam/investor-relations/basel-pillar-iii-regulatory-disclosures/2025/Investec-plc-group-and-Investec-Bank-plc-Pillar-3-disclosure-report-30-Sept-2025.pdf" TargetMode="External" Id="rId58"/><Relationship Type="http://schemas.openxmlformats.org/officeDocument/2006/relationships/hyperlink" Target="https://www.investec.com/content/dam/investor-relations/basel-pillar-iii-regulatory-disclosures/2024/Investec-plc-Group-and-Investec-Bank-plc-Pillar-3-disclosure-report-30-Sept-2024.pdf" TargetMode="External" Id="rId59"/><Relationship Type="http://schemas.openxmlformats.org/officeDocument/2006/relationships/hyperlink" Target="https://www.investec.com/content/dam/investor-relations/basel-pillar-iii-regulatory-disclosures/2024/Investec-plc-Group-and-Investec-Bank-plc-Pillar-3-disclosure-report-30-Sept-2024.pdf" TargetMode="External" Id="rId60"/><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61"/><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62"/><Relationship Type="http://schemas.openxmlformats.org/officeDocument/2006/relationships/hyperlink" Target="https://www.investec.com/content/dam/investor-relations/financial-information/group-financial-results/2022/Investec-plc-group-Interim-Pillar-3-disclosure-report-30-September-2022.pdf" TargetMode="External" Id="rId63"/><Relationship Type="http://schemas.openxmlformats.org/officeDocument/2006/relationships/hyperlink" Target="https://www.investec.com/content/dam/investor-relations/financial-information/group-financial-results/2022/Investec-plc-group-Interim-Pillar-3-disclosure-report-30-September-2022.pdf" TargetMode="External" Id="rId64"/><Relationship Type="http://schemas.openxmlformats.org/officeDocument/2006/relationships/hyperlink" Target="https://www.investec.com/content/dam/investor-relations/basel-pillar-iii-regulatory-disclosures/2025/Investec-plc-group-and-Investec-Bank-plc-Pillar-3-disclosure-report-30-Sept-2025.pdf" TargetMode="External" Id="rId65"/><Relationship Type="http://schemas.openxmlformats.org/officeDocument/2006/relationships/hyperlink" Target="https://www.investec.com/content/dam/investor-relations/basel-pillar-iii-regulatory-disclosures/2025/Investec-plc-group-and-Investec-Bank-plc-Pillar-3-disclosure-report-30-Sept-2025.pdf" TargetMode="External" Id="rId66"/><Relationship Type="http://schemas.openxmlformats.org/officeDocument/2006/relationships/hyperlink" Target="https://www.investec.com/content/dam/investor-relations/basel-pillar-iii-regulatory-disclosures/2024/Investec-plc-Group-and-Investec-Bank-plc-Pillar-3-disclosure-report-30-Sept-2024.pdf" TargetMode="External" Id="rId67"/><Relationship Type="http://schemas.openxmlformats.org/officeDocument/2006/relationships/hyperlink" Target="https://www.investec.com/content/dam/investor-relations/basel-pillar-iii-regulatory-disclosures/2024/Investec-plc-Group-and-Investec-Bank-plc-Pillar-3-disclosure-report-30-Sept-2024.pdf" TargetMode="External" Id="rId68"/><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69"/><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70"/><Relationship Type="http://schemas.openxmlformats.org/officeDocument/2006/relationships/hyperlink" Target="https://www.investec.com/content/dam/investor-relations/financial-information/group-financial-results/2022/Investec-plc-group-Interim-Pillar-3-disclosure-report-30-September-2022.pdf" TargetMode="External" Id="rId71"/><Relationship Type="http://schemas.openxmlformats.org/officeDocument/2006/relationships/hyperlink" Target="https://www.investec.com/content/dam/investor-relations/financial-information/group-financial-results/2022/Investec-plc-group-Interim-Pillar-3-disclosure-report-30-September-2022.pdf" TargetMode="External" Id="rId72"/><Relationship Type="http://schemas.openxmlformats.org/officeDocument/2006/relationships/hyperlink" Target="https://www.investec.com/content/dam/investor-relations/basel-pillar-iii-regulatory-disclosures/2025/Investec-plc-group-and-Investec-Bank-plc-Pillar-3-disclosure-report-30-Sept-2025.pdf" TargetMode="External" Id="rId73"/><Relationship Type="http://schemas.openxmlformats.org/officeDocument/2006/relationships/hyperlink" Target="https://www.investec.com/content/dam/investor-relations/basel-pillar-iii-regulatory-disclosures/2025/Investec-plc-group-and-Investec-Bank-plc-Pillar-3-disclosure-report-30-Sept-2025.pdf" TargetMode="External" Id="rId74"/><Relationship Type="http://schemas.openxmlformats.org/officeDocument/2006/relationships/hyperlink" Target="https://www.investec.com/content/dam/investor-relations/basel-pillar-iii-regulatory-disclosures/2024/Investec-plc-Group-and-Investec-Bank-plc-Pillar-3-disclosure-report-30-Sept-2024.pdf" TargetMode="External" Id="rId75"/><Relationship Type="http://schemas.openxmlformats.org/officeDocument/2006/relationships/hyperlink" Target="https://www.investec.com/content/dam/investor-relations/basel-pillar-iii-regulatory-disclosures/2024/Investec-plc-Group-and-Investec-Bank-plc-Pillar-3-disclosure-report-30-Sept-2024.pdf" TargetMode="External" Id="rId76"/><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77"/><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78"/><Relationship Type="http://schemas.openxmlformats.org/officeDocument/2006/relationships/hyperlink" Target="https://www.investec.com/content/dam/investor-relations/financial-information/group-financial-results/2022/Investec-plc-group-Interim-Pillar-3-disclosure-report-30-September-2022.pdf" TargetMode="External" Id="rId79"/><Relationship Type="http://schemas.openxmlformats.org/officeDocument/2006/relationships/hyperlink" Target="https://www.investec.com/content/dam/investor-relations/financial-information/group-financial-results/2022/Investec-plc-group-Interim-Pillar-3-disclosure-report-30-September-2022.pdf" TargetMode="External" Id="rId80"/><Relationship Type="http://schemas.openxmlformats.org/officeDocument/2006/relationships/hyperlink" Target="https://www.investec.com/content/dam/investor-relations/basel-pillar-iii-regulatory-disclosures/2025/Investec-plc-group-and-Investec-Bank-plc-Pillar-3-disclosure-report-30-Sept-2025.pdf" TargetMode="External" Id="rId81"/><Relationship Type="http://schemas.openxmlformats.org/officeDocument/2006/relationships/hyperlink" Target="https://www.investec.com/content/dam/investor-relations/basel-pillar-iii-regulatory-disclosures/2025/Investec-plc-group-and-Investec-Bank-plc-Pillar-3-disclosure-report-30-Sept-2025.pdf" TargetMode="External" Id="rId82"/><Relationship Type="http://schemas.openxmlformats.org/officeDocument/2006/relationships/hyperlink" Target="https://www.investec.com/content/dam/investor-relations/basel-pillar-iii-regulatory-disclosures/2024/Investec-plc-Group-and-Investec-Bank-plc-Pillar-3-disclosure-report-30-Sept-2024.pdf" TargetMode="External" Id="rId83"/><Relationship Type="http://schemas.openxmlformats.org/officeDocument/2006/relationships/hyperlink" Target="https://www.investec.com/content/dam/investor-relations/basel-pillar-iii-regulatory-disclosures/2024/Investec-plc-Group-and-Investec-Bank-plc-Pillar-3-disclosure-report-30-Sept-2024.pdf" TargetMode="External" Id="rId84"/><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85"/><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86"/><Relationship Type="http://schemas.openxmlformats.org/officeDocument/2006/relationships/hyperlink" Target="https://www.investec.com/content/dam/investor-relations/financial-information/group-financial-results/2022/Investec-plc-group-Interim-Pillar-3-disclosure-report-30-September-2022.pdf" TargetMode="External" Id="rId87"/><Relationship Type="http://schemas.openxmlformats.org/officeDocument/2006/relationships/hyperlink" Target="https://www.investec.com/content/dam/investor-relations/financial-information/group-financial-results/2022/Investec-plc-group-Interim-Pillar-3-disclosure-report-30-September-2022.pdf" TargetMode="External" Id="rId88"/><Relationship Type="http://schemas.openxmlformats.org/officeDocument/2006/relationships/hyperlink" Target="https://www.investec.com/content/dam/investor-relations/basel-pillar-iii-regulatory-disclosures/2025/Investec-plc-group-and-Investec-Bank-plc-Pillar-3-disclosure-report-30-Sept-2025.pdf" TargetMode="External" Id="rId89"/><Relationship Type="http://schemas.openxmlformats.org/officeDocument/2006/relationships/hyperlink" Target="https://www.investec.com/content/dam/investor-relations/basel-pillar-iii-regulatory-disclosures/2025/Investec-plc-group-and-Investec-Bank-plc-Pillar-3-disclosure-report-30-Sept-2025.pdf" TargetMode="External" Id="rId90"/><Relationship Type="http://schemas.openxmlformats.org/officeDocument/2006/relationships/hyperlink" Target="https://www.investec.com/content/dam/investor-relations/basel-pillar-iii-regulatory-disclosures/2025/Investec-plc-group-and-Investec-Bank-plc-Pillar-3-disclosure-report-30-Sept-2025.pdf" TargetMode="External" Id="rId91"/><Relationship Type="http://schemas.openxmlformats.org/officeDocument/2006/relationships/hyperlink" Target="https://www.investec.com/content/dam/investor-relations/basel-pillar-iii-regulatory-disclosures/2025/Investec-plc-group-and-Investec-Bank-plc-Pillar-3-disclosure-report-30-Sept-2025.pdf" TargetMode="External" Id="rId92"/><Relationship Type="http://schemas.openxmlformats.org/officeDocument/2006/relationships/hyperlink" Target="https://www.investec.com/content/dam/investor-relations/basel-pillar-iii-regulatory-disclosures/2025/Investec-plc-group-and-Investec-Bank-plc-Pillar-3-disclosure-report-30-Sept-2025.pdf" TargetMode="External" Id="rId93"/><Relationship Type="http://schemas.openxmlformats.org/officeDocument/2006/relationships/hyperlink" Target="https://www.investec.com/content/dam/investor-relations/basel-pillar-iii-regulatory-disclosures/2025/Investec-plc-group-and-Investec-Bank-plc-Pillar-3-disclosure-report-30-Sept-2025.pdf" TargetMode="External" Id="rId94"/><Relationship Type="http://schemas.openxmlformats.org/officeDocument/2006/relationships/hyperlink" Target="https://www.investec.com/content/dam/investor-relations/basel-pillar-iii-regulatory-disclosures/2025/Investec-plc-group-and-Investec-Bank-plc-Pillar-3-disclosure-report-30-Sept-2025.pdf" TargetMode="External" Id="rId95"/><Relationship Type="http://schemas.openxmlformats.org/officeDocument/2006/relationships/hyperlink" Target="https://www.investec.com/content/dam/investor-relations/basel-pillar-iii-regulatory-disclosures/2025/Investec-plc-group-and-Investec-Bank-plc-Pillar-3-disclosure-report-30-Sept-2025.pdf" TargetMode="External" Id="rId96"/><Relationship Type="http://schemas.openxmlformats.org/officeDocument/2006/relationships/hyperlink" Target="https://www.investec.com/content/dam/investor-relations/basel-pillar-iii-regulatory-disclosures/2025/Investec-plc-group-and-Investec-Bank-plc-Pillar-3-disclosure-report-30-Sept-2025.pdf" TargetMode="External" Id="rId97"/><Relationship Type="http://schemas.openxmlformats.org/officeDocument/2006/relationships/hyperlink" Target="https://www.investec.com/content/dam/investor-relations/basel-pillar-iii-regulatory-disclosures/2025/Investec-plc-group-and-Investec-Bank-plc-Pillar-3-disclosure-report-30-Sept-2025.pdf" TargetMode="External" Id="rId98"/><Relationship Type="http://schemas.openxmlformats.org/officeDocument/2006/relationships/hyperlink" Target="https://www.investec.com/content/dam/investor-relations/basel-pillar-iii-regulatory-disclosures/2025/Investec-plc-group-and-Investec-Bank-plc-Pillar-3-disclosure-report-30-Sept-2025.pdf" TargetMode="External" Id="rId99"/><Relationship Type="http://schemas.openxmlformats.org/officeDocument/2006/relationships/hyperlink" Target="https://www.investec.com/content/dam/investor-relations/basel-pillar-iii-regulatory-disclosures/2025/Investec-plc-group-and-Investec-Bank-plc-Pillar-3-disclosure-report-30-Sept-2025.pdf" TargetMode="External" Id="rId100"/><Relationship Type="http://schemas.openxmlformats.org/officeDocument/2006/relationships/hyperlink" Target="https://www.investec.com/content/dam/investor-relations/basel-pillar-iii-regulatory-disclosures/2025/Investec-plc-group-and-Investec-Bank-plc-Pillar-3-disclosure-report-30-Sept-2025.pdf" TargetMode="External" Id="rId101"/><Relationship Type="http://schemas.openxmlformats.org/officeDocument/2006/relationships/hyperlink" Target="https://www.investec.com/content/dam/investor-relations/basel-pillar-iii-regulatory-disclosures/2025/Investec-plc-group-and-Investec-Bank-plc-Pillar-3-disclosure-report-30-Sept-2025.pdf" TargetMode="External" Id="rId102"/><Relationship Type="http://schemas.openxmlformats.org/officeDocument/2006/relationships/hyperlink" Target="https://www.investec.com/content/dam/investor-relations/basel-pillar-iii-regulatory-disclosures/2025/Investec-plc-group-and-Investec-Bank-plc-Pillar-3-disclosure-report-30-Sept-2025.pdf" TargetMode="External" Id="rId103"/><Relationship Type="http://schemas.openxmlformats.org/officeDocument/2006/relationships/hyperlink" Target="https://www.investec.com/content/dam/investor-relations/basel-pillar-iii-regulatory-disclosures/2025/Investec-plc-group-and-Investec-Bank-plc-Pillar-3-disclosure-report-30-Sept-2025.pdf" TargetMode="External" Id="rId104"/><Relationship Type="http://schemas.openxmlformats.org/officeDocument/2006/relationships/hyperlink" Target="https://www.investec.com/content/dam/investor-relations/basel-pillar-iii-regulatory-disclosures/2025/Investec-plc-group-and-Investec-Bank-plc-Pillar-3-disclosure-report-30-Sept-2025.pdf" TargetMode="External" Id="rId105"/><Relationship Type="http://schemas.openxmlformats.org/officeDocument/2006/relationships/hyperlink" Target="https://www.investec.com/content/dam/investor-relations/basel-pillar-iii-regulatory-disclosures/2025/Investec-plc-group-and-Investec-Bank-plc-Pillar-3-disclosure-report-30-Sept-2025.pdf" TargetMode="External" Id="rId106"/><Relationship Type="http://schemas.openxmlformats.org/officeDocument/2006/relationships/hyperlink" Target="https://www.investec.com/content/dam/investor-relations/basel-pillar-iii-regulatory-disclosures/2025/Investec-plc-group-and-Investec-Bank-plc-Pillar-3-disclosure-report-30-Sept-2025.pdf" TargetMode="External" Id="rId107"/><Relationship Type="http://schemas.openxmlformats.org/officeDocument/2006/relationships/hyperlink" Target="https://www.investec.com/content/dam/investor-relations/basel-pillar-iii-regulatory-disclosures/2025/Investec-plc-group-and-Investec-Bank-plc-Pillar-3-disclosure-report-30-Sept-2025.pdf" TargetMode="External" Id="rId108"/><Relationship Type="http://schemas.openxmlformats.org/officeDocument/2006/relationships/hyperlink" Target="https://www.investec.com/content/dam/investor-relations/basel-pillar-iii-regulatory-disclosures/2025/Investec-plc-group-and-Investec-Bank-plc-Pillar-3-disclosure-report-30-Sept-2025.pdf" TargetMode="External" Id="rId109"/><Relationship Type="http://schemas.openxmlformats.org/officeDocument/2006/relationships/hyperlink" Target="https://www.investec.com/content/dam/investor-relations/basel-pillar-iii-regulatory-disclosures/2025/Investec-plc-group-and-Investec-Bank-plc-Pillar-3-disclosure-report-30-Sept-2025.pdf" TargetMode="External" Id="rId110"/><Relationship Type="http://schemas.openxmlformats.org/officeDocument/2006/relationships/hyperlink" Target="https://www.investec.com/content/dam/investor-relations/basel-pillar-iii-regulatory-disclosures/2024/Investec-plc-Group-and-Investec-Bank-plc-Pillar-3-disclosure-report-30-Sept-2024.pdf" TargetMode="External" Id="rId111"/><Relationship Type="http://schemas.openxmlformats.org/officeDocument/2006/relationships/hyperlink" Target="https://www.investec.com/content/dam/investor-relations/basel-pillar-iii-regulatory-disclosures/2024/Investec-plc-Group-and-Investec-Bank-plc-Pillar-3-disclosure-report-30-Sept-2024.pdf" TargetMode="External" Id="rId112"/><Relationship Type="http://schemas.openxmlformats.org/officeDocument/2006/relationships/hyperlink" Target="https://www.investec.com/content/dam/investor-relations/basel-pillar-iii-regulatory-disclosures/2024/Investec-plc-Group-and-Investec-Bank-plc-Pillar-3-disclosure-report-30-Sept-2024.pdf" TargetMode="External" Id="rId113"/><Relationship Type="http://schemas.openxmlformats.org/officeDocument/2006/relationships/hyperlink" Target="https://www.investec.com/content/dam/investor-relations/basel-pillar-iii-regulatory-disclosures/2024/Investec-plc-Group-and-Investec-Bank-plc-Pillar-3-disclosure-report-30-Sept-2024.pdf" TargetMode="External" Id="rId114"/><Relationship Type="http://schemas.openxmlformats.org/officeDocument/2006/relationships/hyperlink" Target="https://www.investec.com/content/dam/investor-relations/basel-pillar-iii-regulatory-disclosures/2024/Investec-plc-Group-and-Investec-Bank-plc-Pillar-3-disclosure-report-30-Sept-2024.pdf" TargetMode="External" Id="rId115"/><Relationship Type="http://schemas.openxmlformats.org/officeDocument/2006/relationships/hyperlink" Target="https://www.investec.com/content/dam/investor-relations/basel-pillar-iii-regulatory-disclosures/2024/Investec-plc-Group-and-Investec-Bank-plc-Pillar-3-disclosure-report-30-Sept-2024.pdf" TargetMode="External" Id="rId116"/><Relationship Type="http://schemas.openxmlformats.org/officeDocument/2006/relationships/hyperlink" Target="https://www.investec.com/content/dam/investor-relations/basel-pillar-iii-regulatory-disclosures/2024/Investec-plc-Group-and-Investec-Bank-plc-Pillar-3-disclosure-report-30-Sept-2024.pdf" TargetMode="External" Id="rId117"/><Relationship Type="http://schemas.openxmlformats.org/officeDocument/2006/relationships/hyperlink" Target="https://www.investec.com/content/dam/investor-relations/basel-pillar-iii-regulatory-disclosures/2024/Investec-plc-Group-and-Investec-Bank-plc-Pillar-3-disclosure-report-30-Sept-2024.pdf" TargetMode="External" Id="rId118"/><Relationship Type="http://schemas.openxmlformats.org/officeDocument/2006/relationships/hyperlink" Target="https://www.investec.com/content/dam/investor-relations/basel-pillar-iii-regulatory-disclosures/2024/Investec-plc-Group-and-Investec-Bank-plc-Pillar-3-disclosure-report-30-Sept-2024.pdf" TargetMode="External" Id="rId119"/><Relationship Type="http://schemas.openxmlformats.org/officeDocument/2006/relationships/hyperlink" Target="https://www.investec.com/content/dam/investor-relations/basel-pillar-iii-regulatory-disclosures/2024/Investec-plc-Group-and-Investec-Bank-plc-Pillar-3-disclosure-report-30-Sept-2024.pdf" TargetMode="External" Id="rId120"/><Relationship Type="http://schemas.openxmlformats.org/officeDocument/2006/relationships/hyperlink" Target="https://www.investec.com/content/dam/investor-relations/basel-pillar-iii-regulatory-disclosures/2024/Investec-plc-Group-and-Investec-Bank-plc-Pillar-3-disclosure-report-30-Sept-2024.pdf" TargetMode="External" Id="rId121"/><Relationship Type="http://schemas.openxmlformats.org/officeDocument/2006/relationships/hyperlink" Target="https://www.investec.com/content/dam/investor-relations/basel-pillar-iii-regulatory-disclosures/2024/Investec-plc-Group-and-Investec-Bank-plc-Pillar-3-disclosure-report-30-Sept-2024.pdf" TargetMode="External" Id="rId122"/><Relationship Type="http://schemas.openxmlformats.org/officeDocument/2006/relationships/hyperlink" Target="https://www.investec.com/content/dam/investor-relations/basel-pillar-iii-regulatory-disclosures/2024/Investec-plc-Group-and-Investec-Bank-plc-Pillar-3-disclosure-report-30-Sept-2024.pdf" TargetMode="External" Id="rId123"/><Relationship Type="http://schemas.openxmlformats.org/officeDocument/2006/relationships/hyperlink" Target="https://www.investec.com/content/dam/investor-relations/basel-pillar-iii-regulatory-disclosures/2024/Investec-plc-Group-and-Investec-Bank-plc-Pillar-3-disclosure-report-30-Sept-2024.pdf" TargetMode="External" Id="rId124"/><Relationship Type="http://schemas.openxmlformats.org/officeDocument/2006/relationships/hyperlink" Target="https://www.investec.com/content/dam/investor-relations/basel-pillar-iii-regulatory-disclosures/2024/Investec-plc-Group-and-Investec-Bank-plc-Pillar-3-disclosure-report-30-Sept-2024.pdf" TargetMode="External" Id="rId125"/><Relationship Type="http://schemas.openxmlformats.org/officeDocument/2006/relationships/hyperlink" Target="https://www.investec.com/content/dam/investor-relations/basel-pillar-iii-regulatory-disclosures/2024/Investec-plc-Group-and-Investec-Bank-plc-Pillar-3-disclosure-report-30-Sept-2024.pdf" TargetMode="External" Id="rId126"/><Relationship Type="http://schemas.openxmlformats.org/officeDocument/2006/relationships/hyperlink" Target="https://www.investec.com/content/dam/investor-relations/basel-pillar-iii-regulatory-disclosures/2024/Investec-plc-Group-and-Investec-Bank-plc-Pillar-3-disclosure-report-30-Sept-2024.pdf" TargetMode="External" Id="rId127"/><Relationship Type="http://schemas.openxmlformats.org/officeDocument/2006/relationships/hyperlink" Target="https://www.investec.com/content/dam/investor-relations/basel-pillar-iii-regulatory-disclosures/2024/Investec-plc-Group-and-Investec-Bank-plc-Pillar-3-disclosure-report-30-Sept-2024.pdf" TargetMode="External" Id="rId128"/><Relationship Type="http://schemas.openxmlformats.org/officeDocument/2006/relationships/hyperlink" Target="https://www.investec.com/content/dam/investor-relations/basel-pillar-iii-regulatory-disclosures/2024/Investec-plc-Group-and-Investec-Bank-plc-Pillar-3-disclosure-report-30-Sept-2024.pdf" TargetMode="External" Id="rId129"/><Relationship Type="http://schemas.openxmlformats.org/officeDocument/2006/relationships/hyperlink" Target="https://www.investec.com/content/dam/investor-relations/basel-pillar-iii-regulatory-disclosures/2024/Investec-plc-Group-and-Investec-Bank-plc-Pillar-3-disclosure-report-30-Sept-2024.pdf" TargetMode="External" Id="rId130"/><Relationship Type="http://schemas.openxmlformats.org/officeDocument/2006/relationships/hyperlink" Target="https://www.investec.com/content/dam/investor-relations/basel-pillar-iii-regulatory-disclosures/2024/Investec-plc-Group-and-Investec-Bank-plc-Pillar-3-disclosure-report-30-Sept-2024.pdf" TargetMode="External" Id="rId131"/><Relationship Type="http://schemas.openxmlformats.org/officeDocument/2006/relationships/hyperlink" Target="https://www.investec.com/content/dam/investor-relations/basel-pillar-iii-regulatory-disclosures/2024/Investec-plc-Group-and-Investec-Bank-plc-Pillar-3-disclosure-report-30-Sept-2024.pdf" TargetMode="External" Id="rId132"/><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3"/><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4"/><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5"/><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6"/><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7"/><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8"/><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39"/><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0"/><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1"/><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2"/><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3"/><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4"/><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5"/><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6"/><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7"/><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8"/><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49"/><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50"/><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51"/><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52"/><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53"/><Relationship Type="http://schemas.openxmlformats.org/officeDocument/2006/relationships/hyperlink" Target="https://www.investec.com/content/dam/investor-relations/basel-pillar-iii-regulatory-disclosures/united-kingdom/2023/Investec-plc-group-and-Investec-Bank-plc-Pillar-3-disclosure-report%20-30-Sept-2023.pdf" TargetMode="External" Id="rId154"/><Relationship Type="http://schemas.openxmlformats.org/officeDocument/2006/relationships/hyperlink" Target="https://www.investec.com/content/dam/investor-relations/financial-information/group-financial-results/2022/Investec-plc-group-Interim-Pillar-3-disclosure-report-30-September-2022.pdf" TargetMode="External" Id="rId155"/><Relationship Type="http://schemas.openxmlformats.org/officeDocument/2006/relationships/hyperlink" Target="https://www.investec.com/content/dam/investor-relations/financial-information/group-financial-results/2022/Investec-plc-group-Interim-Pillar-3-disclosure-report-30-September-2022.pdf" TargetMode="External" Id="rId156"/></Relationships>
</file>

<file path=xl/worksheets/sheet1.xml><?xml version="1.0" encoding="utf-8"?>
<worksheet xmlns="http://schemas.openxmlformats.org/spreadsheetml/2006/main">
  <sheetPr>
    <outlinePr summaryBelow="1" summaryRight="1"/>
    <pageSetUpPr/>
  </sheetPr>
  <dimension ref="A1:BR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s>
  <sheetData>
    <row r="1">
      <c r="A1" s="1" t="inlineStr">
        <is>
          <t>Investec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N5" t="inlineStr">
        <is>
          <t>FY2018</t>
        </is>
      </c>
      <c r="O5" t="inlineStr">
        <is>
          <t>FY2019</t>
        </is>
      </c>
      <c r="P5" t="inlineStr">
        <is>
          <t>FY2020</t>
        </is>
      </c>
      <c r="Q5" t="inlineStr">
        <is>
          <t>FY2021</t>
        </is>
      </c>
      <c r="R5" t="inlineStr">
        <is>
          <t>FY2022</t>
        </is>
      </c>
      <c r="S5" t="inlineStr">
        <is>
          <t>FY2023</t>
        </is>
      </c>
      <c r="T5" t="inlineStr">
        <is>
          <t>FY2024</t>
        </is>
      </c>
      <c r="U5" t="inlineStr">
        <is>
          <t>FY2025</t>
        </is>
      </c>
      <c r="V5" t="inlineStr">
        <is>
          <t>FY2026</t>
        </is>
      </c>
      <c r="BJ5" t="inlineStr">
        <is>
          <t>FY2018</t>
        </is>
      </c>
      <c r="BK5" t="inlineStr">
        <is>
          <t>FY2019</t>
        </is>
      </c>
      <c r="BL5" t="inlineStr">
        <is>
          <t>FY2020</t>
        </is>
      </c>
      <c r="BM5" t="inlineStr">
        <is>
          <t>FY2021</t>
        </is>
      </c>
      <c r="BN5" t="inlineStr">
        <is>
          <t>FY2022</t>
        </is>
      </c>
      <c r="BO5" t="inlineStr">
        <is>
          <t>FY2023</t>
        </is>
      </c>
      <c r="BP5" t="inlineStr">
        <is>
          <t>FY2024</t>
        </is>
      </c>
      <c r="BQ5" t="inlineStr">
        <is>
          <t>FY2025</t>
        </is>
      </c>
      <c r="BR5" t="inlineStr">
        <is>
          <t>FY2026</t>
        </is>
      </c>
    </row>
    <row r="6">
      <c r="A6" s="5" t="inlineStr">
        <is>
          <t>Total assets</t>
        </is>
      </c>
      <c r="B6" s="5" t="n">
        <v>31827508</v>
      </c>
      <c r="C6" s="5" t="n">
        <v>29734085</v>
      </c>
      <c r="D6" s="5" t="n">
        <v>29838043</v>
      </c>
      <c r="E6" s="5" t="n">
        <v>28242603</v>
      </c>
      <c r="F6" s="5" t="n">
        <v>27588676</v>
      </c>
      <c r="G6" s="5" t="n">
        <v>24395538</v>
      </c>
      <c r="H6" s="5" t="n">
        <v>24570955</v>
      </c>
      <c r="I6" s="5" t="n">
        <v>22121020</v>
      </c>
      <c r="J6" s="5" t="n">
        <v>20097225</v>
      </c>
      <c r="M6" t="inlineStr">
        <is>
          <t>Total assets</t>
        </is>
      </c>
      <c r="N6" t="n">
        <v>20097225</v>
      </c>
      <c r="O6" t="n">
        <v>22121020</v>
      </c>
      <c r="P6" t="n">
        <v>24570955</v>
      </c>
      <c r="Q6" t="n">
        <v>24395538</v>
      </c>
      <c r="R6" t="n">
        <v>27588676</v>
      </c>
      <c r="S6" t="n">
        <v>28242603</v>
      </c>
      <c r="T6" t="n">
        <v>29838043</v>
      </c>
      <c r="U6" t="n">
        <v>29734085</v>
      </c>
      <c r="V6" t="n">
        <v>31827508</v>
      </c>
      <c r="BI6" t="inlineStr">
        <is>
          <t>CET1 Ratio</t>
        </is>
      </c>
      <c r="BJ6" t="n">
        <v>11.8</v>
      </c>
      <c r="BK6" t="n">
        <v>11.2</v>
      </c>
      <c r="BL6" t="n">
        <v>11.5</v>
      </c>
      <c r="BM6" t="n">
        <v>11.8</v>
      </c>
      <c r="BN6" t="n">
        <v>12</v>
      </c>
      <c r="BO6" t="n">
        <v>12.7</v>
      </c>
      <c r="BP6" t="n">
        <v>13.3</v>
      </c>
      <c r="BQ6" t="n">
        <v>13.6</v>
      </c>
      <c r="BR6" t="n">
        <v>13.3</v>
      </c>
    </row>
    <row r="7">
      <c r="A7" s="5" t="inlineStr">
        <is>
          <t>Loans and advances to customers</t>
        </is>
      </c>
      <c r="B7" s="5" t="n">
        <v>17803653</v>
      </c>
      <c r="C7" s="5" t="n">
        <v>16813723</v>
      </c>
      <c r="D7" s="5" t="n">
        <v>16570313</v>
      </c>
      <c r="E7" s="5" t="n">
        <v>15567809</v>
      </c>
      <c r="F7" s="5" t="n">
        <v>14426475</v>
      </c>
      <c r="G7" s="5" t="n">
        <v>12316313</v>
      </c>
      <c r="H7" s="5" t="n">
        <v>11834207</v>
      </c>
      <c r="I7" s="5" t="n">
        <v>10488022</v>
      </c>
      <c r="J7" s="5" t="n">
        <v>9663172</v>
      </c>
      <c r="M7" t="inlineStr">
        <is>
          <t>Loans and advances to customers</t>
        </is>
      </c>
      <c r="N7" t="n">
        <v>9663172</v>
      </c>
      <c r="O7" t="n">
        <v>10488022</v>
      </c>
      <c r="P7" t="n">
        <v>11834207</v>
      </c>
      <c r="Q7" t="n">
        <v>12316313</v>
      </c>
      <c r="R7" t="n">
        <v>14426475</v>
      </c>
      <c r="S7" t="n">
        <v>15567809</v>
      </c>
      <c r="T7" t="n">
        <v>16570313</v>
      </c>
      <c r="U7" t="n">
        <v>16813723</v>
      </c>
      <c r="V7" t="n">
        <v>17803653</v>
      </c>
      <c r="BI7" t="inlineStr">
        <is>
          <t>Tier 1 Ratio</t>
        </is>
      </c>
      <c r="BJ7" t="n">
        <v>13.2</v>
      </c>
      <c r="BK7" t="n">
        <v>12.9</v>
      </c>
      <c r="BL7" t="n">
        <v>13.1</v>
      </c>
      <c r="BM7" t="n">
        <v>13.4</v>
      </c>
      <c r="BN7" t="n">
        <v>13.6</v>
      </c>
      <c r="BO7" t="n">
        <v>14.1</v>
      </c>
      <c r="BP7" t="n">
        <v>15.9</v>
      </c>
      <c r="BQ7" t="n">
        <v>15.4</v>
      </c>
      <c r="BR7" t="n">
        <v>15</v>
      </c>
    </row>
    <row r="8">
      <c r="A8" s="5" t="inlineStr">
        <is>
          <t>Customer accounts (deposits)</t>
        </is>
      </c>
      <c r="B8" s="5" t="n">
        <v>22534593</v>
      </c>
      <c r="C8" s="5" t="n">
        <v>21555444</v>
      </c>
      <c r="D8" s="5" t="n">
        <v>20851216</v>
      </c>
      <c r="E8" s="5" t="n">
        <v>19251399</v>
      </c>
      <c r="F8" s="5" t="n">
        <v>18616233</v>
      </c>
      <c r="G8" s="5" t="n">
        <v>16240634</v>
      </c>
      <c r="H8" s="5" t="n">
        <v>15505883</v>
      </c>
      <c r="I8" s="5" t="n">
        <v>13499234</v>
      </c>
      <c r="J8" s="5" t="n">
        <v>11969625</v>
      </c>
      <c r="M8" t="inlineStr">
        <is>
          <t>Customer accounts (deposits)</t>
        </is>
      </c>
      <c r="N8" t="n">
        <v>11969625</v>
      </c>
      <c r="O8" t="n">
        <v>13499234</v>
      </c>
      <c r="P8" t="n">
        <v>15505883</v>
      </c>
      <c r="Q8" t="n">
        <v>16240634</v>
      </c>
      <c r="R8" t="n">
        <v>18616233</v>
      </c>
      <c r="S8" t="n">
        <v>19251399</v>
      </c>
      <c r="T8" t="n">
        <v>20851216</v>
      </c>
      <c r="U8" t="n">
        <v>21555444</v>
      </c>
      <c r="V8" t="n">
        <v>22534593</v>
      </c>
      <c r="BI8" t="inlineStr">
        <is>
          <t>Total Capital Ratio</t>
        </is>
      </c>
      <c r="BJ8" t="n">
        <v>16.5</v>
      </c>
      <c r="BK8" t="n">
        <v>17</v>
      </c>
      <c r="BL8" t="n">
        <v>16.5</v>
      </c>
      <c r="BM8" t="n">
        <v>16.4</v>
      </c>
      <c r="BN8" t="n">
        <v>18.2</v>
      </c>
      <c r="BO8" t="n">
        <v>18.5</v>
      </c>
      <c r="BP8" t="n">
        <v>19.8</v>
      </c>
      <c r="BQ8" t="n">
        <v>19.2</v>
      </c>
      <c r="BR8" t="n">
        <v>18.6</v>
      </c>
    </row>
    <row r="9">
      <c r="A9" s="5" t="inlineStr">
        <is>
          <t>Total equity</t>
        </is>
      </c>
      <c r="B9" s="5" t="n">
        <v>3866088</v>
      </c>
      <c r="C9" s="5" t="n">
        <v>3672680</v>
      </c>
      <c r="D9" s="5" t="n">
        <v>3606218</v>
      </c>
      <c r="E9" s="5" t="n">
        <v>2789454</v>
      </c>
      <c r="F9" s="5" t="n">
        <v>2547185</v>
      </c>
      <c r="G9" s="5" t="n">
        <v>2364920</v>
      </c>
      <c r="H9" s="5" t="n">
        <v>2331172</v>
      </c>
      <c r="I9" s="5" t="n">
        <v>2163228</v>
      </c>
      <c r="J9" s="5" t="n">
        <v>2209167</v>
      </c>
      <c r="M9" t="inlineStr">
        <is>
          <t>Total equity</t>
        </is>
      </c>
      <c r="N9" t="n">
        <v>2209167</v>
      </c>
      <c r="O9" t="n">
        <v>2163228</v>
      </c>
      <c r="P9" t="n">
        <v>2331172</v>
      </c>
      <c r="Q9" t="n">
        <v>2364920</v>
      </c>
      <c r="R9" t="n">
        <v>2547185</v>
      </c>
      <c r="S9" t="n">
        <v>2789454</v>
      </c>
      <c r="T9" t="n">
        <v>3606218</v>
      </c>
      <c r="U9" t="n">
        <v>3672680</v>
      </c>
      <c r="V9" t="n">
        <v>3866088</v>
      </c>
      <c r="BI9" t="inlineStr">
        <is>
          <t>Leverage Ratio</t>
        </is>
      </c>
      <c r="BJ9" t="n">
        <v>8.5</v>
      </c>
      <c r="BK9" t="n">
        <v>7.9</v>
      </c>
      <c r="BL9" t="n">
        <v>8</v>
      </c>
      <c r="BM9" t="n">
        <v>8</v>
      </c>
      <c r="BN9" t="n">
        <v>9.300000000000001</v>
      </c>
      <c r="BO9" t="n">
        <v>9.800000000000001</v>
      </c>
      <c r="BP9" t="n">
        <v>10.7</v>
      </c>
      <c r="BQ9" t="n">
        <v>10.5</v>
      </c>
      <c r="BR9" t="n">
        <v>9.5</v>
      </c>
    </row>
    <row r="11">
      <c r="A11" s="3" t="inlineStr">
        <is>
          <t>Profit &amp; Loss Summary (£'000)</t>
        </is>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Z12" t="inlineStr">
        <is>
          <t>FY2018</t>
        </is>
      </c>
      <c r="AA12" t="inlineStr">
        <is>
          <t>FY2019</t>
        </is>
      </c>
      <c r="AB12" t="inlineStr">
        <is>
          <t>FY2020</t>
        </is>
      </c>
      <c r="AC12" t="inlineStr">
        <is>
          <t>FY2021</t>
        </is>
      </c>
      <c r="AD12" t="inlineStr">
        <is>
          <t>FY2022</t>
        </is>
      </c>
      <c r="AE12" t="inlineStr">
        <is>
          <t>FY2023</t>
        </is>
      </c>
      <c r="AF12" t="inlineStr">
        <is>
          <t>FY2024</t>
        </is>
      </c>
      <c r="AG12" t="inlineStr">
        <is>
          <t>FY2025</t>
        </is>
      </c>
      <c r="AH12" t="inlineStr">
        <is>
          <t>FY2026</t>
        </is>
      </c>
    </row>
    <row r="13">
      <c r="A13" s="5" t="inlineStr">
        <is>
          <t>Operating income before expected credit loss impairment charges</t>
        </is>
      </c>
      <c r="B13" s="5" t="n">
        <v>1161693</v>
      </c>
      <c r="C13" s="5" t="n">
        <v>1157295</v>
      </c>
      <c r="D13" s="5" t="n">
        <v>1136195</v>
      </c>
      <c r="E13" s="5" t="n">
        <v>1308577</v>
      </c>
      <c r="F13" s="5" t="n">
        <v>1073332</v>
      </c>
      <c r="G13" s="5" t="n">
        <v>936332</v>
      </c>
      <c r="H13" s="5" t="n">
        <v>957207</v>
      </c>
      <c r="I13" s="5" t="n">
        <v>1049300</v>
      </c>
      <c r="J13" s="5" t="n">
        <v>1040147</v>
      </c>
      <c r="Y13" t="inlineStr">
        <is>
          <t>Operating income before expected credit loss impairment charges</t>
        </is>
      </c>
      <c r="Z13" t="n">
        <v>1040147</v>
      </c>
      <c r="AA13" t="n">
        <v>1049300</v>
      </c>
      <c r="AB13" t="n">
        <v>957207</v>
      </c>
      <c r="AC13" t="n">
        <v>936332</v>
      </c>
      <c r="AD13" t="n">
        <v>1073332</v>
      </c>
      <c r="AE13" t="n">
        <v>1308577</v>
      </c>
      <c r="AF13" t="n">
        <v>1136195</v>
      </c>
      <c r="AG13" t="n">
        <v>1157295</v>
      </c>
      <c r="AH13" t="n">
        <v>1161693</v>
      </c>
    </row>
    <row r="14">
      <c r="A14" s="5" t="inlineStr">
        <is>
          <t>Operating costs</t>
        </is>
      </c>
      <c r="B14" s="5" t="n">
        <v>-607310</v>
      </c>
      <c r="C14" s="5" t="n">
        <v>-597719</v>
      </c>
      <c r="D14" s="5" t="n">
        <v>-626732</v>
      </c>
      <c r="E14" s="5" t="n">
        <v>-833061</v>
      </c>
      <c r="F14" s="5" t="n">
        <v>-760286</v>
      </c>
      <c r="G14" s="5" t="n">
        <v>-757758</v>
      </c>
      <c r="H14" s="5" t="n">
        <v>-707033</v>
      </c>
      <c r="I14" s="5" t="n">
        <v>-819169</v>
      </c>
      <c r="J14" s="5" t="n">
        <v>-797049</v>
      </c>
      <c r="Y14" t="inlineStr">
        <is>
          <t>Operating costs</t>
        </is>
      </c>
      <c r="Z14" t="n">
        <v>-797049</v>
      </c>
      <c r="AA14" t="n">
        <v>-819169</v>
      </c>
      <c r="AB14" t="n">
        <v>-707033</v>
      </c>
      <c r="AC14" t="n">
        <v>-757758</v>
      </c>
      <c r="AD14" t="n">
        <v>-760286</v>
      </c>
      <c r="AE14" t="n">
        <v>-833061</v>
      </c>
      <c r="AF14" t="n">
        <v>-626732</v>
      </c>
      <c r="AG14" t="n">
        <v>-597719</v>
      </c>
      <c r="AH14" t="n">
        <v>-607310</v>
      </c>
    </row>
    <row r="15">
      <c r="A15" s="5" t="inlineStr">
        <is>
          <t>Profit after taxation</t>
        </is>
      </c>
      <c r="B15" s="5" t="n">
        <v>353551</v>
      </c>
      <c r="C15" s="5" t="n">
        <v>366431</v>
      </c>
      <c r="D15" s="5" t="n">
        <v>720813</v>
      </c>
      <c r="E15" s="5" t="n">
        <v>313609</v>
      </c>
      <c r="F15" s="5" t="n">
        <v>232881</v>
      </c>
      <c r="G15" s="5" t="n">
        <v>62948</v>
      </c>
      <c r="H15" s="5" t="n">
        <v>58686</v>
      </c>
      <c r="I15" s="5" t="n">
        <v>154798</v>
      </c>
      <c r="J15" s="5" t="n">
        <v>96157</v>
      </c>
      <c r="Y15" t="inlineStr">
        <is>
          <t>Profit after taxation</t>
        </is>
      </c>
      <c r="Z15" t="n">
        <v>96157</v>
      </c>
      <c r="AA15" t="n">
        <v>154798</v>
      </c>
      <c r="AB15" t="n">
        <v>58686</v>
      </c>
      <c r="AC15" t="n">
        <v>62948</v>
      </c>
      <c r="AD15" t="n">
        <v>232881</v>
      </c>
      <c r="AE15" t="n">
        <v>313609</v>
      </c>
      <c r="AF15" t="n">
        <v>720813</v>
      </c>
      <c r="AG15" t="n">
        <v>366431</v>
      </c>
      <c r="AH15" t="n">
        <v>353551</v>
      </c>
    </row>
    <row r="17">
      <c r="A17" s="3" t="inlineStr">
        <is>
          <t>Statement of Changes in Equity Summary (£'000)</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J18" s="4" t="inlineStr">
        <is>
          <t>FY2018</t>
        </is>
      </c>
      <c r="AL18" t="inlineStr">
        <is>
          <t>FY2018</t>
        </is>
      </c>
      <c r="AM18" t="inlineStr">
        <is>
          <t>FY2019</t>
        </is>
      </c>
      <c r="AN18" t="inlineStr">
        <is>
          <t>FY2020</t>
        </is>
      </c>
      <c r="AO18" t="inlineStr">
        <is>
          <t>FY2021</t>
        </is>
      </c>
      <c r="AP18" t="inlineStr">
        <is>
          <t>FY2022</t>
        </is>
      </c>
      <c r="AQ18" t="inlineStr">
        <is>
          <t>FY2023</t>
        </is>
      </c>
      <c r="AR18" t="inlineStr">
        <is>
          <t>FY2024</t>
        </is>
      </c>
      <c r="AS18" t="inlineStr">
        <is>
          <t>FY2025</t>
        </is>
      </c>
      <c r="AT18" t="inlineStr">
        <is>
          <t>FY2026</t>
        </is>
      </c>
    </row>
    <row r="19">
      <c r="A19" s="5" t="inlineStr">
        <is>
          <t>Opening equity</t>
        </is>
      </c>
      <c r="B19" s="5" t="n">
        <v>3672680</v>
      </c>
      <c r="C19" s="5" t="n">
        <v>3606218</v>
      </c>
      <c r="D19" s="5" t="n">
        <v>2789454</v>
      </c>
      <c r="E19" s="5" t="n">
        <v>2547185</v>
      </c>
      <c r="F19" s="5" t="n">
        <v>2364920</v>
      </c>
      <c r="G19" s="5" t="n">
        <v>2331172</v>
      </c>
      <c r="H19" s="5" t="n">
        <v>2163228</v>
      </c>
      <c r="I19" s="5" t="n">
        <v>1997503</v>
      </c>
      <c r="J19" s="5" t="n">
        <v>1979931</v>
      </c>
      <c r="AK19" t="inlineStr">
        <is>
          <t>Opening equity</t>
        </is>
      </c>
      <c r="AL19" t="n">
        <v>1979931</v>
      </c>
      <c r="AM19" t="n">
        <v>1997503</v>
      </c>
      <c r="AN19" t="n">
        <v>2163228</v>
      </c>
      <c r="AO19" t="n">
        <v>2331172</v>
      </c>
      <c r="AP19" t="n">
        <v>2364920</v>
      </c>
      <c r="AQ19" t="n">
        <v>2547185</v>
      </c>
      <c r="AR19" t="n">
        <v>2789454</v>
      </c>
      <c r="AS19" t="n">
        <v>3606218</v>
      </c>
      <c r="AT19" t="n">
        <v>3672680</v>
      </c>
    </row>
    <row r="20">
      <c r="A20" s="5" t="inlineStr">
        <is>
          <t>Total comprehensive income for the year</t>
        </is>
      </c>
      <c r="B20" s="5" t="n">
        <v>348594</v>
      </c>
      <c r="C20" s="5" t="n">
        <v>340778</v>
      </c>
      <c r="D20" s="5" t="n">
        <v>712759</v>
      </c>
      <c r="E20" s="5" t="n">
        <v>346831</v>
      </c>
      <c r="F20" s="5" t="n">
        <v>247415</v>
      </c>
      <c r="G20" s="5" t="n">
        <v>60173</v>
      </c>
      <c r="H20" s="5" t="n">
        <v>67313</v>
      </c>
      <c r="I20" s="5" t="n">
        <v>164321</v>
      </c>
      <c r="J20" s="5" t="n">
        <v>85217</v>
      </c>
      <c r="AK20" t="inlineStr">
        <is>
          <t>Total comprehensive income for the year</t>
        </is>
      </c>
      <c r="AL20" t="n">
        <v>85217</v>
      </c>
      <c r="AM20" t="n">
        <v>164321</v>
      </c>
      <c r="AN20" t="n">
        <v>67313</v>
      </c>
      <c r="AO20" t="n">
        <v>60173</v>
      </c>
      <c r="AP20" t="n">
        <v>247415</v>
      </c>
      <c r="AQ20" t="n">
        <v>346831</v>
      </c>
      <c r="AR20" t="n">
        <v>712759</v>
      </c>
      <c r="AS20" t="n">
        <v>340778</v>
      </c>
      <c r="AT20" t="n">
        <v>348594</v>
      </c>
    </row>
    <row r="21">
      <c r="A21" s="5" t="inlineStr">
        <is>
          <t>Other equity movements, net</t>
        </is>
      </c>
      <c r="B21" s="5" t="n">
        <v>-155186</v>
      </c>
      <c r="C21" s="5" t="n">
        <v>-274316</v>
      </c>
      <c r="D21" s="5" t="n">
        <v>104005</v>
      </c>
      <c r="E21" s="5" t="n">
        <v>-104562</v>
      </c>
      <c r="F21" s="5" t="n">
        <v>-65150</v>
      </c>
      <c r="G21" s="5" t="n">
        <v>-26425</v>
      </c>
      <c r="H21" s="5" t="n">
        <v>100631</v>
      </c>
      <c r="I21" s="5" t="n">
        <v>1404</v>
      </c>
      <c r="J21" s="5" t="n">
        <v>144019</v>
      </c>
      <c r="AK21" t="inlineStr">
        <is>
          <t>Other equity movements, net</t>
        </is>
      </c>
      <c r="AL21" t="n">
        <v>144019</v>
      </c>
      <c r="AM21" t="n">
        <v>1404</v>
      </c>
      <c r="AN21" t="n">
        <v>100631</v>
      </c>
      <c r="AO21" t="n">
        <v>-26425</v>
      </c>
      <c r="AP21" t="n">
        <v>-65150</v>
      </c>
      <c r="AQ21" t="n">
        <v>-104562</v>
      </c>
      <c r="AR21" t="n">
        <v>104005</v>
      </c>
      <c r="AS21" t="n">
        <v>-274316</v>
      </c>
      <c r="AT21" t="n">
        <v>-155186</v>
      </c>
    </row>
    <row r="22">
      <c r="A22" s="5" t="inlineStr">
        <is>
          <t>Closing equity</t>
        </is>
      </c>
      <c r="B22" s="5" t="n">
        <v>3866088</v>
      </c>
      <c r="C22" s="5" t="n">
        <v>3672680</v>
      </c>
      <c r="D22" s="5" t="n">
        <v>3606218</v>
      </c>
      <c r="E22" s="5" t="n">
        <v>2789454</v>
      </c>
      <c r="F22" s="5" t="n">
        <v>2547185</v>
      </c>
      <c r="G22" s="5" t="n">
        <v>2364920</v>
      </c>
      <c r="H22" s="5" t="n">
        <v>2331172</v>
      </c>
      <c r="I22" s="5" t="n">
        <v>2163228</v>
      </c>
      <c r="J22" s="5" t="n">
        <v>2209167</v>
      </c>
      <c r="AK22" t="inlineStr">
        <is>
          <t>Closing equity</t>
        </is>
      </c>
      <c r="AL22" t="n">
        <v>2209167</v>
      </c>
      <c r="AM22" t="n">
        <v>2163228</v>
      </c>
      <c r="AN22" t="n">
        <v>2331172</v>
      </c>
      <c r="AO22" t="n">
        <v>2364920</v>
      </c>
      <c r="AP22" t="n">
        <v>2547185</v>
      </c>
      <c r="AQ22" t="n">
        <v>2789454</v>
      </c>
      <c r="AR22" t="n">
        <v>3606218</v>
      </c>
      <c r="AS22" t="n">
        <v>3672680</v>
      </c>
      <c r="AT22" t="n">
        <v>3866088</v>
      </c>
    </row>
    <row r="24">
      <c r="A24" s="3" t="inlineStr">
        <is>
          <t>Cash Flow Summary (£'000)</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H25" s="4" t="inlineStr">
        <is>
          <t>FY2020</t>
        </is>
      </c>
      <c r="I25" s="4" t="inlineStr">
        <is>
          <t>FY2019</t>
        </is>
      </c>
      <c r="J25" s="4" t="inlineStr">
        <is>
          <t>FY2018</t>
        </is>
      </c>
      <c r="AX25" t="inlineStr">
        <is>
          <t>FY2018</t>
        </is>
      </c>
      <c r="AY25" t="inlineStr">
        <is>
          <t>FY2019</t>
        </is>
      </c>
      <c r="AZ25" t="inlineStr">
        <is>
          <t>FY2020</t>
        </is>
      </c>
      <c r="BA25" t="inlineStr">
        <is>
          <t>FY2021</t>
        </is>
      </c>
      <c r="BB25" t="inlineStr">
        <is>
          <t>FY2022</t>
        </is>
      </c>
      <c r="BC25" t="inlineStr">
        <is>
          <t>FY2023</t>
        </is>
      </c>
      <c r="BD25" t="inlineStr">
        <is>
          <t>FY2024</t>
        </is>
      </c>
      <c r="BE25" t="inlineStr">
        <is>
          <t>FY2025</t>
        </is>
      </c>
      <c r="BF25" t="inlineStr">
        <is>
          <t>FY2026</t>
        </is>
      </c>
    </row>
    <row r="26">
      <c r="A26" s="5" t="inlineStr">
        <is>
          <t>Net cash (outflow)/inflow from operating activities</t>
        </is>
      </c>
      <c r="B26" s="5" t="n">
        <v>-723525</v>
      </c>
      <c r="C26" s="5" t="n">
        <v>-961883</v>
      </c>
      <c r="D26" s="5" t="n">
        <v>259511</v>
      </c>
      <c r="E26" s="5" t="n">
        <v>-399005</v>
      </c>
      <c r="F26" s="5" t="n">
        <v>2549938</v>
      </c>
      <c r="G26" s="5" t="n">
        <v>446722</v>
      </c>
      <c r="H26" s="5" t="n">
        <v>-1372894</v>
      </c>
      <c r="I26" s="5" t="n">
        <v>906302</v>
      </c>
      <c r="J26" s="5" t="n">
        <v>439822</v>
      </c>
      <c r="AW26" t="inlineStr">
        <is>
          <t>Net cash (outflow)/inflow from operating activities</t>
        </is>
      </c>
      <c r="AX26" t="n">
        <v>439822</v>
      </c>
      <c r="AY26" t="n">
        <v>906302</v>
      </c>
      <c r="AZ26" t="n">
        <v>-1372894</v>
      </c>
      <c r="BA26" t="n">
        <v>446722</v>
      </c>
      <c r="BB26" t="n">
        <v>2549938</v>
      </c>
      <c r="BC26" t="n">
        <v>-399005</v>
      </c>
      <c r="BD26" t="n">
        <v>259511</v>
      </c>
      <c r="BE26" t="n">
        <v>-961883</v>
      </c>
      <c r="BF26" t="n">
        <v>-723525</v>
      </c>
    </row>
    <row r="27">
      <c r="A27" s="5" t="inlineStr">
        <is>
          <t>Net cash (outflow)/inflow from investing activities</t>
        </is>
      </c>
      <c r="B27" s="5" t="n">
        <v>-51793</v>
      </c>
      <c r="C27" s="5" t="n">
        <v>-3739</v>
      </c>
      <c r="D27" s="5" t="n">
        <v>-204865</v>
      </c>
      <c r="E27" s="5" t="n">
        <v>3238</v>
      </c>
      <c r="F27" s="5" t="n">
        <v>1127</v>
      </c>
      <c r="G27" s="5" t="n">
        <v>12910</v>
      </c>
      <c r="H27" s="5" t="n">
        <v>43984</v>
      </c>
      <c r="I27" s="5" t="n">
        <v>-60841</v>
      </c>
      <c r="J27" s="5" t="n">
        <v>3904</v>
      </c>
      <c r="AW27" t="inlineStr">
        <is>
          <t>Net cash (outflow)/inflow from investing activities</t>
        </is>
      </c>
      <c r="AX27" t="n">
        <v>3904</v>
      </c>
      <c r="AY27" t="n">
        <v>-60841</v>
      </c>
      <c r="AZ27" t="n">
        <v>43984</v>
      </c>
      <c r="BA27" t="n">
        <v>12910</v>
      </c>
      <c r="BB27" t="n">
        <v>1127</v>
      </c>
      <c r="BC27" t="n">
        <v>3238</v>
      </c>
      <c r="BD27" t="n">
        <v>-204865</v>
      </c>
      <c r="BE27" t="n">
        <v>-3739</v>
      </c>
      <c r="BF27" t="n">
        <v>-51793</v>
      </c>
    </row>
    <row r="28">
      <c r="A28" s="5" t="inlineStr">
        <is>
          <t>Net cash outflow from financing activities</t>
        </is>
      </c>
      <c r="B28" s="5" t="n">
        <v>-309484</v>
      </c>
      <c r="C28" s="5" t="n">
        <v>-314107</v>
      </c>
      <c r="D28" s="5" t="n">
        <v>-9485</v>
      </c>
      <c r="E28" s="5" t="n">
        <v>-158299</v>
      </c>
      <c r="F28" s="5" t="n">
        <v>-77054</v>
      </c>
      <c r="G28" s="5" t="n">
        <v>-81329</v>
      </c>
      <c r="H28" s="5" t="n">
        <v>46911</v>
      </c>
      <c r="I28" s="5" t="n">
        <v>83892</v>
      </c>
      <c r="J28" s="5" t="n">
        <v>142764</v>
      </c>
      <c r="AW28" t="inlineStr">
        <is>
          <t>Net cash outflow from financing activities</t>
        </is>
      </c>
      <c r="AX28" t="n">
        <v>142764</v>
      </c>
      <c r="AY28" t="n">
        <v>83892</v>
      </c>
      <c r="AZ28" t="n">
        <v>46911</v>
      </c>
      <c r="BA28" t="n">
        <v>-81329</v>
      </c>
      <c r="BB28" t="n">
        <v>-77054</v>
      </c>
      <c r="BC28" t="n">
        <v>-158299</v>
      </c>
      <c r="BD28" t="n">
        <v>-9485</v>
      </c>
      <c r="BE28" t="n">
        <v>-314107</v>
      </c>
      <c r="BF28" t="n">
        <v>-309484</v>
      </c>
    </row>
    <row r="29">
      <c r="A29" s="5" t="inlineStr">
        <is>
          <t>Cash and cash equivalents at the end of the year</t>
        </is>
      </c>
      <c r="B29" s="5" t="n">
        <v>3973773</v>
      </c>
      <c r="C29" s="5" t="n">
        <v>5051552</v>
      </c>
      <c r="D29" s="5" t="n">
        <v>6332409</v>
      </c>
      <c r="E29" s="5" t="n">
        <v>6287746</v>
      </c>
      <c r="F29" s="5" t="n">
        <v>6841039</v>
      </c>
      <c r="G29" s="5" t="n">
        <v>4367635</v>
      </c>
      <c r="H29" s="5" t="n">
        <v>3983460</v>
      </c>
      <c r="I29" s="5" t="n">
        <v>5048080</v>
      </c>
      <c r="J29" s="5" t="n">
        <v>4122721</v>
      </c>
      <c r="AW29" t="inlineStr">
        <is>
          <t>Cash and cash equivalents at the end of the year</t>
        </is>
      </c>
      <c r="AX29" t="n">
        <v>4122721</v>
      </c>
      <c r="AY29" t="n">
        <v>5048080</v>
      </c>
      <c r="AZ29" t="n">
        <v>3983460</v>
      </c>
      <c r="BA29" t="n">
        <v>4367635</v>
      </c>
      <c r="BB29" t="n">
        <v>6841039</v>
      </c>
      <c r="BC29" t="n">
        <v>6287746</v>
      </c>
      <c r="BD29" t="n">
        <v>6332409</v>
      </c>
      <c r="BE29" t="n">
        <v>5051552</v>
      </c>
      <c r="BF29" t="n">
        <v>3973773</v>
      </c>
    </row>
    <row r="31">
      <c r="A31" s="3" t="inlineStr">
        <is>
          <t>Pillar 3 Key Metrics</t>
        </is>
      </c>
    </row>
    <row r="32">
      <c r="A32" s="4" t="inlineStr">
        <is>
          <t>Line item</t>
        </is>
      </c>
      <c r="B32" s="4" t="inlineStr">
        <is>
          <t>FY2026</t>
        </is>
      </c>
      <c r="C32" s="4" t="inlineStr">
        <is>
          <t>FY2025</t>
        </is>
      </c>
      <c r="D32" s="4" t="inlineStr">
        <is>
          <t>FY2024</t>
        </is>
      </c>
      <c r="E32" s="4" t="inlineStr">
        <is>
          <t>FY2023</t>
        </is>
      </c>
      <c r="F32" s="4" t="inlineStr">
        <is>
          <t>FY2022</t>
        </is>
      </c>
      <c r="G32" s="4" t="inlineStr">
        <is>
          <t>FY2021</t>
        </is>
      </c>
      <c r="H32" s="4" t="inlineStr">
        <is>
          <t>FY2020</t>
        </is>
      </c>
      <c r="I32" s="4" t="inlineStr">
        <is>
          <t>FY2019</t>
        </is>
      </c>
      <c r="J32" s="4" t="inlineStr">
        <is>
          <t>FY2018</t>
        </is>
      </c>
    </row>
    <row r="33">
      <c r="A33" s="6" t="inlineStr">
        <is>
          <t>CET1 Ratio</t>
        </is>
      </c>
      <c r="B33" s="6" t="inlineStr">
        <is>
          <t>13.3%</t>
        </is>
      </c>
      <c r="C33" s="6" t="inlineStr">
        <is>
          <t>13.6%</t>
        </is>
      </c>
      <c r="D33" s="6" t="inlineStr">
        <is>
          <t>13.3%</t>
        </is>
      </c>
      <c r="E33" s="6" t="inlineStr">
        <is>
          <t>12.7%</t>
        </is>
      </c>
      <c r="F33" s="6" t="inlineStr">
        <is>
          <t>12.0%</t>
        </is>
      </c>
      <c r="G33" s="6" t="inlineStr">
        <is>
          <t>11.8%</t>
        </is>
      </c>
      <c r="H33" s="6" t="inlineStr">
        <is>
          <t>11.5%</t>
        </is>
      </c>
      <c r="I33" s="6" t="inlineStr">
        <is>
          <t>11.2%</t>
        </is>
      </c>
      <c r="J33" s="6" t="inlineStr">
        <is>
          <t>11.8%</t>
        </is>
      </c>
    </row>
    <row r="34">
      <c r="A34" s="6" t="inlineStr">
        <is>
          <t>Tier 1 Ratio</t>
        </is>
      </c>
      <c r="B34" s="6" t="inlineStr">
        <is>
          <t>15.0%</t>
        </is>
      </c>
      <c r="C34" s="6" t="inlineStr">
        <is>
          <t>15.4%</t>
        </is>
      </c>
      <c r="D34" s="6" t="inlineStr">
        <is>
          <t>15.9%</t>
        </is>
      </c>
      <c r="E34" s="6" t="inlineStr">
        <is>
          <t>14.1%</t>
        </is>
      </c>
      <c r="F34" s="6" t="inlineStr">
        <is>
          <t>13.6%</t>
        </is>
      </c>
      <c r="G34" s="6" t="inlineStr">
        <is>
          <t>13.4%</t>
        </is>
      </c>
      <c r="H34" s="6" t="inlineStr">
        <is>
          <t>13.1%</t>
        </is>
      </c>
      <c r="I34" s="6" t="inlineStr">
        <is>
          <t>12.9%</t>
        </is>
      </c>
      <c r="J34" s="6" t="inlineStr">
        <is>
          <t>13.2%</t>
        </is>
      </c>
    </row>
    <row r="35">
      <c r="A35" s="6" t="inlineStr">
        <is>
          <t>Total Capital Ratio</t>
        </is>
      </c>
      <c r="B35" s="6" t="inlineStr">
        <is>
          <t>18.6%</t>
        </is>
      </c>
      <c r="C35" s="6" t="inlineStr">
        <is>
          <t>19.2%</t>
        </is>
      </c>
      <c r="D35" s="6" t="inlineStr">
        <is>
          <t>19.8%</t>
        </is>
      </c>
      <c r="E35" s="6" t="inlineStr">
        <is>
          <t>18.5%</t>
        </is>
      </c>
      <c r="F35" s="6" t="inlineStr">
        <is>
          <t>18.2%</t>
        </is>
      </c>
      <c r="G35" s="6" t="inlineStr">
        <is>
          <t>16.4%</t>
        </is>
      </c>
      <c r="H35" s="6" t="inlineStr">
        <is>
          <t>16.5%</t>
        </is>
      </c>
      <c r="I35" s="6" t="inlineStr">
        <is>
          <t>17.0%</t>
        </is>
      </c>
      <c r="J35" s="6" t="inlineStr">
        <is>
          <t>16.5%</t>
        </is>
      </c>
    </row>
    <row r="36">
      <c r="A36" s="6" t="inlineStr">
        <is>
          <t>Leverage Ratio</t>
        </is>
      </c>
      <c r="B36" s="6" t="inlineStr">
        <is>
          <t>9.5%</t>
        </is>
      </c>
      <c r="C36" s="6" t="inlineStr">
        <is>
          <t>10.5%</t>
        </is>
      </c>
      <c r="D36" s="6" t="inlineStr">
        <is>
          <t>10.7%</t>
        </is>
      </c>
      <c r="E36" s="6" t="inlineStr">
        <is>
          <t>9.8%</t>
        </is>
      </c>
      <c r="F36" s="6" t="inlineStr">
        <is>
          <t>9.3%</t>
        </is>
      </c>
      <c r="G36" s="6" t="inlineStr">
        <is>
          <t>8.0%</t>
        </is>
      </c>
      <c r="H36" s="6" t="inlineStr">
        <is>
          <t>8.0%</t>
        </is>
      </c>
      <c r="I36" s="6" t="inlineStr">
        <is>
          <t>7.9%</t>
        </is>
      </c>
      <c r="J36" s="6" t="inlineStr">
        <is>
          <t>8.5%</t>
        </is>
      </c>
    </row>
    <row r="38" ht="30" customHeight="1">
      <c r="A38" s="7" t="inlineStr">
        <is>
          <t>Note: Figures are duplicated from the detail sheets for at-a-glance trend viewing; see each sheet's own source citation for the underlying document/page. LCR and NSFR are omitted from this chart — not publicly disclosed at the IBP solo-entity level in the sourced filings; see the LCR/NSFR sheets for detail.</t>
        </is>
      </c>
    </row>
  </sheetData>
  <mergeCells count="1">
    <mergeCell ref="A38:J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Consolidated Balance Sheet</t>
        </is>
      </c>
    </row>
    <row r="2">
      <c r="A2" s="2" t="inlineStr">
        <is>
          <t>Investec Bank plc Group (consolidated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row>
    <row r="4">
      <c r="A4" s="5" t="inlineStr">
        <is>
          <t>Assets</t>
        </is>
      </c>
      <c r="B4" s="6" t="n"/>
      <c r="C4" s="6" t="n"/>
      <c r="D4" s="6" t="n"/>
      <c r="E4" s="6" t="n"/>
      <c r="F4" s="6" t="n"/>
      <c r="G4" s="6" t="n"/>
      <c r="H4" s="6" t="n"/>
      <c r="I4" s="6" t="n"/>
      <c r="J4" s="6" t="n"/>
    </row>
    <row r="5">
      <c r="A5" s="6" t="inlineStr">
        <is>
          <t>Cash and balances at central banks</t>
        </is>
      </c>
      <c r="B5" s="6" t="n">
        <v>3173756</v>
      </c>
      <c r="C5" s="6" t="n">
        <v>4191750</v>
      </c>
      <c r="D5" s="6" t="n">
        <v>5661623</v>
      </c>
      <c r="E5" s="6" t="n">
        <v>5400401</v>
      </c>
      <c r="F5" s="6" t="n">
        <v>5379994</v>
      </c>
      <c r="G5" s="6" t="n">
        <v>3043034</v>
      </c>
      <c r="H5" s="6" t="n">
        <v>2277318</v>
      </c>
      <c r="I5" s="6" t="n">
        <v>4445430</v>
      </c>
      <c r="J5" s="6" t="n">
        <v>3487768</v>
      </c>
    </row>
    <row r="6">
      <c r="A6" s="6" t="inlineStr">
        <is>
          <t>Loans and advances to banks</t>
        </is>
      </c>
      <c r="B6" s="6" t="n">
        <v>800615</v>
      </c>
      <c r="C6" s="6" t="n">
        <v>859802</v>
      </c>
      <c r="D6" s="6" t="n">
        <v>676001</v>
      </c>
      <c r="E6" s="6" t="n">
        <v>892791</v>
      </c>
      <c r="F6" s="6" t="n">
        <v>1467039</v>
      </c>
      <c r="G6" s="6" t="n">
        <v>1383602</v>
      </c>
      <c r="H6" s="6" t="n">
        <v>1793867</v>
      </c>
      <c r="I6" s="6" t="n">
        <v>954938</v>
      </c>
      <c r="J6" s="6" t="n">
        <v>772984</v>
      </c>
    </row>
    <row r="7">
      <c r="A7" s="6" t="inlineStr">
        <is>
          <t>Reverse repurchase agreements and cash collateral on securities borrowed</t>
        </is>
      </c>
      <c r="B7" s="6" t="n">
        <v>1884699</v>
      </c>
      <c r="C7" s="6" t="n">
        <v>1640765</v>
      </c>
      <c r="D7" s="6" t="n">
        <v>1140115</v>
      </c>
      <c r="E7" s="6" t="n">
        <v>1338699</v>
      </c>
      <c r="F7" s="6" t="n">
        <v>1447473</v>
      </c>
      <c r="G7" s="6" t="n">
        <v>2065232</v>
      </c>
      <c r="H7" s="6" t="n">
        <v>2458822</v>
      </c>
      <c r="I7" s="6" t="n">
        <v>633202</v>
      </c>
      <c r="J7" s="6" t="n">
        <v>750428</v>
      </c>
    </row>
    <row r="8">
      <c r="A8" s="6" t="inlineStr">
        <is>
          <t>Sovereign debt securities</t>
        </is>
      </c>
      <c r="B8" s="6" t="n">
        <v>3688138</v>
      </c>
      <c r="C8" s="6" t="n">
        <v>2524702</v>
      </c>
      <c r="D8" s="6" t="n">
        <v>1928134</v>
      </c>
      <c r="E8" s="6" t="n">
        <v>1221744</v>
      </c>
      <c r="F8" s="6" t="n">
        <v>1165777</v>
      </c>
      <c r="G8" s="6" t="n">
        <v>1108253</v>
      </c>
      <c r="H8" s="6" t="n">
        <v>1084958</v>
      </c>
      <c r="I8" s="6" t="n">
        <v>1298947</v>
      </c>
      <c r="J8" s="6" t="n">
        <v>1155472</v>
      </c>
    </row>
    <row r="9">
      <c r="A9" s="6" t="inlineStr">
        <is>
          <t>Bank debt securities</t>
        </is>
      </c>
      <c r="B9" s="6" t="n">
        <v>473920</v>
      </c>
      <c r="C9" s="6" t="n">
        <v>324179</v>
      </c>
      <c r="D9" s="6" t="n">
        <v>297255</v>
      </c>
      <c r="E9" s="6" t="n">
        <v>204691</v>
      </c>
      <c r="F9" s="6" t="n">
        <v>61714</v>
      </c>
      <c r="G9" s="6" t="n">
        <v>48044</v>
      </c>
      <c r="H9" s="6" t="n">
        <v>51238</v>
      </c>
      <c r="I9" s="6" t="n">
        <v>52265</v>
      </c>
      <c r="J9" s="6" t="n">
        <v>107938</v>
      </c>
    </row>
    <row r="10">
      <c r="A10" s="6" t="inlineStr">
        <is>
          <t>Other debt securities</t>
        </is>
      </c>
      <c r="B10" s="6" t="n">
        <v>1117751</v>
      </c>
      <c r="C10" s="6" t="n">
        <v>770722</v>
      </c>
      <c r="D10" s="6" t="n">
        <v>708285</v>
      </c>
      <c r="E10" s="6" t="n">
        <v>697275</v>
      </c>
      <c r="F10" s="6" t="n">
        <v>437649</v>
      </c>
      <c r="G10" s="6" t="n">
        <v>708845</v>
      </c>
      <c r="H10" s="6" t="n">
        <v>695818</v>
      </c>
      <c r="I10" s="6" t="n">
        <v>508142</v>
      </c>
      <c r="J10" s="6" t="n">
        <v>288349</v>
      </c>
    </row>
    <row r="11">
      <c r="A11" s="6" t="inlineStr">
        <is>
          <t>Derivative financial instruments</t>
        </is>
      </c>
      <c r="B11" s="6" t="n">
        <v>370494</v>
      </c>
      <c r="C11" s="6" t="n">
        <v>325886</v>
      </c>
      <c r="D11" s="6" t="n">
        <v>432395</v>
      </c>
      <c r="E11" s="6" t="n">
        <v>680262</v>
      </c>
      <c r="F11" s="6" t="n">
        <v>717457</v>
      </c>
      <c r="G11" s="6" t="n">
        <v>773334</v>
      </c>
      <c r="H11" s="6" t="n">
        <v>1250994</v>
      </c>
      <c r="I11" s="6" t="n">
        <v>642530</v>
      </c>
      <c r="J11" s="6" t="n">
        <v>610201</v>
      </c>
    </row>
    <row r="12">
      <c r="A12" s="6" t="inlineStr">
        <is>
          <t>Securities arising from trading activities</t>
        </is>
      </c>
      <c r="B12" s="6" t="n">
        <v>44723</v>
      </c>
      <c r="C12" s="6" t="n">
        <v>149912</v>
      </c>
      <c r="D12" s="6" t="n">
        <v>157332</v>
      </c>
      <c r="E12" s="6" t="n">
        <v>127537</v>
      </c>
      <c r="F12" s="6" t="n">
        <v>163165</v>
      </c>
      <c r="G12" s="6" t="n">
        <v>281645</v>
      </c>
      <c r="H12" s="6" t="n">
        <v>256645</v>
      </c>
      <c r="I12" s="6" t="n">
        <v>798224</v>
      </c>
      <c r="J12" s="6" t="n">
        <v>701728</v>
      </c>
    </row>
    <row r="13">
      <c r="A13" s="6" t="inlineStr">
        <is>
          <t>Loans and advances to customers</t>
        </is>
      </c>
      <c r="B13" s="6" t="n">
        <v>17803653</v>
      </c>
      <c r="C13" s="6" t="n">
        <v>16813723</v>
      </c>
      <c r="D13" s="6" t="n">
        <v>16570313</v>
      </c>
      <c r="E13" s="6" t="n">
        <v>15567809</v>
      </c>
      <c r="F13" s="6" t="n">
        <v>14426475</v>
      </c>
      <c r="G13" s="6" t="n">
        <v>12316313</v>
      </c>
      <c r="H13" s="6" t="n">
        <v>11834207</v>
      </c>
      <c r="I13" s="6" t="n">
        <v>10488022</v>
      </c>
      <c r="J13" s="6" t="n">
        <v>9663172</v>
      </c>
    </row>
    <row r="14">
      <c r="A14" s="6" t="inlineStr">
        <is>
          <t>Fair value adjustment for asset portfolio hedged risk</t>
        </is>
      </c>
      <c r="B14" s="6" t="n">
        <v>-20507</v>
      </c>
      <c r="C14" s="6" t="n"/>
      <c r="D14" s="6" t="n"/>
      <c r="E14" s="6" t="n"/>
      <c r="F14" s="6" t="n"/>
      <c r="G14" s="6" t="n"/>
      <c r="H14" s="6" t="n"/>
      <c r="I14" s="6" t="n"/>
      <c r="J14" s="6" t="n"/>
    </row>
    <row r="15">
      <c r="A15" s="6" t="inlineStr">
        <is>
          <t>Other loans and advances</t>
        </is>
      </c>
      <c r="B15" s="6" t="n">
        <v>141301</v>
      </c>
      <c r="C15" s="6" t="n">
        <v>162882</v>
      </c>
      <c r="D15" s="6" t="n">
        <v>145545</v>
      </c>
      <c r="E15" s="6" t="n">
        <v>172087</v>
      </c>
      <c r="F15" s="6" t="n">
        <v>147025</v>
      </c>
      <c r="G15" s="6" t="n">
        <v>162456</v>
      </c>
      <c r="H15" s="6" t="n">
        <v>266501</v>
      </c>
      <c r="I15" s="6" t="n">
        <v>246400</v>
      </c>
      <c r="J15" s="6" t="n">
        <v>417747</v>
      </c>
    </row>
    <row r="16">
      <c r="A16" s="6" t="inlineStr">
        <is>
          <t>Other securitised assets</t>
        </is>
      </c>
      <c r="B16" s="6" t="n"/>
      <c r="C16" s="6" t="n"/>
      <c r="D16" s="6" t="n">
        <v>66702</v>
      </c>
      <c r="E16" s="6" t="n">
        <v>78231</v>
      </c>
      <c r="F16" s="6" t="n">
        <v>93087</v>
      </c>
      <c r="G16" s="6" t="n">
        <v>107259</v>
      </c>
      <c r="H16" s="6" t="n">
        <v>106218</v>
      </c>
      <c r="I16" s="6" t="n">
        <v>118143</v>
      </c>
      <c r="J16" s="6" t="n">
        <v>132172</v>
      </c>
    </row>
    <row r="17">
      <c r="A17" s="6" t="inlineStr">
        <is>
          <t>Investment portfolio</t>
        </is>
      </c>
      <c r="B17" s="6" t="n">
        <v>202146</v>
      </c>
      <c r="C17" s="6" t="n">
        <v>211753</v>
      </c>
      <c r="D17" s="6" t="n">
        <v>244140</v>
      </c>
      <c r="E17" s="6" t="n">
        <v>311618</v>
      </c>
      <c r="F17" s="6" t="n">
        <v>333221</v>
      </c>
      <c r="G17" s="6" t="n">
        <v>350941</v>
      </c>
      <c r="H17" s="6" t="n">
        <v>350662</v>
      </c>
      <c r="I17" s="6" t="n">
        <v>486493</v>
      </c>
      <c r="J17" s="6" t="n">
        <v>472083</v>
      </c>
    </row>
    <row r="18">
      <c r="A18" s="6" t="inlineStr">
        <is>
          <t>Interests in associated undertakings and joint venture holdings</t>
        </is>
      </c>
      <c r="B18" s="6" t="n">
        <v>851867</v>
      </c>
      <c r="C18" s="6" t="n">
        <v>832141</v>
      </c>
      <c r="D18" s="6" t="n">
        <v>791272</v>
      </c>
      <c r="E18" s="6" t="n">
        <v>10851</v>
      </c>
      <c r="F18" s="6" t="n">
        <v>11444</v>
      </c>
      <c r="G18" s="6" t="n">
        <v>4213</v>
      </c>
      <c r="H18" s="6" t="n">
        <v>6579</v>
      </c>
      <c r="I18" s="6" t="n">
        <v>8855</v>
      </c>
      <c r="J18" s="6" t="n">
        <v>6414</v>
      </c>
    </row>
    <row r="19">
      <c r="A19" s="6" t="inlineStr">
        <is>
          <t>Current taxation assets</t>
        </is>
      </c>
      <c r="B19" s="6" t="n">
        <v>60322</v>
      </c>
      <c r="C19" s="6" t="n">
        <v>7016</v>
      </c>
      <c r="D19" s="6" t="n">
        <v>13254</v>
      </c>
      <c r="E19" s="6" t="n">
        <v>9890</v>
      </c>
      <c r="F19" s="6" t="n">
        <v>15727</v>
      </c>
      <c r="G19" s="6" t="n">
        <v>42620</v>
      </c>
      <c r="H19" s="6" t="n">
        <v>4603</v>
      </c>
      <c r="I19" s="6" t="n"/>
      <c r="J19" s="6" t="n"/>
    </row>
    <row r="20">
      <c r="A20" s="6" t="inlineStr">
        <is>
          <t>Deferred taxation assets</t>
        </is>
      </c>
      <c r="B20" s="6" t="n">
        <v>72671</v>
      </c>
      <c r="C20" s="6" t="n">
        <v>120918</v>
      </c>
      <c r="D20" s="6" t="n">
        <v>119730</v>
      </c>
      <c r="E20" s="6" t="n">
        <v>111513</v>
      </c>
      <c r="F20" s="6" t="n">
        <v>109542</v>
      </c>
      <c r="G20" s="6" t="n">
        <v>109849</v>
      </c>
      <c r="H20" s="6" t="n">
        <v>129715</v>
      </c>
      <c r="I20" s="6" t="n">
        <v>133344</v>
      </c>
      <c r="J20" s="6" t="n">
        <v>84599</v>
      </c>
    </row>
    <row r="21">
      <c r="A21" s="6" t="inlineStr">
        <is>
          <t>Other assets</t>
        </is>
      </c>
      <c r="B21" s="6" t="n">
        <v>934758</v>
      </c>
      <c r="C21" s="6" t="n">
        <v>677318</v>
      </c>
      <c r="D21" s="6" t="n">
        <v>750347</v>
      </c>
      <c r="E21" s="6" t="n">
        <v>993385</v>
      </c>
      <c r="F21" s="6" t="n">
        <v>1161549</v>
      </c>
      <c r="G21" s="6" t="n">
        <v>1395915</v>
      </c>
      <c r="H21" s="6" t="n">
        <v>1457556</v>
      </c>
      <c r="I21" s="6" t="n">
        <v>847604</v>
      </c>
      <c r="J21" s="6" t="n">
        <v>1013440</v>
      </c>
    </row>
    <row r="22">
      <c r="A22" s="6" t="inlineStr">
        <is>
          <t>Property and equipment</t>
        </is>
      </c>
      <c r="B22" s="6" t="n">
        <v>149630</v>
      </c>
      <c r="C22" s="6" t="n">
        <v>58940</v>
      </c>
      <c r="D22" s="6" t="n">
        <v>72947</v>
      </c>
      <c r="E22" s="6" t="n">
        <v>121014</v>
      </c>
      <c r="F22" s="6" t="n">
        <v>155055</v>
      </c>
      <c r="G22" s="6" t="n">
        <v>185502</v>
      </c>
      <c r="H22" s="6" t="n">
        <v>216955</v>
      </c>
      <c r="I22" s="6" t="n">
        <v>94714</v>
      </c>
      <c r="J22" s="6" t="n">
        <v>53183</v>
      </c>
    </row>
    <row r="23">
      <c r="A23" s="6" t="inlineStr">
        <is>
          <t>Investment properties</t>
        </is>
      </c>
      <c r="B23" s="6" t="n"/>
      <c r="C23" s="6" t="n"/>
      <c r="D23" s="6" t="n"/>
      <c r="E23" s="6" t="n"/>
      <c r="F23" s="6" t="n"/>
      <c r="G23" s="6" t="n"/>
      <c r="H23" s="6" t="n"/>
      <c r="I23" s="6" t="n">
        <v>14500</v>
      </c>
      <c r="J23" s="6" t="n">
        <v>14500</v>
      </c>
    </row>
    <row r="24">
      <c r="A24" s="6" t="inlineStr">
        <is>
          <t>Goodwill</t>
        </is>
      </c>
      <c r="B24" s="6" t="n">
        <v>65113</v>
      </c>
      <c r="C24" s="6" t="n">
        <v>56934</v>
      </c>
      <c r="D24" s="6" t="n">
        <v>58082</v>
      </c>
      <c r="E24" s="6" t="n">
        <v>249503</v>
      </c>
      <c r="F24" s="6" t="n">
        <v>244072</v>
      </c>
      <c r="G24" s="6" t="n">
        <v>244072</v>
      </c>
      <c r="H24" s="6" t="n">
        <v>252958</v>
      </c>
      <c r="I24" s="6" t="n">
        <v>260858</v>
      </c>
      <c r="J24" s="6" t="n">
        <v>261075</v>
      </c>
    </row>
    <row r="25">
      <c r="A25" s="6" t="inlineStr">
        <is>
          <t>Software</t>
        </is>
      </c>
      <c r="B25" s="6" t="n">
        <v>12458</v>
      </c>
      <c r="C25" s="6" t="n">
        <v>4742</v>
      </c>
      <c r="D25" s="6" t="n">
        <v>4571</v>
      </c>
      <c r="E25" s="6" t="n">
        <v>9415</v>
      </c>
      <c r="F25" s="6" t="n">
        <v>7066</v>
      </c>
      <c r="G25" s="6" t="n">
        <v>7791</v>
      </c>
      <c r="H25" s="6" t="n">
        <v>6955</v>
      </c>
      <c r="I25" s="6" t="n"/>
      <c r="J25" s="6" t="n"/>
    </row>
    <row r="26">
      <c r="A26" s="6" t="inlineStr">
        <is>
          <t>Other acquired intangible assets</t>
        </is>
      </c>
      <c r="B26" s="6" t="n"/>
      <c r="C26" s="6" t="n"/>
      <c r="D26" s="6" t="n"/>
      <c r="E26" s="6" t="n">
        <v>43887</v>
      </c>
      <c r="F26" s="6" t="n">
        <v>44145</v>
      </c>
      <c r="G26" s="6" t="n">
        <v>56618</v>
      </c>
      <c r="H26" s="6" t="n">
        <v>68386</v>
      </c>
      <c r="I26" s="6" t="n"/>
      <c r="J26" s="6" t="n"/>
    </row>
    <row r="27">
      <c r="A27" s="6" t="inlineStr">
        <is>
          <t>Intangible assets (software + other acquired intangibles, combined presentation)</t>
        </is>
      </c>
      <c r="B27" s="6" t="n"/>
      <c r="C27" s="6" t="n"/>
      <c r="D27" s="6" t="n"/>
      <c r="E27" s="6" t="n"/>
      <c r="F27" s="6" t="n"/>
      <c r="G27" s="6" t="n"/>
      <c r="H27" s="6" t="n"/>
      <c r="I27" s="6" t="n">
        <v>88409</v>
      </c>
      <c r="J27" s="6" t="n">
        <v>103972</v>
      </c>
    </row>
    <row r="28">
      <c r="A28" s="5" t="inlineStr">
        <is>
          <t>Total assets</t>
        </is>
      </c>
      <c r="B28" s="5" t="n">
        <v>31827508</v>
      </c>
      <c r="C28" s="5" t="n">
        <v>29734085</v>
      </c>
      <c r="D28" s="5" t="n">
        <v>29838043</v>
      </c>
      <c r="E28" s="5" t="n">
        <v>28242603</v>
      </c>
      <c r="F28" s="5" t="n">
        <v>27588676</v>
      </c>
      <c r="G28" s="5" t="n">
        <v>24395538</v>
      </c>
      <c r="H28" s="5" t="n">
        <v>24570955</v>
      </c>
      <c r="I28" s="5" t="n">
        <v>22121020</v>
      </c>
      <c r="J28" s="5" t="n">
        <v>20097225</v>
      </c>
    </row>
    <row r="29">
      <c r="A29" s="5" t="inlineStr">
        <is>
          <t>Liabilities</t>
        </is>
      </c>
      <c r="B29" s="6" t="n"/>
      <c r="C29" s="6" t="n"/>
      <c r="D29" s="6" t="n"/>
      <c r="E29" s="6" t="n"/>
      <c r="F29" s="6" t="n"/>
      <c r="G29" s="6" t="n"/>
      <c r="H29" s="6" t="n"/>
      <c r="I29" s="6" t="n"/>
      <c r="J29" s="6" t="n"/>
    </row>
    <row r="30">
      <c r="A30" s="6" t="inlineStr">
        <is>
          <t>Deposits by banks</t>
        </is>
      </c>
      <c r="B30" s="6" t="n">
        <v>902677</v>
      </c>
      <c r="C30" s="6" t="n">
        <v>1477568</v>
      </c>
      <c r="D30" s="6" t="n">
        <v>2174305</v>
      </c>
      <c r="E30" s="6" t="n">
        <v>2172170</v>
      </c>
      <c r="F30" s="6" t="n">
        <v>2026573</v>
      </c>
      <c r="G30" s="6" t="n">
        <v>1352279</v>
      </c>
      <c r="H30" s="6" t="n">
        <v>1450463</v>
      </c>
      <c r="I30" s="6" t="n">
        <v>1318776</v>
      </c>
      <c r="J30" s="6" t="n">
        <v>1295847</v>
      </c>
    </row>
    <row r="31">
      <c r="A31" s="6" t="inlineStr">
        <is>
          <t>Derivative financial instruments</t>
        </is>
      </c>
      <c r="B31" s="6" t="n">
        <v>419205</v>
      </c>
      <c r="C31" s="6" t="n">
        <v>274791</v>
      </c>
      <c r="D31" s="6" t="n">
        <v>409255</v>
      </c>
      <c r="E31" s="6" t="n">
        <v>704816</v>
      </c>
      <c r="F31" s="6" t="n">
        <v>863295</v>
      </c>
      <c r="G31" s="6" t="n">
        <v>916352</v>
      </c>
      <c r="H31" s="6" t="n">
        <v>1147525</v>
      </c>
      <c r="I31" s="6" t="n">
        <v>719027</v>
      </c>
      <c r="J31" s="6" t="n">
        <v>533319</v>
      </c>
    </row>
    <row r="32">
      <c r="A32" s="6" t="inlineStr">
        <is>
          <t>Other trading liabilities</t>
        </is>
      </c>
      <c r="B32" s="6" t="n">
        <v>19409</v>
      </c>
      <c r="C32" s="6" t="n">
        <v>16242</v>
      </c>
      <c r="D32" s="6" t="n">
        <v>18449</v>
      </c>
      <c r="E32" s="6" t="n">
        <v>28184</v>
      </c>
      <c r="F32" s="6" t="n">
        <v>42944</v>
      </c>
      <c r="G32" s="6" t="n">
        <v>49055</v>
      </c>
      <c r="H32" s="6" t="n">
        <v>118572</v>
      </c>
      <c r="I32" s="6" t="n">
        <v>80217</v>
      </c>
      <c r="J32" s="6" t="n">
        <v>103496</v>
      </c>
    </row>
    <row r="33">
      <c r="A33" s="6" t="inlineStr">
        <is>
          <t>Repurchase agreements and cash collateral on securities lent</t>
        </is>
      </c>
      <c r="B33" s="6" t="n">
        <v>1065587</v>
      </c>
      <c r="C33" s="6" t="n">
        <v>178202</v>
      </c>
      <c r="D33" s="6" t="n">
        <v>85091</v>
      </c>
      <c r="E33" s="6" t="n">
        <v>139529</v>
      </c>
      <c r="F33" s="6" t="n">
        <v>154828</v>
      </c>
      <c r="G33" s="6" t="n">
        <v>157357</v>
      </c>
      <c r="H33" s="6" t="n">
        <v>396811</v>
      </c>
      <c r="I33" s="6" t="n">
        <v>314335</v>
      </c>
      <c r="J33" s="6" t="n">
        <v>168640</v>
      </c>
    </row>
    <row r="34">
      <c r="A34" s="6" t="inlineStr">
        <is>
          <t>Customer accounts (deposits)</t>
        </is>
      </c>
      <c r="B34" s="6" t="n">
        <v>22534593</v>
      </c>
      <c r="C34" s="6" t="n">
        <v>21555444</v>
      </c>
      <c r="D34" s="6" t="n">
        <v>20851216</v>
      </c>
      <c r="E34" s="6" t="n">
        <v>19251399</v>
      </c>
      <c r="F34" s="6" t="n">
        <v>18616233</v>
      </c>
      <c r="G34" s="6" t="n">
        <v>16240634</v>
      </c>
      <c r="H34" s="6" t="n">
        <v>15505883</v>
      </c>
      <c r="I34" s="6" t="n">
        <v>13499234</v>
      </c>
      <c r="J34" s="6" t="n">
        <v>11969625</v>
      </c>
    </row>
    <row r="35">
      <c r="A35" s="6" t="inlineStr">
        <is>
          <t>Fair value adjustment for liability portfolio hedged risk</t>
        </is>
      </c>
      <c r="B35" s="6" t="n">
        <v>-10395</v>
      </c>
      <c r="C35" s="6" t="n"/>
      <c r="D35" s="6" t="n"/>
      <c r="E35" s="6" t="n"/>
      <c r="F35" s="6" t="n"/>
      <c r="G35" s="6" t="n"/>
      <c r="H35" s="6" t="n"/>
      <c r="I35" s="6" t="n"/>
      <c r="J35" s="6" t="n"/>
    </row>
    <row r="36">
      <c r="A36" s="6" t="inlineStr">
        <is>
          <t>Debt securities in issue</t>
        </is>
      </c>
      <c r="B36" s="6" t="n">
        <v>1075112</v>
      </c>
      <c r="C36" s="6" t="n">
        <v>974371</v>
      </c>
      <c r="D36" s="6" t="n">
        <v>956887</v>
      </c>
      <c r="E36" s="6" t="n">
        <v>1140879</v>
      </c>
      <c r="F36" s="6" t="n">
        <v>1120841</v>
      </c>
      <c r="G36" s="6" t="n">
        <v>1193378</v>
      </c>
      <c r="H36" s="6" t="n">
        <v>1026474</v>
      </c>
      <c r="I36" s="6" t="n">
        <v>2050141</v>
      </c>
      <c r="J36" s="6" t="n">
        <v>1942869</v>
      </c>
    </row>
    <row r="37">
      <c r="A37" s="6" t="inlineStr">
        <is>
          <t>Liabilities arising on securitisation of other assets</t>
        </is>
      </c>
      <c r="B37" s="6" t="n"/>
      <c r="C37" s="6" t="n"/>
      <c r="D37" s="6" t="n">
        <v>71751</v>
      </c>
      <c r="E37" s="6" t="n">
        <v>81609</v>
      </c>
      <c r="F37" s="6" t="n">
        <v>95885</v>
      </c>
      <c r="G37" s="6" t="n">
        <v>108281</v>
      </c>
      <c r="H37" s="6" t="n">
        <v>110679</v>
      </c>
      <c r="I37" s="6" t="n">
        <v>113711</v>
      </c>
      <c r="J37" s="6" t="n">
        <v>127853</v>
      </c>
    </row>
    <row r="38">
      <c r="A38" s="6" t="inlineStr">
        <is>
          <t>Current taxation liabilities</t>
        </is>
      </c>
      <c r="B38" s="6" t="n">
        <v>9260</v>
      </c>
      <c r="C38" s="6" t="n">
        <v>9023</v>
      </c>
      <c r="D38" s="6" t="n">
        <v>8624</v>
      </c>
      <c r="E38" s="6" t="n">
        <v>4813</v>
      </c>
      <c r="F38" s="6" t="n">
        <v>2082</v>
      </c>
      <c r="G38" s="6" t="n">
        <v>37287</v>
      </c>
      <c r="H38" s="6" t="n">
        <v>43470</v>
      </c>
      <c r="I38" s="6" t="n">
        <v>136818</v>
      </c>
      <c r="J38" s="6" t="n">
        <v>135517</v>
      </c>
    </row>
    <row r="39">
      <c r="A39" s="6" t="inlineStr">
        <is>
          <t>Deferred taxation liabilities</t>
        </is>
      </c>
      <c r="B39" s="6" t="n"/>
      <c r="C39" s="6" t="n"/>
      <c r="D39" s="6" t="n"/>
      <c r="E39" s="6" t="n"/>
      <c r="F39" s="6" t="n"/>
      <c r="G39" s="6" t="n">
        <v>20652</v>
      </c>
      <c r="H39" s="6" t="n">
        <v>22112</v>
      </c>
      <c r="I39" s="6" t="n">
        <v>21341</v>
      </c>
      <c r="J39" s="6" t="n">
        <v>22120</v>
      </c>
    </row>
    <row r="40">
      <c r="A40" s="6" t="inlineStr">
        <is>
          <t>Other liabilities</t>
        </is>
      </c>
      <c r="B40" s="6" t="n">
        <v>1248340</v>
      </c>
      <c r="C40" s="6" t="n">
        <v>893546</v>
      </c>
      <c r="D40" s="6" t="n">
        <v>987437</v>
      </c>
      <c r="E40" s="6" t="n">
        <v>1198267</v>
      </c>
      <c r="F40" s="6" t="n">
        <v>1360071</v>
      </c>
      <c r="G40" s="6" t="n">
        <v>1183862</v>
      </c>
      <c r="H40" s="6" t="n">
        <v>1630764</v>
      </c>
      <c r="I40" s="6" t="n">
        <v>900493</v>
      </c>
      <c r="J40" s="6" t="n">
        <v>1009099</v>
      </c>
    </row>
    <row r="41">
      <c r="A41" s="6" t="inlineStr">
        <is>
          <t>Subordinated liabilities</t>
        </is>
      </c>
      <c r="B41" s="6" t="n">
        <v>697632</v>
      </c>
      <c r="C41" s="6" t="n">
        <v>682218</v>
      </c>
      <c r="D41" s="6" t="n">
        <v>668810</v>
      </c>
      <c r="E41" s="6" t="n">
        <v>731483</v>
      </c>
      <c r="F41" s="6" t="n">
        <v>758739</v>
      </c>
      <c r="G41" s="6" t="n">
        <v>771481</v>
      </c>
      <c r="H41" s="6" t="n">
        <v>787030</v>
      </c>
      <c r="I41" s="6" t="n">
        <v>803699</v>
      </c>
      <c r="J41" s="6" t="n">
        <v>579673</v>
      </c>
    </row>
    <row r="42">
      <c r="A42" s="5" t="inlineStr">
        <is>
          <t>Total liabilities</t>
        </is>
      </c>
      <c r="B42" s="5" t="n">
        <v>27961420</v>
      </c>
      <c r="C42" s="5" t="n">
        <v>26061405</v>
      </c>
      <c r="D42" s="5" t="n">
        <v>26231825</v>
      </c>
      <c r="E42" s="5" t="n">
        <v>25453149</v>
      </c>
      <c r="F42" s="5" t="n">
        <v>25041491</v>
      </c>
      <c r="G42" s="5" t="n">
        <v>22030618</v>
      </c>
      <c r="H42" s="5" t="n">
        <v>22239783</v>
      </c>
      <c r="I42" s="5" t="n">
        <v>19957792</v>
      </c>
      <c r="J42" s="5" t="n">
        <v>17888058</v>
      </c>
    </row>
    <row r="43">
      <c r="A43" s="5" t="inlineStr">
        <is>
          <t>Equity</t>
        </is>
      </c>
      <c r="B43" s="6" t="n"/>
      <c r="C43" s="6" t="n"/>
      <c r="D43" s="6" t="n"/>
      <c r="E43" s="6" t="n"/>
      <c r="F43" s="6" t="n"/>
      <c r="G43" s="6" t="n"/>
      <c r="H43" s="6" t="n"/>
      <c r="I43" s="6" t="n"/>
      <c r="J43" s="6" t="n"/>
    </row>
    <row r="44">
      <c r="A44" s="6" t="inlineStr">
        <is>
          <t>Ordinary share capital</t>
        </is>
      </c>
      <c r="B44" s="6" t="n">
        <v>1280550</v>
      </c>
      <c r="C44" s="6" t="n">
        <v>1280550</v>
      </c>
      <c r="D44" s="6" t="n">
        <v>1280550</v>
      </c>
      <c r="E44" s="6" t="n">
        <v>1280550</v>
      </c>
      <c r="F44" s="6" t="n">
        <v>1280550</v>
      </c>
      <c r="G44" s="6" t="n">
        <v>1280550</v>
      </c>
      <c r="H44" s="6" t="n">
        <v>1280550</v>
      </c>
      <c r="I44" s="6" t="n">
        <v>1186800</v>
      </c>
      <c r="J44" s="6" t="n">
        <v>1186800</v>
      </c>
    </row>
    <row r="45">
      <c r="A45" s="6" t="inlineStr">
        <is>
          <t>Share premium</t>
        </is>
      </c>
      <c r="B45" s="6" t="n">
        <v>199538</v>
      </c>
      <c r="C45" s="6" t="n">
        <v>199538</v>
      </c>
      <c r="D45" s="6" t="n">
        <v>199538</v>
      </c>
      <c r="E45" s="6" t="n">
        <v>199538</v>
      </c>
      <c r="F45" s="6" t="n">
        <v>199538</v>
      </c>
      <c r="G45" s="6" t="n">
        <v>199538</v>
      </c>
      <c r="H45" s="6" t="n">
        <v>199538</v>
      </c>
      <c r="I45" s="6" t="n">
        <v>143288</v>
      </c>
      <c r="J45" s="6" t="n">
        <v>143288</v>
      </c>
    </row>
    <row r="46">
      <c r="A46" s="6" t="inlineStr">
        <is>
          <t>Capital reserve</t>
        </is>
      </c>
      <c r="B46" s="6" t="n"/>
      <c r="C46" s="6" t="n"/>
      <c r="D46" s="6" t="n">
        <v>11274</v>
      </c>
      <c r="E46" s="6" t="n">
        <v>153177</v>
      </c>
      <c r="F46" s="6" t="n">
        <v>153177</v>
      </c>
      <c r="G46" s="6" t="n">
        <v>153177</v>
      </c>
      <c r="H46" s="6" t="n">
        <v>153177</v>
      </c>
      <c r="I46" s="6" t="n">
        <v>162789</v>
      </c>
      <c r="J46" s="6" t="n">
        <v>162789</v>
      </c>
    </row>
    <row r="47">
      <c r="A47" s="6" t="inlineStr">
        <is>
          <t>Other reserves (fair value + cash flow hedge + FX translation, + own credit reserve pre-FY2022)</t>
        </is>
      </c>
      <c r="B47" s="6" t="n">
        <v>162</v>
      </c>
      <c r="C47" s="6" t="n">
        <v>4674</v>
      </c>
      <c r="D47" s="6" t="n">
        <v>26524</v>
      </c>
      <c r="E47" s="6" t="n">
        <v>34814</v>
      </c>
      <c r="F47" s="6" t="n">
        <v>1667</v>
      </c>
      <c r="G47" s="6" t="n">
        <v>-12827</v>
      </c>
      <c r="H47" s="6" t="n">
        <v>-11071</v>
      </c>
      <c r="I47" s="6" t="n">
        <v>-19647</v>
      </c>
      <c r="J47" s="6" t="n">
        <v>7344</v>
      </c>
    </row>
    <row r="48">
      <c r="A48" s="6" t="inlineStr">
        <is>
          <t>Retained income</t>
        </is>
      </c>
      <c r="B48" s="6" t="n">
        <v>2034831</v>
      </c>
      <c r="C48" s="6" t="n">
        <v>1836722</v>
      </c>
      <c r="D48" s="6" t="n">
        <v>1627373</v>
      </c>
      <c r="E48" s="6" t="n">
        <v>870424</v>
      </c>
      <c r="F48" s="6" t="n">
        <v>661420</v>
      </c>
      <c r="G48" s="6" t="n">
        <v>494092</v>
      </c>
      <c r="H48" s="6" t="n">
        <v>455609</v>
      </c>
      <c r="I48" s="6" t="n">
        <v>447924</v>
      </c>
      <c r="J48" s="6" t="n">
        <v>512006</v>
      </c>
    </row>
    <row r="49">
      <c r="A49" s="5" t="inlineStr">
        <is>
          <t>Shareholder's equity excluding non-controlling interests</t>
        </is>
      </c>
      <c r="B49" s="5" t="n">
        <v>3515081</v>
      </c>
      <c r="C49" s="5" t="n">
        <v>3321484</v>
      </c>
      <c r="D49" s="5" t="n">
        <v>3145259</v>
      </c>
      <c r="E49" s="5" t="n">
        <v>2538503</v>
      </c>
      <c r="F49" s="5" t="n">
        <v>2296352</v>
      </c>
      <c r="G49" s="5" t="n">
        <v>2114530</v>
      </c>
      <c r="H49" s="5" t="n">
        <v>2077803</v>
      </c>
      <c r="I49" s="5" t="n">
        <v>1921154</v>
      </c>
      <c r="J49" s="5" t="n">
        <v>2012227</v>
      </c>
    </row>
    <row r="50">
      <c r="A50" s="6" t="inlineStr">
        <is>
          <t>Additional Tier 1 securities in issue</t>
        </is>
      </c>
      <c r="B50" s="6" t="n">
        <v>350000</v>
      </c>
      <c r="C50" s="6" t="n">
        <v>350000</v>
      </c>
      <c r="D50" s="6" t="n">
        <v>458108</v>
      </c>
      <c r="E50" s="6" t="n">
        <v>250000</v>
      </c>
      <c r="F50" s="6" t="n">
        <v>250000</v>
      </c>
      <c r="G50" s="6" t="n">
        <v>250000</v>
      </c>
      <c r="H50" s="6" t="n">
        <v>250000</v>
      </c>
      <c r="I50" s="6" t="n">
        <v>250000</v>
      </c>
      <c r="J50" s="6" t="n">
        <v>200000</v>
      </c>
    </row>
    <row r="51">
      <c r="A51" s="6" t="inlineStr">
        <is>
          <t>Non-controlling interests in partially held subsidiaries</t>
        </is>
      </c>
      <c r="B51" s="6" t="n">
        <v>1007</v>
      </c>
      <c r="C51" s="6" t="n">
        <v>1196</v>
      </c>
      <c r="D51" s="6" t="n">
        <v>2851</v>
      </c>
      <c r="E51" s="6" t="n">
        <v>951</v>
      </c>
      <c r="F51" s="6" t="n">
        <v>833</v>
      </c>
      <c r="G51" s="6" t="n">
        <v>390</v>
      </c>
      <c r="H51" s="6" t="n">
        <v>3369</v>
      </c>
      <c r="I51" s="6" t="n">
        <v>-7926</v>
      </c>
      <c r="J51" s="6" t="n">
        <v>-3060</v>
      </c>
    </row>
    <row r="52">
      <c r="A52" s="5" t="inlineStr">
        <is>
          <t>Total equity</t>
        </is>
      </c>
      <c r="B52" s="5" t="n">
        <v>3866088</v>
      </c>
      <c r="C52" s="5" t="n">
        <v>3672680</v>
      </c>
      <c r="D52" s="5" t="n">
        <v>3606218</v>
      </c>
      <c r="E52" s="5" t="n">
        <v>2789454</v>
      </c>
      <c r="F52" s="5" t="n">
        <v>2547185</v>
      </c>
      <c r="G52" s="5" t="n">
        <v>2364920</v>
      </c>
      <c r="H52" s="5" t="n">
        <v>2331172</v>
      </c>
      <c r="I52" s="5" t="n">
        <v>2163228</v>
      </c>
      <c r="J52" s="5" t="n">
        <v>2209167</v>
      </c>
    </row>
    <row r="53">
      <c r="A53" s="5" t="inlineStr">
        <is>
          <t>Total liabilities and equity</t>
        </is>
      </c>
      <c r="B53" s="5" t="n">
        <v>31827508</v>
      </c>
      <c r="C53" s="5" t="n">
        <v>29734085</v>
      </c>
      <c r="D53" s="5" t="n">
        <v>29838043</v>
      </c>
      <c r="E53" s="5" t="n">
        <v>28242603</v>
      </c>
      <c r="F53" s="5" t="n">
        <v>27588676</v>
      </c>
      <c r="G53" s="5" t="n">
        <v>24395538</v>
      </c>
      <c r="H53" s="5" t="n">
        <v>24570955</v>
      </c>
      <c r="I53" s="5" t="n">
        <v>22121020</v>
      </c>
      <c r="J53" s="5" t="n">
        <v>20097225</v>
      </c>
    </row>
    <row r="55" ht="170" customHeight="1">
      <c r="A55" s="8" t="inlineStr">
        <is>
          <t>Sources — all figures are Investec Bank plc Group consolidated balance sheet, £'000 (converted from the source documents' £'million):
FY2026 &amp; FY2025: Investec Bank plc Annual Financial Statements 2026, p.125 (Balance sheets, Group) — https://find-and-update.company-information.service.gov.uk/company/00489604/filing-history/MzUzMDk3ODM1OWFkaXF6a2N4/document?format=pdf&amp;download=0
FY2024: Investec Bank plc Annual Financial Statements 2025, p.121 (Balance sheets, Group, 31 March 2024 comparative — restated per note 57 for the Investec Wealth &amp; Investment UK discontinued-operations classification; no FY2024 own-year Annual Report was available this session, so this restated comparative is the only source) — https://find-and-update.company-information.service.gov.uk/company/00489604/filing-history/MzQ3NDQ1NjE4M2FkaXF6a2N4/document?format=pdf&amp;download=0
FY2023 &amp; FY2022: Investec Bank plc Annual Financial Statements 2023, p.121 (Balance sheets, Group) — https://find-and-update.company-information.service.gov.uk/company/00489604/filing-history/MzM5NTY4ODE2OWFkaXF6a2N4/document?format=pdf&amp;download=0
FY2021 &amp; FY2020: Investec Bank plc Annual Financial Statements 2021, p.181 (Balance sheets, Group) — https://find-and-update.company-information.service.gov.uk/company/00489604/filing-history/MzMwOTY3ODkxNGFkaXF6a2N4/document?format=pdf&amp;download=0
FY2019: Investec Bank plc Annual Financial Statements 2019, p.152 (Consolidated balance sheets, Group, own year) — https://find-and-update.company-information.service.gov.uk/company/00489604/filing-history/MzI0MjAzMDcwOWFkaXF6a2N4/document?format=pdf&amp;download=0
FY2018: Investec Bank plc Annual Financial Statements 2019, p.152 ('31 March 2018' column — the IAS 39 comparative as originally reported, not the '1 April 2018' IFRS 9 transition-adjusted opening balance shown alongside it) — https://find-and-update.company-information.service.gov.uk/company/00489604/filing-history/MzI0MjAzMDcwOWFkaXF6a2N4/document?format=pdf&amp;download=0
Note: these are Companies House filing copies (scanned/image-only PDFs). Capital reserve was fully released to retained income during FY2025 (nil FY2026/FY2025); Deferred taxation assets and the 'Fair value adjustment for asset/liability portfolio hedged risk' lines only appear from FY2026 (new hedge accounting designation); Other securitised assets / Liabilities arising on securitisation of other assets only appear FY2022-FY2024 (a smaller-scale precursor also appears FY2018-FY2020, per its own line below). 'Deferred taxation liabilities' and 'Investment properties' were disclosed as their own lines only through FY2020/FY2019 respectively, after which they were folded into 'Other liabilities'/disposed; FY2019 and FY2018 presented software and other acquired intangibles as one combined 'Intangible assets' line (only split apart from FY2020 onward) — see each line's own row. All Total equity figures tie exactly to the Statement of Changes in Equity sheet's own closing balances.</t>
        </is>
      </c>
    </row>
  </sheetData>
  <mergeCells count="1">
    <mergeCell ref="A55:J5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Consolidated Income Statement</t>
        </is>
      </c>
    </row>
    <row r="2">
      <c r="A2" s="2" t="inlineStr">
        <is>
          <t>Investec Bank plc Group (consolidated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row>
    <row r="4">
      <c r="A4" s="5" t="inlineStr">
        <is>
          <t>Income</t>
        </is>
      </c>
      <c r="B4" s="6" t="n"/>
      <c r="C4" s="6" t="n"/>
      <c r="D4" s="6" t="n"/>
      <c r="E4" s="6" t="n"/>
      <c r="F4" s="6" t="n"/>
      <c r="G4" s="6" t="n"/>
      <c r="H4" s="6" t="n"/>
      <c r="I4" s="6" t="n"/>
      <c r="J4" s="6" t="n"/>
    </row>
    <row r="5">
      <c r="A5" s="6" t="inlineStr">
        <is>
          <t>Interest income</t>
        </is>
      </c>
      <c r="B5" s="6" t="n">
        <v>1735860</v>
      </c>
      <c r="C5" s="6" t="n">
        <v>1979851</v>
      </c>
      <c r="D5" s="6" t="n">
        <v>1933984</v>
      </c>
      <c r="E5" s="6" t="n">
        <v>1445322</v>
      </c>
      <c r="F5" s="6" t="n">
        <v>719538</v>
      </c>
      <c r="G5" s="6" t="n">
        <v>702126</v>
      </c>
      <c r="H5" s="6" t="n">
        <v>784421</v>
      </c>
      <c r="I5" s="6" t="n">
        <v>727742</v>
      </c>
      <c r="J5" s="6" t="n">
        <v>598494</v>
      </c>
    </row>
    <row r="6">
      <c r="A6" s="6" t="inlineStr">
        <is>
          <t>Interest expense</t>
        </is>
      </c>
      <c r="B6" s="6" t="n">
        <v>-1002655</v>
      </c>
      <c r="C6" s="6" t="n">
        <v>-1189390</v>
      </c>
      <c r="D6" s="6" t="n">
        <v>-1105027</v>
      </c>
      <c r="E6" s="6" t="n">
        <v>-696297</v>
      </c>
      <c r="F6" s="6" t="n">
        <v>-223230</v>
      </c>
      <c r="G6" s="6" t="n">
        <v>-288035</v>
      </c>
      <c r="H6" s="6" t="n">
        <v>-374872</v>
      </c>
      <c r="I6" s="6" t="n">
        <v>-336363</v>
      </c>
      <c r="J6" s="6" t="n">
        <v>-248876</v>
      </c>
    </row>
    <row r="7">
      <c r="A7" s="5" t="inlineStr">
        <is>
          <t>Net interest income</t>
        </is>
      </c>
      <c r="B7" s="5" t="n">
        <v>733205</v>
      </c>
      <c r="C7" s="5" t="n">
        <v>790461</v>
      </c>
      <c r="D7" s="5" t="n">
        <v>828957</v>
      </c>
      <c r="E7" s="5" t="n">
        <v>749025</v>
      </c>
      <c r="F7" s="5" t="n">
        <v>496308</v>
      </c>
      <c r="G7" s="5" t="n">
        <v>414091</v>
      </c>
      <c r="H7" s="5" t="n">
        <v>409549</v>
      </c>
      <c r="I7" s="5" t="n">
        <v>391379</v>
      </c>
      <c r="J7" s="5" t="n">
        <v>349618</v>
      </c>
    </row>
    <row r="8">
      <c r="A8" s="6" t="inlineStr">
        <is>
          <t>Fee and commission income</t>
        </is>
      </c>
      <c r="B8" s="6" t="n">
        <v>228134</v>
      </c>
      <c r="C8" s="6" t="n">
        <v>194340</v>
      </c>
      <c r="D8" s="6" t="n">
        <v>178770</v>
      </c>
      <c r="E8" s="6" t="n">
        <v>456215</v>
      </c>
      <c r="F8" s="6" t="n">
        <v>508929</v>
      </c>
      <c r="G8" s="6" t="n">
        <v>499671</v>
      </c>
      <c r="H8" s="6" t="n">
        <v>495789</v>
      </c>
      <c r="I8" s="6" t="n">
        <v>523247</v>
      </c>
      <c r="J8" s="6" t="n">
        <v>504606</v>
      </c>
    </row>
    <row r="9">
      <c r="A9" s="6" t="inlineStr">
        <is>
          <t>Fee and commission expense</t>
        </is>
      </c>
      <c r="B9" s="6" t="n">
        <v>-21489</v>
      </c>
      <c r="C9" s="6" t="n">
        <v>-13864</v>
      </c>
      <c r="D9" s="6" t="n">
        <v>-16381</v>
      </c>
      <c r="E9" s="6" t="n">
        <v>-15372</v>
      </c>
      <c r="F9" s="6" t="n">
        <v>-14697</v>
      </c>
      <c r="G9" s="6" t="n">
        <v>-13201</v>
      </c>
      <c r="H9" s="6" t="n">
        <v>-13766</v>
      </c>
      <c r="I9" s="6" t="n">
        <v>-12366</v>
      </c>
      <c r="J9" s="6" t="n">
        <v>-10094</v>
      </c>
    </row>
    <row r="10">
      <c r="A10" s="6" t="inlineStr">
        <is>
          <t>Investment income</t>
        </is>
      </c>
      <c r="B10" s="6" t="n">
        <v>42880</v>
      </c>
      <c r="C10" s="6" t="n">
        <v>41811</v>
      </c>
      <c r="D10" s="6" t="n">
        <v>2625</v>
      </c>
      <c r="E10" s="6" t="n">
        <v>5003</v>
      </c>
      <c r="F10" s="6" t="n">
        <v>10579</v>
      </c>
      <c r="G10" s="6" t="n">
        <v>23820</v>
      </c>
      <c r="H10" s="6" t="n">
        <v>6591</v>
      </c>
      <c r="I10" s="6" t="n">
        <v>34236</v>
      </c>
      <c r="J10" s="6" t="n">
        <v>68943</v>
      </c>
    </row>
    <row r="11">
      <c r="A11" s="6" t="inlineStr">
        <is>
          <t>Share of post-taxation profit of associates and joint venture holdings</t>
        </is>
      </c>
      <c r="B11" s="6" t="n">
        <v>60283</v>
      </c>
      <c r="C11" s="6" t="n">
        <v>38081</v>
      </c>
      <c r="D11" s="6" t="n">
        <v>9032</v>
      </c>
      <c r="E11" s="6" t="n">
        <v>660</v>
      </c>
      <c r="F11" s="6" t="n">
        <v>1988</v>
      </c>
      <c r="G11" s="6" t="n">
        <v>1768</v>
      </c>
      <c r="H11" s="6" t="n">
        <v>2128</v>
      </c>
      <c r="I11" s="6" t="n">
        <v>2830</v>
      </c>
      <c r="J11" s="6" t="n">
        <v>1444</v>
      </c>
    </row>
    <row r="12">
      <c r="A12" s="6" t="inlineStr">
        <is>
          <t>Trading income arising from customer flow</t>
        </is>
      </c>
      <c r="B12" s="6" t="n">
        <v>91494</v>
      </c>
      <c r="C12" s="6" t="n">
        <v>85542</v>
      </c>
      <c r="D12" s="6" t="n">
        <v>103158</v>
      </c>
      <c r="E12" s="6" t="n">
        <v>87366</v>
      </c>
      <c r="F12" s="6" t="n">
        <v>60372</v>
      </c>
      <c r="G12" s="6" t="n">
        <v>-11025</v>
      </c>
      <c r="H12" s="6" t="n">
        <v>50980</v>
      </c>
      <c r="I12" s="6" t="n">
        <v>86766</v>
      </c>
      <c r="J12" s="6" t="n">
        <v>114502</v>
      </c>
    </row>
    <row r="13">
      <c r="A13" s="6" t="inlineStr">
        <is>
          <t>Trading income arising from balance sheet management and other trading activities</t>
        </is>
      </c>
      <c r="B13" s="6" t="n">
        <v>6013</v>
      </c>
      <c r="C13" s="6" t="n">
        <v>14248</v>
      </c>
      <c r="D13" s="6" t="n">
        <v>27119</v>
      </c>
      <c r="E13" s="6" t="n">
        <v>13060</v>
      </c>
      <c r="F13" s="6" t="n">
        <v>-1305</v>
      </c>
      <c r="G13" s="6" t="n">
        <v>11206</v>
      </c>
      <c r="H13" s="6" t="n">
        <v>-528</v>
      </c>
      <c r="I13" s="6" t="n">
        <v>12732</v>
      </c>
      <c r="J13" s="6" t="n">
        <v>2838</v>
      </c>
    </row>
    <row r="14">
      <c r="A14" s="6" t="inlineStr">
        <is>
          <t>Other operating income</t>
        </is>
      </c>
      <c r="B14" s="6" t="n">
        <v>21173</v>
      </c>
      <c r="C14" s="6" t="n">
        <v>6676</v>
      </c>
      <c r="D14" s="6" t="n">
        <v>2915</v>
      </c>
      <c r="E14" s="6" t="n">
        <v>12620</v>
      </c>
      <c r="F14" s="6" t="n">
        <v>11158</v>
      </c>
      <c r="G14" s="6" t="n">
        <v>10002</v>
      </c>
      <c r="H14" s="6" t="n">
        <v>6464</v>
      </c>
      <c r="I14" s="6" t="n">
        <v>10476</v>
      </c>
      <c r="J14" s="6" t="n">
        <v>8290</v>
      </c>
    </row>
    <row r="15">
      <c r="A15" s="5" t="inlineStr">
        <is>
          <t>Operating income before expected credit loss impairment charges</t>
        </is>
      </c>
      <c r="B15" s="5" t="n">
        <v>1161693</v>
      </c>
      <c r="C15" s="5" t="n">
        <v>1157295</v>
      </c>
      <c r="D15" s="5" t="n">
        <v>1136195</v>
      </c>
      <c r="E15" s="5" t="n">
        <v>1308577</v>
      </c>
      <c r="F15" s="5" t="n">
        <v>1073332</v>
      </c>
      <c r="G15" s="5" t="n">
        <v>936332</v>
      </c>
      <c r="H15" s="5" t="n">
        <v>957207</v>
      </c>
      <c r="I15" s="5" t="n">
        <v>1049300</v>
      </c>
      <c r="J15" s="5" t="n">
        <v>1040147</v>
      </c>
    </row>
    <row r="16">
      <c r="A16" s="6" t="inlineStr">
        <is>
          <t>Expected credit loss impairment charges</t>
        </is>
      </c>
      <c r="B16" s="6" t="n">
        <v>-97349</v>
      </c>
      <c r="C16" s="6" t="n">
        <v>-97040</v>
      </c>
      <c r="D16" s="6" t="n">
        <v>-85997</v>
      </c>
      <c r="E16" s="6" t="n">
        <v>-66740</v>
      </c>
      <c r="F16" s="6" t="n">
        <v>-25363</v>
      </c>
      <c r="G16" s="6" t="n">
        <v>-71134</v>
      </c>
      <c r="H16" s="6" t="n">
        <v>-75706</v>
      </c>
      <c r="I16" s="6" t="n">
        <v>-24991</v>
      </c>
      <c r="J16" s="6" t="n"/>
    </row>
    <row r="17">
      <c r="A17" s="6" t="inlineStr">
        <is>
          <t>Impairment losses on loans and advances (pre-IFRS 9 incurred loss model)</t>
        </is>
      </c>
      <c r="B17" s="6" t="n"/>
      <c r="C17" s="6" t="n"/>
      <c r="D17" s="6" t="n"/>
      <c r="E17" s="6" t="n"/>
      <c r="F17" s="6" t="n"/>
      <c r="G17" s="6" t="n"/>
      <c r="H17" s="6" t="n"/>
      <c r="I17" s="6" t="n"/>
      <c r="J17" s="6" t="n">
        <v>-106085</v>
      </c>
    </row>
    <row r="18">
      <c r="A18" s="5" t="inlineStr">
        <is>
          <t>Operating income after expected credit loss impairment charges</t>
        </is>
      </c>
      <c r="B18" s="5" t="n">
        <v>1064344</v>
      </c>
      <c r="C18" s="5" t="n">
        <v>1060255</v>
      </c>
      <c r="D18" s="5" t="n">
        <v>1050198</v>
      </c>
      <c r="E18" s="5" t="n">
        <v>1241837</v>
      </c>
      <c r="F18" s="5" t="n">
        <v>1047969</v>
      </c>
      <c r="G18" s="5" t="n">
        <v>865198</v>
      </c>
      <c r="H18" s="5" t="n">
        <v>881501</v>
      </c>
      <c r="I18" s="5" t="n">
        <v>1024309</v>
      </c>
      <c r="J18" s="5" t="n">
        <v>934062</v>
      </c>
    </row>
    <row r="19">
      <c r="A19" s="5" t="inlineStr">
        <is>
          <t>Operating costs</t>
        </is>
      </c>
      <c r="B19" s="5" t="n">
        <v>-607310</v>
      </c>
      <c r="C19" s="5" t="n">
        <v>-597719</v>
      </c>
      <c r="D19" s="5" t="n">
        <v>-626732</v>
      </c>
      <c r="E19" s="5" t="n">
        <v>-833061</v>
      </c>
      <c r="F19" s="5" t="n">
        <v>-760286</v>
      </c>
      <c r="G19" s="5" t="n">
        <v>-757758</v>
      </c>
      <c r="H19" s="5" t="n">
        <v>-707033</v>
      </c>
      <c r="I19" s="5" t="n">
        <v>-819169</v>
      </c>
      <c r="J19" s="5" t="n">
        <v>-797049</v>
      </c>
    </row>
    <row r="20">
      <c r="A20" s="6" t="inlineStr">
        <is>
          <t>Depreciation on operating leased assets</t>
        </is>
      </c>
      <c r="B20" s="6" t="n"/>
      <c r="C20" s="6" t="n"/>
      <c r="D20" s="6" t="n"/>
      <c r="E20" s="6" t="n"/>
      <c r="F20" s="6" t="n"/>
      <c r="G20" s="6" t="n"/>
      <c r="H20" s="6" t="n"/>
      <c r="I20" s="6" t="n">
        <v>-2137</v>
      </c>
      <c r="J20" s="6" t="n">
        <v>-2350</v>
      </c>
    </row>
    <row r="21">
      <c r="A21" s="6" t="inlineStr">
        <is>
          <t>Impairment of goodwill</t>
        </is>
      </c>
      <c r="B21" s="6" t="n"/>
      <c r="C21" s="6" t="n"/>
      <c r="D21" s="6" t="n"/>
      <c r="E21" s="6" t="n">
        <v>-805</v>
      </c>
      <c r="F21" s="6" t="n"/>
      <c r="G21" s="6" t="n">
        <v>-8787</v>
      </c>
      <c r="H21" s="6" t="n"/>
      <c r="I21" s="6" t="n"/>
      <c r="J21" s="6" t="n"/>
    </row>
    <row r="22">
      <c r="A22" s="6" t="inlineStr">
        <is>
          <t>Amortisation of acquired intangibles</t>
        </is>
      </c>
      <c r="B22" s="6" t="n"/>
      <c r="C22" s="6" t="n">
        <v>0</v>
      </c>
      <c r="D22" s="6" t="n">
        <v>-940</v>
      </c>
      <c r="E22" s="6" t="n">
        <v>-12625</v>
      </c>
      <c r="F22" s="6" t="n">
        <v>-12936</v>
      </c>
      <c r="G22" s="6" t="n">
        <v>-12851</v>
      </c>
      <c r="H22" s="6" t="n">
        <v>-12915</v>
      </c>
      <c r="I22" s="6" t="n">
        <v>-12958</v>
      </c>
      <c r="J22" s="6" t="n">
        <v>-13273</v>
      </c>
    </row>
    <row r="23">
      <c r="A23" s="6" t="inlineStr">
        <is>
          <t>Closure and rundown of the Hong Kong direct investments business</t>
        </is>
      </c>
      <c r="B23" s="6" t="n"/>
      <c r="C23" s="6" t="n">
        <v>319</v>
      </c>
      <c r="D23" s="6" t="n">
        <v>-784</v>
      </c>
      <c r="E23" s="6" t="n">
        <v>-480</v>
      </c>
      <c r="F23" s="6" t="n">
        <v>-1203</v>
      </c>
      <c r="G23" s="6" t="n">
        <v>7387</v>
      </c>
      <c r="H23" s="6" t="n">
        <v>-89257</v>
      </c>
      <c r="I23" s="6" t="n"/>
      <c r="J23" s="6" t="n"/>
    </row>
    <row r="24">
      <c r="A24" s="6" t="inlineStr">
        <is>
          <t>Financial impact of strategic actions</t>
        </is>
      </c>
      <c r="B24" s="6" t="n">
        <v>-17393</v>
      </c>
      <c r="C24" s="6" t="n">
        <v>-16007</v>
      </c>
      <c r="D24" s="6" t="n"/>
      <c r="E24" s="6" t="n"/>
      <c r="F24" s="6" t="n"/>
      <c r="G24" s="6" t="n"/>
      <c r="H24" s="6" t="n"/>
      <c r="I24" s="6" t="n"/>
      <c r="J24" s="6" t="n"/>
    </row>
    <row r="25">
      <c r="A25" s="6" t="inlineStr">
        <is>
          <t>Financial impact of group restructures</t>
        </is>
      </c>
      <c r="B25" s="6" t="n"/>
      <c r="C25" s="6" t="n"/>
      <c r="D25" s="6" t="n"/>
      <c r="E25" s="6" t="n"/>
      <c r="F25" s="6" t="n"/>
      <c r="G25" s="6" t="n"/>
      <c r="H25" s="6" t="n">
        <v>-26898</v>
      </c>
      <c r="I25" s="6" t="n">
        <v>-12853</v>
      </c>
      <c r="J25" s="6" t="n"/>
    </row>
    <row r="26">
      <c r="A26" s="5" t="inlineStr">
        <is>
          <t>Profit before taxation</t>
        </is>
      </c>
      <c r="B26" s="5" t="n">
        <v>439641</v>
      </c>
      <c r="C26" s="5" t="n">
        <v>446848</v>
      </c>
      <c r="D26" s="5" t="n">
        <v>421742</v>
      </c>
      <c r="E26" s="5" t="n">
        <v>394866</v>
      </c>
      <c r="F26" s="5" t="n">
        <v>273544</v>
      </c>
      <c r="G26" s="5" t="n">
        <v>93189</v>
      </c>
      <c r="H26" s="5" t="n">
        <v>45398</v>
      </c>
      <c r="I26" s="5" t="n">
        <v>177192</v>
      </c>
      <c r="J26" s="5" t="n">
        <v>121390</v>
      </c>
    </row>
    <row r="27">
      <c r="A27" s="6" t="inlineStr">
        <is>
          <t>Taxation on operating profit before acquired intangibles/goodwill and strategic actions</t>
        </is>
      </c>
      <c r="B27" s="6" t="n">
        <v>-87619</v>
      </c>
      <c r="C27" s="6" t="n">
        <v>-80222</v>
      </c>
      <c r="D27" s="6" t="n">
        <v>-96956</v>
      </c>
      <c r="E27" s="6" t="n">
        <v>-83288</v>
      </c>
      <c r="F27" s="6" t="n">
        <v>-42174</v>
      </c>
      <c r="G27" s="6" t="n">
        <v>-31270</v>
      </c>
      <c r="H27" s="6" t="n">
        <v>-7638</v>
      </c>
      <c r="I27" s="6" t="n">
        <v>-27216</v>
      </c>
      <c r="J27" s="6" t="n">
        <v>-27651</v>
      </c>
    </row>
    <row r="28">
      <c r="A28" s="6" t="inlineStr">
        <is>
          <t>Taxation on acquired intangibles/goodwill and strategic actions</t>
        </is>
      </c>
      <c r="B28" s="6" t="n">
        <v>1529</v>
      </c>
      <c r="C28" s="6" t="n">
        <v>-195</v>
      </c>
      <c r="D28" s="6" t="n">
        <v>427</v>
      </c>
      <c r="E28" s="6" t="n">
        <v>2031</v>
      </c>
      <c r="F28" s="6" t="n">
        <v>1511</v>
      </c>
      <c r="G28" s="6" t="n">
        <v>1029</v>
      </c>
      <c r="H28" s="6" t="n">
        <v>20926</v>
      </c>
      <c r="I28" s="6" t="n">
        <v>4822</v>
      </c>
      <c r="J28" s="6" t="n">
        <v>2418</v>
      </c>
    </row>
    <row r="29">
      <c r="A29" s="5" t="inlineStr">
        <is>
          <t>Profit after taxation from continuing operations</t>
        </is>
      </c>
      <c r="B29" s="5" t="n">
        <v>353551</v>
      </c>
      <c r="C29" s="5" t="n">
        <v>366431</v>
      </c>
      <c r="D29" s="5" t="n">
        <v>325213</v>
      </c>
      <c r="E29" s="5" t="n">
        <v>313609</v>
      </c>
      <c r="F29" s="5" t="n">
        <v>232881</v>
      </c>
      <c r="G29" s="5" t="n">
        <v>62948</v>
      </c>
      <c r="H29" s="5" t="n">
        <v>58686</v>
      </c>
      <c r="I29" s="5" t="n">
        <v>154798</v>
      </c>
      <c r="J29" s="5" t="n">
        <v>96157</v>
      </c>
    </row>
    <row r="30">
      <c r="A30" s="6" t="inlineStr">
        <is>
          <t>Profit after taxation from discontinued operations</t>
        </is>
      </c>
      <c r="B30" s="6" t="n"/>
      <c r="C30" s="6" t="n"/>
      <c r="D30" s="6" t="n">
        <v>395600</v>
      </c>
      <c r="E30" s="6" t="n"/>
      <c r="F30" s="6" t="n"/>
      <c r="G30" s="6" t="n"/>
      <c r="H30" s="6" t="n"/>
      <c r="I30" s="6" t="n"/>
      <c r="J30" s="6" t="n"/>
    </row>
    <row r="31">
      <c r="A31" s="5" t="inlineStr">
        <is>
          <t>Profit after taxation</t>
        </is>
      </c>
      <c r="B31" s="5" t="n">
        <v>353551</v>
      </c>
      <c r="C31" s="5" t="n">
        <v>366431</v>
      </c>
      <c r="D31" s="5" t="n">
        <v>720813</v>
      </c>
      <c r="E31" s="5" t="n">
        <v>313609</v>
      </c>
      <c r="F31" s="5" t="n">
        <v>232881</v>
      </c>
      <c r="G31" s="5" t="n">
        <v>62948</v>
      </c>
      <c r="H31" s="5" t="n">
        <v>58686</v>
      </c>
      <c r="I31" s="5" t="n">
        <v>154798</v>
      </c>
      <c r="J31" s="5" t="n">
        <v>96157</v>
      </c>
    </row>
    <row r="32">
      <c r="A32" s="6" t="inlineStr">
        <is>
          <t>Profit/(loss) attributable to non-controlling interests</t>
        </is>
      </c>
      <c r="B32" s="6" t="n">
        <v>-355</v>
      </c>
      <c r="C32" s="6" t="n">
        <v>-12</v>
      </c>
      <c r="D32" s="6" t="n">
        <v>-1204</v>
      </c>
      <c r="E32" s="6" t="n"/>
      <c r="F32" s="6" t="n"/>
      <c r="G32" s="6" t="n">
        <v>861</v>
      </c>
      <c r="H32" s="6" t="n">
        <v>-864</v>
      </c>
      <c r="I32" s="6" t="n">
        <v>4479</v>
      </c>
      <c r="J32" s="6" t="n">
        <v>1684</v>
      </c>
    </row>
    <row r="33">
      <c r="A33" s="5" t="inlineStr">
        <is>
          <t>Earnings attributable to shareholder/equity holders</t>
        </is>
      </c>
      <c r="B33" s="5" t="n">
        <v>353196</v>
      </c>
      <c r="C33" s="5" t="n">
        <v>366419</v>
      </c>
      <c r="D33" s="5" t="n">
        <v>719609</v>
      </c>
      <c r="E33" s="5" t="n">
        <v>313609</v>
      </c>
      <c r="F33" s="5" t="n">
        <v>232881</v>
      </c>
      <c r="G33" s="5" t="n">
        <v>63809</v>
      </c>
      <c r="H33" s="5" t="n">
        <v>57822</v>
      </c>
      <c r="I33" s="5" t="n">
        <v>159277</v>
      </c>
      <c r="J33" s="5" t="n">
        <v>97841</v>
      </c>
    </row>
    <row r="34">
      <c r="A34" s="5" t="inlineStr">
        <is>
          <t>Other comprehensive income</t>
        </is>
      </c>
      <c r="B34" s="6" t="n"/>
      <c r="C34" s="6" t="n"/>
      <c r="D34" s="6" t="n"/>
      <c r="E34" s="6" t="n"/>
      <c r="F34" s="6" t="n"/>
      <c r="G34" s="6" t="n"/>
      <c r="H34" s="6" t="n"/>
      <c r="I34" s="6" t="n"/>
      <c r="J34" s="6" t="n"/>
    </row>
    <row r="35">
      <c r="A35" s="6" t="inlineStr">
        <is>
          <t>Fair value movements on cash flow hedges taken directly to OCI</t>
        </is>
      </c>
      <c r="B35" s="6" t="n">
        <v>-8931</v>
      </c>
      <c r="C35" s="6" t="n">
        <v>-11259</v>
      </c>
      <c r="D35" s="6" t="n">
        <v>-9971</v>
      </c>
      <c r="E35" s="6" t="n"/>
      <c r="F35" s="6" t="n"/>
      <c r="G35" s="6" t="n"/>
      <c r="H35" s="6" t="n"/>
      <c r="I35" s="6" t="n"/>
      <c r="J35" s="6" t="n"/>
    </row>
    <row r="36">
      <c r="A36" s="6" t="inlineStr">
        <is>
          <t>Gains/(losses) on realisation of debt instruments at FVOCI recycled through the income statement</t>
        </is>
      </c>
      <c r="B36" s="6" t="n">
        <v>2171</v>
      </c>
      <c r="C36" s="6" t="n">
        <v>-166</v>
      </c>
      <c r="D36" s="6" t="n">
        <v>-817</v>
      </c>
      <c r="E36" s="6" t="n">
        <v>-313</v>
      </c>
      <c r="F36" s="6" t="n">
        <v>-307</v>
      </c>
      <c r="G36" s="6" t="n">
        <v>821</v>
      </c>
      <c r="H36" s="6" t="n">
        <v>-1372</v>
      </c>
      <c r="I36" s="6" t="n">
        <v>-1907</v>
      </c>
      <c r="J36" s="6" t="n"/>
    </row>
    <row r="37">
      <c r="A37" s="6" t="inlineStr">
        <is>
          <t>Gains on realisation of available-for-sale assets recycled through the income statement (pre-IFRS 9)</t>
        </is>
      </c>
      <c r="B37" s="6" t="n"/>
      <c r="C37" s="6" t="n"/>
      <c r="D37" s="6" t="n"/>
      <c r="E37" s="6" t="n"/>
      <c r="F37" s="6" t="n"/>
      <c r="G37" s="6" t="n"/>
      <c r="H37" s="6" t="n"/>
      <c r="I37" s="6" t="n"/>
      <c r="J37" s="6" t="n">
        <v>-1278</v>
      </c>
    </row>
    <row r="38">
      <c r="A38" s="6" t="inlineStr">
        <is>
          <t>Fair value movements on debt instruments at FVOCI taken directly to OCI</t>
        </is>
      </c>
      <c r="B38" s="6" t="n">
        <v>-128</v>
      </c>
      <c r="C38" s="6" t="n">
        <v>-6120</v>
      </c>
      <c r="D38" s="6" t="n">
        <v>6078</v>
      </c>
      <c r="E38" s="6" t="n">
        <v>217</v>
      </c>
      <c r="F38" s="6" t="n">
        <v>-2276</v>
      </c>
      <c r="G38" s="6" t="n">
        <v>-228</v>
      </c>
      <c r="H38" s="6" t="n">
        <v>3271</v>
      </c>
      <c r="I38" s="6" t="n">
        <v>1517</v>
      </c>
      <c r="J38" s="6" t="n"/>
    </row>
    <row r="39">
      <c r="A39" s="6" t="inlineStr">
        <is>
          <t>Fair value movements on available-for-sale assets taken directly to OCI (pre-IFRS 9)</t>
        </is>
      </c>
      <c r="B39" s="6" t="n"/>
      <c r="C39" s="6" t="n"/>
      <c r="D39" s="6" t="n"/>
      <c r="E39" s="6" t="n"/>
      <c r="F39" s="6" t="n"/>
      <c r="G39" s="6" t="n"/>
      <c r="H39" s="6" t="n"/>
      <c r="I39" s="6" t="n"/>
      <c r="J39" s="6" t="n">
        <v>4525</v>
      </c>
    </row>
    <row r="40">
      <c r="A40" s="6" t="inlineStr">
        <is>
          <t>Foreign currency adjustments on translating foreign operations</t>
        </is>
      </c>
      <c r="B40" s="6" t="n">
        <v>3984</v>
      </c>
      <c r="C40" s="6" t="n">
        <v>-4305</v>
      </c>
      <c r="D40" s="6" t="n">
        <v>-3601</v>
      </c>
      <c r="E40" s="6" t="n">
        <v>5615</v>
      </c>
      <c r="F40" s="6" t="n">
        <v>5401</v>
      </c>
      <c r="G40" s="6" t="n">
        <v>-3771</v>
      </c>
      <c r="H40" s="6" t="n">
        <v>-1002</v>
      </c>
      <c r="I40" s="6" t="n">
        <v>2381</v>
      </c>
      <c r="J40" s="6" t="n">
        <v>-14187</v>
      </c>
    </row>
    <row r="41">
      <c r="A41" s="6" t="inlineStr">
        <is>
          <t>Hedge of net investment in subsidiary</t>
        </is>
      </c>
      <c r="B41" s="6" t="n">
        <v>-2080</v>
      </c>
      <c r="C41" s="6" t="n"/>
      <c r="D41" s="6" t="n"/>
      <c r="E41" s="6" t="n"/>
      <c r="F41" s="6" t="n"/>
      <c r="G41" s="6" t="n"/>
      <c r="H41" s="6" t="n"/>
      <c r="I41" s="6" t="n"/>
      <c r="J41" s="6" t="n"/>
    </row>
    <row r="42">
      <c r="A42" s="6" t="inlineStr">
        <is>
          <t>Share of other comprehensive income of associates and joint venture holdings</t>
        </is>
      </c>
      <c r="B42" s="6" t="n">
        <v>27</v>
      </c>
      <c r="C42" s="6" t="n">
        <v>-3803</v>
      </c>
      <c r="D42" s="6" t="n">
        <v>257</v>
      </c>
      <c r="E42" s="6" t="n"/>
      <c r="F42" s="6" t="n"/>
      <c r="G42" s="6" t="n"/>
      <c r="H42" s="6" t="n"/>
      <c r="I42" s="6" t="n"/>
      <c r="J42" s="6" t="n"/>
    </row>
    <row r="43">
      <c r="A43" s="6" t="inlineStr">
        <is>
          <t>Effect of rate change on deferred taxation relating to adjustment for IFRS 9</t>
        </is>
      </c>
      <c r="B43" s="6" t="n"/>
      <c r="C43" s="6" t="n"/>
      <c r="D43" s="6" t="n"/>
      <c r="E43" s="6" t="n">
        <v>-7</v>
      </c>
      <c r="F43" s="6" t="n">
        <v>617</v>
      </c>
      <c r="G43" s="6" t="n">
        <v>380</v>
      </c>
      <c r="H43" s="6" t="n">
        <v>-1761</v>
      </c>
      <c r="I43" s="6" t="n">
        <v>-1572</v>
      </c>
      <c r="J43" s="6" t="n"/>
    </row>
    <row r="44">
      <c r="A44" s="6" t="inlineStr">
        <is>
          <t>Gains attributable to own credit risk</t>
        </is>
      </c>
      <c r="B44" s="6" t="n"/>
      <c r="C44" s="6" t="n"/>
      <c r="D44" s="6" t="n"/>
      <c r="E44" s="6" t="n"/>
      <c r="F44" s="6" t="n">
        <v>11059</v>
      </c>
      <c r="G44" s="6" t="n">
        <v>62</v>
      </c>
      <c r="H44" s="6" t="n">
        <v>9440</v>
      </c>
      <c r="I44" s="6" t="n">
        <v>9104</v>
      </c>
      <c r="J44" s="6" t="n"/>
    </row>
    <row r="45">
      <c r="A45" s="6" t="inlineStr">
        <is>
          <t>Movement in post-retirement benefit liabilities</t>
        </is>
      </c>
      <c r="B45" s="6" t="n"/>
      <c r="C45" s="6" t="n"/>
      <c r="D45" s="6" t="n"/>
      <c r="E45" s="6" t="n">
        <v>75</v>
      </c>
      <c r="F45" s="6" t="n">
        <v>40</v>
      </c>
      <c r="G45" s="6" t="n">
        <v>-39</v>
      </c>
      <c r="H45" s="6" t="n">
        <v>51</v>
      </c>
      <c r="I45" s="6" t="n"/>
      <c r="J45" s="6" t="n"/>
    </row>
    <row r="46">
      <c r="A46" s="5" t="inlineStr">
        <is>
          <t>Total comprehensive income for the year</t>
        </is>
      </c>
      <c r="B46" s="5" t="n">
        <v>348594</v>
      </c>
      <c r="C46" s="5" t="n">
        <v>340778</v>
      </c>
      <c r="D46" s="5" t="n">
        <v>712759</v>
      </c>
      <c r="E46" s="5" t="n">
        <v>346831</v>
      </c>
      <c r="F46" s="5" t="n">
        <v>247415</v>
      </c>
      <c r="G46" s="5" t="n">
        <v>60173</v>
      </c>
      <c r="H46" s="5" t="n">
        <v>67313</v>
      </c>
      <c r="I46" s="5" t="n">
        <v>164321</v>
      </c>
      <c r="J46" s="5" t="n">
        <v>85217</v>
      </c>
    </row>
    <row r="48" ht="195" customHeight="1">
      <c r="A48" s="8" t="inlineStr">
        <is>
          <t>Sources — all figures are Investec Bank plc Group consolidated income statement, £'000 (converted from the source documents' £'million):
FY2026 &amp; FY2025: Investec Bank plc Annual Financial Statements 2026, p.123-124 (Consolidated income statement / Consolidated statement of total comprehensive income) — https://find-and-update.company-information.service.gov.uk/company/00489604/filing-history/MzUzMDk3ODM1OWFkaXF6a2N4/document?format=pdf&amp;download=0
FY2024: Investec Bank plc Annual Financial Statements 2025, p.119-120 (as the FY2025 report's own prior-year comparative; no FY2024 own-year Annual Report was available this session) — https://find-and-update.company-information.service.gov.uk/company/00489604/filing-history/MzQ3NDQ1NjE4M2FkaXF6a2N4/document?format=pdf&amp;download=0
FY2023 &amp; FY2022: Investec Bank plc Annual Financial Statements 2023, p.119-120 — https://find-and-update.company-information.service.gov.uk/company/00489604/filing-history/MzM5NTY4ODE2OWFkaXF6a2N4/document?format=pdf&amp;download=0
FY2021 &amp; FY2020: Investec Bank plc Annual Financial Statements 2021, p.179-180 — https://find-and-update.company-information.service.gov.uk/company/00489604/filing-history/MzMwOTY3ODkxNGFkaXF6a2N4/document?format=pdf&amp;download=0
FY2019 (own year) &amp; FY2018 (own-year comparative, IAS 39 basis): Investec Bank plc Annual Financial Statements 2019, p.150-151 — https://find-and-update.company-information.service.gov.uk/company/00489604/filing-history/MzI0MjAzMDcwOWFkaXF6a2N4/document?format=pdf&amp;download=0
Presentation structure genuinely changed across the 9 years, shown on each year's own basis rather than forced into one template: FY2023-FY2022 group operating income/expense under 'Operating profit before goodwill, acquired intangibles and strategic actions' with a separate 'Impairment of goodwill' line; FY2025-FY2026 instead group under 'Operating income'/'Operating income after expected credit loss impairment charges' with a 'Financial impact of strategic actions' line (no separate goodwill impairment line disclosed those years); FY2021/FY2020/FY2019/FY2018 use the same 'Operating profit before goodwill, acquired intangibles and strategic actions' subtotal as FY2023/FY2022 but via a 'Financial impact of group restructures' line rather than 'strategic actions' (FY2020: £(26,898)k; FY2019: £(12,853)k; not disclosed as a separate line FY2021/FY2018). FY2019 and FY2018 additionally show a standalone 'Depreciation on operating leased assets' line (not disclosed as separate from Operating costs in any later year) and FY2018 predates IFRS 9 entirely (adopted 1 April 2018): its impairment charge is booked as 'Impairment losses on loans and advances' under the old incurred-loss model, not 'Expected credit loss impairment charges' — both rows are kept distinct rather than merged. FY2024 uniquely splits Profit after taxation into continuing vs discontinued operations (£395,600k discontinued - the Investec Wealth &amp; Investment UK disposal); no other year has a discontinued-operations split. 'Share of post-taxation profit of associates and joint venture holdings' is shown as a single combined figure FY2023-FY2022 and FY2021-FY2018 (no amortisation/integration-cost breakdown existed yet at that granularity). All 'Total comprehensive income' rows tie exactly to the Statement of Changes in Equity sheet's own 'Total comprehensive income for the year' rows.</t>
        </is>
      </c>
    </row>
  </sheetData>
  <mergeCells count="1">
    <mergeCell ref="A48:J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0"/>
  <sheetViews>
    <sheetView workbookViewId="0">
      <pane ySplit="4" topLeftCell="A5" activePane="bottomLeft" state="frozen"/>
      <selection pane="bottomLef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Investec Bank plc — Statement of Changes in Equity</t>
        </is>
      </c>
    </row>
    <row r="2">
      <c r="A2" s="2" t="inlineStr">
        <is>
          <t>Investec Bank plc Group (consolidated basis), £'000. Chronological roll-forward, oldest to newest.</t>
        </is>
      </c>
    </row>
    <row r="3">
      <c r="A3" s="4" t="inlineStr">
        <is>
          <t>Movement</t>
        </is>
      </c>
      <c r="B3" s="4" t="inlineStr">
        <is>
          <t>Ordinary share capital</t>
        </is>
      </c>
      <c r="C3" s="4" t="inlineStr">
        <is>
          <t>Share premium</t>
        </is>
      </c>
      <c r="D3" s="4" t="inlineStr">
        <is>
          <t>Capital reserve account</t>
        </is>
      </c>
      <c r="E3" s="4" t="inlineStr">
        <is>
          <t>Fair value reserve</t>
        </is>
      </c>
      <c r="F3" s="4" t="inlineStr">
        <is>
          <t>Cash flow hedge reserve (FY2022+) / Own credit reserve (FY2018-FY2021)</t>
        </is>
      </c>
      <c r="G3" s="4" t="inlineStr">
        <is>
          <t>Foreign currency reserve</t>
        </is>
      </c>
      <c r="H3" s="4" t="inlineStr">
        <is>
          <t>Retained income</t>
        </is>
      </c>
      <c r="I3" s="4" t="inlineStr">
        <is>
          <t>Shareholder's equity excl. NCI</t>
        </is>
      </c>
      <c r="J3" s="4" t="inlineStr">
        <is>
          <t>Additional Tier 1 securities</t>
        </is>
      </c>
      <c r="K3" s="4" t="inlineStr">
        <is>
          <t>Non-controlling interests</t>
        </is>
      </c>
      <c r="L3" s="4" t="inlineStr">
        <is>
          <t>Total equity</t>
        </is>
      </c>
    </row>
    <row r="4">
      <c r="A4" s="5" t="inlineStr">
        <is>
          <t>At 1 April 2017</t>
        </is>
      </c>
      <c r="B4" s="5" t="n">
        <v>1186800</v>
      </c>
      <c r="C4" s="5" t="n">
        <v>143288</v>
      </c>
      <c r="D4" s="5" t="n">
        <v>162789</v>
      </c>
      <c r="E4" s="5" t="n">
        <v>7243</v>
      </c>
      <c r="F4" s="5" t="n"/>
      <c r="G4" s="5" t="n">
        <v>11539</v>
      </c>
      <c r="H4" s="5" t="n">
        <v>470272</v>
      </c>
      <c r="I4" s="5" t="n">
        <v>1981931</v>
      </c>
      <c r="J4" s="5" t="n"/>
      <c r="K4" s="5" t="n">
        <v>-2000</v>
      </c>
      <c r="L4" s="5" t="n">
        <v>1979931</v>
      </c>
    </row>
    <row r="5">
      <c r="A5" s="6" t="inlineStr">
        <is>
          <t>Profit after taxation</t>
        </is>
      </c>
      <c r="B5" s="6" t="n"/>
      <c r="C5" s="6" t="n"/>
      <c r="D5" s="6" t="n"/>
      <c r="E5" s="6" t="n"/>
      <c r="F5" s="6" t="n"/>
      <c r="G5" s="6" t="n"/>
      <c r="H5" s="6" t="n">
        <v>97841</v>
      </c>
      <c r="I5" s="6" t="n">
        <v>97841</v>
      </c>
      <c r="J5" s="6" t="n"/>
      <c r="K5" s="6" t="n">
        <v>-1684</v>
      </c>
      <c r="L5" s="6" t="n">
        <v>96157</v>
      </c>
    </row>
    <row r="6">
      <c r="A6" s="6" t="inlineStr">
        <is>
          <t>Losses on realisation of available-for-sale assets recycled through the income statement</t>
        </is>
      </c>
      <c r="B6" s="6" t="n"/>
      <c r="C6" s="6" t="n"/>
      <c r="D6" s="6" t="n"/>
      <c r="E6" s="6" t="n">
        <v>-1278</v>
      </c>
      <c r="F6" s="6" t="n"/>
      <c r="G6" s="6" t="n"/>
      <c r="H6" s="6" t="n"/>
      <c r="I6" s="6" t="n">
        <v>-1278</v>
      </c>
      <c r="J6" s="6" t="n"/>
      <c r="K6" s="6" t="n"/>
      <c r="L6" s="6" t="n">
        <v>-1278</v>
      </c>
    </row>
    <row r="7">
      <c r="A7" s="6" t="inlineStr">
        <is>
          <t>Fair value movements on available-for-sale assets taken directly to OCI</t>
        </is>
      </c>
      <c r="B7" s="6" t="n"/>
      <c r="C7" s="6" t="n"/>
      <c r="D7" s="6" t="n"/>
      <c r="E7" s="6" t="n">
        <v>4525</v>
      </c>
      <c r="F7" s="6" t="n"/>
      <c r="G7" s="6" t="n"/>
      <c r="H7" s="6" t="n"/>
      <c r="I7" s="6" t="n">
        <v>4525</v>
      </c>
      <c r="J7" s="6" t="n"/>
      <c r="K7" s="6" t="n"/>
      <c r="L7" s="6" t="n">
        <v>4525</v>
      </c>
    </row>
    <row r="8">
      <c r="A8" s="6" t="inlineStr">
        <is>
          <t>Foreign currency adjustments on translating foreign operations</t>
        </is>
      </c>
      <c r="B8" s="6" t="n"/>
      <c r="C8" s="6" t="n"/>
      <c r="D8" s="6" t="n"/>
      <c r="E8" s="6" t="n"/>
      <c r="F8" s="6" t="n"/>
      <c r="G8" s="6" t="n">
        <v>-14685</v>
      </c>
      <c r="H8" s="6" t="n"/>
      <c r="I8" s="6" t="n">
        <v>-14685</v>
      </c>
      <c r="J8" s="6" t="n"/>
      <c r="K8" s="6" t="n">
        <v>498</v>
      </c>
      <c r="L8" s="6" t="n">
        <v>-14187</v>
      </c>
    </row>
    <row r="9">
      <c r="A9" s="5" t="inlineStr">
        <is>
          <t>Total comprehensive income for the year</t>
        </is>
      </c>
      <c r="B9" s="5" t="n"/>
      <c r="C9" s="5" t="n"/>
      <c r="D9" s="5" t="n"/>
      <c r="E9" s="5" t="n">
        <v>3247</v>
      </c>
      <c r="F9" s="5" t="n"/>
      <c r="G9" s="5" t="n">
        <v>-14685</v>
      </c>
      <c r="H9" s="5" t="n">
        <v>97841</v>
      </c>
      <c r="I9" s="5" t="n">
        <v>86403</v>
      </c>
      <c r="J9" s="5" t="n"/>
      <c r="K9" s="5" t="n">
        <v>-1186</v>
      </c>
      <c r="L9" s="5" t="n">
        <v>85217</v>
      </c>
    </row>
    <row r="10">
      <c r="A10" s="6" t="inlineStr">
        <is>
          <t>Share-based payments adjustments</t>
        </is>
      </c>
      <c r="B10" s="6" t="n"/>
      <c r="C10" s="6" t="n"/>
      <c r="D10" s="6" t="n"/>
      <c r="E10" s="6" t="n"/>
      <c r="F10" s="6" t="n"/>
      <c r="G10" s="6" t="n"/>
      <c r="H10" s="6" t="n">
        <v>1129</v>
      </c>
      <c r="I10" s="6" t="n">
        <v>1129</v>
      </c>
      <c r="J10" s="6" t="n"/>
      <c r="K10" s="6" t="n"/>
      <c r="L10" s="6" t="n">
        <v>1129</v>
      </c>
    </row>
    <row r="11">
      <c r="A11" s="6" t="inlineStr">
        <is>
          <t>Issue of Additional Tier 1 security instruments</t>
        </is>
      </c>
      <c r="B11" s="6" t="n"/>
      <c r="C11" s="6" t="n"/>
      <c r="D11" s="6" t="n"/>
      <c r="E11" s="6" t="n"/>
      <c r="F11" s="6" t="n"/>
      <c r="G11" s="6" t="n"/>
      <c r="H11" s="6" t="n"/>
      <c r="I11" s="6" t="n"/>
      <c r="J11" s="6" t="n">
        <v>200000</v>
      </c>
      <c r="K11" s="6" t="n"/>
      <c r="L11" s="6" t="n">
        <v>200000</v>
      </c>
    </row>
    <row r="12">
      <c r="A12" s="6" t="inlineStr">
        <is>
          <t>Dividends paid to ordinary shareholder</t>
        </is>
      </c>
      <c r="B12" s="6" t="n"/>
      <c r="C12" s="6" t="n"/>
      <c r="D12" s="6" t="n"/>
      <c r="E12" s="6" t="n"/>
      <c r="F12" s="6" t="n"/>
      <c r="G12" s="6" t="n"/>
      <c r="H12" s="6" t="n">
        <v>-53000</v>
      </c>
      <c r="I12" s="6" t="n">
        <v>-53000</v>
      </c>
      <c r="J12" s="6" t="n"/>
      <c r="K12" s="6" t="n"/>
      <c r="L12" s="6" t="n">
        <v>-53000</v>
      </c>
    </row>
    <row r="13">
      <c r="A13" s="6" t="inlineStr">
        <is>
          <t>Dividends declared to Additional Tier 1 security holders</t>
        </is>
      </c>
      <c r="B13" s="6" t="n"/>
      <c r="C13" s="6" t="n"/>
      <c r="D13" s="6" t="n"/>
      <c r="E13" s="6" t="n"/>
      <c r="F13" s="6" t="n"/>
      <c r="G13" s="6" t="n"/>
      <c r="H13" s="6" t="n">
        <v>-4236</v>
      </c>
      <c r="I13" s="6" t="n">
        <v>-4236</v>
      </c>
      <c r="J13" s="6" t="n">
        <v>4236</v>
      </c>
      <c r="K13" s="6" t="n"/>
      <c r="L13" s="6" t="n">
        <v>0</v>
      </c>
    </row>
    <row r="14">
      <c r="A14" s="6" t="inlineStr">
        <is>
          <t>Dividends paid to Additional Tier 1 security holders</t>
        </is>
      </c>
      <c r="B14" s="6" t="n"/>
      <c r="C14" s="6" t="n"/>
      <c r="D14" s="6" t="n"/>
      <c r="E14" s="6" t="n"/>
      <c r="F14" s="6" t="n"/>
      <c r="G14" s="6" t="n"/>
      <c r="H14" s="6" t="n"/>
      <c r="I14" s="6" t="n"/>
      <c r="J14" s="6" t="n">
        <v>-4236</v>
      </c>
      <c r="K14" s="6" t="n"/>
      <c r="L14" s="6" t="n">
        <v>-4236</v>
      </c>
    </row>
    <row r="15">
      <c r="A15" s="6" t="inlineStr">
        <is>
          <t>Net equity impact of non-controlling interest movements</t>
        </is>
      </c>
      <c r="B15" s="6" t="n"/>
      <c r="C15" s="6" t="n"/>
      <c r="D15" s="6" t="n"/>
      <c r="E15" s="6" t="n"/>
      <c r="F15" s="6" t="n"/>
      <c r="G15" s="6" t="n"/>
      <c r="H15" s="6" t="n"/>
      <c r="I15" s="6" t="n"/>
      <c r="J15" s="6" t="n"/>
      <c r="K15" s="6" t="n">
        <v>126</v>
      </c>
      <c r="L15" s="6" t="n">
        <v>126</v>
      </c>
    </row>
    <row r="16">
      <c r="A16" s="5" t="inlineStr">
        <is>
          <t>At 31 March 2018</t>
        </is>
      </c>
      <c r="B16" s="5" t="n">
        <v>1186800</v>
      </c>
      <c r="C16" s="5" t="n">
        <v>143288</v>
      </c>
      <c r="D16" s="5" t="n">
        <v>162789</v>
      </c>
      <c r="E16" s="5" t="n">
        <v>10490</v>
      </c>
      <c r="F16" s="5" t="n"/>
      <c r="G16" s="5" t="n">
        <v>-3146</v>
      </c>
      <c r="H16" s="5" t="n">
        <v>512006</v>
      </c>
      <c r="I16" s="5" t="n">
        <v>2012227</v>
      </c>
      <c r="J16" s="5" t="n">
        <v>200000</v>
      </c>
      <c r="K16" s="5" t="n">
        <v>-3060</v>
      </c>
      <c r="L16" s="5" t="n">
        <v>2209167</v>
      </c>
    </row>
    <row r="17">
      <c r="A17" s="6" t="inlineStr">
        <is>
          <t>Adoption of IFRS 9 (1 April 2018 transition adjustment)</t>
        </is>
      </c>
      <c r="B17" s="6" t="n"/>
      <c r="C17" s="6" t="n"/>
      <c r="D17" s="6" t="n"/>
      <c r="E17" s="6" t="n">
        <v>-7970</v>
      </c>
      <c r="F17" s="6" t="n">
        <v>-55388</v>
      </c>
      <c r="G17" s="6" t="n"/>
      <c r="H17" s="6" t="n">
        <v>-148306</v>
      </c>
      <c r="I17" s="6" t="n">
        <v>-211664</v>
      </c>
      <c r="J17" s="6" t="n"/>
      <c r="K17" s="6" t="n"/>
      <c r="L17" s="6" t="n">
        <v>-211664</v>
      </c>
    </row>
    <row r="18">
      <c r="A18" s="5" t="inlineStr">
        <is>
          <t>At 1 April 2018</t>
        </is>
      </c>
      <c r="B18" s="5" t="n">
        <v>1186800</v>
      </c>
      <c r="C18" s="5" t="n">
        <v>143288</v>
      </c>
      <c r="D18" s="5" t="n">
        <v>162789</v>
      </c>
      <c r="E18" s="5" t="n">
        <v>2520</v>
      </c>
      <c r="F18" s="5" t="n">
        <v>-55388</v>
      </c>
      <c r="G18" s="5" t="n">
        <v>-3146</v>
      </c>
      <c r="H18" s="5" t="n">
        <v>363700</v>
      </c>
      <c r="I18" s="5" t="n">
        <v>1800563</v>
      </c>
      <c r="J18" s="5" t="n">
        <v>200000</v>
      </c>
      <c r="K18" s="5" t="n">
        <v>-3060</v>
      </c>
      <c r="L18" s="5" t="n">
        <v>1997503</v>
      </c>
    </row>
    <row r="19">
      <c r="A19" s="6" t="inlineStr">
        <is>
          <t>Profit after taxation</t>
        </is>
      </c>
      <c r="B19" s="6" t="n"/>
      <c r="C19" s="6" t="n"/>
      <c r="D19" s="6" t="n"/>
      <c r="E19" s="6" t="n"/>
      <c r="F19" s="6" t="n"/>
      <c r="G19" s="6" t="n"/>
      <c r="H19" s="6" t="n">
        <v>159277</v>
      </c>
      <c r="I19" s="6" t="n">
        <v>159277</v>
      </c>
      <c r="J19" s="6" t="n"/>
      <c r="K19" s="6" t="n">
        <v>-4479</v>
      </c>
      <c r="L19" s="6" t="n">
        <v>154798</v>
      </c>
    </row>
    <row r="20">
      <c r="A20" s="6" t="inlineStr">
        <is>
          <t>Effect of rate change on deferred taxation relating to adjustment for IFRS 9</t>
        </is>
      </c>
      <c r="B20" s="6" t="n"/>
      <c r="C20" s="6" t="n"/>
      <c r="D20" s="6" t="n"/>
      <c r="E20" s="6" t="n">
        <v>-47</v>
      </c>
      <c r="F20" s="6" t="n">
        <v>-817</v>
      </c>
      <c r="G20" s="6" t="n"/>
      <c r="H20" s="6" t="n">
        <v>-708</v>
      </c>
      <c r="I20" s="6" t="n">
        <v>-1572</v>
      </c>
      <c r="J20" s="6" t="n"/>
      <c r="K20" s="6" t="n"/>
      <c r="L20" s="6" t="n">
        <v>-1572</v>
      </c>
    </row>
    <row r="21">
      <c r="A21" s="6" t="inlineStr">
        <is>
          <t>Gains on realisation of debt instruments at FVOCI recycled through the income statement</t>
        </is>
      </c>
      <c r="B21" s="6" t="n"/>
      <c r="C21" s="6" t="n"/>
      <c r="D21" s="6" t="n"/>
      <c r="E21" s="6" t="n">
        <v>-1907</v>
      </c>
      <c r="F21" s="6" t="n"/>
      <c r="G21" s="6" t="n"/>
      <c r="H21" s="6" t="n"/>
      <c r="I21" s="6" t="n">
        <v>-1907</v>
      </c>
      <c r="J21" s="6" t="n"/>
      <c r="K21" s="6" t="n"/>
      <c r="L21" s="6" t="n">
        <v>-1907</v>
      </c>
    </row>
    <row r="22">
      <c r="A22" s="6" t="inlineStr">
        <is>
          <t>Fair value movements on debt instruments at FVOCI taken directly to OCI</t>
        </is>
      </c>
      <c r="B22" s="6" t="n"/>
      <c r="C22" s="6" t="n"/>
      <c r="D22" s="6" t="n"/>
      <c r="E22" s="6" t="n">
        <v>1517</v>
      </c>
      <c r="F22" s="6" t="n"/>
      <c r="G22" s="6" t="n"/>
      <c r="H22" s="6" t="n"/>
      <c r="I22" s="6" t="n">
        <v>1517</v>
      </c>
      <c r="J22" s="6" t="n"/>
      <c r="K22" s="6" t="n"/>
      <c r="L22" s="6" t="n">
        <v>1517</v>
      </c>
    </row>
    <row r="23">
      <c r="A23" s="6" t="inlineStr">
        <is>
          <t>Foreign currency adjustments on translating foreign operations</t>
        </is>
      </c>
      <c r="B23" s="6" t="n"/>
      <c r="C23" s="6" t="n"/>
      <c r="D23" s="6" t="n"/>
      <c r="E23" s="6" t="n">
        <v>1</v>
      </c>
      <c r="F23" s="6" t="n"/>
      <c r="G23" s="6" t="n">
        <v>2792</v>
      </c>
      <c r="H23" s="6" t="n"/>
      <c r="I23" s="6" t="n">
        <v>2793</v>
      </c>
      <c r="J23" s="6" t="n"/>
      <c r="K23" s="6" t="n">
        <v>-412</v>
      </c>
      <c r="L23" s="6" t="n">
        <v>2381</v>
      </c>
    </row>
    <row r="24">
      <c r="A24" s="6" t="inlineStr">
        <is>
          <t>Gains attributable to own credit risk</t>
        </is>
      </c>
      <c r="B24" s="6" t="n"/>
      <c r="C24" s="6" t="n"/>
      <c r="D24" s="6" t="n"/>
      <c r="E24" s="6" t="n"/>
      <c r="F24" s="6" t="n">
        <v>9104</v>
      </c>
      <c r="G24" s="6" t="n"/>
      <c r="H24" s="6" t="n"/>
      <c r="I24" s="6" t="n">
        <v>9104</v>
      </c>
      <c r="J24" s="6" t="n"/>
      <c r="K24" s="6" t="n"/>
      <c r="L24" s="6" t="n">
        <v>9104</v>
      </c>
    </row>
    <row r="25">
      <c r="A25" s="5" t="inlineStr">
        <is>
          <t>Total comprehensive income for the year</t>
        </is>
      </c>
      <c r="B25" s="5" t="n"/>
      <c r="C25" s="5" t="n"/>
      <c r="D25" s="5" t="n"/>
      <c r="E25" s="5" t="n">
        <v>-436</v>
      </c>
      <c r="F25" s="5" t="n">
        <v>8287</v>
      </c>
      <c r="G25" s="5" t="n">
        <v>2792</v>
      </c>
      <c r="H25" s="5" t="n">
        <v>158569</v>
      </c>
      <c r="I25" s="5" t="n">
        <v>169212</v>
      </c>
      <c r="J25" s="5" t="n"/>
      <c r="K25" s="5" t="n">
        <v>-4891</v>
      </c>
      <c r="L25" s="5" t="n">
        <v>164321</v>
      </c>
    </row>
    <row r="26">
      <c r="A26" s="6" t="inlineStr">
        <is>
          <t>Share-based payments adjustments</t>
        </is>
      </c>
      <c r="B26" s="6" t="n"/>
      <c r="C26" s="6" t="n"/>
      <c r="D26" s="6" t="n"/>
      <c r="E26" s="6" t="n"/>
      <c r="F26" s="6" t="n"/>
      <c r="G26" s="6" t="n"/>
      <c r="H26" s="6" t="n">
        <v>-2367</v>
      </c>
      <c r="I26" s="6" t="n">
        <v>-2367</v>
      </c>
      <c r="J26" s="6" t="n"/>
      <c r="K26" s="6" t="n"/>
      <c r="L26" s="6" t="n">
        <v>-2367</v>
      </c>
    </row>
    <row r="27">
      <c r="A27" s="6" t="inlineStr">
        <is>
          <t>Issue of Additional Tier 1 security instruments</t>
        </is>
      </c>
      <c r="B27" s="6" t="n"/>
      <c r="C27" s="6" t="n"/>
      <c r="D27" s="6" t="n"/>
      <c r="E27" s="6" t="n"/>
      <c r="F27" s="6" t="n"/>
      <c r="G27" s="6" t="n"/>
      <c r="H27" s="6" t="n"/>
      <c r="I27" s="6" t="n"/>
      <c r="J27" s="6" t="n">
        <v>50000</v>
      </c>
      <c r="K27" s="6" t="n"/>
      <c r="L27" s="6" t="n">
        <v>50000</v>
      </c>
    </row>
    <row r="28">
      <c r="A28" s="6" t="inlineStr">
        <is>
          <t>Dividends paid to ordinary shareholder</t>
        </is>
      </c>
      <c r="B28" s="6" t="n"/>
      <c r="C28" s="6" t="n"/>
      <c r="D28" s="6" t="n"/>
      <c r="E28" s="6" t="n"/>
      <c r="F28" s="6" t="n"/>
      <c r="G28" s="6" t="n"/>
      <c r="H28" s="6" t="n">
        <v>-35000</v>
      </c>
      <c r="I28" s="6" t="n">
        <v>-35000</v>
      </c>
      <c r="J28" s="6" t="n"/>
      <c r="K28" s="6" t="n"/>
      <c r="L28" s="6" t="n">
        <v>-35000</v>
      </c>
    </row>
    <row r="29">
      <c r="A29" s="6" t="inlineStr">
        <is>
          <t>Dividends declared to Additional Tier 1 security holders</t>
        </is>
      </c>
      <c r="B29" s="6" t="n"/>
      <c r="C29" s="6" t="n"/>
      <c r="D29" s="6" t="n"/>
      <c r="E29" s="6" t="n"/>
      <c r="F29" s="6" t="n"/>
      <c r="G29" s="6" t="n"/>
      <c r="H29" s="6" t="n">
        <v>-11254</v>
      </c>
      <c r="I29" s="6" t="n">
        <v>-11254</v>
      </c>
      <c r="J29" s="6" t="n">
        <v>11254</v>
      </c>
      <c r="K29" s="6" t="n"/>
      <c r="L29" s="6" t="n">
        <v>0</v>
      </c>
    </row>
    <row r="30">
      <c r="A30" s="6" t="inlineStr">
        <is>
          <t>Dividends paid to Additional Tier 1 security holders</t>
        </is>
      </c>
      <c r="B30" s="6" t="n"/>
      <c r="C30" s="6" t="n"/>
      <c r="D30" s="6" t="n"/>
      <c r="E30" s="6" t="n"/>
      <c r="F30" s="6" t="n"/>
      <c r="G30" s="6" t="n"/>
      <c r="H30" s="6" t="n"/>
      <c r="I30" s="6" t="n"/>
      <c r="J30" s="6" t="n">
        <v>-11254</v>
      </c>
      <c r="K30" s="6" t="n"/>
      <c r="L30" s="6" t="n">
        <v>-11254</v>
      </c>
    </row>
    <row r="31">
      <c r="A31" s="6" t="inlineStr">
        <is>
          <t>Transfer own credit reserve on sale of subordinated liabilities</t>
        </is>
      </c>
      <c r="B31" s="6" t="n"/>
      <c r="C31" s="6" t="n"/>
      <c r="D31" s="6" t="n"/>
      <c r="E31" s="6" t="n"/>
      <c r="F31" s="6" t="n">
        <v>25724</v>
      </c>
      <c r="G31" s="6" t="n"/>
      <c r="H31" s="6" t="n">
        <v>-25724</v>
      </c>
      <c r="I31" s="6" t="n">
        <v>0</v>
      </c>
      <c r="J31" s="6" t="n"/>
      <c r="K31" s="6" t="n"/>
      <c r="L31" s="6" t="n">
        <v>0</v>
      </c>
    </row>
    <row r="32">
      <c r="A32" s="6" t="inlineStr">
        <is>
          <t>Net equity impact of non-controlling interest movements</t>
        </is>
      </c>
      <c r="B32" s="6" t="n"/>
      <c r="C32" s="6" t="n"/>
      <c r="D32" s="6" t="n"/>
      <c r="E32" s="6" t="n"/>
      <c r="F32" s="6" t="n"/>
      <c r="G32" s="6" t="n"/>
      <c r="H32" s="6" t="n"/>
      <c r="I32" s="6" t="n"/>
      <c r="J32" s="6" t="n"/>
      <c r="K32" s="6" t="n">
        <v>25</v>
      </c>
      <c r="L32" s="6" t="n">
        <v>25</v>
      </c>
    </row>
    <row r="33">
      <c r="A33" s="5" t="inlineStr">
        <is>
          <t>At 31 March 2019</t>
        </is>
      </c>
      <c r="B33" s="5" t="n">
        <v>1186800</v>
      </c>
      <c r="C33" s="5" t="n">
        <v>143288</v>
      </c>
      <c r="D33" s="5" t="n">
        <v>162789</v>
      </c>
      <c r="E33" s="5" t="n">
        <v>2084</v>
      </c>
      <c r="F33" s="5" t="n">
        <v>-21377</v>
      </c>
      <c r="G33" s="5" t="n">
        <v>-354</v>
      </c>
      <c r="H33" s="5" t="n">
        <v>447924</v>
      </c>
      <c r="I33" s="5" t="n">
        <v>1921154</v>
      </c>
      <c r="J33" s="5" t="n">
        <v>250000</v>
      </c>
      <c r="K33" s="5" t="n">
        <v>-7926</v>
      </c>
      <c r="L33" s="5" t="n">
        <v>2163228</v>
      </c>
    </row>
    <row r="34">
      <c r="A34" s="6" t="inlineStr">
        <is>
          <t>Profit after taxation</t>
        </is>
      </c>
      <c r="B34" s="6" t="n"/>
      <c r="C34" s="6" t="n"/>
      <c r="D34" s="6" t="n"/>
      <c r="E34" s="6" t="n"/>
      <c r="F34" s="6" t="n"/>
      <c r="G34" s="6" t="n"/>
      <c r="H34" s="6" t="n">
        <v>57822</v>
      </c>
      <c r="I34" s="6" t="n">
        <v>57822</v>
      </c>
      <c r="J34" s="6" t="n"/>
      <c r="K34" s="6" t="n">
        <v>864</v>
      </c>
      <c r="L34" s="6" t="n">
        <v>58686</v>
      </c>
    </row>
    <row r="35">
      <c r="A35" s="6" t="inlineStr">
        <is>
          <t>Effect of rate change on deferred taxation relating to adjustment for IFRS 9</t>
        </is>
      </c>
      <c r="B35" s="6" t="n"/>
      <c r="C35" s="6" t="n"/>
      <c r="D35" s="6" t="n"/>
      <c r="E35" s="6" t="n">
        <v>-1514</v>
      </c>
      <c r="F35" s="6" t="n">
        <v>-247</v>
      </c>
      <c r="G35" s="6" t="n"/>
      <c r="H35" s="6" t="n"/>
      <c r="I35" s="6" t="n">
        <v>-1761</v>
      </c>
      <c r="J35" s="6" t="n"/>
      <c r="K35" s="6" t="n"/>
      <c r="L35" s="6" t="n">
        <v>-1761</v>
      </c>
    </row>
    <row r="36">
      <c r="A36" s="6" t="inlineStr">
        <is>
          <t>Gains on realisation of debt instruments at FVOCI recycled through the income statement</t>
        </is>
      </c>
      <c r="B36" s="6" t="n"/>
      <c r="C36" s="6" t="n"/>
      <c r="D36" s="6" t="n"/>
      <c r="E36" s="6" t="n">
        <v>-1372</v>
      </c>
      <c r="F36" s="6" t="n"/>
      <c r="G36" s="6" t="n"/>
      <c r="H36" s="6" t="n"/>
      <c r="I36" s="6" t="n">
        <v>-1372</v>
      </c>
      <c r="J36" s="6" t="n"/>
      <c r="K36" s="6" t="n"/>
      <c r="L36" s="6" t="n">
        <v>-1372</v>
      </c>
    </row>
    <row r="37">
      <c r="A37" s="6" t="inlineStr">
        <is>
          <t>Fair value movements on debt instruments at FVOCI taken directly to OCI</t>
        </is>
      </c>
      <c r="B37" s="6" t="n"/>
      <c r="C37" s="6" t="n"/>
      <c r="D37" s="6" t="n"/>
      <c r="E37" s="6" t="n">
        <v>3271</v>
      </c>
      <c r="F37" s="6" t="n"/>
      <c r="G37" s="6" t="n"/>
      <c r="H37" s="6" t="n"/>
      <c r="I37" s="6" t="n">
        <v>3271</v>
      </c>
      <c r="J37" s="6" t="n"/>
      <c r="K37" s="6" t="n"/>
      <c r="L37" s="6" t="n">
        <v>3271</v>
      </c>
    </row>
    <row r="38">
      <c r="A38" s="6" t="inlineStr">
        <is>
          <t>Foreign currency adjustments on translating foreign operations</t>
        </is>
      </c>
      <c r="B38" s="6" t="n"/>
      <c r="C38" s="6" t="n"/>
      <c r="D38" s="6" t="n"/>
      <c r="E38" s="6" t="n"/>
      <c r="F38" s="6" t="n"/>
      <c r="G38" s="6" t="n">
        <v>-1002</v>
      </c>
      <c r="H38" s="6" t="n"/>
      <c r="I38" s="6" t="n">
        <v>-1002</v>
      </c>
      <c r="J38" s="6" t="n"/>
      <c r="K38" s="6" t="n"/>
      <c r="L38" s="6" t="n">
        <v>-1002</v>
      </c>
    </row>
    <row r="39">
      <c r="A39" s="6" t="inlineStr">
        <is>
          <t>Gains attributable to own credit risk</t>
        </is>
      </c>
      <c r="B39" s="6" t="n"/>
      <c r="C39" s="6" t="n"/>
      <c r="D39" s="6" t="n"/>
      <c r="E39" s="6" t="n"/>
      <c r="F39" s="6" t="n">
        <v>9440</v>
      </c>
      <c r="G39" s="6" t="n"/>
      <c r="H39" s="6" t="n"/>
      <c r="I39" s="6" t="n">
        <v>9440</v>
      </c>
      <c r="J39" s="6" t="n"/>
      <c r="K39" s="6" t="n"/>
      <c r="L39" s="6" t="n">
        <v>9440</v>
      </c>
    </row>
    <row r="40">
      <c r="A40" s="6" t="inlineStr">
        <is>
          <t>Movement in post-retirement benefit liabilities</t>
        </is>
      </c>
      <c r="B40" s="6" t="n"/>
      <c r="C40" s="6" t="n"/>
      <c r="D40" s="6" t="n"/>
      <c r="E40" s="6" t="n"/>
      <c r="F40" s="6" t="n"/>
      <c r="G40" s="6" t="n"/>
      <c r="H40" s="6" t="n">
        <v>51</v>
      </c>
      <c r="I40" s="6" t="n">
        <v>51</v>
      </c>
      <c r="J40" s="6" t="n"/>
      <c r="K40" s="6" t="n"/>
      <c r="L40" s="6" t="n">
        <v>51</v>
      </c>
    </row>
    <row r="41">
      <c r="A41" s="5" t="inlineStr">
        <is>
          <t>Total comprehensive income for the year</t>
        </is>
      </c>
      <c r="B41" s="5" t="n"/>
      <c r="C41" s="5" t="n"/>
      <c r="D41" s="5" t="n"/>
      <c r="E41" s="5" t="n">
        <v>385</v>
      </c>
      <c r="F41" s="5" t="n">
        <v>9193</v>
      </c>
      <c r="G41" s="5" t="n">
        <v>-1002</v>
      </c>
      <c r="H41" s="5" t="n">
        <v>57873</v>
      </c>
      <c r="I41" s="5" t="n">
        <v>66449</v>
      </c>
      <c r="J41" s="5" t="n"/>
      <c r="K41" s="5" t="n">
        <v>864</v>
      </c>
      <c r="L41" s="5" t="n">
        <v>67313</v>
      </c>
    </row>
    <row r="42">
      <c r="A42" s="6" t="inlineStr">
        <is>
          <t>Share-based payments adjustments</t>
        </is>
      </c>
      <c r="B42" s="6" t="n"/>
      <c r="C42" s="6" t="n"/>
      <c r="D42" s="6" t="n"/>
      <c r="E42" s="6" t="n"/>
      <c r="F42" s="6" t="n"/>
      <c r="G42" s="6" t="n"/>
      <c r="H42" s="6" t="n">
        <v>-1599</v>
      </c>
      <c r="I42" s="6" t="n">
        <v>-1599</v>
      </c>
      <c r="J42" s="6" t="n"/>
      <c r="K42" s="6" t="n"/>
      <c r="L42" s="6" t="n">
        <v>-1599</v>
      </c>
    </row>
    <row r="43">
      <c r="A43" s="6" t="inlineStr">
        <is>
          <t>Employee benefit liability recognised</t>
        </is>
      </c>
      <c r="B43" s="6" t="n"/>
      <c r="C43" s="6" t="n"/>
      <c r="D43" s="6" t="n"/>
      <c r="E43" s="6" t="n"/>
      <c r="F43" s="6" t="n"/>
      <c r="G43" s="6" t="n"/>
      <c r="H43" s="6" t="n">
        <v>-5354</v>
      </c>
      <c r="I43" s="6" t="n">
        <v>-5354</v>
      </c>
      <c r="J43" s="6" t="n"/>
      <c r="K43" s="6" t="n"/>
      <c r="L43" s="6" t="n">
        <v>-5354</v>
      </c>
    </row>
    <row r="44">
      <c r="A44" s="6" t="inlineStr">
        <is>
          <t>Issue of ordinary shares</t>
        </is>
      </c>
      <c r="B44" s="6" t="n">
        <v>93750</v>
      </c>
      <c r="C44" s="6" t="n">
        <v>56250</v>
      </c>
      <c r="D44" s="6" t="n"/>
      <c r="E44" s="6" t="n"/>
      <c r="F44" s="6" t="n"/>
      <c r="G44" s="6" t="n"/>
      <c r="H44" s="6" t="n"/>
      <c r="I44" s="6" t="n">
        <v>150000</v>
      </c>
      <c r="J44" s="6" t="n"/>
      <c r="K44" s="6" t="n"/>
      <c r="L44" s="6" t="n">
        <v>150000</v>
      </c>
    </row>
    <row r="45">
      <c r="A45" s="6" t="inlineStr">
        <is>
          <t>Dividends paid to ordinary shareholder</t>
        </is>
      </c>
      <c r="B45" s="6" t="n"/>
      <c r="C45" s="6" t="n"/>
      <c r="D45" s="6" t="n"/>
      <c r="E45" s="6" t="n"/>
      <c r="F45" s="6" t="n"/>
      <c r="G45" s="6" t="n"/>
      <c r="H45" s="6" t="n">
        <v>-35000</v>
      </c>
      <c r="I45" s="6" t="n">
        <v>-35000</v>
      </c>
      <c r="J45" s="6" t="n"/>
      <c r="K45" s="6" t="n"/>
      <c r="L45" s="6" t="n">
        <v>-35000</v>
      </c>
    </row>
    <row r="46">
      <c r="A46" s="6" t="inlineStr">
        <is>
          <t>Dividends declared to Additional Tier 1 security holders</t>
        </is>
      </c>
      <c r="B46" s="6" t="n"/>
      <c r="C46" s="6" t="n"/>
      <c r="D46" s="6" t="n"/>
      <c r="E46" s="6" t="n"/>
      <c r="F46" s="6" t="n"/>
      <c r="G46" s="6" t="n"/>
      <c r="H46" s="6" t="n">
        <v>-16875</v>
      </c>
      <c r="I46" s="6" t="n">
        <v>-16875</v>
      </c>
      <c r="J46" s="6" t="n">
        <v>16875</v>
      </c>
      <c r="K46" s="6" t="n"/>
      <c r="L46" s="6" t="n">
        <v>0</v>
      </c>
    </row>
    <row r="47">
      <c r="A47" s="6" t="inlineStr">
        <is>
          <t>Dividends paid to Additional Tier 1 security holders</t>
        </is>
      </c>
      <c r="B47" s="6" t="n"/>
      <c r="C47" s="6" t="n"/>
      <c r="D47" s="6" t="n"/>
      <c r="E47" s="6" t="n"/>
      <c r="F47" s="6" t="n"/>
      <c r="G47" s="6" t="n"/>
      <c r="H47" s="6" t="n"/>
      <c r="I47" s="6" t="n"/>
      <c r="J47" s="6" t="n">
        <v>-16875</v>
      </c>
      <c r="K47" s="6" t="n"/>
      <c r="L47" s="6" t="n">
        <v>-16875</v>
      </c>
    </row>
    <row r="48">
      <c r="A48" s="6" t="inlineStr">
        <is>
          <t>Transfer from capital reserve</t>
        </is>
      </c>
      <c r="B48" s="6" t="n"/>
      <c r="C48" s="6" t="n"/>
      <c r="D48" s="6" t="n">
        <v>-9612</v>
      </c>
      <c r="E48" s="6" t="n"/>
      <c r="F48" s="6" t="n"/>
      <c r="G48" s="6" t="n"/>
      <c r="H48" s="6" t="n">
        <v>9612</v>
      </c>
      <c r="I48" s="6" t="n">
        <v>0</v>
      </c>
      <c r="J48" s="6" t="n"/>
      <c r="K48" s="6" t="n"/>
      <c r="L48" s="6" t="n">
        <v>0</v>
      </c>
    </row>
    <row r="49">
      <c r="A49" s="6" t="inlineStr">
        <is>
          <t>Net equity impact of non-controlling interest movements</t>
        </is>
      </c>
      <c r="B49" s="6" t="n"/>
      <c r="C49" s="6" t="n"/>
      <c r="D49" s="6" t="n"/>
      <c r="E49" s="6" t="n"/>
      <c r="F49" s="6" t="n"/>
      <c r="G49" s="6" t="n"/>
      <c r="H49" s="6" t="n">
        <v>-972</v>
      </c>
      <c r="I49" s="6" t="n">
        <v>-972</v>
      </c>
      <c r="J49" s="6" t="n"/>
      <c r="K49" s="6" t="n">
        <v>10431</v>
      </c>
      <c r="L49" s="6" t="n">
        <v>9459</v>
      </c>
    </row>
    <row r="50">
      <c r="A50" s="5" t="inlineStr">
        <is>
          <t>At 31 March 2020</t>
        </is>
      </c>
      <c r="B50" s="5" t="n">
        <v>1280550</v>
      </c>
      <c r="C50" s="5" t="n">
        <v>199538</v>
      </c>
      <c r="D50" s="5" t="n">
        <v>153177</v>
      </c>
      <c r="E50" s="5" t="n">
        <v>2469</v>
      </c>
      <c r="F50" s="5" t="n">
        <v>-12184</v>
      </c>
      <c r="G50" s="5" t="n">
        <v>-1356</v>
      </c>
      <c r="H50" s="5" t="n">
        <v>455609</v>
      </c>
      <c r="I50" s="5" t="n">
        <v>2077803</v>
      </c>
      <c r="J50" s="5" t="n">
        <v>250000</v>
      </c>
      <c r="K50" s="5" t="n">
        <v>3369</v>
      </c>
      <c r="L50" s="5" t="n">
        <v>2331172</v>
      </c>
    </row>
    <row r="51">
      <c r="A51" s="6" t="inlineStr">
        <is>
          <t>Profit after taxation</t>
        </is>
      </c>
      <c r="B51" s="6" t="n"/>
      <c r="C51" s="6" t="n"/>
      <c r="D51" s="6" t="n"/>
      <c r="E51" s="6" t="n"/>
      <c r="F51" s="6" t="n"/>
      <c r="G51" s="6" t="n"/>
      <c r="H51" s="6" t="n">
        <v>63809</v>
      </c>
      <c r="I51" s="6" t="n">
        <v>63809</v>
      </c>
      <c r="J51" s="6" t="n"/>
      <c r="K51" s="6" t="n">
        <v>-861</v>
      </c>
      <c r="L51" s="6" t="n">
        <v>62948</v>
      </c>
    </row>
    <row r="52">
      <c r="A52" s="6" t="inlineStr">
        <is>
          <t>Effect of rate change on deferred taxation relating to adjustment for IFRS 9</t>
        </is>
      </c>
      <c r="B52" s="6" t="n"/>
      <c r="C52" s="6" t="n"/>
      <c r="D52" s="6" t="n"/>
      <c r="E52" s="6" t="n">
        <v>-19</v>
      </c>
      <c r="F52" s="6" t="n">
        <v>399</v>
      </c>
      <c r="G52" s="6" t="n"/>
      <c r="H52" s="6" t="n"/>
      <c r="I52" s="6" t="n">
        <v>380</v>
      </c>
      <c r="J52" s="6" t="n"/>
      <c r="K52" s="6" t="n"/>
      <c r="L52" s="6" t="n">
        <v>380</v>
      </c>
    </row>
    <row r="53">
      <c r="A53" s="6" t="inlineStr">
        <is>
          <t>Gains/(losses) on realisation of debt instruments at FVOCI recycled through the income statement</t>
        </is>
      </c>
      <c r="B53" s="6" t="n"/>
      <c r="C53" s="6" t="n"/>
      <c r="D53" s="6" t="n"/>
      <c r="E53" s="6" t="n">
        <v>821</v>
      </c>
      <c r="F53" s="6" t="n"/>
      <c r="G53" s="6" t="n"/>
      <c r="H53" s="6" t="n"/>
      <c r="I53" s="6" t="n">
        <v>821</v>
      </c>
      <c r="J53" s="6" t="n"/>
      <c r="K53" s="6" t="n"/>
      <c r="L53" s="6" t="n">
        <v>821</v>
      </c>
    </row>
    <row r="54">
      <c r="A54" s="6" t="inlineStr">
        <is>
          <t>Fair value movements on debt instruments at FVOCI taken directly to OCI</t>
        </is>
      </c>
      <c r="B54" s="6" t="n"/>
      <c r="C54" s="6" t="n"/>
      <c r="D54" s="6" t="n"/>
      <c r="E54" s="6" t="n">
        <v>-228</v>
      </c>
      <c r="F54" s="6" t="n"/>
      <c r="G54" s="6" t="n"/>
      <c r="H54" s="6" t="n"/>
      <c r="I54" s="6" t="n">
        <v>-228</v>
      </c>
      <c r="J54" s="6" t="n"/>
      <c r="K54" s="6" t="n"/>
      <c r="L54" s="6" t="n">
        <v>-228</v>
      </c>
    </row>
    <row r="55">
      <c r="A55" s="6" t="inlineStr">
        <is>
          <t>Foreign currency adjustments on translating foreign operations</t>
        </is>
      </c>
      <c r="B55" s="6" t="n"/>
      <c r="C55" s="6" t="n"/>
      <c r="D55" s="6" t="n"/>
      <c r="E55" s="6" t="n"/>
      <c r="F55" s="6" t="n"/>
      <c r="G55" s="6" t="n">
        <v>-3771</v>
      </c>
      <c r="H55" s="6" t="n"/>
      <c r="I55" s="6" t="n">
        <v>-3771</v>
      </c>
      <c r="J55" s="6" t="n"/>
      <c r="K55" s="6" t="n"/>
      <c r="L55" s="6" t="n">
        <v>-3771</v>
      </c>
    </row>
    <row r="56">
      <c r="A56" s="6" t="inlineStr">
        <is>
          <t>Gains attributable to own credit risk</t>
        </is>
      </c>
      <c r="B56" s="6" t="n"/>
      <c r="C56" s="6" t="n"/>
      <c r="D56" s="6" t="n"/>
      <c r="E56" s="6" t="n"/>
      <c r="F56" s="6" t="n">
        <v>62</v>
      </c>
      <c r="G56" s="6" t="n"/>
      <c r="H56" s="6" t="n"/>
      <c r="I56" s="6" t="n">
        <v>62</v>
      </c>
      <c r="J56" s="6" t="n"/>
      <c r="K56" s="6" t="n"/>
      <c r="L56" s="6" t="n">
        <v>62</v>
      </c>
    </row>
    <row r="57">
      <c r="A57" s="6" t="inlineStr">
        <is>
          <t>Movement in post-retirement benefit liabilities</t>
        </is>
      </c>
      <c r="B57" s="6" t="n"/>
      <c r="C57" s="6" t="n"/>
      <c r="D57" s="6" t="n"/>
      <c r="E57" s="6" t="n"/>
      <c r="F57" s="6" t="n"/>
      <c r="G57" s="6" t="n"/>
      <c r="H57" s="6" t="n">
        <v>-39</v>
      </c>
      <c r="I57" s="6" t="n">
        <v>-39</v>
      </c>
      <c r="J57" s="6" t="n"/>
      <c r="K57" s="6" t="n"/>
      <c r="L57" s="6" t="n">
        <v>-39</v>
      </c>
    </row>
    <row r="58">
      <c r="A58" s="5" t="inlineStr">
        <is>
          <t>Total comprehensive income for the year</t>
        </is>
      </c>
      <c r="B58" s="5" t="n"/>
      <c r="C58" s="5" t="n"/>
      <c r="D58" s="5" t="n"/>
      <c r="E58" s="5" t="n">
        <v>574</v>
      </c>
      <c r="F58" s="5" t="n">
        <v>461</v>
      </c>
      <c r="G58" s="5" t="n">
        <v>-3771</v>
      </c>
      <c r="H58" s="5" t="n">
        <v>63770</v>
      </c>
      <c r="I58" s="5" t="n">
        <v>61034</v>
      </c>
      <c r="J58" s="5" t="n"/>
      <c r="K58" s="5" t="n">
        <v>-861</v>
      </c>
      <c r="L58" s="5" t="n">
        <v>60173</v>
      </c>
    </row>
    <row r="59">
      <c r="A59" s="6" t="inlineStr">
        <is>
          <t>Share-based payments adjustments</t>
        </is>
      </c>
      <c r="B59" s="6" t="n"/>
      <c r="C59" s="6" t="n"/>
      <c r="D59" s="6" t="n"/>
      <c r="E59" s="6" t="n"/>
      <c r="F59" s="6" t="n"/>
      <c r="G59" s="6" t="n"/>
      <c r="H59" s="6" t="n">
        <v>107</v>
      </c>
      <c r="I59" s="6" t="n">
        <v>107</v>
      </c>
      <c r="J59" s="6" t="n"/>
      <c r="K59" s="6" t="n"/>
      <c r="L59" s="6" t="n">
        <v>107</v>
      </c>
    </row>
    <row r="60">
      <c r="A60" s="6" t="inlineStr">
        <is>
          <t>Employee benefit liability recognised</t>
        </is>
      </c>
      <c r="B60" s="6" t="n"/>
      <c r="C60" s="6" t="n"/>
      <c r="D60" s="6" t="n"/>
      <c r="E60" s="6" t="n"/>
      <c r="F60" s="6" t="n"/>
      <c r="G60" s="6" t="n"/>
      <c r="H60" s="6" t="n">
        <v>3729</v>
      </c>
      <c r="I60" s="6" t="n">
        <v>3729</v>
      </c>
      <c r="J60" s="6" t="n"/>
      <c r="K60" s="6" t="n"/>
      <c r="L60" s="6" t="n">
        <v>3729</v>
      </c>
    </row>
    <row r="61">
      <c r="A61" s="6" t="inlineStr">
        <is>
          <t>Dividends paid to ordinary shareholder</t>
        </is>
      </c>
      <c r="B61" s="6" t="n"/>
      <c r="C61" s="6" t="n"/>
      <c r="D61" s="6" t="n"/>
      <c r="E61" s="6" t="n"/>
      <c r="F61" s="6" t="n"/>
      <c r="G61" s="6" t="n"/>
      <c r="H61" s="6" t="n">
        <v>-11000</v>
      </c>
      <c r="I61" s="6" t="n">
        <v>-11000</v>
      </c>
      <c r="J61" s="6" t="n"/>
      <c r="K61" s="6" t="n"/>
      <c r="L61" s="6" t="n">
        <v>-11000</v>
      </c>
    </row>
    <row r="62">
      <c r="A62" s="6" t="inlineStr">
        <is>
          <t>Dividends declared to Additional Tier 1 security holders</t>
        </is>
      </c>
      <c r="B62" s="6" t="n"/>
      <c r="C62" s="6" t="n"/>
      <c r="D62" s="6" t="n"/>
      <c r="E62" s="6" t="n"/>
      <c r="F62" s="6" t="n"/>
      <c r="G62" s="6" t="n"/>
      <c r="H62" s="6" t="n">
        <v>-16875</v>
      </c>
      <c r="I62" s="6" t="n">
        <v>-16875</v>
      </c>
      <c r="J62" s="6" t="n">
        <v>16875</v>
      </c>
      <c r="K62" s="6" t="n"/>
      <c r="L62" s="6" t="n">
        <v>0</v>
      </c>
    </row>
    <row r="63">
      <c r="A63" s="6" t="inlineStr">
        <is>
          <t>Dividends paid to Additional Tier 1 security holders</t>
        </is>
      </c>
      <c r="B63" s="6" t="n"/>
      <c r="C63" s="6" t="n"/>
      <c r="D63" s="6" t="n"/>
      <c r="E63" s="6" t="n"/>
      <c r="F63" s="6" t="n"/>
      <c r="G63" s="6" t="n"/>
      <c r="H63" s="6" t="n"/>
      <c r="I63" s="6" t="n"/>
      <c r="J63" s="6" t="n">
        <v>-16875</v>
      </c>
      <c r="K63" s="6" t="n"/>
      <c r="L63" s="6" t="n">
        <v>-16875</v>
      </c>
    </row>
    <row r="64">
      <c r="A64" s="6" t="inlineStr">
        <is>
          <t>Transfer from foreign currency reserve</t>
        </is>
      </c>
      <c r="B64" s="6" t="n"/>
      <c r="C64" s="6" t="n"/>
      <c r="D64" s="6" t="n"/>
      <c r="E64" s="6" t="n"/>
      <c r="F64" s="6" t="n"/>
      <c r="G64" s="6" t="n">
        <v>980</v>
      </c>
      <c r="H64" s="6" t="n">
        <v>-980</v>
      </c>
      <c r="I64" s="6" t="n">
        <v>0</v>
      </c>
      <c r="J64" s="6" t="n"/>
      <c r="K64" s="6" t="n"/>
      <c r="L64" s="6" t="n">
        <v>0</v>
      </c>
    </row>
    <row r="65">
      <c r="A65" s="6" t="inlineStr">
        <is>
          <t>Net equity impact of non-controlling interest movements</t>
        </is>
      </c>
      <c r="B65" s="6" t="n"/>
      <c r="C65" s="6" t="n"/>
      <c r="D65" s="6" t="n"/>
      <c r="E65" s="6" t="n"/>
      <c r="F65" s="6" t="n"/>
      <c r="G65" s="6" t="n"/>
      <c r="H65" s="6" t="n">
        <v>-268</v>
      </c>
      <c r="I65" s="6" t="n">
        <v>-268</v>
      </c>
      <c r="J65" s="6" t="n"/>
      <c r="K65" s="6" t="n">
        <v>-2118</v>
      </c>
      <c r="L65" s="6" t="n">
        <v>-2386</v>
      </c>
    </row>
    <row r="66">
      <c r="A66" s="5" t="inlineStr">
        <is>
          <t>At 1 April 2021</t>
        </is>
      </c>
      <c r="B66" s="5" t="n">
        <v>1280550</v>
      </c>
      <c r="C66" s="5" t="n">
        <v>199538</v>
      </c>
      <c r="D66" s="5" t="n">
        <v>153177</v>
      </c>
      <c r="E66" s="5" t="n">
        <v>3043</v>
      </c>
      <c r="F66" s="5" t="n"/>
      <c r="G66" s="5" t="n">
        <v>-4147</v>
      </c>
      <c r="H66" s="5" t="n">
        <v>494092</v>
      </c>
      <c r="I66" s="5" t="n">
        <v>2114530</v>
      </c>
      <c r="J66" s="5" t="n">
        <v>250000</v>
      </c>
      <c r="K66" s="5" t="n">
        <v>390</v>
      </c>
      <c r="L66" s="5" t="n">
        <v>2364920</v>
      </c>
    </row>
    <row r="67">
      <c r="A67" s="6" t="inlineStr">
        <is>
          <t>Profit after taxation</t>
        </is>
      </c>
      <c r="B67" s="6" t="n"/>
      <c r="C67" s="6" t="n"/>
      <c r="D67" s="6" t="n"/>
      <c r="E67" s="6" t="n"/>
      <c r="F67" s="6" t="n"/>
      <c r="G67" s="6" t="n"/>
      <c r="H67" s="6" t="n">
        <v>232881</v>
      </c>
      <c r="I67" s="6" t="n">
        <v>232881</v>
      </c>
      <c r="J67" s="6" t="n"/>
      <c r="K67" s="6" t="n"/>
      <c r="L67" s="6" t="n">
        <v>232881</v>
      </c>
    </row>
    <row r="68">
      <c r="A68" s="6" t="inlineStr">
        <is>
          <t>Effect of rate change on deferred taxation relating to adjustment for IFRS 9</t>
        </is>
      </c>
      <c r="B68" s="6" t="n"/>
      <c r="C68" s="6" t="n"/>
      <c r="D68" s="6" t="n"/>
      <c r="E68" s="6" t="n">
        <v>-47</v>
      </c>
      <c r="F68" s="6" t="n"/>
      <c r="G68" s="6" t="n"/>
      <c r="H68" s="6" t="n"/>
      <c r="I68" s="6" t="n">
        <v>617</v>
      </c>
      <c r="J68" s="6" t="n"/>
      <c r="K68" s="6" t="n"/>
      <c r="L68" s="6" t="n">
        <v>617</v>
      </c>
    </row>
    <row r="69">
      <c r="A69" s="6" t="inlineStr">
        <is>
          <t>Gains on realisation of debt instruments at FVOCI recycled through the income statement</t>
        </is>
      </c>
      <c r="B69" s="6" t="n"/>
      <c r="C69" s="6" t="n"/>
      <c r="D69" s="6" t="n"/>
      <c r="E69" s="6" t="n">
        <v>-307</v>
      </c>
      <c r="F69" s="6" t="n"/>
      <c r="G69" s="6" t="n"/>
      <c r="H69" s="6" t="n"/>
      <c r="I69" s="6" t="n">
        <v>-307</v>
      </c>
      <c r="J69" s="6" t="n"/>
      <c r="K69" s="6" t="n"/>
      <c r="L69" s="6" t="n">
        <v>-307</v>
      </c>
    </row>
    <row r="70">
      <c r="A70" s="6" t="inlineStr">
        <is>
          <t>Fair value movements on debt instruments at FVOCI taken directly to OCI</t>
        </is>
      </c>
      <c r="B70" s="6" t="n"/>
      <c r="C70" s="6" t="n"/>
      <c r="D70" s="6" t="n"/>
      <c r="E70" s="6" t="n">
        <v>-2276</v>
      </c>
      <c r="F70" s="6" t="n"/>
      <c r="G70" s="6" t="n"/>
      <c r="H70" s="6" t="n"/>
      <c r="I70" s="6" t="n">
        <v>-2276</v>
      </c>
      <c r="J70" s="6" t="n"/>
      <c r="K70" s="6" t="n"/>
      <c r="L70" s="6" t="n">
        <v>-2276</v>
      </c>
    </row>
    <row r="71">
      <c r="A71" s="6" t="inlineStr">
        <is>
          <t>Foreign currency adjustments on translating foreign operations</t>
        </is>
      </c>
      <c r="B71" s="6" t="n"/>
      <c r="C71" s="6" t="n"/>
      <c r="D71" s="6" t="n"/>
      <c r="E71" s="6" t="n"/>
      <c r="F71" s="6" t="n"/>
      <c r="G71" s="6" t="n">
        <v>5401</v>
      </c>
      <c r="H71" s="6" t="n"/>
      <c r="I71" s="6" t="n">
        <v>5401</v>
      </c>
      <c r="J71" s="6" t="n"/>
      <c r="K71" s="6" t="n"/>
      <c r="L71" s="6" t="n">
        <v>5401</v>
      </c>
    </row>
    <row r="72">
      <c r="A72" s="6" t="inlineStr">
        <is>
          <t>Gains attributable to own credit risk</t>
        </is>
      </c>
      <c r="B72" s="6" t="n"/>
      <c r="C72" s="6" t="n"/>
      <c r="D72" s="6" t="n"/>
      <c r="E72" s="6" t="n"/>
      <c r="F72" s="6" t="n"/>
      <c r="G72" s="6" t="n"/>
      <c r="H72" s="6" t="n"/>
      <c r="I72" s="6" t="n"/>
      <c r="J72" s="6" t="n"/>
      <c r="K72" s="6" t="n"/>
      <c r="L72" s="6" t="n">
        <v>11059</v>
      </c>
    </row>
    <row r="73">
      <c r="A73" s="6" t="inlineStr">
        <is>
          <t>Movement in post-retirement benefit liabilities</t>
        </is>
      </c>
      <c r="B73" s="6" t="n"/>
      <c r="C73" s="6" t="n"/>
      <c r="D73" s="6" t="n"/>
      <c r="E73" s="6" t="n"/>
      <c r="F73" s="6" t="n"/>
      <c r="G73" s="6" t="n"/>
      <c r="H73" s="6" t="n">
        <v>40</v>
      </c>
      <c r="I73" s="6" t="n">
        <v>40</v>
      </c>
      <c r="J73" s="6" t="n"/>
      <c r="K73" s="6" t="n"/>
      <c r="L73" s="6" t="n">
        <v>40</v>
      </c>
    </row>
    <row r="74">
      <c r="A74" s="5" t="inlineStr">
        <is>
          <t>Total comprehensive income for the year</t>
        </is>
      </c>
      <c r="B74" s="5" t="n"/>
      <c r="C74" s="5" t="n"/>
      <c r="D74" s="5" t="n"/>
      <c r="E74" s="5" t="n">
        <v>-2630</v>
      </c>
      <c r="F74" s="5" t="n"/>
      <c r="G74" s="5" t="n">
        <v>5401</v>
      </c>
      <c r="H74" s="5" t="n">
        <v>232921</v>
      </c>
      <c r="I74" s="5" t="n">
        <v>247415</v>
      </c>
      <c r="J74" s="5" t="n"/>
      <c r="K74" s="5" t="n"/>
      <c r="L74" s="5" t="n">
        <v>247415</v>
      </c>
    </row>
    <row r="75">
      <c r="A75" s="6" t="inlineStr">
        <is>
          <t>Share-based payments adjustments</t>
        </is>
      </c>
      <c r="B75" s="6" t="n"/>
      <c r="C75" s="6" t="n"/>
      <c r="D75" s="6" t="n"/>
      <c r="E75" s="6" t="n"/>
      <c r="F75" s="6" t="n"/>
      <c r="G75" s="6" t="n"/>
      <c r="H75" s="6" t="n">
        <v>3637</v>
      </c>
      <c r="I75" s="6" t="n">
        <v>3637</v>
      </c>
      <c r="J75" s="6" t="n"/>
      <c r="K75" s="6" t="n"/>
      <c r="L75" s="6" t="n">
        <v>3637</v>
      </c>
    </row>
    <row r="76">
      <c r="A76" s="6" t="inlineStr">
        <is>
          <t>Employee benefit liability recognised</t>
        </is>
      </c>
      <c r="B76" s="6" t="n"/>
      <c r="C76" s="6" t="n"/>
      <c r="D76" s="6" t="n"/>
      <c r="E76" s="6" t="n"/>
      <c r="F76" s="6" t="n"/>
      <c r="G76" s="6" t="n"/>
      <c r="H76" s="6" t="n">
        <v>4145</v>
      </c>
      <c r="I76" s="6" t="n">
        <v>4145</v>
      </c>
      <c r="J76" s="6" t="n"/>
      <c r="K76" s="6" t="n"/>
      <c r="L76" s="6" t="n">
        <v>4145</v>
      </c>
    </row>
    <row r="77">
      <c r="A77" s="6" t="inlineStr">
        <is>
          <t>Dividends paid to ordinary shareholder</t>
        </is>
      </c>
      <c r="B77" s="6" t="n"/>
      <c r="C77" s="6" t="n"/>
      <c r="D77" s="6" t="n"/>
      <c r="E77" s="6" t="n"/>
      <c r="F77" s="6" t="n"/>
      <c r="G77" s="6" t="n"/>
      <c r="H77" s="6" t="n">
        <v>-56500</v>
      </c>
      <c r="I77" s="6" t="n">
        <v>-56500</v>
      </c>
      <c r="J77" s="6" t="n"/>
      <c r="K77" s="6" t="n"/>
      <c r="L77" s="6" t="n">
        <v>-56500</v>
      </c>
    </row>
    <row r="78">
      <c r="A78" s="6" t="inlineStr">
        <is>
          <t>Dividends declared to Additional Tier 1 security holders</t>
        </is>
      </c>
      <c r="B78" s="6" t="n"/>
      <c r="C78" s="6" t="n"/>
      <c r="D78" s="6" t="n"/>
      <c r="E78" s="6" t="n"/>
      <c r="F78" s="6" t="n"/>
      <c r="G78" s="6" t="n"/>
      <c r="H78" s="6" t="n">
        <v>-16875</v>
      </c>
      <c r="I78" s="6" t="n">
        <v>-16875</v>
      </c>
      <c r="J78" s="6" t="n">
        <v>16875</v>
      </c>
      <c r="K78" s="6" t="n"/>
      <c r="L78" s="6" t="n">
        <v>0</v>
      </c>
    </row>
    <row r="79">
      <c r="A79" s="6" t="inlineStr">
        <is>
          <t>Dividends paid to Additional Tier 1 security holders</t>
        </is>
      </c>
      <c r="B79" s="6" t="n"/>
      <c r="C79" s="6" t="n"/>
      <c r="D79" s="6" t="n"/>
      <c r="E79" s="6" t="n"/>
      <c r="F79" s="6" t="n"/>
      <c r="G79" s="6" t="n"/>
      <c r="H79" s="6" t="n"/>
      <c r="I79" s="6" t="n"/>
      <c r="J79" s="6" t="n">
        <v>-16875</v>
      </c>
      <c r="K79" s="6" t="n"/>
      <c r="L79" s="6" t="n">
        <v>-16875</v>
      </c>
    </row>
    <row r="80">
      <c r="A80" s="6" t="inlineStr">
        <is>
          <t>Net equity impact of non-controlling interest movements</t>
        </is>
      </c>
      <c r="B80" s="6" t="n"/>
      <c r="C80" s="6" t="n"/>
      <c r="D80" s="6" t="n"/>
      <c r="E80" s="6" t="n"/>
      <c r="F80" s="6" t="n"/>
      <c r="G80" s="6" t="n"/>
      <c r="H80" s="6" t="n"/>
      <c r="I80" s="6" t="n"/>
      <c r="J80" s="6" t="n"/>
      <c r="K80" s="6" t="n">
        <v>443</v>
      </c>
      <c r="L80" s="6" t="n">
        <v>443</v>
      </c>
    </row>
    <row r="81">
      <c r="A81" s="5" t="inlineStr">
        <is>
          <t>At 31 March 2022</t>
        </is>
      </c>
      <c r="B81" s="5" t="n">
        <v>1280550</v>
      </c>
      <c r="C81" s="5" t="n">
        <v>199538</v>
      </c>
      <c r="D81" s="5" t="n">
        <v>153177</v>
      </c>
      <c r="E81" s="5" t="n">
        <v>413</v>
      </c>
      <c r="F81" s="5" t="n"/>
      <c r="G81" s="5" t="n">
        <v>1254</v>
      </c>
      <c r="H81" s="5" t="n">
        <v>661420</v>
      </c>
      <c r="I81" s="5" t="n">
        <v>2296352</v>
      </c>
      <c r="J81" s="5" t="n">
        <v>250000</v>
      </c>
      <c r="K81" s="5" t="n">
        <v>833</v>
      </c>
      <c r="L81" s="5" t="n">
        <v>2547185</v>
      </c>
    </row>
    <row r="82">
      <c r="A82" s="6" t="inlineStr">
        <is>
          <t>Profit after taxation</t>
        </is>
      </c>
      <c r="B82" s="6" t="n"/>
      <c r="C82" s="6" t="n"/>
      <c r="D82" s="6" t="n"/>
      <c r="E82" s="6" t="n"/>
      <c r="F82" s="6" t="n"/>
      <c r="G82" s="6" t="n"/>
      <c r="H82" s="6" t="n">
        <v>313609</v>
      </c>
      <c r="I82" s="6" t="n">
        <v>313609</v>
      </c>
      <c r="J82" s="6" t="n"/>
      <c r="K82" s="6" t="n"/>
      <c r="L82" s="6" t="n">
        <v>313609</v>
      </c>
    </row>
    <row r="83">
      <c r="A83" s="6" t="inlineStr">
        <is>
          <t>Effect of rate change on deferred taxation relating to adjustment for IFRS 9</t>
        </is>
      </c>
      <c r="B83" s="6" t="n"/>
      <c r="C83" s="6" t="n"/>
      <c r="D83" s="6" t="n"/>
      <c r="E83" s="6" t="n">
        <v>-7</v>
      </c>
      <c r="F83" s="6" t="n"/>
      <c r="G83" s="6" t="n"/>
      <c r="H83" s="6" t="n"/>
      <c r="I83" s="6" t="n">
        <v>-7</v>
      </c>
      <c r="J83" s="6" t="n"/>
      <c r="K83" s="6" t="n"/>
      <c r="L83" s="6" t="n">
        <v>-7</v>
      </c>
    </row>
    <row r="84">
      <c r="A84" s="6" t="inlineStr">
        <is>
          <t>Gains on realisation of debt instruments at FVOCI recycled through the income statement</t>
        </is>
      </c>
      <c r="B84" s="6" t="n"/>
      <c r="C84" s="6" t="n"/>
      <c r="D84" s="6" t="n"/>
      <c r="E84" s="6" t="n">
        <v>-313</v>
      </c>
      <c r="F84" s="6" t="n"/>
      <c r="G84" s="6" t="n"/>
      <c r="H84" s="6" t="n"/>
      <c r="I84" s="6" t="n">
        <v>-313</v>
      </c>
      <c r="J84" s="6" t="n"/>
      <c r="K84" s="6" t="n"/>
      <c r="L84" s="6" t="n">
        <v>-313</v>
      </c>
    </row>
    <row r="85">
      <c r="A85" s="6" t="inlineStr">
        <is>
          <t>Fair value movements on cash flow hedges taken directly to OCI</t>
        </is>
      </c>
      <c r="B85" s="6" t="n"/>
      <c r="C85" s="6" t="n"/>
      <c r="D85" s="6" t="n"/>
      <c r="E85" s="6" t="n"/>
      <c r="F85" s="6" t="n">
        <v>27635</v>
      </c>
      <c r="G85" s="6" t="n"/>
      <c r="H85" s="6" t="n"/>
      <c r="I85" s="6" t="n">
        <v>27635</v>
      </c>
      <c r="J85" s="6" t="n"/>
      <c r="K85" s="6" t="n"/>
      <c r="L85" s="6" t="n">
        <v>27635</v>
      </c>
    </row>
    <row r="86">
      <c r="A86" s="6" t="inlineStr">
        <is>
          <t>Fair value movements on debt instruments at FVOCI taken directly to OCI</t>
        </is>
      </c>
      <c r="B86" s="6" t="n"/>
      <c r="C86" s="6" t="n"/>
      <c r="D86" s="6" t="n"/>
      <c r="E86" s="6" t="n">
        <v>217</v>
      </c>
      <c r="F86" s="6" t="n"/>
      <c r="G86" s="6" t="n"/>
      <c r="H86" s="6" t="n"/>
      <c r="I86" s="6" t="n">
        <v>217</v>
      </c>
      <c r="J86" s="6" t="n"/>
      <c r="K86" s="6" t="n"/>
      <c r="L86" s="6" t="n">
        <v>217</v>
      </c>
    </row>
    <row r="87">
      <c r="A87" s="6" t="inlineStr">
        <is>
          <t>Foreign currency adjustments on translating foreign operations</t>
        </is>
      </c>
      <c r="B87" s="6" t="n"/>
      <c r="C87" s="6" t="n"/>
      <c r="D87" s="6" t="n"/>
      <c r="E87" s="6" t="n"/>
      <c r="F87" s="6" t="n"/>
      <c r="G87" s="6" t="n">
        <v>5615</v>
      </c>
      <c r="H87" s="6" t="n"/>
      <c r="I87" s="6" t="n">
        <v>5615</v>
      </c>
      <c r="J87" s="6" t="n"/>
      <c r="K87" s="6" t="n"/>
      <c r="L87" s="6" t="n">
        <v>5615</v>
      </c>
    </row>
    <row r="88">
      <c r="A88" s="6" t="inlineStr">
        <is>
          <t>Movement in post-retirement benefit liabilities</t>
        </is>
      </c>
      <c r="B88" s="6" t="n"/>
      <c r="C88" s="6" t="n"/>
      <c r="D88" s="6" t="n"/>
      <c r="E88" s="6" t="n"/>
      <c r="F88" s="6" t="n"/>
      <c r="G88" s="6" t="n"/>
      <c r="H88" s="6" t="n">
        <v>75</v>
      </c>
      <c r="I88" s="6" t="n">
        <v>75</v>
      </c>
      <c r="J88" s="6" t="n"/>
      <c r="K88" s="6" t="n"/>
      <c r="L88" s="6" t="n">
        <v>75</v>
      </c>
    </row>
    <row r="89">
      <c r="A89" s="5" t="inlineStr">
        <is>
          <t>Total comprehensive income for the year</t>
        </is>
      </c>
      <c r="B89" s="5" t="n"/>
      <c r="C89" s="5" t="n"/>
      <c r="D89" s="5" t="n"/>
      <c r="E89" s="5" t="n">
        <v>-103</v>
      </c>
      <c r="F89" s="5" t="n">
        <v>27635</v>
      </c>
      <c r="G89" s="5" t="n">
        <v>5615</v>
      </c>
      <c r="H89" s="5" t="n">
        <v>313684</v>
      </c>
      <c r="I89" s="5" t="n">
        <v>346831</v>
      </c>
      <c r="J89" s="5" t="n"/>
      <c r="K89" s="5" t="n"/>
      <c r="L89" s="5" t="n">
        <v>346831</v>
      </c>
    </row>
    <row r="90">
      <c r="A90" s="6" t="inlineStr">
        <is>
          <t>Share-based payments adjustments</t>
        </is>
      </c>
      <c r="B90" s="6" t="n"/>
      <c r="C90" s="6" t="n"/>
      <c r="D90" s="6" t="n"/>
      <c r="E90" s="6" t="n"/>
      <c r="F90" s="6" t="n"/>
      <c r="G90" s="6" t="n"/>
      <c r="H90" s="6" t="n">
        <v>-295</v>
      </c>
      <c r="I90" s="6" t="n">
        <v>-295</v>
      </c>
      <c r="J90" s="6" t="n"/>
      <c r="K90" s="6" t="n"/>
      <c r="L90" s="6" t="n">
        <v>-295</v>
      </c>
    </row>
    <row r="91">
      <c r="A91" s="6" t="inlineStr">
        <is>
          <t>Employee benefit liability recognised</t>
        </is>
      </c>
      <c r="B91" s="6" t="n"/>
      <c r="C91" s="6" t="n"/>
      <c r="D91" s="6" t="n"/>
      <c r="E91" s="6" t="n"/>
      <c r="F91" s="6" t="n"/>
      <c r="G91" s="6" t="n"/>
      <c r="H91" s="6" t="n">
        <v>7490</v>
      </c>
      <c r="I91" s="6" t="n">
        <v>7490</v>
      </c>
      <c r="J91" s="6" t="n"/>
      <c r="K91" s="6" t="n"/>
      <c r="L91" s="6" t="n">
        <v>7490</v>
      </c>
    </row>
    <row r="92">
      <c r="A92" s="6" t="inlineStr">
        <is>
          <t>Dividends paid to ordinary shareholder</t>
        </is>
      </c>
      <c r="B92" s="6" t="n"/>
      <c r="C92" s="6" t="n"/>
      <c r="D92" s="6" t="n"/>
      <c r="E92" s="6" t="n"/>
      <c r="F92" s="6" t="n"/>
      <c r="G92" s="6" t="n"/>
      <c r="H92" s="6" t="n">
        <v>-95000</v>
      </c>
      <c r="I92" s="6" t="n">
        <v>-95000</v>
      </c>
      <c r="J92" s="6" t="n"/>
      <c r="K92" s="6" t="n"/>
      <c r="L92" s="6" t="n">
        <v>-95000</v>
      </c>
    </row>
    <row r="93">
      <c r="A93" s="6" t="inlineStr">
        <is>
          <t>Dividends declared to Additional Tier 1 security holders</t>
        </is>
      </c>
      <c r="B93" s="6" t="n"/>
      <c r="C93" s="6" t="n"/>
      <c r="D93" s="6" t="n"/>
      <c r="E93" s="6" t="n"/>
      <c r="F93" s="6" t="n"/>
      <c r="G93" s="6" t="n"/>
      <c r="H93" s="6" t="n">
        <v>-16875</v>
      </c>
      <c r="I93" s="6" t="n">
        <v>-16875</v>
      </c>
      <c r="J93" s="6" t="n">
        <v>16875</v>
      </c>
      <c r="K93" s="6" t="n"/>
      <c r="L93" s="6" t="n">
        <v>0</v>
      </c>
    </row>
    <row r="94">
      <c r="A94" s="6" t="inlineStr">
        <is>
          <t>Dividends paid to Additional Tier 1 security holders</t>
        </is>
      </c>
      <c r="B94" s="6" t="n"/>
      <c r="C94" s="6" t="n"/>
      <c r="D94" s="6" t="n"/>
      <c r="E94" s="6" t="n"/>
      <c r="F94" s="6" t="n"/>
      <c r="G94" s="6" t="n"/>
      <c r="H94" s="6" t="n"/>
      <c r="I94" s="6" t="n"/>
      <c r="J94" s="6" t="n">
        <v>-16875</v>
      </c>
      <c r="K94" s="6" t="n"/>
      <c r="L94" s="6" t="n">
        <v>-16875</v>
      </c>
    </row>
    <row r="95">
      <c r="A95" s="6" t="inlineStr">
        <is>
          <t>Net equity impact of non-controlling interest movements</t>
        </is>
      </c>
      <c r="B95" s="6" t="n"/>
      <c r="C95" s="6" t="n"/>
      <c r="D95" s="6" t="n"/>
      <c r="E95" s="6" t="n"/>
      <c r="F95" s="6" t="n"/>
      <c r="G95" s="6" t="n"/>
      <c r="H95" s="6" t="n"/>
      <c r="I95" s="6" t="n"/>
      <c r="J95" s="6" t="n"/>
      <c r="K95" s="6" t="n">
        <v>118</v>
      </c>
      <c r="L95" s="6" t="n">
        <v>118</v>
      </c>
    </row>
    <row r="96">
      <c r="A96" s="5" t="inlineStr">
        <is>
          <t>At 31 March 2023</t>
        </is>
      </c>
      <c r="B96" s="5" t="n">
        <v>1280550</v>
      </c>
      <c r="C96" s="5" t="n">
        <v>199538</v>
      </c>
      <c r="D96" s="5" t="n">
        <v>153177</v>
      </c>
      <c r="E96" s="5" t="n">
        <v>310</v>
      </c>
      <c r="F96" s="5" t="n">
        <v>27635</v>
      </c>
      <c r="G96" s="5" t="n">
        <v>6869</v>
      </c>
      <c r="H96" s="5" t="n">
        <v>870424</v>
      </c>
      <c r="I96" s="5" t="n">
        <v>2538503</v>
      </c>
      <c r="J96" s="5" t="n">
        <v>250000</v>
      </c>
      <c r="K96" s="5" t="n">
        <v>951</v>
      </c>
      <c r="L96" s="5" t="n">
        <v>2789454</v>
      </c>
    </row>
    <row r="97">
      <c r="A97" s="6" t="inlineStr">
        <is>
          <t>Profit after taxation</t>
        </is>
      </c>
      <c r="B97" s="6" t="n"/>
      <c r="C97" s="6" t="n"/>
      <c r="D97" s="6" t="n"/>
      <c r="E97" s="6" t="n"/>
      <c r="F97" s="6" t="n"/>
      <c r="G97" s="6" t="n"/>
      <c r="H97" s="6" t="n">
        <v>719609</v>
      </c>
      <c r="I97" s="6" t="n">
        <v>719609</v>
      </c>
      <c r="J97" s="6" t="n"/>
      <c r="K97" s="6" t="n">
        <v>1204</v>
      </c>
      <c r="L97" s="6" t="n">
        <v>720813</v>
      </c>
    </row>
    <row r="98">
      <c r="A98" s="6" t="inlineStr">
        <is>
          <t>Gains/(losses) on realisation of debt instruments at FVOCI recycled through the income statement</t>
        </is>
      </c>
      <c r="B98" s="6" t="n"/>
      <c r="C98" s="6" t="n"/>
      <c r="D98" s="6" t="n"/>
      <c r="E98" s="6" t="n">
        <v>-817</v>
      </c>
      <c r="F98" s="6" t="n"/>
      <c r="G98" s="6" t="n"/>
      <c r="H98" s="6" t="n"/>
      <c r="I98" s="6" t="n">
        <v>-817</v>
      </c>
      <c r="J98" s="6" t="n"/>
      <c r="K98" s="6" t="n"/>
      <c r="L98" s="6" t="n">
        <v>-817</v>
      </c>
    </row>
    <row r="99">
      <c r="A99" s="6" t="inlineStr">
        <is>
          <t>Fair value movements on cash flow hedges taken directly to OCI</t>
        </is>
      </c>
      <c r="B99" s="6" t="n"/>
      <c r="C99" s="6" t="n"/>
      <c r="D99" s="6" t="n"/>
      <c r="E99" s="6" t="n"/>
      <c r="F99" s="6" t="n">
        <v>-9971</v>
      </c>
      <c r="G99" s="6" t="n"/>
      <c r="H99" s="6" t="n"/>
      <c r="I99" s="6" t="n">
        <v>-9971</v>
      </c>
      <c r="J99" s="6" t="n"/>
      <c r="K99" s="6" t="n"/>
      <c r="L99" s="6" t="n">
        <v>-9971</v>
      </c>
    </row>
    <row r="100">
      <c r="A100" s="6" t="inlineStr">
        <is>
          <t>Fair value movements on debt instruments at FVOCI taken directly to OCI</t>
        </is>
      </c>
      <c r="B100" s="6" t="n"/>
      <c r="C100" s="6" t="n"/>
      <c r="D100" s="6" t="n"/>
      <c r="E100" s="6" t="n">
        <v>6078</v>
      </c>
      <c r="F100" s="6" t="n"/>
      <c r="G100" s="6" t="n"/>
      <c r="H100" s="6" t="n"/>
      <c r="I100" s="6" t="n">
        <v>6078</v>
      </c>
      <c r="J100" s="6" t="n"/>
      <c r="K100" s="6" t="n"/>
      <c r="L100" s="6" t="n">
        <v>6078</v>
      </c>
    </row>
    <row r="101">
      <c r="A101" s="6" t="inlineStr">
        <is>
          <t>Foreign currency adjustments on translating foreign operations</t>
        </is>
      </c>
      <c r="B101" s="6" t="n"/>
      <c r="C101" s="6" t="n"/>
      <c r="D101" s="6" t="n"/>
      <c r="E101" s="6" t="n"/>
      <c r="F101" s="6" t="n"/>
      <c r="G101" s="6" t="n">
        <v>-3580</v>
      </c>
      <c r="H101" s="6" t="n"/>
      <c r="I101" s="6" t="n">
        <v>-3580</v>
      </c>
      <c r="J101" s="6" t="n"/>
      <c r="K101" s="6" t="n">
        <v>-21</v>
      </c>
      <c r="L101" s="6" t="n">
        <v>-3601</v>
      </c>
    </row>
    <row r="102">
      <c r="A102" s="6" t="inlineStr">
        <is>
          <t>Share of other comprehensive income of associates and joint venture holdings</t>
        </is>
      </c>
      <c r="B102" s="6" t="n"/>
      <c r="C102" s="6" t="n"/>
      <c r="D102" s="6" t="n"/>
      <c r="E102" s="6" t="n"/>
      <c r="F102" s="6" t="n"/>
      <c r="G102" s="6" t="n"/>
      <c r="H102" s="6" t="n">
        <v>257</v>
      </c>
      <c r="I102" s="6" t="n">
        <v>257</v>
      </c>
      <c r="J102" s="6" t="n"/>
      <c r="K102" s="6" t="n"/>
      <c r="L102" s="6" t="n">
        <v>257</v>
      </c>
    </row>
    <row r="103">
      <c r="A103" s="5" t="inlineStr">
        <is>
          <t>Total comprehensive income for the year</t>
        </is>
      </c>
      <c r="B103" s="5" t="n"/>
      <c r="C103" s="5" t="n"/>
      <c r="D103" s="5" t="n"/>
      <c r="E103" s="5" t="n">
        <v>5261</v>
      </c>
      <c r="F103" s="5" t="n">
        <v>-9971</v>
      </c>
      <c r="G103" s="5" t="n">
        <v>-3580</v>
      </c>
      <c r="H103" s="5" t="n">
        <v>719866</v>
      </c>
      <c r="I103" s="5" t="n">
        <v>711576</v>
      </c>
      <c r="J103" s="5" t="n"/>
      <c r="K103" s="5" t="n">
        <v>1183</v>
      </c>
      <c r="L103" s="5" t="n">
        <v>712759</v>
      </c>
    </row>
    <row r="104">
      <c r="A104" s="6" t="inlineStr">
        <is>
          <t>Share-based payments adjustments</t>
        </is>
      </c>
      <c r="B104" s="6" t="n"/>
      <c r="C104" s="6" t="n"/>
      <c r="D104" s="6" t="n"/>
      <c r="E104" s="6" t="n"/>
      <c r="F104" s="6" t="n"/>
      <c r="G104" s="6" t="n"/>
      <c r="H104" s="6" t="n">
        <v>5427</v>
      </c>
      <c r="I104" s="6" t="n">
        <v>5427</v>
      </c>
      <c r="J104" s="6" t="n"/>
      <c r="K104" s="6" t="n"/>
      <c r="L104" s="6" t="n">
        <v>5427</v>
      </c>
    </row>
    <row r="105">
      <c r="A105" s="6" t="inlineStr">
        <is>
          <t>Employee benefit liability recognised</t>
        </is>
      </c>
      <c r="B105" s="6" t="n"/>
      <c r="C105" s="6" t="n"/>
      <c r="D105" s="6" t="n"/>
      <c r="E105" s="6" t="n"/>
      <c r="F105" s="6" t="n"/>
      <c r="G105" s="6" t="n"/>
      <c r="H105" s="6" t="n">
        <v>1740</v>
      </c>
      <c r="I105" s="6" t="n">
        <v>1740</v>
      </c>
      <c r="J105" s="6" t="n"/>
      <c r="K105" s="6" t="n"/>
      <c r="L105" s="6" t="n">
        <v>1740</v>
      </c>
    </row>
    <row r="106">
      <c r="A106" s="6" t="inlineStr">
        <is>
          <t>Transaction with equity holders</t>
        </is>
      </c>
      <c r="B106" s="6" t="n"/>
      <c r="C106" s="6" t="n"/>
      <c r="D106" s="6" t="n"/>
      <c r="E106" s="6" t="n"/>
      <c r="F106" s="6" t="n"/>
      <c r="G106" s="6" t="n"/>
      <c r="H106" s="6" t="n">
        <v>-2971</v>
      </c>
      <c r="I106" s="6" t="n">
        <v>-2971</v>
      </c>
      <c r="J106" s="6" t="n"/>
      <c r="K106" s="6" t="n"/>
      <c r="L106" s="6" t="n">
        <v>-2971</v>
      </c>
    </row>
    <row r="107">
      <c r="A107" s="6" t="inlineStr">
        <is>
          <t>Issue of Additional Tier 1 security instruments</t>
        </is>
      </c>
      <c r="B107" s="6" t="n"/>
      <c r="C107" s="6" t="n"/>
      <c r="D107" s="6" t="n"/>
      <c r="E107" s="6" t="n"/>
      <c r="F107" s="6" t="n"/>
      <c r="G107" s="6" t="n"/>
      <c r="H107" s="6" t="n"/>
      <c r="I107" s="6" t="n"/>
      <c r="J107" s="6" t="n">
        <v>350000</v>
      </c>
      <c r="K107" s="6" t="n"/>
      <c r="L107" s="6" t="n">
        <v>350000</v>
      </c>
    </row>
    <row r="108">
      <c r="A108" s="6" t="inlineStr">
        <is>
          <t>Redemption of Additional Tier 1 security instruments</t>
        </is>
      </c>
      <c r="B108" s="6" t="n"/>
      <c r="C108" s="6" t="n"/>
      <c r="D108" s="6" t="n"/>
      <c r="E108" s="6" t="n"/>
      <c r="F108" s="6" t="n"/>
      <c r="G108" s="6" t="n"/>
      <c r="H108" s="6" t="n"/>
      <c r="I108" s="6" t="n"/>
      <c r="J108" s="6" t="n">
        <v>-141892</v>
      </c>
      <c r="K108" s="6" t="n"/>
      <c r="L108" s="6" t="n">
        <v>-141892</v>
      </c>
    </row>
    <row r="109">
      <c r="A109" s="6" t="inlineStr">
        <is>
          <t>Dividends paid to ordinary shareholder</t>
        </is>
      </c>
      <c r="B109" s="6" t="n"/>
      <c r="C109" s="6" t="n"/>
      <c r="D109" s="6" t="n"/>
      <c r="E109" s="6" t="n"/>
      <c r="F109" s="6" t="n"/>
      <c r="G109" s="6" t="n"/>
      <c r="H109" s="6" t="n">
        <v>-89798</v>
      </c>
      <c r="I109" s="6" t="n">
        <v>-89798</v>
      </c>
      <c r="J109" s="6" t="n"/>
      <c r="K109" s="6" t="n"/>
      <c r="L109" s="6" t="n">
        <v>-89798</v>
      </c>
    </row>
    <row r="110">
      <c r="A110" s="6" t="inlineStr">
        <is>
          <t>Dividends declared to Additional Tier 1 security holders</t>
        </is>
      </c>
      <c r="B110" s="6" t="n"/>
      <c r="C110" s="6" t="n"/>
      <c r="D110" s="6" t="n"/>
      <c r="E110" s="6" t="n"/>
      <c r="F110" s="6" t="n"/>
      <c r="G110" s="6" t="n"/>
      <c r="H110" s="6" t="n">
        <v>-20638</v>
      </c>
      <c r="I110" s="6" t="n">
        <v>-20638</v>
      </c>
      <c r="J110" s="6" t="n">
        <v>20638</v>
      </c>
      <c r="K110" s="6" t="n"/>
      <c r="L110" s="6" t="n">
        <v>0</v>
      </c>
    </row>
    <row r="111">
      <c r="A111" s="6" t="inlineStr">
        <is>
          <t>Dividends paid to Additional Tier 1 security holders</t>
        </is>
      </c>
      <c r="B111" s="6" t="n"/>
      <c r="C111" s="6" t="n"/>
      <c r="D111" s="6" t="n"/>
      <c r="E111" s="6" t="n"/>
      <c r="F111" s="6" t="n"/>
      <c r="G111" s="6" t="n"/>
      <c r="H111" s="6" t="n"/>
      <c r="I111" s="6" t="n"/>
      <c r="J111" s="6" t="n">
        <v>-20638</v>
      </c>
      <c r="K111" s="6" t="n"/>
      <c r="L111" s="6" t="n">
        <v>-20638</v>
      </c>
    </row>
    <row r="112">
      <c r="A112" s="6" t="inlineStr">
        <is>
          <t>Gains on Additional Tier 1 security instruments callback</t>
        </is>
      </c>
      <c r="B112" s="6" t="n"/>
      <c r="C112" s="6" t="n"/>
      <c r="D112" s="6" t="n"/>
      <c r="E112" s="6" t="n"/>
      <c r="F112" s="6" t="n"/>
      <c r="G112" s="6" t="n"/>
      <c r="H112" s="6" t="n">
        <v>1420</v>
      </c>
      <c r="I112" s="6" t="n">
        <v>1420</v>
      </c>
      <c r="J112" s="6" t="n"/>
      <c r="K112" s="6" t="n"/>
      <c r="L112" s="6" t="n">
        <v>1420</v>
      </c>
    </row>
    <row r="113">
      <c r="A113" s="6" t="inlineStr">
        <is>
          <t>Net equity impact of non-controlling interest movements</t>
        </is>
      </c>
      <c r="B113" s="6" t="n"/>
      <c r="C113" s="6" t="n"/>
      <c r="D113" s="6" t="n"/>
      <c r="E113" s="6" t="n"/>
      <c r="F113" s="6" t="n"/>
      <c r="G113" s="6" t="n"/>
      <c r="H113" s="6" t="n"/>
      <c r="I113" s="6" t="n"/>
      <c r="J113" s="6" t="n"/>
      <c r="K113" s="6" t="n">
        <v>717</v>
      </c>
      <c r="L113" s="6" t="n">
        <v>717</v>
      </c>
    </row>
    <row r="114">
      <c r="A114" s="6" t="inlineStr">
        <is>
          <t>Release of capital reserve to retained income</t>
        </is>
      </c>
      <c r="B114" s="6" t="n"/>
      <c r="C114" s="6" t="n"/>
      <c r="D114" s="6" t="n">
        <v>-141903</v>
      </c>
      <c r="E114" s="6" t="n"/>
      <c r="F114" s="6" t="n"/>
      <c r="G114" s="6" t="n"/>
      <c r="H114" s="6" t="n">
        <v>141903</v>
      </c>
      <c r="I114" s="6" t="n"/>
      <c r="J114" s="6" t="n"/>
      <c r="K114" s="6" t="n"/>
      <c r="L114" s="6" t="n">
        <v>0</v>
      </c>
    </row>
    <row r="115">
      <c r="A115" s="5" t="inlineStr">
        <is>
          <t>At 31 March 2024</t>
        </is>
      </c>
      <c r="B115" s="5" t="n">
        <v>1280550</v>
      </c>
      <c r="C115" s="5" t="n">
        <v>199538</v>
      </c>
      <c r="D115" s="5" t="n">
        <v>11274</v>
      </c>
      <c r="E115" s="5" t="n">
        <v>5571</v>
      </c>
      <c r="F115" s="5" t="n">
        <v>17664</v>
      </c>
      <c r="G115" s="5" t="n">
        <v>3289</v>
      </c>
      <c r="H115" s="5" t="n">
        <v>1627373</v>
      </c>
      <c r="I115" s="5" t="n">
        <v>3145259</v>
      </c>
      <c r="J115" s="5" t="n">
        <v>458108</v>
      </c>
      <c r="K115" s="5" t="n">
        <v>2851</v>
      </c>
      <c r="L115" s="5" t="n">
        <v>3606218</v>
      </c>
    </row>
    <row r="116">
      <c r="A116" s="6" t="inlineStr">
        <is>
          <t>Profit after taxation</t>
        </is>
      </c>
      <c r="B116" s="6" t="n"/>
      <c r="C116" s="6" t="n"/>
      <c r="D116" s="6" t="n"/>
      <c r="E116" s="6" t="n"/>
      <c r="F116" s="6" t="n"/>
      <c r="G116" s="6" t="n"/>
      <c r="H116" s="6" t="n">
        <v>366419</v>
      </c>
      <c r="I116" s="6" t="n">
        <v>366419</v>
      </c>
      <c r="J116" s="6" t="n"/>
      <c r="K116" s="6" t="n">
        <v>12</v>
      </c>
      <c r="L116" s="6" t="n">
        <v>366431</v>
      </c>
    </row>
    <row r="117">
      <c r="A117" s="6" t="inlineStr">
        <is>
          <t>Gains on realisation of debt instruments at FVOCI recycled through the income statement</t>
        </is>
      </c>
      <c r="B117" s="6" t="n"/>
      <c r="C117" s="6" t="n"/>
      <c r="D117" s="6" t="n"/>
      <c r="E117" s="6" t="n">
        <v>-166</v>
      </c>
      <c r="F117" s="6" t="n"/>
      <c r="G117" s="6" t="n"/>
      <c r="H117" s="6" t="n"/>
      <c r="I117" s="6" t="n">
        <v>-166</v>
      </c>
      <c r="J117" s="6" t="n"/>
      <c r="K117" s="6" t="n"/>
      <c r="L117" s="6" t="n">
        <v>-166</v>
      </c>
    </row>
    <row r="118">
      <c r="A118" s="6" t="inlineStr">
        <is>
          <t>Fair value movements on cash flow hedges taken directly to OCI</t>
        </is>
      </c>
      <c r="B118" s="6" t="n"/>
      <c r="C118" s="6" t="n"/>
      <c r="D118" s="6" t="n"/>
      <c r="E118" s="6" t="n"/>
      <c r="F118" s="6" t="n">
        <v>-11259</v>
      </c>
      <c r="G118" s="6" t="n"/>
      <c r="H118" s="6" t="n"/>
      <c r="I118" s="6" t="n">
        <v>-11259</v>
      </c>
      <c r="J118" s="6" t="n"/>
      <c r="K118" s="6" t="n"/>
      <c r="L118" s="6" t="n">
        <v>-11259</v>
      </c>
    </row>
    <row r="119">
      <c r="A119" s="6" t="inlineStr">
        <is>
          <t>Fair value movements on debt instruments at FVOCI taken directly to OCI</t>
        </is>
      </c>
      <c r="B119" s="6" t="n"/>
      <c r="C119" s="6" t="n"/>
      <c r="D119" s="6" t="n"/>
      <c r="E119" s="6" t="n">
        <v>-6120</v>
      </c>
      <c r="F119" s="6" t="n"/>
      <c r="G119" s="6" t="n"/>
      <c r="H119" s="6" t="n"/>
      <c r="I119" s="6" t="n">
        <v>-6120</v>
      </c>
      <c r="J119" s="6" t="n"/>
      <c r="K119" s="6" t="n"/>
      <c r="L119" s="6" t="n">
        <v>-6120</v>
      </c>
    </row>
    <row r="120">
      <c r="A120" s="6" t="inlineStr">
        <is>
          <t>Foreign currency adjustments on translating foreign operations</t>
        </is>
      </c>
      <c r="B120" s="6" t="n"/>
      <c r="C120" s="6" t="n"/>
      <c r="D120" s="6" t="n"/>
      <c r="E120" s="6" t="n"/>
      <c r="F120" s="6" t="n"/>
      <c r="G120" s="6" t="n">
        <v>-4305</v>
      </c>
      <c r="H120" s="6" t="n"/>
      <c r="I120" s="6" t="n">
        <v>-4305</v>
      </c>
      <c r="J120" s="6" t="n"/>
      <c r="K120" s="6" t="n"/>
      <c r="L120" s="6" t="n">
        <v>-4305</v>
      </c>
    </row>
    <row r="121">
      <c r="A121" s="6" t="inlineStr">
        <is>
          <t>Share of other comprehensive income of associates and joint venture holdings</t>
        </is>
      </c>
      <c r="B121" s="6" t="n"/>
      <c r="C121" s="6" t="n"/>
      <c r="D121" s="6" t="n"/>
      <c r="E121" s="6" t="n"/>
      <c r="F121" s="6" t="n"/>
      <c r="G121" s="6" t="n"/>
      <c r="H121" s="6" t="n">
        <v>-3803</v>
      </c>
      <c r="I121" s="6" t="n">
        <v>-3803</v>
      </c>
      <c r="J121" s="6" t="n"/>
      <c r="K121" s="6" t="n"/>
      <c r="L121" s="6" t="n">
        <v>-3803</v>
      </c>
    </row>
    <row r="122">
      <c r="A122" s="5" t="inlineStr">
        <is>
          <t>Total comprehensive income for the year</t>
        </is>
      </c>
      <c r="B122" s="5" t="n"/>
      <c r="C122" s="5" t="n"/>
      <c r="D122" s="5" t="n"/>
      <c r="E122" s="5" t="n">
        <v>-6286</v>
      </c>
      <c r="F122" s="5" t="n">
        <v>-11259</v>
      </c>
      <c r="G122" s="5" t="n">
        <v>-4305</v>
      </c>
      <c r="H122" s="5" t="n">
        <v>362616</v>
      </c>
      <c r="I122" s="5" t="n">
        <v>340766</v>
      </c>
      <c r="J122" s="5" t="n"/>
      <c r="K122" s="5" t="n">
        <v>12</v>
      </c>
      <c r="L122" s="5" t="n">
        <v>340778</v>
      </c>
    </row>
    <row r="123">
      <c r="A123" s="6" t="inlineStr">
        <is>
          <t>Share-based payments adjustments</t>
        </is>
      </c>
      <c r="B123" s="6" t="n"/>
      <c r="C123" s="6" t="n"/>
      <c r="D123" s="6" t="n"/>
      <c r="E123" s="6" t="n"/>
      <c r="F123" s="6" t="n"/>
      <c r="G123" s="6" t="n"/>
      <c r="H123" s="6" t="n">
        <v>107</v>
      </c>
      <c r="I123" s="6" t="n">
        <v>107</v>
      </c>
      <c r="J123" s="6" t="n"/>
      <c r="K123" s="6" t="n"/>
      <c r="L123" s="6" t="n">
        <v>107</v>
      </c>
    </row>
    <row r="124">
      <c r="A124" s="6" t="inlineStr">
        <is>
          <t>Employee benefit liability recognised</t>
        </is>
      </c>
      <c r="B124" s="6" t="n"/>
      <c r="C124" s="6" t="n"/>
      <c r="D124" s="6" t="n"/>
      <c r="E124" s="6" t="n"/>
      <c r="F124" s="6" t="n"/>
      <c r="G124" s="6" t="n"/>
      <c r="H124" s="6" t="n">
        <v>402</v>
      </c>
      <c r="I124" s="6" t="n">
        <v>402</v>
      </c>
      <c r="J124" s="6" t="n"/>
      <c r="K124" s="6" t="n"/>
      <c r="L124" s="6" t="n">
        <v>402</v>
      </c>
    </row>
    <row r="125">
      <c r="A125" s="6" t="inlineStr">
        <is>
          <t>Redemption of Additional Tier 1 security instruments</t>
        </is>
      </c>
      <c r="B125" s="6" t="n"/>
      <c r="C125" s="6" t="n"/>
      <c r="D125" s="6" t="n"/>
      <c r="E125" s="6" t="n"/>
      <c r="F125" s="6" t="n"/>
      <c r="G125" s="6" t="n"/>
      <c r="H125" s="6" t="n"/>
      <c r="I125" s="6" t="n"/>
      <c r="J125" s="6" t="n">
        <v>-108108</v>
      </c>
      <c r="K125" s="6" t="n"/>
      <c r="L125" s="6" t="n">
        <v>-108108</v>
      </c>
    </row>
    <row r="126">
      <c r="A126" s="6" t="inlineStr">
        <is>
          <t>Dividends paid to ordinary shareholder</t>
        </is>
      </c>
      <c r="B126" s="6" t="n"/>
      <c r="C126" s="6" t="n"/>
      <c r="D126" s="6" t="n"/>
      <c r="E126" s="6" t="n"/>
      <c r="F126" s="6" t="n"/>
      <c r="G126" s="6" t="n"/>
      <c r="H126" s="6" t="n">
        <v>-120000</v>
      </c>
      <c r="I126" s="6" t="n">
        <v>-120000</v>
      </c>
      <c r="J126" s="6" t="n"/>
      <c r="K126" s="6" t="n"/>
      <c r="L126" s="6" t="n">
        <v>-120000</v>
      </c>
    </row>
    <row r="127">
      <c r="A127" s="6" t="inlineStr">
        <is>
          <t>Dividends declared to Additional Tier 1 security holders</t>
        </is>
      </c>
      <c r="B127" s="6" t="n"/>
      <c r="C127" s="6" t="n"/>
      <c r="D127" s="6" t="n"/>
      <c r="E127" s="6" t="n"/>
      <c r="F127" s="6" t="n"/>
      <c r="G127" s="6" t="n"/>
      <c r="H127" s="6" t="n">
        <v>-38356</v>
      </c>
      <c r="I127" s="6" t="n">
        <v>-38356</v>
      </c>
      <c r="J127" s="6" t="n">
        <v>38356</v>
      </c>
      <c r="K127" s="6" t="n"/>
      <c r="L127" s="6" t="n">
        <v>0</v>
      </c>
    </row>
    <row r="128">
      <c r="A128" s="6" t="inlineStr">
        <is>
          <t>Dividends paid to Additional Tier 1 security holders</t>
        </is>
      </c>
      <c r="B128" s="6" t="n"/>
      <c r="C128" s="6" t="n"/>
      <c r="D128" s="6" t="n"/>
      <c r="E128" s="6" t="n"/>
      <c r="F128" s="6" t="n"/>
      <c r="G128" s="6" t="n"/>
      <c r="H128" s="6" t="n"/>
      <c r="I128" s="6" t="n"/>
      <c r="J128" s="6" t="n">
        <v>-38356</v>
      </c>
      <c r="K128" s="6" t="n"/>
      <c r="L128" s="6" t="n">
        <v>-38356</v>
      </c>
    </row>
    <row r="129">
      <c r="A129" s="6" t="inlineStr">
        <is>
          <t>Net equity impact of non-controlling interest movements</t>
        </is>
      </c>
      <c r="B129" s="6" t="n"/>
      <c r="C129" s="6" t="n"/>
      <c r="D129" s="6" t="n"/>
      <c r="E129" s="6" t="n"/>
      <c r="F129" s="6" t="n"/>
      <c r="G129" s="6" t="n"/>
      <c r="H129" s="6" t="n">
        <v>1755</v>
      </c>
      <c r="I129" s="6" t="n">
        <v>1755</v>
      </c>
      <c r="J129" s="6" t="n"/>
      <c r="K129" s="6" t="n">
        <v>-1667</v>
      </c>
      <c r="L129" s="6" t="n">
        <v>88</v>
      </c>
    </row>
    <row r="130">
      <c r="A130" s="6" t="inlineStr">
        <is>
          <t>Net equity movements in associates and joint ventures</t>
        </is>
      </c>
      <c r="B130" s="6" t="n"/>
      <c r="C130" s="6" t="n"/>
      <c r="D130" s="6" t="n"/>
      <c r="E130" s="6" t="n"/>
      <c r="F130" s="6" t="n"/>
      <c r="G130" s="6" t="n"/>
      <c r="H130" s="6" t="n">
        <v>-8449</v>
      </c>
      <c r="I130" s="6" t="n">
        <v>-8449</v>
      </c>
      <c r="J130" s="6" t="n"/>
      <c r="K130" s="6" t="n"/>
      <c r="L130" s="6" t="n">
        <v>-8449</v>
      </c>
    </row>
    <row r="131">
      <c r="A131" s="6" t="inlineStr">
        <is>
          <t>Release of capital reserve to retained income</t>
        </is>
      </c>
      <c r="B131" s="6" t="n"/>
      <c r="C131" s="6" t="n"/>
      <c r="D131" s="6" t="n">
        <v>-11274</v>
      </c>
      <c r="E131" s="6" t="n"/>
      <c r="F131" s="6" t="n"/>
      <c r="G131" s="6" t="n"/>
      <c r="H131" s="6" t="n">
        <v>11274</v>
      </c>
      <c r="I131" s="6" t="n"/>
      <c r="J131" s="6" t="n"/>
      <c r="K131" s="6" t="n"/>
      <c r="L131" s="6" t="n">
        <v>0</v>
      </c>
    </row>
    <row r="132">
      <c r="A132" s="5" t="inlineStr">
        <is>
          <t>At 31 March 2025</t>
        </is>
      </c>
      <c r="B132" s="5" t="n">
        <v>1280550</v>
      </c>
      <c r="C132" s="5" t="n">
        <v>199538</v>
      </c>
      <c r="D132" s="5" t="n">
        <v>0</v>
      </c>
      <c r="E132" s="5" t="n">
        <v>-715</v>
      </c>
      <c r="F132" s="5" t="n">
        <v>6405</v>
      </c>
      <c r="G132" s="5" t="n">
        <v>-1016</v>
      </c>
      <c r="H132" s="5" t="n">
        <v>1836722</v>
      </c>
      <c r="I132" s="5" t="n">
        <v>3321484</v>
      </c>
      <c r="J132" s="5" t="n">
        <v>350000</v>
      </c>
      <c r="K132" s="5" t="n">
        <v>1196</v>
      </c>
      <c r="L132" s="5" t="n">
        <v>3672680</v>
      </c>
    </row>
    <row r="133">
      <c r="A133" s="6" t="inlineStr">
        <is>
          <t>Profit after taxation</t>
        </is>
      </c>
      <c r="B133" s="6" t="n"/>
      <c r="C133" s="6" t="n"/>
      <c r="D133" s="6" t="n"/>
      <c r="E133" s="6" t="n"/>
      <c r="F133" s="6" t="n"/>
      <c r="G133" s="6" t="n"/>
      <c r="H133" s="6" t="n">
        <v>353196</v>
      </c>
      <c r="I133" s="6" t="n">
        <v>353196</v>
      </c>
      <c r="J133" s="6" t="n"/>
      <c r="K133" s="6" t="n">
        <v>355</v>
      </c>
      <c r="L133" s="6" t="n">
        <v>353551</v>
      </c>
    </row>
    <row r="134">
      <c r="A134" s="6" t="inlineStr">
        <is>
          <t>Gains on realisation of debt instruments at FVOCI recycled through the income statement</t>
        </is>
      </c>
      <c r="B134" s="6" t="n"/>
      <c r="C134" s="6" t="n"/>
      <c r="D134" s="6" t="n"/>
      <c r="E134" s="6" t="n">
        <v>2171</v>
      </c>
      <c r="F134" s="6" t="n"/>
      <c r="G134" s="6" t="n"/>
      <c r="H134" s="6" t="n"/>
      <c r="I134" s="6" t="n">
        <v>2171</v>
      </c>
      <c r="J134" s="6" t="n"/>
      <c r="K134" s="6" t="n"/>
      <c r="L134" s="6" t="n">
        <v>2171</v>
      </c>
    </row>
    <row r="135">
      <c r="A135" s="6" t="inlineStr">
        <is>
          <t>Fair value movements on cash flow hedges taken directly to OCI</t>
        </is>
      </c>
      <c r="B135" s="6" t="n"/>
      <c r="C135" s="6" t="n"/>
      <c r="D135" s="6" t="n"/>
      <c r="E135" s="6" t="n"/>
      <c r="F135" s="6" t="n">
        <v>-8931</v>
      </c>
      <c r="G135" s="6" t="n"/>
      <c r="H135" s="6" t="n"/>
      <c r="I135" s="6" t="n">
        <v>-8931</v>
      </c>
      <c r="J135" s="6" t="n"/>
      <c r="K135" s="6" t="n"/>
      <c r="L135" s="6" t="n">
        <v>-8931</v>
      </c>
    </row>
    <row r="136">
      <c r="A136" s="6" t="inlineStr">
        <is>
          <t>Fair value movements on debt instruments at FVOCI taken directly to OCI</t>
        </is>
      </c>
      <c r="B136" s="6" t="n"/>
      <c r="C136" s="6" t="n"/>
      <c r="D136" s="6" t="n"/>
      <c r="E136" s="6" t="n">
        <v>-128</v>
      </c>
      <c r="F136" s="6" t="n"/>
      <c r="G136" s="6" t="n"/>
      <c r="H136" s="6" t="n"/>
      <c r="I136" s="6" t="n">
        <v>-128</v>
      </c>
      <c r="J136" s="6" t="n"/>
      <c r="K136" s="6" t="n"/>
      <c r="L136" s="6" t="n">
        <v>-128</v>
      </c>
    </row>
    <row r="137">
      <c r="A137" s="6" t="inlineStr">
        <is>
          <t>Foreign currency adjustments on translating foreign operations</t>
        </is>
      </c>
      <c r="B137" s="6" t="n"/>
      <c r="C137" s="6" t="n"/>
      <c r="D137" s="6" t="n"/>
      <c r="E137" s="6" t="n"/>
      <c r="F137" s="6" t="n"/>
      <c r="G137" s="6" t="n">
        <v>4456</v>
      </c>
      <c r="H137" s="6" t="n"/>
      <c r="I137" s="6" t="n">
        <v>4456</v>
      </c>
      <c r="J137" s="6" t="n"/>
      <c r="K137" s="6" t="n">
        <v>-472</v>
      </c>
      <c r="L137" s="6" t="n">
        <v>3984</v>
      </c>
    </row>
    <row r="138">
      <c r="A138" s="6" t="inlineStr">
        <is>
          <t>Share of other comprehensive income of associates and joint venture holdings</t>
        </is>
      </c>
      <c r="B138" s="6" t="n"/>
      <c r="C138" s="6" t="n"/>
      <c r="D138" s="6" t="n"/>
      <c r="E138" s="6" t="n"/>
      <c r="F138" s="6" t="n"/>
      <c r="G138" s="6" t="n"/>
      <c r="H138" s="6" t="n">
        <v>27</v>
      </c>
      <c r="I138" s="6" t="n">
        <v>27</v>
      </c>
      <c r="J138" s="6" t="n"/>
      <c r="K138" s="6" t="n"/>
      <c r="L138" s="6" t="n">
        <v>27</v>
      </c>
    </row>
    <row r="139">
      <c r="A139" s="6" t="inlineStr">
        <is>
          <t>Hedge of net investment in subsidiary</t>
        </is>
      </c>
      <c r="B139" s="6" t="n"/>
      <c r="C139" s="6" t="n"/>
      <c r="D139" s="6" t="n"/>
      <c r="E139" s="6" t="n"/>
      <c r="F139" s="6" t="n"/>
      <c r="G139" s="6" t="n">
        <v>-2080</v>
      </c>
      <c r="H139" s="6" t="n"/>
      <c r="I139" s="6" t="n">
        <v>-2080</v>
      </c>
      <c r="J139" s="6" t="n"/>
      <c r="K139" s="6" t="n"/>
      <c r="L139" s="6" t="n">
        <v>-2080</v>
      </c>
    </row>
    <row r="140">
      <c r="A140" s="5" t="inlineStr">
        <is>
          <t>Total comprehensive income for the year</t>
        </is>
      </c>
      <c r="B140" s="5" t="n"/>
      <c r="C140" s="5" t="n"/>
      <c r="D140" s="5" t="n"/>
      <c r="E140" s="5" t="n">
        <v>2043</v>
      </c>
      <c r="F140" s="5" t="n">
        <v>-8931</v>
      </c>
      <c r="G140" s="5" t="n">
        <v>2376</v>
      </c>
      <c r="H140" s="5" t="n">
        <v>353223</v>
      </c>
      <c r="I140" s="5" t="n">
        <v>348711</v>
      </c>
      <c r="J140" s="5" t="n"/>
      <c r="K140" s="5" t="n">
        <v>-117</v>
      </c>
      <c r="L140" s="5" t="n">
        <v>348594</v>
      </c>
    </row>
    <row r="141">
      <c r="A141" s="6" t="inlineStr">
        <is>
          <t>Share-based payments adjustments</t>
        </is>
      </c>
      <c r="B141" s="6" t="n"/>
      <c r="C141" s="6" t="n"/>
      <c r="D141" s="6" t="n"/>
      <c r="E141" s="6" t="n"/>
      <c r="F141" s="6" t="n"/>
      <c r="G141" s="6" t="n"/>
      <c r="H141" s="6" t="n">
        <v>10515</v>
      </c>
      <c r="I141" s="6" t="n">
        <v>10515</v>
      </c>
      <c r="J141" s="6" t="n"/>
      <c r="K141" s="6" t="n"/>
      <c r="L141" s="6" t="n">
        <v>10515</v>
      </c>
    </row>
    <row r="142">
      <c r="A142" s="6" t="inlineStr">
        <is>
          <t>Employee benefit liability recognised</t>
        </is>
      </c>
      <c r="B142" s="6" t="n"/>
      <c r="C142" s="6" t="n"/>
      <c r="D142" s="6" t="n"/>
      <c r="E142" s="6" t="n"/>
      <c r="F142" s="6" t="n"/>
      <c r="G142" s="6" t="n"/>
      <c r="H142" s="6" t="n">
        <v>238</v>
      </c>
      <c r="I142" s="6" t="n">
        <v>238</v>
      </c>
      <c r="J142" s="6" t="n"/>
      <c r="K142" s="6" t="n"/>
      <c r="L142" s="6" t="n">
        <v>238</v>
      </c>
    </row>
    <row r="143">
      <c r="A143" s="6" t="inlineStr">
        <is>
          <t>Dividends paid to ordinary shareholder</t>
        </is>
      </c>
      <c r="B143" s="6" t="n"/>
      <c r="C143" s="6" t="n"/>
      <c r="D143" s="6" t="n"/>
      <c r="E143" s="6" t="n"/>
      <c r="F143" s="6" t="n"/>
      <c r="G143" s="6" t="n"/>
      <c r="H143" s="6" t="n">
        <v>-137000</v>
      </c>
      <c r="I143" s="6" t="n">
        <v>-137000</v>
      </c>
      <c r="J143" s="6" t="n"/>
      <c r="K143" s="6" t="n"/>
      <c r="L143" s="6" t="n">
        <v>-137000</v>
      </c>
    </row>
    <row r="144">
      <c r="A144" s="6" t="inlineStr">
        <is>
          <t>Dividends declared to Additional Tier 1 security holders</t>
        </is>
      </c>
      <c r="B144" s="6" t="n"/>
      <c r="C144" s="6" t="n"/>
      <c r="D144" s="6" t="n"/>
      <c r="E144" s="6" t="n"/>
      <c r="F144" s="6" t="n"/>
      <c r="G144" s="6" t="n"/>
      <c r="H144" s="6" t="n">
        <v>-36750</v>
      </c>
      <c r="I144" s="6" t="n">
        <v>-36750</v>
      </c>
      <c r="J144" s="6" t="n">
        <v>36750</v>
      </c>
      <c r="K144" s="6" t="n"/>
      <c r="L144" s="6" t="n">
        <v>0</v>
      </c>
    </row>
    <row r="145">
      <c r="A145" s="6" t="inlineStr">
        <is>
          <t>Dividends paid to Additional Tier 1 security holders</t>
        </is>
      </c>
      <c r="B145" s="6" t="n"/>
      <c r="C145" s="6" t="n"/>
      <c r="D145" s="6" t="n"/>
      <c r="E145" s="6" t="n"/>
      <c r="F145" s="6" t="n"/>
      <c r="G145" s="6" t="n"/>
      <c r="H145" s="6" t="n"/>
      <c r="I145" s="6" t="n"/>
      <c r="J145" s="6" t="n">
        <v>-36750</v>
      </c>
      <c r="K145" s="6" t="n"/>
      <c r="L145" s="6" t="n">
        <v>-36750</v>
      </c>
    </row>
    <row r="146">
      <c r="A146" s="6" t="inlineStr">
        <is>
          <t>Net equity impact of non-controlling interest movements</t>
        </is>
      </c>
      <c r="B146" s="6" t="n"/>
      <c r="C146" s="6" t="n"/>
      <c r="D146" s="6" t="n"/>
      <c r="E146" s="6" t="n"/>
      <c r="F146" s="6" t="n"/>
      <c r="G146" s="6" t="n"/>
      <c r="H146" s="6" t="n"/>
      <c r="I146" s="6" t="n"/>
      <c r="J146" s="6" t="n"/>
      <c r="K146" s="6" t="n">
        <v>-72</v>
      </c>
      <c r="L146" s="6" t="n">
        <v>-72</v>
      </c>
    </row>
    <row r="147">
      <c r="A147" s="6" t="inlineStr">
        <is>
          <t>Net equity movements in associates and joint ventures</t>
        </is>
      </c>
      <c r="B147" s="6" t="n"/>
      <c r="C147" s="6" t="n"/>
      <c r="D147" s="6" t="n"/>
      <c r="E147" s="6" t="n"/>
      <c r="F147" s="6" t="n"/>
      <c r="G147" s="6" t="n"/>
      <c r="H147" s="6" t="n">
        <v>7883</v>
      </c>
      <c r="I147" s="6" t="n">
        <v>7883</v>
      </c>
      <c r="J147" s="6" t="n"/>
      <c r="K147" s="6" t="n"/>
      <c r="L147" s="6" t="n">
        <v>7883</v>
      </c>
    </row>
    <row r="148">
      <c r="A148" s="5" t="inlineStr">
        <is>
          <t>At 31 March 2026</t>
        </is>
      </c>
      <c r="B148" s="5" t="n">
        <v>1280550</v>
      </c>
      <c r="C148" s="5" t="n">
        <v>199538</v>
      </c>
      <c r="D148" s="5" t="n">
        <v>0</v>
      </c>
      <c r="E148" s="5" t="n">
        <v>1328</v>
      </c>
      <c r="F148" s="5" t="n">
        <v>-2526</v>
      </c>
      <c r="G148" s="5" t="n">
        <v>1360</v>
      </c>
      <c r="H148" s="5" t="n">
        <v>2034831</v>
      </c>
      <c r="I148" s="5" t="n">
        <v>3515081</v>
      </c>
      <c r="J148" s="5" t="n">
        <v>350000</v>
      </c>
      <c r="K148" s="5" t="n">
        <v>1007</v>
      </c>
      <c r="L148" s="5" t="n">
        <v>3866088</v>
      </c>
    </row>
    <row r="150" ht="156" customHeight="1">
      <c r="A150" s="8" t="inlineStr">
        <is>
          <t>Sources — Investec Bank plc Group Statement of Changes in Equity, £'000:
1 Apr 2017 - 31 Mar 2019: Investec Bank plc Annual Financial Statements 2019, p.156-157 — https://find-and-update.company-information.service.gov.uk/company/00489604/filing-history/MzI0MjAzMDcwOWFkaXF6a2N4/document?format=pdf&amp;download=0
1 Apr 2019 - 31 Mar 2021: Investec Bank plc Annual Financial Statements 2021, p.184-185 — https://find-and-update.company-information.service.gov.uk/company/00489604/filing-history/MzMwOTY3ODkxNGFkaXF6a2N4/document?format=pdf&amp;download=0
1 Apr 2021 - 31 Mar 2023: Investec Bank plc Annual Financial Statements 2023, p.124-125 — https://find-and-update.company-information.service.gov.uk/company/00489604/filing-history/MzM5NTY4ODE2OWFkaXF6a2N4/document?format=pdf&amp;download=0
1 Apr 2023 - 31 Mar 2025: Investec Bank plc Annual Financial Statements 2025, p.124-125 — https://find-and-update.company-information.service.gov.uk/company/00489604/filing-history/MzQ3NDQ1NjE4M2FkaXF6a2N4/document?format=pdf&amp;download=0
1 Apr 2025 - 31 Mar 2026: Investec Bank plc Annual Financial Statements 2026, p.128-129 — https://find-and-update.company-information.service.gov.uk/company/00489604/filing-history/MzUzMDk3ODM1OWFkaXF6a2N4/document?format=pdf&amp;download=0
Equity reconciliation ladder confirmed: every year's own closing Total equity ties exactly to (a) the next year's own reported opening balance and (b) that year's own Balance Sheet Total equity - zero plug rows needed anywhere across all 9 years (1,979,931 -&gt; 2,209,167 -&gt; [1 April 2018 IFRS 9 transition: 1,997,503] -&gt; 2,163,228 -&gt; 2,331,172 -&gt; 2,364,920 -&gt; 2,547,185 -&gt; 2,789,454 -&gt; 3,606,218 -&gt; 3,672,680 -&gt; 3,866,088). Movement rows follow each year's own labelling exactly (e.g. 'Release of capital reserve to retained income'/'Transfer from capital reserve' are net-zero internal reclassifications, not real gains/losses). 'Own credit reserve' is disclosed as its own equity component FY2018-FY2021 (introduced 1 April 2018 on IFRS 9 adoption, replacing the 'available-for-sale reserve'); this session reuses the existing 'Cash flow hedge reserve' column position to carry it (that reserve doesn't exist until FY2022, so the two never overlap) rather than adding a new column, and relabels the header accordingly. The one exception is the pre-existing 'At 1 April 2021' row carried over unchanged from the FY2022-2026 build (not touched this session): it already omits the -11,723 Own credit reserve balance from that column, a pre-existing gap in the prior build now visible by contrast with the FY2018-FY2021 rows added this session, which show it explicitly. Total equity itself ties exactly regardless. FY2018's IAS 39-basis opening ('At 1 April 2017') and its own 'Available-for-sale reserve' movements are shown using the same merged column for the same reason (available-for-sale reserve is the direct predecessor of the fair value reserve, before IFRS 9).</t>
        </is>
      </c>
    </row>
  </sheetData>
  <mergeCells count="1">
    <mergeCell ref="A150:L15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Consolidated Cash Flow Statement</t>
        </is>
      </c>
    </row>
    <row r="2">
      <c r="A2" s="2" t="inlineStr">
        <is>
          <t>Investec Bank plc Group (consolidated basis), £'000 unless stated</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row>
    <row r="4">
      <c r="A4" s="5" t="inlineStr">
        <is>
          <t>Cash flows from operating activities</t>
        </is>
      </c>
      <c r="B4" s="6" t="n"/>
      <c r="C4" s="6" t="n"/>
      <c r="D4" s="6" t="n"/>
      <c r="E4" s="6" t="n"/>
      <c r="F4" s="6" t="n"/>
      <c r="G4" s="6" t="n"/>
      <c r="H4" s="6" t="n"/>
      <c r="I4" s="6" t="n"/>
      <c r="J4" s="6" t="n"/>
    </row>
    <row r="5">
      <c r="A5" s="6" t="inlineStr">
        <is>
          <t>Profit before taxation adjusted for non-cash items</t>
        </is>
      </c>
      <c r="B5" s="6" t="n">
        <v>547146</v>
      </c>
      <c r="C5" s="6" t="n">
        <v>552838</v>
      </c>
      <c r="D5" s="6" t="n">
        <v>567094</v>
      </c>
      <c r="E5" s="6" t="n">
        <v>509014</v>
      </c>
      <c r="F5" s="6" t="n">
        <v>350162</v>
      </c>
      <c r="G5" s="6" t="n">
        <v>193584</v>
      </c>
      <c r="H5" s="6" t="n">
        <v>144478</v>
      </c>
      <c r="I5" s="6" t="n">
        <v>234248</v>
      </c>
      <c r="J5" s="6" t="n">
        <v>255649</v>
      </c>
    </row>
    <row r="6">
      <c r="A6" s="6" t="inlineStr">
        <is>
          <t>Taxation paid</t>
        </is>
      </c>
      <c r="B6" s="6" t="n">
        <v>-73176</v>
      </c>
      <c r="C6" s="6" t="n">
        <v>-64733</v>
      </c>
      <c r="D6" s="6" t="n">
        <v>-110339</v>
      </c>
      <c r="E6" s="6" t="n">
        <v>-74998</v>
      </c>
      <c r="F6" s="6" t="n">
        <v>-53294</v>
      </c>
      <c r="G6" s="6" t="n">
        <v>-52385</v>
      </c>
      <c r="H6" s="6" t="n">
        <v>-12415</v>
      </c>
      <c r="I6" s="6" t="n">
        <v>-74301</v>
      </c>
      <c r="J6" s="6" t="n">
        <v>-40581</v>
      </c>
    </row>
    <row r="7">
      <c r="A7" s="6" t="inlineStr">
        <is>
          <t>Increase in operating assets</t>
        </is>
      </c>
      <c r="B7" s="6" t="n">
        <v>-3142293</v>
      </c>
      <c r="C7" s="6" t="n">
        <v>-1317141</v>
      </c>
      <c r="D7" s="6" t="n">
        <v>-1471004</v>
      </c>
      <c r="E7" s="6" t="n">
        <v>-1268534</v>
      </c>
      <c r="F7" s="6" t="n">
        <v>-823132</v>
      </c>
      <c r="G7" s="6" t="n">
        <v>472934</v>
      </c>
      <c r="H7" s="6" t="n">
        <v>-3434076</v>
      </c>
      <c r="I7" s="6" t="n">
        <v>-1183864</v>
      </c>
      <c r="J7" s="6" t="n">
        <v>-1262949</v>
      </c>
    </row>
    <row r="8">
      <c r="A8" s="6" t="inlineStr">
        <is>
          <t>Increase/(decrease) in operating liabilities</t>
        </is>
      </c>
      <c r="B8" s="6" t="n">
        <v>1944798</v>
      </c>
      <c r="C8" s="6" t="n">
        <v>-132847</v>
      </c>
      <c r="D8" s="6" t="n">
        <v>1273760</v>
      </c>
      <c r="E8" s="6" t="n">
        <v>435513</v>
      </c>
      <c r="F8" s="6" t="n">
        <v>3076202</v>
      </c>
      <c r="G8" s="6" t="n">
        <v>-167411</v>
      </c>
      <c r="H8" s="6" t="n">
        <v>1929119</v>
      </c>
      <c r="I8" s="6" t="n">
        <v>1930219</v>
      </c>
      <c r="J8" s="6" t="n">
        <v>1487703</v>
      </c>
    </row>
    <row r="9">
      <c r="A9" s="5" t="inlineStr">
        <is>
          <t>Net cash (outflow)/inflow from operating activities</t>
        </is>
      </c>
      <c r="B9" s="5" t="n">
        <v>-723525</v>
      </c>
      <c r="C9" s="5" t="n">
        <v>-961883</v>
      </c>
      <c r="D9" s="5" t="n">
        <v>259511</v>
      </c>
      <c r="E9" s="5" t="n">
        <v>-399005</v>
      </c>
      <c r="F9" s="5" t="n">
        <v>2549938</v>
      </c>
      <c r="G9" s="5" t="n">
        <v>446722</v>
      </c>
      <c r="H9" s="5" t="n">
        <v>-1372894</v>
      </c>
      <c r="I9" s="5" t="n">
        <v>906302</v>
      </c>
      <c r="J9" s="5" t="n">
        <v>439822</v>
      </c>
    </row>
    <row r="10">
      <c r="A10" s="5" t="inlineStr">
        <is>
          <t>Cash flows from investing activities</t>
        </is>
      </c>
      <c r="B10" s="6" t="n"/>
      <c r="C10" s="6" t="n"/>
      <c r="D10" s="6" t="n"/>
      <c r="E10" s="6" t="n"/>
      <c r="F10" s="6" t="n"/>
      <c r="G10" s="6" t="n"/>
      <c r="H10" s="6" t="n"/>
      <c r="I10" s="6" t="n"/>
      <c r="J10" s="6" t="n"/>
    </row>
    <row r="11">
      <c r="A11" s="6" t="inlineStr">
        <is>
          <t>Cash flow on acquisition of subsidiaries, net of cash acquired</t>
        </is>
      </c>
      <c r="B11" s="6" t="n">
        <v>-1167</v>
      </c>
      <c r="C11" s="6" t="n">
        <v>0</v>
      </c>
      <c r="D11" s="6" t="n">
        <v>-28559</v>
      </c>
      <c r="E11" s="6" t="n">
        <v>-9720</v>
      </c>
      <c r="F11" s="6" t="n">
        <v>0</v>
      </c>
      <c r="G11" s="6" t="n"/>
      <c r="H11" s="6" t="n"/>
      <c r="I11" s="6" t="n"/>
      <c r="J11" s="6" t="n"/>
    </row>
    <row r="12">
      <c r="A12" s="6" t="inlineStr">
        <is>
          <t>Cash flow on disposal of subsidiaries</t>
        </is>
      </c>
      <c r="B12" s="6" t="n">
        <v>0</v>
      </c>
      <c r="C12" s="6" t="n">
        <v>0</v>
      </c>
      <c r="D12" s="6" t="n">
        <v>0</v>
      </c>
      <c r="E12" s="6" t="n">
        <v>12</v>
      </c>
      <c r="F12" s="6" t="n">
        <v>14274</v>
      </c>
      <c r="G12" s="6" t="n">
        <v>20388</v>
      </c>
      <c r="H12" s="6" t="n">
        <v>44913</v>
      </c>
      <c r="I12" s="6" t="n"/>
      <c r="J12" s="6" t="n"/>
    </row>
    <row r="13">
      <c r="A13" s="6" t="inlineStr">
        <is>
          <t>Derecognition of cash on deconsolidation/disposal of subsidiaries</t>
        </is>
      </c>
      <c r="B13" s="6" t="n"/>
      <c r="C13" s="6" t="n">
        <v>0</v>
      </c>
      <c r="D13" s="6" t="n">
        <v>-172615</v>
      </c>
      <c r="E13" s="6" t="n">
        <v>0</v>
      </c>
      <c r="F13" s="6" t="n">
        <v>-4152</v>
      </c>
      <c r="G13" s="6" t="n">
        <v>-7799</v>
      </c>
      <c r="H13" s="6" t="n">
        <v>-3259</v>
      </c>
      <c r="I13" s="6" t="n"/>
      <c r="J13" s="6" t="n"/>
    </row>
    <row r="14">
      <c r="A14" s="6" t="inlineStr">
        <is>
          <t>Cash flow on net disposal of non-controlling interest</t>
        </is>
      </c>
      <c r="B14" s="6" t="n"/>
      <c r="C14" s="6" t="n"/>
      <c r="D14" s="6" t="n"/>
      <c r="E14" s="6" t="n">
        <v>118</v>
      </c>
      <c r="F14" s="6" t="n">
        <v>443</v>
      </c>
      <c r="G14" s="6" t="n">
        <v>7239</v>
      </c>
      <c r="H14" s="6" t="n">
        <v>9459</v>
      </c>
      <c r="I14" s="6" t="n">
        <v>25</v>
      </c>
      <c r="J14" s="6" t="n">
        <v>126</v>
      </c>
    </row>
    <row r="15">
      <c r="A15" s="6" t="inlineStr">
        <is>
          <t>Cash flow on net disposal/(acquisition) of associates and joint venture holdings</t>
        </is>
      </c>
      <c r="B15" s="6" t="n"/>
      <c r="C15" s="6" t="n"/>
      <c r="D15" s="6" t="n"/>
      <c r="E15" s="6" t="n">
        <v>565</v>
      </c>
      <c r="F15" s="6" t="n">
        <v>-8780</v>
      </c>
      <c r="G15" s="6" t="n"/>
      <c r="H15" s="6" t="n">
        <v>500</v>
      </c>
      <c r="I15" s="6" t="n">
        <v>-327</v>
      </c>
      <c r="J15" s="6" t="n">
        <v>17430</v>
      </c>
    </row>
    <row r="16">
      <c r="A16" s="6" t="inlineStr">
        <is>
          <t>Cash flow on acquisition of associates and joint venture holdings</t>
        </is>
      </c>
      <c r="B16" s="6" t="n">
        <v>-5769</v>
      </c>
      <c r="C16" s="6" t="n"/>
      <c r="D16" s="6" t="n"/>
      <c r="E16" s="6" t="n"/>
      <c r="F16" s="6" t="n"/>
      <c r="G16" s="6" t="n"/>
      <c r="H16" s="6" t="n"/>
      <c r="I16" s="6" t="n"/>
      <c r="J16" s="6" t="n"/>
    </row>
    <row r="17">
      <c r="A17" s="6" t="inlineStr">
        <is>
          <t>Cash flow on disposal of associate</t>
        </is>
      </c>
      <c r="B17" s="6" t="n">
        <v>1952</v>
      </c>
      <c r="C17" s="6" t="n"/>
      <c r="D17" s="6" t="n"/>
      <c r="E17" s="6" t="n"/>
      <c r="F17" s="6" t="n"/>
      <c r="G17" s="6" t="n"/>
      <c r="H17" s="6" t="n"/>
      <c r="I17" s="6" t="n"/>
      <c r="J17" s="6" t="n"/>
    </row>
    <row r="18">
      <c r="A18" s="6" t="inlineStr">
        <is>
          <t>Cash flow on acquisition of property, equipment, software and other intangible assets</t>
        </is>
      </c>
      <c r="B18" s="6" t="n">
        <v>-46946</v>
      </c>
      <c r="C18" s="6" t="n">
        <v>-3943</v>
      </c>
      <c r="D18" s="6" t="n">
        <v>-3848</v>
      </c>
      <c r="E18" s="6" t="n">
        <v>-11712</v>
      </c>
      <c r="F18" s="6" t="n">
        <v>-4931</v>
      </c>
      <c r="G18" s="6" t="n">
        <v>-7236</v>
      </c>
      <c r="H18" s="6" t="n">
        <v>-9102</v>
      </c>
      <c r="I18" s="6" t="n">
        <v>-63537</v>
      </c>
      <c r="J18" s="6" t="n">
        <v>-15738</v>
      </c>
    </row>
    <row r="19">
      <c r="A19" s="6" t="inlineStr">
        <is>
          <t>Cash flow on disposal of property, equipment, software and other intangible assets</t>
        </is>
      </c>
      <c r="B19" s="6" t="n">
        <v>137</v>
      </c>
      <c r="C19" s="6" t="n">
        <v>204</v>
      </c>
      <c r="D19" s="6" t="n">
        <v>157</v>
      </c>
      <c r="E19" s="6" t="n">
        <v>23975</v>
      </c>
      <c r="F19" s="6" t="n">
        <v>4273</v>
      </c>
      <c r="G19" s="6" t="n">
        <v>318</v>
      </c>
      <c r="H19" s="6" t="n">
        <v>1473</v>
      </c>
      <c r="I19" s="6" t="n">
        <v>2998</v>
      </c>
      <c r="J19" s="6" t="n">
        <v>2086</v>
      </c>
    </row>
    <row r="20">
      <c r="A20" s="5" t="inlineStr">
        <is>
          <t>Net cash (outflow)/inflow from investing activities</t>
        </is>
      </c>
      <c r="B20" s="5" t="n">
        <v>-51793</v>
      </c>
      <c r="C20" s="5" t="n">
        <v>-3739</v>
      </c>
      <c r="D20" s="5" t="n">
        <v>-204865</v>
      </c>
      <c r="E20" s="5" t="n">
        <v>3238</v>
      </c>
      <c r="F20" s="5" t="n">
        <v>1127</v>
      </c>
      <c r="G20" s="5" t="n">
        <v>12910</v>
      </c>
      <c r="H20" s="5" t="n">
        <v>43984</v>
      </c>
      <c r="I20" s="5" t="n">
        <v>-60841</v>
      </c>
      <c r="J20" s="5" t="n">
        <v>3904</v>
      </c>
    </row>
    <row r="21">
      <c r="A21" s="5" t="inlineStr">
        <is>
          <t>Cash flows from financing activities</t>
        </is>
      </c>
      <c r="B21" s="6" t="n"/>
      <c r="C21" s="6" t="n"/>
      <c r="D21" s="6" t="n"/>
      <c r="E21" s="6" t="n"/>
      <c r="F21" s="6" t="n"/>
      <c r="G21" s="6" t="n"/>
      <c r="H21" s="6" t="n"/>
      <c r="I21" s="6" t="n"/>
      <c r="J21" s="6" t="n"/>
    </row>
    <row r="22">
      <c r="A22" s="6" t="inlineStr">
        <is>
          <t>Dividends paid to ordinary shareholder</t>
        </is>
      </c>
      <c r="B22" s="6" t="n">
        <v>-137000</v>
      </c>
      <c r="C22" s="6" t="n">
        <v>-120000</v>
      </c>
      <c r="D22" s="6" t="n">
        <v>-89798</v>
      </c>
      <c r="E22" s="6" t="n">
        <v>-95000</v>
      </c>
      <c r="F22" s="6" t="n">
        <v>-56500</v>
      </c>
      <c r="G22" s="6" t="n">
        <v>-11000</v>
      </c>
      <c r="H22" s="6" t="n">
        <v>-35000</v>
      </c>
      <c r="I22" s="6" t="n">
        <v>-35000</v>
      </c>
      <c r="J22" s="6" t="n">
        <v>-53000</v>
      </c>
    </row>
    <row r="23">
      <c r="A23" s="6" t="inlineStr">
        <is>
          <t>Dividends paid to other equity holders</t>
        </is>
      </c>
      <c r="B23" s="6" t="n">
        <v>-36750</v>
      </c>
      <c r="C23" s="6" t="n">
        <v>-42223</v>
      </c>
      <c r="D23" s="6" t="n">
        <v>-16771</v>
      </c>
      <c r="E23" s="6" t="n">
        <v>-16875</v>
      </c>
      <c r="F23" s="6" t="n">
        <v>-16875</v>
      </c>
      <c r="G23" s="6" t="n">
        <v>-16875</v>
      </c>
      <c r="H23" s="6" t="n">
        <v>-16875</v>
      </c>
      <c r="I23" s="6" t="n">
        <v>-11254</v>
      </c>
      <c r="J23" s="6" t="n">
        <v>-4236</v>
      </c>
    </row>
    <row r="24">
      <c r="A24" s="6" t="inlineStr">
        <is>
          <t>Proceeds on issue of Additional Tier 1 Securities</t>
        </is>
      </c>
      <c r="B24" s="6" t="n"/>
      <c r="C24" s="6" t="n">
        <v>0</v>
      </c>
      <c r="D24" s="6" t="n">
        <v>350000</v>
      </c>
      <c r="E24" s="6" t="n"/>
      <c r="F24" s="6" t="n"/>
      <c r="G24" s="6" t="n"/>
      <c r="H24" s="6" t="n"/>
      <c r="I24" s="6" t="n">
        <v>50000</v>
      </c>
      <c r="J24" s="6" t="n">
        <v>200000</v>
      </c>
    </row>
    <row r="25">
      <c r="A25" s="6" t="inlineStr">
        <is>
          <t>Redemption of Additional Tier 1 instruments</t>
        </is>
      </c>
      <c r="B25" s="6" t="n">
        <v>0</v>
      </c>
      <c r="C25" s="6" t="n">
        <v>-108108</v>
      </c>
      <c r="D25" s="6" t="n">
        <v>-140472</v>
      </c>
      <c r="E25" s="6" t="n"/>
      <c r="F25" s="6" t="n"/>
      <c r="G25" s="6" t="n"/>
      <c r="H25" s="6" t="n"/>
      <c r="I25" s="6" t="n"/>
      <c r="J25" s="6" t="n"/>
    </row>
    <row r="26">
      <c r="A26" s="6" t="inlineStr">
        <is>
          <t>Proceeds from issue of ordinary shares, net of related costs</t>
        </is>
      </c>
      <c r="B26" s="6" t="n"/>
      <c r="C26" s="6" t="n"/>
      <c r="D26" s="6" t="n"/>
      <c r="E26" s="6" t="n"/>
      <c r="F26" s="6" t="n"/>
      <c r="G26" s="6" t="n"/>
      <c r="H26" s="6" t="n">
        <v>150000</v>
      </c>
      <c r="I26" s="6" t="n"/>
      <c r="J26" s="6" t="n"/>
    </row>
    <row r="27">
      <c r="A27" s="6" t="inlineStr">
        <is>
          <t>Proceeds from issue of subordinated debt</t>
        </is>
      </c>
      <c r="B27" s="6" t="n">
        <v>298343</v>
      </c>
      <c r="C27" s="6" t="n"/>
      <c r="D27" s="6" t="n"/>
      <c r="E27" s="6" t="n">
        <v>345590</v>
      </c>
      <c r="F27" s="6" t="n">
        <v>347536</v>
      </c>
      <c r="G27" s="6" t="n"/>
      <c r="H27" s="6" t="n"/>
      <c r="I27" s="6" t="n">
        <v>415687</v>
      </c>
      <c r="J27" s="6" t="n"/>
    </row>
    <row r="28">
      <c r="A28" s="6" t="inlineStr">
        <is>
          <t>Redemption of subordinated debt</t>
        </is>
      </c>
      <c r="B28" s="6" t="n">
        <v>-290850</v>
      </c>
      <c r="C28" s="6" t="n">
        <v>0</v>
      </c>
      <c r="D28" s="6" t="n">
        <v>-70000</v>
      </c>
      <c r="E28" s="6" t="n">
        <v>-347925</v>
      </c>
      <c r="F28" s="6" t="n">
        <v>-307962</v>
      </c>
      <c r="G28" s="6" t="n"/>
      <c r="H28" s="6" t="n"/>
      <c r="I28" s="6" t="n">
        <v>-335541</v>
      </c>
      <c r="J28" s="6" t="n"/>
    </row>
    <row r="29">
      <c r="A29" s="6" t="inlineStr">
        <is>
          <t>Lease liabilities paid</t>
        </is>
      </c>
      <c r="B29" s="6" t="n">
        <v>-143227</v>
      </c>
      <c r="C29" s="6" t="n">
        <v>-43776</v>
      </c>
      <c r="D29" s="6" t="n">
        <v>-42444</v>
      </c>
      <c r="E29" s="6" t="n">
        <v>-44089</v>
      </c>
      <c r="F29" s="6" t="n">
        <v>-43253</v>
      </c>
      <c r="G29" s="6" t="n">
        <v>-53454</v>
      </c>
      <c r="H29" s="6" t="n">
        <v>-51214</v>
      </c>
      <c r="I29" s="6" t="n"/>
      <c r="J29" s="6" t="n"/>
    </row>
    <row r="30">
      <c r="A30" s="5" t="inlineStr">
        <is>
          <t>Net cash outflow from financing activities</t>
        </is>
      </c>
      <c r="B30" s="5" t="n">
        <v>-309484</v>
      </c>
      <c r="C30" s="5" t="n">
        <v>-314107</v>
      </c>
      <c r="D30" s="5" t="n">
        <v>-9485</v>
      </c>
      <c r="E30" s="5" t="n">
        <v>-158299</v>
      </c>
      <c r="F30" s="5" t="n">
        <v>-77054</v>
      </c>
      <c r="G30" s="5" t="n">
        <v>-81329</v>
      </c>
      <c r="H30" s="5" t="n">
        <v>46911</v>
      </c>
      <c r="I30" s="5" t="n">
        <v>83892</v>
      </c>
      <c r="J30" s="5" t="n">
        <v>142764</v>
      </c>
    </row>
    <row r="31">
      <c r="A31" s="6" t="inlineStr">
        <is>
          <t>Effects of exchange rate changes on cash and cash equivalents</t>
        </is>
      </c>
      <c r="B31" s="6" t="n">
        <v>7023</v>
      </c>
      <c r="C31" s="6" t="n">
        <v>-1128</v>
      </c>
      <c r="D31" s="6" t="n">
        <v>-498</v>
      </c>
      <c r="E31" s="6" t="n">
        <v>773</v>
      </c>
      <c r="F31" s="6" t="n">
        <v>-607</v>
      </c>
      <c r="G31" s="6" t="n">
        <v>5872</v>
      </c>
      <c r="H31" s="6" t="n">
        <v>-5501</v>
      </c>
      <c r="I31" s="6" t="n">
        <v>-3994</v>
      </c>
      <c r="J31" s="6" t="n">
        <v>-2571</v>
      </c>
    </row>
    <row r="32">
      <c r="A32" s="5" t="inlineStr">
        <is>
          <t>Net (decrease)/increase in cash and cash equivalents</t>
        </is>
      </c>
      <c r="B32" s="5" t="n">
        <v>-1077779</v>
      </c>
      <c r="C32" s="5" t="n">
        <v>-1280857</v>
      </c>
      <c r="D32" s="5" t="n">
        <v>44663</v>
      </c>
      <c r="E32" s="5" t="n">
        <v>-553293</v>
      </c>
      <c r="F32" s="5" t="n">
        <v>2473404</v>
      </c>
      <c r="G32" s="5" t="n">
        <v>384175</v>
      </c>
      <c r="H32" s="5" t="n">
        <v>-1287500</v>
      </c>
      <c r="I32" s="5" t="n">
        <v>925359</v>
      </c>
      <c r="J32" s="5" t="n">
        <v>583919</v>
      </c>
    </row>
    <row r="33">
      <c r="A33" s="6" t="inlineStr">
        <is>
          <t>Cash and cash equivalents at the beginning of the year</t>
        </is>
      </c>
      <c r="B33" s="6" t="n">
        <v>5051552</v>
      </c>
      <c r="C33" s="6" t="n">
        <v>6332409</v>
      </c>
      <c r="D33" s="6" t="n">
        <v>6287746</v>
      </c>
      <c r="E33" s="6" t="n">
        <v>6841039</v>
      </c>
      <c r="F33" s="6" t="n">
        <v>4367635</v>
      </c>
      <c r="G33" s="6" t="n">
        <v>3983460</v>
      </c>
      <c r="H33" s="6" t="n">
        <v>5270960</v>
      </c>
      <c r="I33" s="6" t="n">
        <v>4122721</v>
      </c>
      <c r="J33" s="6" t="n">
        <v>3538802</v>
      </c>
    </row>
    <row r="34">
      <c r="A34" s="5" t="inlineStr">
        <is>
          <t>Cash and cash equivalents at the end of the year</t>
        </is>
      </c>
      <c r="B34" s="5" t="n">
        <v>3973773</v>
      </c>
      <c r="C34" s="5" t="n">
        <v>5051552</v>
      </c>
      <c r="D34" s="5" t="n">
        <v>6332409</v>
      </c>
      <c r="E34" s="5" t="n">
        <v>6287746</v>
      </c>
      <c r="F34" s="5" t="n">
        <v>6841039</v>
      </c>
      <c r="G34" s="5" t="n">
        <v>4367635</v>
      </c>
      <c r="H34" s="5" t="n">
        <v>3983460</v>
      </c>
      <c r="I34" s="5" t="n">
        <v>5048080</v>
      </c>
      <c r="J34" s="5" t="n">
        <v>4122721</v>
      </c>
    </row>
    <row r="35">
      <c r="A35" s="5" t="inlineStr">
        <is>
          <t>Cash and cash equivalents at end of year comprise</t>
        </is>
      </c>
      <c r="B35" s="6" t="n"/>
      <c r="C35" s="6" t="n"/>
      <c r="D35" s="6" t="n"/>
      <c r="E35" s="6" t="n"/>
      <c r="F35" s="6" t="n"/>
      <c r="G35" s="6" t="n"/>
      <c r="H35" s="6" t="n"/>
      <c r="I35" s="6" t="n"/>
      <c r="J35" s="6" t="n"/>
    </row>
    <row r="36">
      <c r="A36" s="6" t="inlineStr">
        <is>
          <t>Cash and balances at central banks</t>
        </is>
      </c>
      <c r="B36" s="6" t="n">
        <v>3173756</v>
      </c>
      <c r="C36" s="6" t="n">
        <v>4191750</v>
      </c>
      <c r="D36" s="6" t="n">
        <v>5661623</v>
      </c>
      <c r="E36" s="6" t="n">
        <v>5400401</v>
      </c>
      <c r="F36" s="6" t="n">
        <v>5379994</v>
      </c>
      <c r="G36" s="6" t="n">
        <v>3043034</v>
      </c>
      <c r="H36" s="6" t="n">
        <v>2277318</v>
      </c>
      <c r="I36" s="6" t="n">
        <v>4445430</v>
      </c>
      <c r="J36" s="6" t="n">
        <v>3487768</v>
      </c>
    </row>
    <row r="37">
      <c r="A37" s="6" t="inlineStr">
        <is>
          <t>On demand loans and advances to banks</t>
        </is>
      </c>
      <c r="B37" s="6" t="n">
        <v>800017</v>
      </c>
      <c r="C37" s="6" t="n">
        <v>859802</v>
      </c>
      <c r="D37" s="6" t="n">
        <v>670786</v>
      </c>
      <c r="E37" s="6" t="n">
        <v>887345</v>
      </c>
      <c r="F37" s="6" t="n">
        <v>1461045</v>
      </c>
      <c r="G37" s="6" t="n">
        <v>1324601</v>
      </c>
      <c r="H37" s="6" t="n">
        <v>1706142</v>
      </c>
      <c r="I37" s="6" t="n">
        <v>602650</v>
      </c>
      <c r="J37" s="6" t="n">
        <v>634953</v>
      </c>
    </row>
    <row r="38">
      <c r="A38" s="5" t="inlineStr">
        <is>
          <t>Cash and cash equivalents at the end of the year</t>
        </is>
      </c>
      <c r="B38" s="5" t="n">
        <v>3973773</v>
      </c>
      <c r="C38" s="5" t="n">
        <v>5051552</v>
      </c>
      <c r="D38" s="5" t="n">
        <v>6332409</v>
      </c>
      <c r="E38" s="5" t="n">
        <v>6287746</v>
      </c>
      <c r="F38" s="5" t="n">
        <v>6841039</v>
      </c>
      <c r="G38" s="5" t="n">
        <v>4367635</v>
      </c>
      <c r="H38" s="5" t="n">
        <v>3983460</v>
      </c>
      <c r="I38" s="5" t="n">
        <v>5048080</v>
      </c>
      <c r="J38" s="5" t="n">
        <v>4122721</v>
      </c>
    </row>
    <row r="40" ht="156" customHeight="1">
      <c r="A40" s="8" t="inlineStr">
        <is>
          <t>Sources — all figures are Investec Bank plc Group consolidated cash flow statement, £'000:
FY2026 &amp; FY2025: Investec Bank plc Annual Financial Statements 2026, p.127 (Cash flow statements) — https://find-and-update.company-information.service.gov.uk/company/00489604/filing-history/MzUzMDk3ODM1OWFkaXF6a2N4/document?format=pdf&amp;download=0
FY2024: Investec Bank plc Annual Financial Statements 2025, p.123 (Cash flow statements) — https://find-and-update.company-information.service.gov.uk/company/00489604/filing-history/MzQ3NDQ1NjE4M2FkaXF6a2N4/document?format=pdf&amp;download=0
FY2023 &amp; FY2022: Investec Bank plc Annual Financial Statements 2023, p.123 (Cash flow statements) — https://find-and-update.company-information.service.gov.uk/company/00489604/filing-history/MzM5NTY4ODE2OWFkaXF6a2N4/document?format=pdf&amp;download=0
FY2021 &amp; FY2020: Investec Bank plc Annual Financial Statements 2021, p.183 (Cash flow statements, Group) — https://find-and-update.company-information.service.gov.uk/company/00489604/filing-history/MzMwOTY3ODkxNGFkaXF6a2N4/document?format=pdf&amp;download=0
FY2019 (own year) &amp; FY2018 (own-year comparative): Investec Bank plc Annual Financial Statements 2019, p.154 (Cash flow statements, Group) — https://find-and-update.company-information.service.gov.uk/company/00489604/filing-history/MzI0MjAzMDcwOWFkaXF6a2N4/document?format=pdf&amp;download=0
Note: these are Companies House filing copies (scanned/image-only PDFs — no text layer; transcribed via page-render + manual reading). Investec's own investor-relations site returned HTTP 403 to automated fetches throughout, and no Wayback Machine snapshot of the relevant IR pages was found, so Companies House was the only available source this session. Presentation granularity changed across report vintages: FY2026 itemises 'acquisition of associates and joint venture holdings' / 'disposal of associate' as separate investing lines (FY2023-FY2022 net these into a single 'net disposal/(acquisition) of associates and joint venture holdings' line, as do FY2021-FY2018); FY2026 financing activities are funded via subordinated debt issuance/redemption where FY2025/FY2024 used Additional Tier 1 Securities issuance/redemption instead; FY2020 raised £150,000k via a one-off ordinary share issue (own separate line) and FY2019/FY2018 raised subordinated debt directly ('Proceeds/redemption of debt instruments') alongside Additional Tier 1 issuance; 'Lease liabilities paid' first appears from FY2020 (IFRS 16 adopted 1 April 2019) — FY2019 and FY2018 predate it and have no equivalent line (leases were off-balance-sheet operating leases under the prior standard). Blank cells indicate that year's report did not disclose that specific line; where a value was disclosed as nil ('—') it is shown as 0. Section totals (net cash from operating/investing/financing activities, cash and cash equivalents) are consistent and reconcile exactly year-to-year across all 9 years (each year's opening cash balance ties to the prior year's closing balance).</t>
        </is>
      </c>
    </row>
  </sheetData>
  <mergeCells count="1">
    <mergeCell ref="A40:J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Investec Bank plc — Asset Quality</t>
        </is>
      </c>
    </row>
    <row r="2">
      <c r="A2" s="2" t="inlineStr">
        <is>
          <t>Investec Bank plc Group, gross core loans subject to ECL by IFRS 9 stage, £'million</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row>
    <row r="4">
      <c r="A4" s="5" t="inlineStr">
        <is>
          <t>Gross exposure</t>
        </is>
      </c>
      <c r="B4" s="6" t="n"/>
      <c r="C4" s="6" t="n"/>
      <c r="D4" s="6" t="n"/>
      <c r="E4" s="6" t="n"/>
      <c r="F4" s="6" t="n"/>
      <c r="G4" s="6" t="n"/>
      <c r="H4" s="6" t="n"/>
      <c r="I4" s="6" t="n"/>
    </row>
    <row r="5">
      <c r="A5" s="6" t="inlineStr">
        <is>
          <t>Stage 1</t>
        </is>
      </c>
      <c r="B5" s="6" t="n">
        <v>15354</v>
      </c>
      <c r="C5" s="6" t="n">
        <v>14520</v>
      </c>
      <c r="D5" s="6" t="n">
        <v>14181</v>
      </c>
      <c r="E5" s="6" t="n">
        <v>13494</v>
      </c>
      <c r="F5" s="6" t="n">
        <v>12665</v>
      </c>
      <c r="G5" s="6" t="n">
        <v>10398</v>
      </c>
      <c r="H5" s="6" t="n">
        <v>10399</v>
      </c>
      <c r="I5" s="6" t="n">
        <v>8969</v>
      </c>
    </row>
    <row r="6">
      <c r="A6" s="6" t="inlineStr">
        <is>
          <t>Stage 2</t>
        </is>
      </c>
      <c r="B6" s="6" t="n">
        <v>1266</v>
      </c>
      <c r="C6" s="6" t="n">
        <v>1328</v>
      </c>
      <c r="D6" s="6" t="n">
        <v>1391</v>
      </c>
      <c r="E6" s="6" t="n">
        <v>1321</v>
      </c>
      <c r="F6" s="6" t="n">
        <v>992</v>
      </c>
      <c r="G6" s="6" t="n">
        <v>1238</v>
      </c>
      <c r="H6" s="6" t="n">
        <v>576</v>
      </c>
      <c r="I6" s="6" t="n">
        <v>576</v>
      </c>
    </row>
    <row r="7">
      <c r="A7" s="6" t="inlineStr">
        <is>
          <t>Stage 3</t>
        </is>
      </c>
      <c r="B7" s="6" t="n">
        <v>582</v>
      </c>
      <c r="C7" s="6" t="n">
        <v>536</v>
      </c>
      <c r="D7" s="6" t="n">
        <v>531</v>
      </c>
      <c r="E7" s="6" t="n">
        <v>343</v>
      </c>
      <c r="F7" s="6" t="n">
        <v>291</v>
      </c>
      <c r="G7" s="6" t="n">
        <v>332</v>
      </c>
      <c r="H7" s="6" t="n">
        <v>379</v>
      </c>
      <c r="I7" s="6" t="n">
        <v>319</v>
      </c>
    </row>
    <row r="8">
      <c r="A8" s="5" t="inlineStr">
        <is>
          <t>Gross core loans subject to ECL</t>
        </is>
      </c>
      <c r="B8" s="5" t="n">
        <v>17202</v>
      </c>
      <c r="C8" s="5" t="n">
        <v>16384</v>
      </c>
      <c r="D8" s="5" t="n">
        <v>16103</v>
      </c>
      <c r="E8" s="5" t="n">
        <v>15158</v>
      </c>
      <c r="F8" s="5" t="n">
        <v>13948</v>
      </c>
      <c r="G8" s="5" t="n">
        <v>11968</v>
      </c>
      <c r="H8" s="5" t="n">
        <v>11354</v>
      </c>
      <c r="I8" s="5" t="n">
        <v>9864</v>
      </c>
    </row>
    <row r="9">
      <c r="A9" s="5" t="inlineStr">
        <is>
          <t>Expected credit loss (ECL)</t>
        </is>
      </c>
      <c r="B9" s="6" t="n"/>
      <c r="C9" s="6" t="n"/>
      <c r="D9" s="6" t="n"/>
      <c r="E9" s="6" t="n"/>
      <c r="F9" s="6" t="n"/>
      <c r="G9" s="6" t="n"/>
      <c r="H9" s="6" t="n"/>
      <c r="I9" s="6" t="n"/>
    </row>
    <row r="10">
      <c r="A10" s="6" t="inlineStr">
        <is>
          <t>Stage 1</t>
        </is>
      </c>
      <c r="B10" s="6" t="n">
        <v>-37</v>
      </c>
      <c r="C10" s="6" t="n">
        <v>-34</v>
      </c>
      <c r="D10" s="6" t="n">
        <v>-43</v>
      </c>
      <c r="E10" s="6" t="n">
        <v>-39</v>
      </c>
      <c r="F10" s="6" t="n">
        <v>-32</v>
      </c>
      <c r="G10" s="6" t="n">
        <v>-27</v>
      </c>
      <c r="H10" s="6" t="n">
        <v>-37</v>
      </c>
      <c r="I10" s="6" t="n">
        <v>-14</v>
      </c>
    </row>
    <row r="11">
      <c r="A11" s="6" t="inlineStr">
        <is>
          <t>Stage 2</t>
        </is>
      </c>
      <c r="B11" s="6" t="n">
        <v>-28</v>
      </c>
      <c r="C11" s="6" t="n">
        <v>-31</v>
      </c>
      <c r="D11" s="6" t="n">
        <v>-33</v>
      </c>
      <c r="E11" s="6" t="n">
        <v>-32</v>
      </c>
      <c r="F11" s="6" t="n">
        <v>-35</v>
      </c>
      <c r="G11" s="6" t="n">
        <v>-41</v>
      </c>
      <c r="H11" s="6" t="n">
        <v>-31</v>
      </c>
      <c r="I11" s="6" t="n">
        <v>-27</v>
      </c>
    </row>
    <row r="12">
      <c r="A12" s="6" t="inlineStr">
        <is>
          <t>Stage 3</t>
        </is>
      </c>
      <c r="B12" s="6" t="n">
        <v>-142</v>
      </c>
      <c r="C12" s="6" t="n">
        <v>-100</v>
      </c>
      <c r="D12" s="6" t="n">
        <v>-111</v>
      </c>
      <c r="E12" s="6" t="n">
        <v>-75</v>
      </c>
      <c r="F12" s="6" t="n">
        <v>-67</v>
      </c>
      <c r="G12" s="6" t="n">
        <v>-101</v>
      </c>
      <c r="H12" s="6" t="n">
        <v>-107</v>
      </c>
      <c r="I12" s="6" t="n">
        <v>-108</v>
      </c>
    </row>
    <row r="13">
      <c r="A13" s="5" t="inlineStr">
        <is>
          <t>Total ECL</t>
        </is>
      </c>
      <c r="B13" s="5" t="n">
        <v>-207</v>
      </c>
      <c r="C13" s="5" t="n">
        <v>-165</v>
      </c>
      <c r="D13" s="5" t="n">
        <v>-187</v>
      </c>
      <c r="E13" s="5" t="n">
        <v>-146</v>
      </c>
      <c r="F13" s="5" t="n">
        <v>-134</v>
      </c>
      <c r="G13" s="5" t="n">
        <v>-169</v>
      </c>
      <c r="H13" s="5" t="n">
        <v>-175</v>
      </c>
      <c r="I13" s="5" t="n">
        <v>-149</v>
      </c>
    </row>
    <row r="14">
      <c r="A14" s="5" t="inlineStr">
        <is>
          <t>Coverage ratios (as disclosed)</t>
        </is>
      </c>
      <c r="B14" s="6" t="n"/>
      <c r="C14" s="6" t="n"/>
      <c r="D14" s="6" t="n"/>
      <c r="E14" s="6" t="n"/>
      <c r="F14" s="6" t="n"/>
      <c r="G14" s="6" t="n"/>
      <c r="H14" s="6" t="n"/>
      <c r="I14" s="6" t="n"/>
    </row>
    <row r="15">
      <c r="A15" s="6" t="inlineStr">
        <is>
          <t>Stage 1 coverage ratio</t>
        </is>
      </c>
      <c r="B15" s="6" t="inlineStr">
        <is>
          <t>0.24%</t>
        </is>
      </c>
      <c r="C15" s="6" t="inlineStr">
        <is>
          <t>0.23%</t>
        </is>
      </c>
      <c r="D15" s="6" t="inlineStr">
        <is>
          <t>0.30%</t>
        </is>
      </c>
      <c r="E15" s="6" t="inlineStr">
        <is>
          <t>0.29%</t>
        </is>
      </c>
      <c r="F15" s="6" t="inlineStr">
        <is>
          <t>0.25%</t>
        </is>
      </c>
      <c r="G15" s="6" t="inlineStr">
        <is>
          <t>0.26%</t>
        </is>
      </c>
      <c r="H15" s="6" t="inlineStr">
        <is>
          <t>0.36%</t>
        </is>
      </c>
      <c r="I15" s="6" t="inlineStr">
        <is>
          <t>0.2%</t>
        </is>
      </c>
    </row>
    <row r="16">
      <c r="A16" s="6" t="inlineStr">
        <is>
          <t>Stage 2 coverage ratio</t>
        </is>
      </c>
      <c r="B16" s="6" t="inlineStr">
        <is>
          <t>2.2%</t>
        </is>
      </c>
      <c r="C16" s="6" t="inlineStr">
        <is>
          <t>2.3%</t>
        </is>
      </c>
      <c r="D16" s="6" t="inlineStr">
        <is>
          <t>2.4%</t>
        </is>
      </c>
      <c r="E16" s="6" t="inlineStr">
        <is>
          <t>2.4%</t>
        </is>
      </c>
      <c r="F16" s="6" t="inlineStr">
        <is>
          <t>3.5%</t>
        </is>
      </c>
      <c r="G16" s="6" t="inlineStr">
        <is>
          <t>3.3%</t>
        </is>
      </c>
      <c r="H16" s="6" t="inlineStr">
        <is>
          <t>5.4%</t>
        </is>
      </c>
      <c r="I16" s="6" t="inlineStr">
        <is>
          <t>4.7%</t>
        </is>
      </c>
    </row>
    <row r="17">
      <c r="A17" s="6" t="inlineStr">
        <is>
          <t>Stage 3 coverage ratio</t>
        </is>
      </c>
      <c r="B17" s="6" t="inlineStr">
        <is>
          <t>24.4%</t>
        </is>
      </c>
      <c r="C17" s="6" t="inlineStr">
        <is>
          <t>18.7%</t>
        </is>
      </c>
      <c r="D17" s="6" t="inlineStr">
        <is>
          <t>20.9%</t>
        </is>
      </c>
      <c r="E17" s="6" t="inlineStr">
        <is>
          <t>21.9%</t>
        </is>
      </c>
      <c r="F17" s="6" t="inlineStr">
        <is>
          <t>23.0%</t>
        </is>
      </c>
      <c r="G17" s="6" t="inlineStr">
        <is>
          <t>30.4%</t>
        </is>
      </c>
      <c r="H17" s="6" t="inlineStr">
        <is>
          <t>28.2%</t>
        </is>
      </c>
      <c r="I17" s="6" t="inlineStr">
        <is>
          <t>33.9%</t>
        </is>
      </c>
    </row>
    <row r="18">
      <c r="A18" s="6" t="inlineStr">
        <is>
          <t>Stage 3 as a % of gross core loans subject to ECL</t>
        </is>
      </c>
      <c r="B18" s="6" t="inlineStr">
        <is>
          <t>3.4%</t>
        </is>
      </c>
      <c r="C18" s="6" t="inlineStr">
        <is>
          <t>3.3%</t>
        </is>
      </c>
      <c r="D18" s="6" t="inlineStr">
        <is>
          <t>3.3%</t>
        </is>
      </c>
      <c r="E18" s="6" t="inlineStr">
        <is>
          <t>2.3%</t>
        </is>
      </c>
      <c r="F18" s="6" t="inlineStr">
        <is>
          <t>2.1%</t>
        </is>
      </c>
      <c r="G18" s="6" t="inlineStr">
        <is>
          <t>2.8%</t>
        </is>
      </c>
      <c r="H18" s="6" t="inlineStr">
        <is>
          <t>3.3%</t>
        </is>
      </c>
      <c r="I18" s="6" t="inlineStr">
        <is>
          <t>3.2%</t>
        </is>
      </c>
    </row>
    <row r="20" ht="182" customHeight="1">
      <c r="A20" s="8" t="inlineStr">
        <is>
          <t>Sources — IBP Group gross core loans subject to ECL, by IFRS 9 stage, £'million (as disclosed - not converted to £'000, unlike the other new statement sheets, to match each source table's own units):
FY2026: Investec Bank plc Annual Financial Statements 2026, p.247 ('An analysis of credit quality by internal rating grade') — https://find-and-update.company-information.service.gov.uk/company/00489604/filing-history/MzUzMDk3ODM1OWFkaXF6a2N4/document?format=pdf&amp;download=0
FY2025 (own) &amp; FY2024 (comparative): Investec Bank plc Annual Financial Statements 2025, p.252 ('An analysis of gross core loans, asset quality and ECL') — https://find-and-update.company-information.service.gov.uk/company/00489604/filing-history/MzQ3NDQ1NjE4M2FkaXF6a2N4/document?format=pdf&amp;download=0
FY2023 (own) &amp; FY2022 (comparative): Investec Bank plc Annual Financial Statements 2023, p.236 (same table) — https://find-and-update.company-information.service.gov.uk/company/00489604/filing-history/MzM5NTY4ODE2OWFkaXF6a2N4/document?format=pdf&amp;download=0
FY2021 (own) &amp; FY2020 (comparative): Investec Bank plc Annual Financial Statements 2021, p.63 ('An analysis of gross core loans, asset quality and ECL') — https://find-and-update.company-information.service.gov.uk/company/00489604/filing-history/MzMwOTY3ODkxNGFkaXF6a2N4/document?format=pdf&amp;download=0
FY2019 (own year): Investec Bank plc Annual Financial Statements 2019, p.49 (same table) — https://find-and-update.company-information.service.gov.uk/company/00489604/filing-history/MzI0MjAzMDcwOWFkaXF6a2N4/document?format=pdf&amp;download=0
Note: FY2026's Annual Report re-presents FY2025 as 14,524/1,331/563 (Stage 1/2/3 gross) - marginally different from FY2025's own originally-published 14,520/1,328/536 shown here, a presentation re-mapping detailed on the FY2026 report's own p.252, not a transcription error; each year's own originally-published figure is used per project convention. Coverage ratios are each year's own disclosed percentages, not recomputed, to avoid rounding drift - except FY2026, whose Annual Report replaced the simple per-stage coverage-ratio table with a by-internal-rating-grade breakdown; FY2026's per-stage coverage ratios shown here are derived (ECL / gross exposure) rather than directly disclosed. FY2018 is a genuine, disclosed self-skip on this sheet only: IFRS 9 (and its Stage 1/2/3 staging concept) took effect 1 April 2018, so FY2018's own Annual Report (IAS 39, incurred-loss basis) has no stage-based breakdown at all, and the only 'FY2018' figures printed anywhere under this template are the '1 April 2018' day-1 IFRS 9 transition opening balances shown as FY2019's comparative — not FY2018's own year-end position on a comparable basis, so they are not substituted in here.</t>
        </is>
      </c>
    </row>
  </sheetData>
  <mergeCells count="1">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Return on equity - average equity basis</t>
        </is>
      </c>
      <c r="B4" s="6" t="inlineStr">
        <is>
          <t>9.38%</t>
        </is>
      </c>
      <c r="C4" s="6" t="inlineStr">
        <is>
          <t>10.07%</t>
        </is>
      </c>
      <c r="D4" s="6" t="inlineStr">
        <is>
          <t>10.17%</t>
        </is>
      </c>
      <c r="E4" s="6" t="inlineStr">
        <is>
          <t>11.75%</t>
        </is>
      </c>
      <c r="F4" s="6" t="inlineStr">
        <is>
          <t>9.48%</t>
        </is>
      </c>
      <c r="G4" s="6" t="inlineStr">
        <is>
          <t>2.68%</t>
        </is>
      </c>
      <c r="H4" s="6" t="inlineStr">
        <is>
          <t>2.61%</t>
        </is>
      </c>
      <c r="I4" s="6" t="inlineStr">
        <is>
          <t>7.08%</t>
        </is>
      </c>
      <c r="J4" s="6" t="n"/>
    </row>
    <row r="5">
      <c r="A5" s="6" t="inlineStr">
        <is>
          <t>Return on equity - year-end equity basis</t>
        </is>
      </c>
      <c r="B5" s="6" t="inlineStr">
        <is>
          <t>9.14%</t>
        </is>
      </c>
      <c r="C5" s="6" t="inlineStr">
        <is>
          <t>9.98%</t>
        </is>
      </c>
      <c r="D5" s="6" t="inlineStr">
        <is>
          <t>9.02%</t>
        </is>
      </c>
      <c r="E5" s="6" t="inlineStr">
        <is>
          <t>11.24%</t>
        </is>
      </c>
      <c r="F5" s="6" t="inlineStr">
        <is>
          <t>9.14%</t>
        </is>
      </c>
      <c r="G5" s="6" t="inlineStr">
        <is>
          <t>2.66%</t>
        </is>
      </c>
      <c r="H5" s="6" t="inlineStr">
        <is>
          <t>2.52%</t>
        </is>
      </c>
      <c r="I5" s="6" t="inlineStr">
        <is>
          <t>7.16%</t>
        </is>
      </c>
      <c r="J5" s="6" t="inlineStr">
        <is>
          <t>4.35%</t>
        </is>
      </c>
    </row>
    <row r="6">
      <c r="A6" s="6" t="inlineStr">
        <is>
          <t>Return on assets - average assets basis</t>
        </is>
      </c>
      <c r="B6" s="6" t="inlineStr">
        <is>
          <t>1.15%</t>
        </is>
      </c>
      <c r="C6" s="6" t="inlineStr">
        <is>
          <t>1.23%</t>
        </is>
      </c>
      <c r="D6" s="6" t="inlineStr">
        <is>
          <t>1.12%</t>
        </is>
      </c>
      <c r="E6" s="6" t="inlineStr">
        <is>
          <t>1.12%</t>
        </is>
      </c>
      <c r="F6" s="6" t="inlineStr">
        <is>
          <t>0.90%</t>
        </is>
      </c>
      <c r="G6" s="6" t="inlineStr">
        <is>
          <t>0.26%</t>
        </is>
      </c>
      <c r="H6" s="6" t="inlineStr">
        <is>
          <t>0.25%</t>
        </is>
      </c>
      <c r="I6" s="6" t="inlineStr">
        <is>
          <t>0.73%</t>
        </is>
      </c>
      <c r="J6" s="6" t="n"/>
    </row>
    <row r="7">
      <c r="A7" s="6" t="inlineStr">
        <is>
          <t>Return on assets - year-end assets basis</t>
        </is>
      </c>
      <c r="B7" s="6" t="inlineStr">
        <is>
          <t>1.11%</t>
        </is>
      </c>
      <c r="C7" s="6" t="inlineStr">
        <is>
          <t>1.23%</t>
        </is>
      </c>
      <c r="D7" s="6" t="inlineStr">
        <is>
          <t>1.09%</t>
        </is>
      </c>
      <c r="E7" s="6" t="inlineStr">
        <is>
          <t>1.11%</t>
        </is>
      </c>
      <c r="F7" s="6" t="inlineStr">
        <is>
          <t>0.84%</t>
        </is>
      </c>
      <c r="G7" s="6" t="inlineStr">
        <is>
          <t>0.26%</t>
        </is>
      </c>
      <c r="H7" s="6" t="inlineStr">
        <is>
          <t>0.24%</t>
        </is>
      </c>
      <c r="I7" s="6" t="inlineStr">
        <is>
          <t>0.70%</t>
        </is>
      </c>
      <c r="J7" s="6" t="inlineStr">
        <is>
          <t>0.48%</t>
        </is>
      </c>
    </row>
    <row r="8">
      <c r="A8" s="6" t="inlineStr">
        <is>
          <t>Return on average assets (as published)</t>
        </is>
      </c>
      <c r="B8" s="6" t="inlineStr">
        <is>
          <t>1.2%</t>
        </is>
      </c>
      <c r="C8" s="6" t="inlineStr">
        <is>
          <t>Not published</t>
        </is>
      </c>
      <c r="D8" s="6" t="n"/>
      <c r="E8" s="6" t="n"/>
      <c r="F8" s="6" t="n"/>
      <c r="G8" s="6" t="n"/>
      <c r="H8" s="6" t="n"/>
      <c r="I8" s="6" t="n"/>
      <c r="J8" s="6" t="n"/>
    </row>
    <row r="9">
      <c r="A9" s="6" t="inlineStr">
        <is>
          <t>Return on average risk weighted assets (as published)</t>
        </is>
      </c>
      <c r="B9" s="6" t="inlineStr">
        <is>
          <t>1.8%</t>
        </is>
      </c>
      <c r="C9" s="6" t="inlineStr">
        <is>
          <t>Not published</t>
        </is>
      </c>
      <c r="D9" s="6" t="n"/>
      <c r="E9" s="6" t="n"/>
      <c r="F9" s="6" t="n"/>
      <c r="G9" s="6" t="n"/>
      <c r="H9" s="6" t="n"/>
      <c r="I9" s="6" t="n"/>
      <c r="J9" s="6" t="n"/>
    </row>
    <row r="10" ht="208"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average assets: “Return on average assets: Adjusted earnings attributable to ordinary shareholders divided by average total assets excluding assurance assets” Return on average risk weighted assets: “Return on risk weighted assets: Adjusted earnings attributable to ordinary shareholders divided by average risk weighted assets”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10.17% on an average basis and 9.02% on a year-end basis.
FY2018 HAS NO AVERAGE-BASIS RATIO, AND THAT IS CORRECT. An average denominator needs an opening balance, and FY2018 is the oldest column this workbook carries, so there is no prior year to open from. The blank is structural, not a missing figure. The year-end basis is shown for FY2018 because it needs only the closing balance.
FIGURES THE BANK PUBLISHED ONLY AS A LATER EDITION'S COMPARATIVE, AND WHY THEY ARE NOT IN THE CELLS ABOVE. FY2025 Return on average assets 1.3%; FY2025 Return on average risk weighted assets 2.0%.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after taxation from continuing operations” and the Balance Sheet rows “total equity” and “total assets”, resolved BY LABEL at build time through the shared resolver scripts/profitability_rows.py, so this sheet cannot drift from the statements it summarises. Those rows are themselves transcribed from Investec Bank plc's Annual Report and Accounts for each year; see the source cells on the Balance Sheet and Profit &amp; Loss sheets for the exact document, page and table behind every input to every percentage above.
The '(as published)' rows are quoted verbatim from Investec Bank plc's own disclosures and are recorded, with the exact document, page and verification state for each, in research/profitability/published_returns.jsonl under ‘INVESTEC BANK PLC’.</t>
        </is>
      </c>
    </row>
  </sheetData>
  <mergeCells count="2">
    <mergeCell ref="A10:J10"/>
    <mergeCell ref="A12:J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0" customWidth="1" min="1" max="1"/>
    <col width="15" customWidth="1" min="2" max="2"/>
    <col width="15" customWidth="1" min="3" max="3"/>
    <col width="15" customWidth="1" min="4" max="4"/>
    <col width="15" customWidth="1" min="5" max="5"/>
  </cols>
  <sheetData>
    <row r="1">
      <c r="A1" s="1" t="inlineStr">
        <is>
          <t>Investec Bank plc — UK KM1 Key Metrics Template</t>
        </is>
      </c>
    </row>
    <row r="2">
      <c r="A2" s="2" t="inlineStr">
        <is>
          <t>Investec Bank plc INDIVIDUAL (solo-consolidated) basis — Appendix A, Table 44. Amounts in £'million; ratios as printed.</t>
        </is>
      </c>
    </row>
    <row r="3">
      <c r="A3" s="4" t="inlineStr">
        <is>
          <t>Line item</t>
        </is>
      </c>
      <c r="B3" s="4" t="inlineStr">
        <is>
          <t>FY2026</t>
        </is>
      </c>
      <c r="C3" s="4" t="inlineStr">
        <is>
          <t>FY2025</t>
        </is>
      </c>
      <c r="D3" s="4" t="inlineStr">
        <is>
          <t>FY2024</t>
        </is>
      </c>
      <c r="E3" s="4" t="inlineStr">
        <is>
          <t>FY2023</t>
        </is>
      </c>
    </row>
    <row r="4">
      <c r="A4" s="5" t="inlineStr">
        <is>
          <t>Available own funds (amounts)</t>
        </is>
      </c>
      <c r="B4" s="6" t="n"/>
      <c r="C4" s="6" t="n"/>
      <c r="D4" s="6" t="n"/>
      <c r="E4" s="6" t="n"/>
    </row>
    <row r="5">
      <c r="A5" s="6" t="inlineStr">
        <is>
          <t>1 Common Equity Tier 1 (CET1) capital (£m)</t>
        </is>
      </c>
      <c r="B5" s="6" t="n">
        <v>2126</v>
      </c>
      <c r="C5" s="6" t="n">
        <v>2006</v>
      </c>
      <c r="D5" s="6" t="n">
        <v>1880</v>
      </c>
      <c r="E5" s="6" t="n">
        <v>1764</v>
      </c>
    </row>
    <row r="6">
      <c r="A6" s="6" t="inlineStr">
        <is>
          <t>Common Equity Tier 1 (CET1) capital as if IFRS 9 or analogous ECLs transitional arrangements had not been applied (£m)</t>
        </is>
      </c>
      <c r="B6" s="6" t="n">
        <v>2126</v>
      </c>
      <c r="C6" s="6" t="n">
        <v>2004</v>
      </c>
      <c r="D6" s="6" t="n">
        <v>1865</v>
      </c>
      <c r="E6" s="6" t="n">
        <v>1725</v>
      </c>
    </row>
    <row r="7">
      <c r="A7" s="6" t="inlineStr">
        <is>
          <t>2 Tier 1 capital (£m)</t>
        </is>
      </c>
      <c r="B7" s="6" t="n">
        <v>2476</v>
      </c>
      <c r="C7" s="6" t="n">
        <v>2356</v>
      </c>
      <c r="D7" s="6" t="n">
        <v>2338</v>
      </c>
      <c r="E7" s="6" t="n">
        <v>2014</v>
      </c>
    </row>
    <row r="8">
      <c r="A8" s="6" t="inlineStr">
        <is>
          <t>Tier 1 capital as if IFRS 9 or analogous ECLs transitional arrangements had not been applied (£m)</t>
        </is>
      </c>
      <c r="B8" s="6" t="n">
        <v>2476</v>
      </c>
      <c r="C8" s="6" t="n">
        <v>2354</v>
      </c>
      <c r="D8" s="6" t="n">
        <v>2323</v>
      </c>
      <c r="E8" s="6" t="n">
        <v>1975</v>
      </c>
    </row>
    <row r="9">
      <c r="A9" s="6" t="inlineStr">
        <is>
          <t>3 Total capital (£m)</t>
        </is>
      </c>
      <c r="B9" s="6" t="n">
        <v>3178</v>
      </c>
      <c r="C9" s="6" t="n">
        <v>3051</v>
      </c>
      <c r="D9" s="6" t="n">
        <v>3033</v>
      </c>
      <c r="E9" s="6" t="n">
        <v>2778</v>
      </c>
    </row>
    <row r="10">
      <c r="A10" s="6" t="inlineStr">
        <is>
          <t>Total capital as if IFRS 9 or analogous ECLs transitional arrangements had not been applied (£m)</t>
        </is>
      </c>
      <c r="B10" s="6" t="n">
        <v>3178</v>
      </c>
      <c r="C10" s="6" t="n">
        <v>3050</v>
      </c>
      <c r="D10" s="6" t="n">
        <v>3019</v>
      </c>
      <c r="E10" s="6" t="n">
        <v>2739</v>
      </c>
    </row>
    <row r="11">
      <c r="A11" s="5" t="inlineStr">
        <is>
          <t>Risk weighted exposure amounts</t>
        </is>
      </c>
      <c r="B11" s="6" t="n"/>
      <c r="C11" s="6" t="n"/>
      <c r="D11" s="6" t="n"/>
      <c r="E11" s="6" t="n"/>
    </row>
    <row r="12">
      <c r="A12" s="6" t="inlineStr">
        <is>
          <t>4 Total risk weighted assets (£m)</t>
        </is>
      </c>
      <c r="B12" s="6" t="n">
        <v>16256</v>
      </c>
      <c r="C12" s="6" t="n">
        <v>15234</v>
      </c>
      <c r="D12" s="6" t="n">
        <v>14888</v>
      </c>
      <c r="E12" s="6" t="n">
        <v>14087</v>
      </c>
    </row>
    <row r="13">
      <c r="A13" s="6" t="inlineStr">
        <is>
          <t>Total risk weighted exposure amount as if IFRS 9 or analogous ECLs transitional arrangements had not been applied (£m)</t>
        </is>
      </c>
      <c r="B13" s="6" t="n">
        <v>16256</v>
      </c>
      <c r="C13" s="6" t="n">
        <v>15232</v>
      </c>
      <c r="D13" s="6" t="n">
        <v>14873</v>
      </c>
      <c r="E13" s="6" t="n">
        <v>14047</v>
      </c>
    </row>
    <row r="14">
      <c r="A14" s="5" t="inlineStr">
        <is>
          <t>Capital ratios</t>
        </is>
      </c>
      <c r="B14" s="6" t="n"/>
      <c r="C14" s="6" t="n"/>
      <c r="D14" s="6" t="n"/>
      <c r="E14" s="6" t="n"/>
    </row>
    <row r="15">
      <c r="A15" s="6" t="inlineStr">
        <is>
          <t>5 Common Equity Tier 1 ratio (%)</t>
        </is>
      </c>
      <c r="B15" s="6" t="inlineStr">
        <is>
          <t>13.1%</t>
        </is>
      </c>
      <c r="C15" s="6" t="inlineStr">
        <is>
          <t>13.2%</t>
        </is>
      </c>
      <c r="D15" s="6" t="inlineStr">
        <is>
          <t>12.6%</t>
        </is>
      </c>
      <c r="E15" s="6" t="inlineStr">
        <is>
          <t>12.5%</t>
        </is>
      </c>
    </row>
    <row r="16">
      <c r="A16" s="6" t="inlineStr">
        <is>
          <t>Common Equity Tier 1 ratio (%) as if IFRS 9 or analogous ECLs transitional arrangements had not been applied</t>
        </is>
      </c>
      <c r="B16" s="6" t="inlineStr">
        <is>
          <t>13.1%</t>
        </is>
      </c>
      <c r="C16" s="6" t="inlineStr">
        <is>
          <t>13.2%</t>
        </is>
      </c>
      <c r="D16" s="6" t="inlineStr">
        <is>
          <t>12.5%</t>
        </is>
      </c>
      <c r="E16" s="6" t="inlineStr">
        <is>
          <t>12.3%</t>
        </is>
      </c>
    </row>
    <row r="17">
      <c r="A17" s="6" t="inlineStr">
        <is>
          <t>6 Tier 1 ratio (%)</t>
        </is>
      </c>
      <c r="B17" s="6" t="inlineStr">
        <is>
          <t>15.2%</t>
        </is>
      </c>
      <c r="C17" s="6" t="inlineStr">
        <is>
          <t>15.5%</t>
        </is>
      </c>
      <c r="D17" s="6" t="inlineStr">
        <is>
          <t>15.7%</t>
        </is>
      </c>
      <c r="E17" s="6" t="inlineStr">
        <is>
          <t>14.3%</t>
        </is>
      </c>
    </row>
    <row r="18">
      <c r="A18" s="6" t="inlineStr">
        <is>
          <t>Tier 1 ratio (%) as if IFRS 9 or analogous ECLs transitional arrangements had not been applied</t>
        </is>
      </c>
      <c r="B18" s="6" t="inlineStr">
        <is>
          <t>15.2%</t>
        </is>
      </c>
      <c r="C18" s="6" t="inlineStr">
        <is>
          <t>15.5%</t>
        </is>
      </c>
      <c r="D18" s="6" t="inlineStr">
        <is>
          <t>15.6%</t>
        </is>
      </c>
      <c r="E18" s="6" t="inlineStr">
        <is>
          <t>14.1%</t>
        </is>
      </c>
    </row>
    <row r="19">
      <c r="A19" s="6" t="inlineStr">
        <is>
          <t>7 Total capital ratio (%)</t>
        </is>
      </c>
      <c r="B19" s="6" t="inlineStr">
        <is>
          <t>19.5%</t>
        </is>
      </c>
      <c r="C19" s="6" t="inlineStr">
        <is>
          <t>20.0%</t>
        </is>
      </c>
      <c r="D19" s="6" t="inlineStr">
        <is>
          <t>20.4%</t>
        </is>
      </c>
      <c r="E19" s="6" t="inlineStr">
        <is>
          <t>19.7%</t>
        </is>
      </c>
    </row>
    <row r="20">
      <c r="A20" s="6" t="inlineStr">
        <is>
          <t>Total capital ratio (%) as if IFRS 9 or analogous ECLs transitional arrangements had not been applied</t>
        </is>
      </c>
      <c r="B20" s="6" t="inlineStr">
        <is>
          <t>19.5%</t>
        </is>
      </c>
      <c r="C20" s="6" t="inlineStr">
        <is>
          <t>20.0%</t>
        </is>
      </c>
      <c r="D20" s="6" t="inlineStr">
        <is>
          <t>20.3%</t>
        </is>
      </c>
      <c r="E20" s="6" t="inlineStr">
        <is>
          <t>19.5%</t>
        </is>
      </c>
    </row>
    <row r="21">
      <c r="A21" s="5" t="inlineStr">
        <is>
          <t>Additional own funds requirements based on SREP (as a percentage of risk weighted exposure amounts)</t>
        </is>
      </c>
      <c r="B21" s="6" t="n"/>
      <c r="C21" s="6" t="n"/>
      <c r="D21" s="6" t="n"/>
      <c r="E21" s="6" t="n"/>
    </row>
    <row r="22">
      <c r="A22" s="6" t="inlineStr">
        <is>
          <t>UK 7a Additional CET1 SREP requirement (%)</t>
        </is>
      </c>
      <c r="B22" s="6" t="inlineStr">
        <is>
          <t>0.3%</t>
        </is>
      </c>
      <c r="C22" s="6" t="inlineStr">
        <is>
          <t>0.3%</t>
        </is>
      </c>
      <c r="D22" s="6" t="inlineStr">
        <is>
          <t>0.3%</t>
        </is>
      </c>
      <c r="E22" s="6" t="inlineStr">
        <is>
          <t>0.3%</t>
        </is>
      </c>
    </row>
    <row r="23">
      <c r="A23" s="6" t="inlineStr">
        <is>
          <t>UK 7b Additional AT1 SREP requirement (%)</t>
        </is>
      </c>
      <c r="B23" s="6" t="inlineStr">
        <is>
          <t>0.1%</t>
        </is>
      </c>
      <c r="C23" s="6" t="inlineStr">
        <is>
          <t>0.1%</t>
        </is>
      </c>
      <c r="D23" s="6" t="inlineStr">
        <is>
          <t>0.1%</t>
        </is>
      </c>
      <c r="E23" s="6" t="inlineStr">
        <is>
          <t>0.1%</t>
        </is>
      </c>
    </row>
    <row r="24">
      <c r="A24" s="6" t="inlineStr">
        <is>
          <t>UK 7c Additional T2 SREP requirements (%)</t>
        </is>
      </c>
      <c r="B24" s="6" t="inlineStr">
        <is>
          <t>0.2%</t>
        </is>
      </c>
      <c r="C24" s="6" t="inlineStr">
        <is>
          <t>0.1%</t>
        </is>
      </c>
      <c r="D24" s="6" t="inlineStr">
        <is>
          <t>0.1%</t>
        </is>
      </c>
      <c r="E24" s="6" t="inlineStr">
        <is>
          <t>0.1%</t>
        </is>
      </c>
    </row>
    <row r="25">
      <c r="A25" s="6" t="inlineStr">
        <is>
          <t>UK 7d Total SREP own funds requirements (%)</t>
        </is>
      </c>
      <c r="B25" s="6" t="inlineStr">
        <is>
          <t>8.6%</t>
        </is>
      </c>
      <c r="C25" s="6" t="inlineStr">
        <is>
          <t>8.6%</t>
        </is>
      </c>
      <c r="D25" s="6" t="inlineStr">
        <is>
          <t>8.5%</t>
        </is>
      </c>
      <c r="E25" s="6" t="inlineStr">
        <is>
          <t>8.5%</t>
        </is>
      </c>
    </row>
    <row r="26">
      <c r="A26" s="5" t="inlineStr">
        <is>
          <t>Combined buffer requirement (as a percentage of risk weighted exposure amount)</t>
        </is>
      </c>
      <c r="B26" s="6" t="n"/>
      <c r="C26" s="6" t="n"/>
      <c r="D26" s="6" t="n"/>
      <c r="E26" s="6" t="n"/>
    </row>
    <row r="27">
      <c r="A27" s="6" t="inlineStr">
        <is>
          <t>8 Capital conservation buffer (%)</t>
        </is>
      </c>
      <c r="B27" s="6" t="inlineStr">
        <is>
          <t>2.5%</t>
        </is>
      </c>
      <c r="C27" s="6" t="inlineStr">
        <is>
          <t>2.5%</t>
        </is>
      </c>
      <c r="D27" s="6" t="inlineStr">
        <is>
          <t>2.5%</t>
        </is>
      </c>
      <c r="E27" s="6" t="inlineStr">
        <is>
          <t>2.5%</t>
        </is>
      </c>
    </row>
    <row r="28">
      <c r="A28" s="6" t="inlineStr">
        <is>
          <t>9 Institution-specific countercyclical capital buffer (%)</t>
        </is>
      </c>
      <c r="B28" s="6" t="inlineStr">
        <is>
          <t>1.4%</t>
        </is>
      </c>
      <c r="C28" s="6" t="inlineStr">
        <is>
          <t>1.3%</t>
        </is>
      </c>
      <c r="D28" s="6" t="inlineStr">
        <is>
          <t>1.2%</t>
        </is>
      </c>
      <c r="E28" s="6" t="inlineStr">
        <is>
          <t>0.6%</t>
        </is>
      </c>
    </row>
    <row r="29">
      <c r="A29" s="6" t="inlineStr">
        <is>
          <t>11 Combined buffer requirement (%)</t>
        </is>
      </c>
      <c r="B29" s="6" t="inlineStr">
        <is>
          <t>3.9%</t>
        </is>
      </c>
      <c r="C29" s="6" t="inlineStr">
        <is>
          <t>3.8%</t>
        </is>
      </c>
      <c r="D29" s="6" t="inlineStr">
        <is>
          <t>3.7%</t>
        </is>
      </c>
      <c r="E29" s="6" t="inlineStr">
        <is>
          <t>3.1%</t>
        </is>
      </c>
    </row>
    <row r="30">
      <c r="A30" s="6" t="inlineStr">
        <is>
          <t>UK 11a Overall capital requirements (%)</t>
        </is>
      </c>
      <c r="B30" s="6" t="inlineStr">
        <is>
          <t>12.5%</t>
        </is>
      </c>
      <c r="C30" s="6" t="inlineStr">
        <is>
          <t>12.4%</t>
        </is>
      </c>
      <c r="D30" s="6" t="inlineStr">
        <is>
          <t>12.2%</t>
        </is>
      </c>
      <c r="E30" s="6" t="inlineStr">
        <is>
          <t>11.6%</t>
        </is>
      </c>
    </row>
    <row r="31">
      <c r="A31" s="6" t="inlineStr">
        <is>
          <t>12 CET1 available after meeting the total SREP own funds requirements (%)</t>
        </is>
      </c>
      <c r="B31" s="6" t="inlineStr">
        <is>
          <t>4.5%</t>
        </is>
      </c>
      <c r="C31" s="6" t="inlineStr">
        <is>
          <t>4.6%</t>
        </is>
      </c>
      <c r="D31" s="6" t="inlineStr">
        <is>
          <t>4.1%</t>
        </is>
      </c>
      <c r="E31" s="6" t="inlineStr">
        <is>
          <t>4.0%</t>
        </is>
      </c>
    </row>
    <row r="32">
      <c r="A32" s="5" t="inlineStr">
        <is>
          <t>Leverage ratio (calculated on an end-quarter basis, UK leverage ratio framework from 1 January 2022)</t>
        </is>
      </c>
      <c r="B32" s="6" t="n"/>
      <c r="C32" s="6" t="n"/>
      <c r="D32" s="6" t="n"/>
      <c r="E32" s="6" t="n"/>
    </row>
    <row r="33">
      <c r="A33" s="6" t="inlineStr">
        <is>
          <t>13 Leverage ratio total exposure measure (£m)</t>
        </is>
      </c>
      <c r="B33" s="6" t="n">
        <v>25306</v>
      </c>
      <c r="C33" s="6" t="n">
        <v>22173</v>
      </c>
      <c r="D33" s="6" t="n">
        <v>21281</v>
      </c>
      <c r="E33" s="6" t="n">
        <v>20218</v>
      </c>
    </row>
    <row r="34">
      <c r="A34" s="6" t="inlineStr">
        <is>
          <t>14 Leverage ratio (%)</t>
        </is>
      </c>
      <c r="B34" s="6" t="inlineStr">
        <is>
          <t>9.8%</t>
        </is>
      </c>
      <c r="C34" s="6" t="inlineStr">
        <is>
          <t>10.6%</t>
        </is>
      </c>
      <c r="D34" s="6" t="inlineStr">
        <is>
          <t>11.0%</t>
        </is>
      </c>
      <c r="E34" s="6" t="inlineStr">
        <is>
          <t>10.0%</t>
        </is>
      </c>
    </row>
    <row r="35">
      <c r="A35" s="6" t="inlineStr">
        <is>
          <t>Leverage ratio as if IFRS 9 or analogous ECLs transitional arrangements had not been applied (%)</t>
        </is>
      </c>
      <c r="B35" s="6" t="inlineStr">
        <is>
          <t>9.8%</t>
        </is>
      </c>
      <c r="C35" s="6" t="inlineStr">
        <is>
          <t>10.6%</t>
        </is>
      </c>
      <c r="D35" s="6" t="inlineStr">
        <is>
          <t>10.9%</t>
        </is>
      </c>
      <c r="E35" s="6" t="inlineStr">
        <is>
          <t>9.8%</t>
        </is>
      </c>
    </row>
    <row r="36">
      <c r="A36" s="5" t="inlineStr">
        <is>
          <t>Liquidity Coverage Ratio</t>
        </is>
      </c>
      <c r="B36" s="6" t="n"/>
      <c r="C36" s="6" t="n"/>
      <c r="D36" s="6" t="n"/>
      <c r="E36" s="6" t="n"/>
    </row>
    <row r="37">
      <c r="A37" s="6" t="inlineStr">
        <is>
          <t>15 Total high-quality liquid assets (HQLA) (Weighted value-average) (£m)</t>
        </is>
      </c>
      <c r="B37" s="6" t="n">
        <v>6195</v>
      </c>
      <c r="C37" s="6" t="n">
        <v>7082</v>
      </c>
      <c r="D37" s="6" t="n">
        <v>6084</v>
      </c>
      <c r="E37" s="6" t="n">
        <v>5530</v>
      </c>
    </row>
    <row r="38">
      <c r="A38" s="6" t="inlineStr">
        <is>
          <t>UK 16a Cash outflows - Total weighted value (£m)</t>
        </is>
      </c>
      <c r="B38" s="6" t="n">
        <v>3358</v>
      </c>
      <c r="C38" s="6" t="n">
        <v>3010</v>
      </c>
      <c r="D38" s="6" t="n">
        <v>2783</v>
      </c>
      <c r="E38" s="6" t="n">
        <v>2828</v>
      </c>
    </row>
    <row r="39">
      <c r="A39" s="6" t="inlineStr">
        <is>
          <t>UK 16b Cash inflows - Total weighted value (£m)</t>
        </is>
      </c>
      <c r="B39" s="6" t="n">
        <v>1636</v>
      </c>
      <c r="C39" s="6" t="n">
        <v>1468</v>
      </c>
      <c r="D39" s="6" t="n">
        <v>1408</v>
      </c>
      <c r="E39" s="6" t="n">
        <v>1503</v>
      </c>
    </row>
    <row r="40">
      <c r="A40" s="6" t="inlineStr">
        <is>
          <t>16 Total net cash outflows (adjusted value) (£m)</t>
        </is>
      </c>
      <c r="B40" s="6" t="n">
        <v>1723</v>
      </c>
      <c r="C40" s="6" t="n">
        <v>1542</v>
      </c>
      <c r="D40" s="6" t="n">
        <v>1375</v>
      </c>
      <c r="E40" s="6" t="n">
        <v>1325</v>
      </c>
    </row>
    <row r="41">
      <c r="A41" s="6" t="inlineStr">
        <is>
          <t>17 Liquidity coverage ratio (%)</t>
        </is>
      </c>
      <c r="B41" s="6" t="inlineStr">
        <is>
          <t>361%</t>
        </is>
      </c>
      <c r="C41" s="6" t="inlineStr">
        <is>
          <t>465%</t>
        </is>
      </c>
      <c r="D41" s="6" t="inlineStr">
        <is>
          <t>446%</t>
        </is>
      </c>
      <c r="E41" s="6" t="inlineStr">
        <is>
          <t>431%</t>
        </is>
      </c>
    </row>
    <row r="42">
      <c r="A42" s="5" t="inlineStr">
        <is>
          <t>Net Stable Funding Ratio</t>
        </is>
      </c>
      <c r="B42" s="6" t="n"/>
      <c r="C42" s="6" t="n"/>
      <c r="D42" s="6" t="n"/>
      <c r="E42" s="6" t="n"/>
    </row>
    <row r="43">
      <c r="A43" s="6" t="inlineStr">
        <is>
          <t>18 Total available stable funding (£m)</t>
        </is>
      </c>
      <c r="B43" s="6" t="n">
        <v>21355</v>
      </c>
      <c r="C43" s="6" t="n">
        <v>21780</v>
      </c>
      <c r="D43" s="6" t="n">
        <v>21234</v>
      </c>
      <c r="E43" s="6" t="n">
        <v>19678</v>
      </c>
    </row>
    <row r="44">
      <c r="A44" s="6" t="inlineStr">
        <is>
          <t>19 Total required stable funding (£m)</t>
        </is>
      </c>
      <c r="B44" s="6" t="n">
        <v>15201</v>
      </c>
      <c r="C44" s="6" t="n">
        <v>14989</v>
      </c>
      <c r="D44" s="6" t="n">
        <v>15355</v>
      </c>
      <c r="E44" s="6" t="n">
        <v>14526</v>
      </c>
    </row>
    <row r="45">
      <c r="A45" s="6" t="inlineStr">
        <is>
          <t>20 NSFR ratio (%)</t>
        </is>
      </c>
      <c r="B45" s="6" t="inlineStr">
        <is>
          <t>141%</t>
        </is>
      </c>
      <c r="C45" s="6" t="inlineStr">
        <is>
          <t>145%</t>
        </is>
      </c>
      <c r="D45" s="6" t="inlineStr">
        <is>
          <t>138%</t>
        </is>
      </c>
      <c r="E45" s="6" t="inlineStr">
        <is>
          <t>136%</t>
        </is>
      </c>
    </row>
    <row r="47" ht="400" customHeight="1">
      <c r="A47" s="8" t="inlineStr">
        <is>
          <t>Sources — Investec Bank plc's OWN 'Table 44: Key metrics (UK KM1)', which sits in Appendix A of each annual Pillar 3 disclosure report. Amounts in £'million, as the template prints them.
FY2026 (31 March 2026) and its 31 March 2025 comparative: Investec plc Group and Investec Bank plc Pillar 3 annual disclosure report 2026, p.86 (Table 44, Appendix A) — https://www.investec.com/content/dam/investor-relations/financial-information/group-financial-results/2026/Investec-plc-group-and-Investec-Bank-plc-Pillar-3-disclosure-report-March-2026.pdf
FY2025 (31 March 2025): Investec plc Group and Investec Bank plc Pillar 3 annual disclosure report 2025, p.85 (Table 44, Appendix A), its OWN reporting year — https://www.investec.com/content/dam/investor-relations/financial-information/group-financial-results/2025/Investec-plc-group-and-Investec-Bank-plc-Pillar-3-disclosure-report-March-2025.pdf
FY2024 (31 March 2024): Investec plc Group and Investec Bank plc Pillar 3 annual disclosure report 2024, p.85 (Table 44, Appendix A), its OWN reporting year — https://www.investec.com/content/dam/investor-relations/financial-information/group-financial-results/2024/Investec-plc-group-and-Investec-Bank-plc-Pillar-3-disclosure-report-March-2024.pdf
FY2023 (31 March 2023): the 2024 report's own 31 March 2023 COMPARATIVE column, p.85 — https://www.investec.com/content/dam/investor-relations/financial-information/group-financial-results/2024/Investec-plc-group-and-Investec-Bank-plc-Pillar-3-disclosure-report-March-2024.pdf. No standalone annual Pillar 3 report for the 31 March 2023 period-end was ever published, so there is no own-edition table for that year (see the sheet note). The same figures appear independently as the 31 March 2023 comparative of Table 30 in the 30 September 2023 semi-annual report, p.43-44 — https://www.investec.com/content/dam/investor-relations/basel-pillar-iii-regulatory-disclosures/united-kingdom/2023/Investec-plc-group-and-Investec-Bank-plc-Pillar-3-disclosure-report%20-30-Sept-2023.pdf
ENTITY: every column on this sheet is INVESTEC BANK PLC on its own individual (solo-consolidated) basis, NOT the Investec plc Group. Appendix A is headed 'Investec Bank plc individual disclosure tables' and states that IBP applies the Article 9 solo-consolidation waiver (including Investec Investments (UK) Limited in the solo-consolidation), that the disclosures are published at individual level under Article 13 as a significant subsidiary of the Group, and it carries its own attestation signed by the IBP Finance Director and the IBP Risk Officer. Note that page numbers are the PRINTED folios and the folio moves between editions — Table 44 is on p.85 in the 2024 and 2025 reports and on p.86 in the 2026 report, per each report's own list of tables.
THIS SHEET IS ON A DIFFERENT ENTITY BASIS FROM THE CAPITAL AND RWA SHEETS IN THIS WORKBOOK, AND THE DIFFERENCE IS REAL RATHER THAN A TRANSCRIPTION ERROR. The eleven single-metric sheets and the RWA Breakdown sheet take their capital, RWA and leverage figures from Investec Bank plc's Annual Financial Statements, which report IBP GROUP on a consolidated basis (FY2026: CET1 £2,681m, RWAs £20,177m, CET1 ratio 13.3%). This sheet reproduces IBP's regulatory KM1 template, which is published on the INDIVIDUAL (solo-consolidated) basis (FY2026: CET1 £2,126m, RWAs £16,256m, CET1 ratio 13.1%). Both are Investec Bank plc's own published figures for the same date on two different consolidation bases, and neither has been adjusted toward the other. Rows 1-7 and 13-14 of this sheet will therefore not match the correspondingly named single-metric sheets in any year: that gap is the distance between the individual and the consolidated basis, both published by the bank, and not an error in either set of figures. Rows 17 and 20 DO match, because the LCR and NSFR sheets are already sourced from this same Table 44.
ROWS 17 AND 20 ARE AVERAGES, NOT POINT-IN-TIME RATIOS, AND THE REPORT SAYS SO IN ITS OWN WORDS. The 2026 report states at p.8 that 'The LCR disclosed in the table below reflects the 12-month average ratio and the NSFR reflects the trailing 4-quarter average ratio', and Table 44's own footnote ** repeats it against row 17 ('The LCR disclosed in this table is the 12-month average ratio'). The row labels on this sheet are the bank's printed labels — 'Liquidity coverage ratio (%)' and 'NSFR ratio (%)' — so the averaging basis is recorded here rather than added to them. This matters because the same report also quotes point-in-time ratios in its narrative (a 349% point-in-time LCR for the Group at 31 March 2026 against the 361% 12-month average in Table 44), and the two measures are not interchangeable. A third basis exists and is deliberately NOT used here: Table 1 at the front of the same document is the Investec plc GROUP KM1 (FY2026: CET1 £2,571m, RWAs £20,380m) across five quarterly columns — a different legal entity from the subject of this workbook.
FY2023 IS FILLED FROM A COMPARATIVE COLUMN. Investec published no standalone annual Pillar 3 report for the 31 March 2023 period-end, so no own-edition KM1 exists for FY2023 and there is nothing for the comparative to displace. The column is the 2024 report's own 31 March 2023 comparative, corroborated independently by the 30 September 2023 semi-annual report's Table 30 comparative for the same date.</t>
        </is>
      </c>
    </row>
    <row r="49" ht="400" customHeight="1">
      <c r="A49" s="8" t="inlineStr">
        <is>
          <t>(continued)
FY2022 IS BLANK AS AN UNKNOWN, NOT AS A FINDING — the document almost certainly exists and could not be retrieved this session. The 30 September 2022 interim report states in its own words that 'Significant subsidiary disclosures will continue to be published annually. The sub-set of Pillar 3 disclosures for Investec Bank plc as at 31 March 2022 are included in Appendix A of the Investec plc Group and Investec Bank plc Pillar 3 disclosure report 2022.' That report was not located: investec.com's HTML pages returned Cloudflare 'Just a moment...' interstitials (HTTP 403) to every request this session, including the regulatory-disclosures listing page and the en_gb sitemap, so the document index could not be read; the content/dam PDF paths themselves do serve normally, but four constructed candidate paths for a March-2022 report all returned 404, which is evidence about those guesses and not about the bank. A blocked index is an unknown. Do not record FY2022 as 'not published'.
FY2021 AND EARLIER ARE BLANK BECAUSE THE TEMPLATE DOES NOT APPEAR IN THOSE EDITIONS. The standalone Investec Bank plc Pillar 3 annual disclosure reports for 2021, 2020, 2019 and 2018 were downloaded and searched directly. None contains the string 'KM1' or 'Key metrics' anywhere, while the same documents return healthy counts on neighbouring prudential terms (2021: own funds 15, Common Equity Tier 1 17, countercyclical 8, total exposure measure 3; 2020 similar), so the zeros are facts about the documents rather than about the search. The UK KM1 template arrived with the Disclosure (CRR) Part of the PRA Rulebook, which took effect on 1 January 2022; these editions legitimately predate it.
THE SUPPRESSED ROWS ARE A STATED EXCLUSION, NOT A GAP. Rows UK 8a, UK 9a, 10, UK 10a and UK 14a-14e do not appear in this bank's template. Each edition footnotes the reason directly beneath the table: 'The references identify the lines prescribed in the PRA template. Only applicable lines with assigned values are reported. All other lines have been suppressed.' Investec plc is separately noted in the same documents as not being a LREQ firm. The unnumbered 'as if IFRS 9 or analogous ECLs transitional arrangements had not been applied' memorandum rows ARE part of the bank's own printed row set and are reproduced here in their printed positions. Effective 1 April 2025 all ratios and requirements are fully loaded with the IFRS 9 impact fully phased in, which is why the FY2026 memorandum rows equal their parent rows exactly. Row 20's FY2023 value is printed as '136 %' with a space in the 2024 report and is recorded as 136%. Row 12 is defined by the bank's own footnote as row 5 minus row UK 7d; row 17 is the 12-month average LCR and row 20 the trailing four-quarter average NSFR, per the same footnotes.</t>
        </is>
      </c>
    </row>
  </sheetData>
  <mergeCells count="2">
    <mergeCell ref="A49:E49"/>
    <mergeCell ref="A47:E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CET1 Capital</t>
        </is>
      </c>
    </row>
    <row r="2">
      <c r="A2" s="2" t="inlineStr">
        <is>
          <t>Consolidated basis, £m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Common Equity Tier 1 (CET1) capital</t>
        </is>
      </c>
      <c r="B4" s="6" t="n">
        <v>2681</v>
      </c>
      <c r="C4" s="6" t="n">
        <v>2570</v>
      </c>
      <c r="D4" s="6" t="n">
        <v>2409</v>
      </c>
      <c r="E4" s="6" t="n">
        <v>2195</v>
      </c>
      <c r="F4" s="6" t="n">
        <v>1982</v>
      </c>
      <c r="G4" s="6" t="n">
        <v>1868</v>
      </c>
      <c r="H4" s="6" t="n">
        <v>1819</v>
      </c>
      <c r="I4" s="6" t="n">
        <v>1643</v>
      </c>
      <c r="J4" s="6" t="n">
        <v>1621</v>
      </c>
    </row>
    <row r="6" ht="156" customHeight="1">
      <c r="A6" s="8" t="inlineStr">
        <is>
          <t>Sources — Investec Bank plc (IBP) solo-entity capital adequacy disclosures — Capital structure:
FY2026 &amp; FY2025: Investec Bank plc Annual Financial Statements 2026, p.283 (Notes to risk and capital management — Capital management and allocation) — https://find-and-update.company-information.service.gov.uk/company/00489604/filing-history/MzUzMDk3ODM1OWFkaXF6a2N4/document?format=pdf&amp;download=0
FY2024: Investec Bank plc Annual Financial Statements 2025, p.290 (Notes to risk and capital management — Capital management and allocation) — https://find-and-update.company-information.service.gov.uk/company/00489604/filing-history/MzQ3NDQ1NjE4M2FkaXF6a2N4/document?format=pdf&amp;download=0
FY2023 &amp; FY2022: Investec Bank plc Annual Financial Statements 2023, p.272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FY2021 &amp; FY2020: Investec Bank plc Annual Financial Statements 2021, p.106 — https://find-and-update.company-information.service.gov.uk/company/00489604/filing-history/MzMwOTY3ODkxNGFkaXF6a2N4/document?format=pdf&amp;download=0
FY2019 (own) &amp; FY2018 (own-year comparative): Investec Bank plc Annual Financial Statements 2019, p.83 — https://find-and-update.company-information.service.gov.uk/company/00489604/filing-history/MzI0MjAzMDcwOWFkaXF6a2N4/document?format=pdf&amp;download=0</t>
        </is>
      </c>
    </row>
  </sheetData>
  <mergeCells count="1">
    <mergeCell ref="A6:J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CET1 Ratio</t>
        </is>
      </c>
    </row>
    <row r="2">
      <c r="A2" s="2" t="inlineStr">
        <is>
          <t>Consolidated basis, %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Common Equity Tier 1 (CET1) ratio</t>
        </is>
      </c>
      <c r="B4" s="6" t="inlineStr">
        <is>
          <t>13.3%</t>
        </is>
      </c>
      <c r="C4" s="6" t="inlineStr">
        <is>
          <t>13.6%</t>
        </is>
      </c>
      <c r="D4" s="6" t="inlineStr">
        <is>
          <t>13.3%</t>
        </is>
      </c>
      <c r="E4" s="6" t="inlineStr">
        <is>
          <t>12.7%</t>
        </is>
      </c>
      <c r="F4" s="6" t="inlineStr">
        <is>
          <t>12.0%</t>
        </is>
      </c>
      <c r="G4" s="6" t="inlineStr">
        <is>
          <t>11.8%</t>
        </is>
      </c>
      <c r="H4" s="6" t="inlineStr">
        <is>
          <t>11.5%</t>
        </is>
      </c>
      <c r="I4" s="6" t="inlineStr">
        <is>
          <t>11.2%</t>
        </is>
      </c>
      <c r="J4" s="6" t="inlineStr">
        <is>
          <t>11.8%</t>
        </is>
      </c>
    </row>
    <row r="6" ht="156" customHeight="1">
      <c r="A6" s="8" t="inlineStr">
        <is>
          <t>Sources — Investec Bank plc (IBP) solo-entity capital adequacy disclosures — A summary of capital adequacy and leverage ratios:
FY2026 &amp; FY2025: Investec Bank plc Annual Financial Statements 2026, p.280 (Notes to risk and capital management — Capital management and allocation) — https://find-and-update.company-information.service.gov.uk/company/00489604/filing-history/MzUzMDk3ODM1OWFkaXF6a2N4/document?format=pdf&amp;download=0
FY2024: Investec Bank plc Annual Financial Statements 2025, p.287 (Notes to risk and capital management — Capital management and allocation) — https://find-and-update.company-information.service.gov.uk/company/00489604/filing-history/MzQ3NDQ1NjE4M2FkaXF6a2N4/document?format=pdf&amp;download=0
FY2023 &amp; FY2022: Investec Bank plc Annual Financial Statements 2023, p.270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FY2021 &amp; FY2020: Investec Bank plc Annual Financial Statements 2021, p.104 — https://find-and-update.company-information.service.gov.uk/company/00489604/filing-history/MzMwOTY3ODkxNGFkaXF6a2N4/document?format=pdf&amp;download=0
FY2019 (own) &amp; FY2018 (own-year comparative): Investec Bank plc Annual Financial Statements 2019, p.85 — https://find-and-update.company-information.service.gov.uk/company/00489604/filing-history/MzI0MjAzMDcwOWFkaXF6a2N4/document?format=pdf&amp;download=0</t>
        </is>
      </c>
    </row>
  </sheetData>
  <mergeCells count="1">
    <mergeCell ref="A6:J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Tier 1 Capital</t>
        </is>
      </c>
    </row>
    <row r="2">
      <c r="A2" s="2" t="inlineStr">
        <is>
          <t>Consolidated basis, £m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Tier 1 capital</t>
        </is>
      </c>
      <c r="B4" s="6" t="n">
        <v>3031</v>
      </c>
      <c r="C4" s="6" t="n">
        <v>2920</v>
      </c>
      <c r="D4" s="6" t="n">
        <v>2867</v>
      </c>
      <c r="E4" s="6" t="n">
        <v>2445</v>
      </c>
      <c r="F4" s="6" t="n">
        <v>2232</v>
      </c>
      <c r="G4" s="6" t="n">
        <v>2118</v>
      </c>
      <c r="H4" s="6" t="n">
        <v>2069</v>
      </c>
      <c r="I4" s="6" t="n">
        <v>1893</v>
      </c>
      <c r="J4" s="6" t="n">
        <v>1821</v>
      </c>
    </row>
    <row r="6" ht="156" customHeight="1">
      <c r="A6" s="8" t="inlineStr">
        <is>
          <t>Sources — Investec Bank plc (IBP) solo-entity capital adequacy disclosures — Capital structure:
FY2026 &amp; FY2025: Investec Bank plc Annual Financial Statements 2026, p.283 (Notes to risk and capital management — Capital management and allocation) — https://find-and-update.company-information.service.gov.uk/company/00489604/filing-history/MzUzMDk3ODM1OWFkaXF6a2N4/document?format=pdf&amp;download=0
FY2024: Investec Bank plc Annual Financial Statements 2025, p.290 (Notes to risk and capital management — Capital management and allocation) — https://find-and-update.company-information.service.gov.uk/company/00489604/filing-history/MzQ3NDQ1NjE4M2FkaXF6a2N4/document?format=pdf&amp;download=0
FY2023 &amp; FY2022: Investec Bank plc Annual Financial Statements 2023, p.272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FY2021 &amp; FY2020: Investec Bank plc Annual Financial Statements 2021, p.106 — https://find-and-update.company-information.service.gov.uk/company/00489604/filing-history/MzMwOTY3ODkxNGFkaXF6a2N4/document?format=pdf&amp;download=0
FY2019 (own) &amp; FY2018 (own-year comparative): Investec Bank plc Annual Financial Statements 2019, p.83 — https://find-and-update.company-information.service.gov.uk/company/00489604/filing-history/MzI0MjAzMDcwOWFkaXF6a2N4/document?format=pdf&amp;download=0</t>
        </is>
      </c>
    </row>
  </sheetData>
  <mergeCells count="1">
    <mergeCell ref="A6:J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Tier 1 Ratio</t>
        </is>
      </c>
    </row>
    <row r="2">
      <c r="A2" s="2" t="inlineStr">
        <is>
          <t>Consolidated basis, %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Tier 1 ratio</t>
        </is>
      </c>
      <c r="B4" s="6" t="inlineStr">
        <is>
          <t>15.0%</t>
        </is>
      </c>
      <c r="C4" s="6" t="inlineStr">
        <is>
          <t>15.4%</t>
        </is>
      </c>
      <c r="D4" s="6" t="inlineStr">
        <is>
          <t>15.9%</t>
        </is>
      </c>
      <c r="E4" s="6" t="inlineStr">
        <is>
          <t>14.1%</t>
        </is>
      </c>
      <c r="F4" s="6" t="inlineStr">
        <is>
          <t>13.6%</t>
        </is>
      </c>
      <c r="G4" s="6" t="inlineStr">
        <is>
          <t>13.4%</t>
        </is>
      </c>
      <c r="H4" s="6" t="inlineStr">
        <is>
          <t>13.1%</t>
        </is>
      </c>
      <c r="I4" s="6" t="inlineStr">
        <is>
          <t>12.9%</t>
        </is>
      </c>
      <c r="J4" s="6" t="inlineStr">
        <is>
          <t>13.2%</t>
        </is>
      </c>
    </row>
    <row r="6" ht="156" customHeight="1">
      <c r="A6" s="8" t="inlineStr">
        <is>
          <t>Sources — Investec Bank plc (IBP) solo-entity capital adequacy disclosures — A summary of capital adequacy and leverage ratios:
FY2026 &amp; FY2025: Investec Bank plc Annual Financial Statements 2026, p.280 (Notes to risk and capital management — Capital management and allocation) — https://find-and-update.company-information.service.gov.uk/company/00489604/filing-history/MzUzMDk3ODM1OWFkaXF6a2N4/document?format=pdf&amp;download=0
FY2024: Investec Bank plc Annual Financial Statements 2025, p.287 (Notes to risk and capital management — Capital management and allocation) — https://find-and-update.company-information.service.gov.uk/company/00489604/filing-history/MzQ3NDQ1NjE4M2FkaXF6a2N4/document?format=pdf&amp;download=0
FY2023 &amp; FY2022: Investec Bank plc Annual Financial Statements 2023, p.270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FY2021 &amp; FY2020: Investec Bank plc Annual Financial Statements 2021, p.104 — https://find-and-update.company-information.service.gov.uk/company/00489604/filing-history/MzMwOTY3ODkxNGFkaXF6a2N4/document?format=pdf&amp;download=0
FY2019 (own) &amp; FY2018 (own-year comparative): Investec Bank plc Annual Financial Statements 2019, p.85 — https://find-and-update.company-information.service.gov.uk/company/00489604/filing-history/MzI0MjAzMDcwOWFkaXF6a2N4/document?format=pdf&amp;download=0</t>
        </is>
      </c>
    </row>
  </sheetData>
  <mergeCells count="1">
    <mergeCell ref="A6:J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Total Capital</t>
        </is>
      </c>
    </row>
    <row r="2">
      <c r="A2" s="2" t="inlineStr">
        <is>
          <t>Consolidated basis, £m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regulatory capital</t>
        </is>
      </c>
      <c r="B4" s="6" t="n">
        <v>3751</v>
      </c>
      <c r="C4" s="6" t="n">
        <v>3632</v>
      </c>
      <c r="D4" s="6" t="n">
        <v>3579</v>
      </c>
      <c r="E4" s="6" t="n">
        <v>3209</v>
      </c>
      <c r="F4" s="6" t="n">
        <v>2998</v>
      </c>
      <c r="G4" s="6" t="n">
        <v>2591</v>
      </c>
      <c r="H4" s="6" t="n">
        <v>2602</v>
      </c>
      <c r="I4" s="6" t="n">
        <v>2489</v>
      </c>
      <c r="J4" s="6" t="n">
        <v>2266</v>
      </c>
    </row>
    <row r="6" ht="156" customHeight="1">
      <c r="A6" s="8" t="inlineStr">
        <is>
          <t>Sources — Investec Bank plc (IBP) solo-entity capital adequacy disclosures — Capital structure:
FY2026 &amp; FY2025: Investec Bank plc Annual Financial Statements 2026, p.283 (Notes to risk and capital management — Capital management and allocation) — https://find-and-update.company-information.service.gov.uk/company/00489604/filing-history/MzUzMDk3ODM1OWFkaXF6a2N4/document?format=pdf&amp;download=0
FY2024: Investec Bank plc Annual Financial Statements 2025, p.290 (Notes to risk and capital management — Capital management and allocation) — https://find-and-update.company-information.service.gov.uk/company/00489604/filing-history/MzQ3NDQ1NjE4M2FkaXF6a2N4/document?format=pdf&amp;download=0
FY2023 &amp; FY2022: Investec Bank plc Annual Financial Statements 2023, p.272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FY2021 &amp; FY2020: Investec Bank plc Annual Financial Statements 2021, p.106 — https://find-and-update.company-information.service.gov.uk/company/00489604/filing-history/MzMwOTY3ODkxNGFkaXF6a2N4/document?format=pdf&amp;download=0
FY2019 (own) &amp; FY2018 (own-year comparative): Investec Bank plc Annual Financial Statements 2019, p.83 — https://find-and-update.company-information.service.gov.uk/company/00489604/filing-history/MzI0MjAzMDcwOWFkaXF6a2N4/document?format=pdf&amp;download=0</t>
        </is>
      </c>
    </row>
  </sheetData>
  <mergeCells count="1">
    <mergeCell ref="A6:J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Total Capital Ratio</t>
        </is>
      </c>
    </row>
    <row r="2">
      <c r="A2" s="2" t="inlineStr">
        <is>
          <t>Consolidated basis, %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Total Capital ratio</t>
        </is>
      </c>
      <c r="B4" s="6" t="inlineStr">
        <is>
          <t>18.6%</t>
        </is>
      </c>
      <c r="C4" s="6" t="inlineStr">
        <is>
          <t>19.2%</t>
        </is>
      </c>
      <c r="D4" s="6" t="inlineStr">
        <is>
          <t>19.8%</t>
        </is>
      </c>
      <c r="E4" s="6" t="inlineStr">
        <is>
          <t>18.5%</t>
        </is>
      </c>
      <c r="F4" s="6" t="inlineStr">
        <is>
          <t>18.2%</t>
        </is>
      </c>
      <c r="G4" s="6" t="inlineStr">
        <is>
          <t>16.4%</t>
        </is>
      </c>
      <c r="H4" s="6" t="inlineStr">
        <is>
          <t>16.5%</t>
        </is>
      </c>
      <c r="I4" s="6" t="inlineStr">
        <is>
          <t>17.0%</t>
        </is>
      </c>
      <c r="J4" s="6" t="inlineStr">
        <is>
          <t>16.5%</t>
        </is>
      </c>
    </row>
    <row r="6" ht="156" customHeight="1">
      <c r="A6" s="8" t="inlineStr">
        <is>
          <t>Sources — Investec Bank plc (IBP) solo-entity capital adequacy disclosures — A summary of capital adequacy and leverage ratios:
FY2026 &amp; FY2025: Investec Bank plc Annual Financial Statements 2026, p.280 (Notes to risk and capital management — Capital management and allocation) — https://find-and-update.company-information.service.gov.uk/company/00489604/filing-history/MzUzMDk3ODM1OWFkaXF6a2N4/document?format=pdf&amp;download=0
FY2024: Investec Bank plc Annual Financial Statements 2025, p.287 (Notes to risk and capital management — Capital management and allocation) — https://find-and-update.company-information.service.gov.uk/company/00489604/filing-history/MzQ3NDQ1NjE4M2FkaXF6a2N4/document?format=pdf&amp;download=0
FY2023 &amp; FY2022: Investec Bank plc Annual Financial Statements 2023, p.270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FY2021 &amp; FY2020: Investec Bank plc Annual Financial Statements 2021, p.104 — https://find-and-update.company-information.service.gov.uk/company/00489604/filing-history/MzMwOTY3ODkxNGFkaXF6a2N4/document?format=pdf&amp;download=0
FY2019 (own) &amp; FY2018 (own-year comparative): Investec Bank plc Annual Financial Statements 2019, p.85 — https://find-and-update.company-information.service.gov.uk/company/00489604/filing-history/MzI0MjAzMDcwOWFkaXF6a2N4/document?format=pdf&amp;download=0</t>
        </is>
      </c>
    </row>
  </sheetData>
  <mergeCells count="1">
    <mergeCell ref="A6:J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Total RWAs</t>
        </is>
      </c>
    </row>
    <row r="2">
      <c r="A2" s="2" t="inlineStr">
        <is>
          <t>Consolidated basis, £m</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Risk weighted assets</t>
        </is>
      </c>
      <c r="B4" s="6" t="n">
        <v>20177</v>
      </c>
      <c r="C4" s="6" t="n">
        <v>18908</v>
      </c>
      <c r="D4" s="6" t="n">
        <v>18054</v>
      </c>
      <c r="E4" s="6" t="n">
        <v>17308</v>
      </c>
      <c r="F4" s="6" t="n">
        <v>16462</v>
      </c>
      <c r="G4" s="6" t="n">
        <v>15789</v>
      </c>
      <c r="H4" s="6" t="n">
        <v>15808</v>
      </c>
      <c r="I4" s="6" t="n">
        <v>14631</v>
      </c>
      <c r="J4" s="6" t="n">
        <v>13744</v>
      </c>
    </row>
    <row r="6" ht="156" customHeight="1">
      <c r="A6" s="8" t="inlineStr">
        <is>
          <t>Sources — Investec Bank plc (IBP) solo-entity capital adequacy disclosures — A summary of capital adequacy and leverage ratios:
FY2026 &amp; FY2025: Investec Bank plc Annual Financial Statements 2026, p.280 (Notes to risk and capital management — Capital management and allocation) — https://find-and-update.company-information.service.gov.uk/company/00489604/filing-history/MzUzMDk3ODM1OWFkaXF6a2N4/document?format=pdf&amp;download=0
FY2024: Investec Bank plc Annual Financial Statements 2025, p.287 (Notes to risk and capital management — Capital management and allocation) — https://find-and-update.company-information.service.gov.uk/company/00489604/filing-history/MzQ3NDQ1NjE4M2FkaXF6a2N4/document?format=pdf&amp;download=0
FY2023 &amp; FY2022: Investec Bank plc Annual Financial Statements 2023, p.270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FY2021 &amp; FY2020: Investec Bank plc Annual Financial Statements 2021, p.104 — https://find-and-update.company-information.service.gov.uk/company/00489604/filing-history/MzMwOTY3ODkxNGFkaXF6a2N4/document?format=pdf&amp;download=0
FY2019 (own) &amp; FY2018 (own-year comparative): Investec Bank plc Annual Financial Statements 2019, p.85 — https://find-and-update.company-information.service.gov.uk/company/00489604/filing-history/MzI0MjAzMDcwOWFkaXF6a2N4/document?format=pdf&amp;download=0</t>
        </is>
      </c>
    </row>
  </sheetData>
  <mergeCells count="1">
    <mergeCell ref="A6:J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RWA Breakdown</t>
        </is>
      </c>
    </row>
    <row r="2">
      <c r="A2" s="2" t="inlineStr">
        <is>
          <t>Investec Bank plc Group, risk weighted assets by category, £'million</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c r="J3" s="4" t="inlineStr">
        <is>
          <t>FY2018 (£m)</t>
        </is>
      </c>
    </row>
    <row r="4">
      <c r="A4" s="6" t="inlineStr">
        <is>
          <t>Credit risk</t>
        </is>
      </c>
      <c r="B4" s="6" t="n">
        <v>16572</v>
      </c>
      <c r="C4" s="6" t="n">
        <v>15575</v>
      </c>
      <c r="D4" s="6" t="n">
        <v>15276</v>
      </c>
      <c r="E4" s="6" t="n">
        <v>14118</v>
      </c>
      <c r="F4" s="6" t="n">
        <v>13332</v>
      </c>
      <c r="G4" s="6" t="n">
        <v>12413</v>
      </c>
      <c r="H4" s="6" t="n">
        <v>12145</v>
      </c>
      <c r="I4" s="6" t="n">
        <v>11174</v>
      </c>
      <c r="J4" s="6" t="n">
        <v>10271</v>
      </c>
    </row>
    <row r="5">
      <c r="A5" s="6" t="inlineStr">
        <is>
          <t>Equity risk</t>
        </is>
      </c>
      <c r="B5" s="6" t="n">
        <v>178</v>
      </c>
      <c r="C5" s="6" t="n">
        <v>113</v>
      </c>
      <c r="D5" s="6" t="n">
        <v>89</v>
      </c>
      <c r="E5" s="6" t="n">
        <v>153</v>
      </c>
      <c r="F5" s="6" t="n">
        <v>57</v>
      </c>
      <c r="G5" s="6" t="n">
        <v>117</v>
      </c>
      <c r="H5" s="6" t="n">
        <v>125</v>
      </c>
      <c r="I5" s="6" t="n">
        <v>115</v>
      </c>
      <c r="J5" s="6" t="n">
        <v>79</v>
      </c>
    </row>
    <row r="6">
      <c r="A6" s="6" t="inlineStr">
        <is>
          <t>Counterparty credit risk (CCR)</t>
        </is>
      </c>
      <c r="B6" s="6" t="n">
        <v>426</v>
      </c>
      <c r="C6" s="6" t="n">
        <v>463</v>
      </c>
      <c r="D6" s="6" t="n">
        <v>377</v>
      </c>
      <c r="E6" s="6" t="n">
        <v>487</v>
      </c>
      <c r="F6" s="6" t="n">
        <v>591</v>
      </c>
      <c r="G6" s="6" t="n">
        <v>691</v>
      </c>
      <c r="H6" s="6" t="n">
        <v>922</v>
      </c>
      <c r="I6" s="6" t="n">
        <v>611</v>
      </c>
      <c r="J6" s="6" t="n">
        <v>652</v>
      </c>
    </row>
    <row r="7">
      <c r="A7" s="6" t="inlineStr">
        <is>
          <t>Credit valuation adjustment (CVA) risk</t>
        </is>
      </c>
      <c r="B7" s="6" t="n">
        <v>32</v>
      </c>
      <c r="C7" s="6" t="n">
        <v>30</v>
      </c>
      <c r="D7" s="6" t="n">
        <v>27</v>
      </c>
      <c r="E7" s="6" t="n">
        <v>37</v>
      </c>
      <c r="F7" s="6" t="n">
        <v>103</v>
      </c>
      <c r="G7" s="6" t="n">
        <v>59</v>
      </c>
      <c r="H7" s="6" t="n">
        <v>59</v>
      </c>
      <c r="I7" s="6" t="n">
        <v>76</v>
      </c>
      <c r="J7" s="6" t="n">
        <v>121</v>
      </c>
    </row>
    <row r="8">
      <c r="A8" s="6" t="inlineStr">
        <is>
          <t>Market risk</t>
        </is>
      </c>
      <c r="B8" s="6" t="n">
        <v>371</v>
      </c>
      <c r="C8" s="6" t="n">
        <v>445</v>
      </c>
      <c r="D8" s="6" t="n">
        <v>428</v>
      </c>
      <c r="E8" s="6" t="n">
        <v>511</v>
      </c>
      <c r="F8" s="6" t="n">
        <v>608</v>
      </c>
      <c r="G8" s="6" t="n">
        <v>778</v>
      </c>
      <c r="H8" s="6" t="n">
        <v>726</v>
      </c>
      <c r="I8" s="6" t="n">
        <v>833</v>
      </c>
      <c r="J8" s="6" t="n">
        <v>965</v>
      </c>
    </row>
    <row r="9">
      <c r="A9" s="6" t="inlineStr">
        <is>
          <t>Operational risk</t>
        </is>
      </c>
      <c r="B9" s="6" t="n">
        <v>2598</v>
      </c>
      <c r="C9" s="6" t="n">
        <v>2282</v>
      </c>
      <c r="D9" s="6" t="n">
        <v>1857</v>
      </c>
      <c r="E9" s="6" t="n">
        <v>2002</v>
      </c>
      <c r="F9" s="6" t="n">
        <v>1771</v>
      </c>
      <c r="G9" s="6" t="n">
        <v>1731</v>
      </c>
      <c r="H9" s="6" t="n">
        <v>1831</v>
      </c>
      <c r="I9" s="6" t="n">
        <v>1822</v>
      </c>
      <c r="J9" s="6" t="n">
        <v>1656</v>
      </c>
    </row>
    <row r="10">
      <c r="A10" s="5" t="inlineStr">
        <is>
          <t>Total risk weighted assets</t>
        </is>
      </c>
      <c r="B10" s="5" t="n">
        <v>20177</v>
      </c>
      <c r="C10" s="5" t="n">
        <v>18908</v>
      </c>
      <c r="D10" s="5" t="n">
        <v>18054</v>
      </c>
      <c r="E10" s="5" t="n">
        <v>17308</v>
      </c>
      <c r="F10" s="5" t="n">
        <v>16462</v>
      </c>
      <c r="G10" s="5" t="n">
        <v>15789</v>
      </c>
      <c r="H10" s="5" t="n">
        <v>15808</v>
      </c>
      <c r="I10" s="5" t="n">
        <v>14631</v>
      </c>
      <c r="J10" s="5" t="n">
        <v>13744</v>
      </c>
    </row>
    <row r="12" ht="150" customHeight="1">
      <c r="A12" s="8" t="inlineStr">
        <is>
          <t>Sources — IBP Group Risk weighted assets and capital requirements table, £'million (Notes to risk and capital management, 'Capital structure'):
FY2026 &amp; FY2025: Investec Bank plc Annual Financial Statements 2026, p.283 — https://find-and-update.company-information.service.gov.uk/company/00489604/filing-history/MzUzMDk3ODM1OWFkaXF6a2N4/document?format=pdf&amp;download=0
FY2024: Investec Bank plc Annual Financial Statements 2025, p.290 — https://find-and-update.company-information.service.gov.uk/company/00489604/filing-history/MzQ3NDQ1NjE4M2FkaXF6a2N4/document?format=pdf&amp;download=0
FY2023 &amp; FY2022: Investec Bank plc Annual Financial Statements 2023, p.272 — https://find-and-update.company-information.service.gov.uk/company/00489604/filing-history/MzM5NTY4ODE2OWFkaXF6a2N4/document?format=pdf&amp;download=0
FY2021 &amp; FY2020: Investec Bank plc Annual Financial Statements 2021, p.104 ('Risk-weighted assets and capital requirements') — https://find-and-update.company-information.service.gov.uk/company/00489604/filing-history/MzMwOTY3ODkxNGFkaXF6a2N4/document?format=pdf&amp;download=0
FY2019 (own) &amp; FY2018 (own-year comparative): Investec Bank plc Annual Financial Statements 2019, p.84 ('Capital requirements') — https://find-and-update.company-information.service.gov.uk/company/00489604/filing-history/MzI0MjAzMDcwOWFkaXF6a2N4/document?format=pdf&amp;download=0
Each year's Total row ties exactly to the Total RWAs sheet's own disclosed figure. RWAs are calculated applying IFRS 9 transitional arrangements through FY2025; these ceased 1 April 2025, so FY2026 is on a fully-loaded basis (both bases shown as disclosed each year, not adjusted for comparability).</t>
        </is>
      </c>
    </row>
  </sheetData>
  <mergeCells count="1">
    <mergeCell ref="A12:J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Leverage Ratio</t>
        </is>
      </c>
    </row>
    <row r="2">
      <c r="A2" s="2" t="inlineStr">
        <is>
          <t>Consolidated basis, £m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Leverage exposure measure (£m)</t>
        </is>
      </c>
      <c r="B4" s="6" t="n">
        <v>31774</v>
      </c>
      <c r="C4" s="6" t="n">
        <v>27906</v>
      </c>
      <c r="D4" s="6" t="n">
        <v>26746</v>
      </c>
      <c r="E4" s="6" t="n">
        <v>24945</v>
      </c>
      <c r="F4" s="6" t="n">
        <v>23874</v>
      </c>
      <c r="G4" s="6" t="n">
        <v>26351</v>
      </c>
      <c r="H4" s="6" t="n">
        <v>25719</v>
      </c>
      <c r="I4" s="6" t="n">
        <v>23849</v>
      </c>
      <c r="J4" s="6" t="n">
        <v>21335</v>
      </c>
    </row>
    <row r="5">
      <c r="A5" s="6" t="inlineStr">
        <is>
          <t>Leverage ratio (%)</t>
        </is>
      </c>
      <c r="B5" s="6" t="inlineStr">
        <is>
          <t>9.5%</t>
        </is>
      </c>
      <c r="C5" s="6" t="inlineStr">
        <is>
          <t>10.5%</t>
        </is>
      </c>
      <c r="D5" s="6" t="inlineStr">
        <is>
          <t>10.7%</t>
        </is>
      </c>
      <c r="E5" s="6" t="inlineStr">
        <is>
          <t>9.8%</t>
        </is>
      </c>
      <c r="F5" s="6" t="inlineStr">
        <is>
          <t>9.3%</t>
        </is>
      </c>
      <c r="G5" s="6" t="inlineStr">
        <is>
          <t>8.0%</t>
        </is>
      </c>
      <c r="H5" s="6" t="inlineStr">
        <is>
          <t>8.0%</t>
        </is>
      </c>
      <c r="I5" s="6" t="inlineStr">
        <is>
          <t>7.9%</t>
        </is>
      </c>
      <c r="J5" s="6" t="inlineStr">
        <is>
          <t>8.5%</t>
        </is>
      </c>
    </row>
    <row r="7" ht="409" customHeight="1">
      <c r="A7" s="8" t="inlineStr">
        <is>
          <t>Sources — Investec Bank plc (IBP) solo-entity capital adequacy disclosures — A summary of capital adequacy and leverage ratios:
FY2026 &amp; FY2025: Investec Bank plc Annual Financial Statements 2026, p.280 (Notes to risk and capital management — Capital management and allocation) — https://find-and-update.company-information.service.gov.uk/company/00489604/filing-history/MzUzMDk3ODM1OWFkaXF6a2N4/document?format=pdf&amp;download=0
FY2024: Investec Bank plc Annual Financial Statements 2025, p.287 (Notes to risk and capital management — Capital management and allocation) — https://find-and-update.company-information.service.gov.uk/company/00489604/filing-history/MzQ3NDQ1NjE4M2FkaXF6a2N4/document?format=pdf&amp;download=0
FY2023 &amp; FY2022: Investec Bank plc Annual Financial Statements 2023, p.270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
GA-026 (2026-10-09) - THIS BANK DOES PUBLISH BOTH LEVERAGE BASES, BUT NO INCLUDING-BASIS ROW IS ADDED HERE, BECAUSE NEITHER PUBLISHED TABLE REPRODUCES THE FIGURES ON THIS SHEET. Recorded as a finding rather than closed, and raised as GA-028.
WHAT THE PILLAR 3 PUBLISHES. The Investec plc Group and Investec Bank plc Pillar 3 annual disclosure report 2026 prints template UK LR2 (LRCom) TWICE, at two different consolidation levels, and both carry the full dual basis (row 24 including claims on central banks, UK-24a the deduction, UK-24b excluding, row 25 and UK-25c the two ratios):
  Table 10, p.35 - INVESTEC PLC GROUP, 31 March 2026 / 31 March 2025: row 24 35,845 / 32,762; UK-24b 32,021 / 28,089; row 25 9.1% / 9.6%; UK-25c 8.1% / 8.3%. The group's own UK KM1 agrees (row 13 32,021, row 14 9.1%).
  Table 50, p.94, Appendix A - INVESTEC BANK PLC on an individual (solo-consolidation) level, the appendix the report itself titles 'Investec Bank plc individual disclosure tables': row 23 2,476 / 2,356; row 24 28,465 / 26,348; UK-24a (3,159) / (4,175); UK-24b 25,306 / 22,173; row 25 9.8% / 10.6%; UK-25c 8.7% / 8.9%. Its own commentary reads 'IBP's leverage ratio decreased to 9.8% from 10.6% at 31 March 2025.'
WHY NEITHER CAN BE USED HERE. This sheet carries 31,774 at 9.5% for FY2026 and 27,906 at 10.5% for FY2025, taken from the Annual Financial Statements' 'A summary of capital adequacy and leverage ratios'. Those figures match NEITHER table: the group prints 32,021 at 9.1% and IBP solo prints 25,306 at 9.8%. A full-text search of the FY2026 Pillar 3 report finds no '31 774' and no leverage '9.5%' anywhere in it. So the Annual Report summary is a THIRD basis, and until it is identified, an including-basis figure from either LR2 would sit in the same column as an excluding figure struck on a different one - which is the specific error the entity check in this ticket exists to prevent, and the one that stopped two other banks in this batch whose LR2 turned out to be group-level.
NOTHING IS BACK-SOLVED AND NOTHING IS RELABELLED. The existing rows are left exactly as they are, still sourced to the Annual Report, and the two Pillar 3 tables are recorded above in full so a later pass can resolve the basis question with the documents rather than re-derive it. Note the sheet's own source block already flags a related basis subtlety - IBP's ratios deduct foreseeable charges and dividends from CET1 while the Investec Group booklet does not - which may or may not be the same cause; that is for GA-028 to establish, not to assume here.
GA-028 RESOLVED (2026-10-10) - THE THIRD BASIS IS IBP'S OWN CONSOLIDATION, AND IT HAS NO PUBLISHED INCLUDING-BASIS COUNTERPART. The source table was read at 300 dpi: Investec Bank plc Annual Financial Statements 2026, note 63 'Capital management and allocation', 'A summary of capital adequacy and leverage ratios', printed p.280 (PDF p.282 of the Companies House scan - the filing is image-only, 361 pages yielding 361 characters of text layer, so OCR was used only to find the page). It prints, for 31 March 2026 / 31 March 2025: CET1 ratio 13.3% / 13.6%; Tier 1 ratio 15.0% / 15.4%; Total Capital ratio 18.6% / 19.2%; RWAs 20,177 / 18,908; leverage exposure measure 31,774 / 27,906; leverage ratio 9.5% / 10.5% - the figures on this sheet, confirmed cell for cell.</t>
        </is>
      </c>
    </row>
    <row r="9" ht="409" customHeight="1">
      <c r="A9" s="8" t="inlineStr">
        <is>
          <t>(continued)
WHAT THE TWO FOOTNOTES SAY, VERBATIM IN SUBSTANCE. (*) 'The capital adequacy and leverage disclosures for IBP include the deduction of foreseeable charges and dividends when calculating CET1 and Tier 1 capital. These disclosures differ from the disclosures included in the Investec Group's year-end results booklet 2026, which follow our normal basis of presentation and do not include this deduction. IBP's CET1 ratio would be 64bps (31 March 2025: 37bps) and leverage ratio 40bps (31 March 2025: 25bps) higher, on this basis.' (**) 'The March 2025 CET1, Tier 1, total capital and leverage ratios, and risk weighted assets (RWAs) have been calculated applying the IFRS 9 transitional arrangements. Effective from 1 April 2025, IFRS 9 transitional arrangements ceased to apply, with all subsequent ratios presented on a fully loaded basis.'
WHICH OF THE TICKET'S THREE CANDIDATE EXPLANATIONS SURVIVES. The ticket asked whether the ~200 gap against the group's exposure measure is the IFRS 9 transitional change, the foreseeable-charges deduction, or a different entity. It is the ENTITY. The foreseeable-charges deduction is a NUMERATOR adjustment - it reduces CET1 and Tier 1 capital - so it cannot move an exposure measure at all, and is ruled out for the 247 (FY2026) and 183 (FY2025) exposure differences on that ground alone. What it does explain is part of the RATIO difference, and the bank quantifies it exactly: 40bps at FY2026, 25bps at FY2025. The scope is IBP's own regulatory consolidation as presented in IBP's own statutory accounts - the note is headed IBP throughout, discusses 'Subsidiaries of IBP', and its capital-movement commentary turns on IBP's own regulatory scope of consolidation, referring to 'gains attributable to non-financial entities outside the regulatory scope of consolidation' and to 'proportionally consolidated associates', naming the holding in Rathbones. That is neither the Investec plc Group prudential consolidation of Table 10 nor the IBP solo-consolidation of Table 50: it sits between them, which is exactly where its exposure measure sits (32,021 group &gt; 31,774 here &gt; 25,306 solo).
WHAT IS STILL NOT RECONCILED, AND IS NOT INVENTED HERE. The Annual Financial Statements do NOT reconcile their exposure measure to either Pillar 3 table, and give no bridge for the 247 / 183 differences. Those gaps are therefore recorded as unexplained in the source rather than attributed to a cause. No Tier 1 figure has been implied by multiplying a ratio by an exposure measure, and no exposure measure has been implied from anything.
CONSEQUENCE FOR THIS SHEET, WHICH IS THE POINT OF THE TICKET: because this basis is a third consolidation, the including-basis rows published in the Pillar 3 belong to OTHER entities - row 24 / UK-25c in Table 10 are Investec plc Group, and in Table 50 are IBP solo-consolidation. There is NO published including-claims-on-central-banks counterpart for the IBP consolidated basis this sheet carries. No including-basis row is added, and none can be without changing the sheet's entity. The rows stay exactly as they are; the basis is now identified rather than unknown, which is what GA-028 was opened to settle.
FY2021 &amp; FY2020: Investec Bank plc Annual Financial Statements 2021, p.104 — https://find-and-update.company-information.service.gov.uk/company/00489604/filing-history/MzMwOTY3ODkxNGFkaXF6a2N4/document?format=pdf&amp;download=0
FY2019 (own) &amp; FY2018 (own-year comparative): Investec Bank plc Annual Financial Statements 2019, p.84 ('Leverage') — https://find-and-update.company-information.service.gov.uk/company/00489604/filing-history/MzI0MjAzMDcwOWFkaXF6a2N4/document?format=pdf&amp;download=0</t>
        </is>
      </c>
    </row>
  </sheetData>
  <mergeCells count="2">
    <mergeCell ref="A7:J7"/>
    <mergeCell ref="A9:J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LCR</t>
        </is>
      </c>
    </row>
    <row r="2">
      <c r="A2" s="2" t="inlineStr">
        <is>
          <t>Consolidated basis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Liquidity Coverage Ratio</t>
        </is>
      </c>
      <c r="B4" s="6" t="inlineStr">
        <is>
          <t>361%</t>
        </is>
      </c>
      <c r="C4" s="6" t="inlineStr">
        <is>
          <t>465%</t>
        </is>
      </c>
      <c r="D4" s="6" t="inlineStr">
        <is>
          <t>446%</t>
        </is>
      </c>
      <c r="E4" s="6" t="inlineStr">
        <is>
          <t>431%</t>
        </is>
      </c>
      <c r="F4" s="6" t="inlineStr">
        <is>
          <t>476% (31 Mar 2022 point-in-time, IBP solo; FY2022 accounts, CH PDF p.50)</t>
        </is>
      </c>
      <c r="G4" s="6" t="inlineStr">
        <is>
          <t>475% (31 Mar 2021 point-in-time as reported to PRA, IBP solo; 330% excl. Australian loan sale; FY2021 accounts PDF p.47)</t>
        </is>
      </c>
      <c r="H4" s="6" t="inlineStr">
        <is>
          <t>411% (31 Mar 2020 point-in-time as reported to PRA, IBP solo; FY2020 accounts, CH PDF p.38)</t>
        </is>
      </c>
      <c r="I4" s="6" t="inlineStr">
        <is>
          <t>291% (31 Mar 2019 point-in-time as reported to PRA, IBP solo; FY2019 accounts, CH PDF p.31)</t>
        </is>
      </c>
      <c r="J4" s="6" t="inlineStr">
        <is>
          <t>301% (31 Mar 2018 point-in-time as reported to PRA, IBP solo; FY2018 accounts, CH PDF p.39)</t>
        </is>
      </c>
    </row>
    <row r="5" ht="325" customHeight="1">
      <c r="A5" s="7" t="inlineStr">
        <is>
          <t>Note: FY2018-FY2022 FOUND 2026-09-19 (GA-020). These five years previously read 'Not publicly disclosed'. That was true of the Pillar 3 documents (and of the missing FY2022 Pillar 3) but NOT of Investec Bank plc's own annual financial statements, which state the solo LCR and NSFR at each 31 March in the Risk management section. The filings are image-only scans; each was OCR'd to find the page and every figure was then read from the page image. Sources (Companies House, company 00489604, 'Group of companies' accounts made up to 31 March'): FY2022 - PDF p.50: 'IBP (solo basis) reported an LCR of 476% and an NSFR of 136% at 31 March 2022' (repeated PDF p.103) - https://find-and-update.company-information.service.gov.uk/company/00489604/filing-history/MzM0ODAzMjkxNWFkaXF6a2N4/document?format=pdf&amp;download=0; FY2021 - PDF p.47 (printed 46): 'The LCR reported to the PRA at 31 March 2021 was 475% ... Excluding the sale [of the Australian corporate loans] the LCR would be 330%. The internally calculated NSFR was 126% for IBP (solo basis)' - https://find-and-update.company-information.service.gov.uk/company/00489604/filing-history/MzMwOTY3ODkxNGFkaXF6a2N4/document?format=pdf&amp;download=0; FY2020 - PDF p.38: LCR 'reported to the PRA at 31 March 2020 was 411%'; NSFR, on the bank's own interpretation ahead of the final rules, 120% (repeated PDF p.83) - https://find-and-update.company-information.service.gov.uk/company/00489604/filing-history/MzI3NjcwNDY2OWFkaXF6a2N4/document?format=pdf&amp;download=0; FY2019 - PDF p.31: 'The LCR reported to the PRA at 31 March 2019 was 291%'; NSFR 126% - https://find-and-update.company-information.service.gov.uk/company/00489604/filing-history/MzI0MjAzMDcwOWFkaXF6a2N4/document?format=pdf&amp;download=0; FY2018 - PDF p.39 (printed 37): 'The LCR reported to the PRA at 31 March 2018 was 301%'; PDF p.40: 'the NSFR which was 133%' - https://find-and-update.company-information.service.gov.uk/company/00489604/filing-history/MzIwOTQwODkxOWFkaXF6a2N4/document?format=pdf&amp;download=0. BASIS: every one of these is a POINT-IN-TIME ratio at 31 March, as reported to the PRA, on the bank's own interpretation of the EU Delegated Act (LCR) and of the BCBS guidelines (NSFR, before the UK rules took effect in 2022). The FY2023-FY2026 cells above come from UK KM1 tables and the LCR there is a 12-month average, so the two series are NOT directly comparable. (The FY2023 accounts print a point-in-time LCR of 432% against the KM1-sourced 431% carried here.) FY2021's 475% was inflated by the sale of Australian corporate loans; the bank's own ex-sale figure, 330%, is kept in the cell beside it. The note below, written before these filings were read, says no numeric figure exists for FY2018-FY2022; that remains correct for the Pillar 3 documents only.
FY2022 (31 March 2022): not publicly disclosed. No standalone Pillar 3 report for that period-end was ever published for Investec plc/Investec Bank plc — confirmed via Wayback Machine snapshots of investec.com's Basel Pillar III regulatory-disclosures listing page taken 30 Sept 2022 and 3 Oct 2023 (the most recent annual/semi-annual disclosure listed on both is the 2021 annual report; no 2022 entry appears on either snapshot). IBP's Annual Financial Statements 2023 discuss the liquidity buffer and funding strategy qualitatively for that year (see 'Balance sheet risk' / 'Liquidity risk' notes) but do not publish a numeric LCR% for the solo entity. FY2021/FY2020/FY2019/FY2018: also not publicly disclosed, but re-checked this session (HD-057) rather than assumed — the standalone Investec Bank plc Pillar 3 annual disclosure reports for all four years were located and downloaded (https://www.investec.com/content/dam/investor-relations/financial-information/group-financial-results/2021/Investec-Bank-plc-pillar-3-annual-disclosure-report-2021.pdf, https://www.investec.com/content/dam/investor-relations/financial-information/group-financial-results/2020/IBP-Pillar-3-Report-March-2020.pdf, https://www.investec.com/content/dam/investor-relations/basel-pillar-iii-regulatory-disclosures/2019/investec-ibp-pillar-3-annual-disclosure-report-2019.pdf, https://www.investec.com/content/dam/investor-relations/basel-pillar-iii-regulatory-disclosures/2018/Investec-Bank-plc-Pillar-3-disclosures-31-March-2018-FINAL.pdf) and each has a full text layer (unlike the Companies House scans), so they were searched directly rather than skipped on a domain-level signal. FY2021 and FY2020 each state qualitatively 'We exceed the minimum regulatory requirements for the liquidity coverage ratio (LCR) and net stable funding ratio (NSFR)' but print no numeric LCR%/NSFR% anywhere in either document — the UK KM1 template requiring a numeric per-entity LCR/NSFR disclosure did not apply to IBP's Pillar 3 reports until later (first seen in this workbook's own FY2023 sheet, sourced from the Sept 2023 semi-annual report). FY2019 and FY2018 predate the LCR/NSFR disclosure requirement entirely — both reports discuss liquidity management qualitatively (minimum cash-to-customer-deposit-ratio targets, high-quality liquid asset buffers) with no LCR/NSFR figure of any kind, confirmed by full-text search of both documents for 'LCR', 'liquidity coverage', 'NSFR' and 'stable funding'. This is a genuine, re-verified access gap across all four years, not an assumption carried over from the FY2022-2026 build.</t>
        </is>
      </c>
    </row>
    <row r="7" ht="182" customHeight="1">
      <c r="A7" s="8" t="inlineStr">
        <is>
          <t>Sources — Investec Bank plc (IBP) solo-entity liquidity disclosures, Table 44 'Key metrics (UK KM1)', Appendix A (IBP's own Pillar 3 disclosures, signed by the IBP Finance Director and IBP Risk Officer):
FY2026 (31 March 2026): Investec plc Group and Investec Bank plc Pillar 3 annual disclosure report 2026, p.86, UK KM1 row 17 (LCR) / row 20 (NSFR) — https://www.investec.com/content/dam/investor-relations/financial-information/group-financial-results/2026/Investec-plc-group-and-Investec-Bank-plc-Pillar-3-disclosure-report-March-2026.pdf
(Folio corrected from p.85 to p.86 for the FY2026 report on 2026-09-17: Table 44 moved a page between editions. Each report's own list of tables is the authority — it reads '44 Key metrics (UK KM1) 85' in the 2024 and 2025 reports and '44 Key metrics (UK KM1) 86' in the 2026 report, and the printed folio beneath the table agrees. The p.85 shown for FY2025 and FY2024 below is correct and is unchanged.)
FY2025 (31 March 2025): Investec plc Group and Investec Bank plc Pillar 3 annual disclosure report 2025, p.85, UK KM1 row 17 / row 20 — https://www.investec.com/content/dam/investor-relations/financial-information/group-financial-results/2025/Investec-plc-group-and-Investec-Bank-plc-Pillar-3-disclosure-report-March-2025.pdf
FY2024 (31 March 2024): Investec plc Group and Investec Bank plc Pillar 3 annual disclosure report 2024, p.85, UK KM1 row 17 / row 20 — https://www.investec.com/content/dam/investor-relations/financial-information/group-financial-results/2024/Investec-plc-group-and-Investec-Bank-plc-Pillar-3-disclosure-report-March-2024.pdf
FY2023 (31 March 2023): Investec plc group and Investec Bank plc Pillar 3 disclosure report, 30 Sept 2023, p.44, UK KM1 row 17 / row 20 comparative column (no standalone 31 March 2023 annual Pillar 3 report was ever published — confirmed via Wayback Machine snapshots of investec.com's regulatory-disclosures listing page from 3 Oct 2023, which still shows no such document) — https://www.investec.com/content/dam/investor-relations/basel-pillar-iii-regulatory-disclosures/united-kingdom/2023/Investec-plc-group-and-Investec-Bank-plc-Pillar-3-disclosure-report%20-30-Sept-2023.pdf
LCR is the 12-month average ratio; NSFR is the trailing 4-quarter average ratio, per each report's own table footnotes. Figures cross-validate exactly against the comparative columns in the adjacent semi-annual reports (e.g. the FY2026 report's 31 March 2025 comparative matches the FY2025 report's own-year figure) and against the 31 March comparative rows already recorded on the 'Interim Pillar 3' sheet.</t>
        </is>
      </c>
    </row>
  </sheetData>
  <mergeCells count="2">
    <mergeCell ref="A5:J5"/>
    <mergeCell ref="A7:J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NSFR</t>
        </is>
      </c>
    </row>
    <row r="2">
      <c r="A2" s="2" t="inlineStr">
        <is>
          <t>Consolidated basis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Net Stable Funding Ratio</t>
        </is>
      </c>
      <c r="B4" s="6" t="inlineStr">
        <is>
          <t>141%</t>
        </is>
      </c>
      <c r="C4" s="6" t="inlineStr">
        <is>
          <t>145%</t>
        </is>
      </c>
      <c r="D4" s="6" t="inlineStr">
        <is>
          <t>138%</t>
        </is>
      </c>
      <c r="E4" s="6" t="inlineStr">
        <is>
          <t>136%</t>
        </is>
      </c>
      <c r="F4" s="6" t="inlineStr">
        <is>
          <t>136% (31 Mar 2022, IBP solo; FY2022 accounts, CH PDF p.50)</t>
        </is>
      </c>
      <c r="G4" s="6" t="inlineStr">
        <is>
          <t>126% (31 Mar 2021, internally calculated, IBP solo; FY2021 accounts, CH PDF p.47)</t>
        </is>
      </c>
      <c r="H4" s="6" t="inlineStr">
        <is>
          <t>120% (31 Mar 2020, own interpretation of BCBS rules, IBP solo; FY2020 accounts, CH PDF p.38)</t>
        </is>
      </c>
      <c r="I4" s="6" t="inlineStr">
        <is>
          <t>126% (31 Mar 2019, own interpretation of BCBS rules, IBP solo; FY2019 accounts, CH PDF p.31)</t>
        </is>
      </c>
      <c r="J4" s="6" t="inlineStr">
        <is>
          <t>133% (31 Mar 2018, own interpretation of BCBS rules, IBP solo; FY2018 accounts, CH PDF p.40)</t>
        </is>
      </c>
    </row>
    <row r="5" ht="221" customHeight="1">
      <c r="A5" s="7" t="inlineStr">
        <is>
          <t>Note: FY2018-FY2022 FOUND 2026-09-19 (GA-020). These five years previously read 'Not publicly disclosed'. That was true of the Pillar 3 documents (and of the missing FY2022 Pillar 3) but NOT of Investec Bank plc's own annual financial statements, which state the solo LCR and NSFR at each 31 March in the Risk management section. The filings are image-only scans; each was OCR'd to find the page and every figure was then read from the page image. Sources (Companies House, company 00489604, 'Group of companies' accounts made up to 31 March'): FY2022 - PDF p.50: 'IBP (solo basis) reported an LCR of 476% and an NSFR of 136% at 31 March 2022' (repeated PDF p.103) - https://find-and-update.company-information.service.gov.uk/company/00489604/filing-history/MzM0ODAzMjkxNWFkaXF6a2N4/document?format=pdf&amp;download=0; FY2021 - PDF p.47 (printed 46): 'The LCR reported to the PRA at 31 March 2021 was 475% ... Excluding the sale [of the Australian corporate loans] the LCR would be 330%. The internally calculated NSFR was 126% for IBP (solo basis)' - https://find-and-update.company-information.service.gov.uk/company/00489604/filing-history/MzMwOTY3ODkxNGFkaXF6a2N4/document?format=pdf&amp;download=0; FY2020 - PDF p.38: LCR 'reported to the PRA at 31 March 2020 was 411%'; NSFR, on the bank's own interpretation ahead of the final rules, 120% (repeated PDF p.83) - https://find-and-update.company-information.service.gov.uk/company/00489604/filing-history/MzI3NjcwNDY2OWFkaXF6a2N4/document?format=pdf&amp;download=0; FY2019 - PDF p.31: 'The LCR reported to the PRA at 31 March 2019 was 291%'; NSFR 126% - https://find-and-update.company-information.service.gov.uk/company/00489604/filing-history/MzI0MjAzMDcwOWFkaXF6a2N4/document?format=pdf&amp;download=0; FY2018 - PDF p.39 (printed 37): 'The LCR reported to the PRA at 31 March 2018 was 301%'; PDF p.40: 'the NSFR which was 133%' - https://find-and-update.company-information.service.gov.uk/company/00489604/filing-history/MzIwOTQwODkxOWFkaXF6a2N4/document?format=pdf&amp;download=0. BASIS: every one of these is a POINT-IN-TIME ratio at 31 March, as reported to the PRA, on the bank's own interpretation of the EU Delegated Act (LCR) and of the BCBS guidelines (NSFR, before the UK rules took effect in 2022). The FY2023-FY2026 cells above come from UK KM1 tables and the LCR there is a 12-month average, so the two series are NOT directly comparable. (The FY2023 accounts print a point-in-time LCR of 432% against the KM1-sourced 431% carried here.) FY2021's 475% was inflated by the sale of Australian corporate loans; the bank's own ex-sale figure, 330%, is kept in the cell beside it. The note below, written before these filings were read, says no numeric figure exists for FY2018-FY2022; that remains correct for the Pillar 3 documents only.
Same availability constraint as the LCR sheet for FY2022 (31 March 2022) — no standalone Pillar 3 report covering that period-end was ever published; confirmed via the same Wayback Machine snapshots (30 Sept 2022 and 3 Oct 2023) of investec.com's regulatory-disclosures listing page. FY2021/FY2020/FY2019/FY2018: re-verified this session against the standalone IBP Pillar 3 annual disclosure reports for those four years (all have full text layers, unlike the Companies House scans) — same finding as the LCR sheet: FY2021/FY2020 discuss NSFR only qualitatively ('we exceed the minimum requirement') with no numeric figure printed anywhere in either document, and FY2019/FY2018 predate the NSFR disclosure requirement entirely with no mention of it at all. Genuine, re-verified access gap, not an assumption.</t>
        </is>
      </c>
    </row>
    <row r="7" ht="182" customHeight="1">
      <c r="A7" s="8" t="inlineStr">
        <is>
          <t>Sources — Investec Bank plc (IBP) solo-entity liquidity disclosures, Table 44 'Key metrics (UK KM1)', Appendix A (IBP's own Pillar 3 disclosures, signed by the IBP Finance Director and IBP Risk Officer):
FY2026 (31 March 2026): Investec plc Group and Investec Bank plc Pillar 3 annual disclosure report 2026, p.86, UK KM1 row 17 (LCR) / row 20 (NSFR) — https://www.investec.com/content/dam/investor-relations/financial-information/group-financial-results/2026/Investec-plc-group-and-Investec-Bank-plc-Pillar-3-disclosure-report-March-2026.pdf
(Folio corrected from p.85 to p.86 for the FY2026 report on 2026-09-17: Table 44 moved a page between editions. Each report's own list of tables is the authority — it reads '44 Key metrics (UK KM1) 85' in the 2024 and 2025 reports and '44 Key metrics (UK KM1) 86' in the 2026 report, and the printed folio beneath the table agrees. The p.85 shown for FY2025 and FY2024 below is correct and is unchanged.)
FY2025 (31 March 2025): Investec plc Group and Investec Bank plc Pillar 3 annual disclosure report 2025, p.85, UK KM1 row 17 / row 20 — https://www.investec.com/content/dam/investor-relations/financial-information/group-financial-results/2025/Investec-plc-group-and-Investec-Bank-plc-Pillar-3-disclosure-report-March-2025.pdf
FY2024 (31 March 2024): Investec plc Group and Investec Bank plc Pillar 3 annual disclosure report 2024, p.85, UK KM1 row 17 / row 20 — https://www.investec.com/content/dam/investor-relations/financial-information/group-financial-results/2024/Investec-plc-group-and-Investec-Bank-plc-Pillar-3-disclosure-report-March-2024.pdf
FY2023 (31 March 2023): Investec plc group and Investec Bank plc Pillar 3 disclosure report, 30 Sept 2023, p.44, UK KM1 row 17 / row 20 comparative column (no standalone 31 March 2023 annual Pillar 3 report was ever published — confirmed via Wayback Machine snapshots of investec.com's regulatory-disclosures listing page from 3 Oct 2023, which still shows no such document) — https://www.investec.com/content/dam/investor-relations/basel-pillar-iii-regulatory-disclosures/united-kingdom/2023/Investec-plc-group-and-Investec-Bank-plc-Pillar-3-disclosure-report%20-30-Sept-2023.pdf
LCR is the 12-month average ratio; NSFR is the trailing 4-quarter average ratio, per each report's own table footnotes. Figures cross-validate exactly against the comparative columns in the adjacent semi-annual reports (e.g. the FY2026 report's 31 March 2025 comparative matches the FY2025 report's own-year figure) and against the 31 March comparative rows already recorded on the 'Interim Pillar 3' sheet.</t>
        </is>
      </c>
    </row>
  </sheetData>
  <mergeCells count="2">
    <mergeCell ref="A5:J5"/>
    <mergeCell ref="A7:J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Investec Bank plc — MREL Ratio</t>
        </is>
      </c>
    </row>
    <row r="2">
      <c r="A2" s="2" t="inlineStr">
        <is>
          <t>Consolidated basis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MREL ratio</t>
        </is>
      </c>
      <c r="B4" s="6" t="inlineStr">
        <is>
          <t>Not applicable – bank states Art. 437(a) MREL disclosure 'not applicable for 31 March 2026' - Investec plc/IBP Pillar 3 annual report 2026 p.12 (PDF); binding MREL phased in from 1 Jan 2026</t>
        </is>
      </c>
      <c r="C4" s="6" t="inlineStr">
        <is>
          <t>Not applicable – bank states Art. 437(a) MREL disclosure 'not applicable for 31 March 2025' - Investec plc/IBP Pillar 3 annual report 2025 p.12 (PDF)</t>
        </is>
      </c>
      <c r="D4" s="6" t="inlineStr">
        <is>
          <t>Not applicable – bank states Art. 437(a) MREL disclosure 'not applicable for 31 March 2024' - Investec plc/IBP Pillar 3 annual report 2024 p.12 (PDF)</t>
        </is>
      </c>
      <c r="E4" s="6" t="inlineStr">
        <is>
          <t>Not applicable – modified insolvency, 'no MREL requirement in excess of its minimum capital requirements' at March 2023 - FY2023 accounts PDF p.267</t>
        </is>
      </c>
      <c r="F4" s="6" t="inlineStr">
        <is>
          <t>Not applicable – BoE set IBP's MREL equal to its regulatory capital requirement (modified insolvency strategy); no MREL ratio - FY2022 accounts PDF p.50</t>
        </is>
      </c>
      <c r="G4" s="6" t="inlineStr">
        <is>
          <t>Not applicable – BoE set IBP's MREL equal to its regulatory capital requirement (modified insolvency strategy); no MREL ratio - FY2021 accounts PDF p.104</t>
        </is>
      </c>
      <c r="H4" s="6" t="inlineStr">
        <is>
          <t>Not applicable – BoE set IBP's MREL equal to its regulatory capital requirement (modified insolvency strategy); no MREL ratio - FY2020 accounts PDF p.37</t>
        </is>
      </c>
      <c r="I4" s="6" t="inlineStr">
        <is>
          <t>Not applicable – BoE set IBP's MREL equal to its regulatory capital requirement (modified insolvency strategy); no MREL ratio - FY2019 accounts PDF p.31</t>
        </is>
      </c>
      <c r="J4" s="6" t="inlineStr">
        <is>
          <t>Not applicable – BoE set IBP's MREL equal to its regulatory capital requirement (modified insolvency strategy); no MREL ratio - FY2018 accounts PDF p.39</t>
        </is>
      </c>
    </row>
    <row r="5" ht="117" customHeight="1">
      <c r="A5" s="7" t="inlineStr">
        <is>
          <t>Note: GA-020 (2026-09-19): every year now states WHY there is no ratio, from the bank's own documents (page images checked): FY2018-FY2022 accounts (CH PDF p.39 / p.31 / p.37 / p.104 / p.50) say the BoE set IBP's MREL equal to its (total) regulatory capital requirement under a modified-insolvency strategy; the FY2023 accounts (PDF p.267, printed 266) say that as of March 2023 there was 'no MREL requirement in excess of its minimum capital requirements'; and the March 2024, 2025 and 2026 annual Pillar 3 reports (PDF p.12) each state 'The Pillar 3 disclosure requirements for MREL, per Article 437(a) of the CRR, are therefore not applicable for 31 March 20xx' - the 2026 edition while noting the binding MREL phased in from 1 January 2026. All are 'Not applicable'. No MREL ratio is disclosed as such in any of the 9 years. Per the 'Recovery and resolution planning' / 'Liquidity risk' notes: at FY2022-FY2025, IBP's preferred resolution strategy was bank insolvency procedure (from March 2021, Modified Insolvency) with MREL set equal to IBP's Total Capital Requirement (Pillar 1 plus Pillar 2A) — i.e. no MREL requirement in excess of minimum capital requirements, so no separate ratio was tracked. The BoE confirmed in December 2025 that the preferred strategy is changing to bail-in with a binding MREL requirement; the MREL transition commenced 1 January 2026 (FY2026) in a phased manner, with end-state MREL applying from 1 January 2032 — so FY2026 is the first year with a binding requirement, but no numeric ratio had yet been published as at this report's cutoff. FY2021/FY2020/FY2019/FY2018: re-verified this session against the standalone IBP Pillar 3 annual disclosure reports for all four years (full-text-searched for 'MREL') — no mention at all in any of them. The FY2021 Annual Report separately confirms (Recovery and resolution planning, p.103) that the BoE's preferred resolution strategy for IBP was already Modified Insolvency with MREL set equal to the Total Capital Requirement back through this period too, consistent with there being no separate ratio to disclose.</t>
        </is>
      </c>
    </row>
    <row r="7" ht="140" customHeight="1">
      <c r="A7" s="8" t="inlineStr">
        <is>
          <t>Sources — Investec Bank plc (IBP) solo-entity capital adequacy disclosures:
FY2026 &amp; FY2025: Investec Bank plc Annual Financial Statements 2026, p.280 (Notes to risk and capital management — Capital management and allocation) — https://find-and-update.company-information.service.gov.uk/company/00489604/filing-history/MzUzMDk3ODM1OWFkaXF6a2N4/document?format=pdf&amp;download=0
FY2024: Investec Bank plc Annual Financial Statements 2025, p.287 (Notes to risk and capital management — Capital management and allocation) — https://find-and-update.company-information.service.gov.uk/company/00489604/filing-history/MzQ3NDQ1NjE4M2FkaXF6a2N4/document?format=pdf&amp;download=0
FY2023 &amp; FY2022: Investec Bank plc Annual Financial Statements 2023, p.270 (Notes to risk and capital management — Capital management and allocation) — https://find-and-update.company-information.service.gov.uk/company/00489604/filing-history/MzM5NTY4ODE2OWFkaXF6a2N4/document?format=pdf&amp;download=0
Ratios/RWAs include the deduction of foreseeable charges and dividends when calculating CET1 capital, per IBP's own disclosure basis (differs slightly from the Investec Group's year-end results booklet, which excludes this deduction). Figures for FY2025 and earlier are calculated applying IFRS 9 transitional arrangements; these ceased to apply from 1 April 2025, so FY2026 figures are presented on a fully-loaded basis (not directly comparable to the transitional-basis prior years on a like-for-like footing, though both bases are shown as disclosed each year).</t>
        </is>
      </c>
    </row>
  </sheetData>
  <mergeCells count="2">
    <mergeCell ref="A5:J5"/>
    <mergeCell ref="A7:J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8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Investec Bank plc — Interim Pillar 3 Disclosures</t>
        </is>
      </c>
    </row>
    <row r="2">
      <c r="A2" s="2" t="inlineStr">
        <is>
          <t>Investec Bank plc solo-consolidated basis; £m unless stated</t>
        </is>
      </c>
    </row>
    <row r="3"/>
    <row r="4">
      <c r="A4" s="4" t="inlineStr">
        <is>
          <t>Metric</t>
        </is>
      </c>
      <c r="B4" s="4" t="inlineStr">
        <is>
          <t>Unit</t>
        </is>
      </c>
      <c r="C4" s="4" t="inlineStr">
        <is>
          <t>Basis</t>
        </is>
      </c>
      <c r="D4" s="4" t="inlineStr">
        <is>
          <t>30 September 2025</t>
        </is>
      </c>
      <c r="E4" s="4" t="inlineStr">
        <is>
          <t>31 March 2025</t>
        </is>
      </c>
      <c r="F4" s="4" t="inlineStr">
        <is>
          <t>30 September 2024</t>
        </is>
      </c>
      <c r="G4" s="4" t="inlineStr">
        <is>
          <t>31 March 2024</t>
        </is>
      </c>
      <c r="H4" s="4" t="inlineStr">
        <is>
          <t>30 September 2023</t>
        </is>
      </c>
      <c r="I4" s="4" t="inlineStr">
        <is>
          <t>31 March 2023</t>
        </is>
      </c>
      <c r="J4" s="4" t="inlineStr">
        <is>
          <t>30 September 2022</t>
        </is>
      </c>
      <c r="K4" s="4" t="inlineStr">
        <is>
          <t>30 September 2021</t>
        </is>
      </c>
    </row>
    <row r="5">
      <c r="A5" s="6" t="inlineStr">
        <is>
          <t>CET1 capital</t>
        </is>
      </c>
      <c r="B5" s="6" t="inlineStr">
        <is>
          <t>£m</t>
        </is>
      </c>
      <c r="C5" s="6" t="inlineStr">
        <is>
          <t>Investec Bank plc solo-consolidated</t>
        </is>
      </c>
      <c r="D5" s="9" t="n">
        <v>2119</v>
      </c>
      <c r="E5" s="9" t="n">
        <v>2006</v>
      </c>
      <c r="F5" s="9" t="n">
        <v>1940</v>
      </c>
      <c r="G5" s="9" t="n">
        <v>1880</v>
      </c>
      <c r="H5" s="9" t="n">
        <v>1822</v>
      </c>
      <c r="I5" s="9" t="n">
        <v>1764</v>
      </c>
      <c r="J5" s="9" t="inlineStr">
        <is>
          <t>Not publicly disclosed</t>
        </is>
      </c>
      <c r="K5" s="9" t="inlineStr">
        <is>
          <t>Not publicly disclosed</t>
        </is>
      </c>
    </row>
    <row r="6">
      <c r="A6" s="6" t="inlineStr">
        <is>
          <t>Tier 1 capital</t>
        </is>
      </c>
      <c r="B6" s="6" t="inlineStr">
        <is>
          <t>£m</t>
        </is>
      </c>
      <c r="C6" s="6" t="inlineStr">
        <is>
          <t>Investec Bank plc solo-consolidated</t>
        </is>
      </c>
      <c r="D6" s="9" t="n">
        <v>2469</v>
      </c>
      <c r="E6" s="9" t="n">
        <v>2356</v>
      </c>
      <c r="F6" s="9" t="n">
        <v>2399</v>
      </c>
      <c r="G6" s="9" t="n">
        <v>2338</v>
      </c>
      <c r="H6" s="9" t="n">
        <v>2072</v>
      </c>
      <c r="I6" s="9" t="n">
        <v>2014</v>
      </c>
      <c r="J6" s="9" t="inlineStr">
        <is>
          <t>Not publicly disclosed</t>
        </is>
      </c>
      <c r="K6" s="9" t="inlineStr">
        <is>
          <t>Not publicly disclosed</t>
        </is>
      </c>
    </row>
    <row r="7">
      <c r="A7" s="6" t="inlineStr">
        <is>
          <t>Total capital</t>
        </is>
      </c>
      <c r="B7" s="6" t="inlineStr">
        <is>
          <t>£m</t>
        </is>
      </c>
      <c r="C7" s="6" t="inlineStr">
        <is>
          <t>Investec Bank plc solo-consolidated</t>
        </is>
      </c>
      <c r="D7" s="9" t="n">
        <v>3166</v>
      </c>
      <c r="E7" s="9" t="n">
        <v>3051</v>
      </c>
      <c r="F7" s="9" t="n">
        <v>3094</v>
      </c>
      <c r="G7" s="9" t="n">
        <v>3033</v>
      </c>
      <c r="H7" s="9" t="n">
        <v>2767</v>
      </c>
      <c r="I7" s="9" t="n">
        <v>2778</v>
      </c>
      <c r="J7" s="9" t="inlineStr">
        <is>
          <t>Not publicly disclosed</t>
        </is>
      </c>
      <c r="K7" s="9" t="inlineStr">
        <is>
          <t>Not publicly disclosed</t>
        </is>
      </c>
    </row>
    <row r="8">
      <c r="A8" s="6" t="inlineStr">
        <is>
          <t>Total RWAs</t>
        </is>
      </c>
      <c r="B8" s="6" t="inlineStr">
        <is>
          <t>£m</t>
        </is>
      </c>
      <c r="C8" s="6" t="inlineStr">
        <is>
          <t>Investec Bank plc solo-consolidated</t>
        </is>
      </c>
      <c r="D8" s="9" t="n">
        <v>15946</v>
      </c>
      <c r="E8" s="9" t="n">
        <v>15234</v>
      </c>
      <c r="F8" s="9" t="n">
        <v>15035</v>
      </c>
      <c r="G8" s="9" t="n">
        <v>14888</v>
      </c>
      <c r="H8" s="9" t="n">
        <v>14411</v>
      </c>
      <c r="I8" s="9" t="n">
        <v>14087</v>
      </c>
      <c r="J8" s="9" t="inlineStr">
        <is>
          <t>Not publicly disclosed</t>
        </is>
      </c>
      <c r="K8" s="9" t="inlineStr">
        <is>
          <t>Not publicly disclosed</t>
        </is>
      </c>
    </row>
    <row r="9">
      <c r="A9" s="6" t="inlineStr">
        <is>
          <t>CET1 ratio</t>
        </is>
      </c>
      <c r="B9" s="6" t="inlineStr">
        <is>
          <t>%</t>
        </is>
      </c>
      <c r="C9" s="6" t="inlineStr">
        <is>
          <t>Investec Bank plc solo-consolidated</t>
        </is>
      </c>
      <c r="D9" s="9" t="inlineStr">
        <is>
          <t>13.3%</t>
        </is>
      </c>
      <c r="E9" s="9" t="inlineStr">
        <is>
          <t>13.2%</t>
        </is>
      </c>
      <c r="F9" s="9" t="inlineStr">
        <is>
          <t>12.9%</t>
        </is>
      </c>
      <c r="G9" s="9" t="inlineStr">
        <is>
          <t>12.6%</t>
        </is>
      </c>
      <c r="H9" s="9" t="inlineStr">
        <is>
          <t>12.6%</t>
        </is>
      </c>
      <c r="I9" s="9" t="inlineStr">
        <is>
          <t>12.5%</t>
        </is>
      </c>
      <c r="J9" s="9" t="inlineStr">
        <is>
          <t>Not publicly disclosed</t>
        </is>
      </c>
      <c r="K9" s="9" t="inlineStr">
        <is>
          <t>Not publicly disclosed</t>
        </is>
      </c>
    </row>
    <row r="10">
      <c r="A10" s="6" t="inlineStr">
        <is>
          <t>Tier 1 ratio</t>
        </is>
      </c>
      <c r="B10" s="6" t="inlineStr">
        <is>
          <t>%</t>
        </is>
      </c>
      <c r="C10" s="6" t="inlineStr">
        <is>
          <t>Investec Bank plc solo-consolidated</t>
        </is>
      </c>
      <c r="D10" s="9" t="inlineStr">
        <is>
          <t>15.5%</t>
        </is>
      </c>
      <c r="E10" s="9" t="inlineStr">
        <is>
          <t>15.5%</t>
        </is>
      </c>
      <c r="F10" s="9" t="inlineStr">
        <is>
          <t>16.0%</t>
        </is>
      </c>
      <c r="G10" s="9" t="inlineStr">
        <is>
          <t>15.7%</t>
        </is>
      </c>
      <c r="H10" s="9" t="inlineStr">
        <is>
          <t>14.4%</t>
        </is>
      </c>
      <c r="I10" s="9" t="inlineStr">
        <is>
          <t>14.3%</t>
        </is>
      </c>
      <c r="J10" s="9" t="inlineStr">
        <is>
          <t>Not publicly disclosed</t>
        </is>
      </c>
      <c r="K10" s="9" t="inlineStr">
        <is>
          <t>Not publicly disclosed</t>
        </is>
      </c>
    </row>
    <row r="11">
      <c r="A11" s="6" t="inlineStr">
        <is>
          <t>Total capital ratio</t>
        </is>
      </c>
      <c r="B11" s="6" t="inlineStr">
        <is>
          <t>%</t>
        </is>
      </c>
      <c r="C11" s="6" t="inlineStr">
        <is>
          <t>Investec Bank plc solo-consolidated</t>
        </is>
      </c>
      <c r="D11" s="9" t="inlineStr">
        <is>
          <t>19.9%</t>
        </is>
      </c>
      <c r="E11" s="9" t="inlineStr">
        <is>
          <t>20.0%</t>
        </is>
      </c>
      <c r="F11" s="9" t="inlineStr">
        <is>
          <t>20.6%</t>
        </is>
      </c>
      <c r="G11" s="9" t="inlineStr">
        <is>
          <t>20.4%</t>
        </is>
      </c>
      <c r="H11" s="9" t="inlineStr">
        <is>
          <t>19.2%</t>
        </is>
      </c>
      <c r="I11" s="9" t="inlineStr">
        <is>
          <t>19.7%</t>
        </is>
      </c>
      <c r="J11" s="9" t="inlineStr">
        <is>
          <t>Not publicly disclosed</t>
        </is>
      </c>
      <c r="K11" s="9" t="inlineStr">
        <is>
          <t>Not publicly disclosed</t>
        </is>
      </c>
    </row>
    <row r="12">
      <c r="A12" s="6" t="inlineStr">
        <is>
          <t>Leverage exposure measure</t>
        </is>
      </c>
      <c r="B12" s="6" t="inlineStr">
        <is>
          <t>£m</t>
        </is>
      </c>
      <c r="C12" s="6" t="inlineStr">
        <is>
          <t>Investec Bank plc solo-consolidated</t>
        </is>
      </c>
      <c r="D12" s="9" t="n">
        <v>23508</v>
      </c>
      <c r="E12" s="9" t="n">
        <v>22173</v>
      </c>
      <c r="F12" s="9" t="n">
        <v>22760</v>
      </c>
      <c r="G12" s="9" t="n">
        <v>21281</v>
      </c>
      <c r="H12" s="9" t="n">
        <v>21875</v>
      </c>
      <c r="I12" s="9" t="n">
        <v>20218</v>
      </c>
      <c r="J12" s="9" t="inlineStr">
        <is>
          <t>Not publicly disclosed</t>
        </is>
      </c>
      <c r="K12" s="9" t="inlineStr">
        <is>
          <t>Not publicly disclosed</t>
        </is>
      </c>
    </row>
    <row r="13">
      <c r="A13" s="6" t="inlineStr">
        <is>
          <t>Leverage ratio</t>
        </is>
      </c>
      <c r="B13" s="6" t="inlineStr">
        <is>
          <t>%</t>
        </is>
      </c>
      <c r="C13" s="6" t="inlineStr">
        <is>
          <t>Investec Bank plc solo-consolidated</t>
        </is>
      </c>
      <c r="D13" s="9" t="inlineStr">
        <is>
          <t>10.5%</t>
        </is>
      </c>
      <c r="E13" s="9" t="inlineStr">
        <is>
          <t>10.6%</t>
        </is>
      </c>
      <c r="F13" s="9" t="inlineStr">
        <is>
          <t>10.5%</t>
        </is>
      </c>
      <c r="G13" s="9" t="inlineStr">
        <is>
          <t>11.0%</t>
        </is>
      </c>
      <c r="H13" s="9" t="inlineStr">
        <is>
          <t>9.5%</t>
        </is>
      </c>
      <c r="I13" s="9" t="inlineStr">
        <is>
          <t>10.0%</t>
        </is>
      </c>
      <c r="J13" s="9" t="inlineStr">
        <is>
          <t>Not publicly disclosed</t>
        </is>
      </c>
      <c r="K13" s="9" t="inlineStr">
        <is>
          <t>Not publicly disclosed</t>
        </is>
      </c>
    </row>
    <row r="14">
      <c r="A14" s="6" t="inlineStr">
        <is>
          <t>LCR</t>
        </is>
      </c>
      <c r="B14" s="6" t="inlineStr">
        <is>
          <t>% (12-month average)</t>
        </is>
      </c>
      <c r="C14" s="6" t="inlineStr">
        <is>
          <t>Investec Bank plc solo-consolidated</t>
        </is>
      </c>
      <c r="D14" s="9" t="inlineStr">
        <is>
          <t>425%</t>
        </is>
      </c>
      <c r="E14" s="9" t="inlineStr">
        <is>
          <t>465%</t>
        </is>
      </c>
      <c r="F14" s="9" t="inlineStr">
        <is>
          <t>464%</t>
        </is>
      </c>
      <c r="G14" s="9" t="inlineStr">
        <is>
          <t>446%</t>
        </is>
      </c>
      <c r="H14" s="9" t="inlineStr">
        <is>
          <t>439%</t>
        </is>
      </c>
      <c r="I14" s="9" t="inlineStr">
        <is>
          <t>431%</t>
        </is>
      </c>
      <c r="J14" s="9" t="inlineStr">
        <is>
          <t>Not publicly disclosed</t>
        </is>
      </c>
      <c r="K14" s="9" t="inlineStr">
        <is>
          <t>Not publicly disclosed</t>
        </is>
      </c>
    </row>
    <row r="15">
      <c r="A15" s="6" t="inlineStr">
        <is>
          <t>NSFR</t>
        </is>
      </c>
      <c r="B15" s="6" t="inlineStr">
        <is>
          <t>%</t>
        </is>
      </c>
      <c r="C15" s="6" t="inlineStr">
        <is>
          <t>Investec Bank plc solo-consolidated</t>
        </is>
      </c>
      <c r="D15" s="9" t="inlineStr">
        <is>
          <t>144%</t>
        </is>
      </c>
      <c r="E15" s="9" t="inlineStr">
        <is>
          <t>145%</t>
        </is>
      </c>
      <c r="F15" s="9" t="inlineStr">
        <is>
          <t>141%</t>
        </is>
      </c>
      <c r="G15" s="9" t="inlineStr">
        <is>
          <t>138%</t>
        </is>
      </c>
      <c r="H15" s="9" t="inlineStr">
        <is>
          <t>138%</t>
        </is>
      </c>
      <c r="I15" s="9" t="inlineStr">
        <is>
          <t>136%</t>
        </is>
      </c>
      <c r="J15" s="9" t="inlineStr">
        <is>
          <t>Not publicly disclosed</t>
        </is>
      </c>
      <c r="K15" s="9" t="inlineStr">
        <is>
          <t>Not publicly disclosed</t>
        </is>
      </c>
    </row>
    <row r="16">
      <c r="A16" s="2" t="inlineStr">
        <is>
          <t>Source register</t>
        </is>
      </c>
    </row>
    <row r="17">
      <c r="A17" s="4" t="inlineStr">
        <is>
          <t>Period</t>
        </is>
      </c>
      <c r="B17" s="4" t="inlineStr">
        <is>
          <t>Disclosure type</t>
        </is>
      </c>
      <c r="C17" s="4" t="inlineStr">
        <is>
          <t>Source document</t>
        </is>
      </c>
      <c r="D17" s="4" t="inlineStr">
        <is>
          <t>Page / table</t>
        </is>
      </c>
    </row>
    <row r="18">
      <c r="A18" s="6" t="inlineStr">
        <is>
          <t>30 September 2025</t>
        </is>
      </c>
      <c r="B18" s="6" t="inlineStr">
        <is>
          <t>Semi-annual Pillar 3</t>
        </is>
      </c>
      <c r="C18" s="9" t="inlineStr">
        <is>
          <t>https://www.investec.com/content/dam/investor-relations/basel-pillar-iii-regulatory-disclosures/2025/Investec-plc-group-and-Investec-Bank-plc-Pillar-3-disclosure-report-30-Sept-2025.pdf</t>
        </is>
      </c>
      <c r="D18" s="6" t="inlineStr">
        <is>
          <t>p.43, UK KM1 row 1</t>
        </is>
      </c>
    </row>
    <row r="19">
      <c r="A19" s="6" t="inlineStr">
        <is>
          <t>30 September 2025</t>
        </is>
      </c>
      <c r="B19" s="6" t="inlineStr">
        <is>
          <t>Semi-annual Pillar 3</t>
        </is>
      </c>
      <c r="C19" s="9" t="inlineStr">
        <is>
          <t>https://www.investec.com/content/dam/investor-relations/basel-pillar-iii-regulatory-disclosures/2025/Investec-plc-group-and-Investec-Bank-plc-Pillar-3-disclosure-report-30-Sept-2025.pdf</t>
        </is>
      </c>
      <c r="D19" s="6" t="inlineStr">
        <is>
          <t>p.43, UK KM1 row 2</t>
        </is>
      </c>
    </row>
    <row r="20">
      <c r="A20" s="6" t="inlineStr">
        <is>
          <t>30 September 2025</t>
        </is>
      </c>
      <c r="B20" s="6" t="inlineStr">
        <is>
          <t>Semi-annual Pillar 3</t>
        </is>
      </c>
      <c r="C20" s="9" t="inlineStr">
        <is>
          <t>https://www.investec.com/content/dam/investor-relations/basel-pillar-iii-regulatory-disclosures/2025/Investec-plc-group-and-Investec-Bank-plc-Pillar-3-disclosure-report-30-Sept-2025.pdf</t>
        </is>
      </c>
      <c r="D20" s="6" t="inlineStr">
        <is>
          <t>p.43, UK KM1 row 3</t>
        </is>
      </c>
    </row>
    <row r="21">
      <c r="A21" s="6" t="inlineStr">
        <is>
          <t>30 September 2025</t>
        </is>
      </c>
      <c r="B21" s="6" t="inlineStr">
        <is>
          <t>Semi-annual Pillar 3</t>
        </is>
      </c>
      <c r="C21" s="9" t="inlineStr">
        <is>
          <t>https://www.investec.com/content/dam/investor-relations/basel-pillar-iii-regulatory-disclosures/2025/Investec-plc-group-and-Investec-Bank-plc-Pillar-3-disclosure-report-30-Sept-2025.pdf</t>
        </is>
      </c>
      <c r="D21" s="6" t="inlineStr">
        <is>
          <t>p.43, UK KM1 row 4</t>
        </is>
      </c>
    </row>
    <row r="22">
      <c r="A22" s="6" t="inlineStr">
        <is>
          <t>30 September 2025</t>
        </is>
      </c>
      <c r="B22" s="6" t="inlineStr">
        <is>
          <t>Semi-annual Pillar 3</t>
        </is>
      </c>
      <c r="C22" s="9" t="inlineStr">
        <is>
          <t>https://www.investec.com/content/dam/investor-relations/basel-pillar-iii-regulatory-disclosures/2025/Investec-plc-group-and-Investec-Bank-plc-Pillar-3-disclosure-report-30-Sept-2025.pdf</t>
        </is>
      </c>
      <c r="D22" s="6" t="inlineStr">
        <is>
          <t>p.43, UK KM1 row 5</t>
        </is>
      </c>
    </row>
    <row r="23">
      <c r="A23" s="6" t="inlineStr">
        <is>
          <t>30 September 2025</t>
        </is>
      </c>
      <c r="B23" s="6" t="inlineStr">
        <is>
          <t>Semi-annual Pillar 3</t>
        </is>
      </c>
      <c r="C23" s="9" t="inlineStr">
        <is>
          <t>https://www.investec.com/content/dam/investor-relations/basel-pillar-iii-regulatory-disclosures/2025/Investec-plc-group-and-Investec-Bank-plc-Pillar-3-disclosure-report-30-Sept-2025.pdf</t>
        </is>
      </c>
      <c r="D23" s="6" t="inlineStr">
        <is>
          <t>p.43, UK KM1 row 6</t>
        </is>
      </c>
    </row>
    <row r="24">
      <c r="A24" s="6" t="inlineStr">
        <is>
          <t>30 September 2025</t>
        </is>
      </c>
      <c r="B24" s="6" t="inlineStr">
        <is>
          <t>Semi-annual Pillar 3</t>
        </is>
      </c>
      <c r="C24" s="9" t="inlineStr">
        <is>
          <t>https://www.investec.com/content/dam/investor-relations/basel-pillar-iii-regulatory-disclosures/2025/Investec-plc-group-and-Investec-Bank-plc-Pillar-3-disclosure-report-30-Sept-2025.pdf</t>
        </is>
      </c>
      <c r="D24" s="6" t="inlineStr">
        <is>
          <t>p.43, UK KM1 row 7</t>
        </is>
      </c>
    </row>
    <row r="25">
      <c r="A25" s="6" t="inlineStr">
        <is>
          <t>30 September 2025</t>
        </is>
      </c>
      <c r="B25" s="6" t="inlineStr">
        <is>
          <t>Semi-annual Pillar 3</t>
        </is>
      </c>
      <c r="C25" s="9" t="inlineStr">
        <is>
          <t>https://www.investec.com/content/dam/investor-relations/basel-pillar-iii-regulatory-disclosures/2025/Investec-plc-group-and-Investec-Bank-plc-Pillar-3-disclosure-report-30-Sept-2025.pdf</t>
        </is>
      </c>
      <c r="D25" s="6" t="inlineStr">
        <is>
          <t>p.43, UK KM1 row 13</t>
        </is>
      </c>
    </row>
    <row r="26">
      <c r="A26" s="6" t="inlineStr">
        <is>
          <t>30 September 2025</t>
        </is>
      </c>
      <c r="B26" s="6" t="inlineStr">
        <is>
          <t>Semi-annual Pillar 3</t>
        </is>
      </c>
      <c r="C26" s="9" t="inlineStr">
        <is>
          <t>https://www.investec.com/content/dam/investor-relations/basel-pillar-iii-regulatory-disclosures/2025/Investec-plc-group-and-Investec-Bank-plc-Pillar-3-disclosure-report-30-Sept-2025.pdf</t>
        </is>
      </c>
      <c r="D26" s="6" t="inlineStr">
        <is>
          <t>p.43, UK KM1 row 14</t>
        </is>
      </c>
    </row>
    <row r="27">
      <c r="A27" s="6" t="inlineStr">
        <is>
          <t>30 September 2025</t>
        </is>
      </c>
      <c r="B27" s="6" t="inlineStr">
        <is>
          <t>Semi-annual Pillar 3</t>
        </is>
      </c>
      <c r="C27" s="9" t="inlineStr">
        <is>
          <t>https://www.investec.com/content/dam/investor-relations/basel-pillar-iii-regulatory-disclosures/2025/Investec-plc-group-and-Investec-Bank-plc-Pillar-3-disclosure-report-30-Sept-2025.pdf</t>
        </is>
      </c>
      <c r="D27" s="6" t="inlineStr">
        <is>
          <t>p.44, UK KM1 row 17</t>
        </is>
      </c>
    </row>
    <row r="28">
      <c r="A28" s="6" t="inlineStr">
        <is>
          <t>30 September 2025</t>
        </is>
      </c>
      <c r="B28" s="6" t="inlineStr">
        <is>
          <t>Semi-annual Pillar 3</t>
        </is>
      </c>
      <c r="C28" s="9" t="inlineStr">
        <is>
          <t>https://www.investec.com/content/dam/investor-relations/basel-pillar-iii-regulatory-disclosures/2025/Investec-plc-group-and-Investec-Bank-plc-Pillar-3-disclosure-report-30-Sept-2025.pdf</t>
        </is>
      </c>
      <c r="D28" s="6" t="inlineStr">
        <is>
          <t>p.44, UK KM1 row 20</t>
        </is>
      </c>
    </row>
    <row r="29">
      <c r="A29" s="6" t="inlineStr">
        <is>
          <t>31 March 2025</t>
        </is>
      </c>
      <c r="B29" s="6" t="inlineStr">
        <is>
          <t>Semi-annual Pillar 3 comparative</t>
        </is>
      </c>
      <c r="C29" s="9" t="inlineStr">
        <is>
          <t>https://www.investec.com/content/dam/investor-relations/basel-pillar-iii-regulatory-disclosures/2025/Investec-plc-group-and-Investec-Bank-plc-Pillar-3-disclosure-report-30-Sept-2025.pdf</t>
        </is>
      </c>
      <c r="D29" s="6" t="inlineStr">
        <is>
          <t>p.43, UK KM1 row 1 comparative</t>
        </is>
      </c>
    </row>
    <row r="30">
      <c r="A30" s="6" t="inlineStr">
        <is>
          <t>31 March 2025</t>
        </is>
      </c>
      <c r="B30" s="6" t="inlineStr">
        <is>
          <t>Semi-annual Pillar 3 comparative</t>
        </is>
      </c>
      <c r="C30" s="9" t="inlineStr">
        <is>
          <t>https://www.investec.com/content/dam/investor-relations/basel-pillar-iii-regulatory-disclosures/2025/Investec-plc-group-and-Investec-Bank-plc-Pillar-3-disclosure-report-30-Sept-2025.pdf</t>
        </is>
      </c>
      <c r="D30" s="6" t="inlineStr">
        <is>
          <t>p.43, UK KM1 row 2 comparative</t>
        </is>
      </c>
    </row>
    <row r="31">
      <c r="A31" s="6" t="inlineStr">
        <is>
          <t>31 March 2025</t>
        </is>
      </c>
      <c r="B31" s="6" t="inlineStr">
        <is>
          <t>Semi-annual Pillar 3 comparative</t>
        </is>
      </c>
      <c r="C31" s="9" t="inlineStr">
        <is>
          <t>https://www.investec.com/content/dam/investor-relations/basel-pillar-iii-regulatory-disclosures/2025/Investec-plc-group-and-Investec-Bank-plc-Pillar-3-disclosure-report-30-Sept-2025.pdf</t>
        </is>
      </c>
      <c r="D31" s="6" t="inlineStr">
        <is>
          <t>p.43, UK KM1 row 3 comparative</t>
        </is>
      </c>
    </row>
    <row r="32">
      <c r="A32" s="6" t="inlineStr">
        <is>
          <t>31 March 2025</t>
        </is>
      </c>
      <c r="B32" s="6" t="inlineStr">
        <is>
          <t>Semi-annual Pillar 3 comparative</t>
        </is>
      </c>
      <c r="C32" s="9" t="inlineStr">
        <is>
          <t>https://www.investec.com/content/dam/investor-relations/basel-pillar-iii-regulatory-disclosures/2025/Investec-plc-group-and-Investec-Bank-plc-Pillar-3-disclosure-report-30-Sept-2025.pdf</t>
        </is>
      </c>
      <c r="D32" s="6" t="inlineStr">
        <is>
          <t>p.43, UK KM1 row 4 comparative</t>
        </is>
      </c>
    </row>
    <row r="33">
      <c r="A33" s="6" t="inlineStr">
        <is>
          <t>31 March 2025</t>
        </is>
      </c>
      <c r="B33" s="6" t="inlineStr">
        <is>
          <t>Semi-annual Pillar 3 comparative</t>
        </is>
      </c>
      <c r="C33" s="9" t="inlineStr">
        <is>
          <t>https://www.investec.com/content/dam/investor-relations/basel-pillar-iii-regulatory-disclosures/2025/Investec-plc-group-and-Investec-Bank-plc-Pillar-3-disclosure-report-30-Sept-2025.pdf</t>
        </is>
      </c>
      <c r="D33" s="6" t="inlineStr">
        <is>
          <t>p.43, UK KM1 row 5 comparative</t>
        </is>
      </c>
    </row>
    <row r="34">
      <c r="A34" s="6" t="inlineStr">
        <is>
          <t>31 March 2025</t>
        </is>
      </c>
      <c r="B34" s="6" t="inlineStr">
        <is>
          <t>Semi-annual Pillar 3 comparative</t>
        </is>
      </c>
      <c r="C34" s="9" t="inlineStr">
        <is>
          <t>https://www.investec.com/content/dam/investor-relations/basel-pillar-iii-regulatory-disclosures/2025/Investec-plc-group-and-Investec-Bank-plc-Pillar-3-disclosure-report-30-Sept-2025.pdf</t>
        </is>
      </c>
      <c r="D34" s="6" t="inlineStr">
        <is>
          <t>p.43, UK KM1 row 6 comparative</t>
        </is>
      </c>
    </row>
    <row r="35">
      <c r="A35" s="6" t="inlineStr">
        <is>
          <t>31 March 2025</t>
        </is>
      </c>
      <c r="B35" s="6" t="inlineStr">
        <is>
          <t>Semi-annual Pillar 3 comparative</t>
        </is>
      </c>
      <c r="C35" s="9" t="inlineStr">
        <is>
          <t>https://www.investec.com/content/dam/investor-relations/basel-pillar-iii-regulatory-disclosures/2025/Investec-plc-group-and-Investec-Bank-plc-Pillar-3-disclosure-report-30-Sept-2025.pdf</t>
        </is>
      </c>
      <c r="D35" s="6" t="inlineStr">
        <is>
          <t>p.43, UK KM1 row 7 comparative</t>
        </is>
      </c>
    </row>
    <row r="36">
      <c r="A36" s="6" t="inlineStr">
        <is>
          <t>31 March 2025</t>
        </is>
      </c>
      <c r="B36" s="6" t="inlineStr">
        <is>
          <t>Semi-annual Pillar 3 comparative</t>
        </is>
      </c>
      <c r="C36" s="9" t="inlineStr">
        <is>
          <t>https://www.investec.com/content/dam/investor-relations/basel-pillar-iii-regulatory-disclosures/2025/Investec-plc-group-and-Investec-Bank-plc-Pillar-3-disclosure-report-30-Sept-2025.pdf</t>
        </is>
      </c>
      <c r="D36" s="6" t="inlineStr">
        <is>
          <t>p.43, UK KM1 row 13 comparative</t>
        </is>
      </c>
    </row>
    <row r="37">
      <c r="A37" s="6" t="inlineStr">
        <is>
          <t>31 March 2025</t>
        </is>
      </c>
      <c r="B37" s="6" t="inlineStr">
        <is>
          <t>Semi-annual Pillar 3 comparative</t>
        </is>
      </c>
      <c r="C37" s="9" t="inlineStr">
        <is>
          <t>https://www.investec.com/content/dam/investor-relations/basel-pillar-iii-regulatory-disclosures/2025/Investec-plc-group-and-Investec-Bank-plc-Pillar-3-disclosure-report-30-Sept-2025.pdf</t>
        </is>
      </c>
      <c r="D37" s="6" t="inlineStr">
        <is>
          <t>p.43, UK KM1 row 14 comparative</t>
        </is>
      </c>
    </row>
    <row r="38">
      <c r="A38" s="6" t="inlineStr">
        <is>
          <t>31 March 2025</t>
        </is>
      </c>
      <c r="B38" s="6" t="inlineStr">
        <is>
          <t>Semi-annual Pillar 3 comparative</t>
        </is>
      </c>
      <c r="C38" s="9" t="inlineStr">
        <is>
          <t>https://www.investec.com/content/dam/investor-relations/basel-pillar-iii-regulatory-disclosures/2025/Investec-plc-group-and-Investec-Bank-plc-Pillar-3-disclosure-report-30-Sept-2025.pdf</t>
        </is>
      </c>
      <c r="D38" s="6" t="inlineStr">
        <is>
          <t>p.44, UK KM1 row 17 comparative</t>
        </is>
      </c>
    </row>
    <row r="39">
      <c r="A39" s="6" t="inlineStr">
        <is>
          <t>31 March 2025</t>
        </is>
      </c>
      <c r="B39" s="6" t="inlineStr">
        <is>
          <t>Semi-annual Pillar 3 comparative</t>
        </is>
      </c>
      <c r="C39" s="9" t="inlineStr">
        <is>
          <t>https://www.investec.com/content/dam/investor-relations/basel-pillar-iii-regulatory-disclosures/2025/Investec-plc-group-and-Investec-Bank-plc-Pillar-3-disclosure-report-30-Sept-2025.pdf</t>
        </is>
      </c>
      <c r="D39" s="6" t="inlineStr">
        <is>
          <t>p.44, UK KM1 row 20 comparative</t>
        </is>
      </c>
    </row>
    <row r="40">
      <c r="A40" s="6" t="inlineStr">
        <is>
          <t>30 September 2024</t>
        </is>
      </c>
      <c r="B40" s="6" t="inlineStr">
        <is>
          <t>Semi-annual Pillar 3</t>
        </is>
      </c>
      <c r="C40" s="9" t="inlineStr">
        <is>
          <t>https://www.investec.com/content/dam/investor-relations/basel-pillar-iii-regulatory-disclosures/2024/Investec-plc-Group-and-Investec-Bank-plc-Pillar-3-disclosure-report-30-Sept-2024.pdf</t>
        </is>
      </c>
      <c r="D40" s="6" t="inlineStr">
        <is>
          <t>p.43, UK KM1 row 1</t>
        </is>
      </c>
    </row>
    <row r="41">
      <c r="A41" s="6" t="inlineStr">
        <is>
          <t>30 September 2024</t>
        </is>
      </c>
      <c r="B41" s="6" t="inlineStr">
        <is>
          <t>Semi-annual Pillar 3</t>
        </is>
      </c>
      <c r="C41" s="9" t="inlineStr">
        <is>
          <t>https://www.investec.com/content/dam/investor-relations/basel-pillar-iii-regulatory-disclosures/2024/Investec-plc-Group-and-Investec-Bank-plc-Pillar-3-disclosure-report-30-Sept-2024.pdf</t>
        </is>
      </c>
      <c r="D41" s="6" t="inlineStr">
        <is>
          <t>p.43, UK KM1 row 2</t>
        </is>
      </c>
    </row>
    <row r="42">
      <c r="A42" s="6" t="inlineStr">
        <is>
          <t>30 September 2024</t>
        </is>
      </c>
      <c r="B42" s="6" t="inlineStr">
        <is>
          <t>Semi-annual Pillar 3</t>
        </is>
      </c>
      <c r="C42" s="9" t="inlineStr">
        <is>
          <t>https://www.investec.com/content/dam/investor-relations/basel-pillar-iii-regulatory-disclosures/2024/Investec-plc-Group-and-Investec-Bank-plc-Pillar-3-disclosure-report-30-Sept-2024.pdf</t>
        </is>
      </c>
      <c r="D42" s="6" t="inlineStr">
        <is>
          <t>p.43, UK KM1 row 3</t>
        </is>
      </c>
    </row>
    <row r="43">
      <c r="A43" s="6" t="inlineStr">
        <is>
          <t>30 September 2024</t>
        </is>
      </c>
      <c r="B43" s="6" t="inlineStr">
        <is>
          <t>Semi-annual Pillar 3</t>
        </is>
      </c>
      <c r="C43" s="9" t="inlineStr">
        <is>
          <t>https://www.investec.com/content/dam/investor-relations/basel-pillar-iii-regulatory-disclosures/2024/Investec-plc-Group-and-Investec-Bank-plc-Pillar-3-disclosure-report-30-Sept-2024.pdf</t>
        </is>
      </c>
      <c r="D43" s="6" t="inlineStr">
        <is>
          <t>p.43, UK KM1 row 4</t>
        </is>
      </c>
    </row>
    <row r="44">
      <c r="A44" s="6" t="inlineStr">
        <is>
          <t>30 September 2024</t>
        </is>
      </c>
      <c r="B44" s="6" t="inlineStr">
        <is>
          <t>Semi-annual Pillar 3</t>
        </is>
      </c>
      <c r="C44" s="9" t="inlineStr">
        <is>
          <t>https://www.investec.com/content/dam/investor-relations/basel-pillar-iii-regulatory-disclosures/2024/Investec-plc-Group-and-Investec-Bank-plc-Pillar-3-disclosure-report-30-Sept-2024.pdf</t>
        </is>
      </c>
      <c r="D44" s="6" t="inlineStr">
        <is>
          <t>p.43, UK KM1 row 5</t>
        </is>
      </c>
    </row>
    <row r="45">
      <c r="A45" s="6" t="inlineStr">
        <is>
          <t>30 September 2024</t>
        </is>
      </c>
      <c r="B45" s="6" t="inlineStr">
        <is>
          <t>Semi-annual Pillar 3</t>
        </is>
      </c>
      <c r="C45" s="9" t="inlineStr">
        <is>
          <t>https://www.investec.com/content/dam/investor-relations/basel-pillar-iii-regulatory-disclosures/2024/Investec-plc-Group-and-Investec-Bank-plc-Pillar-3-disclosure-report-30-Sept-2024.pdf</t>
        </is>
      </c>
      <c r="D45" s="6" t="inlineStr">
        <is>
          <t>p.43, UK KM1 row 6</t>
        </is>
      </c>
    </row>
    <row r="46">
      <c r="A46" s="6" t="inlineStr">
        <is>
          <t>30 September 2024</t>
        </is>
      </c>
      <c r="B46" s="6" t="inlineStr">
        <is>
          <t>Semi-annual Pillar 3</t>
        </is>
      </c>
      <c r="C46" s="9" t="inlineStr">
        <is>
          <t>https://www.investec.com/content/dam/investor-relations/basel-pillar-iii-regulatory-disclosures/2024/Investec-plc-Group-and-Investec-Bank-plc-Pillar-3-disclosure-report-30-Sept-2024.pdf</t>
        </is>
      </c>
      <c r="D46" s="6" t="inlineStr">
        <is>
          <t>p.43, UK KM1 row 7</t>
        </is>
      </c>
    </row>
    <row r="47">
      <c r="A47" s="6" t="inlineStr">
        <is>
          <t>30 September 2024</t>
        </is>
      </c>
      <c r="B47" s="6" t="inlineStr">
        <is>
          <t>Semi-annual Pillar 3</t>
        </is>
      </c>
      <c r="C47" s="9" t="inlineStr">
        <is>
          <t>https://www.investec.com/content/dam/investor-relations/basel-pillar-iii-regulatory-disclosures/2024/Investec-plc-Group-and-Investec-Bank-plc-Pillar-3-disclosure-report-30-Sept-2024.pdf</t>
        </is>
      </c>
      <c r="D47" s="6" t="inlineStr">
        <is>
          <t>p.43, UK KM1 row 13</t>
        </is>
      </c>
    </row>
    <row r="48">
      <c r="A48" s="6" t="inlineStr">
        <is>
          <t>30 September 2024</t>
        </is>
      </c>
      <c r="B48" s="6" t="inlineStr">
        <is>
          <t>Semi-annual Pillar 3</t>
        </is>
      </c>
      <c r="C48" s="9" t="inlineStr">
        <is>
          <t>https://www.investec.com/content/dam/investor-relations/basel-pillar-iii-regulatory-disclosures/2024/Investec-plc-Group-and-Investec-Bank-plc-Pillar-3-disclosure-report-30-Sept-2024.pdf</t>
        </is>
      </c>
      <c r="D48" s="6" t="inlineStr">
        <is>
          <t>p.43, UK KM1 row 14</t>
        </is>
      </c>
    </row>
    <row r="49">
      <c r="A49" s="6" t="inlineStr">
        <is>
          <t>30 September 2024</t>
        </is>
      </c>
      <c r="B49" s="6" t="inlineStr">
        <is>
          <t>Semi-annual Pillar 3</t>
        </is>
      </c>
      <c r="C49" s="9" t="inlineStr">
        <is>
          <t>https://www.investec.com/content/dam/investor-relations/basel-pillar-iii-regulatory-disclosures/2024/Investec-plc-Group-and-Investec-Bank-plc-Pillar-3-disclosure-report-30-Sept-2024.pdf</t>
        </is>
      </c>
      <c r="D49" s="6" t="inlineStr">
        <is>
          <t>p.44, UK KM1 row 17</t>
        </is>
      </c>
    </row>
    <row r="50">
      <c r="A50" s="6" t="inlineStr">
        <is>
          <t>30 September 2024</t>
        </is>
      </c>
      <c r="B50" s="6" t="inlineStr">
        <is>
          <t>Semi-annual Pillar 3</t>
        </is>
      </c>
      <c r="C50" s="9" t="inlineStr">
        <is>
          <t>https://www.investec.com/content/dam/investor-relations/basel-pillar-iii-regulatory-disclosures/2024/Investec-plc-Group-and-Investec-Bank-plc-Pillar-3-disclosure-report-30-Sept-2024.pdf</t>
        </is>
      </c>
      <c r="D50" s="6" t="inlineStr">
        <is>
          <t>p.44, UK KM1 row 20</t>
        </is>
      </c>
    </row>
    <row r="51">
      <c r="A51" s="6" t="inlineStr">
        <is>
          <t>31 March 2024</t>
        </is>
      </c>
      <c r="B51" s="6" t="inlineStr">
        <is>
          <t>Semi-annual Pillar 3 comparative</t>
        </is>
      </c>
      <c r="C51" s="9" t="inlineStr">
        <is>
          <t>https://www.investec.com/content/dam/investor-relations/basel-pillar-iii-regulatory-disclosures/2024/Investec-plc-Group-and-Investec-Bank-plc-Pillar-3-disclosure-report-30-Sept-2024.pdf</t>
        </is>
      </c>
      <c r="D51" s="6" t="inlineStr">
        <is>
          <t>p.43, UK KM1 row 1 comparative</t>
        </is>
      </c>
    </row>
    <row r="52">
      <c r="A52" s="6" t="inlineStr">
        <is>
          <t>31 March 2024</t>
        </is>
      </c>
      <c r="B52" s="6" t="inlineStr">
        <is>
          <t>Semi-annual Pillar 3 comparative</t>
        </is>
      </c>
      <c r="C52" s="9" t="inlineStr">
        <is>
          <t>https://www.investec.com/content/dam/investor-relations/basel-pillar-iii-regulatory-disclosures/2024/Investec-plc-Group-and-Investec-Bank-plc-Pillar-3-disclosure-report-30-Sept-2024.pdf</t>
        </is>
      </c>
      <c r="D52" s="6" t="inlineStr">
        <is>
          <t>p.43, UK KM1 row 2 comparative</t>
        </is>
      </c>
    </row>
    <row r="53">
      <c r="A53" s="6" t="inlineStr">
        <is>
          <t>31 March 2024</t>
        </is>
      </c>
      <c r="B53" s="6" t="inlineStr">
        <is>
          <t>Semi-annual Pillar 3 comparative</t>
        </is>
      </c>
      <c r="C53" s="9" t="inlineStr">
        <is>
          <t>https://www.investec.com/content/dam/investor-relations/basel-pillar-iii-regulatory-disclosures/2024/Investec-plc-Group-and-Investec-Bank-plc-Pillar-3-disclosure-report-30-Sept-2024.pdf</t>
        </is>
      </c>
      <c r="D53" s="6" t="inlineStr">
        <is>
          <t>p.43, UK KM1 row 3 comparative</t>
        </is>
      </c>
    </row>
    <row r="54">
      <c r="A54" s="6" t="inlineStr">
        <is>
          <t>31 March 2024</t>
        </is>
      </c>
      <c r="B54" s="6" t="inlineStr">
        <is>
          <t>Semi-annual Pillar 3 comparative</t>
        </is>
      </c>
      <c r="C54" s="9" t="inlineStr">
        <is>
          <t>https://www.investec.com/content/dam/investor-relations/basel-pillar-iii-regulatory-disclosures/2024/Investec-plc-Group-and-Investec-Bank-plc-Pillar-3-disclosure-report-30-Sept-2024.pdf</t>
        </is>
      </c>
      <c r="D54" s="6" t="inlineStr">
        <is>
          <t>p.43, UK KM1 row 4 comparative</t>
        </is>
      </c>
    </row>
    <row r="55">
      <c r="A55" s="6" t="inlineStr">
        <is>
          <t>31 March 2024</t>
        </is>
      </c>
      <c r="B55" s="6" t="inlineStr">
        <is>
          <t>Semi-annual Pillar 3 comparative</t>
        </is>
      </c>
      <c r="C55" s="9" t="inlineStr">
        <is>
          <t>https://www.investec.com/content/dam/investor-relations/basel-pillar-iii-regulatory-disclosures/2024/Investec-plc-Group-and-Investec-Bank-plc-Pillar-3-disclosure-report-30-Sept-2024.pdf</t>
        </is>
      </c>
      <c r="D55" s="6" t="inlineStr">
        <is>
          <t>p.43, UK KM1 row 5 comparative</t>
        </is>
      </c>
    </row>
    <row r="56">
      <c r="A56" s="6" t="inlineStr">
        <is>
          <t>31 March 2024</t>
        </is>
      </c>
      <c r="B56" s="6" t="inlineStr">
        <is>
          <t>Semi-annual Pillar 3 comparative</t>
        </is>
      </c>
      <c r="C56" s="9" t="inlineStr">
        <is>
          <t>https://www.investec.com/content/dam/investor-relations/basel-pillar-iii-regulatory-disclosures/2024/Investec-plc-Group-and-Investec-Bank-plc-Pillar-3-disclosure-report-30-Sept-2024.pdf</t>
        </is>
      </c>
      <c r="D56" s="6" t="inlineStr">
        <is>
          <t>p.43, UK KM1 row 6 comparative</t>
        </is>
      </c>
    </row>
    <row r="57">
      <c r="A57" s="6" t="inlineStr">
        <is>
          <t>31 March 2024</t>
        </is>
      </c>
      <c r="B57" s="6" t="inlineStr">
        <is>
          <t>Semi-annual Pillar 3 comparative</t>
        </is>
      </c>
      <c r="C57" s="9" t="inlineStr">
        <is>
          <t>https://www.investec.com/content/dam/investor-relations/basel-pillar-iii-regulatory-disclosures/2024/Investec-plc-Group-and-Investec-Bank-plc-Pillar-3-disclosure-report-30-Sept-2024.pdf</t>
        </is>
      </c>
      <c r="D57" s="6" t="inlineStr">
        <is>
          <t>p.43, UK KM1 row 7 comparative</t>
        </is>
      </c>
    </row>
    <row r="58">
      <c r="A58" s="6" t="inlineStr">
        <is>
          <t>31 March 2024</t>
        </is>
      </c>
      <c r="B58" s="6" t="inlineStr">
        <is>
          <t>Semi-annual Pillar 3 comparative</t>
        </is>
      </c>
      <c r="C58" s="9" t="inlineStr">
        <is>
          <t>https://www.investec.com/content/dam/investor-relations/basel-pillar-iii-regulatory-disclosures/2024/Investec-plc-Group-and-Investec-Bank-plc-Pillar-3-disclosure-report-30-Sept-2024.pdf</t>
        </is>
      </c>
      <c r="D58" s="6" t="inlineStr">
        <is>
          <t>p.43, UK KM1 row 13 comparative</t>
        </is>
      </c>
    </row>
    <row r="59">
      <c r="A59" s="6" t="inlineStr">
        <is>
          <t>31 March 2024</t>
        </is>
      </c>
      <c r="B59" s="6" t="inlineStr">
        <is>
          <t>Semi-annual Pillar 3 comparative</t>
        </is>
      </c>
      <c r="C59" s="9" t="inlineStr">
        <is>
          <t>https://www.investec.com/content/dam/investor-relations/basel-pillar-iii-regulatory-disclosures/2024/Investec-plc-Group-and-Investec-Bank-plc-Pillar-3-disclosure-report-30-Sept-2024.pdf</t>
        </is>
      </c>
      <c r="D59" s="6" t="inlineStr">
        <is>
          <t>p.43, UK KM1 row 14 comparative</t>
        </is>
      </c>
    </row>
    <row r="60">
      <c r="A60" s="6" t="inlineStr">
        <is>
          <t>31 March 2024</t>
        </is>
      </c>
      <c r="B60" s="6" t="inlineStr">
        <is>
          <t>Semi-annual Pillar 3 comparative</t>
        </is>
      </c>
      <c r="C60" s="9" t="inlineStr">
        <is>
          <t>https://www.investec.com/content/dam/investor-relations/basel-pillar-iii-regulatory-disclosures/2024/Investec-plc-Group-and-Investec-Bank-plc-Pillar-3-disclosure-report-30-Sept-2024.pdf</t>
        </is>
      </c>
      <c r="D60" s="6" t="inlineStr">
        <is>
          <t>p.44, UK KM1 row 17 comparative</t>
        </is>
      </c>
    </row>
    <row r="61">
      <c r="A61" s="6" t="inlineStr">
        <is>
          <t>31 March 2024</t>
        </is>
      </c>
      <c r="B61" s="6" t="inlineStr">
        <is>
          <t>Semi-annual Pillar 3 comparative</t>
        </is>
      </c>
      <c r="C61" s="9" t="inlineStr">
        <is>
          <t>https://www.investec.com/content/dam/investor-relations/basel-pillar-iii-regulatory-disclosures/2024/Investec-plc-Group-and-Investec-Bank-plc-Pillar-3-disclosure-report-30-Sept-2024.pdf</t>
        </is>
      </c>
      <c r="D61" s="6" t="inlineStr">
        <is>
          <t>p.44, UK KM1 row 20 comparative</t>
        </is>
      </c>
    </row>
    <row r="62">
      <c r="A62" s="6" t="inlineStr">
        <is>
          <t>30 September 2023</t>
        </is>
      </c>
      <c r="B62" s="6" t="inlineStr">
        <is>
          <t>Semi-annual Pillar 3</t>
        </is>
      </c>
      <c r="C62" s="9" t="inlineStr">
        <is>
          <t>https://www.investec.com/content/dam/investor-relations/basel-pillar-iii-regulatory-disclosures/united-kingdom/2023/Investec-plc-group-and-Investec-Bank-plc-Pillar-3-disclosure-report%20-30-Sept-2023.pdf</t>
        </is>
      </c>
      <c r="D62" s="6" t="inlineStr">
        <is>
          <t>p.43, UK KM1 row 1</t>
        </is>
      </c>
    </row>
    <row r="63">
      <c r="A63" s="6" t="inlineStr">
        <is>
          <t>30 September 2023</t>
        </is>
      </c>
      <c r="B63" s="6" t="inlineStr">
        <is>
          <t>Semi-annual Pillar 3</t>
        </is>
      </c>
      <c r="C63" s="9" t="inlineStr">
        <is>
          <t>https://www.investec.com/content/dam/investor-relations/basel-pillar-iii-regulatory-disclosures/united-kingdom/2023/Investec-plc-group-and-Investec-Bank-plc-Pillar-3-disclosure-report%20-30-Sept-2023.pdf</t>
        </is>
      </c>
      <c r="D63" s="6" t="inlineStr">
        <is>
          <t>p.43, UK KM1 row 2</t>
        </is>
      </c>
    </row>
    <row r="64">
      <c r="A64" s="6" t="inlineStr">
        <is>
          <t>30 September 2023</t>
        </is>
      </c>
      <c r="B64" s="6" t="inlineStr">
        <is>
          <t>Semi-annual Pillar 3</t>
        </is>
      </c>
      <c r="C64" s="9" t="inlineStr">
        <is>
          <t>https://www.investec.com/content/dam/investor-relations/basel-pillar-iii-regulatory-disclosures/united-kingdom/2023/Investec-plc-group-and-Investec-Bank-plc-Pillar-3-disclosure-report%20-30-Sept-2023.pdf</t>
        </is>
      </c>
      <c r="D64" s="6" t="inlineStr">
        <is>
          <t>p.43, UK KM1 row 3</t>
        </is>
      </c>
    </row>
    <row r="65">
      <c r="A65" s="6" t="inlineStr">
        <is>
          <t>30 September 2023</t>
        </is>
      </c>
      <c r="B65" s="6" t="inlineStr">
        <is>
          <t>Semi-annual Pillar 3</t>
        </is>
      </c>
      <c r="C65" s="9" t="inlineStr">
        <is>
          <t>https://www.investec.com/content/dam/investor-relations/basel-pillar-iii-regulatory-disclosures/united-kingdom/2023/Investec-plc-group-and-Investec-Bank-plc-Pillar-3-disclosure-report%20-30-Sept-2023.pdf</t>
        </is>
      </c>
      <c r="D65" s="6" t="inlineStr">
        <is>
          <t>p.43, UK KM1 row 4</t>
        </is>
      </c>
    </row>
    <row r="66">
      <c r="A66" s="6" t="inlineStr">
        <is>
          <t>30 September 2023</t>
        </is>
      </c>
      <c r="B66" s="6" t="inlineStr">
        <is>
          <t>Semi-annual Pillar 3</t>
        </is>
      </c>
      <c r="C66" s="9" t="inlineStr">
        <is>
          <t>https://www.investec.com/content/dam/investor-relations/basel-pillar-iii-regulatory-disclosures/united-kingdom/2023/Investec-plc-group-and-Investec-Bank-plc-Pillar-3-disclosure-report%20-30-Sept-2023.pdf</t>
        </is>
      </c>
      <c r="D66" s="6" t="inlineStr">
        <is>
          <t>p.43, UK KM1 row 5</t>
        </is>
      </c>
    </row>
    <row r="67">
      <c r="A67" s="6" t="inlineStr">
        <is>
          <t>30 September 2023</t>
        </is>
      </c>
      <c r="B67" s="6" t="inlineStr">
        <is>
          <t>Semi-annual Pillar 3</t>
        </is>
      </c>
      <c r="C67" s="9" t="inlineStr">
        <is>
          <t>https://www.investec.com/content/dam/investor-relations/basel-pillar-iii-regulatory-disclosures/united-kingdom/2023/Investec-plc-group-and-Investec-Bank-plc-Pillar-3-disclosure-report%20-30-Sept-2023.pdf</t>
        </is>
      </c>
      <c r="D67" s="6" t="inlineStr">
        <is>
          <t>p.43, UK KM1 row 6</t>
        </is>
      </c>
    </row>
    <row r="68">
      <c r="A68" s="6" t="inlineStr">
        <is>
          <t>30 September 2023</t>
        </is>
      </c>
      <c r="B68" s="6" t="inlineStr">
        <is>
          <t>Semi-annual Pillar 3</t>
        </is>
      </c>
      <c r="C68" s="9" t="inlineStr">
        <is>
          <t>https://www.investec.com/content/dam/investor-relations/basel-pillar-iii-regulatory-disclosures/united-kingdom/2023/Investec-plc-group-and-Investec-Bank-plc-Pillar-3-disclosure-report%20-30-Sept-2023.pdf</t>
        </is>
      </c>
      <c r="D68" s="6" t="inlineStr">
        <is>
          <t>p.43, UK KM1 row 7</t>
        </is>
      </c>
    </row>
    <row r="69">
      <c r="A69" s="6" t="inlineStr">
        <is>
          <t>30 September 2023</t>
        </is>
      </c>
      <c r="B69" s="6" t="inlineStr">
        <is>
          <t>Semi-annual Pillar 3</t>
        </is>
      </c>
      <c r="C69" s="9" t="inlineStr">
        <is>
          <t>https://www.investec.com/content/dam/investor-relations/basel-pillar-iii-regulatory-disclosures/united-kingdom/2023/Investec-plc-group-and-Investec-Bank-plc-Pillar-3-disclosure-report%20-30-Sept-2023.pdf</t>
        </is>
      </c>
      <c r="D69" s="6" t="inlineStr">
        <is>
          <t>p.43, UK KM1 row 13</t>
        </is>
      </c>
    </row>
    <row r="70">
      <c r="A70" s="6" t="inlineStr">
        <is>
          <t>30 September 2023</t>
        </is>
      </c>
      <c r="B70" s="6" t="inlineStr">
        <is>
          <t>Semi-annual Pillar 3</t>
        </is>
      </c>
      <c r="C70" s="9" t="inlineStr">
        <is>
          <t>https://www.investec.com/content/dam/investor-relations/basel-pillar-iii-regulatory-disclosures/united-kingdom/2023/Investec-plc-group-and-Investec-Bank-plc-Pillar-3-disclosure-report%20-30-Sept-2023.pdf</t>
        </is>
      </c>
      <c r="D70" s="6" t="inlineStr">
        <is>
          <t>p.43, UK KM1 row 14</t>
        </is>
      </c>
    </row>
    <row r="71">
      <c r="A71" s="6" t="inlineStr">
        <is>
          <t>30 September 2023</t>
        </is>
      </c>
      <c r="B71" s="6" t="inlineStr">
        <is>
          <t>Semi-annual Pillar 3</t>
        </is>
      </c>
      <c r="C71" s="9" t="inlineStr">
        <is>
          <t>https://www.investec.com/content/dam/investor-relations/basel-pillar-iii-regulatory-disclosures/united-kingdom/2023/Investec-plc-group-and-Investec-Bank-plc-Pillar-3-disclosure-report%20-30-Sept-2023.pdf</t>
        </is>
      </c>
      <c r="D71" s="6" t="inlineStr">
        <is>
          <t>p.44, UK KM1 row 17</t>
        </is>
      </c>
    </row>
    <row r="72">
      <c r="A72" s="6" t="inlineStr">
        <is>
          <t>30 September 2023</t>
        </is>
      </c>
      <c r="B72" s="6" t="inlineStr">
        <is>
          <t>Semi-annual Pillar 3</t>
        </is>
      </c>
      <c r="C72" s="9" t="inlineStr">
        <is>
          <t>https://www.investec.com/content/dam/investor-relations/basel-pillar-iii-regulatory-disclosures/united-kingdom/2023/Investec-plc-group-and-Investec-Bank-plc-Pillar-3-disclosure-report%20-30-Sept-2023.pdf</t>
        </is>
      </c>
      <c r="D72" s="6" t="inlineStr">
        <is>
          <t>p.44, UK KM1 row 20</t>
        </is>
      </c>
    </row>
    <row r="73">
      <c r="A73" s="6" t="inlineStr">
        <is>
          <t>31 March 2023</t>
        </is>
      </c>
      <c r="B73" s="6" t="inlineStr">
        <is>
          <t>Semi-annual Pillar 3 comparative</t>
        </is>
      </c>
      <c r="C73" s="9" t="inlineStr">
        <is>
          <t>https://www.investec.com/content/dam/investor-relations/basel-pillar-iii-regulatory-disclosures/united-kingdom/2023/Investec-plc-group-and-Investec-Bank-plc-Pillar-3-disclosure-report%20-30-Sept-2023.pdf</t>
        </is>
      </c>
      <c r="D73" s="6" t="inlineStr">
        <is>
          <t>p.43, UK KM1 row 1 comparative</t>
        </is>
      </c>
    </row>
    <row r="74">
      <c r="A74" s="6" t="inlineStr">
        <is>
          <t>31 March 2023</t>
        </is>
      </c>
      <c r="B74" s="6" t="inlineStr">
        <is>
          <t>Semi-annual Pillar 3 comparative</t>
        </is>
      </c>
      <c r="C74" s="9" t="inlineStr">
        <is>
          <t>https://www.investec.com/content/dam/investor-relations/basel-pillar-iii-regulatory-disclosures/united-kingdom/2023/Investec-plc-group-and-Investec-Bank-plc-Pillar-3-disclosure-report%20-30-Sept-2023.pdf</t>
        </is>
      </c>
      <c r="D74" s="6" t="inlineStr">
        <is>
          <t>p.43, UK KM1 row 2 comparative</t>
        </is>
      </c>
    </row>
    <row r="75">
      <c r="A75" s="6" t="inlineStr">
        <is>
          <t>31 March 2023</t>
        </is>
      </c>
      <c r="B75" s="6" t="inlineStr">
        <is>
          <t>Semi-annual Pillar 3 comparative</t>
        </is>
      </c>
      <c r="C75" s="9" t="inlineStr">
        <is>
          <t>https://www.investec.com/content/dam/investor-relations/basel-pillar-iii-regulatory-disclosures/united-kingdom/2023/Investec-plc-group-and-Investec-Bank-plc-Pillar-3-disclosure-report%20-30-Sept-2023.pdf</t>
        </is>
      </c>
      <c r="D75" s="6" t="inlineStr">
        <is>
          <t>p.43, UK KM1 row 3 comparative</t>
        </is>
      </c>
    </row>
    <row r="76">
      <c r="A76" s="6" t="inlineStr">
        <is>
          <t>31 March 2023</t>
        </is>
      </c>
      <c r="B76" s="6" t="inlineStr">
        <is>
          <t>Semi-annual Pillar 3 comparative</t>
        </is>
      </c>
      <c r="C76" s="9" t="inlineStr">
        <is>
          <t>https://www.investec.com/content/dam/investor-relations/basel-pillar-iii-regulatory-disclosures/united-kingdom/2023/Investec-plc-group-and-Investec-Bank-plc-Pillar-3-disclosure-report%20-30-Sept-2023.pdf</t>
        </is>
      </c>
      <c r="D76" s="6" t="inlineStr">
        <is>
          <t>p.43, UK KM1 row 4 comparative</t>
        </is>
      </c>
    </row>
    <row r="77">
      <c r="A77" s="6" t="inlineStr">
        <is>
          <t>31 March 2023</t>
        </is>
      </c>
      <c r="B77" s="6" t="inlineStr">
        <is>
          <t>Semi-annual Pillar 3 comparative</t>
        </is>
      </c>
      <c r="C77" s="9" t="inlineStr">
        <is>
          <t>https://www.investec.com/content/dam/investor-relations/basel-pillar-iii-regulatory-disclosures/united-kingdom/2023/Investec-plc-group-and-Investec-Bank-plc-Pillar-3-disclosure-report%20-30-Sept-2023.pdf</t>
        </is>
      </c>
      <c r="D77" s="6" t="inlineStr">
        <is>
          <t>p.43, UK KM1 row 5 comparative</t>
        </is>
      </c>
    </row>
    <row r="78">
      <c r="A78" s="6" t="inlineStr">
        <is>
          <t>31 March 2023</t>
        </is>
      </c>
      <c r="B78" s="6" t="inlineStr">
        <is>
          <t>Semi-annual Pillar 3 comparative</t>
        </is>
      </c>
      <c r="C78" s="9" t="inlineStr">
        <is>
          <t>https://www.investec.com/content/dam/investor-relations/basel-pillar-iii-regulatory-disclosures/united-kingdom/2023/Investec-plc-group-and-Investec-Bank-plc-Pillar-3-disclosure-report%20-30-Sept-2023.pdf</t>
        </is>
      </c>
      <c r="D78" s="6" t="inlineStr">
        <is>
          <t>p.43, UK KM1 row 6 comparative</t>
        </is>
      </c>
    </row>
    <row r="79">
      <c r="A79" s="6" t="inlineStr">
        <is>
          <t>31 March 2023</t>
        </is>
      </c>
      <c r="B79" s="6" t="inlineStr">
        <is>
          <t>Semi-annual Pillar 3 comparative</t>
        </is>
      </c>
      <c r="C79" s="9" t="inlineStr">
        <is>
          <t>https://www.investec.com/content/dam/investor-relations/basel-pillar-iii-regulatory-disclosures/united-kingdom/2023/Investec-plc-group-and-Investec-Bank-plc-Pillar-3-disclosure-report%20-30-Sept-2023.pdf</t>
        </is>
      </c>
      <c r="D79" s="6" t="inlineStr">
        <is>
          <t>p.43, UK KM1 row 7 comparative</t>
        </is>
      </c>
    </row>
    <row r="80">
      <c r="A80" s="6" t="inlineStr">
        <is>
          <t>31 March 2023</t>
        </is>
      </c>
      <c r="B80" s="6" t="inlineStr">
        <is>
          <t>Semi-annual Pillar 3 comparative</t>
        </is>
      </c>
      <c r="C80" s="9" t="inlineStr">
        <is>
          <t>https://www.investec.com/content/dam/investor-relations/basel-pillar-iii-regulatory-disclosures/united-kingdom/2023/Investec-plc-group-and-Investec-Bank-plc-Pillar-3-disclosure-report%20-30-Sept-2023.pdf</t>
        </is>
      </c>
      <c r="D80" s="6" t="inlineStr">
        <is>
          <t>p.43, UK KM1 row 13 comparative</t>
        </is>
      </c>
    </row>
    <row r="81">
      <c r="A81" s="6" t="inlineStr">
        <is>
          <t>31 March 2023</t>
        </is>
      </c>
      <c r="B81" s="6" t="inlineStr">
        <is>
          <t>Semi-annual Pillar 3 comparative</t>
        </is>
      </c>
      <c r="C81" s="9" t="inlineStr">
        <is>
          <t>https://www.investec.com/content/dam/investor-relations/basel-pillar-iii-regulatory-disclosures/united-kingdom/2023/Investec-plc-group-and-Investec-Bank-plc-Pillar-3-disclosure-report%20-30-Sept-2023.pdf</t>
        </is>
      </c>
      <c r="D81" s="6" t="inlineStr">
        <is>
          <t>p.43, UK KM1 row 14 comparative</t>
        </is>
      </c>
    </row>
    <row r="82">
      <c r="A82" s="6" t="inlineStr">
        <is>
          <t>31 March 2023</t>
        </is>
      </c>
      <c r="B82" s="6" t="inlineStr">
        <is>
          <t>Semi-annual Pillar 3 comparative</t>
        </is>
      </c>
      <c r="C82" s="9" t="inlineStr">
        <is>
          <t>https://www.investec.com/content/dam/investor-relations/basel-pillar-iii-regulatory-disclosures/united-kingdom/2023/Investec-plc-group-and-Investec-Bank-plc-Pillar-3-disclosure-report%20-30-Sept-2023.pdf</t>
        </is>
      </c>
      <c r="D82" s="6" t="inlineStr">
        <is>
          <t>p.44, UK KM1 row 17 comparative</t>
        </is>
      </c>
    </row>
    <row r="83">
      <c r="A83" s="6" t="inlineStr">
        <is>
          <t>31 March 2023</t>
        </is>
      </c>
      <c r="B83" s="6" t="inlineStr">
        <is>
          <t>Semi-annual Pillar 3 comparative</t>
        </is>
      </c>
      <c r="C83" s="9" t="inlineStr">
        <is>
          <t>https://www.investec.com/content/dam/investor-relations/basel-pillar-iii-regulatory-disclosures/united-kingdom/2023/Investec-plc-group-and-Investec-Bank-plc-Pillar-3-disclosure-report%20-30-Sept-2023.pdf</t>
        </is>
      </c>
      <c r="D83" s="6" t="inlineStr">
        <is>
          <t>p.44, UK KM1 row 20 comparative</t>
        </is>
      </c>
    </row>
    <row r="84">
      <c r="A84" s="6" t="inlineStr">
        <is>
          <t>30 September 2022</t>
        </is>
      </c>
      <c r="B84" s="6" t="inlineStr">
        <is>
          <t>Semi-annual Pillar 3 (not published)</t>
        </is>
      </c>
      <c r="C84" s="9" t="inlineStr">
        <is>
          <t>https://www.investec.com/content/dam/investor-relations/financial-information/group-financial-results/2022/Investec-plc-group-Interim-Pillar-3-disclosure-report-30-September-2022.pdf</t>
        </is>
      </c>
      <c r="D84" s="6" t="inlineStr">
        <is>
          <t>p.5, policy statement: significant subsidiary disclosures annual</t>
        </is>
      </c>
    </row>
    <row r="85">
      <c r="A85" s="6" t="inlineStr">
        <is>
          <t>30 September 2021</t>
        </is>
      </c>
      <c r="B85" s="6" t="inlineStr">
        <is>
          <t>Semi-annual Pillar 3 (not published)</t>
        </is>
      </c>
      <c r="C85" s="9" t="inlineStr">
        <is>
          <t>https://www.investec.com/content/dam/investor-relations/financial-information/group-financial-results/2022/Investec-plc-group-Interim-Pillar-3-disclosure-report-30-September-2022.pdf</t>
        </is>
      </c>
      <c r="D85" s="6" t="inlineStr">
        <is>
          <t>p.5, policy statement: significant subsidiary disclosures annual</t>
        </is>
      </c>
    </row>
    <row r="86"/>
    <row r="87">
      <c r="A87" s="8" t="inlineStr">
        <is>
          <t>Note: Official entity-level Appendix A disclosures are available for September 2023, 2024 and 2025, with March comparatives. The 2022 report states that significant subsidiary disclosures continued to be published annually, so September 2021 and September 2022 gaps are recorded explicitly. LCR is a 12-month average; IFRS 9 transitional-basis comparatives are not separately duplicated here.</t>
        </is>
      </c>
    </row>
    <row r="89" ht="30" customHeight="1"/>
  </sheetData>
  <mergeCells count="1">
    <mergeCell ref="A89:K89"/>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J5" r:id="rId7"/>
    <hyperlink xmlns:r="http://schemas.openxmlformats.org/officeDocument/2006/relationships" ref="K5" r:id="rId8"/>
    <hyperlink xmlns:r="http://schemas.openxmlformats.org/officeDocument/2006/relationships" ref="D6" r:id="rId9"/>
    <hyperlink xmlns:r="http://schemas.openxmlformats.org/officeDocument/2006/relationships" ref="E6" r:id="rId10"/>
    <hyperlink xmlns:r="http://schemas.openxmlformats.org/officeDocument/2006/relationships" ref="F6" r:id="rId11"/>
    <hyperlink xmlns:r="http://schemas.openxmlformats.org/officeDocument/2006/relationships" ref="G6" r:id="rId12"/>
    <hyperlink xmlns:r="http://schemas.openxmlformats.org/officeDocument/2006/relationships" ref="H6" r:id="rId13"/>
    <hyperlink xmlns:r="http://schemas.openxmlformats.org/officeDocument/2006/relationships" ref="I6" r:id="rId14"/>
    <hyperlink xmlns:r="http://schemas.openxmlformats.org/officeDocument/2006/relationships" ref="J6" r:id="rId15"/>
    <hyperlink xmlns:r="http://schemas.openxmlformats.org/officeDocument/2006/relationships" ref="K6" r:id="rId16"/>
    <hyperlink xmlns:r="http://schemas.openxmlformats.org/officeDocument/2006/relationships" ref="D7" r:id="rId17"/>
    <hyperlink xmlns:r="http://schemas.openxmlformats.org/officeDocument/2006/relationships" ref="E7" r:id="rId18"/>
    <hyperlink xmlns:r="http://schemas.openxmlformats.org/officeDocument/2006/relationships" ref="F7" r:id="rId19"/>
    <hyperlink xmlns:r="http://schemas.openxmlformats.org/officeDocument/2006/relationships" ref="G7" r:id="rId20"/>
    <hyperlink xmlns:r="http://schemas.openxmlformats.org/officeDocument/2006/relationships" ref="H7" r:id="rId21"/>
    <hyperlink xmlns:r="http://schemas.openxmlformats.org/officeDocument/2006/relationships" ref="I7" r:id="rId22"/>
    <hyperlink xmlns:r="http://schemas.openxmlformats.org/officeDocument/2006/relationships" ref="J7" r:id="rId23"/>
    <hyperlink xmlns:r="http://schemas.openxmlformats.org/officeDocument/2006/relationships" ref="K7" r:id="rId24"/>
    <hyperlink xmlns:r="http://schemas.openxmlformats.org/officeDocument/2006/relationships" ref="D8" r:id="rId25"/>
    <hyperlink xmlns:r="http://schemas.openxmlformats.org/officeDocument/2006/relationships" ref="E8" r:id="rId26"/>
    <hyperlink xmlns:r="http://schemas.openxmlformats.org/officeDocument/2006/relationships" ref="F8" r:id="rId27"/>
    <hyperlink xmlns:r="http://schemas.openxmlformats.org/officeDocument/2006/relationships" ref="G8" r:id="rId28"/>
    <hyperlink xmlns:r="http://schemas.openxmlformats.org/officeDocument/2006/relationships" ref="H8" r:id="rId29"/>
    <hyperlink xmlns:r="http://schemas.openxmlformats.org/officeDocument/2006/relationships" ref="I8" r:id="rId30"/>
    <hyperlink xmlns:r="http://schemas.openxmlformats.org/officeDocument/2006/relationships" ref="J8" r:id="rId31"/>
    <hyperlink xmlns:r="http://schemas.openxmlformats.org/officeDocument/2006/relationships" ref="K8" r:id="rId32"/>
    <hyperlink xmlns:r="http://schemas.openxmlformats.org/officeDocument/2006/relationships" ref="D9" r:id="rId33"/>
    <hyperlink xmlns:r="http://schemas.openxmlformats.org/officeDocument/2006/relationships" ref="E9" r:id="rId34"/>
    <hyperlink xmlns:r="http://schemas.openxmlformats.org/officeDocument/2006/relationships" ref="F9" r:id="rId35"/>
    <hyperlink xmlns:r="http://schemas.openxmlformats.org/officeDocument/2006/relationships" ref="G9" r:id="rId36"/>
    <hyperlink xmlns:r="http://schemas.openxmlformats.org/officeDocument/2006/relationships" ref="H9" r:id="rId37"/>
    <hyperlink xmlns:r="http://schemas.openxmlformats.org/officeDocument/2006/relationships" ref="I9" r:id="rId38"/>
    <hyperlink xmlns:r="http://schemas.openxmlformats.org/officeDocument/2006/relationships" ref="J9" r:id="rId39"/>
    <hyperlink xmlns:r="http://schemas.openxmlformats.org/officeDocument/2006/relationships" ref="K9" r:id="rId40"/>
    <hyperlink xmlns:r="http://schemas.openxmlformats.org/officeDocument/2006/relationships" ref="D10" r:id="rId41"/>
    <hyperlink xmlns:r="http://schemas.openxmlformats.org/officeDocument/2006/relationships" ref="E10" r:id="rId42"/>
    <hyperlink xmlns:r="http://schemas.openxmlformats.org/officeDocument/2006/relationships" ref="F10" r:id="rId43"/>
    <hyperlink xmlns:r="http://schemas.openxmlformats.org/officeDocument/2006/relationships" ref="G10" r:id="rId44"/>
    <hyperlink xmlns:r="http://schemas.openxmlformats.org/officeDocument/2006/relationships" ref="H10" r:id="rId45"/>
    <hyperlink xmlns:r="http://schemas.openxmlformats.org/officeDocument/2006/relationships" ref="I10" r:id="rId46"/>
    <hyperlink xmlns:r="http://schemas.openxmlformats.org/officeDocument/2006/relationships" ref="J10" r:id="rId47"/>
    <hyperlink xmlns:r="http://schemas.openxmlformats.org/officeDocument/2006/relationships" ref="K10" r:id="rId48"/>
    <hyperlink xmlns:r="http://schemas.openxmlformats.org/officeDocument/2006/relationships" ref="D11" r:id="rId49"/>
    <hyperlink xmlns:r="http://schemas.openxmlformats.org/officeDocument/2006/relationships" ref="E11" r:id="rId50"/>
    <hyperlink xmlns:r="http://schemas.openxmlformats.org/officeDocument/2006/relationships" ref="F11" r:id="rId51"/>
    <hyperlink xmlns:r="http://schemas.openxmlformats.org/officeDocument/2006/relationships" ref="G11" r:id="rId52"/>
    <hyperlink xmlns:r="http://schemas.openxmlformats.org/officeDocument/2006/relationships" ref="H11" r:id="rId53"/>
    <hyperlink xmlns:r="http://schemas.openxmlformats.org/officeDocument/2006/relationships" ref="I11" r:id="rId54"/>
    <hyperlink xmlns:r="http://schemas.openxmlformats.org/officeDocument/2006/relationships" ref="J11" r:id="rId55"/>
    <hyperlink xmlns:r="http://schemas.openxmlformats.org/officeDocument/2006/relationships" ref="K11" r:id="rId56"/>
    <hyperlink xmlns:r="http://schemas.openxmlformats.org/officeDocument/2006/relationships" ref="D12" r:id="rId57"/>
    <hyperlink xmlns:r="http://schemas.openxmlformats.org/officeDocument/2006/relationships" ref="E12" r:id="rId58"/>
    <hyperlink xmlns:r="http://schemas.openxmlformats.org/officeDocument/2006/relationships" ref="F12" r:id="rId59"/>
    <hyperlink xmlns:r="http://schemas.openxmlformats.org/officeDocument/2006/relationships" ref="G12" r:id="rId60"/>
    <hyperlink xmlns:r="http://schemas.openxmlformats.org/officeDocument/2006/relationships" ref="H12" r:id="rId61"/>
    <hyperlink xmlns:r="http://schemas.openxmlformats.org/officeDocument/2006/relationships" ref="I12" r:id="rId62"/>
    <hyperlink xmlns:r="http://schemas.openxmlformats.org/officeDocument/2006/relationships" ref="J12" r:id="rId63"/>
    <hyperlink xmlns:r="http://schemas.openxmlformats.org/officeDocument/2006/relationships" ref="K12" r:id="rId64"/>
    <hyperlink xmlns:r="http://schemas.openxmlformats.org/officeDocument/2006/relationships" ref="D13" r:id="rId65"/>
    <hyperlink xmlns:r="http://schemas.openxmlformats.org/officeDocument/2006/relationships" ref="E13" r:id="rId66"/>
    <hyperlink xmlns:r="http://schemas.openxmlformats.org/officeDocument/2006/relationships" ref="F13" r:id="rId67"/>
    <hyperlink xmlns:r="http://schemas.openxmlformats.org/officeDocument/2006/relationships" ref="G13" r:id="rId68"/>
    <hyperlink xmlns:r="http://schemas.openxmlformats.org/officeDocument/2006/relationships" ref="H13" r:id="rId69"/>
    <hyperlink xmlns:r="http://schemas.openxmlformats.org/officeDocument/2006/relationships" ref="I13" r:id="rId70"/>
    <hyperlink xmlns:r="http://schemas.openxmlformats.org/officeDocument/2006/relationships" ref="J13" r:id="rId71"/>
    <hyperlink xmlns:r="http://schemas.openxmlformats.org/officeDocument/2006/relationships" ref="K13" r:id="rId72"/>
    <hyperlink xmlns:r="http://schemas.openxmlformats.org/officeDocument/2006/relationships" ref="D14" r:id="rId73"/>
    <hyperlink xmlns:r="http://schemas.openxmlformats.org/officeDocument/2006/relationships" ref="E14" r:id="rId74"/>
    <hyperlink xmlns:r="http://schemas.openxmlformats.org/officeDocument/2006/relationships" ref="F14" r:id="rId75"/>
    <hyperlink xmlns:r="http://schemas.openxmlformats.org/officeDocument/2006/relationships" ref="G14" r:id="rId76"/>
    <hyperlink xmlns:r="http://schemas.openxmlformats.org/officeDocument/2006/relationships" ref="H14" r:id="rId77"/>
    <hyperlink xmlns:r="http://schemas.openxmlformats.org/officeDocument/2006/relationships" ref="I14" r:id="rId78"/>
    <hyperlink xmlns:r="http://schemas.openxmlformats.org/officeDocument/2006/relationships" ref="J14" r:id="rId79"/>
    <hyperlink xmlns:r="http://schemas.openxmlformats.org/officeDocument/2006/relationships" ref="K14" r:id="rId80"/>
    <hyperlink xmlns:r="http://schemas.openxmlformats.org/officeDocument/2006/relationships" ref="D15" r:id="rId81"/>
    <hyperlink xmlns:r="http://schemas.openxmlformats.org/officeDocument/2006/relationships" ref="E15" r:id="rId82"/>
    <hyperlink xmlns:r="http://schemas.openxmlformats.org/officeDocument/2006/relationships" ref="F15" r:id="rId83"/>
    <hyperlink xmlns:r="http://schemas.openxmlformats.org/officeDocument/2006/relationships" ref="G15" r:id="rId84"/>
    <hyperlink xmlns:r="http://schemas.openxmlformats.org/officeDocument/2006/relationships" ref="H15" r:id="rId85"/>
    <hyperlink xmlns:r="http://schemas.openxmlformats.org/officeDocument/2006/relationships" ref="I15" r:id="rId86"/>
    <hyperlink xmlns:r="http://schemas.openxmlformats.org/officeDocument/2006/relationships" ref="J15" r:id="rId87"/>
    <hyperlink xmlns:r="http://schemas.openxmlformats.org/officeDocument/2006/relationships" ref="K15" r:id="rId88"/>
    <hyperlink xmlns:r="http://schemas.openxmlformats.org/officeDocument/2006/relationships" ref="C18" r:id="rId89"/>
    <hyperlink xmlns:r="http://schemas.openxmlformats.org/officeDocument/2006/relationships" ref="C19" r:id="rId90"/>
    <hyperlink xmlns:r="http://schemas.openxmlformats.org/officeDocument/2006/relationships" ref="C20" r:id="rId91"/>
    <hyperlink xmlns:r="http://schemas.openxmlformats.org/officeDocument/2006/relationships" ref="C21" r:id="rId92"/>
    <hyperlink xmlns:r="http://schemas.openxmlformats.org/officeDocument/2006/relationships" ref="C22" r:id="rId93"/>
    <hyperlink xmlns:r="http://schemas.openxmlformats.org/officeDocument/2006/relationships" ref="C23" r:id="rId94"/>
    <hyperlink xmlns:r="http://schemas.openxmlformats.org/officeDocument/2006/relationships" ref="C24" r:id="rId95"/>
    <hyperlink xmlns:r="http://schemas.openxmlformats.org/officeDocument/2006/relationships" ref="C25" r:id="rId96"/>
    <hyperlink xmlns:r="http://schemas.openxmlformats.org/officeDocument/2006/relationships" ref="C26" r:id="rId97"/>
    <hyperlink xmlns:r="http://schemas.openxmlformats.org/officeDocument/2006/relationships" ref="C27" r:id="rId98"/>
    <hyperlink xmlns:r="http://schemas.openxmlformats.org/officeDocument/2006/relationships" ref="C28" r:id="rId99"/>
    <hyperlink xmlns:r="http://schemas.openxmlformats.org/officeDocument/2006/relationships" ref="C29" r:id="rId100"/>
    <hyperlink xmlns:r="http://schemas.openxmlformats.org/officeDocument/2006/relationships" ref="C30" r:id="rId101"/>
    <hyperlink xmlns:r="http://schemas.openxmlformats.org/officeDocument/2006/relationships" ref="C31" r:id="rId102"/>
    <hyperlink xmlns:r="http://schemas.openxmlformats.org/officeDocument/2006/relationships" ref="C32" r:id="rId103"/>
    <hyperlink xmlns:r="http://schemas.openxmlformats.org/officeDocument/2006/relationships" ref="C33" r:id="rId104"/>
    <hyperlink xmlns:r="http://schemas.openxmlformats.org/officeDocument/2006/relationships" ref="C34" r:id="rId105"/>
    <hyperlink xmlns:r="http://schemas.openxmlformats.org/officeDocument/2006/relationships" ref="C35" r:id="rId106"/>
    <hyperlink xmlns:r="http://schemas.openxmlformats.org/officeDocument/2006/relationships" ref="C36" r:id="rId107"/>
    <hyperlink xmlns:r="http://schemas.openxmlformats.org/officeDocument/2006/relationships" ref="C37" r:id="rId108"/>
    <hyperlink xmlns:r="http://schemas.openxmlformats.org/officeDocument/2006/relationships" ref="C38" r:id="rId109"/>
    <hyperlink xmlns:r="http://schemas.openxmlformats.org/officeDocument/2006/relationships" ref="C39" r:id="rId110"/>
    <hyperlink xmlns:r="http://schemas.openxmlformats.org/officeDocument/2006/relationships" ref="C40" r:id="rId111"/>
    <hyperlink xmlns:r="http://schemas.openxmlformats.org/officeDocument/2006/relationships" ref="C41" r:id="rId112"/>
    <hyperlink xmlns:r="http://schemas.openxmlformats.org/officeDocument/2006/relationships" ref="C42" r:id="rId113"/>
    <hyperlink xmlns:r="http://schemas.openxmlformats.org/officeDocument/2006/relationships" ref="C43" r:id="rId114"/>
    <hyperlink xmlns:r="http://schemas.openxmlformats.org/officeDocument/2006/relationships" ref="C44" r:id="rId115"/>
    <hyperlink xmlns:r="http://schemas.openxmlformats.org/officeDocument/2006/relationships" ref="C45" r:id="rId116"/>
    <hyperlink xmlns:r="http://schemas.openxmlformats.org/officeDocument/2006/relationships" ref="C46" r:id="rId117"/>
    <hyperlink xmlns:r="http://schemas.openxmlformats.org/officeDocument/2006/relationships" ref="C47" r:id="rId118"/>
    <hyperlink xmlns:r="http://schemas.openxmlformats.org/officeDocument/2006/relationships" ref="C48" r:id="rId119"/>
    <hyperlink xmlns:r="http://schemas.openxmlformats.org/officeDocument/2006/relationships" ref="C49" r:id="rId120"/>
    <hyperlink xmlns:r="http://schemas.openxmlformats.org/officeDocument/2006/relationships" ref="C50" r:id="rId121"/>
    <hyperlink xmlns:r="http://schemas.openxmlformats.org/officeDocument/2006/relationships" ref="C51" r:id="rId122"/>
    <hyperlink xmlns:r="http://schemas.openxmlformats.org/officeDocument/2006/relationships" ref="C52" r:id="rId123"/>
    <hyperlink xmlns:r="http://schemas.openxmlformats.org/officeDocument/2006/relationships" ref="C53" r:id="rId124"/>
    <hyperlink xmlns:r="http://schemas.openxmlformats.org/officeDocument/2006/relationships" ref="C54" r:id="rId125"/>
    <hyperlink xmlns:r="http://schemas.openxmlformats.org/officeDocument/2006/relationships" ref="C55" r:id="rId126"/>
    <hyperlink xmlns:r="http://schemas.openxmlformats.org/officeDocument/2006/relationships" ref="C56" r:id="rId127"/>
    <hyperlink xmlns:r="http://schemas.openxmlformats.org/officeDocument/2006/relationships" ref="C57" r:id="rId128"/>
    <hyperlink xmlns:r="http://schemas.openxmlformats.org/officeDocument/2006/relationships" ref="C58" r:id="rId129"/>
    <hyperlink xmlns:r="http://schemas.openxmlformats.org/officeDocument/2006/relationships" ref="C59" r:id="rId130"/>
    <hyperlink xmlns:r="http://schemas.openxmlformats.org/officeDocument/2006/relationships" ref="C60" r:id="rId131"/>
    <hyperlink xmlns:r="http://schemas.openxmlformats.org/officeDocument/2006/relationships" ref="C61" r:id="rId132"/>
    <hyperlink xmlns:r="http://schemas.openxmlformats.org/officeDocument/2006/relationships" ref="C62" r:id="rId133"/>
    <hyperlink xmlns:r="http://schemas.openxmlformats.org/officeDocument/2006/relationships" ref="C63" r:id="rId134"/>
    <hyperlink xmlns:r="http://schemas.openxmlformats.org/officeDocument/2006/relationships" ref="C64" r:id="rId135"/>
    <hyperlink xmlns:r="http://schemas.openxmlformats.org/officeDocument/2006/relationships" ref="C65" r:id="rId136"/>
    <hyperlink xmlns:r="http://schemas.openxmlformats.org/officeDocument/2006/relationships" ref="C66" r:id="rId137"/>
    <hyperlink xmlns:r="http://schemas.openxmlformats.org/officeDocument/2006/relationships" ref="C67" r:id="rId138"/>
    <hyperlink xmlns:r="http://schemas.openxmlformats.org/officeDocument/2006/relationships" ref="C68" r:id="rId139"/>
    <hyperlink xmlns:r="http://schemas.openxmlformats.org/officeDocument/2006/relationships" ref="C69" r:id="rId140"/>
    <hyperlink xmlns:r="http://schemas.openxmlformats.org/officeDocument/2006/relationships" ref="C70" r:id="rId141"/>
    <hyperlink xmlns:r="http://schemas.openxmlformats.org/officeDocument/2006/relationships" ref="C71" r:id="rId142"/>
    <hyperlink xmlns:r="http://schemas.openxmlformats.org/officeDocument/2006/relationships" ref="C72" r:id="rId143"/>
    <hyperlink xmlns:r="http://schemas.openxmlformats.org/officeDocument/2006/relationships" ref="C73" r:id="rId144"/>
    <hyperlink xmlns:r="http://schemas.openxmlformats.org/officeDocument/2006/relationships" ref="C74" r:id="rId145"/>
    <hyperlink xmlns:r="http://schemas.openxmlformats.org/officeDocument/2006/relationships" ref="C75" r:id="rId146"/>
    <hyperlink xmlns:r="http://schemas.openxmlformats.org/officeDocument/2006/relationships" ref="C76" r:id="rId147"/>
    <hyperlink xmlns:r="http://schemas.openxmlformats.org/officeDocument/2006/relationships" ref="C77" r:id="rId148"/>
    <hyperlink xmlns:r="http://schemas.openxmlformats.org/officeDocument/2006/relationships" ref="C78" r:id="rId149"/>
    <hyperlink xmlns:r="http://schemas.openxmlformats.org/officeDocument/2006/relationships" ref="C79" r:id="rId150"/>
    <hyperlink xmlns:r="http://schemas.openxmlformats.org/officeDocument/2006/relationships" ref="C80" r:id="rId151"/>
    <hyperlink xmlns:r="http://schemas.openxmlformats.org/officeDocument/2006/relationships" ref="C81" r:id="rId152"/>
    <hyperlink xmlns:r="http://schemas.openxmlformats.org/officeDocument/2006/relationships" ref="C82" r:id="rId153"/>
    <hyperlink xmlns:r="http://schemas.openxmlformats.org/officeDocument/2006/relationships" ref="C83" r:id="rId154"/>
    <hyperlink xmlns:r="http://schemas.openxmlformats.org/officeDocument/2006/relationships" ref="C84" r:id="rId155"/>
    <hyperlink xmlns:r="http://schemas.openxmlformats.org/officeDocument/2006/relationships" ref="C85" r:id="rId1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2026-10-26T09:36:07Z</dcterms:created>
  <dcterms:modified xmlns:dcterms="http://purl.org/dc/terms/" xmlns:xsi="http://www.w3.org/2001/XMLSchema-instance" xsi:type="dcterms:W3CDTF">2026-10-26T09:36:07Z</dcterms:modified>
</cp:coreProperties>
</file>