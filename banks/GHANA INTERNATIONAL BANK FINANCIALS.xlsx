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19578"/>
        <bgColor rgb="006195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Ghana International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Ghana International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42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8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Ghana International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generated from/(used in) operating activities</t>
        </is>
      </c>
      <c r="B6" s="5" t="n">
        <v>-61057195</v>
      </c>
      <c r="C6" s="5" t="n">
        <v>-63471450</v>
      </c>
      <c r="D6" s="5" t="n">
        <v>-40429835</v>
      </c>
      <c r="E6" s="5" t="n">
        <v>30054133</v>
      </c>
      <c r="F6" s="5" t="n">
        <v>-32002834</v>
      </c>
      <c r="I6" t="inlineStr">
        <is>
          <t>Net cash generated from/(used in) operating activities</t>
        </is>
      </c>
      <c r="J6" t="n">
        <v>-32002834</v>
      </c>
      <c r="K6" t="n">
        <v>30054133</v>
      </c>
      <c r="L6" t="n">
        <v>-40429835</v>
      </c>
      <c r="M6" t="n">
        <v>-63471450</v>
      </c>
      <c r="N6" t="n">
        <v>-61057195</v>
      </c>
      <c r="Q6" t="inlineStr">
        <is>
          <t>CET1 Ratio</t>
        </is>
      </c>
      <c r="R6" t="n">
        <v>26.72</v>
      </c>
      <c r="S6" t="n">
        <v>28.27</v>
      </c>
      <c r="T6" t="n">
        <v>31.04</v>
      </c>
      <c r="U6" t="n">
        <v>22.37</v>
      </c>
    </row>
    <row r="7">
      <c r="A7" s="5" t="inlineStr">
        <is>
          <t>Net cash used in investing activities</t>
        </is>
      </c>
      <c r="B7" s="5" t="n">
        <v>-2565811</v>
      </c>
      <c r="C7" s="5" t="n">
        <v>-3230461</v>
      </c>
      <c r="D7" s="5" t="n">
        <v>-2218021</v>
      </c>
      <c r="E7" s="5" t="n">
        <v>-4237752</v>
      </c>
      <c r="F7" s="5" t="n">
        <v>-2378005</v>
      </c>
      <c r="I7" t="inlineStr">
        <is>
          <t>Net cash used in investing activities</t>
        </is>
      </c>
      <c r="J7" t="n">
        <v>-2378005</v>
      </c>
      <c r="K7" t="n">
        <v>-4237752</v>
      </c>
      <c r="L7" t="n">
        <v>-2218021</v>
      </c>
      <c r="M7" t="n">
        <v>-3230461</v>
      </c>
      <c r="N7" t="n">
        <v>-2565811</v>
      </c>
      <c r="Q7" t="inlineStr">
        <is>
          <t>Leverage Ratio</t>
        </is>
      </c>
      <c r="R7" t="n">
        <v>15.2</v>
      </c>
      <c r="S7" t="n">
        <v>23.86</v>
      </c>
      <c r="T7" t="n">
        <v>25.88</v>
      </c>
      <c r="U7" t="n">
        <v>14.66</v>
      </c>
    </row>
    <row r="8">
      <c r="A8" s="5" t="inlineStr">
        <is>
          <t>Net cash generated from/(used in) financing activities</t>
        </is>
      </c>
      <c r="B8" s="5" t="n">
        <v>18249803</v>
      </c>
      <c r="C8" s="5" t="n">
        <v>12597740</v>
      </c>
      <c r="D8" s="5" t="n">
        <v>-874791</v>
      </c>
      <c r="E8" s="5" t="n">
        <v>49037663</v>
      </c>
      <c r="F8" s="5" t="n">
        <v>-849159</v>
      </c>
      <c r="I8" t="inlineStr">
        <is>
          <t>Net cash generated from/(used in) financing activities</t>
        </is>
      </c>
      <c r="J8" t="n">
        <v>-849159</v>
      </c>
      <c r="K8" t="n">
        <v>49037663</v>
      </c>
      <c r="L8" t="n">
        <v>-874791</v>
      </c>
      <c r="M8" t="n">
        <v>12597740</v>
      </c>
      <c r="N8" t="n">
        <v>18249803</v>
      </c>
      <c r="Q8" t="inlineStr">
        <is>
          <t>LCR</t>
        </is>
      </c>
      <c r="R8" t="n">
        <v>378.34</v>
      </c>
      <c r="S8" t="n">
        <v>409.87</v>
      </c>
      <c r="T8" t="n">
        <v>370.09</v>
      </c>
      <c r="U8" t="n">
        <v>256.31</v>
      </c>
    </row>
    <row r="9">
      <c r="A9" s="5" t="inlineStr">
        <is>
          <t>Cash and cash equivalents at the end of the year</t>
        </is>
      </c>
      <c r="B9" s="5" t="n">
        <v>331086867</v>
      </c>
      <c r="C9" s="5" t="n">
        <v>376370085</v>
      </c>
      <c r="D9" s="5" t="n">
        <v>430365754</v>
      </c>
      <c r="E9" s="5" t="n">
        <v>473775651</v>
      </c>
      <c r="F9" s="5" t="n">
        <v>398759558</v>
      </c>
      <c r="I9" t="inlineStr">
        <is>
          <t>Cash and cash equivalents at the end of the year</t>
        </is>
      </c>
      <c r="J9" t="n">
        <v>398759558</v>
      </c>
      <c r="K9" t="n">
        <v>473775651</v>
      </c>
      <c r="L9" t="n">
        <v>430365754</v>
      </c>
      <c r="M9" t="n">
        <v>376370085</v>
      </c>
      <c r="N9" t="n">
        <v>331086867</v>
      </c>
      <c r="Q9" t="inlineStr">
        <is>
          <t>NSFR</t>
        </is>
      </c>
      <c r="S9" t="n">
        <v>292.79</v>
      </c>
      <c r="T9" t="n">
        <v>273.27</v>
      </c>
      <c r="U9" t="n">
        <v>255.98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n"/>
      <c r="C13" s="6" t="inlineStr">
        <is>
          <t>22.37%</t>
        </is>
      </c>
      <c r="D13" s="6" t="inlineStr">
        <is>
          <t>31.04%</t>
        </is>
      </c>
      <c r="E13" s="6" t="inlineStr">
        <is>
          <t>28.27%</t>
        </is>
      </c>
      <c r="F13" s="6" t="inlineStr">
        <is>
          <t>26.72%</t>
        </is>
      </c>
    </row>
    <row r="14">
      <c r="A14" s="6" t="inlineStr">
        <is>
          <t>Leverage Ratio</t>
        </is>
      </c>
      <c r="B14" s="6" t="n"/>
      <c r="C14" s="6" t="inlineStr">
        <is>
          <t>14.66%</t>
        </is>
      </c>
      <c r="D14" s="6" t="inlineStr">
        <is>
          <t>25.88%</t>
        </is>
      </c>
      <c r="E14" s="6" t="inlineStr">
        <is>
          <t>23.86%</t>
        </is>
      </c>
      <c r="F14" s="6" t="inlineStr">
        <is>
          <t>15.20%</t>
        </is>
      </c>
    </row>
    <row r="15">
      <c r="A15" s="6" t="inlineStr">
        <is>
          <t>LCR</t>
        </is>
      </c>
      <c r="B15" s="6" t="n"/>
      <c r="C15" s="6" t="inlineStr">
        <is>
          <t>256.31%</t>
        </is>
      </c>
      <c r="D15" s="6" t="inlineStr">
        <is>
          <t>370.09%</t>
        </is>
      </c>
      <c r="E15" s="6" t="inlineStr">
        <is>
          <t>409.87%</t>
        </is>
      </c>
      <c r="F15" s="6" t="inlineStr">
        <is>
          <t>378.34%</t>
        </is>
      </c>
    </row>
    <row r="16">
      <c r="A16" s="6" t="inlineStr">
        <is>
          <t>NSFR</t>
        </is>
      </c>
      <c r="B16" s="6" t="n"/>
      <c r="C16" s="6" t="inlineStr">
        <is>
          <t>255.98%</t>
        </is>
      </c>
      <c r="D16" s="6" t="inlineStr">
        <is>
          <t>273.27%</t>
        </is>
      </c>
      <c r="E16" s="6" t="inlineStr">
        <is>
          <t>292.79%</t>
        </is>
      </c>
      <c r="F16" s="6" t="n"/>
    </row>
    <row r="18" ht="45" customHeight="1">
      <c r="A18" s="7" t="inlineStr">
        <is>
          <t>Note: GHIB is a UK-incorporated PLC (registered England &amp; Wales no. 03468216, a subsidiary of the Government of Ghana) that reports in GBP throughout - no currency conversion applied. Pillar 3 figures are not yet available for FY2025 (see the Pillar 3 sheets' own source notes). Figures are duplicated from the detail sheets for at-a-glance trend viewing; see each sheet's own source citation for the underlying document/page.</t>
        </is>
      </c>
    </row>
  </sheetData>
  <mergeCells count="1">
    <mergeCell ref="A18:F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Statement of Cash Flow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taxation</t>
        </is>
      </c>
      <c r="B5" s="6" t="n">
        <v>7026619</v>
      </c>
      <c r="C5" s="6" t="n">
        <v>5836762</v>
      </c>
      <c r="D5" s="6" t="n">
        <v>4258102</v>
      </c>
      <c r="E5" s="6" t="n">
        <v>-10119946</v>
      </c>
      <c r="F5" s="6" t="n">
        <v>-12470381</v>
      </c>
    </row>
    <row r="6">
      <c r="A6" s="6" t="inlineStr">
        <is>
          <t>Foreign currency income - Translation of assets &amp; liabilities</t>
        </is>
      </c>
      <c r="B6" s="6" t="n">
        <v>-856667</v>
      </c>
      <c r="C6" s="6" t="n">
        <v>-748521</v>
      </c>
      <c r="D6" s="6" t="n">
        <v>-525892</v>
      </c>
      <c r="E6" s="6" t="n">
        <v>-661420</v>
      </c>
      <c r="F6" s="6" t="n">
        <v>-297613</v>
      </c>
    </row>
    <row r="7">
      <c r="A7" s="6" t="inlineStr">
        <is>
          <t>Depreciation and amortisation</t>
        </is>
      </c>
      <c r="B7" s="6" t="n">
        <v>3318426</v>
      </c>
      <c r="C7" s="6" t="n">
        <v>2383646</v>
      </c>
      <c r="D7" s="6" t="n">
        <v>2277366</v>
      </c>
      <c r="E7" s="6" t="n">
        <v>1682232</v>
      </c>
      <c r="F7" s="6" t="n">
        <v>1258265</v>
      </c>
    </row>
    <row r="8">
      <c r="A8" s="6" t="inlineStr">
        <is>
          <t>Lease finance charge</t>
        </is>
      </c>
      <c r="B8" s="6" t="n">
        <v>168908</v>
      </c>
      <c r="C8" s="6" t="n">
        <v>165240</v>
      </c>
      <c r="D8" s="6" t="n">
        <v>140727</v>
      </c>
      <c r="E8" s="6" t="n">
        <v>159254</v>
      </c>
      <c r="F8" s="6" t="n">
        <v>168528</v>
      </c>
    </row>
    <row r="9">
      <c r="A9" s="6" t="inlineStr">
        <is>
          <t>(Reversal of provisions)/provisions for credit losses</t>
        </is>
      </c>
      <c r="B9" s="6" t="n">
        <v>-82778</v>
      </c>
      <c r="C9" s="6" t="n">
        <v>408819</v>
      </c>
      <c r="D9" s="6" t="n">
        <v>-1024498</v>
      </c>
      <c r="E9" s="6" t="n">
        <v>1986487</v>
      </c>
      <c r="F9" s="6" t="n">
        <v>1090971</v>
      </c>
    </row>
    <row r="10">
      <c r="A10" s="6" t="inlineStr">
        <is>
          <t>Gain on disposal of fixed asset</t>
        </is>
      </c>
      <c r="B10" s="6" t="n">
        <v>-5164</v>
      </c>
      <c r="C10" s="6" t="n"/>
      <c r="D10" s="6" t="n"/>
      <c r="E10" s="6" t="n">
        <v>-4404</v>
      </c>
      <c r="F10" s="6" t="n">
        <v>-7648</v>
      </c>
    </row>
    <row r="11">
      <c r="A11" s="6" t="inlineStr">
        <is>
          <t>Net interest income and other non-cash items</t>
        </is>
      </c>
      <c r="B11" s="6" t="n">
        <v>-5354639</v>
      </c>
      <c r="C11" s="6" t="n">
        <v>6709610</v>
      </c>
      <c r="D11" s="6" t="n">
        <v>-790883</v>
      </c>
      <c r="E11" s="6" t="n"/>
      <c r="F11" s="6" t="n"/>
    </row>
    <row r="12">
      <c r="A12" s="6" t="inlineStr">
        <is>
          <t>Decrease/(increase) in loans and advances to banks and customers</t>
        </is>
      </c>
      <c r="B12" s="6" t="n">
        <v>-102290341</v>
      </c>
      <c r="C12" s="6" t="n">
        <v>-79379510</v>
      </c>
      <c r="D12" s="6" t="n">
        <v>-8318223</v>
      </c>
      <c r="E12" s="6" t="n">
        <v>37516914</v>
      </c>
      <c r="F12" s="6" t="n">
        <v>-40250490</v>
      </c>
    </row>
    <row r="13">
      <c r="A13" s="6" t="inlineStr">
        <is>
          <t>Decrease/(increase) in government and other securities</t>
        </is>
      </c>
      <c r="B13" s="6" t="n">
        <v>-56902275</v>
      </c>
      <c r="C13" s="6" t="n">
        <v>-246603941</v>
      </c>
      <c r="D13" s="6" t="n">
        <v>52729216</v>
      </c>
      <c r="E13" s="6" t="n">
        <v>-82184444</v>
      </c>
      <c r="F13" s="6" t="n">
        <v>-23355251</v>
      </c>
    </row>
    <row r="14">
      <c r="A14" s="6" t="inlineStr">
        <is>
          <t>Decrease/(increase) in prepayments and other receivables</t>
        </is>
      </c>
      <c r="B14" s="6" t="n">
        <v>1097161</v>
      </c>
      <c r="C14" s="6" t="n">
        <v>-2393680</v>
      </c>
      <c r="D14" s="6" t="n">
        <v>-488671</v>
      </c>
      <c r="E14" s="6" t="n">
        <v>43806</v>
      </c>
      <c r="F14" s="6" t="n">
        <v>-919472</v>
      </c>
    </row>
    <row r="15">
      <c r="A15" s="6" t="inlineStr">
        <is>
          <t>Increase/(decrease) in deposits by banks and customers</t>
        </is>
      </c>
      <c r="B15" s="6" t="n">
        <v>91632232</v>
      </c>
      <c r="C15" s="6" t="n">
        <v>247285853</v>
      </c>
      <c r="D15" s="6" t="n">
        <v>-90180843</v>
      </c>
      <c r="E15" s="6" t="n">
        <v>79813107</v>
      </c>
      <c r="F15" s="6" t="n">
        <v>43175607</v>
      </c>
    </row>
    <row r="16">
      <c r="A16" s="6" t="inlineStr">
        <is>
          <t>Increase/(decrease) in other liabilities</t>
        </is>
      </c>
      <c r="B16" s="6" t="n">
        <v>-40316</v>
      </c>
      <c r="C16" s="6" t="n">
        <v>382531</v>
      </c>
      <c r="D16" s="6" t="n">
        <v>-323153</v>
      </c>
      <c r="E16" s="6" t="n">
        <v>866972</v>
      </c>
      <c r="F16" s="6" t="n">
        <v>252000</v>
      </c>
    </row>
    <row r="17">
      <c r="A17" s="6" t="inlineStr">
        <is>
          <t>Increase/(decrease) in accruals and deferred income</t>
        </is>
      </c>
      <c r="B17" s="6" t="n">
        <v>1430553</v>
      </c>
      <c r="C17" s="6" t="n">
        <v>1574625</v>
      </c>
      <c r="D17" s="6" t="n">
        <v>1816917</v>
      </c>
      <c r="E17" s="6" t="n">
        <v>955575</v>
      </c>
      <c r="F17" s="6" t="n">
        <v>-647350</v>
      </c>
    </row>
    <row r="18">
      <c r="A18" s="6" t="inlineStr">
        <is>
          <t>Income taxes refunded</t>
        </is>
      </c>
      <c r="B18" s="6" t="n">
        <v>0</v>
      </c>
      <c r="C18" s="6" t="n">
        <v>945584</v>
      </c>
      <c r="D18" s="6" t="n"/>
      <c r="E18" s="6" t="n"/>
      <c r="F18" s="6" t="n"/>
    </row>
    <row r="19">
      <c r="A19" s="6" t="inlineStr">
        <is>
          <t>Foreign income taxes paid</t>
        </is>
      </c>
      <c r="B19" s="6" t="n">
        <v>-198914</v>
      </c>
      <c r="C19" s="6" t="n">
        <v>-38468</v>
      </c>
      <c r="D19" s="6" t="n"/>
      <c r="E19" s="6" t="n"/>
      <c r="F19" s="6" t="n"/>
    </row>
    <row r="20">
      <c r="A20" s="5" t="inlineStr">
        <is>
          <t>Net cash generated from/(used in) operating activities</t>
        </is>
      </c>
      <c r="B20" s="5" t="n">
        <v>-61057195</v>
      </c>
      <c r="C20" s="5" t="n">
        <v>-63471450</v>
      </c>
      <c r="D20" s="5" t="n">
        <v>-40429835</v>
      </c>
      <c r="E20" s="5" t="n">
        <v>30054133</v>
      </c>
      <c r="F20" s="5" t="n">
        <v>-32002834</v>
      </c>
    </row>
    <row r="21">
      <c r="A21" s="5" t="inlineStr">
        <is>
          <t>Cash flows from investing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Purchase of property, plant and equipment</t>
        </is>
      </c>
      <c r="B22" s="6" t="n">
        <v>-578036</v>
      </c>
      <c r="C22" s="6" t="n">
        <v>-478827</v>
      </c>
      <c r="D22" s="6" t="n">
        <v>-303289</v>
      </c>
      <c r="E22" s="6" t="n">
        <v>-786227</v>
      </c>
      <c r="F22" s="6" t="n">
        <v>-800543</v>
      </c>
    </row>
    <row r="23">
      <c r="A23" s="6" t="inlineStr">
        <is>
          <t>Purchase of intangible assets</t>
        </is>
      </c>
      <c r="B23" s="6" t="n">
        <v>-1992939</v>
      </c>
      <c r="C23" s="6" t="n">
        <v>-2751634</v>
      </c>
      <c r="D23" s="6" t="n">
        <v>-1914732</v>
      </c>
      <c r="E23" s="6" t="n">
        <v>-3455929</v>
      </c>
      <c r="F23" s="6" t="n">
        <v>-1585110</v>
      </c>
    </row>
    <row r="24">
      <c r="A24" s="6" t="inlineStr">
        <is>
          <t>Proceeds from sale of fixed asset</t>
        </is>
      </c>
      <c r="B24" s="6" t="n">
        <v>5164</v>
      </c>
      <c r="C24" s="6" t="n"/>
      <c r="D24" s="6" t="n"/>
      <c r="E24" s="6" t="n">
        <v>4404</v>
      </c>
      <c r="F24" s="6" t="n">
        <v>7648</v>
      </c>
    </row>
    <row r="25">
      <c r="A25" s="5" t="inlineStr">
        <is>
          <t>Net cash used in investing activities</t>
        </is>
      </c>
      <c r="B25" s="5" t="n">
        <v>-2565811</v>
      </c>
      <c r="C25" s="5" t="n">
        <v>-3230461</v>
      </c>
      <c r="D25" s="5" t="n">
        <v>-2218021</v>
      </c>
      <c r="E25" s="5" t="n">
        <v>-4237752</v>
      </c>
      <c r="F25" s="5" t="n">
        <v>-2378005</v>
      </c>
    </row>
    <row r="26">
      <c r="A26" s="5" t="inlineStr">
        <is>
          <t>Cash flows from financing activities</t>
        </is>
      </c>
      <c r="B26" s="6" t="n"/>
      <c r="C26" s="6" t="n"/>
      <c r="D26" s="6" t="n"/>
      <c r="E26" s="6" t="n"/>
      <c r="F26" s="6" t="n"/>
    </row>
    <row r="27">
      <c r="A27" s="6" t="inlineStr">
        <is>
          <t>Dividends paid</t>
        </is>
      </c>
      <c r="B27" s="6" t="n">
        <v>-847741</v>
      </c>
      <c r="C27" s="6" t="n">
        <v>-622459</v>
      </c>
      <c r="D27" s="6" t="n"/>
      <c r="E27" s="6" t="n"/>
      <c r="F27" s="6" t="n"/>
    </row>
    <row r="28">
      <c r="A28" s="6" t="inlineStr">
        <is>
          <t>Net increase in term financing</t>
        </is>
      </c>
      <c r="B28" s="6" t="n">
        <v>19945689</v>
      </c>
      <c r="C28" s="6" t="n">
        <v>14377227</v>
      </c>
      <c r="D28" s="6" t="n"/>
      <c r="E28" s="6" t="n"/>
      <c r="F28" s="6" t="n"/>
    </row>
    <row r="29">
      <c r="A29" s="6" t="inlineStr">
        <is>
          <t>Proceeds from an equity share issue (net of issuance cost)</t>
        </is>
      </c>
      <c r="B29" s="6" t="n"/>
      <c r="C29" s="6" t="n"/>
      <c r="D29" s="6" t="n"/>
      <c r="E29" s="6" t="n">
        <v>49952714</v>
      </c>
      <c r="F29" s="6" t="n"/>
    </row>
    <row r="30">
      <c r="A30" s="6" t="inlineStr">
        <is>
          <t>Repayment of lease liabilities</t>
        </is>
      </c>
      <c r="B30" s="6" t="n">
        <v>-848145</v>
      </c>
      <c r="C30" s="6" t="n">
        <v>-1157028</v>
      </c>
      <c r="D30" s="6" t="n">
        <v>-874791</v>
      </c>
      <c r="E30" s="6" t="n">
        <v>-915051</v>
      </c>
      <c r="F30" s="6" t="n">
        <v>-849159</v>
      </c>
    </row>
    <row r="31">
      <c r="A31" s="5" t="inlineStr">
        <is>
          <t>Net cash generated from/(used in) financing activities</t>
        </is>
      </c>
      <c r="B31" s="5" t="n">
        <v>18249803</v>
      </c>
      <c r="C31" s="5" t="n">
        <v>12597740</v>
      </c>
      <c r="D31" s="5" t="n">
        <v>-874791</v>
      </c>
      <c r="E31" s="5" t="n">
        <v>49037663</v>
      </c>
      <c r="F31" s="5" t="n">
        <v>-849159</v>
      </c>
    </row>
    <row r="32">
      <c r="A32" s="5" t="inlineStr">
        <is>
          <t>(Decrease)/increase in cash and cash equivalents</t>
        </is>
      </c>
      <c r="B32" s="5" t="n">
        <v>-45373203</v>
      </c>
      <c r="C32" s="5" t="n">
        <v>-54104171</v>
      </c>
      <c r="D32" s="5" t="n">
        <v>-43522647</v>
      </c>
      <c r="E32" s="5" t="n">
        <v>74854044</v>
      </c>
      <c r="F32" s="5" t="n">
        <v>-35229998</v>
      </c>
    </row>
    <row r="33">
      <c r="A33" s="6" t="inlineStr">
        <is>
          <t>Effect of exchange rate changes on cash and cash equivalents</t>
        </is>
      </c>
      <c r="B33" s="6" t="n">
        <v>89985</v>
      </c>
      <c r="C33" s="6" t="n">
        <v>108502</v>
      </c>
      <c r="D33" s="6" t="n">
        <v>112750</v>
      </c>
      <c r="E33" s="6" t="n">
        <v>162049</v>
      </c>
      <c r="F33" s="6" t="n">
        <v>71416</v>
      </c>
    </row>
    <row r="34">
      <c r="A34" s="5" t="inlineStr">
        <is>
          <t>Net (decrease)/increase in cash and cash equivalents</t>
        </is>
      </c>
      <c r="B34" s="5" t="n">
        <v>-45283218</v>
      </c>
      <c r="C34" s="5" t="n">
        <v>-53995669</v>
      </c>
      <c r="D34" s="5" t="n">
        <v>-43409897</v>
      </c>
      <c r="E34" s="5" t="n">
        <v>75016093</v>
      </c>
      <c r="F34" s="5" t="n">
        <v>-35158582</v>
      </c>
    </row>
    <row r="35">
      <c r="A35" s="6" t="inlineStr">
        <is>
          <t>Cash and cash equivalents at the beginning of the year</t>
        </is>
      </c>
      <c r="B35" s="6" t="n">
        <v>376370085</v>
      </c>
      <c r="C35" s="6" t="n">
        <v>430365754</v>
      </c>
      <c r="D35" s="6" t="n">
        <v>473775651</v>
      </c>
      <c r="E35" s="6" t="n">
        <v>398759558</v>
      </c>
      <c r="F35" s="6" t="n">
        <v>433918140</v>
      </c>
    </row>
    <row r="36">
      <c r="A36" s="5" t="inlineStr">
        <is>
          <t>Cash and cash equivalents at the end of the year</t>
        </is>
      </c>
      <c r="B36" s="5" t="n">
        <v>331086867</v>
      </c>
      <c r="C36" s="5" t="n">
        <v>376370085</v>
      </c>
      <c r="D36" s="5" t="n">
        <v>430365754</v>
      </c>
      <c r="E36" s="5" t="n">
        <v>473775651</v>
      </c>
      <c r="F36" s="5" t="n">
        <v>398759558</v>
      </c>
    </row>
    <row r="38" ht="210" customHeight="1">
      <c r="A38" s="8" t="inlineStr">
        <is>
          <t>Sources - all figures are Ghana International Bank Plc's own Statement of Cash Flow, £:
FY2025 &amp; FY2024: Annual Report and Financial Statements 2025, p.76 (Statement of Cash Flow) - https://www.ghanabank.co.uk/app/uploads/2026/04/GHIB-ANNUAL-REPORT-2025-2-page-view.pdf
FY2024 &amp; FY2023: Annual Report and Financial Statements 2024, p.82 (Statement of cash flow) - https://www.ghanabank.co.uk/app/uploads/2025/04/GHIB-ANNUAL-REPORT-2024.pdf
FY2022 &amp; FY2021: Annual Report and Financial Statements 2022, p.49 (Statement of cash flow) - https://www.ghanabank.co.uk/app/uploads/2023/03/GHIB-Annual-Report-and-Financial-Statements-2022-.pdf
(FY2022 report is a scanned/image-only Companies House filing with no text layer - transcribed by direct visual reading of the rendered page.)
Note: FY2023/FY2024/FY2025 statements include an additional adjustment line, 'Net interest income and other non-cash items', not present in the FY2021/FY2022 presentation - this is a genuine year-on-year presentation change by the Bank, not a missing figure; the blank cells for FY2021/FY2022 reflect that this split simply wasn't disclosed that way in those years' accounts. Section totals (net cash from operating/investing/financing activities, cash and cash equivalents) are consistent and comparable across all 5 years.</t>
        </is>
      </c>
    </row>
  </sheetData>
  <mergeCells count="1">
    <mergeCell ref="A38:F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/>
      <c r="C4" s="6" t="n">
        <v>700374</v>
      </c>
      <c r="D4" s="6" t="n">
        <v>493080</v>
      </c>
      <c r="E4" s="6" t="n">
        <v>537708</v>
      </c>
      <c r="F4" s="6" t="n">
        <v>450231</v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 excluding claims on central banks</t>
        </is>
      </c>
      <c r="B4" s="6" t="n"/>
      <c r="C4" s="6" t="inlineStr">
        <is>
          <t>14.66%</t>
        </is>
      </c>
      <c r="D4" s="6" t="inlineStr">
        <is>
          <t>25.88%</t>
        </is>
      </c>
      <c r="E4" s="6" t="inlineStr">
        <is>
          <t>23.86%</t>
        </is>
      </c>
      <c r="F4" s="6" t="inlineStr">
        <is>
          <t>15.20%</t>
        </is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n"/>
      <c r="C4" s="6" t="inlineStr">
        <is>
          <t>256.31%</t>
        </is>
      </c>
      <c r="D4" s="6" t="inlineStr">
        <is>
          <t>370.09%</t>
        </is>
      </c>
      <c r="E4" s="6" t="inlineStr">
        <is>
          <t>409.87%</t>
        </is>
      </c>
      <c r="F4" s="6" t="inlineStr">
        <is>
          <t>378.34%</t>
        </is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n"/>
      <c r="C4" s="6" t="inlineStr">
        <is>
          <t>255.98%</t>
        </is>
      </c>
      <c r="D4" s="6" t="inlineStr">
        <is>
          <t>273.27%</t>
        </is>
      </c>
      <c r="E4" s="6" t="inlineStr">
        <is>
          <t>292.79%</t>
        </is>
      </c>
      <c r="F4" s="6" t="n"/>
    </row>
    <row r="5" ht="60" customHeight="1">
      <c r="A5" s="7" t="inlineStr">
        <is>
          <t>Note: NSFR only reported from FY2022 onward - the Bank states comparable figures for earlier periods are not available because the NSFR rules introduced under CRR2 only commenced on 1 January 2022.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any year - GHIB is not a UK resolution entity subject to MREL.</t>
        </is>
      </c>
    </row>
    <row r="7" ht="15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2026-08-28T09:27:07Z</dcterms:created>
  <dcterms:modified xsi:type="dcterms:W3CDTF">2026-08-28T09:27:07Z</dcterms:modified>
</cp:coreProperties>
</file>