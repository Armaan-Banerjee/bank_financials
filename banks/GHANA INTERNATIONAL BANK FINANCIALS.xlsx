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'Overview'!AM25</f>
            </strRef>
          </tx>
          <spPr>
            <a:ln xmlns:a="http://schemas.openxmlformats.org/drawingml/2006/main">
              <a:prstDash val="solid"/>
            </a:ln>
          </spPr>
          <cat>
            <numRef>
              <f>'Overview'!$AN$24:$AT$24</f>
            </numRef>
          </cat>
          <val>
            <numRef>
              <f>'Overview'!$AN$25:$AT$25</f>
            </numRef>
          </val>
        </ser>
        <ser>
          <idx val="1"/>
          <order val="1"/>
          <tx>
            <strRef>
              <f>'Overview'!AM26</f>
            </strRef>
          </tx>
          <spPr>
            <a:ln xmlns:a="http://schemas.openxmlformats.org/drawingml/2006/main">
              <a:prstDash val="solid"/>
            </a:ln>
          </spPr>
          <cat>
            <numRef>
              <f>'Overview'!$AN$24:$AT$24</f>
            </numRef>
          </cat>
          <val>
            <numRef>
              <f>'Overview'!$AN$26:$AT$26</f>
            </numRef>
          </val>
        </ser>
        <ser>
          <idx val="2"/>
          <order val="2"/>
          <tx>
            <strRef>
              <f>'Overview'!AM27</f>
            </strRef>
          </tx>
          <spPr>
            <a:ln xmlns:a="http://schemas.openxmlformats.org/drawingml/2006/main">
              <a:prstDash val="solid"/>
            </a:ln>
          </spPr>
          <cat>
            <numRef>
              <f>'Overview'!$AN$24:$AT$24</f>
            </numRef>
          </cat>
          <val>
            <numRef>
              <f>'Overview'!$AN$27:$AT$27</f>
            </numRef>
          </val>
        </ser>
        <ser>
          <idx val="3"/>
          <order val="3"/>
          <tx>
            <strRef>
              <f>'Overview'!AM28</f>
            </strRef>
          </tx>
          <spPr>
            <a:ln xmlns:a="http://schemas.openxmlformats.org/drawingml/2006/main">
              <a:prstDash val="solid"/>
            </a:ln>
          </spPr>
          <cat>
            <numRef>
              <f>'Overview'!$AN$24:$AT$24</f>
            </numRef>
          </cat>
          <val>
            <numRef>
              <f>'Overview'!$AN$28:$AT$28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'Overview'!$AX$6:$BD$6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'Overview'!$AX$7:$BD$7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'Overview'!$AX$8:$BD$8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'Overview'!$AX$9:$BD$9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X5" t="inlineStr">
        <is>
          <t>FY2019</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1184847200</v>
      </c>
      <c r="C6" s="5" t="n">
        <v>1095686063</v>
      </c>
      <c r="D6" s="5" t="n">
        <v>800648688</v>
      </c>
      <c r="E6" s="5" t="n">
        <v>899850273</v>
      </c>
      <c r="F6" s="5" t="n">
        <v>766627624</v>
      </c>
      <c r="G6" s="5" t="n">
        <v>746473535</v>
      </c>
      <c r="H6" s="5" t="n">
        <v>676561478</v>
      </c>
      <c r="K6" t="inlineStr">
        <is>
          <t>Total assets</t>
        </is>
      </c>
      <c r="L6" t="n">
        <v>676561478</v>
      </c>
      <c r="M6" t="n">
        <v>746473535</v>
      </c>
      <c r="N6" t="n">
        <v>766627624</v>
      </c>
      <c r="O6" t="n">
        <v>899850273</v>
      </c>
      <c r="P6" t="n">
        <v>800648688</v>
      </c>
      <c r="Q6" t="n">
        <v>1095686063</v>
      </c>
      <c r="R6" t="n">
        <v>1184847200</v>
      </c>
      <c r="AW6" t="inlineStr">
        <is>
          <t>CET1 Ratio</t>
        </is>
      </c>
      <c r="AX6" t="n">
        <v>41.86</v>
      </c>
      <c r="AY6" t="n">
        <v>35.33</v>
      </c>
      <c r="AZ6" t="n">
        <v>26.72</v>
      </c>
      <c r="BA6" t="n">
        <v>28.27</v>
      </c>
      <c r="BB6" t="n">
        <v>31.04</v>
      </c>
      <c r="BC6" t="n">
        <v>22.37</v>
      </c>
      <c r="BD6" t="n">
        <v>21.52</v>
      </c>
    </row>
    <row r="7">
      <c r="A7" s="5" t="inlineStr">
        <is>
          <t>Loans and advances to customers</t>
        </is>
      </c>
      <c r="B7" s="5" t="n">
        <v>152082149</v>
      </c>
      <c r="C7" s="5" t="n">
        <v>57178671</v>
      </c>
      <c r="D7" s="5" t="n">
        <v>53066533</v>
      </c>
      <c r="E7" s="5" t="n">
        <v>65038106</v>
      </c>
      <c r="F7" s="5" t="n">
        <v>89440019</v>
      </c>
      <c r="G7" s="5" t="n">
        <v>72138823</v>
      </c>
      <c r="H7" s="5" t="n">
        <v>80109596</v>
      </c>
      <c r="K7" t="inlineStr">
        <is>
          <t>Loans and advances to customers</t>
        </is>
      </c>
      <c r="L7" t="n">
        <v>80109596</v>
      </c>
      <c r="M7" t="n">
        <v>72138823</v>
      </c>
      <c r="N7" t="n">
        <v>89440019</v>
      </c>
      <c r="O7" t="n">
        <v>65038106</v>
      </c>
      <c r="P7" t="n">
        <v>53066533</v>
      </c>
      <c r="Q7" t="n">
        <v>57178671</v>
      </c>
      <c r="R7" t="n">
        <v>152082149</v>
      </c>
      <c r="AW7" t="inlineStr">
        <is>
          <t>Leverage Ratio</t>
        </is>
      </c>
      <c r="AX7" t="n">
        <v>20.06</v>
      </c>
      <c r="AY7" t="n">
        <v>17.14</v>
      </c>
      <c r="AZ7" t="n">
        <v>15.2</v>
      </c>
      <c r="BA7" t="n">
        <v>23.86</v>
      </c>
      <c r="BB7" t="n">
        <v>25.88</v>
      </c>
      <c r="BC7" t="n">
        <v>14.66</v>
      </c>
      <c r="BD7" t="n">
        <v>14.17</v>
      </c>
    </row>
    <row r="8">
      <c r="A8" s="5" t="inlineStr">
        <is>
          <t>Amounts owed to depositors</t>
        </is>
      </c>
      <c r="B8" s="5" t="n">
        <v>393649207</v>
      </c>
      <c r="C8" s="5" t="n">
        <v>255765401</v>
      </c>
      <c r="D8" s="5" t="n">
        <v>270972181</v>
      </c>
      <c r="E8" s="5" t="n">
        <v>347038076</v>
      </c>
      <c r="F8" s="5" t="n">
        <v>258550273</v>
      </c>
      <c r="G8" s="5" t="n">
        <v>276077311</v>
      </c>
      <c r="H8" s="5" t="n">
        <v>219743960</v>
      </c>
      <c r="K8" t="inlineStr">
        <is>
          <t>Amounts owed to depositors</t>
        </is>
      </c>
      <c r="L8" t="n">
        <v>219743960</v>
      </c>
      <c r="M8" t="n">
        <v>276077311</v>
      </c>
      <c r="N8" t="n">
        <v>258550273</v>
      </c>
      <c r="O8" t="n">
        <v>347038076</v>
      </c>
      <c r="P8" t="n">
        <v>270972181</v>
      </c>
      <c r="Q8" t="n">
        <v>255765401</v>
      </c>
      <c r="R8" t="n">
        <v>393649207</v>
      </c>
      <c r="AW8" t="inlineStr">
        <is>
          <t>LCR</t>
        </is>
      </c>
      <c r="AX8" t="n">
        <v>278.41</v>
      </c>
      <c r="AY8" t="n">
        <v>310.06</v>
      </c>
      <c r="AZ8" t="n">
        <v>378.34</v>
      </c>
      <c r="BA8" t="n">
        <v>409.87</v>
      </c>
      <c r="BB8" t="n">
        <v>370.09</v>
      </c>
      <c r="BC8" t="n">
        <v>256.31</v>
      </c>
      <c r="BD8" t="n">
        <v>213.49</v>
      </c>
    </row>
    <row r="9">
      <c r="A9" s="5" t="inlineStr">
        <is>
          <t>Total Equity</t>
        </is>
      </c>
      <c r="B9" s="5" t="n">
        <v>174718204</v>
      </c>
      <c r="C9" s="5" t="n">
        <v>168466456</v>
      </c>
      <c r="D9" s="5" t="n">
        <v>162328173</v>
      </c>
      <c r="E9" s="5" t="n">
        <v>157848993</v>
      </c>
      <c r="F9" s="5" t="n">
        <v>120065401</v>
      </c>
      <c r="G9" s="5" t="n">
        <v>131806062</v>
      </c>
      <c r="H9" s="5" t="n">
        <v>137002091</v>
      </c>
      <c r="K9" t="inlineStr">
        <is>
          <t>Total Equity</t>
        </is>
      </c>
      <c r="L9" t="n">
        <v>137002091</v>
      </c>
      <c r="M9" t="n">
        <v>131806062</v>
      </c>
      <c r="N9" t="n">
        <v>120065401</v>
      </c>
      <c r="O9" t="n">
        <v>157848993</v>
      </c>
      <c r="P9" t="n">
        <v>162328173</v>
      </c>
      <c r="Q9" t="n">
        <v>168466456</v>
      </c>
      <c r="R9" t="n">
        <v>174718204</v>
      </c>
      <c r="AW9" t="inlineStr">
        <is>
          <t>NSFR</t>
        </is>
      </c>
      <c r="AY9" t="n">
        <v>198</v>
      </c>
      <c r="AZ9" t="n">
        <v>195</v>
      </c>
      <c r="BA9" t="n">
        <v>292.79</v>
      </c>
      <c r="BB9" t="n">
        <v>273.27</v>
      </c>
      <c r="BC9" t="n">
        <v>255.98</v>
      </c>
      <c r="BD9" t="n">
        <v>181.39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v>22217783</v>
      </c>
      <c r="U13" t="inlineStr">
        <is>
          <t>Operating income</t>
        </is>
      </c>
      <c r="V13" t="n">
        <v>22217783</v>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v>-21734960</v>
      </c>
      <c r="U14" t="inlineStr">
        <is>
          <t>Total operating expenses</t>
        </is>
      </c>
      <c r="V14" t="n">
        <v>-21734960</v>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v>639351</v>
      </c>
      <c r="U15" t="inlineStr">
        <is>
          <t>Profit/(Loss) for the year</t>
        </is>
      </c>
      <c r="V15" t="n">
        <v>639351</v>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168466456</v>
      </c>
      <c r="C19" s="5" t="n">
        <v>162328173</v>
      </c>
      <c r="D19" s="5" t="n">
        <v>157848993</v>
      </c>
      <c r="E19" s="5" t="n">
        <v>120065401</v>
      </c>
      <c r="F19" s="5" t="n">
        <v>131806062</v>
      </c>
      <c r="AE19" t="inlineStr">
        <is>
          <t>Opening equity</t>
        </is>
      </c>
      <c r="AF19" t="n">
        <v>131806062</v>
      </c>
      <c r="AG19" t="n">
        <v>120065401</v>
      </c>
      <c r="AH19" t="n">
        <v>157848993</v>
      </c>
      <c r="AI19" t="n">
        <v>162328173</v>
      </c>
      <c r="AJ19" t="n">
        <v>168466456</v>
      </c>
    </row>
    <row r="20">
      <c r="A20" s="5" t="inlineStr">
        <is>
          <t>Total comprehensive income/(loss) for the year</t>
        </is>
      </c>
      <c r="B20" s="5" t="n">
        <v>7099489</v>
      </c>
      <c r="C20" s="5" t="n">
        <v>6760742</v>
      </c>
      <c r="D20" s="5" t="n">
        <v>4479180</v>
      </c>
      <c r="E20" s="5" t="n">
        <v>-12169122</v>
      </c>
      <c r="F20" s="5" t="n">
        <v>-11740661</v>
      </c>
      <c r="AE20" t="inlineStr">
        <is>
          <t>Total comprehensive income/(loss) for the year</t>
        </is>
      </c>
      <c r="AF20" t="n">
        <v>-11740661</v>
      </c>
      <c r="AG20" t="n">
        <v>-12169122</v>
      </c>
      <c r="AH20" t="n">
        <v>4479180</v>
      </c>
      <c r="AI20" t="n">
        <v>6760742</v>
      </c>
      <c r="AJ20" t="n">
        <v>7099489</v>
      </c>
    </row>
    <row r="21">
      <c r="A21" s="5" t="inlineStr">
        <is>
          <t>Closing equity</t>
        </is>
      </c>
      <c r="B21" s="5" t="n">
        <v>174718204</v>
      </c>
      <c r="C21" s="5" t="n">
        <v>168466456</v>
      </c>
      <c r="D21" s="5" t="n">
        <v>162328173</v>
      </c>
      <c r="E21" s="5" t="n">
        <v>157848993</v>
      </c>
      <c r="F21" s="5" t="n">
        <v>120065401</v>
      </c>
      <c r="AE21" t="inlineStr">
        <is>
          <t>Closing equity</t>
        </is>
      </c>
      <c r="AF21" t="n">
        <v>120065401</v>
      </c>
      <c r="AG21" t="n">
        <v>157848993</v>
      </c>
      <c r="AH21" t="n">
        <v>162328173</v>
      </c>
      <c r="AI21" t="n">
        <v>168466456</v>
      </c>
      <c r="AJ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N24" t="inlineStr">
        <is>
          <t>FY2019</t>
        </is>
      </c>
      <c r="AO24" t="inlineStr">
        <is>
          <t>FY2020</t>
        </is>
      </c>
      <c r="AP24" t="inlineStr">
        <is>
          <t>FY2021</t>
        </is>
      </c>
      <c r="AQ24" t="inlineStr">
        <is>
          <t>FY2022</t>
        </is>
      </c>
      <c r="AR24" t="inlineStr">
        <is>
          <t>FY2023</t>
        </is>
      </c>
      <c r="AS24" t="inlineStr">
        <is>
          <t>FY2024</t>
        </is>
      </c>
      <c r="AT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v>-40779356</v>
      </c>
      <c r="AM25" t="inlineStr">
        <is>
          <t>Net cash generated from/(used in) operating activities</t>
        </is>
      </c>
      <c r="AN25" t="n">
        <v>-40779356</v>
      </c>
      <c r="AO25" t="n">
        <v>114829689</v>
      </c>
      <c r="AP25" t="n">
        <v>-32002834</v>
      </c>
      <c r="AQ25" t="n">
        <v>30054133</v>
      </c>
      <c r="AR25" t="n">
        <v>-40429835</v>
      </c>
      <c r="AS25" t="n">
        <v>-63471450</v>
      </c>
      <c r="AT25" t="n">
        <v>-61057195</v>
      </c>
    </row>
    <row r="26">
      <c r="A26" s="5" t="inlineStr">
        <is>
          <t>Net cash used in investing activities</t>
        </is>
      </c>
      <c r="B26" s="5" t="n">
        <v>-2565811</v>
      </c>
      <c r="C26" s="5" t="n">
        <v>-3230461</v>
      </c>
      <c r="D26" s="5" t="n">
        <v>-2218021</v>
      </c>
      <c r="E26" s="5" t="n">
        <v>-4237752</v>
      </c>
      <c r="F26" s="5" t="n">
        <v>-2378005</v>
      </c>
      <c r="G26" s="5" t="n">
        <v>-1967352</v>
      </c>
      <c r="H26" s="5" t="n">
        <v>-887404</v>
      </c>
      <c r="AM26" t="inlineStr">
        <is>
          <t>Net cash used in investing activities</t>
        </is>
      </c>
      <c r="AN26" t="n">
        <v>-887404</v>
      </c>
      <c r="AO26" t="n">
        <v>-1967352</v>
      </c>
      <c r="AP26" t="n">
        <v>-2378005</v>
      </c>
      <c r="AQ26" t="n">
        <v>-4237752</v>
      </c>
      <c r="AR26" t="n">
        <v>-2218021</v>
      </c>
      <c r="AS26" t="n">
        <v>-3230461</v>
      </c>
      <c r="AT26" t="n">
        <v>-2565811</v>
      </c>
    </row>
    <row r="27">
      <c r="A27" s="5" t="inlineStr">
        <is>
          <t>Net cash generated from/(used in) financing activities</t>
        </is>
      </c>
      <c r="B27" s="5" t="n">
        <v>18249803</v>
      </c>
      <c r="C27" s="5" t="n">
        <v>12597740</v>
      </c>
      <c r="D27" s="5" t="n">
        <v>-874791</v>
      </c>
      <c r="E27" s="5" t="n">
        <v>49037663</v>
      </c>
      <c r="F27" s="5" t="n">
        <v>-849159</v>
      </c>
      <c r="G27" s="5" t="n">
        <v>-820894</v>
      </c>
      <c r="H27" s="5" t="n">
        <v>-2245183</v>
      </c>
      <c r="AM27" t="inlineStr">
        <is>
          <t>Net cash generated from/(used in) financing activities</t>
        </is>
      </c>
      <c r="AN27" t="n">
        <v>-2245183</v>
      </c>
      <c r="AO27" t="n">
        <v>-820894</v>
      </c>
      <c r="AP27" t="n">
        <v>-849159</v>
      </c>
      <c r="AQ27" t="n">
        <v>49037663</v>
      </c>
      <c r="AR27" t="n">
        <v>-874791</v>
      </c>
      <c r="AS27" t="n">
        <v>12597740</v>
      </c>
      <c r="AT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v>321763989</v>
      </c>
      <c r="AM28" t="inlineStr">
        <is>
          <t>Cash and cash equivalents at the end of the year</t>
        </is>
      </c>
      <c r="AN28" t="n">
        <v>321763989</v>
      </c>
      <c r="AO28" t="n">
        <v>433918140</v>
      </c>
      <c r="AP28" t="n">
        <v>398759558</v>
      </c>
      <c r="AQ28" t="n">
        <v>473775651</v>
      </c>
      <c r="AR28" t="n">
        <v>430365754</v>
      </c>
      <c r="AS28" t="n">
        <v>376370085</v>
      </c>
      <c r="AT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21.52%</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inlineStr">
        <is>
          <t>14.17%</t>
        </is>
      </c>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213.49%</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inlineStr">
        <is>
          <t>181.39%</t>
        </is>
      </c>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for FY2024 and earlier; the FY2025 edition is the first with a live-text table.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v>161750</v>
      </c>
      <c r="C5" s="6" t="n">
        <v>156657</v>
      </c>
      <c r="D5" s="6" t="n">
        <v>153053</v>
      </c>
      <c r="E5" s="6" t="n">
        <v>152019</v>
      </c>
      <c r="F5" s="6" t="n">
        <v>120301</v>
      </c>
      <c r="G5" s="6" t="n">
        <v>131539</v>
      </c>
      <c r="H5" s="6" t="n">
        <v>137827.8</v>
      </c>
    </row>
    <row r="6">
      <c r="A6" s="6" t="inlineStr">
        <is>
          <t>2    Tier 1 capital</t>
        </is>
      </c>
      <c r="B6" s="6" t="n">
        <v>161750</v>
      </c>
      <c r="C6" s="6" t="n">
        <v>156657</v>
      </c>
      <c r="D6" s="6" t="n">
        <v>153053</v>
      </c>
      <c r="E6" s="6" t="n">
        <v>152019</v>
      </c>
      <c r="F6" s="6" t="n">
        <v>120301</v>
      </c>
      <c r="G6" s="6" t="n">
        <v>131539</v>
      </c>
      <c r="H6" s="6" t="n">
        <v>137827.8</v>
      </c>
    </row>
    <row r="7">
      <c r="A7" s="6" t="inlineStr">
        <is>
          <t>3    Total capital</t>
        </is>
      </c>
      <c r="B7" s="6" t="n">
        <v>161750</v>
      </c>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v>751519</v>
      </c>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21.52%</t>
        </is>
      </c>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inlineStr">
        <is>
          <t>21.52%</t>
        </is>
      </c>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inlineStr">
        <is>
          <t>21.52%</t>
        </is>
      </c>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inlineStr">
        <is>
          <t>5.85%</t>
        </is>
      </c>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inlineStr">
        <is>
          <t>13.85%</t>
        </is>
      </c>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inlineStr">
        <is>
          <t>2.50%</t>
        </is>
      </c>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inlineStr">
        <is>
          <t>0.26%</t>
        </is>
      </c>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inlineStr">
        <is>
          <t>2.76%</t>
        </is>
      </c>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inlineStr">
        <is>
          <t>16.61%</t>
        </is>
      </c>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inlineStr">
        <is>
          <t>7.67%</t>
        </is>
      </c>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v>1141156</v>
      </c>
      <c r="C24" s="6" t="n">
        <v>1071784</v>
      </c>
      <c r="D24" s="6" t="n">
        <v>591309</v>
      </c>
      <c r="E24" s="6" t="n">
        <v>637251</v>
      </c>
      <c r="F24" s="6" t="n">
        <v>791289</v>
      </c>
      <c r="G24" s="6" t="n">
        <v>767198</v>
      </c>
      <c r="H24" s="6" t="n">
        <v>686553</v>
      </c>
    </row>
    <row r="25">
      <c r="A25" s="6" t="inlineStr">
        <is>
          <t>14    Leverage ratio excluding claims on central banks (%)</t>
        </is>
      </c>
      <c r="B25" s="6" t="inlineStr">
        <is>
          <t>14.17%</t>
        </is>
      </c>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v>447862</v>
      </c>
      <c r="C27" s="6" t="n">
        <v>428070</v>
      </c>
      <c r="D27" s="6" t="n">
        <v>263896</v>
      </c>
      <c r="E27" s="6" t="n">
        <v>306067</v>
      </c>
      <c r="F27" s="6" t="n">
        <v>236427</v>
      </c>
      <c r="G27" s="6" t="n">
        <v>199128</v>
      </c>
      <c r="H27" s="6" t="n">
        <v>206996</v>
      </c>
    </row>
    <row r="28">
      <c r="A28" s="6" t="inlineStr">
        <is>
          <t>UK 16a    Cash outflows - Total weighted value</t>
        </is>
      </c>
      <c r="B28" s="6" t="n">
        <v>451692</v>
      </c>
      <c r="C28" s="6" t="n">
        <v>466537</v>
      </c>
      <c r="D28" s="6" t="n">
        <v>285221</v>
      </c>
      <c r="E28" s="6" t="n">
        <v>298700</v>
      </c>
      <c r="F28" s="6" t="n">
        <v>249962</v>
      </c>
      <c r="G28" s="6" t="n">
        <v>256894</v>
      </c>
      <c r="H28" s="6" t="n">
        <v>221049</v>
      </c>
    </row>
    <row r="29">
      <c r="A29" s="6" t="inlineStr">
        <is>
          <t>UK 16b    Cash inflows - Total weighted value</t>
        </is>
      </c>
      <c r="B29" s="6" t="n">
        <v>241912</v>
      </c>
      <c r="C29" s="6" t="n">
        <v>299522</v>
      </c>
      <c r="D29" s="6" t="n">
        <v>275604</v>
      </c>
      <c r="E29" s="6" t="n">
        <v>345041</v>
      </c>
      <c r="F29" s="6" t="n">
        <v>249320</v>
      </c>
      <c r="G29" s="6" t="n">
        <v>248271</v>
      </c>
      <c r="H29" s="6" t="n">
        <v>146701</v>
      </c>
    </row>
    <row r="30">
      <c r="A30" s="6" t="inlineStr">
        <is>
          <t>16    Total net cash outflows (adjusted value)</t>
        </is>
      </c>
      <c r="B30" s="6" t="n">
        <v>209779</v>
      </c>
      <c r="C30" s="6" t="n">
        <v>167015</v>
      </c>
      <c r="D30" s="6" t="n">
        <v>71305</v>
      </c>
      <c r="E30" s="6" t="n">
        <v>74675</v>
      </c>
      <c r="F30" s="6" t="n">
        <v>62491</v>
      </c>
      <c r="G30" s="6" t="n">
        <v>64224</v>
      </c>
      <c r="H30" s="6" t="n">
        <v>74348</v>
      </c>
    </row>
    <row r="31">
      <c r="A31" s="6" t="inlineStr">
        <is>
          <t>17    Liquidity coverage ratio (%)</t>
        </is>
      </c>
      <c r="B31" s="6" t="inlineStr">
        <is>
          <t>213.4%</t>
        </is>
      </c>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v>483227</v>
      </c>
      <c r="C33" s="6" t="n">
        <v>391313</v>
      </c>
      <c r="D33" s="6" t="n">
        <v>317974</v>
      </c>
      <c r="E33" s="6" t="n">
        <v>370817</v>
      </c>
      <c r="F33" s="6" t="n"/>
      <c r="G33" s="6" t="n"/>
      <c r="H33" s="6" t="n"/>
    </row>
    <row r="34">
      <c r="A34" s="6" t="inlineStr">
        <is>
          <t>19    Total required stable funding</t>
        </is>
      </c>
      <c r="B34" s="6" t="n">
        <v>266394</v>
      </c>
      <c r="C34" s="6" t="n">
        <v>152868</v>
      </c>
      <c r="D34" s="6" t="n">
        <v>116361</v>
      </c>
      <c r="E34" s="6" t="n">
        <v>126647</v>
      </c>
      <c r="F34" s="6" t="n"/>
      <c r="G34" s="6" t="n"/>
      <c r="H34" s="6" t="n"/>
    </row>
    <row r="35">
      <c r="A35" s="6" t="inlineStr">
        <is>
          <t>20    NSFR ratio (%)</t>
        </is>
      </c>
      <c r="B35" s="6" t="inlineStr">
        <is>
          <t>181.4%</t>
        </is>
      </c>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60" customHeight="1">
      <c r="A38" s="8" t="inlineStr">
        <is>
          <t>Sources - Ghana International Bank Plc's own key-metrics (UK KM1) template, £'000 and percentages as printed, entity basis (GHIB plc is a single entity with no consolidated group):
FY2025: Pillar 3 Disclosures 31 December 2025, p.14 printed (PDF p.13), "Table1: Key Metrics ratios as at 31 December 2025" - https://www.ghanabank.co.uk/app/uploads/2026/09/GHIB-2025-Pillar-3-Disclosures.pdf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UP TO FY2024 - A SOURCE DEFECT, RECORDED NOT HIDDEN (the FY2025 edition finally breaks the pattern; see below). In all six of those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NOW POPULATED, AND THE ROUTE MATTERS. This sheet said "FY2025 is blank, not missing" as recently as 16 September 2026, on the strength of the same WordPress media endpoint used here: at that date /wp-json/wp/v2/media?search=pillar enumerated exactly six Pillar 3 PDFs ever uploaded, the newest being GHIB-2024-Pillar-3-Disclosures.pdf (12 November 2025). Re-queried on 18 September 2026 the same endpoint returns SEVEN, the new one being GHIB-2025-Pillar-3-Disclosures.pdf, uploaded that same day at 14:45:36 (the PDF's own CreationDate is 18 September 2026 11:27 BST). The earlier negative was therefore correct at the time and simply expired - which is the argument for re-testing a leading-edge negative against the bank's own index rather than treating it as settled. Note also that on 18 September the Bank's homepage and /legal-documents/ page still linked only the FY2024 edition, so following links alone would have missed it; the media index is the enumerating source for this bank.
THE FY2025 TABLE IS LIVE TEXT, THE FIRST GHIB EDITION THAT IS. Unlike FY2019-FY2024, where the key-metrics table is a pasted bitmap and every figure had to be read visually from two independent renderings, the FY2025 edition was produced in Adobe Illustrator 29.8 with the table as selectable text, and pdftotext -layout extracts every cell. The FY2025 column above is a text transcription, not a visual read. Two artefacts of that extraction were resolved against the rendered page and are noted here rather than silently fixed: row 13's FY2025 value wraps across two lines as "1,141,15" / "6" (it is 1,141,156), and row 1's FY2022 COMPARATIVE prints as "152, 19" where rows 2 and 3 print 152,019 - a typo in the Bank's own FY2025 table, which costs this workbook nothing because FY2022 is taken from the FY2022 edition, not from this comparative.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LCR, FY2025 - A ROUNDING DIFFERENCE WITHIN ONE DOCUMENT, NEW IN THE FY2025 EDITION. Row 17 here prints 213.4% and row 20 prints 181.4%; the LCR and NSFR metric sheets carry 213.49% and 181.39% from that same edition's Table 13 (p.37 printed) and section 5.4 narrative. The FY2025 edition rounds its own KM1 rows 17 and 20 to 1dp in the 2025 and 2024 columns while printing 2dp in the 2023/2022/2021 columns of the very same rows; earlier editions printed 2dp throughout, which is why this disagreement appears for the first time in FY2025. Both figures are GHIB's own and neither has been adjusted.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1">
    <mergeCell ref="A38:H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161750</v>
      </c>
      <c r="C4" s="6" t="n">
        <v>156657</v>
      </c>
      <c r="D4" s="6" t="n">
        <v>153053</v>
      </c>
      <c r="E4" s="6" t="n">
        <v>152019</v>
      </c>
      <c r="F4" s="6" t="n">
        <v>120301</v>
      </c>
      <c r="G4" s="6" t="n">
        <v>131539</v>
      </c>
      <c r="H4" s="6" t="n">
        <v>137828</v>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now carries the Pillar 3's 161,750; the Annual Report stated the same figure only to £0.1m ("£161.7m").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core tier 1 capital ratio as 21.5%, equal to the CET1 ratio.</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CRD IV capital adequacy ratio as 21.5%, equal to the CET1 and core tier 1 ratios.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751519</v>
      </c>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FILLED 2026-09-18 with 751,519, printed directly as row 4 of the FY2025 Pillar 3's own KM1 (p.14 printed). It had been blank because the FY2025 Annual Report states no RWA figure and was deliberately NOT back-solved from CET1 / 21.5% - the document has now supplied it, so nothing was ever derived. The Bank's own narrative corroborates it ("an increase of 7% in risk weighted assets (£700.37m in 2024 to £751.51m in 2025)"), and 161,750/751,519 = 21.522%, reproducing the printed 21.52% CET1 ratio.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FY2019-FY2025. Credit risk RWA directly disclosed by exposure class; Operational/Market risk RWA calculated from disclosed capital requirements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v>66628</v>
      </c>
      <c r="C5" s="6" t="n">
        <v>27645</v>
      </c>
      <c r="D5" s="6" t="n">
        <v>27361</v>
      </c>
      <c r="E5" s="6" t="n">
        <v>35066</v>
      </c>
      <c r="F5" s="6" t="n">
        <v>43896</v>
      </c>
      <c r="G5" s="6" t="n">
        <v>21860</v>
      </c>
      <c r="H5" s="6" t="n">
        <v>33795</v>
      </c>
    </row>
    <row r="6">
      <c r="A6" s="6" t="inlineStr">
        <is>
          <t>Corporates</t>
        </is>
      </c>
      <c r="B6" s="6" t="n">
        <v>502959</v>
      </c>
      <c r="C6" s="6" t="n">
        <v>475975</v>
      </c>
      <c r="D6" s="6" t="n">
        <v>283530</v>
      </c>
      <c r="E6" s="6" t="n">
        <v>274893</v>
      </c>
      <c r="F6" s="6" t="n">
        <v>201102</v>
      </c>
      <c r="G6" s="6" t="n">
        <v>151082</v>
      </c>
      <c r="H6" s="6" t="n">
        <v>148056</v>
      </c>
    </row>
    <row r="7">
      <c r="A7" s="6" t="inlineStr">
        <is>
          <t>Institutions</t>
        </is>
      </c>
      <c r="B7" s="6" t="n">
        <v>58742</v>
      </c>
      <c r="C7" s="6" t="n">
        <v>64563</v>
      </c>
      <c r="D7" s="6" t="n">
        <v>80749</v>
      </c>
      <c r="E7" s="6" t="n">
        <v>125314</v>
      </c>
      <c r="F7" s="6" t="n">
        <v>92530</v>
      </c>
      <c r="G7" s="6" t="n">
        <v>99623</v>
      </c>
      <c r="H7" s="6" t="n">
        <v>60002</v>
      </c>
    </row>
    <row r="8">
      <c r="A8" s="6" t="inlineStr">
        <is>
          <t>Other Items</t>
        </is>
      </c>
      <c r="B8" s="6" t="n">
        <v>14082</v>
      </c>
      <c r="C8" s="6" t="n">
        <v>18447</v>
      </c>
      <c r="D8" s="6" t="n">
        <v>20363</v>
      </c>
      <c r="E8" s="6" t="n">
        <v>20893</v>
      </c>
      <c r="F8" s="6" t="n">
        <v>21987</v>
      </c>
      <c r="G8" s="6" t="n">
        <v>9577</v>
      </c>
      <c r="H8" s="6" t="n">
        <v>3452</v>
      </c>
    </row>
    <row r="9">
      <c r="A9" s="6" t="inlineStr">
        <is>
          <t>Public Sector Entities</t>
        </is>
      </c>
      <c r="B9" s="6" t="n">
        <v>32952</v>
      </c>
      <c r="C9" s="6" t="n">
        <v>55699</v>
      </c>
      <c r="D9" s="6" t="n">
        <v>32940</v>
      </c>
      <c r="E9" s="6" t="n">
        <v>37618</v>
      </c>
      <c r="F9" s="6" t="n">
        <v>46854</v>
      </c>
      <c r="G9" s="6" t="n">
        <v>43483</v>
      </c>
      <c r="H9" s="6" t="n">
        <v>34593</v>
      </c>
    </row>
    <row r="10">
      <c r="A10" s="6" t="inlineStr">
        <is>
          <t>Retail</t>
        </is>
      </c>
      <c r="B10" s="6" t="n">
        <v>139</v>
      </c>
      <c r="C10" s="6" t="n">
        <v>148</v>
      </c>
      <c r="D10" s="6" t="n">
        <v>5870</v>
      </c>
      <c r="E10" s="6" t="n">
        <v>133</v>
      </c>
      <c r="F10" s="6" t="n">
        <v>1226</v>
      </c>
      <c r="G10" s="6" t="n">
        <v>184</v>
      </c>
      <c r="H10" s="6" t="n">
        <v>234</v>
      </c>
    </row>
    <row r="11">
      <c r="A11" s="6" t="inlineStr">
        <is>
          <t>Multilateral Development Banks</t>
        </is>
      </c>
      <c r="B11" s="6" t="inlineStr">
        <is>
          <t>-</t>
        </is>
      </c>
      <c r="C11" s="6" t="n">
        <v>0</v>
      </c>
      <c r="D11" s="6" t="n"/>
      <c r="E11" s="6" t="n"/>
      <c r="F11" s="6" t="n"/>
      <c r="G11" s="6" t="n"/>
      <c r="H11" s="6" t="n">
        <v>0</v>
      </c>
    </row>
    <row r="12">
      <c r="A12" s="6" t="inlineStr">
        <is>
          <t>Covered bonds</t>
        </is>
      </c>
      <c r="B12" s="6" t="n">
        <v>3030</v>
      </c>
      <c r="C12" s="6" t="n">
        <v>2020</v>
      </c>
      <c r="D12" s="6" t="n"/>
      <c r="E12" s="6" t="n"/>
      <c r="F12" s="6" t="n"/>
      <c r="G12" s="6" t="n"/>
      <c r="H12" s="6" t="n"/>
    </row>
    <row r="13">
      <c r="A13" s="6" t="inlineStr">
        <is>
          <t>Claims on inst &amp; corp with CR assessment (a separate class in the FY2025 table only)</t>
        </is>
      </c>
      <c r="B13" s="6" t="n">
        <v>1193</v>
      </c>
      <c r="C13" s="6" t="n"/>
      <c r="D13" s="6" t="n"/>
      <c r="E13" s="6" t="n"/>
      <c r="F13" s="6" t="n"/>
      <c r="G13" s="6" t="n"/>
      <c r="H13" s="6" t="n"/>
    </row>
    <row r="14">
      <c r="A14" s="6" t="inlineStr">
        <is>
          <t>Exposures in Default (a separate class in the FY2019 table only)</t>
        </is>
      </c>
      <c r="B14" s="6" t="n"/>
      <c r="C14" s="6" t="n"/>
      <c r="D14" s="6" t="n"/>
      <c r="E14" s="6" t="n"/>
      <c r="F14" s="6" t="n"/>
      <c r="G14" s="6" t="n"/>
      <c r="H14" s="6" t="n">
        <v>1421</v>
      </c>
    </row>
    <row r="15">
      <c r="A15" s="5" t="inlineStr">
        <is>
          <t>Total credit and counterparty risk RWA</t>
        </is>
      </c>
      <c r="B15" s="5" t="n">
        <v>679725</v>
      </c>
      <c r="C15" s="5" t="n">
        <v>644497</v>
      </c>
      <c r="D15" s="5" t="n">
        <v>450813</v>
      </c>
      <c r="E15" s="5" t="n">
        <v>493919</v>
      </c>
      <c r="F15" s="5" t="n">
        <v>407595</v>
      </c>
      <c r="G15" s="5" t="n">
        <v>325809</v>
      </c>
      <c r="H15" s="5" t="n">
        <v>281553</v>
      </c>
    </row>
    <row r="16">
      <c r="A16" s="5" t="inlineStr">
        <is>
          <t>Other risk types (RWA calculated as Capital Requirement / 8% - see source note)</t>
        </is>
      </c>
      <c r="B16" s="6" t="n"/>
      <c r="C16" s="6" t="n"/>
      <c r="D16" s="6" t="n"/>
      <c r="E16" s="6" t="n"/>
      <c r="F16" s="6" t="n"/>
      <c r="G16" s="6" t="n"/>
      <c r="H16" s="6" t="n"/>
    </row>
    <row r="17">
      <c r="A17" s="6" t="inlineStr">
        <is>
          <t>Operational risk (Basic Indicator Approach)</t>
        </is>
      </c>
      <c r="B17" s="6" t="n">
        <v>71538</v>
      </c>
      <c r="C17" s="6" t="n">
        <v>51838</v>
      </c>
      <c r="D17" s="6" t="n">
        <v>37038</v>
      </c>
      <c r="E17" s="6" t="n">
        <v>33625</v>
      </c>
      <c r="F17" s="6" t="n">
        <v>39662</v>
      </c>
      <c r="G17" s="6" t="n">
        <v>45812</v>
      </c>
      <c r="H17" s="6" t="n">
        <v>46638</v>
      </c>
    </row>
    <row r="18">
      <c r="A18" s="6" t="inlineStr">
        <is>
          <t>Market risk</t>
        </is>
      </c>
      <c r="B18" s="6" t="n">
        <v>250</v>
      </c>
      <c r="C18" s="6" t="n">
        <v>4038</v>
      </c>
      <c r="D18" s="6" t="n">
        <v>5225</v>
      </c>
      <c r="E18" s="6" t="n">
        <v>10162</v>
      </c>
      <c r="F18" s="6" t="n">
        <v>2962</v>
      </c>
      <c r="G18" s="6" t="n">
        <v>675</v>
      </c>
      <c r="H18" s="6" t="n">
        <v>1062</v>
      </c>
    </row>
    <row r="19">
      <c r="A19" s="5" t="inlineStr">
        <is>
          <t>Total RWAs (calculated - cross-checked against Total RWAs sheet)</t>
        </is>
      </c>
      <c r="B19" s="5" t="n">
        <v>751513</v>
      </c>
      <c r="C19" s="5" t="n">
        <v>700373</v>
      </c>
      <c r="D19" s="5" t="n">
        <v>493076</v>
      </c>
      <c r="E19" s="5" t="n">
        <v>537706</v>
      </c>
      <c r="F19" s="5" t="n">
        <v>450219</v>
      </c>
      <c r="G19" s="5" t="n">
        <v>372296</v>
      </c>
      <c r="H19" s="5" t="n">
        <v>329253</v>
      </c>
    </row>
    <row r="21" ht="260" customHeight="1">
      <c r="A21"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and 'Claims on inst &amp; corp with CR assessment' is a further new class introduced FY2025). FY2025 ADDED 2026-09-18 from the FY2025 Pillar 3's Table 2, p.16 printed (PDF p.15) - the first GHIB edition in which this table is live text rather than a bitmap, so it is a text transcription rather than a visual read. The cross-check that this sheet applies to every other year passes for FY2025 too: 679,725 credit + 71,538 operational + 250 market = 751,513 against the 751,519 that edition's own KM1 row 4 discloses, a 6 (0.0008%) rounding difference of the same order as FY2024's 1. THE FY2025 MULTILATERAL DEVELOPMENT BANKS CELL IS A PRINTED DASH and is reproduced as the literal "-" the Bank printed, NOT as 0: that class still carries a 34,369 exposure at default in the same table, so a dash and a zero are not interchangeable here.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1:H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14.17%</t>
        </is>
      </c>
      <c r="C4" s="6" t="inlineStr">
        <is>
          <t>14.66%</t>
        </is>
      </c>
      <c r="D4" s="6" t="inlineStr">
        <is>
          <t>25.88%</t>
        </is>
      </c>
      <c r="E4" s="6" t="inlineStr">
        <is>
          <t>23.86%</t>
        </is>
      </c>
      <c r="F4" s="6" t="inlineStr">
        <is>
          <t>15.20%</t>
        </is>
      </c>
      <c r="G4" s="6" t="inlineStr">
        <is>
          <t>17.14%</t>
        </is>
      </c>
      <c r="H4" s="6" t="inlineStr">
        <is>
          <t>20.06%</t>
        </is>
      </c>
    </row>
    <row r="5" ht="60" customHeight="1">
      <c r="A5" s="7" t="inlineStr">
        <is>
          <t>Note: FY2025 FILLED 2026-09-18 with 14.17%, from row 14 of the FY2025 Pillar 3's KM1, which its own section 1.6 narrative repeats verbatim ("The leverage ratio as at 31 December 2025 was 14.17%", p.14 printed). THE SAME DOCUMENT ALSO SAYS 12.79%, in section 5.14 'Risk of Excessive Leverage' (p.39 printed). Recorded, not reconciled: 14.17% is carried here because two independent places in the document agree on it and because section 5.14 of EVERY GHIB edition is struck on a transitional Tier 1 definition and diverges the same way (FY2024: 14.66% in the KM1 versus 13.9% in its own section 5.14). No figure was adjusted to make the two agree.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213.49%</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UPGRADED 2026-09-18 from the Annual Report's "213%" to 213.49%, printed in the FY2025 Pillar 3's Table 13 (p.37 printed) and repeated in its section 5.4 narrative, with components HQLA 447,861,842 / net liquidity outflow 209,779,358. Its KM1 row 17 prints the same ratio to 1dp as 213.4%, which is what the KM1 sheet reproduces as printed - so verify_workbook.py reports a KM1-vs-this-sheet disagreement for FY2025 that is a rounding difference inside one document, not a transcription slip, and neither side has been changed to silence it.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181.39%</t>
        </is>
      </c>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FILLED 2026-09-18 with 181.39%, from the FY2025 Pillar 3's section 5.4 narrative (available stable funding 483,227 / required stable funding 266,394, KM1 rows 18-19). Its KM1 row 20 prints the same ratio to 1dp as 181.4%, which is what the KM1 sheet reproduces as printed; the FY2025 edition rounds this row where its FY2024 predecessor printed 2dp.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GHIB FY2025 Pillar 3 Disclosures (full text searched 2026-09-19) contain no MREL figure or reference</t>
        </is>
      </c>
      <c r="C4" s="6" t="inlineStr">
        <is>
          <t>Not published – GHIB FY2024 Pillar 3 Disclosures (full text searched 2026-09-19) contain no MREL figure or reference</t>
        </is>
      </c>
      <c r="D4" s="6" t="inlineStr">
        <is>
          <t>Not published – GHIB FY2023 Pillar 3 Disclosures (full text searched 2026-09-19) contain no MREL figure or reference</t>
        </is>
      </c>
      <c r="E4" s="6" t="inlineStr">
        <is>
          <t>Not published – GHIB FY2022 Pillar 3 Disclosures (full text searched 2026-09-19) contain no MREL figure or reference</t>
        </is>
      </c>
      <c r="F4" s="6" t="inlineStr">
        <is>
          <t>Not published – GHIB FY2021 Pillar 3 Disclosures (full text searched 2026-09-19) contain no MREL figure or reference</t>
        </is>
      </c>
      <c r="G4" s="6" t="inlineStr">
        <is>
          <t>Not published – GHIB FY2020 Pillar 3 Disclosures (full text searched 2026-09-19) contain no MREL figure or reference</t>
        </is>
      </c>
      <c r="H4" s="6" t="inlineStr">
        <is>
          <t>Not published – GHIB FY2019 Pillar 3 Disclosures (full text searched 2026-09-19) contain no MREL figure or reference</t>
        </is>
      </c>
    </row>
    <row r="5" ht="60" customHeight="1">
      <c r="A5" s="7" t="inlineStr">
        <is>
          <t>Note: No MREL figure or statement appears in any GHIB Pillar 3 edition FY2019-FY2025 (each full-text searched 2026-09-19). The earlier wording here - that GHIB 'is not a UK resolution entity subject to MREL' - was an inference no document states, so the cells record non-publication rather than non-applicability.</t>
        </is>
      </c>
    </row>
    <row r="7" ht="15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