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Balance Sheet" sheetId="2" state="visible" r:id="rId2"/>
    <sheet name="Profit &amp; Loss" sheetId="3" state="visible" r:id="rId3"/>
    <sheet name="Statement of Changes in Equity" sheetId="4" state="visible" r:id="rId4"/>
    <sheet name="Cash Flow Statement" sheetId="5" state="visible" r:id="rId5"/>
    <sheet name="Asset Quality" sheetId="6" state="visible" r:id="rId6"/>
    <sheet name="CET1 Capital" sheetId="7" state="visible" r:id="rId7"/>
    <sheet name="CET1 Ratio" sheetId="8" state="visible" r:id="rId8"/>
    <sheet name="Tier 1 Capital" sheetId="9" state="visible" r:id="rId9"/>
    <sheet name="Tier 1 Ratio" sheetId="10" state="visible" r:id="rId10"/>
    <sheet name="Total Capital" sheetId="11" state="visible" r:id="rId11"/>
    <sheet name="Total Capital Ratio" sheetId="12" state="visible" r:id="rId12"/>
    <sheet name="Total RWAs" sheetId="13" state="visible" r:id="rId13"/>
    <sheet name="RWA Breakdown" sheetId="14" state="visible" r:id="rId14"/>
    <sheet name="Leverage Ratio" sheetId="15" state="visible" r:id="rId15"/>
    <sheet name="LCR" sheetId="16" state="visible" r:id="rId16"/>
    <sheet name="NSFR" sheetId="17" state="visible" r:id="rId17"/>
    <sheet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619578"/>
        <bgColor rgb="006195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Ghana International Bank Plc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'Overview'!K6</f>
            </strRef>
          </tx>
          <spPr>
            <a:ln>
              <a:prstDash val="solid"/>
            </a:ln>
          </spPr>
          <cat>
            <numRef>
              <f>'Overview'!$L$5:$R$5</f>
            </numRef>
          </cat>
          <val>
            <numRef>
              <f>'Overview'!$L$6:$R$6</f>
            </numRef>
          </val>
        </ser>
        <ser>
          <idx val="1"/>
          <order val="1"/>
          <tx>
            <strRef>
              <f>'Overview'!K7</f>
            </strRef>
          </tx>
          <spPr>
            <a:ln>
              <a:prstDash val="solid"/>
            </a:ln>
          </spPr>
          <cat>
            <numRef>
              <f>'Overview'!$L$5:$R$5</f>
            </numRef>
          </cat>
          <val>
            <numRef>
              <f>'Overview'!$L$7:$R$7</f>
            </numRef>
          </val>
        </ser>
        <ser>
          <idx val="2"/>
          <order val="2"/>
          <tx>
            <strRef>
              <f>'Overview'!K8</f>
            </strRef>
          </tx>
          <spPr>
            <a:ln>
              <a:prstDash val="solid"/>
            </a:ln>
          </spPr>
          <cat>
            <numRef>
              <f>'Overview'!$L$5:$R$5</f>
            </numRef>
          </cat>
          <val>
            <numRef>
              <f>'Overview'!$L$8:$R$8</f>
            </numRef>
          </val>
        </ser>
        <ser>
          <idx val="3"/>
          <order val="3"/>
          <tx>
            <strRef>
              <f>'Overview'!K9</f>
            </strRef>
          </tx>
          <spPr>
            <a:ln>
              <a:prstDash val="solid"/>
            </a:ln>
          </spPr>
          <cat>
            <numRef>
              <f>'Overview'!$L$5:$R$5</f>
            </numRef>
          </cat>
          <val>
            <numRef>
              <f>'Overview'!$L$9:$R$9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Ghana International Bank Plc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'Overview'!U13</f>
            </strRef>
          </tx>
          <spPr>
            <a:ln>
              <a:prstDash val="solid"/>
            </a:ln>
          </spPr>
          <cat>
            <numRef>
              <f>'Overview'!$V$12:$AB$12</f>
            </numRef>
          </cat>
          <val>
            <numRef>
              <f>'Overview'!$V$13:$AB$13</f>
            </numRef>
          </val>
        </ser>
        <ser>
          <idx val="1"/>
          <order val="1"/>
          <tx>
            <strRef>
              <f>'Overview'!U14</f>
            </strRef>
          </tx>
          <spPr>
            <a:ln>
              <a:prstDash val="solid"/>
            </a:ln>
          </spPr>
          <cat>
            <numRef>
              <f>'Overview'!$V$12:$AB$12</f>
            </numRef>
          </cat>
          <val>
            <numRef>
              <f>'Overview'!$V$14:$AB$14</f>
            </numRef>
          </val>
        </ser>
        <ser>
          <idx val="2"/>
          <order val="2"/>
          <tx>
            <strRef>
              <f>'Overview'!U15</f>
            </strRef>
          </tx>
          <spPr>
            <a:ln>
              <a:prstDash val="solid"/>
            </a:ln>
          </spPr>
          <cat>
            <numRef>
              <f>'Overview'!$V$12:$AB$12</f>
            </numRef>
          </cat>
          <val>
            <numRef>
              <f>'Overview'!$V$15:$AB$15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Ghana International Bank Plc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'Overview'!AE19</f>
            </strRef>
          </tx>
          <spPr>
            <a:ln>
              <a:prstDash val="solid"/>
            </a:ln>
          </spPr>
          <cat>
            <numRef>
              <f>'Overview'!$AF$18:$AL$18</f>
            </numRef>
          </cat>
          <val>
            <numRef>
              <f>'Overview'!$AF$19:$AL$19</f>
            </numRef>
          </val>
        </ser>
        <ser>
          <idx val="1"/>
          <order val="1"/>
          <tx>
            <strRef>
              <f>'Overview'!AE20</f>
            </strRef>
          </tx>
          <spPr>
            <a:ln>
              <a:prstDash val="solid"/>
            </a:ln>
          </spPr>
          <cat>
            <numRef>
              <f>'Overview'!$AF$18:$AL$18</f>
            </numRef>
          </cat>
          <val>
            <numRef>
              <f>'Overview'!$AF$20:$AL$20</f>
            </numRef>
          </val>
        </ser>
        <ser>
          <idx val="2"/>
          <order val="2"/>
          <tx>
            <strRef>
              <f>'Overview'!AE21</f>
            </strRef>
          </tx>
          <spPr>
            <a:ln>
              <a:prstDash val="solid"/>
            </a:ln>
          </spPr>
          <cat>
            <numRef>
              <f>'Overview'!$AF$18:$AL$18</f>
            </numRef>
          </cat>
          <val>
            <numRef>
              <f>'Overview'!$AF$21:$AL$21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Ghana International Bank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'Overview'!AO25</f>
            </strRef>
          </tx>
          <spPr>
            <a:ln>
              <a:prstDash val="solid"/>
            </a:ln>
          </spPr>
          <cat>
            <numRef>
              <f>'Overview'!$AP$24:$AV$24</f>
            </numRef>
          </cat>
          <val>
            <numRef>
              <f>'Overview'!$AP$25:$AV$25</f>
            </numRef>
          </val>
        </ser>
        <ser>
          <idx val="1"/>
          <order val="1"/>
          <tx>
            <strRef>
              <f>'Overview'!AO26</f>
            </strRef>
          </tx>
          <spPr>
            <a:ln>
              <a:prstDash val="solid"/>
            </a:ln>
          </spPr>
          <cat>
            <numRef>
              <f>'Overview'!$AP$24:$AV$24</f>
            </numRef>
          </cat>
          <val>
            <numRef>
              <f>'Overview'!$AP$26:$AV$26</f>
            </numRef>
          </val>
        </ser>
        <ser>
          <idx val="2"/>
          <order val="2"/>
          <tx>
            <strRef>
              <f>'Overview'!AO27</f>
            </strRef>
          </tx>
          <spPr>
            <a:ln>
              <a:prstDash val="solid"/>
            </a:ln>
          </spPr>
          <cat>
            <numRef>
              <f>'Overview'!$AP$24:$AV$24</f>
            </numRef>
          </cat>
          <val>
            <numRef>
              <f>'Overview'!$AP$27:$AV$27</f>
            </numRef>
          </val>
        </ser>
        <ser>
          <idx val="3"/>
          <order val="3"/>
          <tx>
            <strRef>
              <f>'Overview'!AO28</f>
            </strRef>
          </tx>
          <spPr>
            <a:ln>
              <a:prstDash val="solid"/>
            </a:ln>
          </spPr>
          <cat>
            <numRef>
              <f>'Overview'!$AP$24:$AV$24</f>
            </numRef>
          </cat>
          <val>
            <numRef>
              <f>'Overview'!$AP$28:$AV$28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Ghana International Bank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'Overview'!AY6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'Overview'!$AZ$6:$BF$6</f>
            </numRef>
          </val>
          <smooth val="0"/>
        </ser>
        <ser>
          <idx val="1"/>
          <order val="1"/>
          <tx>
            <strRef>
              <f>'Overview'!AY7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'Overview'!$AZ$7:$BF$7</f>
            </numRef>
          </val>
          <smooth val="0"/>
        </ser>
        <ser>
          <idx val="2"/>
          <order val="2"/>
          <tx>
            <strRef>
              <f>'Overview'!AY8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'Overview'!$AZ$8:$BF$8</f>
            </numRef>
          </val>
          <smooth val="0"/>
        </ser>
        <ser>
          <idx val="3"/>
          <order val="3"/>
          <tx>
            <strRef>
              <f>'Overview'!AY9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'Overview'!$AZ$9:$BF$9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61</row>
      <rowOff>0</rowOff>
    </from>
    <ext cx="864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83</row>
      <rowOff>0</rowOff>
    </from>
    <ext cx="8640000" cy="46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105</row>
      <rowOff>0</rowOff>
    </from>
    <ext cx="8640000" cy="46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127</row>
      <rowOff>0</rowOff>
    </from>
    <ext cx="8640000" cy="57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7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</cols>
  <sheetData>
    <row r="1">
      <c r="A1" s="1" t="inlineStr">
        <is>
          <t>Ghana International Bank Plc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G5" s="4" t="inlineStr">
        <is>
          <t>FY2020</t>
        </is>
      </c>
      <c r="H5" s="4" t="inlineStr">
        <is>
          <t>FY2019</t>
        </is>
      </c>
      <c r="L5" t="inlineStr">
        <is>
          <t>FY2019</t>
        </is>
      </c>
      <c r="M5" t="inlineStr">
        <is>
          <t>FY2020</t>
        </is>
      </c>
      <c r="N5" t="inlineStr">
        <is>
          <t>FY2021</t>
        </is>
      </c>
      <c r="O5" t="inlineStr">
        <is>
          <t>FY2022</t>
        </is>
      </c>
      <c r="P5" t="inlineStr">
        <is>
          <t>FY2023</t>
        </is>
      </c>
      <c r="Q5" t="inlineStr">
        <is>
          <t>FY2024</t>
        </is>
      </c>
      <c r="R5" t="inlineStr">
        <is>
          <t>FY2025</t>
        </is>
      </c>
      <c r="AZ5" t="inlineStr">
        <is>
          <t>FY2019</t>
        </is>
      </c>
      <c r="BA5" t="inlineStr">
        <is>
          <t>FY2020</t>
        </is>
      </c>
      <c r="BB5" t="inlineStr">
        <is>
          <t>FY2021</t>
        </is>
      </c>
      <c r="BC5" t="inlineStr">
        <is>
          <t>FY2022</t>
        </is>
      </c>
      <c r="BD5" t="inlineStr">
        <is>
          <t>FY2023</t>
        </is>
      </c>
      <c r="BE5" t="inlineStr">
        <is>
          <t>FY2024</t>
        </is>
      </c>
      <c r="BF5" t="inlineStr">
        <is>
          <t>FY2025</t>
        </is>
      </c>
    </row>
    <row r="6">
      <c r="A6" s="5" t="inlineStr">
        <is>
          <t>Total assets</t>
        </is>
      </c>
      <c r="B6" s="5" t="n">
        <v>1184847200</v>
      </c>
      <c r="C6" s="5" t="n">
        <v>1095686063</v>
      </c>
      <c r="D6" s="5" t="n">
        <v>800648688</v>
      </c>
      <c r="E6" s="5" t="n">
        <v>899850273</v>
      </c>
      <c r="F6" s="5" t="n">
        <v>766627624</v>
      </c>
      <c r="G6" s="5" t="n">
        <v>746473535</v>
      </c>
      <c r="H6" s="5" t="n"/>
      <c r="K6" t="inlineStr">
        <is>
          <t>Total assets</t>
        </is>
      </c>
      <c r="M6" t="n">
        <v>746473535</v>
      </c>
      <c r="N6" t="n">
        <v>766627624</v>
      </c>
      <c r="O6" t="n">
        <v>899850273</v>
      </c>
      <c r="P6" t="n">
        <v>800648688</v>
      </c>
      <c r="Q6" t="n">
        <v>1095686063</v>
      </c>
      <c r="R6" t="n">
        <v>1184847200</v>
      </c>
      <c r="AY6" t="inlineStr">
        <is>
          <t>CET1 Ratio</t>
        </is>
      </c>
      <c r="BA6" t="n">
        <v>35.3</v>
      </c>
      <c r="BB6" t="n">
        <v>26.72</v>
      </c>
      <c r="BC6" t="n">
        <v>28.27</v>
      </c>
      <c r="BD6" t="n">
        <v>31.04</v>
      </c>
      <c r="BE6" t="n">
        <v>22.37</v>
      </c>
    </row>
    <row r="7">
      <c r="A7" s="5" t="inlineStr">
        <is>
          <t>Loans and advances to customers</t>
        </is>
      </c>
      <c r="B7" s="5" t="n">
        <v>152082149</v>
      </c>
      <c r="C7" s="5" t="n">
        <v>57178671</v>
      </c>
      <c r="D7" s="5" t="n">
        <v>53066533</v>
      </c>
      <c r="E7" s="5" t="n">
        <v>65038106</v>
      </c>
      <c r="F7" s="5" t="n">
        <v>89440019</v>
      </c>
      <c r="G7" s="5" t="n">
        <v>72138823</v>
      </c>
      <c r="H7" s="5" t="n"/>
      <c r="K7" t="inlineStr">
        <is>
          <t>Loans and advances to customers</t>
        </is>
      </c>
      <c r="M7" t="n">
        <v>72138823</v>
      </c>
      <c r="N7" t="n">
        <v>89440019</v>
      </c>
      <c r="O7" t="n">
        <v>65038106</v>
      </c>
      <c r="P7" t="n">
        <v>53066533</v>
      </c>
      <c r="Q7" t="n">
        <v>57178671</v>
      </c>
      <c r="R7" t="n">
        <v>152082149</v>
      </c>
      <c r="AY7" t="inlineStr">
        <is>
          <t>Leverage Ratio</t>
        </is>
      </c>
      <c r="BB7" t="n">
        <v>15.2</v>
      </c>
      <c r="BC7" t="n">
        <v>23.86</v>
      </c>
      <c r="BD7" t="n">
        <v>25.88</v>
      </c>
      <c r="BE7" t="n">
        <v>14.66</v>
      </c>
    </row>
    <row r="8">
      <c r="A8" s="5" t="inlineStr">
        <is>
          <t>Amounts owed to depositors</t>
        </is>
      </c>
      <c r="B8" s="5" t="n">
        <v>393649207</v>
      </c>
      <c r="C8" s="5" t="n">
        <v>255765401</v>
      </c>
      <c r="D8" s="5" t="n">
        <v>270972181</v>
      </c>
      <c r="E8" s="5" t="n">
        <v>347038076</v>
      </c>
      <c r="F8" s="5" t="n">
        <v>258550273</v>
      </c>
      <c r="G8" s="5" t="n">
        <v>276077311</v>
      </c>
      <c r="H8" s="5" t="n"/>
      <c r="K8" t="inlineStr">
        <is>
          <t>Amounts owed to depositors</t>
        </is>
      </c>
      <c r="M8" t="n">
        <v>276077311</v>
      </c>
      <c r="N8" t="n">
        <v>258550273</v>
      </c>
      <c r="O8" t="n">
        <v>347038076</v>
      </c>
      <c r="P8" t="n">
        <v>270972181</v>
      </c>
      <c r="Q8" t="n">
        <v>255765401</v>
      </c>
      <c r="R8" t="n">
        <v>393649207</v>
      </c>
      <c r="AY8" t="inlineStr">
        <is>
          <t>LCR</t>
        </is>
      </c>
      <c r="BA8" t="n">
        <v>310</v>
      </c>
      <c r="BB8" t="n">
        <v>378.34</v>
      </c>
      <c r="BC8" t="n">
        <v>409.87</v>
      </c>
      <c r="BD8" t="n">
        <v>370.09</v>
      </c>
      <c r="BE8" t="n">
        <v>256.31</v>
      </c>
    </row>
    <row r="9">
      <c r="A9" s="5" t="inlineStr">
        <is>
          <t>Total Equity</t>
        </is>
      </c>
      <c r="B9" s="5" t="n">
        <v>174718204</v>
      </c>
      <c r="C9" s="5" t="n">
        <v>168466456</v>
      </c>
      <c r="D9" s="5" t="n">
        <v>162328173</v>
      </c>
      <c r="E9" s="5" t="n">
        <v>157848993</v>
      </c>
      <c r="F9" s="5" t="n">
        <v>120065401</v>
      </c>
      <c r="G9" s="5" t="n">
        <v>131806062</v>
      </c>
      <c r="H9" s="5" t="n"/>
      <c r="K9" t="inlineStr">
        <is>
          <t>Total Equity</t>
        </is>
      </c>
      <c r="M9" t="n">
        <v>131806062</v>
      </c>
      <c r="N9" t="n">
        <v>120065401</v>
      </c>
      <c r="O9" t="n">
        <v>157848993</v>
      </c>
      <c r="P9" t="n">
        <v>162328173</v>
      </c>
      <c r="Q9" t="n">
        <v>168466456</v>
      </c>
      <c r="R9" t="n">
        <v>174718204</v>
      </c>
      <c r="AY9" t="inlineStr">
        <is>
          <t>NSFR</t>
        </is>
      </c>
      <c r="BC9" t="n">
        <v>292.79</v>
      </c>
      <c r="BD9" t="n">
        <v>273.27</v>
      </c>
      <c r="BE9" t="n">
        <v>255.98</v>
      </c>
    </row>
    <row r="11">
      <c r="A11" s="3" t="inlineStr">
        <is>
          <t>Profit &amp; Loss Summary (£)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G12" s="4" t="inlineStr">
        <is>
          <t>FY2020</t>
        </is>
      </c>
      <c r="H12" s="4" t="inlineStr">
        <is>
          <t>FY2019</t>
        </is>
      </c>
      <c r="V12" t="inlineStr">
        <is>
          <t>FY2019</t>
        </is>
      </c>
      <c r="W12" t="inlineStr">
        <is>
          <t>FY2020</t>
        </is>
      </c>
      <c r="X12" t="inlineStr">
        <is>
          <t>FY2021</t>
        </is>
      </c>
      <c r="Y12" t="inlineStr">
        <is>
          <t>FY2022</t>
        </is>
      </c>
      <c r="Z12" t="inlineStr">
        <is>
          <t>FY2023</t>
        </is>
      </c>
      <c r="AA12" t="inlineStr">
        <is>
          <t>FY2024</t>
        </is>
      </c>
      <c r="AB12" t="inlineStr">
        <is>
          <t>FY2025</t>
        </is>
      </c>
    </row>
    <row r="13">
      <c r="A13" s="5" t="inlineStr">
        <is>
          <t>Operating income</t>
        </is>
      </c>
      <c r="B13" s="5" t="n">
        <v>50581488</v>
      </c>
      <c r="C13" s="5" t="n">
        <v>47404294</v>
      </c>
      <c r="D13" s="5" t="n">
        <v>39956124</v>
      </c>
      <c r="E13" s="5" t="n">
        <v>27022086</v>
      </c>
      <c r="F13" s="5" t="n">
        <v>16276979</v>
      </c>
      <c r="G13" s="5" t="n">
        <v>17547212</v>
      </c>
      <c r="H13" s="5" t="n"/>
      <c r="U13" t="inlineStr">
        <is>
          <t>Operating income</t>
        </is>
      </c>
      <c r="W13" t="n">
        <v>17547212</v>
      </c>
      <c r="X13" t="n">
        <v>16276979</v>
      </c>
      <c r="Y13" t="n">
        <v>27022086</v>
      </c>
      <c r="Z13" t="n">
        <v>39956124</v>
      </c>
      <c r="AA13" t="n">
        <v>47404294</v>
      </c>
      <c r="AB13" t="n">
        <v>50581488</v>
      </c>
    </row>
    <row r="14">
      <c r="A14" s="5" t="inlineStr">
        <is>
          <t>Total operating expenses</t>
        </is>
      </c>
      <c r="B14" s="5" t="n">
        <v>-43637647</v>
      </c>
      <c r="C14" s="5" t="n">
        <v>-41158713</v>
      </c>
      <c r="D14" s="5" t="n">
        <v>-36722520</v>
      </c>
      <c r="E14" s="5" t="n">
        <v>-35155545</v>
      </c>
      <c r="F14" s="5" t="n">
        <v>-27656389</v>
      </c>
      <c r="G14" s="5" t="n">
        <v>-22914590</v>
      </c>
      <c r="H14" s="5" t="n"/>
      <c r="U14" t="inlineStr">
        <is>
          <t>Total operating expenses</t>
        </is>
      </c>
      <c r="W14" t="n">
        <v>-22914590</v>
      </c>
      <c r="X14" t="n">
        <v>-27656389</v>
      </c>
      <c r="Y14" t="n">
        <v>-35155545</v>
      </c>
      <c r="Z14" t="n">
        <v>-36722520</v>
      </c>
      <c r="AA14" t="n">
        <v>-41158713</v>
      </c>
      <c r="AB14" t="n">
        <v>-43637647</v>
      </c>
    </row>
    <row r="15">
      <c r="A15" s="5" t="inlineStr">
        <is>
          <t>Profit/(Loss) for the year</t>
        </is>
      </c>
      <c r="B15" s="5" t="n">
        <v>5402714</v>
      </c>
      <c r="C15" s="5" t="n">
        <v>4236801</v>
      </c>
      <c r="D15" s="5" t="n">
        <v>3112295</v>
      </c>
      <c r="E15" s="5" t="n">
        <v>-9042978</v>
      </c>
      <c r="F15" s="5" t="n">
        <v>-9043124</v>
      </c>
      <c r="G15" s="5" t="n">
        <v>-5152727</v>
      </c>
      <c r="H15" s="5" t="n"/>
      <c r="U15" t="inlineStr">
        <is>
          <t>Profit/(Loss) for the year</t>
        </is>
      </c>
      <c r="W15" t="n">
        <v>-5152727</v>
      </c>
      <c r="X15" t="n">
        <v>-9043124</v>
      </c>
      <c r="Y15" t="n">
        <v>-9042978</v>
      </c>
      <c r="Z15" t="n">
        <v>3112295</v>
      </c>
      <c r="AA15" t="n">
        <v>4236801</v>
      </c>
      <c r="AB15" t="n">
        <v>5402714</v>
      </c>
    </row>
    <row r="17">
      <c r="A17" s="3" t="inlineStr">
        <is>
          <t>Statement of Changes in Equity Summary (£)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G18" s="4" t="inlineStr">
        <is>
          <t>FY2020</t>
        </is>
      </c>
      <c r="H18" s="4" t="inlineStr">
        <is>
          <t>FY2019</t>
        </is>
      </c>
      <c r="AF18" t="inlineStr">
        <is>
          <t>FY2019</t>
        </is>
      </c>
      <c r="AG18" t="inlineStr">
        <is>
          <t>FY2020</t>
        </is>
      </c>
      <c r="AH18" t="inlineStr">
        <is>
          <t>FY2021</t>
        </is>
      </c>
      <c r="AI18" t="inlineStr">
        <is>
          <t>FY2022</t>
        </is>
      </c>
      <c r="AJ18" t="inlineStr">
        <is>
          <t>FY2023</t>
        </is>
      </c>
      <c r="AK18" t="inlineStr">
        <is>
          <t>FY2024</t>
        </is>
      </c>
      <c r="AL18" t="inlineStr">
        <is>
          <t>FY2025</t>
        </is>
      </c>
    </row>
    <row r="19">
      <c r="A19" s="5" t="inlineStr">
        <is>
          <t>Opening equity</t>
        </is>
      </c>
      <c r="B19" s="5" t="n">
        <v>168466456</v>
      </c>
      <c r="C19" s="5" t="n">
        <v>162328173</v>
      </c>
      <c r="D19" s="5" t="n">
        <v>157848993</v>
      </c>
      <c r="E19" s="5" t="n">
        <v>120065401</v>
      </c>
      <c r="F19" s="5" t="n">
        <v>131806062</v>
      </c>
      <c r="G19" s="5" t="n"/>
      <c r="H19" s="5" t="n"/>
      <c r="AE19" t="inlineStr">
        <is>
          <t>Opening equity</t>
        </is>
      </c>
      <c r="AH19" t="n">
        <v>131806062</v>
      </c>
      <c r="AI19" t="n">
        <v>120065401</v>
      </c>
      <c r="AJ19" t="n">
        <v>157848993</v>
      </c>
      <c r="AK19" t="n">
        <v>162328173</v>
      </c>
      <c r="AL19" t="n">
        <v>168466456</v>
      </c>
    </row>
    <row r="20">
      <c r="A20" s="5" t="inlineStr">
        <is>
          <t>Total comprehensive income/(loss) for the year</t>
        </is>
      </c>
      <c r="B20" s="5" t="n">
        <v>7099489</v>
      </c>
      <c r="C20" s="5" t="n">
        <v>6760742</v>
      </c>
      <c r="D20" s="5" t="n">
        <v>4479180</v>
      </c>
      <c r="E20" s="5" t="n">
        <v>-12169122</v>
      </c>
      <c r="F20" s="5" t="n">
        <v>-11740661</v>
      </c>
      <c r="G20" s="5" t="n"/>
      <c r="H20" s="5" t="n"/>
      <c r="AE20" t="inlineStr">
        <is>
          <t>Total comprehensive income/(loss) for the year</t>
        </is>
      </c>
      <c r="AH20" t="n">
        <v>-11740661</v>
      </c>
      <c r="AI20" t="n">
        <v>-12169122</v>
      </c>
      <c r="AJ20" t="n">
        <v>4479180</v>
      </c>
      <c r="AK20" t="n">
        <v>6760742</v>
      </c>
      <c r="AL20" t="n">
        <v>7099489</v>
      </c>
    </row>
    <row r="21">
      <c r="A21" s="5" t="inlineStr">
        <is>
          <t>Closing equity</t>
        </is>
      </c>
      <c r="B21" s="5" t="n">
        <v>174718204</v>
      </c>
      <c r="C21" s="5" t="n">
        <v>168466456</v>
      </c>
      <c r="D21" s="5" t="n">
        <v>162328173</v>
      </c>
      <c r="E21" s="5" t="n">
        <v>157848993</v>
      </c>
      <c r="F21" s="5" t="n">
        <v>120065401</v>
      </c>
      <c r="G21" s="5" t="n"/>
      <c r="H21" s="5" t="n"/>
      <c r="AE21" t="inlineStr">
        <is>
          <t>Closing equity</t>
        </is>
      </c>
      <c r="AH21" t="n">
        <v>120065401</v>
      </c>
      <c r="AI21" t="n">
        <v>157848993</v>
      </c>
      <c r="AJ21" t="n">
        <v>162328173</v>
      </c>
      <c r="AK21" t="n">
        <v>168466456</v>
      </c>
      <c r="AL21" t="n">
        <v>174718204</v>
      </c>
    </row>
    <row r="23">
      <c r="A23" s="3" t="inlineStr">
        <is>
          <t>Cash Flow Summary (£)</t>
        </is>
      </c>
    </row>
    <row r="24">
      <c r="A24" s="4" t="inlineStr">
        <is>
          <t>Line item</t>
        </is>
      </c>
      <c r="B24" s="4" t="inlineStr">
        <is>
          <t>FY2025</t>
        </is>
      </c>
      <c r="C24" s="4" t="inlineStr">
        <is>
          <t>FY2024</t>
        </is>
      </c>
      <c r="D24" s="4" t="inlineStr">
        <is>
          <t>FY2023</t>
        </is>
      </c>
      <c r="E24" s="4" t="inlineStr">
        <is>
          <t>FY2022</t>
        </is>
      </c>
      <c r="F24" s="4" t="inlineStr">
        <is>
          <t>FY2021</t>
        </is>
      </c>
      <c r="G24" s="4" t="inlineStr">
        <is>
          <t>FY2020</t>
        </is>
      </c>
      <c r="H24" s="4" t="inlineStr">
        <is>
          <t>FY2019</t>
        </is>
      </c>
      <c r="AP24" t="inlineStr">
        <is>
          <t>FY2019</t>
        </is>
      </c>
      <c r="AQ24" t="inlineStr">
        <is>
          <t>FY2020</t>
        </is>
      </c>
      <c r="AR24" t="inlineStr">
        <is>
          <t>FY2021</t>
        </is>
      </c>
      <c r="AS24" t="inlineStr">
        <is>
          <t>FY2022</t>
        </is>
      </c>
      <c r="AT24" t="inlineStr">
        <is>
          <t>FY2023</t>
        </is>
      </c>
      <c r="AU24" t="inlineStr">
        <is>
          <t>FY2024</t>
        </is>
      </c>
      <c r="AV24" t="inlineStr">
        <is>
          <t>FY2025</t>
        </is>
      </c>
    </row>
    <row r="25">
      <c r="A25" s="5" t="inlineStr">
        <is>
          <t>Net cash generated from/(used in) operating activities</t>
        </is>
      </c>
      <c r="B25" s="5" t="n">
        <v>-61057195</v>
      </c>
      <c r="C25" s="5" t="n">
        <v>-63471450</v>
      </c>
      <c r="D25" s="5" t="n">
        <v>-40429835</v>
      </c>
      <c r="E25" s="5" t="n">
        <v>30054133</v>
      </c>
      <c r="F25" s="5" t="n">
        <v>-32002834</v>
      </c>
      <c r="G25" s="5" t="n">
        <v>114829689</v>
      </c>
      <c r="H25" s="5" t="n"/>
      <c r="AO25" t="inlineStr">
        <is>
          <t>Net cash generated from/(used in) operating activities</t>
        </is>
      </c>
      <c r="AQ25" t="n">
        <v>114829689</v>
      </c>
      <c r="AR25" t="n">
        <v>-32002834</v>
      </c>
      <c r="AS25" t="n">
        <v>30054133</v>
      </c>
      <c r="AT25" t="n">
        <v>-40429835</v>
      </c>
      <c r="AU25" t="n">
        <v>-63471450</v>
      </c>
      <c r="AV25" t="n">
        <v>-61057195</v>
      </c>
    </row>
    <row r="26">
      <c r="A26" s="5" t="inlineStr">
        <is>
          <t>Net cash used in investing activities</t>
        </is>
      </c>
      <c r="B26" s="5" t="n">
        <v>-2565811</v>
      </c>
      <c r="C26" s="5" t="n">
        <v>-3230461</v>
      </c>
      <c r="D26" s="5" t="n">
        <v>-2218021</v>
      </c>
      <c r="E26" s="5" t="n">
        <v>-4237752</v>
      </c>
      <c r="F26" s="5" t="n">
        <v>-2378005</v>
      </c>
      <c r="G26" s="5" t="n">
        <v>-1967352</v>
      </c>
      <c r="H26" s="5" t="n"/>
      <c r="AO26" t="inlineStr">
        <is>
          <t>Net cash used in investing activities</t>
        </is>
      </c>
      <c r="AQ26" t="n">
        <v>-1967352</v>
      </c>
      <c r="AR26" t="n">
        <v>-2378005</v>
      </c>
      <c r="AS26" t="n">
        <v>-4237752</v>
      </c>
      <c r="AT26" t="n">
        <v>-2218021</v>
      </c>
      <c r="AU26" t="n">
        <v>-3230461</v>
      </c>
      <c r="AV26" t="n">
        <v>-2565811</v>
      </c>
    </row>
    <row r="27">
      <c r="A27" s="5" t="inlineStr">
        <is>
          <t>Net cash generated from/(used in) financing activities</t>
        </is>
      </c>
      <c r="B27" s="5" t="n">
        <v>18249803</v>
      </c>
      <c r="C27" s="5" t="n">
        <v>12597740</v>
      </c>
      <c r="D27" s="5" t="n">
        <v>-874791</v>
      </c>
      <c r="E27" s="5" t="n">
        <v>49037663</v>
      </c>
      <c r="F27" s="5" t="n">
        <v>-849159</v>
      </c>
      <c r="G27" s="5" t="n">
        <v>-820894</v>
      </c>
      <c r="H27" s="5" t="n"/>
      <c r="AO27" t="inlineStr">
        <is>
          <t>Net cash generated from/(used in) financing activities</t>
        </is>
      </c>
      <c r="AQ27" t="n">
        <v>-820894</v>
      </c>
      <c r="AR27" t="n">
        <v>-849159</v>
      </c>
      <c r="AS27" t="n">
        <v>49037663</v>
      </c>
      <c r="AT27" t="n">
        <v>-874791</v>
      </c>
      <c r="AU27" t="n">
        <v>12597740</v>
      </c>
      <c r="AV27" t="n">
        <v>18249803</v>
      </c>
    </row>
    <row r="28">
      <c r="A28" s="5" t="inlineStr">
        <is>
          <t>Cash and cash equivalents at the end of the year</t>
        </is>
      </c>
      <c r="B28" s="5" t="n">
        <v>331086867</v>
      </c>
      <c r="C28" s="5" t="n">
        <v>376370085</v>
      </c>
      <c r="D28" s="5" t="n">
        <v>430365754</v>
      </c>
      <c r="E28" s="5" t="n">
        <v>473775651</v>
      </c>
      <c r="F28" s="5" t="n">
        <v>398759558</v>
      </c>
      <c r="G28" s="5" t="n">
        <v>433918140</v>
      </c>
      <c r="H28" s="5" t="n"/>
      <c r="AO28" t="inlineStr">
        <is>
          <t>Cash and cash equivalents at the end of the year</t>
        </is>
      </c>
      <c r="AQ28" t="n">
        <v>433918140</v>
      </c>
      <c r="AR28" t="n">
        <v>398759558</v>
      </c>
      <c r="AS28" t="n">
        <v>473775651</v>
      </c>
      <c r="AT28" t="n">
        <v>430365754</v>
      </c>
      <c r="AU28" t="n">
        <v>376370085</v>
      </c>
      <c r="AV28" t="n">
        <v>331086867</v>
      </c>
    </row>
    <row r="30">
      <c r="A30" s="3" t="inlineStr">
        <is>
          <t>Pillar 3 Key Metrics</t>
        </is>
      </c>
    </row>
    <row r="31">
      <c r="A31" s="4" t="inlineStr">
        <is>
          <t>Line item</t>
        </is>
      </c>
      <c r="B31" s="4" t="inlineStr">
        <is>
          <t>FY2025</t>
        </is>
      </c>
      <c r="C31" s="4" t="inlineStr">
        <is>
          <t>FY2024</t>
        </is>
      </c>
      <c r="D31" s="4" t="inlineStr">
        <is>
          <t>FY2023</t>
        </is>
      </c>
      <c r="E31" s="4" t="inlineStr">
        <is>
          <t>FY2022</t>
        </is>
      </c>
      <c r="F31" s="4" t="inlineStr">
        <is>
          <t>FY2021</t>
        </is>
      </c>
      <c r="G31" s="4" t="inlineStr">
        <is>
          <t>FY2020</t>
        </is>
      </c>
      <c r="H31" s="4" t="inlineStr">
        <is>
          <t>FY2019</t>
        </is>
      </c>
    </row>
    <row r="32">
      <c r="A32" s="6" t="inlineStr">
        <is>
          <t>CET1 Ratio</t>
        </is>
      </c>
      <c r="B32" s="6" t="n"/>
      <c r="C32" s="6" t="inlineStr">
        <is>
          <t>22.37%</t>
        </is>
      </c>
      <c r="D32" s="6" t="inlineStr">
        <is>
          <t>31.04%</t>
        </is>
      </c>
      <c r="E32" s="6" t="inlineStr">
        <is>
          <t>28.27%</t>
        </is>
      </c>
      <c r="F32" s="6" t="inlineStr">
        <is>
          <t>26.72%</t>
        </is>
      </c>
      <c r="G32" s="6" t="inlineStr">
        <is>
          <t>35.3%</t>
        </is>
      </c>
      <c r="H32" s="6" t="n"/>
    </row>
    <row r="33">
      <c r="A33" s="6" t="inlineStr">
        <is>
          <t>Leverage Ratio</t>
        </is>
      </c>
      <c r="B33" s="6" t="n"/>
      <c r="C33" s="6" t="inlineStr">
        <is>
          <t>14.66%</t>
        </is>
      </c>
      <c r="D33" s="6" t="inlineStr">
        <is>
          <t>25.88%</t>
        </is>
      </c>
      <c r="E33" s="6" t="inlineStr">
        <is>
          <t>23.86%</t>
        </is>
      </c>
      <c r="F33" s="6" t="inlineStr">
        <is>
          <t>15.20%</t>
        </is>
      </c>
      <c r="G33" s="6" t="n"/>
      <c r="H33" s="6" t="n"/>
    </row>
    <row r="34">
      <c r="A34" s="6" t="inlineStr">
        <is>
          <t>LCR</t>
        </is>
      </c>
      <c r="B34" s="6" t="n"/>
      <c r="C34" s="6" t="inlineStr">
        <is>
          <t>256.31%</t>
        </is>
      </c>
      <c r="D34" s="6" t="inlineStr">
        <is>
          <t>370.09%</t>
        </is>
      </c>
      <c r="E34" s="6" t="inlineStr">
        <is>
          <t>409.87%</t>
        </is>
      </c>
      <c r="F34" s="6" t="inlineStr">
        <is>
          <t>378.34%</t>
        </is>
      </c>
      <c r="G34" s="6" t="inlineStr">
        <is>
          <t>310%</t>
        </is>
      </c>
      <c r="H34" s="6" t="n"/>
    </row>
    <row r="35">
      <c r="A35" s="6" t="inlineStr">
        <is>
          <t>NSFR</t>
        </is>
      </c>
      <c r="B35" s="6" t="n"/>
      <c r="C35" s="6" t="inlineStr">
        <is>
          <t>255.98%</t>
        </is>
      </c>
      <c r="D35" s="6" t="inlineStr">
        <is>
          <t>273.27%</t>
        </is>
      </c>
      <c r="E35" s="6" t="inlineStr">
        <is>
          <t>292.79%</t>
        </is>
      </c>
      <c r="F35" s="6" t="n"/>
      <c r="G35" s="6" t="n"/>
      <c r="H35" s="6" t="n"/>
    </row>
    <row r="37" ht="45" customHeight="1">
      <c r="A37" s="7" t="inlineStr">
        <is>
          <t>Note: GHIB is a UK-incorporated PLC (registered England &amp; Wales no. 03468216, a subsidiary of the Government of Ghana) that reports in GBP throughout - no currency conversion applied. Pillar 3 figures are not yet available for FY2025 (see the Pillar 3 sheets' own source notes). Figures are duplicated from the detail sheets for at-a-glance trend viewing; see each sheet's own source citation for the underlying document/page.</t>
        </is>
      </c>
    </row>
  </sheetData>
  <mergeCells count="1">
    <mergeCell ref="A37:H3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Statement of Financial Position</t>
        </is>
      </c>
    </row>
    <row r="2">
      <c r="A2" s="2" t="inlineStr">
        <is>
          <t>Company basis (GHIB has no subsidiaries or branches), £. See source note at bottom.</t>
        </is>
      </c>
    </row>
    <row r="3">
      <c r="A3" s="4" t="inlineStr">
        <is>
          <t>Line item</t>
        </is>
      </c>
      <c r="B3" s="4" t="inlineStr">
        <is>
          <t>FY2025 (£)</t>
        </is>
      </c>
      <c r="C3" s="4" t="inlineStr">
        <is>
          <t>FY2024 (£)</t>
        </is>
      </c>
      <c r="D3" s="4" t="inlineStr">
        <is>
          <t>FY2023 (£)</t>
        </is>
      </c>
      <c r="E3" s="4" t="inlineStr">
        <is>
          <t>FY2022 (£)</t>
        </is>
      </c>
      <c r="F3" s="4" t="inlineStr">
        <is>
          <t>FY2021 (£)</t>
        </is>
      </c>
      <c r="G3" s="4" t="inlineStr">
        <is>
          <t>FY2020 (£)</t>
        </is>
      </c>
      <c r="H3" s="4" t="inlineStr">
        <is>
          <t>FY2019 (£)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Cash and balances at central banks</t>
        </is>
      </c>
      <c r="B5" s="6" t="n">
        <v>162234361</v>
      </c>
      <c r="C5" s="6" t="n">
        <v>181980487</v>
      </c>
      <c r="D5" s="6" t="n">
        <v>256691647</v>
      </c>
      <c r="E5" s="6" t="n">
        <v>135432668</v>
      </c>
      <c r="F5" s="6" t="n">
        <v>69522404</v>
      </c>
      <c r="G5" s="6" t="n">
        <v>75240729</v>
      </c>
      <c r="H5" s="6" t="n">
        <v>82248890</v>
      </c>
    </row>
    <row r="6">
      <c r="A6" s="6" t="inlineStr">
        <is>
          <t>Placements with and loans and advances to banks</t>
        </is>
      </c>
      <c r="B6" s="6" t="n">
        <v>426835273</v>
      </c>
      <c r="C6" s="6" t="n">
        <v>471210664</v>
      </c>
      <c r="D6" s="6" t="n">
        <v>353387088</v>
      </c>
      <c r="E6" s="6" t="n">
        <v>510389547</v>
      </c>
      <c r="F6" s="6" t="n">
        <v>499653769</v>
      </c>
      <c r="G6" s="6" t="n">
        <v>517900464</v>
      </c>
      <c r="H6" s="6" t="n">
        <v>453894935</v>
      </c>
    </row>
    <row r="7">
      <c r="A7" s="6" t="inlineStr">
        <is>
          <t>Loans and advances to customers</t>
        </is>
      </c>
      <c r="B7" s="6" t="n">
        <v>152082149</v>
      </c>
      <c r="C7" s="6" t="n">
        <v>57178671</v>
      </c>
      <c r="D7" s="6" t="n">
        <v>53066533</v>
      </c>
      <c r="E7" s="6" t="n">
        <v>65038106</v>
      </c>
      <c r="F7" s="6" t="n">
        <v>89440019</v>
      </c>
      <c r="G7" s="6" t="n">
        <v>72138823</v>
      </c>
      <c r="H7" s="6" t="n">
        <v>80109596</v>
      </c>
    </row>
    <row r="8">
      <c r="A8" s="6" t="inlineStr">
        <is>
          <t>Government and other securities</t>
        </is>
      </c>
      <c r="B8" s="6" t="n">
        <v>428235831</v>
      </c>
      <c r="C8" s="6" t="n">
        <v>366183607</v>
      </c>
      <c r="D8" s="6" t="n">
        <v>119321238</v>
      </c>
      <c r="E8" s="6" t="n">
        <v>170000415</v>
      </c>
      <c r="F8" s="6" t="n">
        <v>93657043</v>
      </c>
      <c r="G8" s="6" t="n">
        <v>73283983</v>
      </c>
      <c r="H8" s="6" t="n">
        <v>54352460</v>
      </c>
    </row>
    <row r="9">
      <c r="A9" s="6" t="inlineStr">
        <is>
          <t>Prepayments and other receivables</t>
        </is>
      </c>
      <c r="B9" s="6" t="n">
        <v>4074887</v>
      </c>
      <c r="C9" s="6" t="n">
        <v>5172009</v>
      </c>
      <c r="D9" s="6" t="n">
        <v>2778164</v>
      </c>
      <c r="E9" s="6" t="n">
        <v>2289462</v>
      </c>
      <c r="F9" s="6" t="n">
        <v>2333255</v>
      </c>
      <c r="G9" s="6" t="n">
        <v>1940133</v>
      </c>
      <c r="H9" s="6" t="n">
        <v>1878511</v>
      </c>
    </row>
    <row r="10">
      <c r="A10" s="6" t="inlineStr">
        <is>
          <t>Property, plant and equipment</t>
        </is>
      </c>
      <c r="B10" s="6" t="n">
        <v>1407862</v>
      </c>
      <c r="C10" s="6" t="n">
        <v>1679557</v>
      </c>
      <c r="D10" s="6" t="n">
        <v>1878621</v>
      </c>
      <c r="E10" s="6" t="n">
        <v>4139799</v>
      </c>
      <c r="F10" s="6" t="n">
        <v>4304452</v>
      </c>
      <c r="G10" s="6" t="n">
        <v>3565999</v>
      </c>
      <c r="H10" s="6" t="n">
        <v>2621639</v>
      </c>
    </row>
    <row r="11">
      <c r="A11" s="6" t="inlineStr">
        <is>
          <t>Right of use assets</t>
        </is>
      </c>
      <c r="B11" s="6" t="n">
        <v>1573125</v>
      </c>
      <c r="C11" s="6" t="n">
        <v>2010863</v>
      </c>
      <c r="D11" s="6" t="n">
        <v>1605924</v>
      </c>
      <c r="E11" s="6" t="n"/>
      <c r="F11" s="6" t="n"/>
      <c r="G11" s="6" t="n"/>
      <c r="H11" s="6" t="n"/>
    </row>
    <row r="12">
      <c r="A12" s="6" t="inlineStr">
        <is>
          <t>Intangible assets</t>
        </is>
      </c>
      <c r="B12" s="6" t="n">
        <v>7998495</v>
      </c>
      <c r="C12" s="6" t="n">
        <v>7829045</v>
      </c>
      <c r="D12" s="6" t="n">
        <v>6130633</v>
      </c>
      <c r="E12" s="6" t="n">
        <v>5252083</v>
      </c>
      <c r="F12" s="6" t="n">
        <v>2527506</v>
      </c>
      <c r="G12" s="6" t="n">
        <v>909018</v>
      </c>
      <c r="H12" s="6" t="n"/>
    </row>
    <row r="13">
      <c r="A13" s="6" t="inlineStr">
        <is>
          <t>Current tax asset</t>
        </is>
      </c>
      <c r="B13" s="6" t="n"/>
      <c r="C13" s="6" t="n">
        <v>0</v>
      </c>
      <c r="D13" s="6" t="n">
        <v>945584</v>
      </c>
      <c r="E13" s="6" t="n">
        <v>945584</v>
      </c>
      <c r="F13" s="6" t="n">
        <v>0</v>
      </c>
      <c r="G13" s="6" t="n">
        <v>166307</v>
      </c>
      <c r="H13" s="6" t="n"/>
    </row>
    <row r="14">
      <c r="A14" s="6" t="inlineStr">
        <is>
          <t>Deferred tax asset</t>
        </is>
      </c>
      <c r="B14" s="6" t="n">
        <v>405217</v>
      </c>
      <c r="C14" s="6" t="n">
        <v>2441160</v>
      </c>
      <c r="D14" s="6" t="n">
        <v>4843256</v>
      </c>
      <c r="E14" s="6" t="n">
        <v>6362609</v>
      </c>
      <c r="F14" s="6" t="n">
        <v>5189176</v>
      </c>
      <c r="G14" s="6" t="n">
        <v>1328079</v>
      </c>
      <c r="H14" s="6" t="n">
        <v>254870</v>
      </c>
    </row>
    <row r="15">
      <c r="A15" s="5" t="inlineStr">
        <is>
          <t>Total assets</t>
        </is>
      </c>
      <c r="B15" s="5" t="n">
        <v>1184847200</v>
      </c>
      <c r="C15" s="5" t="n">
        <v>1095686063</v>
      </c>
      <c r="D15" s="5" t="n">
        <v>800648688</v>
      </c>
      <c r="E15" s="5" t="n">
        <v>899850273</v>
      </c>
      <c r="F15" s="5" t="n">
        <v>766627624</v>
      </c>
      <c r="G15" s="5" t="n">
        <v>746473535</v>
      </c>
      <c r="H15" s="5" t="n">
        <v>676561478</v>
      </c>
    </row>
    <row r="16">
      <c r="A16" s="5" t="inlineStr">
        <is>
          <t>Liabilities</t>
        </is>
      </c>
      <c r="B16" s="6" t="n"/>
      <c r="C16" s="6" t="n"/>
      <c r="D16" s="6" t="n"/>
      <c r="E16" s="6" t="n"/>
      <c r="F16" s="6" t="n"/>
      <c r="G16" s="6" t="n"/>
      <c r="H16" s="6" t="n"/>
    </row>
    <row r="17">
      <c r="A17" s="6" t="inlineStr">
        <is>
          <t>Deposits by banks</t>
        </is>
      </c>
      <c r="B17" s="6" t="n">
        <v>570571847</v>
      </c>
      <c r="C17" s="6" t="n">
        <v>619446707</v>
      </c>
      <c r="D17" s="6" t="n">
        <v>355749487</v>
      </c>
      <c r="E17" s="6" t="n">
        <v>368415004</v>
      </c>
      <c r="F17" s="6" t="n">
        <v>377412107</v>
      </c>
      <c r="G17" s="6" t="n">
        <v>316857125</v>
      </c>
      <c r="H17" s="6" t="n">
        <v>297598719</v>
      </c>
    </row>
    <row r="18">
      <c r="A18" s="6" t="inlineStr">
        <is>
          <t>Amounts owed to depositors</t>
        </is>
      </c>
      <c r="B18" s="6" t="n">
        <v>393649207</v>
      </c>
      <c r="C18" s="6" t="n">
        <v>255765401</v>
      </c>
      <c r="D18" s="6" t="n">
        <v>270972181</v>
      </c>
      <c r="E18" s="6" t="n">
        <v>347038076</v>
      </c>
      <c r="F18" s="6" t="n">
        <v>258550273</v>
      </c>
      <c r="G18" s="6" t="n">
        <v>276077311</v>
      </c>
      <c r="H18" s="6" t="n">
        <v>219743960</v>
      </c>
    </row>
    <row r="19">
      <c r="A19" s="6" t="inlineStr">
        <is>
          <t>Term financing</t>
        </is>
      </c>
      <c r="B19" s="6" t="n">
        <v>34616710</v>
      </c>
      <c r="C19" s="6" t="n">
        <v>14562133</v>
      </c>
      <c r="D19" s="6" t="n">
        <v>0</v>
      </c>
      <c r="E19" s="6" t="n"/>
      <c r="F19" s="6" t="n"/>
      <c r="G19" s="6" t="n"/>
      <c r="H19" s="6" t="n"/>
    </row>
    <row r="20">
      <c r="A20" s="6" t="inlineStr">
        <is>
          <t>Other liabilities</t>
        </is>
      </c>
      <c r="B20" s="6" t="n">
        <v>2726095</v>
      </c>
      <c r="C20" s="6" t="n">
        <v>30261027</v>
      </c>
      <c r="D20" s="6" t="n">
        <v>6287092</v>
      </c>
      <c r="E20" s="6" t="n">
        <v>22784211</v>
      </c>
      <c r="F20" s="6" t="n">
        <v>7791171</v>
      </c>
      <c r="G20" s="6" t="n">
        <v>18276926</v>
      </c>
      <c r="H20" s="6" t="n">
        <v>18914366</v>
      </c>
    </row>
    <row r="21">
      <c r="A21" s="6" t="inlineStr">
        <is>
          <t>Accruals and deferred income</t>
        </is>
      </c>
      <c r="B21" s="6" t="n">
        <v>8565137</v>
      </c>
      <c r="C21" s="6" t="n">
        <v>7184339</v>
      </c>
      <c r="D21" s="6" t="n">
        <v>5311755</v>
      </c>
      <c r="E21" s="6" t="n">
        <v>3763989</v>
      </c>
      <c r="F21" s="6" t="n">
        <v>2808672</v>
      </c>
      <c r="G21" s="6" t="n">
        <v>3456111</v>
      </c>
      <c r="H21" s="6" t="n">
        <v>3258801</v>
      </c>
    </row>
    <row r="22">
      <c r="A22" s="5" t="inlineStr">
        <is>
          <t>Total liabilities</t>
        </is>
      </c>
      <c r="B22" s="5" t="n">
        <v>1010128996</v>
      </c>
      <c r="C22" s="5" t="n">
        <v>927219607</v>
      </c>
      <c r="D22" s="5" t="n">
        <v>638320515</v>
      </c>
      <c r="E22" s="5" t="n">
        <v>742001280</v>
      </c>
      <c r="F22" s="5" t="n">
        <v>646562223</v>
      </c>
      <c r="G22" s="5" t="n">
        <v>614667473</v>
      </c>
      <c r="H22" s="5" t="n">
        <v>539559387</v>
      </c>
    </row>
    <row r="23">
      <c r="A23" s="5" t="inlineStr">
        <is>
          <t>Equity</t>
        </is>
      </c>
      <c r="B23" s="6" t="n"/>
      <c r="C23" s="6" t="n"/>
      <c r="D23" s="6" t="n"/>
      <c r="E23" s="6" t="n"/>
      <c r="F23" s="6" t="n"/>
      <c r="G23" s="6" t="n"/>
      <c r="H23" s="6" t="n"/>
    </row>
    <row r="24">
      <c r="A24" s="6" t="inlineStr">
        <is>
          <t>Ordinary shares</t>
        </is>
      </c>
      <c r="B24" s="6" t="n">
        <v>63739927</v>
      </c>
      <c r="C24" s="6" t="n">
        <v>63739927</v>
      </c>
      <c r="D24" s="6" t="n">
        <v>63739927</v>
      </c>
      <c r="E24" s="6" t="n">
        <v>63739927</v>
      </c>
      <c r="F24" s="6" t="n">
        <v>45000000</v>
      </c>
      <c r="G24" s="6" t="n"/>
      <c r="H24" s="6" t="n">
        <v>45000000</v>
      </c>
    </row>
    <row r="25">
      <c r="A25" s="6" t="inlineStr">
        <is>
          <t>Share premium</t>
        </is>
      </c>
      <c r="B25" s="6" t="n">
        <v>61212787</v>
      </c>
      <c r="C25" s="6" t="n">
        <v>61212787</v>
      </c>
      <c r="D25" s="6" t="n">
        <v>61212787</v>
      </c>
      <c r="E25" s="6" t="n">
        <v>61212787</v>
      </c>
      <c r="F25" s="6" t="n">
        <v>30000000</v>
      </c>
      <c r="G25" s="6" t="n"/>
      <c r="H25" s="6" t="n">
        <v>30000000</v>
      </c>
    </row>
    <row r="26">
      <c r="A26" s="6" t="inlineStr">
        <is>
          <t>FVOCI revaluation reserve</t>
        </is>
      </c>
      <c r="B26" s="6" t="n">
        <v>1040762</v>
      </c>
      <c r="C26" s="6" t="n">
        <v>-656013</v>
      </c>
      <c r="D26" s="6" t="n">
        <v>-3179954</v>
      </c>
      <c r="E26" s="6" t="n">
        <v>-4546839</v>
      </c>
      <c r="F26" s="6" t="n">
        <v>-1420695</v>
      </c>
      <c r="G26" s="6" t="n">
        <v>1276842</v>
      </c>
      <c r="H26" s="6" t="n">
        <v>1000468</v>
      </c>
    </row>
    <row r="27">
      <c r="A27" s="6" t="inlineStr">
        <is>
          <t>Profit and loss account</t>
        </is>
      </c>
      <c r="B27" s="6" t="n">
        <v>48724728</v>
      </c>
      <c r="C27" s="6" t="n">
        <v>44169755</v>
      </c>
      <c r="D27" s="6" t="n">
        <v>40555413</v>
      </c>
      <c r="E27" s="6" t="n">
        <v>37443118</v>
      </c>
      <c r="F27" s="6" t="n">
        <v>46486096</v>
      </c>
      <c r="G27" s="6" t="n">
        <v>55529220</v>
      </c>
      <c r="H27" s="6" t="n">
        <v>61001623</v>
      </c>
    </row>
    <row r="28">
      <c r="A28" s="5" t="inlineStr">
        <is>
          <t>Total Equity</t>
        </is>
      </c>
      <c r="B28" s="5" t="n">
        <v>174718204</v>
      </c>
      <c r="C28" s="5" t="n">
        <v>168466456</v>
      </c>
      <c r="D28" s="5" t="n">
        <v>162328173</v>
      </c>
      <c r="E28" s="5" t="n">
        <v>157848993</v>
      </c>
      <c r="F28" s="5" t="n">
        <v>120065401</v>
      </c>
      <c r="G28" s="5" t="n">
        <v>131806062</v>
      </c>
      <c r="H28" s="5" t="n">
        <v>137002091</v>
      </c>
    </row>
    <row r="29">
      <c r="A29" s="5" t="inlineStr">
        <is>
          <t>Total liabilities and equity</t>
        </is>
      </c>
      <c r="B29" s="5" t="n">
        <v>1184847200</v>
      </c>
      <c r="C29" s="5" t="n">
        <v>1095686063</v>
      </c>
      <c r="D29" s="5" t="n">
        <v>800648688</v>
      </c>
      <c r="E29" s="5" t="n">
        <v>899850273</v>
      </c>
      <c r="F29" s="5" t="n">
        <v>766627624</v>
      </c>
      <c r="G29" s="5" t="n">
        <v>746473535</v>
      </c>
      <c r="H29" s="5" t="n">
        <v>676561478</v>
      </c>
    </row>
    <row r="31" ht="340" customHeight="1">
      <c r="A31" s="8" t="inlineStr">
        <is>
          <t>Sources - Ghana International Bank Plc's own Statement of Financial Position / Statement of Comprehensive Income / Statement of Changes in Equity, £:
FY2025 &amp; FY2024: Annual Report and Financial Statements 2025, p.74-77 (Statement of Comprehensive Income, Statement of Financial Position, Statement of Changes in Equity) - https://www.ghanabank.co.uk/app/uploads/2026/04/GHIB-ANNUAL-REPORT-2025-2-page-view.pdf
FY2024 &amp; FY2023: Annual Report and Financial Statements 2024, p.80-83 (own-year FY2024 figures; cross-checked against the FY2025 report's FY2024 comparative column, matched exactly) - https://www.ghanabank.co.uk/app/uploads/2025/04/GHIB-ANNUAL-REPORT-2024.pdf
FY2022 &amp; FY2021: Annual Report and Financial Statements 2022, p.46-48 - https://www.ghanabank.co.uk/app/uploads/2023/03/GHIB-Annual-Report-and-Financial-Statements-2022-.pdf
FY2020: Annual Report and Financial Statements 2020, pp.37-40 (supplied Companies House scan; company basis)
FY2019: Annual Report and Financial Statements 2019, pp.25-28 (supplied Companies House scan; company basis)
Ghana International Bank Plc (Company basis, GHIB has no subsidiaries or branches) reports in £ throughout - no currency conversion applied. Each year's own originally-published figures used throughout - the Statement of Changes in Equity ties exactly at every year boundary (opening = prior year's own closing = prior year's own Balance Sheet Total Equity) across all 6 years, zero plug rows needed.
COLUMN-ORDER CAUTION (2025 Annual Report only): the FY2025 Annual Report is published as a '2-page-view' PDF (two facing pages per PDF page) - naive text extraction interleaves the 2025 and 2024 columns of the Balance Sheet in a way that looks plausible but is backwards (the block of values immediately following the P&amp;L's 2024 column is actually the Balance Sheet's OWN 2024 comparative, not FY2025). All figures below were independently confirmed by rendering the actual page image and by cross-checking every FY2024 figure against the FY2024 Annual Report's own originally-published Balance Sheet (Company basis) - which are identical, as they must be.
PRESENTATION CHANGES: the cash/central-bank balances line is labelled 'Cash and balances at banks including items in course of collection' in the FY2021/FY2022 reports vs 'Cash and balances at central banks' FY2023-FY2025 (same line, relabelled - not a new item). 'Right of use assets' only appears as its own line from FY2023 (lease accounting change). 'Term financing' only appears from FY2024 (new funding line; nil/not applicable before). 'Current tax asset' was a separate line FY2021-FY2024 (nil in FY2021/FY2024, £945,584 in FY2022/FY2023) but was dropped entirely from the FY2025 Annual Report's Balance Sheet structure (both the FY2025 and FY2024-comparative columns) - left blank for FY2025 as a genuine structural change, not a data gap.</t>
        </is>
      </c>
    </row>
  </sheetData>
  <mergeCells count="1">
    <mergeCell ref="A31:H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Statement of Comprehensive Income</t>
        </is>
      </c>
    </row>
    <row r="2">
      <c r="A2" s="2" t="inlineStr">
        <is>
          <t>Company basis (GHIB has no subsidiaries or branches), £. See source note at bottom.</t>
        </is>
      </c>
    </row>
    <row r="3">
      <c r="A3" s="4" t="inlineStr">
        <is>
          <t>Line item</t>
        </is>
      </c>
      <c r="B3" s="4" t="inlineStr">
        <is>
          <t>FY2025 (£)</t>
        </is>
      </c>
      <c r="C3" s="4" t="inlineStr">
        <is>
          <t>FY2024 (£)</t>
        </is>
      </c>
      <c r="D3" s="4" t="inlineStr">
        <is>
          <t>FY2023 (£)</t>
        </is>
      </c>
      <c r="E3" s="4" t="inlineStr">
        <is>
          <t>FY2022 (£)</t>
        </is>
      </c>
      <c r="F3" s="4" t="inlineStr">
        <is>
          <t>FY2021 (£)</t>
        </is>
      </c>
      <c r="G3" s="4" t="inlineStr">
        <is>
          <t>FY2020 (£)</t>
        </is>
      </c>
      <c r="H3" s="4" t="inlineStr">
        <is>
          <t>FY2019 (£)</t>
        </is>
      </c>
    </row>
    <row r="4">
      <c r="A4" s="5" t="inlineStr">
        <is>
          <t>Continuing operations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Interest receivable and similar income</t>
        </is>
      </c>
      <c r="B5" s="6" t="n">
        <v>44645524</v>
      </c>
      <c r="C5" s="6" t="n">
        <v>45634349</v>
      </c>
      <c r="D5" s="6" t="n">
        <v>35055214</v>
      </c>
      <c r="E5" s="6" t="n">
        <v>20784717</v>
      </c>
      <c r="F5" s="6" t="n">
        <v>11402644</v>
      </c>
      <c r="G5" s="6" t="n">
        <v>12054372</v>
      </c>
      <c r="H5" s="6" t="n">
        <v>20127664</v>
      </c>
    </row>
    <row r="6">
      <c r="A6" s="6" t="inlineStr">
        <is>
          <t>Other interest income arising from debt and other fixed income securities</t>
        </is>
      </c>
      <c r="B6" s="6" t="n">
        <v>13537189</v>
      </c>
      <c r="C6" s="6" t="n">
        <v>9820312</v>
      </c>
      <c r="D6" s="6" t="n">
        <v>9075263</v>
      </c>
      <c r="E6" s="6" t="n">
        <v>3177870</v>
      </c>
      <c r="F6" s="6" t="n">
        <v>1335400</v>
      </c>
      <c r="G6" s="6" t="n">
        <v>2244746</v>
      </c>
      <c r="H6" s="6" t="n">
        <v>2326696</v>
      </c>
    </row>
    <row r="7">
      <c r="A7" s="5" t="inlineStr">
        <is>
          <t>Total interest income</t>
        </is>
      </c>
      <c r="B7" s="5" t="n">
        <v>58182713</v>
      </c>
      <c r="C7" s="5" t="n">
        <v>55454661</v>
      </c>
      <c r="D7" s="5" t="n">
        <v>44130477</v>
      </c>
      <c r="E7" s="5" t="n">
        <v>23962587</v>
      </c>
      <c r="F7" s="5" t="n">
        <v>12738044</v>
      </c>
      <c r="G7" s="5" t="n">
        <v>14299118</v>
      </c>
      <c r="H7" s="5" t="n">
        <v>22454360</v>
      </c>
    </row>
    <row r="8">
      <c r="A8" s="6" t="inlineStr">
        <is>
          <t>Interest expense and similar charges</t>
        </is>
      </c>
      <c r="B8" s="6" t="n">
        <v>-21177326</v>
      </c>
      <c r="C8" s="6" t="n">
        <v>-19083832</v>
      </c>
      <c r="D8" s="6" t="n">
        <v>-12823804</v>
      </c>
      <c r="E8" s="6" t="n">
        <v>-4638083</v>
      </c>
      <c r="F8" s="6" t="n">
        <v>-2641590</v>
      </c>
      <c r="G8" s="6" t="n">
        <v>-5218595</v>
      </c>
      <c r="H8" s="6" t="n">
        <v>-7178683</v>
      </c>
    </row>
    <row r="9">
      <c r="A9" s="5" t="inlineStr">
        <is>
          <t>Net interest income</t>
        </is>
      </c>
      <c r="B9" s="5" t="n">
        <v>37005387</v>
      </c>
      <c r="C9" s="5" t="n">
        <v>36370829</v>
      </c>
      <c r="D9" s="5" t="n">
        <v>31306673</v>
      </c>
      <c r="E9" s="5" t="n">
        <v>19324504</v>
      </c>
      <c r="F9" s="5" t="n">
        <v>10096454</v>
      </c>
      <c r="G9" s="5" t="n">
        <v>9080523</v>
      </c>
      <c r="H9" s="5" t="n">
        <v>15275677</v>
      </c>
    </row>
    <row r="10">
      <c r="A10" s="6" t="inlineStr">
        <is>
          <t>Fees and commission income</t>
        </is>
      </c>
      <c r="B10" s="6" t="n">
        <v>10547351</v>
      </c>
      <c r="C10" s="6" t="n">
        <v>8240062</v>
      </c>
      <c r="D10" s="6" t="n">
        <v>6490818</v>
      </c>
      <c r="E10" s="6" t="n">
        <v>5475061</v>
      </c>
      <c r="F10" s="6" t="n">
        <v>4495862</v>
      </c>
      <c r="G10" s="6" t="n">
        <v>4007440</v>
      </c>
      <c r="H10" s="6" t="n">
        <v>3639850</v>
      </c>
    </row>
    <row r="11">
      <c r="A11" s="6" t="inlineStr">
        <is>
          <t>Net foreign currency income</t>
        </is>
      </c>
      <c r="B11" s="6" t="n">
        <v>2111389</v>
      </c>
      <c r="C11" s="6" t="n">
        <v>1944169</v>
      </c>
      <c r="D11" s="6" t="n">
        <v>1989283</v>
      </c>
      <c r="E11" s="6" t="n">
        <v>2218117</v>
      </c>
      <c r="F11" s="6" t="n">
        <v>1446706</v>
      </c>
      <c r="G11" s="6" t="n">
        <v>3010751</v>
      </c>
      <c r="H11" s="6" t="n">
        <v>2561547</v>
      </c>
    </row>
    <row r="12">
      <c r="A12" s="6" t="inlineStr">
        <is>
          <t>Investments gains/(losses) from sale of government and other securities</t>
        </is>
      </c>
      <c r="B12" s="6" t="n">
        <v>912197</v>
      </c>
      <c r="C12" s="6" t="n">
        <v>-163241</v>
      </c>
      <c r="D12" s="6" t="n">
        <v>79998</v>
      </c>
      <c r="E12" s="6" t="n">
        <v>0</v>
      </c>
      <c r="F12" s="6" t="n">
        <v>228305</v>
      </c>
      <c r="G12" s="6" t="n">
        <v>1356116</v>
      </c>
      <c r="H12" s="6" t="n">
        <v>653640</v>
      </c>
    </row>
    <row r="13">
      <c r="A13" s="6" t="inlineStr">
        <is>
          <t>Other income</t>
        </is>
      </c>
      <c r="B13" s="6" t="n">
        <v>5164</v>
      </c>
      <c r="C13" s="6" t="n">
        <v>1012475</v>
      </c>
      <c r="D13" s="6" t="n">
        <v>89352</v>
      </c>
      <c r="E13" s="6" t="n">
        <v>4404</v>
      </c>
      <c r="F13" s="6" t="n">
        <v>9652</v>
      </c>
      <c r="G13" s="6" t="n">
        <v>92382</v>
      </c>
      <c r="H13" s="6" t="n">
        <v>87069</v>
      </c>
    </row>
    <row r="14">
      <c r="A14" s="5" t="inlineStr">
        <is>
          <t>Total non-interest income</t>
        </is>
      </c>
      <c r="B14" s="5" t="n">
        <v>13576101</v>
      </c>
      <c r="C14" s="5" t="n">
        <v>11033465</v>
      </c>
      <c r="D14" s="5" t="n">
        <v>8649451</v>
      </c>
      <c r="E14" s="5" t="n">
        <v>7697582</v>
      </c>
      <c r="F14" s="5" t="n">
        <v>6180525</v>
      </c>
      <c r="G14" s="5" t="n">
        <v>8466689</v>
      </c>
      <c r="H14" s="5" t="n">
        <v>6942106</v>
      </c>
    </row>
    <row r="15">
      <c r="A15" s="5" t="inlineStr">
        <is>
          <t>Operating income</t>
        </is>
      </c>
      <c r="B15" s="5" t="n">
        <v>50581488</v>
      </c>
      <c r="C15" s="5" t="n">
        <v>47404294</v>
      </c>
      <c r="D15" s="5" t="n">
        <v>39956124</v>
      </c>
      <c r="E15" s="5" t="n">
        <v>27022086</v>
      </c>
      <c r="F15" s="5" t="n">
        <v>16276979</v>
      </c>
      <c r="G15" s="5" t="n">
        <v>17547212</v>
      </c>
      <c r="H15" s="5" t="n">
        <v>22217783</v>
      </c>
    </row>
    <row r="16">
      <c r="A16" s="6" t="inlineStr">
        <is>
          <t>Staff costs</t>
        </is>
      </c>
      <c r="B16" s="6" t="n">
        <v>-28184476</v>
      </c>
      <c r="C16" s="6" t="n">
        <v>-26959541</v>
      </c>
      <c r="D16" s="6" t="n">
        <v>-23423228</v>
      </c>
      <c r="E16" s="6" t="n">
        <v>-18937087</v>
      </c>
      <c r="F16" s="6" t="n">
        <v>-16723434</v>
      </c>
      <c r="G16" s="6" t="n">
        <v>-14149127</v>
      </c>
      <c r="H16" s="6" t="n">
        <v>-12133494</v>
      </c>
    </row>
    <row r="17">
      <c r="A17" s="6" t="inlineStr">
        <is>
          <t>Other administrative expenses</t>
        </is>
      </c>
      <c r="B17" s="6" t="n">
        <v>-12134745</v>
      </c>
      <c r="C17" s="6" t="n">
        <v>-11815526</v>
      </c>
      <c r="D17" s="6" t="n">
        <v>-11021926</v>
      </c>
      <c r="E17" s="6" t="n">
        <v>-14536226</v>
      </c>
      <c r="F17" s="6" t="n">
        <v>-9674690</v>
      </c>
      <c r="G17" s="6" t="n">
        <v>-7465181</v>
      </c>
      <c r="H17" s="6" t="n">
        <v>-8347885</v>
      </c>
    </row>
    <row r="18">
      <c r="A18" s="6" t="inlineStr">
        <is>
          <t>Depreciation and amortisation</t>
        </is>
      </c>
      <c r="B18" s="6" t="n">
        <v>-3318426</v>
      </c>
      <c r="C18" s="6" t="n">
        <v>-2383646</v>
      </c>
      <c r="D18" s="6" t="n">
        <v>-2277366</v>
      </c>
      <c r="E18" s="6" t="n">
        <v>-1682232</v>
      </c>
      <c r="F18" s="6" t="n">
        <v>-1258265</v>
      </c>
      <c r="G18" s="6" t="n">
        <v>-1300282</v>
      </c>
      <c r="H18" s="6" t="n">
        <v>-1253581</v>
      </c>
    </row>
    <row r="19">
      <c r="A19" s="5" t="inlineStr">
        <is>
          <t>Total operating expenses</t>
        </is>
      </c>
      <c r="B19" s="5" t="n">
        <v>-43637647</v>
      </c>
      <c r="C19" s="5" t="n">
        <v>-41158713</v>
      </c>
      <c r="D19" s="5" t="n">
        <v>-36722520</v>
      </c>
      <c r="E19" s="5" t="n">
        <v>-35155545</v>
      </c>
      <c r="F19" s="5" t="n">
        <v>-27656389</v>
      </c>
      <c r="G19" s="5" t="n">
        <v>-22914590</v>
      </c>
      <c r="H19" s="5" t="n">
        <v>-21734960</v>
      </c>
    </row>
    <row r="20">
      <c r="A20" s="6" t="inlineStr">
        <is>
          <t>Reversal of provisions/(provisions) for credit losses</t>
        </is>
      </c>
      <c r="B20" s="6" t="n">
        <v>82778</v>
      </c>
      <c r="C20" s="6" t="n">
        <v>-408819</v>
      </c>
      <c r="D20" s="6" t="n">
        <v>1024498</v>
      </c>
      <c r="E20" s="6" t="n">
        <v>-1986487</v>
      </c>
      <c r="F20" s="6" t="n">
        <v>-1090971</v>
      </c>
      <c r="G20" s="6" t="n">
        <v>-966406</v>
      </c>
      <c r="H20" s="6" t="n">
        <v>320650</v>
      </c>
    </row>
    <row r="21">
      <c r="A21" s="5" t="inlineStr">
        <is>
          <t>Profit/(Loss) before taxation</t>
        </is>
      </c>
      <c r="B21" s="5" t="n">
        <v>7026619</v>
      </c>
      <c r="C21" s="5" t="n">
        <v>5836762</v>
      </c>
      <c r="D21" s="5" t="n">
        <v>4258102</v>
      </c>
      <c r="E21" s="5" t="n">
        <v>-10119946</v>
      </c>
      <c r="F21" s="5" t="n">
        <v>-12470381</v>
      </c>
      <c r="G21" s="5" t="n">
        <v>-6333784</v>
      </c>
      <c r="H21" s="5" t="n">
        <v>803473</v>
      </c>
    </row>
    <row r="22">
      <c r="A22" s="6" t="inlineStr">
        <is>
          <t>Taxation</t>
        </is>
      </c>
      <c r="B22" s="6" t="n">
        <v>-1623905</v>
      </c>
      <c r="C22" s="6" t="n">
        <v>-1599961</v>
      </c>
      <c r="D22" s="6" t="n">
        <v>-1145807</v>
      </c>
      <c r="E22" s="6" t="n">
        <v>1076968</v>
      </c>
      <c r="F22" s="6" t="n">
        <v>3427257</v>
      </c>
      <c r="G22" s="6" t="n">
        <v>1181057</v>
      </c>
      <c r="H22" s="6" t="n">
        <v>-164122</v>
      </c>
    </row>
    <row r="23">
      <c r="A23" s="5" t="inlineStr">
        <is>
          <t>Profit/(Loss) for the year</t>
        </is>
      </c>
      <c r="B23" s="5" t="n">
        <v>5402714</v>
      </c>
      <c r="C23" s="5" t="n">
        <v>4236801</v>
      </c>
      <c r="D23" s="5" t="n">
        <v>3112295</v>
      </c>
      <c r="E23" s="5" t="n">
        <v>-9042978</v>
      </c>
      <c r="F23" s="5" t="n">
        <v>-9043124</v>
      </c>
      <c r="G23" s="5" t="n">
        <v>-5152727</v>
      </c>
      <c r="H23" s="5" t="n">
        <v>639351</v>
      </c>
    </row>
    <row r="24">
      <c r="A24" s="5" t="inlineStr">
        <is>
          <t>Other comprehensive income - that may be reclassified to profit or loss</t>
        </is>
      </c>
      <c r="B24" s="6" t="n"/>
      <c r="C24" s="6" t="n"/>
      <c r="D24" s="6" t="n"/>
      <c r="E24" s="6" t="n"/>
      <c r="F24" s="6" t="n"/>
      <c r="G24" s="6" t="n"/>
      <c r="H24" s="6" t="n"/>
    </row>
    <row r="25">
      <c r="A25" s="6" t="inlineStr">
        <is>
          <t>Fair value movements on FVOCI financial instruments</t>
        </is>
      </c>
      <c r="B25" s="6" t="n">
        <v>2262367</v>
      </c>
      <c r="C25" s="6" t="n">
        <v>3365255</v>
      </c>
      <c r="D25" s="6" t="n">
        <v>1821050</v>
      </c>
      <c r="E25" s="6" t="n">
        <v>-4168194</v>
      </c>
      <c r="F25" s="6" t="n">
        <v>-2965070</v>
      </c>
      <c r="G25" s="6" t="n">
        <v>27112</v>
      </c>
      <c r="H25" s="6" t="n">
        <v>1476640</v>
      </c>
    </row>
    <row r="26">
      <c r="A26" s="6" t="inlineStr">
        <is>
          <t>Taxation on FVOCI financial instruments</t>
        </is>
      </c>
      <c r="B26" s="6" t="n">
        <v>-565592</v>
      </c>
      <c r="C26" s="6" t="n">
        <v>-841314</v>
      </c>
      <c r="D26" s="6" t="n">
        <v>-454165</v>
      </c>
      <c r="E26" s="6" t="n">
        <v>1042050</v>
      </c>
      <c r="F26" s="6" t="n">
        <v>267533</v>
      </c>
      <c r="G26" s="6" t="n">
        <v>59262</v>
      </c>
      <c r="H26" s="6" t="n">
        <v>-61839</v>
      </c>
    </row>
    <row r="27">
      <c r="A27" s="5" t="inlineStr">
        <is>
          <t>Total other comprehensive income/(loss)</t>
        </is>
      </c>
      <c r="B27" s="5" t="n">
        <v>1696775</v>
      </c>
      <c r="C27" s="5" t="n">
        <v>2523941</v>
      </c>
      <c r="D27" s="5" t="n">
        <v>1366885</v>
      </c>
      <c r="E27" s="5" t="n">
        <v>-3126144</v>
      </c>
      <c r="F27" s="5" t="n">
        <v>-2697537</v>
      </c>
      <c r="G27" s="5" t="n">
        <v>276374</v>
      </c>
      <c r="H27" s="5" t="n">
        <v>1727668</v>
      </c>
    </row>
    <row r="28">
      <c r="A28" s="5" t="inlineStr">
        <is>
          <t>Total comprehensive income/(loss) for the year attributable to equity holders</t>
        </is>
      </c>
      <c r="B28" s="5" t="n">
        <v>7099489</v>
      </c>
      <c r="C28" s="5" t="n">
        <v>6760742</v>
      </c>
      <c r="D28" s="5" t="n">
        <v>4479180</v>
      </c>
      <c r="E28" s="5" t="n">
        <v>-12169122</v>
      </c>
      <c r="F28" s="5" t="n">
        <v>-11740661</v>
      </c>
      <c r="G28" s="5" t="n">
        <v>-4876353</v>
      </c>
      <c r="H28" s="5" t="n">
        <v>2367019</v>
      </c>
    </row>
    <row r="30" ht="340" customHeight="1">
      <c r="A30" s="8" t="inlineStr">
        <is>
          <t>Sources - Ghana International Bank Plc's own Statement of Financial Position / Statement of Comprehensive Income / Statement of Changes in Equity, £:
FY2025 &amp; FY2024: Annual Report and Financial Statements 2025, p.74-77 (Statement of Comprehensive Income, Statement of Financial Position, Statement of Changes in Equity) - https://www.ghanabank.co.uk/app/uploads/2026/04/GHIB-ANNUAL-REPORT-2025-2-page-view.pdf
FY2024 &amp; FY2023: Annual Report and Financial Statements 2024, p.80-83 (own-year FY2024 figures; cross-checked against the FY2025 report's FY2024 comparative column, matched exactly) - https://www.ghanabank.co.uk/app/uploads/2025/04/GHIB-ANNUAL-REPORT-2024.pdf
FY2022 &amp; FY2021: Annual Report and Financial Statements 2022, p.46-48 - https://www.ghanabank.co.uk/app/uploads/2023/03/GHIB-Annual-Report-and-Financial-Statements-2022-.pdf
FY2020: Annual Report and Financial Statements 2020, pp.37-40 (supplied Companies House scan; company basis)
FY2019: Annual Report and Financial Statements 2019, pp.25-28 (supplied Companies House scan; company basis)
Ghana International Bank Plc (Company basis, GHIB has no subsidiaries or branches) reports in £ throughout - no currency conversion applied. Each year's own originally-published figures used throughout - the Statement of Changes in Equity ties exactly at every year boundary (opening = prior year's own closing = prior year's own Balance Sheet Total Equity) across all 6 years, zero plug rows needed.
COLUMN-ORDER CAUTION (2025 Annual Report only): the FY2025 Annual Report is published as a '2-page-view' PDF (two facing pages per PDF page) - naive text extraction interleaves the 2025 and 2024 columns of the Balance Sheet in a way that looks plausible but is backwards (the block of values immediately following the P&amp;L's 2024 column is actually the Balance Sheet's OWN 2024 comparative, not FY2025). All figures below were independently confirmed by rendering the actual page image and by cross-checking every FY2024 figure against the FY2024 Annual Report's own originally-published Balance Sheet (Company basis) - which are identical, as they must be.
PRESENTATION CHANGES: the cash/central-bank balances line is labelled 'Cash and balances at banks including items in course of collection' in the FY2021/FY2022 reports vs 'Cash and balances at central banks' FY2023-FY2025 (same line, relabelled - not a new item). 'Right of use assets' only appears as its own line from FY2023 (lease accounting change). 'Term financing' only appears from FY2024 (new funding line; nil/not applicable before). 'Current tax asset' was a separate line FY2021-FY2024 (nil in FY2021/FY2024, £945,584 in FY2022/FY2023) but was dropped entirely from the FY2025 Annual Report's Balance Sheet structure (both the FY2025 and FY2024-comparative columns) - left blank for FY2025 as a genuine structural change, not a data gap.</t>
        </is>
      </c>
    </row>
  </sheetData>
  <mergeCells count="1">
    <mergeCell ref="A30:H3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Statement of Changes in Equity</t>
        </is>
      </c>
    </row>
    <row r="2">
      <c r="A2" s="2" t="inlineStr">
        <is>
          <t>£, chronological - oldest to newest. See source note for details.</t>
        </is>
      </c>
    </row>
    <row r="3">
      <c r="A3" s="4" t="inlineStr">
        <is>
          <t>Movement</t>
        </is>
      </c>
      <c r="B3" s="4" t="inlineStr">
        <is>
          <t>Ordinary shares</t>
        </is>
      </c>
      <c r="C3" s="4" t="inlineStr">
        <is>
          <t>Share Premium</t>
        </is>
      </c>
      <c r="D3" s="4" t="inlineStr">
        <is>
          <t>Profit and Loss</t>
        </is>
      </c>
      <c r="E3" s="4" t="inlineStr">
        <is>
          <t>FVOCI Reserves</t>
        </is>
      </c>
      <c r="F3" s="4" t="inlineStr">
        <is>
          <t>Total</t>
        </is>
      </c>
    </row>
    <row r="4">
      <c r="A4" s="5" t="inlineStr">
        <is>
          <t>At 31 December 2018</t>
        </is>
      </c>
      <c r="B4" s="5" t="n">
        <v>45000000</v>
      </c>
      <c r="C4" s="5" t="n">
        <v>30000000</v>
      </c>
      <c r="D4" s="5" t="n">
        <v>62474059</v>
      </c>
      <c r="E4" s="5" t="n">
        <v>-727200</v>
      </c>
      <c r="F4" s="5" t="n">
        <v>136746859</v>
      </c>
    </row>
    <row r="5">
      <c r="A5" s="6" t="inlineStr">
        <is>
          <t>Profit for the year (FY2019)</t>
        </is>
      </c>
      <c r="B5" s="6" t="n"/>
      <c r="C5" s="6" t="n"/>
      <c r="D5" s="6" t="n">
        <v>639351</v>
      </c>
      <c r="E5" s="6" t="n"/>
      <c r="F5" s="6" t="n">
        <v>639351</v>
      </c>
    </row>
    <row r="6">
      <c r="A6" s="6" t="inlineStr">
        <is>
          <t>Other comprehensive income (FY2019)</t>
        </is>
      </c>
      <c r="B6" s="6" t="n"/>
      <c r="C6" s="6" t="n"/>
      <c r="D6" s="6" t="n"/>
      <c r="E6" s="6" t="n">
        <v>1727668</v>
      </c>
      <c r="F6" s="6" t="n">
        <v>1727668</v>
      </c>
    </row>
    <row r="7">
      <c r="A7" s="5" t="inlineStr">
        <is>
          <t>Total comprehensive income for the year (FY2019)</t>
        </is>
      </c>
      <c r="B7" s="5" t="n"/>
      <c r="C7" s="5" t="n"/>
      <c r="D7" s="5" t="n">
        <v>639351</v>
      </c>
      <c r="E7" s="5" t="n">
        <v>1727668</v>
      </c>
      <c r="F7" s="5" t="n">
        <v>2367019</v>
      </c>
    </row>
    <row r="8">
      <c r="A8" s="6" t="inlineStr">
        <is>
          <t>Dividend paid (FY2019)</t>
        </is>
      </c>
      <c r="B8" s="6" t="n"/>
      <c r="C8" s="6" t="n"/>
      <c r="D8" s="6" t="n">
        <v>-2111787</v>
      </c>
      <c r="E8" s="6" t="n"/>
      <c r="F8" s="6" t="n">
        <v>-2111787</v>
      </c>
    </row>
    <row r="9">
      <c r="A9" s="5" t="inlineStr">
        <is>
          <t>At 31 December 2019</t>
        </is>
      </c>
      <c r="B9" s="5" t="n">
        <v>45000000</v>
      </c>
      <c r="C9" s="5" t="n">
        <v>30000000</v>
      </c>
      <c r="D9" s="5" t="n">
        <v>61001623</v>
      </c>
      <c r="E9" s="5" t="n">
        <v>1000468</v>
      </c>
      <c r="F9" s="5" t="n">
        <v>137002091</v>
      </c>
    </row>
    <row r="10">
      <c r="A10" s="6" t="inlineStr">
        <is>
          <t>Loss for the year (FY2020)</t>
        </is>
      </c>
      <c r="B10" s="6" t="n"/>
      <c r="C10" s="6" t="n"/>
      <c r="D10" s="6" t="n">
        <v>-5152727</v>
      </c>
      <c r="E10" s="6" t="n"/>
      <c r="F10" s="6" t="n">
        <v>-5152727</v>
      </c>
    </row>
    <row r="11">
      <c r="A11" s="6" t="inlineStr">
        <is>
          <t>Fair value gains on FVOCI financial instruments net of tax (FY2020)</t>
        </is>
      </c>
      <c r="B11" s="6" t="n"/>
      <c r="C11" s="6" t="n"/>
      <c r="D11" s="6" t="n"/>
      <c r="E11" s="6" t="n">
        <v>276374</v>
      </c>
      <c r="F11" s="6" t="n">
        <v>276374</v>
      </c>
    </row>
    <row r="12">
      <c r="A12" s="5" t="inlineStr">
        <is>
          <t>Total comprehensive loss for the year (FY2020)</t>
        </is>
      </c>
      <c r="B12" s="5" t="n"/>
      <c r="C12" s="5" t="n"/>
      <c r="D12" s="5" t="n">
        <v>-5152727</v>
      </c>
      <c r="E12" s="5" t="n">
        <v>276374</v>
      </c>
      <c r="F12" s="5" t="n">
        <v>-4876353</v>
      </c>
    </row>
    <row r="13">
      <c r="A13" s="6" t="inlineStr">
        <is>
          <t>Dividend paid (FY2020)</t>
        </is>
      </c>
      <c r="B13" s="6" t="n"/>
      <c r="C13" s="6" t="n"/>
      <c r="D13" s="6" t="n">
        <v>-319676</v>
      </c>
      <c r="E13" s="6" t="n"/>
      <c r="F13" s="6" t="n">
        <v>-319676</v>
      </c>
    </row>
    <row r="14">
      <c r="A14" s="5" t="inlineStr">
        <is>
          <t>At 31 December 2020</t>
        </is>
      </c>
      <c r="B14" s="5" t="n">
        <v>45000000</v>
      </c>
      <c r="C14" s="5" t="n">
        <v>30000000</v>
      </c>
      <c r="D14" s="5" t="n">
        <v>55529220</v>
      </c>
      <c r="E14" s="5" t="n">
        <v>1276842</v>
      </c>
      <c r="F14" s="5" t="n">
        <v>131806062</v>
      </c>
    </row>
    <row r="15">
      <c r="A15" s="6" t="inlineStr">
        <is>
          <t>Loss for the year (FY2021)</t>
        </is>
      </c>
      <c r="B15" s="6" t="n"/>
      <c r="C15" s="6" t="n"/>
      <c r="D15" s="6" t="n">
        <v>-9043124</v>
      </c>
      <c r="E15" s="6" t="n"/>
      <c r="F15" s="6" t="n">
        <v>-9043124</v>
      </c>
    </row>
    <row r="16">
      <c r="A16" s="6" t="inlineStr">
        <is>
          <t>Fair value losses on FVOCI financial instruments net of tax (FY2021)</t>
        </is>
      </c>
      <c r="B16" s="6" t="n"/>
      <c r="C16" s="6" t="n"/>
      <c r="D16" s="6" t="n"/>
      <c r="E16" s="6" t="n">
        <v>-2469232</v>
      </c>
      <c r="F16" s="6" t="n">
        <v>-2469232</v>
      </c>
    </row>
    <row r="17">
      <c r="A17" s="6" t="inlineStr">
        <is>
          <t>Gains on FVOCI financial instruments transferred to Income statement (FY2021)</t>
        </is>
      </c>
      <c r="B17" s="6" t="n"/>
      <c r="C17" s="6" t="n"/>
      <c r="D17" s="6" t="n"/>
      <c r="E17" s="6" t="n">
        <v>-228305</v>
      </c>
      <c r="F17" s="6" t="n">
        <v>-228305</v>
      </c>
    </row>
    <row r="18">
      <c r="A18" s="5" t="inlineStr">
        <is>
          <t>Total comprehensive loss for the year (FY2021)</t>
        </is>
      </c>
      <c r="B18" s="5" t="n"/>
      <c r="C18" s="5" t="n"/>
      <c r="D18" s="5" t="n">
        <v>-9043124</v>
      </c>
      <c r="E18" s="5" t="n">
        <v>-2697537</v>
      </c>
      <c r="F18" s="5" t="n">
        <v>-11740661</v>
      </c>
    </row>
    <row r="19">
      <c r="A19" s="5" t="inlineStr">
        <is>
          <t>At 31 December 2021</t>
        </is>
      </c>
      <c r="B19" s="5" t="n">
        <v>45000000</v>
      </c>
      <c r="C19" s="5" t="n">
        <v>30000000</v>
      </c>
      <c r="D19" s="5" t="n">
        <v>46486096</v>
      </c>
      <c r="E19" s="5" t="n">
        <v>-1420695</v>
      </c>
      <c r="F19" s="5" t="n">
        <v>120065401</v>
      </c>
    </row>
    <row r="20">
      <c r="A20" s="6" t="inlineStr">
        <is>
          <t>Loss for the year (FY2022)</t>
        </is>
      </c>
      <c r="B20" s="6" t="n"/>
      <c r="C20" s="6" t="n"/>
      <c r="D20" s="6" t="n">
        <v>-9042978</v>
      </c>
      <c r="E20" s="6" t="n"/>
      <c r="F20" s="6" t="n">
        <v>-9042978</v>
      </c>
    </row>
    <row r="21">
      <c r="A21" s="6" t="inlineStr">
        <is>
          <t>Fair value losses on FVOCI financial instruments net of tax (FY2022)</t>
        </is>
      </c>
      <c r="B21" s="6" t="n"/>
      <c r="C21" s="6" t="n"/>
      <c r="D21" s="6" t="n"/>
      <c r="E21" s="6" t="n">
        <v>-3126144</v>
      </c>
      <c r="F21" s="6" t="n">
        <v>-3126144</v>
      </c>
    </row>
    <row r="22">
      <c r="A22" s="5" t="inlineStr">
        <is>
          <t>Total comprehensive loss for the year (FY2022)</t>
        </is>
      </c>
      <c r="B22" s="5" t="n"/>
      <c r="C22" s="5" t="n"/>
      <c r="D22" s="5" t="n">
        <v>-9042978</v>
      </c>
      <c r="E22" s="5" t="n">
        <v>-3126144</v>
      </c>
      <c r="F22" s="5" t="n">
        <v>-12169122</v>
      </c>
    </row>
    <row r="23">
      <c r="A23" s="6" t="inlineStr">
        <is>
          <t>Issue of share capital (FY2022)</t>
        </is>
      </c>
      <c r="B23" s="6" t="n">
        <v>18739927</v>
      </c>
      <c r="C23" s="6" t="n">
        <v>31212787</v>
      </c>
      <c r="D23" s="6" t="n"/>
      <c r="E23" s="6" t="n"/>
      <c r="F23" s="6" t="n">
        <v>49952714</v>
      </c>
    </row>
    <row r="24">
      <c r="A24" s="5" t="inlineStr">
        <is>
          <t>At 31 December 2022</t>
        </is>
      </c>
      <c r="B24" s="5" t="n">
        <v>63739927</v>
      </c>
      <c r="C24" s="5" t="n">
        <v>61212787</v>
      </c>
      <c r="D24" s="5" t="n">
        <v>37443118</v>
      </c>
      <c r="E24" s="5" t="n">
        <v>-4546839</v>
      </c>
      <c r="F24" s="5" t="n">
        <v>157848993</v>
      </c>
    </row>
    <row r="25">
      <c r="A25" s="6" t="inlineStr">
        <is>
          <t>Profit for the year (FY2023)</t>
        </is>
      </c>
      <c r="B25" s="6" t="n"/>
      <c r="C25" s="6" t="n"/>
      <c r="D25" s="6" t="n">
        <v>3112295</v>
      </c>
      <c r="E25" s="6" t="n"/>
      <c r="F25" s="6" t="n">
        <v>3112295</v>
      </c>
    </row>
    <row r="26">
      <c r="A26" s="6" t="inlineStr">
        <is>
          <t>Fair value movements on FVOCI financial instruments net of tax (FY2023)</t>
        </is>
      </c>
      <c r="B26" s="6" t="n"/>
      <c r="C26" s="6" t="n"/>
      <c r="D26" s="6" t="n"/>
      <c r="E26" s="6" t="n">
        <v>1446883</v>
      </c>
      <c r="F26" s="6" t="n">
        <v>1446883</v>
      </c>
    </row>
    <row r="27">
      <c r="A27" s="6" t="inlineStr">
        <is>
          <t>Gains on FVOCI financial instruments transferred to Income statement (FY2023)</t>
        </is>
      </c>
      <c r="B27" s="6" t="n"/>
      <c r="C27" s="6" t="n"/>
      <c r="D27" s="6" t="n"/>
      <c r="E27" s="6" t="n">
        <v>-79998</v>
      </c>
      <c r="F27" s="6" t="n">
        <v>-79998</v>
      </c>
    </row>
    <row r="28">
      <c r="A28" s="5" t="inlineStr">
        <is>
          <t>Total comprehensive income for the year (FY2023)</t>
        </is>
      </c>
      <c r="B28" s="5" t="n"/>
      <c r="C28" s="5" t="n"/>
      <c r="D28" s="5" t="n">
        <v>3112295</v>
      </c>
      <c r="E28" s="5" t="n">
        <v>1366885</v>
      </c>
      <c r="F28" s="5" t="n">
        <v>4479180</v>
      </c>
    </row>
    <row r="29">
      <c r="A29" s="5" t="inlineStr">
        <is>
          <t>At 31 December 2023</t>
        </is>
      </c>
      <c r="B29" s="5" t="n">
        <v>63739927</v>
      </c>
      <c r="C29" s="5" t="n">
        <v>61212787</v>
      </c>
      <c r="D29" s="5" t="n">
        <v>40555413</v>
      </c>
      <c r="E29" s="5" t="n">
        <v>-3179954</v>
      </c>
      <c r="F29" s="5" t="n">
        <v>162328173</v>
      </c>
    </row>
    <row r="30">
      <c r="A30" s="6" t="inlineStr">
        <is>
          <t>Profit for the year (FY2024)</t>
        </is>
      </c>
      <c r="B30" s="6" t="n"/>
      <c r="C30" s="6" t="n"/>
      <c r="D30" s="6" t="n">
        <v>4236801</v>
      </c>
      <c r="E30" s="6" t="n"/>
      <c r="F30" s="6" t="n">
        <v>4236801</v>
      </c>
    </row>
    <row r="31">
      <c r="A31" s="6" t="inlineStr">
        <is>
          <t>Fair value movements on FVOCI financial instruments net of tax (FY2024)</t>
        </is>
      </c>
      <c r="B31" s="6" t="n"/>
      <c r="C31" s="6" t="n"/>
      <c r="D31" s="6" t="n"/>
      <c r="E31" s="6" t="n">
        <v>2360700</v>
      </c>
      <c r="F31" s="6" t="n">
        <v>2360700</v>
      </c>
    </row>
    <row r="32">
      <c r="A32" s="6" t="inlineStr">
        <is>
          <t>Losses on FVOCI financial instruments transferred to Income statement (FY2024)</t>
        </is>
      </c>
      <c r="B32" s="6" t="n"/>
      <c r="C32" s="6" t="n"/>
      <c r="D32" s="6" t="n"/>
      <c r="E32" s="6" t="n">
        <v>163241</v>
      </c>
      <c r="F32" s="6" t="n">
        <v>163241</v>
      </c>
    </row>
    <row r="33">
      <c r="A33" s="5" t="inlineStr">
        <is>
          <t>Total comprehensive income for the year (FY2024)</t>
        </is>
      </c>
      <c r="B33" s="5" t="n"/>
      <c r="C33" s="5" t="n"/>
      <c r="D33" s="5" t="n">
        <v>4236801</v>
      </c>
      <c r="E33" s="5" t="n">
        <v>2523941</v>
      </c>
      <c r="F33" s="5" t="n">
        <v>6760742</v>
      </c>
    </row>
    <row r="34">
      <c r="A34" s="6" t="inlineStr">
        <is>
          <t>Dividend paid (FY2024)</t>
        </is>
      </c>
      <c r="B34" s="6" t="n"/>
      <c r="C34" s="6" t="n"/>
      <c r="D34" s="6" t="n">
        <v>-622459</v>
      </c>
      <c r="E34" s="6" t="n"/>
      <c r="F34" s="6" t="n">
        <v>-622459</v>
      </c>
    </row>
    <row r="35">
      <c r="A35" s="5" t="inlineStr">
        <is>
          <t>At 31 December 2024</t>
        </is>
      </c>
      <c r="B35" s="5" t="n">
        <v>63739927</v>
      </c>
      <c r="C35" s="5" t="n">
        <v>61212787</v>
      </c>
      <c r="D35" s="5" t="n">
        <v>44169755</v>
      </c>
      <c r="E35" s="5" t="n">
        <v>-656013</v>
      </c>
      <c r="F35" s="5" t="n">
        <v>168466456</v>
      </c>
    </row>
    <row r="36">
      <c r="A36" s="6" t="inlineStr">
        <is>
          <t>Profit for the year (FY2025)</t>
        </is>
      </c>
      <c r="B36" s="6" t="n"/>
      <c r="C36" s="6" t="n"/>
      <c r="D36" s="6" t="n">
        <v>5402714</v>
      </c>
      <c r="E36" s="6" t="n"/>
      <c r="F36" s="6" t="n">
        <v>5402714</v>
      </c>
    </row>
    <row r="37">
      <c r="A37" s="6" t="inlineStr">
        <is>
          <t>Fair value movements on FVOCI financial instruments net of tax (FY2025)</t>
        </is>
      </c>
      <c r="B37" s="6" t="n"/>
      <c r="C37" s="6" t="n"/>
      <c r="D37" s="6" t="n"/>
      <c r="E37" s="6" t="n">
        <v>2608972</v>
      </c>
      <c r="F37" s="6" t="n">
        <v>2608972</v>
      </c>
    </row>
    <row r="38">
      <c r="A38" s="6" t="inlineStr">
        <is>
          <t>Gains on FVOCI financial instruments transferred to Income statement (FY2025)</t>
        </is>
      </c>
      <c r="B38" s="6" t="n"/>
      <c r="C38" s="6" t="n"/>
      <c r="D38" s="6" t="n"/>
      <c r="E38" s="6" t="n">
        <v>-912197</v>
      </c>
      <c r="F38" s="6" t="n">
        <v>-912197</v>
      </c>
    </row>
    <row r="39">
      <c r="A39" s="5" t="inlineStr">
        <is>
          <t>Total comprehensive income for the year (FY2025)</t>
        </is>
      </c>
      <c r="B39" s="5" t="n"/>
      <c r="C39" s="5" t="n"/>
      <c r="D39" s="5" t="n">
        <v>5402714</v>
      </c>
      <c r="E39" s="5" t="n">
        <v>1696775</v>
      </c>
      <c r="F39" s="5" t="n">
        <v>7099489</v>
      </c>
    </row>
    <row r="40">
      <c r="A40" s="6" t="inlineStr">
        <is>
          <t>Dividend paid (FY2025)</t>
        </is>
      </c>
      <c r="B40" s="6" t="n"/>
      <c r="C40" s="6" t="n"/>
      <c r="D40" s="6" t="n">
        <v>-847741</v>
      </c>
      <c r="E40" s="6" t="n"/>
      <c r="F40" s="6" t="n">
        <v>-847741</v>
      </c>
    </row>
    <row r="41">
      <c r="A41" s="5" t="inlineStr">
        <is>
          <t>At 31 December 2025</t>
        </is>
      </c>
      <c r="B41" s="5" t="n">
        <v>63739927</v>
      </c>
      <c r="C41" s="5" t="n">
        <v>61212787</v>
      </c>
      <c r="D41" s="5" t="n">
        <v>48724728</v>
      </c>
      <c r="E41" s="5" t="n">
        <v>1040762</v>
      </c>
      <c r="F41" s="5" t="n">
        <v>174718204</v>
      </c>
    </row>
    <row r="43" ht="280" customHeight="1">
      <c r="A43" s="8" t="inlineStr">
        <is>
          <t>Sources - Ghana International Bank Plc's own Statement of Financial Position / Statement of Comprehensive Income / Statement of Changes in Equity, £:
FY2025 &amp; FY2024: Annual Report and Financial Statements 2025, p.74-77 (Statement of Comprehensive Income, Statement of Financial Position, Statement of Changes in Equity) - https://www.ghanabank.co.uk/app/uploads/2026/04/GHIB-ANNUAL-REPORT-2025-2-page-view.pdf
FY2024 &amp; FY2023: Annual Report and Financial Statements 2024, p.80-83 (own-year FY2024 figures; cross-checked against the FY2025 report's FY2024 comparative column, matched exactly) - https://www.ghanabank.co.uk/app/uploads/2025/04/GHIB-ANNUAL-REPORT-2024.pdf
FY2022 &amp; FY2021: Annual Report and Financial Statements 2022, p.46-48 - https://www.ghanabank.co.uk/app/uploads/2023/03/GHIB-Annual-Report-and-Financial-Statements-2022-.pdf
FY2020: Annual Report and Financial Statements 2020, pp.37-40 (supplied Companies House scan; company basis)
FY2019: Annual Report and Financial Statements 2019, pp.25-28 (supplied Companies House scan; company basis)
Ghana International Bank Plc (Company basis, GHIB has no subsidiaries or branches) reports in £ throughout - no currency conversion applied. Each year's own originally-published figures used throughout - the Statement of Changes in Equity ties exactly at every year boundary (opening = prior year's own closing = prior year's own Balance Sheet Total Equity) across all 6 years, zero plug rows needed.
COLUMN-ORDER CAUTION (2025 Annual Report only): the FY2025 Annual Report is published as a '2-page-view' PDF (two facing pages per PDF page) - naive text extraction interleaves the 2025 and 2024 columns of the Balance Sheet in a way that looks plausible but is backwards (the block of values immediately following the P&amp;L's 2024 column is actually the Balance Sheet's OWN 2024 comparative, not FY2025). All figures below were independently confirmed by rendering the actual page image and by cross-checking every FY2024 figure against the FY2024 Annual Report's own originally-published Balance Sheet (Company basis) - which are identical, as they must be.
PRESENTATION CHANGES: the cash/central-bank balances line is labelled 'Cash and balances at banks including items in course of collection' in the FY2021/FY2022 reports vs 'Cash and balances at central banks' FY2023-FY2025 (same line, relabelled - not a new item). 'Right of use assets' only appears as its own line from FY2023 (lease accounting change). 'Term financing' only appears from FY2024 (new funding line; nil/not applicable before). 'Current tax asset' was a separate line FY2021-FY2024 (nil in FY2021/FY2024, £945,584 in FY2022/FY2023) but was dropped entirely from the FY2025 Annual Report's Balance Sheet structure (both the FY2025 and FY2024-comparative columns) - left blank for FY2025 as a genuine structural change, not a data gap.
No dividends paid FY2021/FY2022/FY2023 (each year's own report shows a dash). Dividend paid reduces the Profit and Loss column directly (verified arithmetically - the source page's own 'Dividend paid' row shows a dash under the Profit and Loss column but a non-zero amount only in the Total column; the closing Profit and Loss balance only ties if the dividend is treated as reducing that column too).</t>
        </is>
      </c>
    </row>
  </sheetData>
  <mergeCells count="1">
    <mergeCell ref="A43:F4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Statement of Cash Flow</t>
        </is>
      </c>
    </row>
    <row r="2">
      <c r="A2" s="2" t="inlineStr">
        <is>
          <t>Company basis (GHIB has no subsidiaries or branches), £. See source note at bottom.</t>
        </is>
      </c>
    </row>
    <row r="3">
      <c r="A3" s="4" t="inlineStr">
        <is>
          <t>Line item</t>
        </is>
      </c>
      <c r="B3" s="4" t="inlineStr">
        <is>
          <t>FY2025 (£)</t>
        </is>
      </c>
      <c r="C3" s="4" t="inlineStr">
        <is>
          <t>FY2024 (£)</t>
        </is>
      </c>
      <c r="D3" s="4" t="inlineStr">
        <is>
          <t>FY2023 (£)</t>
        </is>
      </c>
      <c r="E3" s="4" t="inlineStr">
        <is>
          <t>FY2022 (£)</t>
        </is>
      </c>
      <c r="F3" s="4" t="inlineStr">
        <is>
          <t>FY2021 (£)</t>
        </is>
      </c>
      <c r="G3" s="4" t="inlineStr">
        <is>
          <t>FY2020 (£)</t>
        </is>
      </c>
      <c r="H3" s="4" t="inlineStr">
        <is>
          <t>FY2019 (£)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Profit/(loss) before taxation</t>
        </is>
      </c>
      <c r="B5" s="6" t="n">
        <v>7026619</v>
      </c>
      <c r="C5" s="6" t="n">
        <v>5836762</v>
      </c>
      <c r="D5" s="6" t="n">
        <v>4258102</v>
      </c>
      <c r="E5" s="6" t="n">
        <v>-10119946</v>
      </c>
      <c r="F5" s="6" t="n">
        <v>-12470381</v>
      </c>
      <c r="G5" s="6" t="n">
        <v>-6333784</v>
      </c>
      <c r="H5" s="6" t="n">
        <v>803473</v>
      </c>
    </row>
    <row r="6">
      <c r="A6" s="6" t="inlineStr">
        <is>
          <t>Foreign currency income - Translation of assets &amp; liabilities</t>
        </is>
      </c>
      <c r="B6" s="6" t="n">
        <v>-856667</v>
      </c>
      <c r="C6" s="6" t="n">
        <v>-748521</v>
      </c>
      <c r="D6" s="6" t="n">
        <v>-525892</v>
      </c>
      <c r="E6" s="6" t="n">
        <v>-661420</v>
      </c>
      <c r="F6" s="6" t="n">
        <v>-297613</v>
      </c>
      <c r="G6" s="6" t="n">
        <v>-445485</v>
      </c>
      <c r="H6" s="6" t="n">
        <v>-515013</v>
      </c>
    </row>
    <row r="7">
      <c r="A7" s="6" t="inlineStr">
        <is>
          <t>Depreciation and amortisation</t>
        </is>
      </c>
      <c r="B7" s="6" t="n">
        <v>3318426</v>
      </c>
      <c r="C7" s="6" t="n">
        <v>2383646</v>
      </c>
      <c r="D7" s="6" t="n">
        <v>2277366</v>
      </c>
      <c r="E7" s="6" t="n">
        <v>1682232</v>
      </c>
      <c r="F7" s="6" t="n">
        <v>1258265</v>
      </c>
      <c r="G7" s="6" t="n">
        <v>1300282</v>
      </c>
      <c r="H7" s="6" t="n">
        <v>1253581</v>
      </c>
    </row>
    <row r="8">
      <c r="A8" s="6" t="inlineStr">
        <is>
          <t>Lease finance charge</t>
        </is>
      </c>
      <c r="B8" s="6" t="n">
        <v>168908</v>
      </c>
      <c r="C8" s="6" t="n">
        <v>165240</v>
      </c>
      <c r="D8" s="6" t="n">
        <v>140727</v>
      </c>
      <c r="E8" s="6" t="n">
        <v>159254</v>
      </c>
      <c r="F8" s="6" t="n">
        <v>168528</v>
      </c>
      <c r="G8" s="6" t="n">
        <v>176507</v>
      </c>
      <c r="H8" s="6" t="n">
        <v>191087</v>
      </c>
    </row>
    <row r="9">
      <c r="A9" s="6" t="inlineStr">
        <is>
          <t>(Reversal of provisions)/provisions for credit losses</t>
        </is>
      </c>
      <c r="B9" s="6" t="n">
        <v>-82778</v>
      </c>
      <c r="C9" s="6" t="n">
        <v>408819</v>
      </c>
      <c r="D9" s="6" t="n">
        <v>-1024498</v>
      </c>
      <c r="E9" s="6" t="n">
        <v>1986487</v>
      </c>
      <c r="F9" s="6" t="n">
        <v>1090971</v>
      </c>
      <c r="G9" s="6" t="n">
        <v>966406</v>
      </c>
      <c r="H9" s="6" t="n">
        <v>-320650</v>
      </c>
    </row>
    <row r="10">
      <c r="A10" s="6" t="inlineStr">
        <is>
          <t>Gain on disposal of fixed asset</t>
        </is>
      </c>
      <c r="B10" s="6" t="n">
        <v>-5164</v>
      </c>
      <c r="C10" s="6" t="n"/>
      <c r="D10" s="6" t="n"/>
      <c r="E10" s="6" t="n">
        <v>-4404</v>
      </c>
      <c r="F10" s="6" t="n">
        <v>-7648</v>
      </c>
      <c r="G10" s="6" t="n"/>
      <c r="H10" s="6" t="n"/>
    </row>
    <row r="11">
      <c r="A11" s="6" t="inlineStr">
        <is>
          <t>Net interest income and other non-cash items</t>
        </is>
      </c>
      <c r="B11" s="6" t="n">
        <v>-5354639</v>
      </c>
      <c r="C11" s="6" t="n">
        <v>6709610</v>
      </c>
      <c r="D11" s="6" t="n">
        <v>-790883</v>
      </c>
      <c r="E11" s="6" t="n"/>
      <c r="F11" s="6" t="n"/>
      <c r="G11" s="6" t="n"/>
      <c r="H11" s="6" t="n"/>
    </row>
    <row r="12">
      <c r="A12" s="6" t="inlineStr">
        <is>
          <t>Decrease/(increase) in loans and advances to banks and customers</t>
        </is>
      </c>
      <c r="B12" s="6" t="n">
        <v>-102290341</v>
      </c>
      <c r="C12" s="6" t="n">
        <v>-79379510</v>
      </c>
      <c r="D12" s="6" t="n">
        <v>-8318223</v>
      </c>
      <c r="E12" s="6" t="n">
        <v>37516914</v>
      </c>
      <c r="F12" s="6" t="n">
        <v>-40250490</v>
      </c>
      <c r="G12" s="6" t="n">
        <v>62262668</v>
      </c>
      <c r="H12" s="6" t="n">
        <v>-11745843</v>
      </c>
    </row>
    <row r="13">
      <c r="A13" s="6" t="inlineStr">
        <is>
          <t>Decrease/(increase) in government and other securities</t>
        </is>
      </c>
      <c r="B13" s="6" t="n">
        <v>-56902275</v>
      </c>
      <c r="C13" s="6" t="n">
        <v>-246603941</v>
      </c>
      <c r="D13" s="6" t="n">
        <v>52729216</v>
      </c>
      <c r="E13" s="6" t="n">
        <v>-82184444</v>
      </c>
      <c r="F13" s="6" t="n">
        <v>-23355251</v>
      </c>
      <c r="G13" s="6" t="n">
        <v>-18705895</v>
      </c>
      <c r="H13" s="6" t="n">
        <v>-3068231</v>
      </c>
    </row>
    <row r="14">
      <c r="A14" s="6" t="inlineStr">
        <is>
          <t>Decrease/(increase) in prepayments and other receivables</t>
        </is>
      </c>
      <c r="B14" s="6" t="n">
        <v>1097161</v>
      </c>
      <c r="C14" s="6" t="n">
        <v>-2393680</v>
      </c>
      <c r="D14" s="6" t="n">
        <v>-488671</v>
      </c>
      <c r="E14" s="6" t="n">
        <v>43806</v>
      </c>
      <c r="F14" s="6" t="n">
        <v>-919472</v>
      </c>
      <c r="G14" s="6" t="n">
        <v>-61623</v>
      </c>
      <c r="H14" s="6" t="n">
        <v>-825241</v>
      </c>
    </row>
    <row r="15">
      <c r="A15" s="6" t="inlineStr">
        <is>
          <t>Increase/(decrease) in deposits by banks and customers</t>
        </is>
      </c>
      <c r="B15" s="6" t="n">
        <v>91632232</v>
      </c>
      <c r="C15" s="6" t="n">
        <v>247285853</v>
      </c>
      <c r="D15" s="6" t="n">
        <v>-90180843</v>
      </c>
      <c r="E15" s="6" t="n">
        <v>79813107</v>
      </c>
      <c r="F15" s="6" t="n">
        <v>43175607</v>
      </c>
      <c r="G15" s="6" t="n">
        <v>75807373</v>
      </c>
      <c r="H15" s="6" t="n">
        <v>-29253211</v>
      </c>
    </row>
    <row r="16">
      <c r="A16" s="6" t="inlineStr">
        <is>
          <t>Increase/(decrease) in other liabilities</t>
        </is>
      </c>
      <c r="B16" s="6" t="n">
        <v>-40316</v>
      </c>
      <c r="C16" s="6" t="n">
        <v>382531</v>
      </c>
      <c r="D16" s="6" t="n">
        <v>-323153</v>
      </c>
      <c r="E16" s="6" t="n">
        <v>866972</v>
      </c>
      <c r="F16" s="6" t="n">
        <v>252000</v>
      </c>
      <c r="G16" s="6" t="n">
        <v>-291778</v>
      </c>
      <c r="H16" s="6" t="n">
        <v>2564032</v>
      </c>
    </row>
    <row r="17">
      <c r="A17" s="6" t="inlineStr">
        <is>
          <t>Increase/(decrease) in accruals and deferred income</t>
        </is>
      </c>
      <c r="B17" s="6" t="n">
        <v>1430553</v>
      </c>
      <c r="C17" s="6" t="n">
        <v>1574625</v>
      </c>
      <c r="D17" s="6" t="n">
        <v>1816917</v>
      </c>
      <c r="E17" s="6" t="n">
        <v>955575</v>
      </c>
      <c r="F17" s="6" t="n">
        <v>-647350</v>
      </c>
      <c r="G17" s="6" t="n">
        <v>197755</v>
      </c>
      <c r="H17" s="6" t="n">
        <v>830724</v>
      </c>
    </row>
    <row r="18">
      <c r="A18" s="6" t="inlineStr">
        <is>
          <t>Income taxes refunded</t>
        </is>
      </c>
      <c r="B18" s="6" t="n">
        <v>0</v>
      </c>
      <c r="C18" s="6" t="n">
        <v>945584</v>
      </c>
      <c r="D18" s="6" t="n"/>
      <c r="E18" s="6" t="n"/>
      <c r="F18" s="6" t="n"/>
      <c r="G18" s="6" t="n"/>
      <c r="H18" s="6" t="n"/>
    </row>
    <row r="19">
      <c r="A19" s="6" t="inlineStr">
        <is>
          <t>Foreign income taxes paid</t>
        </is>
      </c>
      <c r="B19" s="6" t="n">
        <v>-198914</v>
      </c>
      <c r="C19" s="6" t="n">
        <v>-38468</v>
      </c>
      <c r="D19" s="6" t="n"/>
      <c r="E19" s="6" t="n"/>
      <c r="F19" s="6" t="n"/>
      <c r="G19" s="6" t="n"/>
      <c r="H19" s="6" t="n">
        <v>-694064</v>
      </c>
    </row>
    <row r="20">
      <c r="A20" s="5" t="inlineStr">
        <is>
          <t>Net cash generated from/(used in) operating activities</t>
        </is>
      </c>
      <c r="B20" s="5" t="n">
        <v>-61057195</v>
      </c>
      <c r="C20" s="5" t="n">
        <v>-63471450</v>
      </c>
      <c r="D20" s="5" t="n">
        <v>-40429835</v>
      </c>
      <c r="E20" s="5" t="n">
        <v>30054133</v>
      </c>
      <c r="F20" s="5" t="n">
        <v>-32002834</v>
      </c>
      <c r="G20" s="5" t="n">
        <v>114829689</v>
      </c>
      <c r="H20" s="5" t="n">
        <v>-40779356</v>
      </c>
    </row>
    <row r="21">
      <c r="A21" s="5" t="inlineStr">
        <is>
          <t>Cash flows from investing activities</t>
        </is>
      </c>
      <c r="B21" s="6" t="n"/>
      <c r="C21" s="6" t="n"/>
      <c r="D21" s="6" t="n"/>
      <c r="E21" s="6" t="n"/>
      <c r="F21" s="6" t="n"/>
      <c r="G21" s="6" t="n"/>
      <c r="H21" s="6" t="n"/>
    </row>
    <row r="22">
      <c r="A22" s="6" t="inlineStr">
        <is>
          <t>Purchase of property, plant and equipment</t>
        </is>
      </c>
      <c r="B22" s="6" t="n">
        <v>-578036</v>
      </c>
      <c r="C22" s="6" t="n">
        <v>-478827</v>
      </c>
      <c r="D22" s="6" t="n">
        <v>-303289</v>
      </c>
      <c r="E22" s="6" t="n">
        <v>-786227</v>
      </c>
      <c r="F22" s="6" t="n">
        <v>-800543</v>
      </c>
      <c r="G22" s="6" t="n">
        <v>-1729692</v>
      </c>
      <c r="H22" s="6" t="n">
        <v>-277456</v>
      </c>
    </row>
    <row r="23">
      <c r="A23" s="6" t="inlineStr">
        <is>
          <t>Purchase of intangible assets</t>
        </is>
      </c>
      <c r="B23" s="6" t="n">
        <v>-1992939</v>
      </c>
      <c r="C23" s="6" t="n">
        <v>-2751634</v>
      </c>
      <c r="D23" s="6" t="n">
        <v>-1914732</v>
      </c>
      <c r="E23" s="6" t="n">
        <v>-3455929</v>
      </c>
      <c r="F23" s="6" t="n">
        <v>-1585110</v>
      </c>
      <c r="G23" s="6" t="n">
        <v>-237660</v>
      </c>
      <c r="H23" s="6" t="n">
        <v>-609948</v>
      </c>
    </row>
    <row r="24">
      <c r="A24" s="6" t="inlineStr">
        <is>
          <t>Proceeds from sale of fixed asset</t>
        </is>
      </c>
      <c r="B24" s="6" t="n">
        <v>5164</v>
      </c>
      <c r="C24" s="6" t="n"/>
      <c r="D24" s="6" t="n"/>
      <c r="E24" s="6" t="n">
        <v>4404</v>
      </c>
      <c r="F24" s="6" t="n">
        <v>7648</v>
      </c>
      <c r="G24" s="6" t="n"/>
      <c r="H24" s="6" t="n"/>
    </row>
    <row r="25">
      <c r="A25" s="5" t="inlineStr">
        <is>
          <t>Net cash used in investing activities</t>
        </is>
      </c>
      <c r="B25" s="5" t="n">
        <v>-2565811</v>
      </c>
      <c r="C25" s="5" t="n">
        <v>-3230461</v>
      </c>
      <c r="D25" s="5" t="n">
        <v>-2218021</v>
      </c>
      <c r="E25" s="5" t="n">
        <v>-4237752</v>
      </c>
      <c r="F25" s="5" t="n">
        <v>-2378005</v>
      </c>
      <c r="G25" s="5" t="n">
        <v>-1967352</v>
      </c>
      <c r="H25" s="5" t="n">
        <v>-887404</v>
      </c>
    </row>
    <row r="26">
      <c r="A26" s="5" t="inlineStr">
        <is>
          <t>Cash flows from financing activities</t>
        </is>
      </c>
      <c r="B26" s="6" t="n"/>
      <c r="C26" s="6" t="n"/>
      <c r="D26" s="6" t="n"/>
      <c r="E26" s="6" t="n"/>
      <c r="F26" s="6" t="n"/>
      <c r="G26" s="6" t="n"/>
      <c r="H26" s="6" t="n"/>
    </row>
    <row r="27">
      <c r="A27" s="6" t="inlineStr">
        <is>
          <t>Dividends paid</t>
        </is>
      </c>
      <c r="B27" s="6" t="n">
        <v>-847741</v>
      </c>
      <c r="C27" s="6" t="n">
        <v>-622459</v>
      </c>
      <c r="D27" s="6" t="n"/>
      <c r="E27" s="6" t="n"/>
      <c r="F27" s="6" t="n"/>
      <c r="G27" s="6" t="n">
        <v>-319676</v>
      </c>
      <c r="H27" s="6" t="n">
        <v>-2111787</v>
      </c>
    </row>
    <row r="28">
      <c r="A28" s="6" t="inlineStr">
        <is>
          <t>Net increase in term financing</t>
        </is>
      </c>
      <c r="B28" s="6" t="n">
        <v>19945689</v>
      </c>
      <c r="C28" s="6" t="n">
        <v>14377227</v>
      </c>
      <c r="D28" s="6" t="n"/>
      <c r="E28" s="6" t="n"/>
      <c r="F28" s="6" t="n"/>
      <c r="G28" s="6" t="n"/>
      <c r="H28" s="6" t="n"/>
    </row>
    <row r="29">
      <c r="A29" s="6" t="inlineStr">
        <is>
          <t>Proceeds from an equity share issue (net of issuance cost)</t>
        </is>
      </c>
      <c r="B29" s="6" t="n"/>
      <c r="C29" s="6" t="n"/>
      <c r="D29" s="6" t="n"/>
      <c r="E29" s="6" t="n">
        <v>49952714</v>
      </c>
      <c r="F29" s="6" t="n"/>
      <c r="G29" s="6" t="n"/>
      <c r="H29" s="6" t="n"/>
    </row>
    <row r="30">
      <c r="A30" s="6" t="inlineStr">
        <is>
          <t>Repayment of lease liabilities</t>
        </is>
      </c>
      <c r="B30" s="6" t="n">
        <v>-848145</v>
      </c>
      <c r="C30" s="6" t="n">
        <v>-1157028</v>
      </c>
      <c r="D30" s="6" t="n">
        <v>-874791</v>
      </c>
      <c r="E30" s="6" t="n">
        <v>-915051</v>
      </c>
      <c r="F30" s="6" t="n">
        <v>-849159</v>
      </c>
      <c r="G30" s="6" t="n">
        <v>-501218</v>
      </c>
      <c r="H30" s="6" t="n">
        <v>-133396</v>
      </c>
    </row>
    <row r="31">
      <c r="A31" s="5" t="inlineStr">
        <is>
          <t>Net cash generated from/(used in) financing activities</t>
        </is>
      </c>
      <c r="B31" s="5" t="n">
        <v>18249803</v>
      </c>
      <c r="C31" s="5" t="n">
        <v>12597740</v>
      </c>
      <c r="D31" s="5" t="n">
        <v>-874791</v>
      </c>
      <c r="E31" s="5" t="n">
        <v>49037663</v>
      </c>
      <c r="F31" s="5" t="n">
        <v>-849159</v>
      </c>
      <c r="G31" s="5" t="n">
        <v>-820894</v>
      </c>
      <c r="H31" s="5" t="n">
        <v>-2245183</v>
      </c>
    </row>
    <row r="32">
      <c r="A32" s="5" t="inlineStr">
        <is>
          <t>(Decrease)/increase in cash and cash equivalents</t>
        </is>
      </c>
      <c r="B32" s="5" t="n">
        <v>-45373203</v>
      </c>
      <c r="C32" s="5" t="n">
        <v>-54104171</v>
      </c>
      <c r="D32" s="5" t="n">
        <v>-43522647</v>
      </c>
      <c r="E32" s="5" t="n">
        <v>74854044</v>
      </c>
      <c r="F32" s="5" t="n">
        <v>-35229998</v>
      </c>
      <c r="G32" s="5" t="n">
        <v>112041443</v>
      </c>
      <c r="H32" s="5" t="n">
        <v>-43756973</v>
      </c>
    </row>
    <row r="33">
      <c r="A33" s="6" t="inlineStr">
        <is>
          <t>Effect of exchange rate changes on cash and cash equivalents</t>
        </is>
      </c>
      <c r="B33" s="6" t="n">
        <v>89985</v>
      </c>
      <c r="C33" s="6" t="n">
        <v>108502</v>
      </c>
      <c r="D33" s="6" t="n">
        <v>112750</v>
      </c>
      <c r="E33" s="6" t="n">
        <v>162049</v>
      </c>
      <c r="F33" s="6" t="n">
        <v>71416</v>
      </c>
      <c r="G33" s="6" t="n">
        <v>112708</v>
      </c>
      <c r="H33" s="6" t="n">
        <v>76737</v>
      </c>
    </row>
    <row r="34">
      <c r="A34" s="5" t="inlineStr">
        <is>
          <t>Net (decrease)/increase in cash and cash equivalents</t>
        </is>
      </c>
      <c r="B34" s="5" t="n">
        <v>-45283218</v>
      </c>
      <c r="C34" s="5" t="n">
        <v>-53995669</v>
      </c>
      <c r="D34" s="5" t="n">
        <v>-43409897</v>
      </c>
      <c r="E34" s="5" t="n">
        <v>75016093</v>
      </c>
      <c r="F34" s="5" t="n">
        <v>-35158582</v>
      </c>
      <c r="G34" s="5" t="n">
        <v>112154151</v>
      </c>
      <c r="H34" s="5" t="n">
        <v>-43680236</v>
      </c>
    </row>
    <row r="35">
      <c r="A35" s="6" t="inlineStr">
        <is>
          <t>Cash and cash equivalents at the beginning of the year</t>
        </is>
      </c>
      <c r="B35" s="6" t="n">
        <v>376370085</v>
      </c>
      <c r="C35" s="6" t="n">
        <v>430365754</v>
      </c>
      <c r="D35" s="6" t="n">
        <v>473775651</v>
      </c>
      <c r="E35" s="6" t="n">
        <v>398759558</v>
      </c>
      <c r="F35" s="6" t="n">
        <v>433918140</v>
      </c>
      <c r="G35" s="6" t="n">
        <v>321763989</v>
      </c>
      <c r="H35" s="6" t="n">
        <v>365444225</v>
      </c>
    </row>
    <row r="36">
      <c r="A36" s="5" t="inlineStr">
        <is>
          <t>Cash and cash equivalents at the end of the year</t>
        </is>
      </c>
      <c r="B36" s="5" t="n">
        <v>331086867</v>
      </c>
      <c r="C36" s="5" t="n">
        <v>376370085</v>
      </c>
      <c r="D36" s="5" t="n">
        <v>430365754</v>
      </c>
      <c r="E36" s="5" t="n">
        <v>473775651</v>
      </c>
      <c r="F36" s="5" t="n">
        <v>398759558</v>
      </c>
      <c r="G36" s="5" t="n">
        <v>433918140</v>
      </c>
      <c r="H36" s="5" t="n">
        <v>321763989</v>
      </c>
    </row>
    <row r="38" ht="210" customHeight="1">
      <c r="A38" s="8" t="inlineStr">
        <is>
          <t>Sources - all figures are Ghana International Bank Plc's own Statement of Cash Flow, £:
FY2025 &amp; FY2024: Annual Report and Financial Statements 2025, p.76 (Statement of Cash Flow) - https://www.ghanabank.co.uk/app/uploads/2026/04/GHIB-ANNUAL-REPORT-2025-2-page-view.pdf
FY2024 &amp; FY2023: Annual Report and Financial Statements 2024, p.82 (Statement of cash flow) - https://www.ghanabank.co.uk/app/uploads/2025/04/GHIB-ANNUAL-REPORT-2024.pdf
FY2022 &amp; FY2021: Annual Report and Financial Statements 2022, p.49 (Statement of cash flow) - https://www.ghanabank.co.uk/app/uploads/2023/03/GHIB-Annual-Report-and-Financial-Statements-2022-.pdf
FY2020: Annual Report and Financial Statements 2020, p.40 (supplied Companies House scan; company basis)
(FY2022 report is a scanned/image-only Companies House filing with no text layer - transcribed by direct visual reading of the rendered page.)
Note: FY2023/FY2024/FY2025 statements include an additional adjustment line, 'Net interest income and other non-cash items', not present in the FY2021/FY2022 presentation - this is a genuine year-on-year presentation change by the Bank, not a missing figure; the blank cells for FY2021/FY2022 reflect that this split simply wasn't disclosed that way in those years' accounts. Section totals (net cash from operating/investing/financing activities, cash and cash equivalents) are consistent and comparable across all 6 years.</t>
        </is>
      </c>
    </row>
  </sheetData>
  <mergeCells count="1">
    <mergeCell ref="A38:H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Asset Quality / Credit Risk Disclosures</t>
        </is>
      </c>
    </row>
    <row r="2">
      <c r="A2" s="2" t="inlineStr">
        <is>
          <t>£'000 (as disclosed - see source note; rest of workbook is in £). Aggregate across all credit exposure classes (placements/loans to banks, loans to customers, government and other securities).</t>
        </is>
      </c>
    </row>
    <row r="3">
      <c r="A3" s="4" t="inlineStr">
        <is>
          <t>Line item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5" t="inlineStr">
        <is>
          <t>Gross exposure by IFRS 9 stage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Stage 1 (12-month ECL)</t>
        </is>
      </c>
      <c r="B5" s="6" t="n">
        <v>973433</v>
      </c>
      <c r="C5" s="6" t="n">
        <v>849658</v>
      </c>
      <c r="D5" s="6" t="n">
        <v>467106</v>
      </c>
      <c r="E5" s="6" t="n">
        <v>494742</v>
      </c>
      <c r="F5" s="6" t="n"/>
      <c r="G5" s="6" t="n"/>
      <c r="H5" s="6" t="n"/>
    </row>
    <row r="6">
      <c r="A6" s="6" t="inlineStr">
        <is>
          <t>Stage 2 (lifetime ECL, not credit-impaired)</t>
        </is>
      </c>
      <c r="B6" s="6" t="n">
        <v>178375</v>
      </c>
      <c r="C6" s="6" t="n">
        <v>289258</v>
      </c>
      <c r="D6" s="6" t="n">
        <v>191935</v>
      </c>
      <c r="E6" s="6" t="n">
        <v>200525</v>
      </c>
      <c r="F6" s="6" t="n"/>
      <c r="G6" s="6" t="n"/>
      <c r="H6" s="6" t="n"/>
    </row>
    <row r="7">
      <c r="A7" s="6" t="inlineStr">
        <is>
          <t>Stage 3 (credit-impaired)</t>
        </is>
      </c>
      <c r="B7" s="6" t="n">
        <v>1004</v>
      </c>
      <c r="C7" s="6" t="n">
        <v>2784</v>
      </c>
      <c r="D7" s="6" t="n">
        <v>4993</v>
      </c>
      <c r="E7" s="6" t="n">
        <v>2451</v>
      </c>
      <c r="F7" s="6" t="n"/>
      <c r="G7" s="6" t="n"/>
      <c r="H7" s="6" t="n"/>
    </row>
    <row r="8">
      <c r="A8" s="5" t="inlineStr">
        <is>
          <t>Total gross exposure</t>
        </is>
      </c>
      <c r="B8" s="5" t="n">
        <v>1152812</v>
      </c>
      <c r="C8" s="5" t="n">
        <v>1141700</v>
      </c>
      <c r="D8" s="5" t="n">
        <v>664034</v>
      </c>
      <c r="E8" s="5" t="n">
        <v>697718</v>
      </c>
      <c r="F8" s="5" t="n"/>
      <c r="G8" s="5" t="n"/>
      <c r="H8" s="5" t="n"/>
    </row>
    <row r="9">
      <c r="A9" s="5" t="inlineStr">
        <is>
          <t>ECL allowance by stage</t>
        </is>
      </c>
      <c r="B9" s="6" t="n"/>
      <c r="C9" s="6" t="n"/>
      <c r="D9" s="6" t="n"/>
      <c r="E9" s="6" t="n"/>
      <c r="F9" s="6" t="n"/>
      <c r="G9" s="6" t="n"/>
      <c r="H9" s="6" t="n"/>
    </row>
    <row r="10">
      <c r="A10" s="6" t="inlineStr">
        <is>
          <t>Stage 1 ECL</t>
        </is>
      </c>
      <c r="B10" s="6" t="n">
        <v>686</v>
      </c>
      <c r="C10" s="6" t="n">
        <v>416</v>
      </c>
      <c r="D10" s="6" t="n">
        <v>472</v>
      </c>
      <c r="E10" s="6" t="n">
        <v>856</v>
      </c>
      <c r="F10" s="6" t="n">
        <v>1214</v>
      </c>
      <c r="G10" s="6" t="n">
        <v>637263</v>
      </c>
      <c r="H10" s="6" t="n">
        <v>489522</v>
      </c>
    </row>
    <row r="11">
      <c r="A11" s="6" t="inlineStr">
        <is>
          <t>Stage 2 ECL</t>
        </is>
      </c>
      <c r="B11" s="6" t="n">
        <v>347</v>
      </c>
      <c r="C11" s="6" t="n">
        <v>788</v>
      </c>
      <c r="D11" s="6" t="n">
        <v>1238</v>
      </c>
      <c r="E11" s="6" t="n">
        <v>2259</v>
      </c>
      <c r="F11" s="6" t="n">
        <v>1336</v>
      </c>
      <c r="G11" s="6" t="n">
        <v>825947</v>
      </c>
      <c r="H11" s="6" t="n">
        <v>40947</v>
      </c>
    </row>
    <row r="12">
      <c r="A12" s="6" t="inlineStr">
        <is>
          <t>Stage 3 ECL</t>
        </is>
      </c>
      <c r="B12" s="6" t="n">
        <v>30</v>
      </c>
      <c r="C12" s="6" t="n">
        <v>668</v>
      </c>
      <c r="D12" s="6" t="n">
        <v>1945</v>
      </c>
      <c r="E12" s="6" t="n">
        <v>1773</v>
      </c>
      <c r="F12" s="6" t="n">
        <v>0</v>
      </c>
      <c r="G12" s="6" t="n">
        <v>0</v>
      </c>
      <c r="H12" s="6" t="n"/>
    </row>
    <row r="13">
      <c r="A13" s="5" t="inlineStr">
        <is>
          <t>Total ECL allowance</t>
        </is>
      </c>
      <c r="B13" s="5" t="n">
        <v>1063</v>
      </c>
      <c r="C13" s="5" t="n">
        <v>1872</v>
      </c>
      <c r="D13" s="5" t="n">
        <v>3655</v>
      </c>
      <c r="E13" s="5" t="n">
        <v>4888</v>
      </c>
      <c r="F13" s="5" t="n">
        <v>2551</v>
      </c>
      <c r="G13" s="5" t="n">
        <v>1463210</v>
      </c>
      <c r="H13" s="5" t="n"/>
    </row>
    <row r="14">
      <c r="A14" s="5" t="inlineStr">
        <is>
          <t>Net carrying amount by stage (calculated - see source note)</t>
        </is>
      </c>
      <c r="B14" s="6" t="n"/>
      <c r="C14" s="6" t="n"/>
      <c r="D14" s="6" t="n"/>
      <c r="E14" s="6" t="n"/>
      <c r="F14" s="6" t="n"/>
      <c r="G14" s="6" t="n"/>
      <c r="H14" s="6" t="n"/>
    </row>
    <row r="15">
      <c r="A15" s="6" t="inlineStr">
        <is>
          <t>Stage 1</t>
        </is>
      </c>
      <c r="B15" s="6" t="n">
        <v>972747</v>
      </c>
      <c r="C15" s="6" t="n">
        <v>849242</v>
      </c>
      <c r="D15" s="6" t="n">
        <v>466634</v>
      </c>
      <c r="E15" s="6" t="n">
        <v>493886</v>
      </c>
      <c r="F15" s="6" t="n"/>
      <c r="G15" s="6" t="n"/>
      <c r="H15" s="6" t="n"/>
    </row>
    <row r="16">
      <c r="A16" s="6" t="inlineStr">
        <is>
          <t>Stage 2</t>
        </is>
      </c>
      <c r="B16" s="6" t="n">
        <v>178028</v>
      </c>
      <c r="C16" s="6" t="n">
        <v>288470</v>
      </c>
      <c r="D16" s="6" t="n">
        <v>190697</v>
      </c>
      <c r="E16" s="6" t="n">
        <v>198266</v>
      </c>
      <c r="F16" s="6" t="n"/>
      <c r="G16" s="6" t="n"/>
      <c r="H16" s="6" t="n"/>
    </row>
    <row r="17">
      <c r="A17" s="6" t="inlineStr">
        <is>
          <t>Stage 3</t>
        </is>
      </c>
      <c r="B17" s="6" t="n">
        <v>974</v>
      </c>
      <c r="C17" s="6" t="n">
        <v>2116</v>
      </c>
      <c r="D17" s="6" t="n">
        <v>3048</v>
      </c>
      <c r="E17" s="6" t="n">
        <v>678</v>
      </c>
      <c r="F17" s="6" t="n"/>
      <c r="G17" s="6" t="n"/>
      <c r="H17" s="6" t="n"/>
    </row>
    <row r="18">
      <c r="A18" s="5" t="inlineStr">
        <is>
          <t>Total net carrying amount</t>
        </is>
      </c>
      <c r="B18" s="5" t="n">
        <v>1151749</v>
      </c>
      <c r="C18" s="5" t="n">
        <v>1139828</v>
      </c>
      <c r="D18" s="5" t="n">
        <v>660379</v>
      </c>
      <c r="E18" s="5" t="n">
        <v>692830</v>
      </c>
      <c r="F18" s="5" t="n"/>
      <c r="G18" s="5" t="n"/>
      <c r="H18" s="5" t="n"/>
    </row>
    <row r="19">
      <c r="A19" s="5" t="inlineStr">
        <is>
          <t>Derived ratios</t>
        </is>
      </c>
      <c r="B19" s="6" t="n"/>
      <c r="C19" s="6" t="n"/>
      <c r="D19" s="6" t="n"/>
      <c r="E19" s="6" t="n"/>
      <c r="F19" s="6" t="n"/>
      <c r="G19" s="6" t="n"/>
      <c r="H19" s="6" t="n"/>
    </row>
    <row r="20">
      <c r="A20" s="6" t="inlineStr">
        <is>
          <t>NPL ratio (Stage 3 gross / Total gross)</t>
        </is>
      </c>
      <c r="B20" s="6" t="inlineStr">
        <is>
          <t>0.09%</t>
        </is>
      </c>
      <c r="C20" s="6" t="inlineStr">
        <is>
          <t>0.24%</t>
        </is>
      </c>
      <c r="D20" s="6" t="inlineStr">
        <is>
          <t>0.75%</t>
        </is>
      </c>
      <c r="E20" s="6" t="inlineStr">
        <is>
          <t>0.35%</t>
        </is>
      </c>
      <c r="F20" s="6" t="n"/>
      <c r="G20" s="6" t="n"/>
      <c r="H20" s="6" t="n"/>
    </row>
    <row r="21">
      <c r="A21" s="6" t="inlineStr">
        <is>
          <t>Stage 3 coverage ratio (Stage 3 ECL / Stage 3 gross)</t>
        </is>
      </c>
      <c r="B21" s="6" t="inlineStr">
        <is>
          <t>2.99%</t>
        </is>
      </c>
      <c r="C21" s="6" t="inlineStr">
        <is>
          <t>23.99%</t>
        </is>
      </c>
      <c r="D21" s="6" t="inlineStr">
        <is>
          <t>38.95%</t>
        </is>
      </c>
      <c r="E21" s="6" t="inlineStr">
        <is>
          <t>72.34%</t>
        </is>
      </c>
      <c r="F21" s="6" t="n"/>
      <c r="G21" s="6" t="n"/>
      <c r="H21" s="6" t="n"/>
    </row>
    <row r="22">
      <c r="A22" s="6" t="inlineStr">
        <is>
          <t>Total ECL coverage ratio (Total ECL / Total gross)</t>
        </is>
      </c>
      <c r="B22" s="6" t="inlineStr">
        <is>
          <t>0.09%</t>
        </is>
      </c>
      <c r="C22" s="6" t="inlineStr">
        <is>
          <t>0.16%</t>
        </is>
      </c>
      <c r="D22" s="6" t="inlineStr">
        <is>
          <t>0.55%</t>
        </is>
      </c>
      <c r="E22" s="6" t="inlineStr">
        <is>
          <t>0.70%</t>
        </is>
      </c>
      <c r="F22" s="6" t="n"/>
      <c r="G22" s="6" t="n"/>
      <c r="H22" s="6" t="n"/>
    </row>
    <row r="24" ht="310" customHeight="1">
      <c r="A24" s="8" t="inlineStr">
        <is>
          <t>Sources - Ghana International Bank Plc's own 'Provisions for credit losses' note (Note 13/12), 'Total provision for credit losses' table (aggregate IFRS 9 stage reconciliation across placements/loans to banks, loans to customers, and government/other securities combined), £'000:
FY2025: Annual Report and Financial Statements 2025, p.92-93 - https://www.ghanabank.co.uk/app/uploads/2026/04/GHIB-ANNUAL-REPORT-2025-2-page-view.pdf
FY2024 &amp; FY2023: Annual Report and Financial Statements 2024, p.98-99 (own-year closing balances; FY2024 closing cross-checked against FY2025's own opening-balance comparative, matched exactly) - https://www.ghanabank.co.uk/app/uploads/2025/04/GHIB-ANNUAL-REPORT-2024.pdf
FY2022: Annual Report and Financial Statements 2024, p.99 (FY2022's own closing balance, sourced from AR2024's prior-year reconciliation table, since AR2022 itself only discloses ECL by stage without a Gross Exposure breakdown at this granularity) - https://www.ghanabank.co.uk/app/uploads/2025/04/GHIB-ANNUAL-REPORT-2024.pdf
FY2021: Annual Report and Financial Statements 2022, p.65, 'Provisions for credit losses' note, ECL by stage only (no Gross Exposure by stage disclosed this early - table introduced the Gross Exposure columns from FY2022 onward) - https://www.ghanabank.co.uk/app/uploads/2023/03/GHIB-Annual-Report-and-Financial-Statements-2022-.pdf
Net carrying amount by stage = Gross Exposure - ECL allowance for that stage (both are directly disclosed together in this note). NPL ratio = Stage 3 gross / Total gross; Stage 3 coverage ratio = Stage 3 ECL / Stage 3 gross; Total ECL coverage ratio = Total ECL / Total gross - all blank for FY2021, which lacks a Gross Exposure breakdown by stage.
Ghana International Bank Plc (Company basis, GHIB has no subsidiaries or branches) reports in £ throughout - no currency conversion applied. Each year's own originally-published figures used throughout - the Statement of Changes in Equity ties exactly at every year boundary (opening = prior year's own closing = prior year's own Balance Sheet Total Equity) across all 6 years, zero plug rows needed.
COLUMN-ORDER CAUTION (2025 Annual Report only): the FY2025 Annual Report is published as a '2-page-view' PDF (two facing pages per PDF page) - naive text extraction interleaves the 2025 and 2024 columns of the Balance Sheet in a way that looks plausible but is backwards (the block of values immediately following the P&amp;L's 2024 column is actually the Balance Sheet's OWN 2024 comparative, not FY2025). All figures below were independently confirmed by rendering the actual page image and by cross-checking every FY2024 figure against the FY2024 Annual Report's own originally-published Balance Sheet (Company basis) - which are identical, as they must be.
PRESENTATION CHANGES: the cash/central-bank balances line is labelled 'Cash and balances at banks including items in course of collection' in the FY2021/FY2022 reports vs 'Cash and balances at central banks' FY2023-FY2025 (same line, relabelled - not a new item). 'Right of use assets' only appears as its own line from FY2023 (lease accounting change). 'Term financing' only appears from FY2024 (new funding line; nil/not applicable before). 'Current tax asset' was a separate line FY2021-FY2024 (nil in FY2021/FY2024, £945,584 in FY2022/FY2023) but was dropped entirely from the FY2025 Annual Report's Balance Sheet structure (both the FY2025 and FY2024-comparative columns) - left blank for FY2025 as a genuine structural change, not a data gap.</t>
        </is>
      </c>
    </row>
  </sheetData>
  <mergeCells count="1">
    <mergeCell ref="A24:H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Common Equity Tier 1 (CET1) capital</t>
        </is>
      </c>
      <c r="B4" s="6" t="n"/>
      <c r="C4" s="6" t="n">
        <v>156657</v>
      </c>
      <c r="D4" s="6" t="n">
        <v>153053</v>
      </c>
      <c r="E4" s="6" t="n">
        <v>152019</v>
      </c>
      <c r="F4" s="6" t="n">
        <v>120301</v>
      </c>
      <c r="G4" s="6" t="n"/>
      <c r="H4" s="6" t="n"/>
    </row>
    <row r="6" ht="170" customHeight="1">
      <c r="A6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1">
    <mergeCell ref="A6:H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Common Equity Tier 1 ratio</t>
        </is>
      </c>
      <c r="B4" s="6" t="n"/>
      <c r="C4" s="6" t="inlineStr">
        <is>
          <t>22.37%</t>
        </is>
      </c>
      <c r="D4" s="6" t="inlineStr">
        <is>
          <t>31.04%</t>
        </is>
      </c>
      <c r="E4" s="6" t="inlineStr">
        <is>
          <t>28.27%</t>
        </is>
      </c>
      <c r="F4" s="6" t="inlineStr">
        <is>
          <t>26.72%</t>
        </is>
      </c>
      <c r="G4" s="6" t="inlineStr">
        <is>
          <t>35.3%</t>
        </is>
      </c>
      <c r="H4" s="6" t="n"/>
    </row>
    <row r="6" ht="170" customHeight="1">
      <c r="A6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1">
    <mergeCell ref="A6:H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Tier 1 capital</t>
        </is>
      </c>
      <c r="B4" s="6" t="n"/>
      <c r="C4" s="6" t="n">
        <v>156657</v>
      </c>
      <c r="D4" s="6" t="n">
        <v>153053</v>
      </c>
      <c r="E4" s="6" t="n">
        <v>152019</v>
      </c>
      <c r="F4" s="6" t="n">
        <v>120301</v>
      </c>
      <c r="G4" s="6" t="n"/>
      <c r="H4" s="6" t="n"/>
    </row>
    <row r="5" ht="60" customHeight="1">
      <c r="A5" s="7" t="inlineStr">
        <is>
          <t>Note: No Additional Tier 1 or Tier 2 instruments disclosed any year - Tier 1/Total Capital equal CET1 Capital throughout.</t>
        </is>
      </c>
    </row>
    <row r="7" ht="17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Tier 1 ratio</t>
        </is>
      </c>
      <c r="B4" s="6" t="n"/>
      <c r="C4" s="6" t="inlineStr">
        <is>
          <t>22.37%</t>
        </is>
      </c>
      <c r="D4" s="6" t="inlineStr">
        <is>
          <t>31.04%</t>
        </is>
      </c>
      <c r="E4" s="6" t="inlineStr">
        <is>
          <t>28.27%</t>
        </is>
      </c>
      <c r="F4" s="6" t="inlineStr">
        <is>
          <t>26.72%</t>
        </is>
      </c>
      <c r="G4" s="6" t="inlineStr">
        <is>
          <t>35.3%</t>
        </is>
      </c>
      <c r="H4" s="6" t="n"/>
    </row>
    <row r="5" ht="60" customHeight="1">
      <c r="A5" s="7" t="inlineStr">
        <is>
          <t>Note: No Additional Tier 1 or Tier 2 instruments disclosed any year - Tier 1/Total Capital equal CET1 Capital throughout.</t>
        </is>
      </c>
    </row>
    <row r="7" ht="17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Total capital</t>
        </is>
      </c>
      <c r="B4" s="6" t="n"/>
      <c r="C4" s="6" t="n">
        <v>156657</v>
      </c>
      <c r="D4" s="6" t="n">
        <v>153053</v>
      </c>
      <c r="E4" s="6" t="n">
        <v>152019</v>
      </c>
      <c r="F4" s="6" t="n">
        <v>120301</v>
      </c>
      <c r="G4" s="6" t="n"/>
      <c r="H4" s="6" t="n"/>
    </row>
    <row r="5" ht="60" customHeight="1">
      <c r="A5" s="7" t="inlineStr">
        <is>
          <t>Note: No Additional Tier 1 or Tier 2 instruments disclosed any year - Tier 1/Total Capital equal CET1 Capital throughout.</t>
        </is>
      </c>
    </row>
    <row r="7" ht="17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Total capital ratio</t>
        </is>
      </c>
      <c r="B4" s="6" t="n"/>
      <c r="C4" s="6" t="inlineStr">
        <is>
          <t>22.37%</t>
        </is>
      </c>
      <c r="D4" s="6" t="inlineStr">
        <is>
          <t>31.04%</t>
        </is>
      </c>
      <c r="E4" s="6" t="inlineStr">
        <is>
          <t>28.27%</t>
        </is>
      </c>
      <c r="F4" s="6" t="inlineStr">
        <is>
          <t>26.72%</t>
        </is>
      </c>
      <c r="G4" s="6" t="inlineStr">
        <is>
          <t>35.3%</t>
        </is>
      </c>
      <c r="H4" s="6" t="n"/>
    </row>
    <row r="5" ht="60" customHeight="1">
      <c r="A5" s="7" t="inlineStr">
        <is>
          <t>Note: No Additional Tier 1 or Tier 2 instruments disclosed any year - Tier 1/Total Capital equal CET1 Capital throughout.</t>
        </is>
      </c>
    </row>
    <row r="7" ht="17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Total risk-weighted exposure amount</t>
        </is>
      </c>
      <c r="B4" s="6" t="n"/>
      <c r="C4" s="6" t="n">
        <v>700374</v>
      </c>
      <c r="D4" s="6" t="n">
        <v>493080</v>
      </c>
      <c r="E4" s="6" t="n">
        <v>537708</v>
      </c>
      <c r="F4" s="6" t="n">
        <v>450231</v>
      </c>
      <c r="G4" s="6" t="n"/>
      <c r="H4" s="6" t="n"/>
    </row>
    <row r="6" ht="170" customHeight="1">
      <c r="A6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1">
    <mergeCell ref="A6:H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RWA Breakdown</t>
        </is>
      </c>
    </row>
    <row r="2">
      <c r="A2" s="2" t="inlineStr">
        <is>
          <t>£'000. Credit risk RWA directly disclosed by exposure class; Operational/Market risk RWA calculated from disclosed capital requirements - see source note. FY2025 not yet published.</t>
        </is>
      </c>
    </row>
    <row r="3">
      <c r="A3" s="4" t="inlineStr">
        <is>
          <t>Line item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5" t="inlineStr">
        <is>
          <t>Credit risk RWA by exposure class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Central Gov/Central Banks</t>
        </is>
      </c>
      <c r="B5" s="6" t="n"/>
      <c r="C5" s="6" t="n">
        <v>27645</v>
      </c>
      <c r="D5" s="6" t="n">
        <v>27361</v>
      </c>
      <c r="E5" s="6" t="n">
        <v>35066</v>
      </c>
      <c r="F5" s="6" t="n">
        <v>43896</v>
      </c>
      <c r="G5" s="6" t="n"/>
      <c r="H5" s="6" t="n"/>
    </row>
    <row r="6">
      <c r="A6" s="6" t="inlineStr">
        <is>
          <t>Corporates</t>
        </is>
      </c>
      <c r="B6" s="6" t="n"/>
      <c r="C6" s="6" t="n">
        <v>475975</v>
      </c>
      <c r="D6" s="6" t="n">
        <v>283530</v>
      </c>
      <c r="E6" s="6" t="n">
        <v>274893</v>
      </c>
      <c r="F6" s="6" t="n">
        <v>201102</v>
      </c>
      <c r="G6" s="6" t="n"/>
      <c r="H6" s="6" t="n"/>
    </row>
    <row r="7">
      <c r="A7" s="6" t="inlineStr">
        <is>
          <t>Institutions</t>
        </is>
      </c>
      <c r="B7" s="6" t="n"/>
      <c r="C7" s="6" t="n">
        <v>64563</v>
      </c>
      <c r="D7" s="6" t="n">
        <v>80749</v>
      </c>
      <c r="E7" s="6" t="n">
        <v>125314</v>
      </c>
      <c r="F7" s="6" t="n">
        <v>92530</v>
      </c>
      <c r="G7" s="6" t="n"/>
      <c r="H7" s="6" t="n"/>
    </row>
    <row r="8">
      <c r="A8" s="6" t="inlineStr">
        <is>
          <t>Other Items</t>
        </is>
      </c>
      <c r="B8" s="6" t="n"/>
      <c r="C8" s="6" t="n">
        <v>18447</v>
      </c>
      <c r="D8" s="6" t="n">
        <v>20363</v>
      </c>
      <c r="E8" s="6" t="n">
        <v>20893</v>
      </c>
      <c r="F8" s="6" t="n">
        <v>21987</v>
      </c>
      <c r="G8" s="6" t="n"/>
      <c r="H8" s="6" t="n"/>
    </row>
    <row r="9">
      <c r="A9" s="6" t="inlineStr">
        <is>
          <t>Public Sector Entities</t>
        </is>
      </c>
      <c r="B9" s="6" t="n"/>
      <c r="C9" s="6" t="n">
        <v>55699</v>
      </c>
      <c r="D9" s="6" t="n">
        <v>32940</v>
      </c>
      <c r="E9" s="6" t="n">
        <v>37618</v>
      </c>
      <c r="F9" s="6" t="n">
        <v>46854</v>
      </c>
      <c r="G9" s="6" t="n"/>
      <c r="H9" s="6" t="n"/>
    </row>
    <row r="10">
      <c r="A10" s="6" t="inlineStr">
        <is>
          <t>Retail</t>
        </is>
      </c>
      <c r="B10" s="6" t="n"/>
      <c r="C10" s="6" t="n">
        <v>148</v>
      </c>
      <c r="D10" s="6" t="n">
        <v>5870</v>
      </c>
      <c r="E10" s="6" t="n">
        <v>133</v>
      </c>
      <c r="F10" s="6" t="n">
        <v>1226</v>
      </c>
      <c r="G10" s="6" t="n"/>
      <c r="H10" s="6" t="n"/>
    </row>
    <row r="11">
      <c r="A11" s="6" t="inlineStr">
        <is>
          <t>Multilateral Development Banks</t>
        </is>
      </c>
      <c r="B11" s="6" t="n"/>
      <c r="C11" s="6" t="n">
        <v>0</v>
      </c>
      <c r="D11" s="6" t="n"/>
      <c r="E11" s="6" t="n"/>
      <c r="F11" s="6" t="n"/>
      <c r="G11" s="6" t="n"/>
      <c r="H11" s="6" t="n"/>
    </row>
    <row r="12">
      <c r="A12" s="6" t="inlineStr">
        <is>
          <t>Covered bonds</t>
        </is>
      </c>
      <c r="B12" s="6" t="n"/>
      <c r="C12" s="6" t="n">
        <v>2020</v>
      </c>
      <c r="D12" s="6" t="n"/>
      <c r="E12" s="6" t="n"/>
      <c r="F12" s="6" t="n"/>
      <c r="G12" s="6" t="n"/>
      <c r="H12" s="6" t="n"/>
    </row>
    <row r="13">
      <c r="A13" s="5" t="inlineStr">
        <is>
          <t>Total credit and counterparty risk RWA</t>
        </is>
      </c>
      <c r="B13" s="5" t="n"/>
      <c r="C13" s="5" t="n">
        <v>644497</v>
      </c>
      <c r="D13" s="5" t="n">
        <v>450813</v>
      </c>
      <c r="E13" s="5" t="n">
        <v>493919</v>
      </c>
      <c r="F13" s="5" t="n">
        <v>407595</v>
      </c>
      <c r="G13" s="5" t="n"/>
      <c r="H13" s="5" t="n"/>
    </row>
    <row r="14">
      <c r="A14" s="5" t="inlineStr">
        <is>
          <t>Other risk types (RWA calculated as Capital Requirement / 8% - see source note)</t>
        </is>
      </c>
      <c r="B14" s="6" t="n"/>
      <c r="C14" s="6" t="n"/>
      <c r="D14" s="6" t="n"/>
      <c r="E14" s="6" t="n"/>
      <c r="F14" s="6" t="n"/>
      <c r="G14" s="6" t="n"/>
      <c r="H14" s="6" t="n"/>
    </row>
    <row r="15">
      <c r="A15" s="6" t="inlineStr">
        <is>
          <t>Operational risk (Basic Indicator Approach)</t>
        </is>
      </c>
      <c r="B15" s="6" t="n"/>
      <c r="C15" s="6" t="n">
        <v>51838</v>
      </c>
      <c r="D15" s="6" t="n">
        <v>37038</v>
      </c>
      <c r="E15" s="6" t="n">
        <v>33625</v>
      </c>
      <c r="F15" s="6" t="n">
        <v>39662</v>
      </c>
      <c r="G15" s="6" t="n"/>
      <c r="H15" s="6" t="n"/>
    </row>
    <row r="16">
      <c r="A16" s="6" t="inlineStr">
        <is>
          <t>Market risk</t>
        </is>
      </c>
      <c r="B16" s="6" t="n"/>
      <c r="C16" s="6" t="n">
        <v>4038</v>
      </c>
      <c r="D16" s="6" t="n">
        <v>5225</v>
      </c>
      <c r="E16" s="6" t="n">
        <v>10162</v>
      </c>
      <c r="F16" s="6" t="n">
        <v>2962</v>
      </c>
      <c r="G16" s="6" t="n"/>
      <c r="H16" s="6" t="n"/>
    </row>
    <row r="17">
      <c r="A17" s="5" t="inlineStr">
        <is>
          <t>Total RWAs (calculated - cross-checked against Total RWAs sheet)</t>
        </is>
      </c>
      <c r="B17" s="5" t="n"/>
      <c r="C17" s="5" t="n">
        <v>700373</v>
      </c>
      <c r="D17" s="5" t="n">
        <v>493076</v>
      </c>
      <c r="E17" s="5" t="n">
        <v>537706</v>
      </c>
      <c r="F17" s="5" t="n">
        <v>450219</v>
      </c>
      <c r="G17" s="5" t="n"/>
      <c r="H17" s="5" t="n"/>
    </row>
    <row r="19" ht="260" customHeight="1">
      <c r="A19" s="8" t="inlineStr">
        <is>
          <t>Sources - Ghana International Bank Plc Pillar 3 Disclosures, Table 1: Key Metrics ratios:
FY2024: Pillar 3 Disclosures 31 December 2024, p.7 -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
RWA BREAKDOWN NOTE: sourced from Table 2 'Breakdown of the Bank's Regulatory Capital Requirement' in each year's own Pillar 3 Disclosures (Central Gov/Central Banks, Corporates, Institutions, Other Items, Public Sector Entities, and Retail columns give RWA directly; Multilateral Development Banks and Covered bonds are new categories introduced FY2024). Operational risk and Market risk RWA are CALCULATED as (Capital Requirement / 8%), since the table states only their capital requirement, not RWA directly - independently cross-checked against each year's own disclosed Total RWAs figure (Total RWAs sheet), matching within rounding for every year (e.g. FY2024: 700,375 calculated here vs 700,374 disclosed).</t>
        </is>
      </c>
    </row>
  </sheetData>
  <mergeCells count="1">
    <mergeCell ref="A19:H1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Leverage ratio excluding claims on central banks</t>
        </is>
      </c>
      <c r="B4" s="6" t="n"/>
      <c r="C4" s="6" t="inlineStr">
        <is>
          <t>14.66%</t>
        </is>
      </c>
      <c r="D4" s="6" t="inlineStr">
        <is>
          <t>25.88%</t>
        </is>
      </c>
      <c r="E4" s="6" t="inlineStr">
        <is>
          <t>23.86%</t>
        </is>
      </c>
      <c r="F4" s="6" t="inlineStr">
        <is>
          <t>15.20%</t>
        </is>
      </c>
      <c r="G4" s="6" t="n"/>
      <c r="H4" s="6" t="n"/>
    </row>
    <row r="6" ht="170" customHeight="1">
      <c r="A6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1">
    <mergeCell ref="A6:H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Liquidity coverage ratio</t>
        </is>
      </c>
      <c r="B4" s="6" t="n"/>
      <c r="C4" s="6" t="inlineStr">
        <is>
          <t>256.31%</t>
        </is>
      </c>
      <c r="D4" s="6" t="inlineStr">
        <is>
          <t>370.09%</t>
        </is>
      </c>
      <c r="E4" s="6" t="inlineStr">
        <is>
          <t>409.87%</t>
        </is>
      </c>
      <c r="F4" s="6" t="inlineStr">
        <is>
          <t>378.34%</t>
        </is>
      </c>
      <c r="G4" s="6" t="inlineStr">
        <is>
          <t>310%</t>
        </is>
      </c>
      <c r="H4" s="6" t="n"/>
    </row>
    <row r="6" ht="170" customHeight="1">
      <c r="A6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1">
    <mergeCell ref="A6:H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Net Stable Funding Ratio</t>
        </is>
      </c>
      <c r="B4" s="6" t="n"/>
      <c r="C4" s="6" t="inlineStr">
        <is>
          <t>255.98%</t>
        </is>
      </c>
      <c r="D4" s="6" t="inlineStr">
        <is>
          <t>273.27%</t>
        </is>
      </c>
      <c r="E4" s="6" t="inlineStr">
        <is>
          <t>292.79%</t>
        </is>
      </c>
      <c r="F4" s="6" t="n"/>
      <c r="G4" s="6" t="n"/>
      <c r="H4" s="6" t="n"/>
    </row>
    <row r="5" ht="60" customHeight="1">
      <c r="A5" s="7" t="inlineStr">
        <is>
          <t>Note: NSFR only reported from FY2022 onward - the Bank states comparable figures for earlier periods are not available because the NSFR rules introduced under CRR2 only commenced on 1 January 2022.</t>
        </is>
      </c>
    </row>
    <row r="7" ht="17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Ghana International Bank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  <c r="G4" s="6" t="inlineStr">
        <is>
          <t>Not publicly disclosed</t>
        </is>
      </c>
      <c r="H4" s="6" t="inlineStr">
        <is>
          <t>Not publicly disclosed</t>
        </is>
      </c>
    </row>
    <row r="5" ht="60" customHeight="1">
      <c r="A5" s="7" t="inlineStr">
        <is>
          <t>Note: Not publicly disclosed any year - GHIB is not a UK resolution entity subject to MREL.</t>
        </is>
      </c>
    </row>
    <row r="7" ht="15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FY2020: Annual Report and Financial Statements 2020, Strategic Report / risk disclosures (supplied Companies House filing; LCR 310%).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7:H7"/>
    <mergeCell ref="A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2026-09-06T14:50:47Z</dcterms:created>
  <dcterms:modified xsi:type="dcterms:W3CDTF">2026-09-06T14:50:47Z</dcterms:modified>
</cp:coreProperties>
</file>