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3E9D"/>
        <bgColor rgb="007A3E9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Mizuho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Mizuho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Mizuho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ser>
          <idx val="3"/>
          <order val="3"/>
          <tx>
            <strRef>
              <f>'Overview'!AW22</f>
            </strRef>
          </tx>
          <spPr>
            <a:ln xmlns:a="http://schemas.openxmlformats.org/drawingml/2006/main">
              <a:prstDash val="solid"/>
            </a:ln>
          </spPr>
          <cat>
            <numRef>
              <f>'Overview'!$AX$18:$BJ$18</f>
            </numRef>
          </cat>
          <val>
            <numRef>
              <f>'Overview'!$AX$22:$BJ$22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Mizuho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'Overview'!BM26</f>
            </strRef>
          </tx>
          <spPr>
            <a:ln xmlns:a="http://schemas.openxmlformats.org/drawingml/2006/main">
              <a:prstDash val="solid"/>
            </a:ln>
          </spPr>
          <cat>
            <numRef>
              <f>'Overview'!$BN$25:$BZ$25</f>
            </numRef>
          </cat>
          <val>
            <numRef>
              <f>'Overview'!$BN$26:$BZ$26</f>
            </numRef>
          </val>
        </ser>
        <ser>
          <idx val="1"/>
          <order val="1"/>
          <tx>
            <strRef>
              <f>'Overview'!BM27</f>
            </strRef>
          </tx>
          <spPr>
            <a:ln xmlns:a="http://schemas.openxmlformats.org/drawingml/2006/main">
              <a:prstDash val="solid"/>
            </a:ln>
          </spPr>
          <cat>
            <numRef>
              <f>'Overview'!$BN$25:$BZ$25</f>
            </numRef>
          </cat>
          <val>
            <numRef>
              <f>'Overview'!$BN$27:$BZ$27</f>
            </numRef>
          </val>
        </ser>
        <ser>
          <idx val="2"/>
          <order val="2"/>
          <tx>
            <strRef>
              <f>'Overview'!BM28</f>
            </strRef>
          </tx>
          <spPr>
            <a:ln xmlns:a="http://schemas.openxmlformats.org/drawingml/2006/main">
              <a:prstDash val="solid"/>
            </a:ln>
          </spPr>
          <cat>
            <numRef>
              <f>'Overview'!$BN$25:$BZ$25</f>
            </numRef>
          </cat>
          <val>
            <numRef>
              <f>'Overview'!$BN$28:$BZ$28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Mizuho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'Overview'!$CD$6:$CP$6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'Overview'!$CD$7:$CP$7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P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s>
  <sheetData>
    <row r="1">
      <c r="A1" s="1" t="inlineStr">
        <is>
          <t>Mizuho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CD5" t="inlineStr">
        <is>
          <t>FY2014</t>
        </is>
      </c>
      <c r="CE5" t="inlineStr">
        <is>
          <t>FY2015</t>
        </is>
      </c>
      <c r="CF5" t="inlineStr">
        <is>
          <t>FY2016</t>
        </is>
      </c>
      <c r="CG5" t="inlineStr">
        <is>
          <t>FY2017</t>
        </is>
      </c>
      <c r="CH5" t="inlineStr">
        <is>
          <t>FY2018</t>
        </is>
      </c>
      <c r="CI5" t="inlineStr">
        <is>
          <t>FY2019</t>
        </is>
      </c>
      <c r="CJ5" t="inlineStr">
        <is>
          <t>FY2020</t>
        </is>
      </c>
      <c r="CK5" t="inlineStr">
        <is>
          <t>FY2021</t>
        </is>
      </c>
      <c r="CL5" t="inlineStr">
        <is>
          <t>FY2022</t>
        </is>
      </c>
      <c r="CM5" t="inlineStr">
        <is>
          <t>FY2023</t>
        </is>
      </c>
      <c r="CN5" t="inlineStr">
        <is>
          <t>FY2024</t>
        </is>
      </c>
      <c r="CO5" t="inlineStr">
        <is>
          <t>FY2025</t>
        </is>
      </c>
      <c r="CP5" t="inlineStr">
        <is>
          <t>FY2026</t>
        </is>
      </c>
    </row>
    <row r="6">
      <c r="A6" s="5" t="inlineStr">
        <is>
          <t>Total Assets</t>
        </is>
      </c>
      <c r="B6" s="5" t="n">
        <v>24841.5</v>
      </c>
      <c r="C6" s="5" t="n">
        <v>23914.9</v>
      </c>
      <c r="D6" s="5" t="n">
        <v>24933.9</v>
      </c>
      <c r="E6" s="5" t="n">
        <v>27378.9</v>
      </c>
      <c r="F6" s="5" t="n">
        <v>22058.9</v>
      </c>
      <c r="G6" s="5" t="n">
        <v>18208.4</v>
      </c>
      <c r="H6" s="5" t="n">
        <v>25045.1</v>
      </c>
      <c r="I6" s="5" t="n">
        <v>19384.1</v>
      </c>
      <c r="J6" s="5" t="n">
        <v>15517.3</v>
      </c>
      <c r="K6" s="5" t="n">
        <v>15395.2</v>
      </c>
      <c r="L6" s="5" t="n">
        <v>13192.8</v>
      </c>
      <c r="M6" s="5" t="n">
        <v>21487.5</v>
      </c>
      <c r="N6" s="5" t="n">
        <v>28883.2</v>
      </c>
      <c r="Q6" t="inlineStr">
        <is>
          <t>Total Assets</t>
        </is>
      </c>
      <c r="R6" t="n">
        <v>28883.2</v>
      </c>
      <c r="S6" t="n">
        <v>21487.5</v>
      </c>
      <c r="T6" t="n">
        <v>13192.8</v>
      </c>
      <c r="U6" t="n">
        <v>15395.2</v>
      </c>
      <c r="V6" t="n">
        <v>15517.3</v>
      </c>
      <c r="W6" t="n">
        <v>19384.1</v>
      </c>
      <c r="X6" t="n">
        <v>25045.1</v>
      </c>
      <c r="Y6" t="n">
        <v>18208.4</v>
      </c>
      <c r="Z6" t="n">
        <v>22058.9</v>
      </c>
      <c r="AA6" t="n">
        <v>27378.9</v>
      </c>
      <c r="AB6" t="n">
        <v>24933.9</v>
      </c>
      <c r="AC6" t="n">
        <v>23914.9</v>
      </c>
      <c r="AD6" t="n">
        <v>24841.5</v>
      </c>
      <c r="CC6" t="inlineStr">
        <is>
          <t>CET1 Ratio</t>
        </is>
      </c>
      <c r="CD6" t="n">
        <v>50.3</v>
      </c>
      <c r="CE6" t="n">
        <v>49.5</v>
      </c>
      <c r="CF6" t="n">
        <v>36.4</v>
      </c>
      <c r="CG6" t="n">
        <v>32.9</v>
      </c>
      <c r="CH6" t="n">
        <v>30.6</v>
      </c>
      <c r="CI6" t="n">
        <v>27.8</v>
      </c>
      <c r="CJ6" t="n">
        <v>20.02</v>
      </c>
      <c r="CK6" t="n">
        <v>31.12</v>
      </c>
      <c r="CL6" t="n">
        <v>31.14</v>
      </c>
      <c r="CM6" t="n">
        <v>28</v>
      </c>
      <c r="CN6" t="n">
        <v>22.8</v>
      </c>
      <c r="CO6" t="n">
        <v>20</v>
      </c>
      <c r="CP6" t="n">
        <v>26.19</v>
      </c>
    </row>
    <row r="7">
      <c r="A7" s="5" t="inlineStr">
        <is>
          <t>Reverse repurchase agreements with customers</t>
        </is>
      </c>
      <c r="B7" s="5" t="n">
        <v>5981.7</v>
      </c>
      <c r="C7" s="5" t="n">
        <v>4587.1</v>
      </c>
      <c r="D7" s="5" t="n">
        <v>3059.6</v>
      </c>
      <c r="E7" s="5" t="n">
        <v>2303.5</v>
      </c>
      <c r="F7" s="5" t="n">
        <v>5417</v>
      </c>
      <c r="G7" s="5" t="n">
        <v>4288.6</v>
      </c>
      <c r="H7" s="5" t="n">
        <v>5895.2</v>
      </c>
      <c r="I7" s="5" t="n">
        <v>7204.8</v>
      </c>
      <c r="J7" s="5" t="n">
        <v>4636.4</v>
      </c>
      <c r="K7" s="5" t="n">
        <v>5106.9</v>
      </c>
      <c r="L7" s="5" t="n">
        <v>3176.7</v>
      </c>
      <c r="M7" s="5" t="n">
        <v>5083.7</v>
      </c>
      <c r="N7" s="5" t="n"/>
      <c r="Q7" t="inlineStr">
        <is>
          <t>Reverse repurchase agreements with customers</t>
        </is>
      </c>
      <c r="S7" t="n">
        <v>5083.7</v>
      </c>
      <c r="T7" t="n">
        <v>3176.7</v>
      </c>
      <c r="U7" t="n">
        <v>5106.9</v>
      </c>
      <c r="V7" t="n">
        <v>4636.4</v>
      </c>
      <c r="W7" t="n">
        <v>7204.8</v>
      </c>
      <c r="X7" t="n">
        <v>5895.2</v>
      </c>
      <c r="Y7" t="n">
        <v>4288.6</v>
      </c>
      <c r="Z7" t="n">
        <v>5417</v>
      </c>
      <c r="AA7" t="n">
        <v>2303.5</v>
      </c>
      <c r="AB7" t="n">
        <v>3059.6</v>
      </c>
      <c r="AC7" t="n">
        <v>4587.1</v>
      </c>
      <c r="AD7" t="n">
        <v>5981.7</v>
      </c>
      <c r="CC7" t="inlineStr">
        <is>
          <t>Leverage Ratio</t>
        </is>
      </c>
      <c r="CE7" t="n">
        <v>1.87</v>
      </c>
      <c r="CF7" t="n">
        <v>3.28</v>
      </c>
      <c r="CG7" t="n">
        <v>4.36</v>
      </c>
      <c r="CH7" t="n">
        <v>4.5</v>
      </c>
      <c r="CI7" t="n">
        <v>3.74</v>
      </c>
      <c r="CJ7" t="n">
        <v>3.74</v>
      </c>
      <c r="CK7" t="n">
        <v>4.75</v>
      </c>
      <c r="CL7" t="n">
        <v>4.07</v>
      </c>
      <c r="CM7" t="n">
        <v>4.24</v>
      </c>
      <c r="CN7" t="n">
        <v>4.07</v>
      </c>
      <c r="CO7" t="n">
        <v>4.2</v>
      </c>
      <c r="CP7" t="n">
        <v>4.43</v>
      </c>
    </row>
    <row r="8">
      <c r="A8" s="5" t="inlineStr">
        <is>
          <t>Derivative assets</t>
        </is>
      </c>
      <c r="B8" s="5" t="n">
        <v>9910.299999999999</v>
      </c>
      <c r="C8" s="5" t="n">
        <v>8520.1</v>
      </c>
      <c r="D8" s="5" t="n">
        <v>9707.700000000001</v>
      </c>
      <c r="E8" s="5" t="n">
        <v>13072.6</v>
      </c>
      <c r="F8" s="5" t="n">
        <v>6443.1</v>
      </c>
      <c r="G8" s="5" t="n">
        <v>6513.8</v>
      </c>
      <c r="H8" s="5" t="n">
        <v>11566.9</v>
      </c>
      <c r="I8" s="5" t="n">
        <v>4451.4</v>
      </c>
      <c r="J8" s="5" t="n">
        <v>2136.2</v>
      </c>
      <c r="K8" s="5" t="n">
        <v>1498.4</v>
      </c>
      <c r="L8" s="5" t="n">
        <v>424</v>
      </c>
      <c r="M8" s="5" t="n">
        <v>301.9</v>
      </c>
      <c r="N8" s="5" t="n">
        <v>204.7</v>
      </c>
      <c r="Q8" t="inlineStr">
        <is>
          <t>Derivative assets</t>
        </is>
      </c>
      <c r="R8" t="n">
        <v>204.7</v>
      </c>
      <c r="S8" t="n">
        <v>301.9</v>
      </c>
      <c r="T8" t="n">
        <v>424</v>
      </c>
      <c r="U8" t="n">
        <v>1498.4</v>
      </c>
      <c r="V8" t="n">
        <v>2136.2</v>
      </c>
      <c r="W8" t="n">
        <v>4451.4</v>
      </c>
      <c r="X8" t="n">
        <v>11566.9</v>
      </c>
      <c r="Y8" t="n">
        <v>6513.8</v>
      </c>
      <c r="Z8" t="n">
        <v>6443.1</v>
      </c>
      <c r="AA8" t="n">
        <v>13072.6</v>
      </c>
      <c r="AB8" t="n">
        <v>9707.700000000001</v>
      </c>
      <c r="AC8" t="n">
        <v>8520.1</v>
      </c>
      <c r="AD8" t="n">
        <v>9910.299999999999</v>
      </c>
    </row>
    <row r="9">
      <c r="A9" s="5" t="inlineStr">
        <is>
          <t>Total Equity</t>
        </is>
      </c>
      <c r="B9" s="5" t="n">
        <v>845.2</v>
      </c>
      <c r="C9" s="5" t="n">
        <v>773.5</v>
      </c>
      <c r="D9" s="5" t="n">
        <v>720.7</v>
      </c>
      <c r="E9" s="5" t="n">
        <v>707.7</v>
      </c>
      <c r="F9" s="5" t="n">
        <v>712.4</v>
      </c>
      <c r="G9" s="5" t="n">
        <v>741.6</v>
      </c>
      <c r="H9" s="5" t="n">
        <v>699.2</v>
      </c>
      <c r="I9" s="5" t="n">
        <v>740.2</v>
      </c>
      <c r="J9" s="5" t="n">
        <v>761.6</v>
      </c>
      <c r="K9" s="5" t="n">
        <v>736.4</v>
      </c>
      <c r="L9" s="5" t="n">
        <v>460.8</v>
      </c>
      <c r="M9" s="5" t="n">
        <v>441.6</v>
      </c>
      <c r="N9" s="5" t="n">
        <v>439.6</v>
      </c>
      <c r="Q9" t="inlineStr">
        <is>
          <t>Total Equity</t>
        </is>
      </c>
      <c r="R9" t="n">
        <v>439.6</v>
      </c>
      <c r="S9" t="n">
        <v>441.6</v>
      </c>
      <c r="T9" t="n">
        <v>460.8</v>
      </c>
      <c r="U9" t="n">
        <v>736.4</v>
      </c>
      <c r="V9" t="n">
        <v>761.6</v>
      </c>
      <c r="W9" t="n">
        <v>740.2</v>
      </c>
      <c r="X9" t="n">
        <v>699.2</v>
      </c>
      <c r="Y9" t="n">
        <v>741.6</v>
      </c>
      <c r="Z9" t="n">
        <v>712.4</v>
      </c>
      <c r="AA9" t="n">
        <v>707.7</v>
      </c>
      <c r="AB9" t="n">
        <v>720.7</v>
      </c>
      <c r="AC9" t="n">
        <v>773.5</v>
      </c>
      <c r="AD9" t="n">
        <v>845.2</v>
      </c>
    </row>
    <row r="11">
      <c r="A11" s="3" t="inlineStr">
        <is>
          <t>Profit &amp; Loss Summary (£m)</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row>
    <row r="13">
      <c r="A13" s="5" t="inlineStr">
        <is>
          <t>Net income from operations</t>
        </is>
      </c>
      <c r="B13" s="5" t="n">
        <v>396.7</v>
      </c>
      <c r="C13" s="5" t="n">
        <v>373.4</v>
      </c>
      <c r="D13" s="5" t="n">
        <v>244.1</v>
      </c>
      <c r="E13" s="5" t="n">
        <v>194.4</v>
      </c>
      <c r="F13" s="5" t="n">
        <v>166.3</v>
      </c>
      <c r="G13" s="5" t="n">
        <v>265.1</v>
      </c>
      <c r="H13" s="5" t="n">
        <v>157.5</v>
      </c>
      <c r="I13" s="5" t="n">
        <v>174.6</v>
      </c>
      <c r="J13" s="5" t="n">
        <v>235</v>
      </c>
      <c r="K13" s="5" t="n">
        <v>220.3</v>
      </c>
      <c r="L13" s="5" t="n">
        <v>145.6</v>
      </c>
      <c r="M13" s="5" t="n">
        <v>131.8</v>
      </c>
      <c r="N13" s="5" t="n">
        <v>87.59999999999999</v>
      </c>
      <c r="AG13" t="inlineStr">
        <is>
          <t>Net income from operations</t>
        </is>
      </c>
      <c r="AH13" t="n">
        <v>87.59999999999999</v>
      </c>
      <c r="AI13" t="n">
        <v>131.8</v>
      </c>
      <c r="AJ13" t="n">
        <v>145.6</v>
      </c>
      <c r="AK13" t="n">
        <v>220.3</v>
      </c>
      <c r="AL13" t="n">
        <v>235</v>
      </c>
      <c r="AM13" t="n">
        <v>174.6</v>
      </c>
      <c r="AN13" t="n">
        <v>157.5</v>
      </c>
      <c r="AO13" t="n">
        <v>265.1</v>
      </c>
      <c r="AP13" t="n">
        <v>166.3</v>
      </c>
      <c r="AQ13" t="n">
        <v>194.4</v>
      </c>
      <c r="AR13" t="n">
        <v>244.1</v>
      </c>
      <c r="AS13" t="n">
        <v>373.4</v>
      </c>
      <c r="AT13" t="n">
        <v>396.7</v>
      </c>
    </row>
    <row r="14">
      <c r="A14" s="5" t="inlineStr">
        <is>
          <t>Operating expenses</t>
        </is>
      </c>
      <c r="B14" s="5" t="n">
        <v>-376.2</v>
      </c>
      <c r="C14" s="5" t="n">
        <v>-367.6</v>
      </c>
      <c r="D14" s="5" t="n">
        <v>-229.1</v>
      </c>
      <c r="E14" s="5" t="n">
        <v>-204.8</v>
      </c>
      <c r="F14" s="5" t="n">
        <v>-203.9</v>
      </c>
      <c r="G14" s="5" t="n">
        <v>-221.3</v>
      </c>
      <c r="H14" s="5" t="n">
        <v>-207.6</v>
      </c>
      <c r="I14" s="5" t="n">
        <v>-203.9</v>
      </c>
      <c r="J14" s="5" t="n">
        <v>-205.2</v>
      </c>
      <c r="K14" s="5" t="n">
        <v>-208.1</v>
      </c>
      <c r="L14" s="5" t="n">
        <v>-161</v>
      </c>
      <c r="M14" s="5" t="n">
        <v>-126.9</v>
      </c>
      <c r="N14" s="5" t="n">
        <v>-115.6</v>
      </c>
      <c r="AG14" t="inlineStr">
        <is>
          <t>Operating expenses</t>
        </is>
      </c>
      <c r="AH14" t="n">
        <v>-115.6</v>
      </c>
      <c r="AI14" t="n">
        <v>-126.9</v>
      </c>
      <c r="AJ14" t="n">
        <v>-161</v>
      </c>
      <c r="AK14" t="n">
        <v>-208.1</v>
      </c>
      <c r="AL14" t="n">
        <v>-205.2</v>
      </c>
      <c r="AM14" t="n">
        <v>-203.9</v>
      </c>
      <c r="AN14" t="n">
        <v>-207.6</v>
      </c>
      <c r="AO14" t="n">
        <v>-221.3</v>
      </c>
      <c r="AP14" t="n">
        <v>-203.9</v>
      </c>
      <c r="AQ14" t="n">
        <v>-204.8</v>
      </c>
      <c r="AR14" t="n">
        <v>-229.1</v>
      </c>
      <c r="AS14" t="n">
        <v>-367.6</v>
      </c>
      <c r="AT14" t="n">
        <v>-376.2</v>
      </c>
    </row>
    <row r="15">
      <c r="A15" s="5" t="inlineStr">
        <is>
          <t>Profit/(loss) for the year</t>
        </is>
      </c>
      <c r="B15" s="5" t="n">
        <v>17</v>
      </c>
      <c r="C15" s="5" t="n">
        <v>7.2</v>
      </c>
      <c r="D15" s="5" t="n">
        <v>13.5</v>
      </c>
      <c r="E15" s="5" t="n">
        <v>-4.5</v>
      </c>
      <c r="F15" s="5" t="n">
        <v>-28.8</v>
      </c>
      <c r="G15" s="5" t="n">
        <v>42.8</v>
      </c>
      <c r="H15" s="5" t="n">
        <v>-40.7</v>
      </c>
      <c r="I15" s="5" t="n">
        <v>-19.5</v>
      </c>
      <c r="J15" s="5" t="n">
        <v>27.6</v>
      </c>
      <c r="K15" s="5" t="n">
        <v>12.2</v>
      </c>
      <c r="L15" s="5" t="n">
        <v>-15.4</v>
      </c>
      <c r="M15" s="5" t="n">
        <v>4.9</v>
      </c>
      <c r="N15" s="5" t="n">
        <v>-28</v>
      </c>
      <c r="AG15" t="inlineStr">
        <is>
          <t>Profit/(loss) for the year</t>
        </is>
      </c>
      <c r="AH15" t="n">
        <v>-28</v>
      </c>
      <c r="AI15" t="n">
        <v>4.9</v>
      </c>
      <c r="AJ15" t="n">
        <v>-15.4</v>
      </c>
      <c r="AK15" t="n">
        <v>12.2</v>
      </c>
      <c r="AL15" t="n">
        <v>27.6</v>
      </c>
      <c r="AM15" t="n">
        <v>-19.5</v>
      </c>
      <c r="AN15" t="n">
        <v>-40.7</v>
      </c>
      <c r="AO15" t="n">
        <v>42.8</v>
      </c>
      <c r="AP15" t="n">
        <v>-28.8</v>
      </c>
      <c r="AQ15" t="n">
        <v>-4.5</v>
      </c>
      <c r="AR15" t="n">
        <v>13.5</v>
      </c>
      <c r="AS15" t="n">
        <v>7.2</v>
      </c>
      <c r="AT15" t="n">
        <v>17</v>
      </c>
    </row>
    <row r="17">
      <c r="A17" s="3" t="inlineStr">
        <is>
          <t>Statement of Changes in Equity Summary (£m)</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v>773.5</v>
      </c>
      <c r="C19" s="5" t="n">
        <v>720.7</v>
      </c>
      <c r="D19" s="5" t="n">
        <v>707.7</v>
      </c>
      <c r="E19" s="5" t="n">
        <v>712.4</v>
      </c>
      <c r="F19" s="5" t="n">
        <v>741.6</v>
      </c>
      <c r="G19" s="5" t="n">
        <v>699.2</v>
      </c>
      <c r="H19" s="5" t="n">
        <v>740.2</v>
      </c>
      <c r="I19" s="5" t="n">
        <v>761.6</v>
      </c>
      <c r="J19" s="5" t="n">
        <v>736.4</v>
      </c>
      <c r="K19" s="5" t="n">
        <v>460.8</v>
      </c>
      <c r="L19" s="5" t="n">
        <v>441.6</v>
      </c>
      <c r="M19" s="5" t="n">
        <v>439.1</v>
      </c>
      <c r="N19" s="5" t="n">
        <v>425.1</v>
      </c>
      <c r="AW19" t="inlineStr">
        <is>
          <t>Opening equity</t>
        </is>
      </c>
      <c r="AX19" t="n">
        <v>425.1</v>
      </c>
      <c r="AY19" t="n">
        <v>439.1</v>
      </c>
      <c r="AZ19" t="n">
        <v>441.6</v>
      </c>
      <c r="BA19" t="n">
        <v>460.8</v>
      </c>
      <c r="BB19" t="n">
        <v>736.4</v>
      </c>
      <c r="BC19" t="n">
        <v>761.6</v>
      </c>
      <c r="BD19" t="n">
        <v>740.2</v>
      </c>
      <c r="BE19" t="n">
        <v>699.2</v>
      </c>
      <c r="BF19" t="n">
        <v>741.6</v>
      </c>
      <c r="BG19" t="n">
        <v>712.4</v>
      </c>
      <c r="BH19" t="n">
        <v>707.7</v>
      </c>
      <c r="BI19" t="n">
        <v>720.7</v>
      </c>
      <c r="BJ19" t="n">
        <v>773.5</v>
      </c>
    </row>
    <row r="20">
      <c r="A20" s="5" t="inlineStr">
        <is>
          <t>Profit/(loss) for the year</t>
        </is>
      </c>
      <c r="B20" s="5" t="n">
        <v>17</v>
      </c>
      <c r="C20" s="5" t="n">
        <v>7.2</v>
      </c>
      <c r="D20" s="5" t="n">
        <v>13.5</v>
      </c>
      <c r="E20" s="5" t="n">
        <v>-4.5</v>
      </c>
      <c r="F20" s="5" t="n">
        <v>-28.8</v>
      </c>
      <c r="G20" s="5" t="n">
        <v>42.8</v>
      </c>
      <c r="H20" s="5" t="n">
        <v>-40.7</v>
      </c>
      <c r="I20" s="5" t="n">
        <v>-19.5</v>
      </c>
      <c r="J20" s="5" t="n">
        <v>27.6</v>
      </c>
      <c r="K20" s="5" t="n">
        <v>12.2</v>
      </c>
      <c r="L20" s="5" t="n">
        <v>-15.4</v>
      </c>
      <c r="M20" s="5" t="n">
        <v>4.9</v>
      </c>
      <c r="N20" s="5" t="n">
        <v>-28</v>
      </c>
      <c r="AW20" t="inlineStr">
        <is>
          <t>Profit/(loss) for the year</t>
        </is>
      </c>
      <c r="AX20" t="n">
        <v>-28</v>
      </c>
      <c r="AY20" t="n">
        <v>4.9</v>
      </c>
      <c r="AZ20" t="n">
        <v>-15.4</v>
      </c>
      <c r="BA20" t="n">
        <v>12.2</v>
      </c>
      <c r="BB20" t="n">
        <v>27.6</v>
      </c>
      <c r="BC20" t="n">
        <v>-19.5</v>
      </c>
      <c r="BD20" t="n">
        <v>-40.7</v>
      </c>
      <c r="BE20" t="n">
        <v>42.8</v>
      </c>
      <c r="BF20" t="n">
        <v>-28.8</v>
      </c>
      <c r="BG20" t="n">
        <v>-4.5</v>
      </c>
      <c r="BH20" t="n">
        <v>13.5</v>
      </c>
      <c r="BI20" t="n">
        <v>7.2</v>
      </c>
      <c r="BJ20" t="n">
        <v>17</v>
      </c>
    </row>
    <row r="21">
      <c r="A21" s="5" t="inlineStr">
        <is>
          <t>Other equity movements, net</t>
        </is>
      </c>
      <c r="B21" s="5" t="n">
        <v>54.7</v>
      </c>
      <c r="C21" s="5" t="n">
        <v>45.6</v>
      </c>
      <c r="D21" s="5" t="n">
        <v>-0.5</v>
      </c>
      <c r="E21" s="5" t="n">
        <v>-0.2</v>
      </c>
      <c r="F21" s="5" t="n">
        <v>-0.4</v>
      </c>
      <c r="G21" s="5" t="n">
        <v>-0.4</v>
      </c>
      <c r="H21" s="5" t="n">
        <v>-0.3</v>
      </c>
      <c r="I21" s="5" t="n">
        <v>-1.9</v>
      </c>
      <c r="J21" s="5" t="n">
        <v>-2.4</v>
      </c>
      <c r="K21" s="5" t="n">
        <v>263.4</v>
      </c>
      <c r="L21" s="5" t="n">
        <v>34.6</v>
      </c>
      <c r="M21" s="5" t="n">
        <v>-2.4</v>
      </c>
      <c r="N21" s="5" t="n">
        <v>42.5</v>
      </c>
      <c r="AW21" t="inlineStr">
        <is>
          <t>Other equity movements, net</t>
        </is>
      </c>
      <c r="AX21" t="n">
        <v>42.5</v>
      </c>
      <c r="AY21" t="n">
        <v>-2.4</v>
      </c>
      <c r="AZ21" t="n">
        <v>34.6</v>
      </c>
      <c r="BA21" t="n">
        <v>263.4</v>
      </c>
      <c r="BB21" t="n">
        <v>-2.4</v>
      </c>
      <c r="BC21" t="n">
        <v>-1.9</v>
      </c>
      <c r="BD21" t="n">
        <v>-0.3</v>
      </c>
      <c r="BE21" t="n">
        <v>-0.4</v>
      </c>
      <c r="BF21" t="n">
        <v>-0.4</v>
      </c>
      <c r="BG21" t="n">
        <v>-0.2</v>
      </c>
      <c r="BH21" t="n">
        <v>-0.5</v>
      </c>
      <c r="BI21" t="n">
        <v>45.6</v>
      </c>
      <c r="BJ21" t="n">
        <v>54.7</v>
      </c>
    </row>
    <row r="22">
      <c r="A22" s="5" t="inlineStr">
        <is>
          <t>Closing equity</t>
        </is>
      </c>
      <c r="B22" s="5" t="n">
        <v>845.2</v>
      </c>
      <c r="C22" s="5" t="n">
        <v>773.5</v>
      </c>
      <c r="D22" s="5" t="n">
        <v>720.7</v>
      </c>
      <c r="E22" s="5" t="n">
        <v>707.7</v>
      </c>
      <c r="F22" s="5" t="n">
        <v>712.4</v>
      </c>
      <c r="G22" s="5" t="n">
        <v>741.6</v>
      </c>
      <c r="H22" s="5" t="n">
        <v>699.2</v>
      </c>
      <c r="I22" s="5" t="n">
        <v>740.2</v>
      </c>
      <c r="J22" s="5" t="n">
        <v>761.6</v>
      </c>
      <c r="K22" s="5" t="n">
        <v>736.4</v>
      </c>
      <c r="L22" s="5" t="n">
        <v>460.8</v>
      </c>
      <c r="M22" s="5" t="n">
        <v>441.6</v>
      </c>
      <c r="N22" s="5" t="n">
        <v>439.6</v>
      </c>
      <c r="AW22" t="inlineStr">
        <is>
          <t>Closing equity</t>
        </is>
      </c>
      <c r="AX22" t="n">
        <v>439.6</v>
      </c>
      <c r="AY22" t="n">
        <v>441.6</v>
      </c>
      <c r="AZ22" t="n">
        <v>460.8</v>
      </c>
      <c r="BA22" t="n">
        <v>736.4</v>
      </c>
      <c r="BB22" t="n">
        <v>761.6</v>
      </c>
      <c r="BC22" t="n">
        <v>740.2</v>
      </c>
      <c r="BD22" t="n">
        <v>699.2</v>
      </c>
      <c r="BE22" t="n">
        <v>741.6</v>
      </c>
      <c r="BF22" t="n">
        <v>712.4</v>
      </c>
      <c r="BG22" t="n">
        <v>707.7</v>
      </c>
      <c r="BH22" t="n">
        <v>720.7</v>
      </c>
      <c r="BI22" t="n">
        <v>773.5</v>
      </c>
      <c r="BJ22" t="n">
        <v>845.2</v>
      </c>
    </row>
    <row r="24">
      <c r="A24" s="3" t="inlineStr">
        <is>
          <t>Cash Flow Summary (£m)</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M25" s="4" t="inlineStr">
        <is>
          <t>FY2015</t>
        </is>
      </c>
      <c r="N25" s="4" t="inlineStr">
        <is>
          <t>FY2014</t>
        </is>
      </c>
      <c r="BN25" t="inlineStr">
        <is>
          <t>FY2014</t>
        </is>
      </c>
      <c r="BO25" t="inlineStr">
        <is>
          <t>FY2015</t>
        </is>
      </c>
      <c r="BP25" t="inlineStr">
        <is>
          <t>FY2016</t>
        </is>
      </c>
      <c r="BQ25" t="inlineStr">
        <is>
          <t>FY2017</t>
        </is>
      </c>
      <c r="BR25" t="inlineStr">
        <is>
          <t>FY2018</t>
        </is>
      </c>
      <c r="BS25" t="inlineStr">
        <is>
          <t>FY2019</t>
        </is>
      </c>
      <c r="BT25" t="inlineStr">
        <is>
          <t>FY2020</t>
        </is>
      </c>
      <c r="BU25" t="inlineStr">
        <is>
          <t>FY2021</t>
        </is>
      </c>
      <c r="BV25" t="inlineStr">
        <is>
          <t>FY2022</t>
        </is>
      </c>
      <c r="BW25" t="inlineStr">
        <is>
          <t>FY2023</t>
        </is>
      </c>
      <c r="BX25" t="inlineStr">
        <is>
          <t>FY2024</t>
        </is>
      </c>
      <c r="BY25" t="inlineStr">
        <is>
          <t>FY2025</t>
        </is>
      </c>
      <c r="BZ25" t="inlineStr">
        <is>
          <t>FY2026</t>
        </is>
      </c>
    </row>
    <row r="26">
      <c r="A26" s="5" t="inlineStr">
        <is>
          <t>Net cash flow from operating activities</t>
        </is>
      </c>
      <c r="B26" s="5" t="n">
        <v>417.7</v>
      </c>
      <c r="C26" s="5" t="n">
        <v>-92.5</v>
      </c>
      <c r="D26" s="5" t="n">
        <v>216.7</v>
      </c>
      <c r="E26" s="5" t="n">
        <v>25.3</v>
      </c>
      <c r="F26" s="5" t="n">
        <v>384.9</v>
      </c>
      <c r="G26" s="5" t="n">
        <v>-485.7</v>
      </c>
      <c r="H26" s="5" t="n"/>
      <c r="I26" s="5" t="n"/>
      <c r="J26" s="5" t="n"/>
      <c r="K26" s="5" t="n"/>
      <c r="L26" s="5" t="n"/>
      <c r="M26" s="5" t="n"/>
      <c r="N26" s="5" t="n"/>
      <c r="BM26" t="inlineStr">
        <is>
          <t>Net cash flow from operating activities</t>
        </is>
      </c>
      <c r="BU26" t="n">
        <v>-485.7</v>
      </c>
      <c r="BV26" t="n">
        <v>384.9</v>
      </c>
      <c r="BW26" t="n">
        <v>25.3</v>
      </c>
      <c r="BX26" t="n">
        <v>216.7</v>
      </c>
      <c r="BY26" t="n">
        <v>-92.5</v>
      </c>
      <c r="BZ26" t="n">
        <v>417.7</v>
      </c>
    </row>
    <row r="27">
      <c r="A27" s="5" t="inlineStr">
        <is>
          <t>Net cash flows used in investing activities</t>
        </is>
      </c>
      <c r="B27" s="5" t="n">
        <v>-82.40000000000001</v>
      </c>
      <c r="C27" s="5" t="n">
        <v>-50</v>
      </c>
      <c r="D27" s="5" t="n">
        <v>-32.9</v>
      </c>
      <c r="E27" s="5" t="n">
        <v>-31.6</v>
      </c>
      <c r="F27" s="5" t="n">
        <v>-33</v>
      </c>
      <c r="G27" s="5" t="n">
        <v>-25.1</v>
      </c>
      <c r="H27" s="5" t="n"/>
      <c r="I27" s="5" t="n"/>
      <c r="J27" s="5" t="n"/>
      <c r="K27" s="5" t="n"/>
      <c r="L27" s="5" t="n"/>
      <c r="M27" s="5" t="n"/>
      <c r="N27" s="5" t="n"/>
      <c r="BM27" t="inlineStr">
        <is>
          <t>Net cash flows used in investing activities</t>
        </is>
      </c>
      <c r="BU27" t="n">
        <v>-25.1</v>
      </c>
      <c r="BV27" t="n">
        <v>-33</v>
      </c>
      <c r="BW27" t="n">
        <v>-31.6</v>
      </c>
      <c r="BX27" t="n">
        <v>-32.9</v>
      </c>
      <c r="BY27" t="n">
        <v>-50</v>
      </c>
      <c r="BZ27" t="n">
        <v>-82.40000000000001</v>
      </c>
    </row>
    <row r="28">
      <c r="A28" s="5" t="inlineStr">
        <is>
          <t>Cash and cash equivalents at end of period</t>
        </is>
      </c>
      <c r="B28" s="5" t="n">
        <v>277.5</v>
      </c>
      <c r="C28" s="5" t="n">
        <v>175.7</v>
      </c>
      <c r="D28" s="5" t="n">
        <v>375.6</v>
      </c>
      <c r="E28" s="5" t="n">
        <v>417.2</v>
      </c>
      <c r="F28" s="5" t="n">
        <v>558.8</v>
      </c>
      <c r="G28" s="5" t="n">
        <v>337.5</v>
      </c>
      <c r="H28" s="5" t="n"/>
      <c r="I28" s="5" t="n"/>
      <c r="J28" s="5" t="n"/>
      <c r="K28" s="5" t="n"/>
      <c r="L28" s="5" t="n"/>
      <c r="M28" s="5" t="n"/>
      <c r="N28" s="5" t="n"/>
      <c r="BM28" t="inlineStr">
        <is>
          <t>Cash and cash equivalents at end of period</t>
        </is>
      </c>
      <c r="BU28" t="n">
        <v>337.5</v>
      </c>
      <c r="BV28" t="n">
        <v>558.8</v>
      </c>
      <c r="BW28" t="n">
        <v>417.2</v>
      </c>
      <c r="BX28" t="n">
        <v>375.6</v>
      </c>
      <c r="BY28" t="n">
        <v>175.7</v>
      </c>
      <c r="BZ28" t="n">
        <v>277.5</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c r="K31" s="4" t="inlineStr">
        <is>
          <t>FY2017</t>
        </is>
      </c>
      <c r="L31" s="4" t="inlineStr">
        <is>
          <t>FY2016</t>
        </is>
      </c>
      <c r="M31" s="4" t="inlineStr">
        <is>
          <t>FY2015</t>
        </is>
      </c>
      <c r="N31" s="4" t="inlineStr">
        <is>
          <t>FY2014</t>
        </is>
      </c>
    </row>
    <row r="32">
      <c r="A32" s="6" t="inlineStr">
        <is>
          <t>CET1 Ratio</t>
        </is>
      </c>
      <c r="B32" s="6" t="inlineStr">
        <is>
          <t>26.19%</t>
        </is>
      </c>
      <c r="C32" s="6" t="inlineStr">
        <is>
          <t>20.0%</t>
        </is>
      </c>
      <c r="D32" s="6" t="inlineStr">
        <is>
          <t>22.8%</t>
        </is>
      </c>
      <c r="E32" s="6" t="inlineStr">
        <is>
          <t>28.0%</t>
        </is>
      </c>
      <c r="F32" s="6" t="inlineStr">
        <is>
          <t>31.14%</t>
        </is>
      </c>
      <c r="G32" s="6" t="inlineStr">
        <is>
          <t>31.12%</t>
        </is>
      </c>
      <c r="H32" s="6" t="inlineStr">
        <is>
          <t>20.02%</t>
        </is>
      </c>
      <c r="I32" s="6" t="inlineStr">
        <is>
          <t>27.8%</t>
        </is>
      </c>
      <c r="J32" s="6" t="inlineStr">
        <is>
          <t>30.6%</t>
        </is>
      </c>
      <c r="K32" s="6" t="inlineStr">
        <is>
          <t>32.9%</t>
        </is>
      </c>
      <c r="L32" s="6" t="inlineStr">
        <is>
          <t>36.4%</t>
        </is>
      </c>
      <c r="M32" s="6" t="inlineStr">
        <is>
          <t>49.5%</t>
        </is>
      </c>
      <c r="N32" s="6" t="inlineStr">
        <is>
          <t>50.3%</t>
        </is>
      </c>
    </row>
    <row r="33">
      <c r="A33" s="6" t="inlineStr">
        <is>
          <t>Leverage Ratio</t>
        </is>
      </c>
      <c r="B33" s="6" t="inlineStr">
        <is>
          <t>4.43%</t>
        </is>
      </c>
      <c r="C33" s="6" t="inlineStr">
        <is>
          <t>4.2%</t>
        </is>
      </c>
      <c r="D33" s="6" t="inlineStr">
        <is>
          <t>4.07%</t>
        </is>
      </c>
      <c r="E33" s="6" t="inlineStr">
        <is>
          <t>4.24%</t>
        </is>
      </c>
      <c r="F33" s="6" t="inlineStr">
        <is>
          <t>4.07%</t>
        </is>
      </c>
      <c r="G33" s="6" t="inlineStr">
        <is>
          <t>4.75%</t>
        </is>
      </c>
      <c r="H33" s="6" t="inlineStr">
        <is>
          <t>3.74%</t>
        </is>
      </c>
      <c r="I33" s="6" t="inlineStr">
        <is>
          <t>3.74%</t>
        </is>
      </c>
      <c r="J33" s="6" t="inlineStr">
        <is>
          <t>4.50%</t>
        </is>
      </c>
      <c r="K33" s="6" t="inlineStr">
        <is>
          <t>4.36%</t>
        </is>
      </c>
      <c r="L33" s="6" t="inlineStr">
        <is>
          <t>3.28%</t>
        </is>
      </c>
      <c r="M33" s="6" t="inlineStr">
        <is>
          <t>1.87%</t>
        </is>
      </c>
      <c r="N33" s="6" t="n"/>
    </row>
    <row r="35" ht="45" customHeight="1">
      <c r="A35" s="7" t="inlineStr">
        <is>
          <t>Note: Annual data; Consolidated Group basis FY2019-FY2025, Company-only basis FY2014-FY2018 (see the Balance Sheet sheet's REPORTING BASIS note). Cash flow totals are blank for FY2014-FY2020 (no cash flow statement prepared those years).</t>
        </is>
      </c>
    </row>
  </sheetData>
  <mergeCells count="1">
    <mergeCell ref="A35:N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Balance Sheet</t>
        </is>
      </c>
    </row>
    <row r="2">
      <c r="A2" s="2" t="inlineStr">
        <is>
          <t>Consolidated Group basis for FY2019-FY2025; Company-only basis for FY2014-FY2018 (see the 'REPORTING BASIS' source note). FY2021 shows a genuine structural difference from FY2022 onward: the standalone 'Subordinated liabilities' line was fully repaid during FY2022 (see the Cash Flow Statement's 'Net repayment of subordinated liabilities' row) and is absent from FY2022 onward; it was first issued in FY2016 and continued unbroken FY2016-FY2021. FY2014 (originally-filed UK GAAP, pre-FRS 102) combines several lines that later years disclose separately: 'Reverse repurchase agreements with banks' and 'Repurchase agreements with banks' each carry the FY2014 source's single undifferentiated repo total (not split by bank/customer counterparty - the 'with customers' rows are blank for FY2014 only); 'Derivative assets'/'Derivative liabilities' sum the FY2014 source's separate trading and risk-management derivative lines; 'Debt and other fixed income securities' carries the FY2014 source's combined 'Trading financial assets' line (equity shares not split out); 'Short trading positions' carries the FY2014 source's 'Trading financial liabilities' line; 'Other liabilities' includes the FY2014 source's separately-disclosed £2.3m defined benefit pension liability. FY2014 has no separate Cash/Shares in group undertakings/Intangible assets/Pension reserve lines (nil or not yet recognised as separate categories pre-FRS 102) - shown blank, not zero. HD-075: FY2008-FY2013 follow the same FY2014-style combined presentation (single 'Reverse repurchase agreements with banks'/'Repurchase agreements with banks' lines, combined 'Derivative assets'/'Derivative liabilities', 'Debt and other fixed income securities' carrying that year's combined trading financial assets total) since each year's own primary Balance Sheet presents them the same undifferentiated way; 'Equity shares' for FY2008-FY2013 carries that year's separately-disclosed 'Financial investments' note (unlisted equity securities designated at fair value) rather than a trading-book equity split, which those years don't disclose. 'Other liabilities' folds in each year's own separately-disclosed defined benefit pension liability where one exists (FY2010: £3.8m; FY2011: £0.9m; FY2008: £0.4m; nil FY2009/FY2012/FY2013). 'Subordinated liabilities' (£18.6m) appears only in FY2008 - fully repaid before FY2009's balance sheet date, not disclosed again until FY2016. FY2008/FY2009 Balance Sheet figures are Company-only (this Company did not present a separate Company P&amp;L those two years - see the REPORTING BASIS note). FY2011's own originally-filed balance sheet (not FY2012's later restated comparative) is used, following a disclosed voluntary change from trade-date to settlement-date accounting made during FY2012 - see the REPORTING BASIS note for the resulting break in 'Other assets'/'Debt and other fixed income securities' between FY2011 and FY2012. £m.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row>
    <row r="5">
      <c r="A5" s="6" t="inlineStr">
        <is>
          <t>Cash and balances at central banks</t>
        </is>
      </c>
      <c r="B5" s="6" t="n">
        <v>217</v>
      </c>
      <c r="C5" s="6" t="n">
        <v>115.5</v>
      </c>
      <c r="D5" s="6" t="n">
        <v>328.5</v>
      </c>
      <c r="E5" s="6" t="n">
        <v>370.4</v>
      </c>
      <c r="F5" s="6" t="n">
        <v>481</v>
      </c>
      <c r="G5" s="6" t="n">
        <v>227.5</v>
      </c>
      <c r="H5" s="6" t="n">
        <v>601</v>
      </c>
      <c r="I5" s="6" t="n">
        <v>3.3</v>
      </c>
      <c r="J5" s="6" t="n">
        <v>230.2</v>
      </c>
      <c r="K5" s="6" t="n">
        <v>112.5</v>
      </c>
      <c r="L5" s="6" t="n">
        <v>27.3</v>
      </c>
      <c r="M5" s="6" t="n"/>
      <c r="N5" s="6" t="n"/>
      <c r="O5" s="6" t="n"/>
      <c r="P5" s="6" t="n"/>
      <c r="Q5" s="6" t="n"/>
      <c r="R5" s="6" t="n"/>
      <c r="S5" s="6" t="n"/>
      <c r="T5" s="6" t="n"/>
    </row>
    <row r="6">
      <c r="A6" s="6" t="inlineStr">
        <is>
          <t>Loans and advances to banks</t>
        </is>
      </c>
      <c r="B6" s="6" t="n">
        <v>60.5</v>
      </c>
      <c r="C6" s="6" t="n">
        <v>60.2</v>
      </c>
      <c r="D6" s="6" t="n">
        <v>47.1</v>
      </c>
      <c r="E6" s="6" t="n">
        <v>46.8</v>
      </c>
      <c r="F6" s="6" t="n">
        <v>77.8</v>
      </c>
      <c r="G6" s="6" t="n">
        <v>110</v>
      </c>
      <c r="H6" s="6" t="n">
        <v>178.3</v>
      </c>
      <c r="I6" s="6" t="n">
        <v>143.6</v>
      </c>
      <c r="J6" s="6" t="n">
        <v>126.2</v>
      </c>
      <c r="K6" s="6" t="n">
        <v>166.4</v>
      </c>
      <c r="L6" s="6" t="n">
        <v>106.9</v>
      </c>
      <c r="M6" s="6" t="n">
        <v>95.90000000000001</v>
      </c>
      <c r="N6" s="6" t="n">
        <v>96.09999999999999</v>
      </c>
      <c r="O6" s="6" t="n">
        <v>43</v>
      </c>
      <c r="P6" s="6" t="n">
        <v>112.4</v>
      </c>
      <c r="Q6" s="6" t="n">
        <v>55.5</v>
      </c>
      <c r="R6" s="6" t="n">
        <v>186.8</v>
      </c>
      <c r="S6" s="6" t="n">
        <v>80.5</v>
      </c>
      <c r="T6" s="6" t="n">
        <v>38.2</v>
      </c>
    </row>
    <row r="7">
      <c r="A7" s="6" t="inlineStr">
        <is>
          <t>Loans and advances to customers</t>
        </is>
      </c>
      <c r="B7" s="6" t="n"/>
      <c r="C7" s="6" t="n"/>
      <c r="D7" s="6" t="n"/>
      <c r="E7" s="6" t="n"/>
      <c r="F7" s="6" t="n"/>
      <c r="G7" s="6" t="n"/>
      <c r="H7" s="6" t="n"/>
      <c r="I7" s="6" t="n"/>
      <c r="J7" s="6" t="n"/>
      <c r="K7" s="6" t="n"/>
      <c r="L7" s="6" t="n"/>
      <c r="M7" s="6" t="n">
        <v>3.2</v>
      </c>
      <c r="N7" s="6" t="n">
        <v>0.4</v>
      </c>
      <c r="O7" s="6" t="n">
        <v>0</v>
      </c>
      <c r="P7" s="6" t="n">
        <v>40.7</v>
      </c>
      <c r="Q7" s="6" t="n">
        <v>65.09999999999999</v>
      </c>
      <c r="R7" s="6" t="n">
        <v>117.3</v>
      </c>
      <c r="S7" s="6" t="n">
        <v>55.1</v>
      </c>
      <c r="T7" s="6" t="n">
        <v>9.1</v>
      </c>
    </row>
    <row r="8">
      <c r="A8" s="6" t="inlineStr">
        <is>
          <t>Reverse repurchase agreements with banks</t>
        </is>
      </c>
      <c r="B8" s="6" t="n">
        <v>2321.3</v>
      </c>
      <c r="C8" s="6" t="n">
        <v>4055.8</v>
      </c>
      <c r="D8" s="6" t="n">
        <v>5131</v>
      </c>
      <c r="E8" s="6" t="n">
        <v>5841.9</v>
      </c>
      <c r="F8" s="6" t="n">
        <v>3854.3</v>
      </c>
      <c r="G8" s="6" t="n">
        <v>2107.5</v>
      </c>
      <c r="H8" s="6" t="n">
        <v>963</v>
      </c>
      <c r="I8" s="6" t="n">
        <v>2052.7</v>
      </c>
      <c r="J8" s="6" t="n">
        <v>2756.6</v>
      </c>
      <c r="K8" s="6" t="n">
        <v>4091.3</v>
      </c>
      <c r="L8" s="6" t="n">
        <v>3268.7</v>
      </c>
      <c r="M8" s="6" t="n">
        <v>11535.2</v>
      </c>
      <c r="N8" s="6" t="n">
        <v>24398.2</v>
      </c>
      <c r="O8" s="6" t="n">
        <v>27598.4</v>
      </c>
      <c r="P8" s="6" t="n">
        <v>23596.2</v>
      </c>
      <c r="Q8" s="6" t="n">
        <v>24795.3</v>
      </c>
      <c r="R8" s="6" t="n">
        <v>29267.2</v>
      </c>
      <c r="S8" s="6" t="n">
        <v>15811.8</v>
      </c>
      <c r="T8" s="6" t="n">
        <v>19168.6</v>
      </c>
    </row>
    <row r="9">
      <c r="A9" s="6" t="inlineStr">
        <is>
          <t>Reverse repurchase agreements with customers</t>
        </is>
      </c>
      <c r="B9" s="6" t="n">
        <v>5981.7</v>
      </c>
      <c r="C9" s="6" t="n">
        <v>4587.1</v>
      </c>
      <c r="D9" s="6" t="n">
        <v>3059.6</v>
      </c>
      <c r="E9" s="6" t="n">
        <v>2303.5</v>
      </c>
      <c r="F9" s="6" t="n">
        <v>5417</v>
      </c>
      <c r="G9" s="6" t="n">
        <v>4288.6</v>
      </c>
      <c r="H9" s="6" t="n">
        <v>5895.2</v>
      </c>
      <c r="I9" s="6" t="n">
        <v>7204.8</v>
      </c>
      <c r="J9" s="6" t="n">
        <v>4636.4</v>
      </c>
      <c r="K9" s="6" t="n">
        <v>5106.9</v>
      </c>
      <c r="L9" s="6" t="n">
        <v>3176.7</v>
      </c>
      <c r="M9" s="6" t="n">
        <v>5083.7</v>
      </c>
      <c r="N9" s="6" t="n"/>
      <c r="O9" s="6" t="n"/>
      <c r="P9" s="6" t="n"/>
      <c r="Q9" s="6" t="n"/>
      <c r="R9" s="6" t="n"/>
      <c r="S9" s="6" t="n"/>
      <c r="T9" s="6" t="n"/>
    </row>
    <row r="10">
      <c r="A10" s="6" t="inlineStr">
        <is>
          <t>Debt and other fixed income securities</t>
        </is>
      </c>
      <c r="B10" s="6" t="n">
        <v>5327.2</v>
      </c>
      <c r="C10" s="6" t="n">
        <v>5644.9</v>
      </c>
      <c r="D10" s="6" t="n">
        <v>5463.7</v>
      </c>
      <c r="E10" s="6" t="n">
        <v>5087.2</v>
      </c>
      <c r="F10" s="6" t="n">
        <v>4772</v>
      </c>
      <c r="G10" s="6" t="n">
        <v>4261.9</v>
      </c>
      <c r="H10" s="6" t="n">
        <v>4998</v>
      </c>
      <c r="I10" s="6" t="n">
        <v>5087</v>
      </c>
      <c r="J10" s="6" t="n">
        <v>5248.4</v>
      </c>
      <c r="K10" s="6" t="n">
        <v>4054.6</v>
      </c>
      <c r="L10" s="6" t="n">
        <v>5268.4</v>
      </c>
      <c r="M10" s="6" t="n">
        <v>4191.1</v>
      </c>
      <c r="N10" s="6" t="n">
        <v>3907.2</v>
      </c>
      <c r="O10" s="6" t="n">
        <v>2857.7</v>
      </c>
      <c r="P10" s="6" t="n">
        <v>1421</v>
      </c>
      <c r="Q10" s="6" t="n">
        <v>1440.4</v>
      </c>
      <c r="R10" s="6" t="n">
        <v>926.1</v>
      </c>
      <c r="S10" s="6" t="n">
        <v>1421.5</v>
      </c>
      <c r="T10" s="6" t="n">
        <v>2361.2</v>
      </c>
    </row>
    <row r="11">
      <c r="A11" s="6" t="inlineStr">
        <is>
          <t>Equity shares</t>
        </is>
      </c>
      <c r="B11" s="6" t="n">
        <v>1</v>
      </c>
      <c r="C11" s="6" t="n">
        <v>2.6</v>
      </c>
      <c r="D11" s="6" t="n">
        <v>4.3</v>
      </c>
      <c r="E11" s="6" t="n">
        <v>6.1</v>
      </c>
      <c r="F11" s="6" t="n">
        <v>3.5</v>
      </c>
      <c r="G11" s="6" t="n">
        <v>1.8</v>
      </c>
      <c r="H11" s="6" t="n">
        <v>1.6</v>
      </c>
      <c r="I11" s="6" t="n">
        <v>1.2</v>
      </c>
      <c r="J11" s="6" t="n">
        <v>1.3</v>
      </c>
      <c r="K11" s="6" t="n">
        <v>1.5</v>
      </c>
      <c r="L11" s="6" t="n">
        <v>1</v>
      </c>
      <c r="M11" s="6" t="n">
        <v>6.3</v>
      </c>
      <c r="N11" s="6" t="n"/>
      <c r="O11" s="6" t="n">
        <v>59.4</v>
      </c>
      <c r="P11" s="6" t="n">
        <v>53.2</v>
      </c>
      <c r="Q11" s="6" t="n">
        <v>86.7</v>
      </c>
      <c r="R11" s="6" t="n">
        <v>82.7</v>
      </c>
      <c r="S11" s="6" t="n">
        <v>73.2</v>
      </c>
      <c r="T11" s="6" t="n">
        <v>78.09999999999999</v>
      </c>
    </row>
    <row r="12">
      <c r="A12" s="6" t="inlineStr">
        <is>
          <t>Derivative assets</t>
        </is>
      </c>
      <c r="B12" s="6" t="n">
        <v>9910.299999999999</v>
      </c>
      <c r="C12" s="6" t="n">
        <v>8520.1</v>
      </c>
      <c r="D12" s="6" t="n">
        <v>9707.700000000001</v>
      </c>
      <c r="E12" s="6" t="n">
        <v>13072.6</v>
      </c>
      <c r="F12" s="6" t="n">
        <v>6443.1</v>
      </c>
      <c r="G12" s="6" t="n">
        <v>6513.8</v>
      </c>
      <c r="H12" s="6" t="n">
        <v>11566.9</v>
      </c>
      <c r="I12" s="6" t="n">
        <v>4451.4</v>
      </c>
      <c r="J12" s="6" t="n">
        <v>2136.2</v>
      </c>
      <c r="K12" s="6" t="n">
        <v>1498.4</v>
      </c>
      <c r="L12" s="6" t="n">
        <v>424</v>
      </c>
      <c r="M12" s="6" t="n">
        <v>301.9</v>
      </c>
      <c r="N12" s="6" t="n">
        <v>204.7</v>
      </c>
      <c r="O12" s="6" t="n">
        <v>281.3</v>
      </c>
      <c r="P12" s="6" t="n">
        <v>382.7</v>
      </c>
      <c r="Q12" s="6" t="n">
        <v>480.5</v>
      </c>
      <c r="R12" s="6" t="n">
        <v>828.6</v>
      </c>
      <c r="S12" s="6" t="n">
        <v>1925.9</v>
      </c>
      <c r="T12" s="6" t="n">
        <v>1468.7</v>
      </c>
    </row>
    <row r="13">
      <c r="A13" s="6" t="inlineStr">
        <is>
          <t>Shares in group undertakings</t>
        </is>
      </c>
      <c r="B13" s="6" t="n">
        <v>29.8</v>
      </c>
      <c r="C13" s="6" t="n">
        <v>17.6</v>
      </c>
      <c r="D13" s="6" t="n">
        <v>13.2</v>
      </c>
      <c r="E13" s="6" t="n">
        <v>9.9</v>
      </c>
      <c r="F13" s="6" t="n">
        <v>8.1</v>
      </c>
      <c r="G13" s="6" t="n">
        <v>6.8</v>
      </c>
      <c r="H13" s="6" t="n">
        <v>7</v>
      </c>
      <c r="I13" s="6" t="n">
        <v>8.6</v>
      </c>
      <c r="J13" s="6" t="n">
        <v>6</v>
      </c>
      <c r="K13" s="6" t="n">
        <v>5.8</v>
      </c>
      <c r="L13" s="6" t="n">
        <v>3.8</v>
      </c>
      <c r="M13" s="6" t="n">
        <v>3.6</v>
      </c>
      <c r="N13" s="6" t="n"/>
      <c r="O13" s="6" t="n"/>
      <c r="P13" s="6" t="n"/>
      <c r="Q13" s="6" t="n"/>
      <c r="R13" s="6" t="n"/>
      <c r="S13" s="6" t="n"/>
      <c r="T13" s="6" t="n"/>
    </row>
    <row r="14">
      <c r="A14" s="6" t="inlineStr">
        <is>
          <t>Intangible assets</t>
        </is>
      </c>
      <c r="B14" s="6" t="n">
        <v>160.4</v>
      </c>
      <c r="C14" s="6" t="n">
        <v>96.3</v>
      </c>
      <c r="D14" s="6" t="n">
        <v>76.7</v>
      </c>
      <c r="E14" s="6" t="n">
        <v>73.7</v>
      </c>
      <c r="F14" s="6" t="n">
        <v>66.2</v>
      </c>
      <c r="G14" s="6" t="n">
        <v>63.2</v>
      </c>
      <c r="H14" s="6" t="n">
        <v>67.8</v>
      </c>
      <c r="I14" s="6" t="n">
        <v>73.2</v>
      </c>
      <c r="J14" s="6" t="n">
        <v>66</v>
      </c>
      <c r="K14" s="6" t="n">
        <v>71.5</v>
      </c>
      <c r="L14" s="6" t="n">
        <v>61.6</v>
      </c>
      <c r="M14" s="6" t="n">
        <v>47.6</v>
      </c>
      <c r="N14" s="6" t="n"/>
      <c r="O14" s="6" t="n"/>
      <c r="P14" s="6" t="n"/>
      <c r="Q14" s="6" t="n"/>
      <c r="R14" s="6" t="n"/>
      <c r="S14" s="6" t="n"/>
      <c r="T14" s="6" t="n"/>
    </row>
    <row r="15">
      <c r="A15" s="6" t="inlineStr">
        <is>
          <t>Tangible fixed assets</t>
        </is>
      </c>
      <c r="B15" s="6" t="n">
        <v>21.6</v>
      </c>
      <c r="C15" s="6" t="n">
        <v>25.1</v>
      </c>
      <c r="D15" s="6" t="n">
        <v>27.1</v>
      </c>
      <c r="E15" s="6" t="n">
        <v>27.3</v>
      </c>
      <c r="F15" s="6" t="n">
        <v>29</v>
      </c>
      <c r="G15" s="6" t="n">
        <v>27</v>
      </c>
      <c r="H15" s="6" t="n">
        <v>27.9</v>
      </c>
      <c r="I15" s="6" t="n">
        <v>31.2</v>
      </c>
      <c r="J15" s="6" t="n">
        <v>31.1</v>
      </c>
      <c r="K15" s="6" t="n">
        <v>33.2</v>
      </c>
      <c r="L15" s="6" t="n">
        <v>28.4</v>
      </c>
      <c r="M15" s="6" t="n">
        <v>10.3</v>
      </c>
      <c r="N15" s="6" t="n">
        <v>12.7</v>
      </c>
      <c r="O15" s="6" t="n">
        <v>9</v>
      </c>
      <c r="P15" s="6" t="n">
        <v>11.3</v>
      </c>
      <c r="Q15" s="6" t="n">
        <v>10.1</v>
      </c>
      <c r="R15" s="6" t="n">
        <v>8.5</v>
      </c>
      <c r="S15" s="6" t="n">
        <v>13.1</v>
      </c>
      <c r="T15" s="6" t="n">
        <v>18.2</v>
      </c>
    </row>
    <row r="16">
      <c r="A16" s="6" t="inlineStr">
        <is>
          <t>Other assets</t>
        </is>
      </c>
      <c r="B16" s="6" t="n">
        <v>590.4</v>
      </c>
      <c r="C16" s="6" t="n">
        <v>559.8</v>
      </c>
      <c r="D16" s="6" t="n">
        <v>897.9</v>
      </c>
      <c r="E16" s="6" t="n">
        <v>449.5</v>
      </c>
      <c r="F16" s="6" t="n">
        <v>832.2</v>
      </c>
      <c r="G16" s="6" t="n">
        <v>517.6</v>
      </c>
      <c r="H16" s="6" t="n">
        <v>659.1</v>
      </c>
      <c r="I16" s="6" t="n">
        <v>236.4</v>
      </c>
      <c r="J16" s="6" t="n">
        <v>210.9</v>
      </c>
      <c r="K16" s="6" t="n">
        <v>193</v>
      </c>
      <c r="L16" s="6" t="n">
        <v>752.2</v>
      </c>
      <c r="M16" s="6" t="n">
        <v>159</v>
      </c>
      <c r="N16" s="6" t="n">
        <v>217.7</v>
      </c>
      <c r="O16" s="6" t="n">
        <v>159</v>
      </c>
      <c r="P16" s="6" t="n">
        <v>201.1</v>
      </c>
      <c r="Q16" s="6" t="n">
        <v>2786.9</v>
      </c>
      <c r="R16" s="6" t="n">
        <v>1983.5</v>
      </c>
      <c r="S16" s="6" t="n">
        <v>2360.3</v>
      </c>
      <c r="T16" s="6" t="n">
        <v>1534.4</v>
      </c>
    </row>
    <row r="17">
      <c r="A17" s="6" t="inlineStr">
        <is>
          <t>Prepayments and accrued income</t>
        </is>
      </c>
      <c r="B17" s="6" t="n">
        <v>220.3</v>
      </c>
      <c r="C17" s="6" t="n">
        <v>229.9</v>
      </c>
      <c r="D17" s="6" t="n">
        <v>177.1</v>
      </c>
      <c r="E17" s="6" t="n">
        <v>90</v>
      </c>
      <c r="F17" s="6" t="n">
        <v>74.7</v>
      </c>
      <c r="G17" s="6" t="n">
        <v>82.7</v>
      </c>
      <c r="H17" s="6" t="n">
        <v>79.3</v>
      </c>
      <c r="I17" s="6" t="n">
        <v>90.7</v>
      </c>
      <c r="J17" s="6" t="n">
        <v>68</v>
      </c>
      <c r="K17" s="6" t="n">
        <v>60.1</v>
      </c>
      <c r="L17" s="6" t="n">
        <v>73.8</v>
      </c>
      <c r="M17" s="6" t="n">
        <v>49.7</v>
      </c>
      <c r="N17" s="6" t="n">
        <v>46.2</v>
      </c>
      <c r="O17" s="6" t="n">
        <v>52</v>
      </c>
      <c r="P17" s="6" t="n">
        <v>54.5</v>
      </c>
      <c r="Q17" s="6" t="n">
        <v>61</v>
      </c>
      <c r="R17" s="6" t="n">
        <v>35.1</v>
      </c>
      <c r="S17" s="6" t="n">
        <v>73.8</v>
      </c>
      <c r="T17" s="6" t="n">
        <v>84.59999999999999</v>
      </c>
    </row>
    <row r="18">
      <c r="A18" s="5" t="inlineStr">
        <is>
          <t>Total Assets</t>
        </is>
      </c>
      <c r="B18" s="5" t="n">
        <v>24841.5</v>
      </c>
      <c r="C18" s="5" t="n">
        <v>23914.9</v>
      </c>
      <c r="D18" s="5" t="n">
        <v>24933.9</v>
      </c>
      <c r="E18" s="5" t="n">
        <v>27378.9</v>
      </c>
      <c r="F18" s="5" t="n">
        <v>22058.9</v>
      </c>
      <c r="G18" s="5" t="n">
        <v>18208.4</v>
      </c>
      <c r="H18" s="5" t="n">
        <v>25045.1</v>
      </c>
      <c r="I18" s="5" t="n">
        <v>19384.1</v>
      </c>
      <c r="J18" s="5" t="n">
        <v>15517.3</v>
      </c>
      <c r="K18" s="5" t="n">
        <v>15395.2</v>
      </c>
      <c r="L18" s="5" t="n">
        <v>13192.8</v>
      </c>
      <c r="M18" s="5" t="n">
        <v>21487.5</v>
      </c>
      <c r="N18" s="5" t="n">
        <v>28883.2</v>
      </c>
      <c r="O18" s="5" t="n">
        <v>31059.8</v>
      </c>
      <c r="P18" s="5" t="n">
        <v>25873.1</v>
      </c>
      <c r="Q18" s="5" t="n">
        <v>29781.5</v>
      </c>
      <c r="R18" s="5" t="n">
        <v>33435.8</v>
      </c>
      <c r="S18" s="5" t="n">
        <v>21815.2</v>
      </c>
      <c r="T18" s="5" t="n">
        <v>24761.1</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c r="S19" s="6" t="n"/>
      <c r="T19" s="6" t="n"/>
    </row>
    <row r="20">
      <c r="A20" s="6" t="inlineStr">
        <is>
          <t>Deposits by banks</t>
        </is>
      </c>
      <c r="B20" s="6" t="n">
        <v>625.3</v>
      </c>
      <c r="C20" s="6" t="n">
        <v>678.7</v>
      </c>
      <c r="D20" s="6" t="n">
        <v>519.1</v>
      </c>
      <c r="E20" s="6" t="n">
        <v>292.1</v>
      </c>
      <c r="F20" s="6" t="n">
        <v>1153.3</v>
      </c>
      <c r="G20" s="6" t="n">
        <v>285.5</v>
      </c>
      <c r="H20" s="6" t="n">
        <v>471.6</v>
      </c>
      <c r="I20" s="6" t="n">
        <v>196.2</v>
      </c>
      <c r="J20" s="6" t="n">
        <v>398</v>
      </c>
      <c r="K20" s="6" t="n">
        <v>318.9</v>
      </c>
      <c r="L20" s="6" t="n">
        <v>613.1</v>
      </c>
      <c r="M20" s="6" t="n">
        <v>655.7</v>
      </c>
      <c r="N20" s="6" t="n">
        <v>744.1</v>
      </c>
      <c r="O20" s="6" t="n">
        <v>724.2</v>
      </c>
      <c r="P20" s="6" t="n">
        <v>841.4</v>
      </c>
      <c r="Q20" s="6" t="n">
        <v>863.4</v>
      </c>
      <c r="R20" s="6" t="n">
        <v>727.3</v>
      </c>
      <c r="S20" s="6" t="n">
        <v>832.3</v>
      </c>
      <c r="T20" s="6" t="n">
        <v>741.2</v>
      </c>
    </row>
    <row r="21">
      <c r="A21" s="6" t="inlineStr">
        <is>
          <t>Customer accounts</t>
        </is>
      </c>
      <c r="B21" s="6" t="n">
        <v>553.8</v>
      </c>
      <c r="C21" s="6" t="n">
        <v>473.5</v>
      </c>
      <c r="D21" s="6" t="n">
        <v>707.5</v>
      </c>
      <c r="E21" s="6" t="n">
        <v>897.9</v>
      </c>
      <c r="F21" s="6" t="n">
        <v>295.7</v>
      </c>
      <c r="G21" s="6" t="n">
        <v>228.6</v>
      </c>
      <c r="H21" s="6" t="n">
        <v>909.7</v>
      </c>
      <c r="I21" s="6" t="n">
        <v>610</v>
      </c>
      <c r="J21" s="6" t="n">
        <v>337.8</v>
      </c>
      <c r="K21" s="6" t="n">
        <v>432</v>
      </c>
      <c r="L21" s="6" t="n">
        <v>310.2</v>
      </c>
      <c r="M21" s="6" t="n">
        <v>273.2</v>
      </c>
      <c r="N21" s="6" t="n">
        <v>294</v>
      </c>
      <c r="O21" s="6" t="n">
        <v>311.4</v>
      </c>
      <c r="P21" s="6" t="n">
        <v>124.5</v>
      </c>
      <c r="Q21" s="6" t="n">
        <v>137.4</v>
      </c>
      <c r="R21" s="6" t="n">
        <v>241.9</v>
      </c>
      <c r="S21" s="6" t="n">
        <v>29.4</v>
      </c>
      <c r="T21" s="6" t="n">
        <v>4.8</v>
      </c>
    </row>
    <row r="22">
      <c r="A22" s="6" t="inlineStr">
        <is>
          <t>Repurchase agreements with banks</t>
        </is>
      </c>
      <c r="B22" s="6" t="n">
        <v>6118.5</v>
      </c>
      <c r="C22" s="6" t="n">
        <v>4580.9</v>
      </c>
      <c r="D22" s="6" t="n">
        <v>3769.7</v>
      </c>
      <c r="E22" s="6" t="n">
        <v>1675.3</v>
      </c>
      <c r="F22" s="6" t="n">
        <v>1775.5</v>
      </c>
      <c r="G22" s="6" t="n">
        <v>1984.1</v>
      </c>
      <c r="H22" s="6" t="n">
        <v>1614.4</v>
      </c>
      <c r="I22" s="6" t="n">
        <v>1734.2</v>
      </c>
      <c r="J22" s="6" t="n">
        <v>1861.6</v>
      </c>
      <c r="K22" s="6" t="n">
        <v>2448.5</v>
      </c>
      <c r="L22" s="6" t="n">
        <v>2462.1</v>
      </c>
      <c r="M22" s="6" t="n">
        <v>3515.8</v>
      </c>
      <c r="N22" s="6" t="n">
        <v>23465.2</v>
      </c>
      <c r="O22" s="6" t="n">
        <v>27233</v>
      </c>
      <c r="P22" s="6" t="n">
        <v>21279.6</v>
      </c>
      <c r="Q22" s="6" t="n">
        <v>22658.3</v>
      </c>
      <c r="R22" s="6" t="n">
        <v>27548.1</v>
      </c>
      <c r="S22" s="6" t="n">
        <v>14302.6</v>
      </c>
      <c r="T22" s="6" t="n">
        <v>18464.7</v>
      </c>
    </row>
    <row r="23">
      <c r="A23" s="6" t="inlineStr">
        <is>
          <t>Repurchase agreements with customers</t>
        </is>
      </c>
      <c r="B23" s="6" t="n">
        <v>2872.6</v>
      </c>
      <c r="C23" s="6" t="n">
        <v>4078</v>
      </c>
      <c r="D23" s="6" t="n">
        <v>3425.7</v>
      </c>
      <c r="E23" s="6" t="n">
        <v>5231.3</v>
      </c>
      <c r="F23" s="6" t="n">
        <v>5799.8</v>
      </c>
      <c r="G23" s="6" t="n">
        <v>3133.7</v>
      </c>
      <c r="H23" s="6" t="n">
        <v>3638.8</v>
      </c>
      <c r="I23" s="6" t="n">
        <v>4572</v>
      </c>
      <c r="J23" s="6" t="n">
        <v>3301.7</v>
      </c>
      <c r="K23" s="6" t="n">
        <v>3779.3</v>
      </c>
      <c r="L23" s="6" t="n">
        <v>2992.4</v>
      </c>
      <c r="M23" s="6" t="n">
        <v>11966</v>
      </c>
      <c r="N23" s="6" t="n"/>
      <c r="O23" s="6" t="n"/>
      <c r="P23" s="6" t="n"/>
      <c r="Q23" s="6" t="n"/>
      <c r="R23" s="6" t="n"/>
      <c r="S23" s="6" t="n"/>
      <c r="T23" s="6" t="n"/>
    </row>
    <row r="24">
      <c r="A24" s="6" t="inlineStr">
        <is>
          <t>Debt securities in issue</t>
        </is>
      </c>
      <c r="B24" s="6" t="n">
        <v>994.4</v>
      </c>
      <c r="C24" s="6" t="n">
        <v>1292.3</v>
      </c>
      <c r="D24" s="6" t="n">
        <v>1395</v>
      </c>
      <c r="E24" s="6" t="n">
        <v>1616.5</v>
      </c>
      <c r="F24" s="6" t="n">
        <v>1760.1</v>
      </c>
      <c r="G24" s="6" t="n">
        <v>1851.6</v>
      </c>
      <c r="H24" s="6" t="n">
        <v>1776.6</v>
      </c>
      <c r="I24" s="6" t="n">
        <v>1453.2</v>
      </c>
      <c r="J24" s="6" t="n">
        <v>1773.3</v>
      </c>
      <c r="K24" s="6" t="n">
        <v>1387.9</v>
      </c>
      <c r="L24" s="6" t="n">
        <v>879.3</v>
      </c>
      <c r="M24" s="6" t="n">
        <v>1142.7</v>
      </c>
      <c r="N24" s="6" t="n">
        <v>976.6</v>
      </c>
      <c r="O24" s="6" t="n">
        <v>866.8</v>
      </c>
      <c r="P24" s="6" t="n">
        <v>1189.7</v>
      </c>
      <c r="Q24" s="6" t="n">
        <v>1350.3</v>
      </c>
      <c r="R24" s="6" t="n">
        <v>1468.3</v>
      </c>
      <c r="S24" s="6" t="n">
        <v>2051.2</v>
      </c>
      <c r="T24" s="6" t="n">
        <v>1514.5</v>
      </c>
    </row>
    <row r="25">
      <c r="A25" s="6" t="inlineStr">
        <is>
          <t>Short trading positions</t>
        </is>
      </c>
      <c r="B25" s="6" t="n">
        <v>2145.3</v>
      </c>
      <c r="C25" s="6" t="n">
        <v>2889.1</v>
      </c>
      <c r="D25" s="6" t="n">
        <v>3925.7</v>
      </c>
      <c r="E25" s="6" t="n">
        <v>3418.7</v>
      </c>
      <c r="F25" s="6" t="n">
        <v>3560.9</v>
      </c>
      <c r="G25" s="6" t="n">
        <v>3072.9</v>
      </c>
      <c r="H25" s="6" t="n">
        <v>3728.3</v>
      </c>
      <c r="I25" s="6" t="n">
        <v>5208.7</v>
      </c>
      <c r="J25" s="6" t="n">
        <v>4561.1</v>
      </c>
      <c r="K25" s="6" t="n">
        <v>4297.7</v>
      </c>
      <c r="L25" s="6" t="n">
        <v>4570.4</v>
      </c>
      <c r="M25" s="6" t="n">
        <v>2892.2</v>
      </c>
      <c r="N25" s="6" t="n">
        <v>2600.9</v>
      </c>
      <c r="O25" s="6" t="n">
        <v>1061.9</v>
      </c>
      <c r="P25" s="6" t="n">
        <v>1439.6</v>
      </c>
      <c r="Q25" s="6" t="n">
        <v>1317.2</v>
      </c>
      <c r="R25" s="6" t="n">
        <v>178</v>
      </c>
      <c r="S25" s="6" t="n">
        <v>148.3</v>
      </c>
      <c r="T25" s="6" t="n">
        <v>706.3</v>
      </c>
    </row>
    <row r="26">
      <c r="A26" s="6" t="inlineStr">
        <is>
          <t>Derivative liabilities</t>
        </is>
      </c>
      <c r="B26" s="6" t="n">
        <v>9801.299999999999</v>
      </c>
      <c r="C26" s="6" t="n">
        <v>8548.4</v>
      </c>
      <c r="D26" s="6" t="n">
        <v>9603.299999999999</v>
      </c>
      <c r="E26" s="6" t="n">
        <v>12833.5</v>
      </c>
      <c r="F26" s="6" t="n">
        <v>6422.7</v>
      </c>
      <c r="G26" s="6" t="n">
        <v>6481.2</v>
      </c>
      <c r="H26" s="6" t="n">
        <v>11514</v>
      </c>
      <c r="I26" s="6" t="n">
        <v>4285.1</v>
      </c>
      <c r="J26" s="6" t="n">
        <v>2030.6</v>
      </c>
      <c r="K26" s="6" t="n">
        <v>1433.1</v>
      </c>
      <c r="L26" s="6" t="n">
        <v>421.4</v>
      </c>
      <c r="M26" s="6" t="n">
        <v>250.9</v>
      </c>
      <c r="N26" s="6" t="n">
        <v>181.6</v>
      </c>
      <c r="O26" s="6" t="n">
        <v>283.6</v>
      </c>
      <c r="P26" s="6" t="n">
        <v>391.3</v>
      </c>
      <c r="Q26" s="6" t="n">
        <v>513.3</v>
      </c>
      <c r="R26" s="6" t="n">
        <v>920.8</v>
      </c>
      <c r="S26" s="6" t="n">
        <v>2563</v>
      </c>
      <c r="T26" s="6" t="n">
        <v>2021</v>
      </c>
    </row>
    <row r="27">
      <c r="A27" s="6" t="inlineStr">
        <is>
          <t>Other liabilities</t>
        </is>
      </c>
      <c r="B27" s="6" t="n">
        <v>603.3</v>
      </c>
      <c r="C27" s="6" t="n">
        <v>365.8</v>
      </c>
      <c r="D27" s="6" t="n">
        <v>651.2</v>
      </c>
      <c r="E27" s="6" t="n">
        <v>581.4</v>
      </c>
      <c r="F27" s="6" t="n">
        <v>452.1</v>
      </c>
      <c r="G27" s="6" t="n">
        <v>225.3</v>
      </c>
      <c r="H27" s="6" t="n">
        <v>504.3</v>
      </c>
      <c r="I27" s="6" t="n">
        <v>380.7</v>
      </c>
      <c r="J27" s="6" t="n">
        <v>296.2</v>
      </c>
      <c r="K27" s="6" t="n">
        <v>357.3</v>
      </c>
      <c r="L27" s="6" t="n">
        <v>307.3</v>
      </c>
      <c r="M27" s="6" t="n">
        <v>257.2</v>
      </c>
      <c r="N27" s="6" t="n">
        <v>95.3</v>
      </c>
      <c r="O27" s="6" t="n">
        <v>83.90000000000001</v>
      </c>
      <c r="P27" s="6" t="n">
        <v>116.2</v>
      </c>
      <c r="Q27" s="6" t="n">
        <v>2594.5</v>
      </c>
      <c r="R27" s="6" t="n">
        <v>1836.7</v>
      </c>
      <c r="S27" s="6" t="n">
        <v>1447.4</v>
      </c>
      <c r="T27" s="6" t="n">
        <v>602.4</v>
      </c>
    </row>
    <row r="28">
      <c r="A28" s="6" t="inlineStr">
        <is>
          <t>Accruals and deferred income</t>
        </is>
      </c>
      <c r="B28" s="6" t="n">
        <v>274</v>
      </c>
      <c r="C28" s="6" t="n">
        <v>234.5</v>
      </c>
      <c r="D28" s="6" t="n">
        <v>212.9</v>
      </c>
      <c r="E28" s="6" t="n">
        <v>120.5</v>
      </c>
      <c r="F28" s="6" t="n">
        <v>123.3</v>
      </c>
      <c r="G28" s="6" t="n">
        <v>155.4</v>
      </c>
      <c r="H28" s="6" t="n">
        <v>139</v>
      </c>
      <c r="I28" s="6" t="n">
        <v>153.6</v>
      </c>
      <c r="J28" s="6" t="n">
        <v>137.8</v>
      </c>
      <c r="K28" s="6" t="n">
        <v>141.7</v>
      </c>
      <c r="L28" s="6" t="n">
        <v>116.2</v>
      </c>
      <c r="M28" s="6" t="n">
        <v>79.40000000000001</v>
      </c>
      <c r="N28" s="6" t="n">
        <v>69.59999999999999</v>
      </c>
      <c r="O28" s="6" t="n">
        <v>52.7</v>
      </c>
      <c r="P28" s="6" t="n">
        <v>67.59999999999999</v>
      </c>
      <c r="Q28" s="6" t="n">
        <v>74.59999999999999</v>
      </c>
      <c r="R28" s="6" t="n">
        <v>89.5</v>
      </c>
      <c r="S28" s="6" t="n">
        <v>82.5</v>
      </c>
      <c r="T28" s="6" t="n">
        <v>162.1</v>
      </c>
    </row>
    <row r="29">
      <c r="A29" s="6" t="inlineStr">
        <is>
          <t>Provisions for liabilities</t>
        </is>
      </c>
      <c r="B29" s="6" t="n">
        <v>7.7</v>
      </c>
      <c r="C29" s="6" t="n">
        <v>0.2</v>
      </c>
      <c r="D29" s="6" t="n">
        <v>3.1</v>
      </c>
      <c r="E29" s="6" t="n">
        <v>4</v>
      </c>
      <c r="F29" s="6" t="n">
        <v>3.1</v>
      </c>
      <c r="G29" s="6" t="n">
        <v>3.3</v>
      </c>
      <c r="H29" s="6" t="n">
        <v>3.9</v>
      </c>
      <c r="I29" s="6" t="n">
        <v>4.9</v>
      </c>
      <c r="J29" s="6" t="n">
        <v>12.4</v>
      </c>
      <c r="K29" s="6" t="n">
        <v>17.2</v>
      </c>
      <c r="L29" s="6" t="n">
        <v>14.4</v>
      </c>
      <c r="M29" s="6" t="n">
        <v>12.8</v>
      </c>
      <c r="N29" s="6" t="n">
        <v>16.3</v>
      </c>
      <c r="O29" s="6" t="n">
        <v>17.2</v>
      </c>
      <c r="P29" s="6" t="n">
        <v>75.59999999999999</v>
      </c>
      <c r="Q29" s="6" t="n">
        <v>3</v>
      </c>
      <c r="R29" s="6" t="n">
        <v>3.4</v>
      </c>
      <c r="S29" s="6" t="n">
        <v>4.4</v>
      </c>
      <c r="T29" s="6" t="n">
        <v>13</v>
      </c>
    </row>
    <row r="30">
      <c r="A30" s="6" t="inlineStr">
        <is>
          <t>Subordinated liabilities</t>
        </is>
      </c>
      <c r="B30" s="6" t="n"/>
      <c r="C30" s="6" t="n"/>
      <c r="D30" s="6" t="n"/>
      <c r="E30" s="6" t="n"/>
      <c r="F30" s="6" t="n"/>
      <c r="G30" s="6" t="n">
        <v>45.2</v>
      </c>
      <c r="H30" s="6" t="n">
        <v>45.3</v>
      </c>
      <c r="I30" s="6" t="n">
        <v>45.3</v>
      </c>
      <c r="J30" s="6" t="n">
        <v>45.2</v>
      </c>
      <c r="K30" s="6" t="n">
        <v>45.2</v>
      </c>
      <c r="L30" s="6" t="n">
        <v>45.2</v>
      </c>
      <c r="M30" s="6" t="n"/>
      <c r="N30" s="6" t="n"/>
      <c r="O30" s="6" t="n"/>
      <c r="P30" s="6" t="n"/>
      <c r="Q30" s="6" t="n"/>
      <c r="R30" s="6" t="n"/>
      <c r="S30" s="6" t="n"/>
      <c r="T30" s="6" t="n">
        <v>18.6</v>
      </c>
    </row>
    <row r="31">
      <c r="A31" s="6" t="inlineStr">
        <is>
          <t>Pension liabilities</t>
        </is>
      </c>
      <c r="B31" s="6" t="n">
        <v>0.1</v>
      </c>
      <c r="C31" s="6" t="n"/>
      <c r="D31" s="6" t="n"/>
      <c r="E31" s="6" t="n"/>
      <c r="F31" s="6" t="n"/>
      <c r="G31" s="6" t="n"/>
      <c r="H31" s="6" t="n"/>
      <c r="I31" s="6" t="n"/>
      <c r="J31" s="6" t="n"/>
      <c r="K31" s="6" t="n"/>
      <c r="L31" s="6" t="n"/>
      <c r="M31" s="6" t="n"/>
      <c r="N31" s="6" t="n"/>
      <c r="O31" s="6" t="n"/>
      <c r="P31" s="6" t="n"/>
      <c r="Q31" s="6" t="n"/>
      <c r="R31" s="6" t="n"/>
      <c r="S31" s="6" t="n"/>
      <c r="T31" s="6" t="n"/>
    </row>
    <row r="32">
      <c r="A32" s="5" t="inlineStr">
        <is>
          <t>Total Liabilities</t>
        </is>
      </c>
      <c r="B32" s="5" t="n">
        <v>23996.3</v>
      </c>
      <c r="C32" s="5" t="n">
        <v>23141.4</v>
      </c>
      <c r="D32" s="5" t="n">
        <v>24213.2</v>
      </c>
      <c r="E32" s="5" t="n">
        <v>26671.2</v>
      </c>
      <c r="F32" s="5" t="n">
        <v>21346.5</v>
      </c>
      <c r="G32" s="5" t="n">
        <v>17466.8</v>
      </c>
      <c r="H32" s="5" t="n">
        <v>24345.9</v>
      </c>
      <c r="I32" s="5" t="n">
        <v>18643.9</v>
      </c>
      <c r="J32" s="5" t="n">
        <v>14755.7</v>
      </c>
      <c r="K32" s="5" t="n">
        <v>14658.8</v>
      </c>
      <c r="L32" s="5" t="n">
        <v>12732</v>
      </c>
      <c r="M32" s="5" t="n">
        <v>21045.9</v>
      </c>
      <c r="N32" s="5" t="n">
        <v>28443.6</v>
      </c>
      <c r="O32" s="5" t="n">
        <v>30634.7</v>
      </c>
      <c r="P32" s="5" t="n">
        <v>25525.5</v>
      </c>
      <c r="Q32" s="5" t="n">
        <v>29512</v>
      </c>
      <c r="R32" s="5" t="n">
        <v>33014</v>
      </c>
      <c r="S32" s="5" t="n">
        <v>21461.1</v>
      </c>
      <c r="T32" s="5" t="n">
        <v>24248.6</v>
      </c>
    </row>
    <row r="33">
      <c r="A33" s="5" t="inlineStr">
        <is>
          <t>Equity</t>
        </is>
      </c>
      <c r="B33" s="6" t="n"/>
      <c r="C33" s="6" t="n"/>
      <c r="D33" s="6" t="n"/>
      <c r="E33" s="6" t="n"/>
      <c r="F33" s="6" t="n"/>
      <c r="G33" s="6" t="n"/>
      <c r="H33" s="6" t="n"/>
      <c r="I33" s="6" t="n"/>
      <c r="J33" s="6" t="n"/>
      <c r="K33" s="6" t="n"/>
      <c r="L33" s="6" t="n"/>
      <c r="M33" s="6" t="n"/>
      <c r="N33" s="6" t="n"/>
      <c r="O33" s="6" t="n"/>
      <c r="P33" s="6" t="n"/>
      <c r="Q33" s="6" t="n"/>
      <c r="R33" s="6" t="n"/>
      <c r="S33" s="6" t="n"/>
      <c r="T33" s="6" t="n"/>
    </row>
    <row r="34">
      <c r="A34" s="6" t="inlineStr">
        <is>
          <t>Called up share capital</t>
        </is>
      </c>
      <c r="B34" s="6" t="n">
        <v>809.9</v>
      </c>
      <c r="C34" s="6" t="n">
        <v>754.9</v>
      </c>
      <c r="D34" s="6" t="n">
        <v>709.9</v>
      </c>
      <c r="E34" s="6" t="n">
        <v>709.9</v>
      </c>
      <c r="F34" s="6" t="n">
        <v>709.9</v>
      </c>
      <c r="G34" s="6" t="n">
        <v>709.9</v>
      </c>
      <c r="H34" s="6" t="n">
        <v>709.9</v>
      </c>
      <c r="I34" s="6" t="n">
        <v>709.9</v>
      </c>
      <c r="J34" s="6" t="n">
        <v>709.9</v>
      </c>
      <c r="K34" s="6" t="n">
        <v>709.9</v>
      </c>
      <c r="L34" s="6" t="n">
        <v>2875.3</v>
      </c>
      <c r="M34" s="6" t="n">
        <v>2840.3</v>
      </c>
      <c r="N34" s="6" t="n">
        <v>2840.3</v>
      </c>
      <c r="O34" s="6" t="n">
        <v>2795.3</v>
      </c>
      <c r="P34" s="6" t="n">
        <v>2712.3</v>
      </c>
      <c r="Q34" s="6" t="n">
        <v>2462.3</v>
      </c>
      <c r="R34" s="6" t="n">
        <v>2462.3</v>
      </c>
      <c r="S34" s="6" t="n">
        <v>2426.4</v>
      </c>
      <c r="T34" s="6" t="n">
        <v>2314.6</v>
      </c>
    </row>
    <row r="35">
      <c r="A35" s="6" t="inlineStr">
        <is>
          <t>Share premium account</t>
        </is>
      </c>
      <c r="B35" s="6" t="n">
        <v>15.6</v>
      </c>
      <c r="C35" s="6" t="n">
        <v>15.6</v>
      </c>
      <c r="D35" s="6" t="n">
        <v>15.6</v>
      </c>
      <c r="E35" s="6" t="n">
        <v>15.6</v>
      </c>
      <c r="F35" s="6" t="n">
        <v>15.6</v>
      </c>
      <c r="G35" s="6" t="n">
        <v>15.6</v>
      </c>
      <c r="H35" s="6" t="n">
        <v>15.6</v>
      </c>
      <c r="I35" s="6" t="n">
        <v>15.6</v>
      </c>
      <c r="J35" s="6" t="n">
        <v>15.6</v>
      </c>
      <c r="K35" s="6" t="n">
        <v>15.6</v>
      </c>
      <c r="L35" s="6" t="n">
        <v>15.6</v>
      </c>
      <c r="M35" s="6" t="n">
        <v>15.6</v>
      </c>
      <c r="N35" s="6" t="n">
        <v>15.6</v>
      </c>
      <c r="O35" s="6" t="n">
        <v>15.6</v>
      </c>
      <c r="P35" s="6" t="n">
        <v>15.6</v>
      </c>
      <c r="Q35" s="6" t="n">
        <v>15.6</v>
      </c>
      <c r="R35" s="6" t="n">
        <v>15.6</v>
      </c>
      <c r="S35" s="6" t="n">
        <v>15.6</v>
      </c>
      <c r="T35" s="6" t="n">
        <v>15.6</v>
      </c>
    </row>
    <row r="36">
      <c r="A36" s="6" t="inlineStr">
        <is>
          <t>Pension reserve</t>
        </is>
      </c>
      <c r="B36" s="6" t="n">
        <v>-7.4</v>
      </c>
      <c r="C36" s="6" t="n">
        <v>-7.1</v>
      </c>
      <c r="D36" s="6" t="n">
        <v>-6.8</v>
      </c>
      <c r="E36" s="6" t="n">
        <v>-6.5</v>
      </c>
      <c r="F36" s="6" t="n">
        <v>-6.2</v>
      </c>
      <c r="G36" s="6" t="n">
        <v>-5.9</v>
      </c>
      <c r="H36" s="6" t="n">
        <v>-5.9</v>
      </c>
      <c r="I36" s="6" t="n">
        <v>-5.6</v>
      </c>
      <c r="J36" s="6" t="n">
        <v>-3.7</v>
      </c>
      <c r="K36" s="6" t="n">
        <v>-1.3</v>
      </c>
      <c r="L36" s="6" t="n">
        <v>-16.8</v>
      </c>
      <c r="M36" s="6" t="n">
        <v>-16.4</v>
      </c>
      <c r="N36" s="6" t="n"/>
      <c r="O36" s="6" t="n"/>
      <c r="P36" s="6" t="n"/>
      <c r="Q36" s="6" t="n"/>
      <c r="R36" s="6" t="n"/>
      <c r="S36" s="6" t="n"/>
      <c r="T36" s="6" t="n"/>
    </row>
    <row r="37">
      <c r="A37" s="6" t="inlineStr">
        <is>
          <t>Other reserves</t>
        </is>
      </c>
      <c r="B37" s="6" t="n">
        <v>0</v>
      </c>
      <c r="C37" s="6" t="n">
        <v>-0.8</v>
      </c>
      <c r="D37" s="6" t="n">
        <v>-0.6</v>
      </c>
      <c r="E37" s="6" t="n">
        <v>-0.4</v>
      </c>
      <c r="F37" s="6" t="n">
        <v>-0.5</v>
      </c>
      <c r="G37" s="6" t="n">
        <v>-0.4</v>
      </c>
      <c r="H37" s="6" t="n"/>
      <c r="I37" s="6" t="n"/>
      <c r="J37" s="6" t="n"/>
      <c r="K37" s="6" t="n"/>
      <c r="L37" s="6" t="n"/>
      <c r="M37" s="6" t="n"/>
      <c r="N37" s="6" t="n"/>
      <c r="O37" s="6" t="n"/>
      <c r="P37" s="6" t="n"/>
      <c r="Q37" s="6" t="n"/>
      <c r="R37" s="6" t="n"/>
      <c r="S37" s="6" t="n"/>
      <c r="T37" s="6" t="n"/>
    </row>
    <row r="38">
      <c r="A38" s="6" t="inlineStr">
        <is>
          <t>Profit and loss account</t>
        </is>
      </c>
      <c r="B38" s="6" t="n">
        <v>27.1</v>
      </c>
      <c r="C38" s="6" t="n">
        <v>10.9</v>
      </c>
      <c r="D38" s="6" t="n">
        <v>2.6</v>
      </c>
      <c r="E38" s="6" t="n">
        <v>-10.9</v>
      </c>
      <c r="F38" s="6" t="n">
        <v>-6.4</v>
      </c>
      <c r="G38" s="6" t="n">
        <v>22.4</v>
      </c>
      <c r="H38" s="6" t="n">
        <v>-20.4</v>
      </c>
      <c r="I38" s="6" t="n">
        <v>20.3</v>
      </c>
      <c r="J38" s="6" t="n">
        <v>39.8</v>
      </c>
      <c r="K38" s="6" t="n">
        <v>12.2</v>
      </c>
      <c r="L38" s="6" t="n">
        <v>-2413.3</v>
      </c>
      <c r="M38" s="6" t="n">
        <v>-2397.9</v>
      </c>
      <c r="N38" s="6" t="n">
        <v>-2416.3</v>
      </c>
      <c r="O38" s="6" t="n">
        <v>-2385.8</v>
      </c>
      <c r="P38" s="6" t="n">
        <v>-2380.3</v>
      </c>
      <c r="Q38" s="6" t="n">
        <v>-2208.4</v>
      </c>
      <c r="R38" s="6" t="n">
        <v>-2056.1</v>
      </c>
      <c r="S38" s="6" t="n">
        <v>-2087.9</v>
      </c>
      <c r="T38" s="6" t="n">
        <v>-1817.7</v>
      </c>
    </row>
    <row r="39">
      <c r="A39" s="5" t="inlineStr">
        <is>
          <t>Total Equity</t>
        </is>
      </c>
      <c r="B39" s="5" t="n">
        <v>845.2</v>
      </c>
      <c r="C39" s="5" t="n">
        <v>773.5</v>
      </c>
      <c r="D39" s="5" t="n">
        <v>720.7</v>
      </c>
      <c r="E39" s="5" t="n">
        <v>707.7</v>
      </c>
      <c r="F39" s="5" t="n">
        <v>712.4</v>
      </c>
      <c r="G39" s="5" t="n">
        <v>741.6</v>
      </c>
      <c r="H39" s="5" t="n">
        <v>699.2</v>
      </c>
      <c r="I39" s="5" t="n">
        <v>740.2</v>
      </c>
      <c r="J39" s="5" t="n">
        <v>761.6</v>
      </c>
      <c r="K39" s="5" t="n">
        <v>736.4</v>
      </c>
      <c r="L39" s="5" t="n">
        <v>460.8</v>
      </c>
      <c r="M39" s="5" t="n">
        <v>441.6</v>
      </c>
      <c r="N39" s="5" t="n">
        <v>439.6</v>
      </c>
      <c r="O39" s="5" t="n">
        <v>425.1</v>
      </c>
      <c r="P39" s="5" t="n">
        <v>347.6</v>
      </c>
      <c r="Q39" s="5" t="n">
        <v>269.5</v>
      </c>
      <c r="R39" s="5" t="n">
        <v>421.8</v>
      </c>
      <c r="S39" s="5" t="n">
        <v>354.1</v>
      </c>
      <c r="T39" s="5" t="n">
        <v>512.5</v>
      </c>
    </row>
    <row r="40">
      <c r="A40" s="5" t="inlineStr">
        <is>
          <t>Total Liabilities and Equity</t>
        </is>
      </c>
      <c r="B40" s="5" t="n">
        <v>24841.5</v>
      </c>
      <c r="C40" s="5" t="n">
        <v>23914.9</v>
      </c>
      <c r="D40" s="5" t="n">
        <v>24933.9</v>
      </c>
      <c r="E40" s="5" t="n">
        <v>27378.9</v>
      </c>
      <c r="F40" s="5" t="n">
        <v>22058.9</v>
      </c>
      <c r="G40" s="5" t="n">
        <v>18208.4</v>
      </c>
      <c r="H40" s="5" t="n">
        <v>25045.1</v>
      </c>
      <c r="I40" s="5" t="n">
        <v>19384.1</v>
      </c>
      <c r="J40" s="5" t="n">
        <v>15517.3</v>
      </c>
      <c r="K40" s="5" t="n">
        <v>15395.2</v>
      </c>
      <c r="L40" s="5" t="n">
        <v>13192.8</v>
      </c>
      <c r="M40" s="5" t="n">
        <v>21487.5</v>
      </c>
      <c r="N40" s="5" t="n">
        <v>28883.2</v>
      </c>
      <c r="O40" s="5" t="n">
        <v>31059.8</v>
      </c>
      <c r="P40" s="5" t="n">
        <v>25873.1</v>
      </c>
      <c r="Q40" s="5" t="n">
        <v>29781.5</v>
      </c>
      <c r="R40" s="5" t="n">
        <v>33435.8</v>
      </c>
      <c r="S40" s="5" t="n">
        <v>21815.2</v>
      </c>
      <c r="T40" s="5" t="n">
        <v>24761.1</v>
      </c>
    </row>
    <row r="42" ht="260" customHeight="1">
      <c r="A42"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42:T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Profit &amp; Loss</t>
        </is>
      </c>
    </row>
    <row r="2">
      <c r="A2" s="2" t="inlineStr">
        <is>
          <t>Consolidated Group basis for FY2019-FY2025; Company-only basis for FY2014-FY2018 (see the 'REPORTING BASIS' source note). Re-measurement losses from defined benefit scheme were nil (not disclosed as a line) in FY2021; Provisions for liabilities was nil in FY2021 Company statement terms and is shown blank for FY2021 Consolidated as the report discloses no separate figure. FY2014-FY2020 did not disclose a separate FX translation line (shown blank, not zero). FY2014-FY2017 each disclosed a £nil tax charge/credit (shown here as 0, per each year's own source). HD-075: FY2008/FY2009 figures are Consolidated (the Company did not present its own P&amp;L those two years - a Companies Act exemption for a subsidiary whose consolidated P&amp;L is presented instead; see the REPORTING BASIS note); FY2010-FY2013 are Company-only. FY2011's original statement did not disclose a separate 'Interest payable' line at all (folded into 'Dealing profit' - shown blank here, not zero; FY2012's report separated it out for FY2011's restated comparative, but this project sources FY2011 from FY2011's own filing - see the REPORTING BASIS note). FY2010 disclosed £nil for Interest payable, Other operating income and Provisions for liabilities (shown as 0, not blank). 'Disposal of Custody business' (£28.2m, FY2013 only) reflects the sale of the Company's Custody business to Mizuho Trust &amp; Banking (Luxembourg) S.A., disclosed as a separate line between operating expenses and profit before tax in the FY2013 source. 'Valuation adjustments on available-for-sale financial investments released from equity' (£0.2m, FY2008 only) is a one-off item disclosed in the FY2008 Statement of Total Recognised Gains and Losses.</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row>
    <row r="5">
      <c r="A5" s="6" t="inlineStr">
        <is>
          <t>Interest receivable</t>
        </is>
      </c>
      <c r="B5" s="6" t="n">
        <v>22.4</v>
      </c>
      <c r="C5" s="6" t="n">
        <v>28.4</v>
      </c>
      <c r="D5" s="6" t="n">
        <v>33.3</v>
      </c>
      <c r="E5" s="6" t="n">
        <v>18.2</v>
      </c>
      <c r="F5" s="6" t="n">
        <v>7.5</v>
      </c>
      <c r="G5" s="6" t="n">
        <v>4</v>
      </c>
      <c r="H5" s="6" t="n">
        <v>3.1</v>
      </c>
      <c r="I5" s="6" t="n">
        <v>2.4</v>
      </c>
      <c r="J5" s="6" t="n">
        <v>1.4</v>
      </c>
      <c r="K5" s="6" t="n">
        <v>1.1</v>
      </c>
      <c r="L5" s="6" t="n">
        <v>0.6</v>
      </c>
      <c r="M5" s="6" t="n">
        <v>0.2</v>
      </c>
      <c r="N5" s="6" t="n">
        <v>0.5</v>
      </c>
      <c r="O5" s="6" t="n">
        <v>0.4</v>
      </c>
      <c r="P5" s="6" t="n">
        <v>0.4</v>
      </c>
      <c r="Q5" s="6" t="n">
        <v>3</v>
      </c>
      <c r="R5" s="6" t="n">
        <v>5.7</v>
      </c>
      <c r="S5" s="6" t="n">
        <v>18.9</v>
      </c>
      <c r="T5" s="6" t="n">
        <v>31.6</v>
      </c>
    </row>
    <row r="6">
      <c r="A6" s="6" t="inlineStr">
        <is>
          <t>Interest payable</t>
        </is>
      </c>
      <c r="B6" s="6" t="n">
        <v>-79.2</v>
      </c>
      <c r="C6" s="6" t="n">
        <v>-105.7</v>
      </c>
      <c r="D6" s="6" t="n">
        <v>-103.3</v>
      </c>
      <c r="E6" s="6" t="n">
        <v>-38.7</v>
      </c>
      <c r="F6" s="6" t="n">
        <v>-4</v>
      </c>
      <c r="G6" s="6" t="n">
        <v>-5.4</v>
      </c>
      <c r="H6" s="6" t="n">
        <v>-24.9</v>
      </c>
      <c r="I6" s="6" t="n">
        <v>-19.7</v>
      </c>
      <c r="J6" s="6" t="n">
        <v>-11.5</v>
      </c>
      <c r="K6" s="6" t="n">
        <v>-11.9</v>
      </c>
      <c r="L6" s="6" t="n">
        <v>-15.8</v>
      </c>
      <c r="M6" s="6" t="n">
        <v>-21.8</v>
      </c>
      <c r="N6" s="6" t="n">
        <v>-9.300000000000001</v>
      </c>
      <c r="O6" s="6" t="n">
        <v>-9.9</v>
      </c>
      <c r="P6" s="6" t="n">
        <v>-12.8</v>
      </c>
      <c r="Q6" s="6" t="n"/>
      <c r="R6" s="6" t="n">
        <v>0</v>
      </c>
      <c r="S6" s="6" t="n">
        <v>-0.3</v>
      </c>
      <c r="T6" s="6" t="n">
        <v>-2.9</v>
      </c>
    </row>
    <row r="7">
      <c r="A7" s="5" t="inlineStr">
        <is>
          <t>Net interest income/(expense)</t>
        </is>
      </c>
      <c r="B7" s="5" t="n">
        <v>-56.8</v>
      </c>
      <c r="C7" s="5" t="n">
        <v>-77.3</v>
      </c>
      <c r="D7" s="5" t="n">
        <v>-70</v>
      </c>
      <c r="E7" s="5" t="n">
        <v>-20.5</v>
      </c>
      <c r="F7" s="5" t="n">
        <v>3.5</v>
      </c>
      <c r="G7" s="5" t="n">
        <v>-1.4</v>
      </c>
      <c r="H7" s="5" t="n">
        <v>-21.8</v>
      </c>
      <c r="I7" s="5" t="n">
        <v>-17.3</v>
      </c>
      <c r="J7" s="5" t="n">
        <v>-10.1</v>
      </c>
      <c r="K7" s="5" t="n">
        <v>-10.8</v>
      </c>
      <c r="L7" s="5" t="n">
        <v>-15.2</v>
      </c>
      <c r="M7" s="5" t="n">
        <v>-21.6</v>
      </c>
      <c r="N7" s="5" t="n">
        <v>-8.800000000000001</v>
      </c>
      <c r="O7" s="5" t="n">
        <v>-9.5</v>
      </c>
      <c r="P7" s="5" t="n">
        <v>-12.4</v>
      </c>
      <c r="Q7" s="5" t="n">
        <v>3</v>
      </c>
      <c r="R7" s="5" t="n">
        <v>5.7</v>
      </c>
      <c r="S7" s="5" t="n">
        <v>18.6</v>
      </c>
      <c r="T7" s="5" t="n">
        <v>28.7</v>
      </c>
    </row>
    <row r="8">
      <c r="A8" s="6" t="inlineStr">
        <is>
          <t>Fees and commissions receivable</t>
        </is>
      </c>
      <c r="B8" s="6" t="n">
        <v>234.4</v>
      </c>
      <c r="C8" s="6" t="n">
        <v>198.7</v>
      </c>
      <c r="D8" s="6" t="n">
        <v>178.8</v>
      </c>
      <c r="E8" s="6" t="n">
        <v>132.1</v>
      </c>
      <c r="F8" s="6" t="n">
        <v>175.6</v>
      </c>
      <c r="G8" s="6" t="n">
        <v>182.4</v>
      </c>
      <c r="H8" s="6" t="n">
        <v>128.2</v>
      </c>
      <c r="I8" s="6" t="n">
        <v>153.1</v>
      </c>
      <c r="J8" s="6" t="n">
        <v>148.9</v>
      </c>
      <c r="K8" s="6" t="n">
        <v>140</v>
      </c>
      <c r="L8" s="6" t="n">
        <v>133.8</v>
      </c>
      <c r="M8" s="6" t="n">
        <v>91.8</v>
      </c>
      <c r="N8" s="6" t="n">
        <v>71.3</v>
      </c>
      <c r="O8" s="6" t="n">
        <v>42.1</v>
      </c>
      <c r="P8" s="6" t="n">
        <v>67.90000000000001</v>
      </c>
      <c r="Q8" s="6" t="n">
        <v>69.8</v>
      </c>
      <c r="R8" s="6" t="n">
        <v>69.8</v>
      </c>
      <c r="S8" s="6" t="n">
        <v>32.9</v>
      </c>
      <c r="T8" s="6" t="n">
        <v>32.7</v>
      </c>
    </row>
    <row r="9">
      <c r="A9" s="6" t="inlineStr">
        <is>
          <t>Fees and commissions payable</t>
        </is>
      </c>
      <c r="B9" s="6" t="n">
        <v>-112.9</v>
      </c>
      <c r="C9" s="6" t="n">
        <v>-76</v>
      </c>
      <c r="D9" s="6" t="n">
        <v>-71.90000000000001</v>
      </c>
      <c r="E9" s="6" t="n">
        <v>-53.4</v>
      </c>
      <c r="F9" s="6" t="n">
        <v>-91.3</v>
      </c>
      <c r="G9" s="6" t="n">
        <v>-99.5</v>
      </c>
      <c r="H9" s="6" t="n">
        <v>-56.6</v>
      </c>
      <c r="I9" s="6" t="n">
        <v>-73.90000000000001</v>
      </c>
      <c r="J9" s="6" t="n">
        <v>-65.2</v>
      </c>
      <c r="K9" s="6" t="n">
        <v>-58.1</v>
      </c>
      <c r="L9" s="6" t="n">
        <v>-82.09999999999999</v>
      </c>
      <c r="M9" s="6" t="n">
        <v>-43.5</v>
      </c>
      <c r="N9" s="6" t="n">
        <v>-28.5</v>
      </c>
      <c r="O9" s="6" t="n">
        <v>-28.8</v>
      </c>
      <c r="P9" s="6" t="n">
        <v>-36.6</v>
      </c>
      <c r="Q9" s="6" t="n">
        <v>-49.2</v>
      </c>
      <c r="R9" s="6" t="n">
        <v>-56.3</v>
      </c>
      <c r="S9" s="6" t="n">
        <v>-33.8</v>
      </c>
      <c r="T9" s="6" t="n">
        <v>-53.4</v>
      </c>
    </row>
    <row r="10">
      <c r="A10" s="5" t="inlineStr">
        <is>
          <t>Net fees and commissions</t>
        </is>
      </c>
      <c r="B10" s="5" t="n">
        <v>121.5</v>
      </c>
      <c r="C10" s="5" t="n">
        <v>122.7</v>
      </c>
      <c r="D10" s="5" t="n">
        <v>106.9</v>
      </c>
      <c r="E10" s="5" t="n">
        <v>78.7</v>
      </c>
      <c r="F10" s="5" t="n">
        <v>84.3</v>
      </c>
      <c r="G10" s="5" t="n">
        <v>82.90000000000001</v>
      </c>
      <c r="H10" s="5" t="n">
        <v>71.59999999999999</v>
      </c>
      <c r="I10" s="5" t="n">
        <v>79.2</v>
      </c>
      <c r="J10" s="5" t="n">
        <v>83.7</v>
      </c>
      <c r="K10" s="5" t="n">
        <v>81.90000000000001</v>
      </c>
      <c r="L10" s="5" t="n">
        <v>51.7</v>
      </c>
      <c r="M10" s="5" t="n">
        <v>48.3</v>
      </c>
      <c r="N10" s="5" t="n">
        <v>42.8</v>
      </c>
      <c r="O10" s="5" t="n">
        <v>13.3</v>
      </c>
      <c r="P10" s="5" t="n">
        <v>31.3</v>
      </c>
      <c r="Q10" s="5" t="n">
        <v>20.6</v>
      </c>
      <c r="R10" s="5" t="n">
        <v>13.5</v>
      </c>
      <c r="S10" s="5" t="n">
        <v>-0.9</v>
      </c>
      <c r="T10" s="5" t="n">
        <v>-20.7</v>
      </c>
    </row>
    <row r="11">
      <c r="A11" s="6" t="inlineStr">
        <is>
          <t>Dealing profit</t>
        </is>
      </c>
      <c r="B11" s="6" t="n">
        <v>161.1</v>
      </c>
      <c r="C11" s="6" t="n">
        <v>175.1</v>
      </c>
      <c r="D11" s="6" t="n">
        <v>204.9</v>
      </c>
      <c r="E11" s="6" t="n">
        <v>130.7</v>
      </c>
      <c r="F11" s="6" t="n">
        <v>77.09999999999999</v>
      </c>
      <c r="G11" s="6" t="n">
        <v>183.1</v>
      </c>
      <c r="H11" s="6" t="n">
        <v>107.4</v>
      </c>
      <c r="I11" s="6" t="n">
        <v>112.3</v>
      </c>
      <c r="J11" s="6" t="n">
        <v>161.3</v>
      </c>
      <c r="K11" s="6" t="n">
        <v>144.5</v>
      </c>
      <c r="L11" s="6" t="n">
        <v>101.6</v>
      </c>
      <c r="M11" s="6" t="n">
        <v>97.5</v>
      </c>
      <c r="N11" s="6" t="n">
        <v>53.5</v>
      </c>
      <c r="O11" s="6" t="n">
        <v>90</v>
      </c>
      <c r="P11" s="6" t="n">
        <v>-11</v>
      </c>
      <c r="Q11" s="6" t="n">
        <v>-41</v>
      </c>
      <c r="R11" s="6" t="n">
        <v>140.6</v>
      </c>
      <c r="S11" s="6" t="n">
        <v>-149.3</v>
      </c>
      <c r="T11" s="6" t="n">
        <v>-1850.4</v>
      </c>
    </row>
    <row r="12">
      <c r="A12" s="6" t="inlineStr">
        <is>
          <t>Other operating income</t>
        </is>
      </c>
      <c r="B12" s="6" t="n">
        <v>170.9</v>
      </c>
      <c r="C12" s="6" t="n">
        <v>152.9</v>
      </c>
      <c r="D12" s="6" t="n">
        <v>2.3</v>
      </c>
      <c r="E12" s="6" t="n">
        <v>5.5</v>
      </c>
      <c r="F12" s="6" t="n">
        <v>1.4</v>
      </c>
      <c r="G12" s="6" t="n">
        <v>0.5</v>
      </c>
      <c r="H12" s="6" t="n">
        <v>0.3</v>
      </c>
      <c r="I12" s="6" t="n">
        <v>0.4</v>
      </c>
      <c r="J12" s="6" t="n">
        <v>0.1</v>
      </c>
      <c r="K12" s="6" t="n">
        <v>4.7</v>
      </c>
      <c r="L12" s="6" t="n">
        <v>7.5</v>
      </c>
      <c r="M12" s="6" t="n">
        <v>7.6</v>
      </c>
      <c r="N12" s="6" t="n">
        <v>0.1</v>
      </c>
      <c r="O12" s="6" t="n">
        <v>0.1</v>
      </c>
      <c r="P12" s="6" t="n">
        <v>0.1</v>
      </c>
      <c r="Q12" s="6" t="n">
        <v>0.1</v>
      </c>
      <c r="R12" s="6" t="n">
        <v>0</v>
      </c>
      <c r="S12" s="6" t="n">
        <v>0.4</v>
      </c>
      <c r="T12" s="6" t="n">
        <v>2</v>
      </c>
    </row>
    <row r="13">
      <c r="A13" s="5" t="inlineStr">
        <is>
          <t>Net income from operations</t>
        </is>
      </c>
      <c r="B13" s="5" t="n">
        <v>396.7</v>
      </c>
      <c r="C13" s="5" t="n">
        <v>373.4</v>
      </c>
      <c r="D13" s="5" t="n">
        <v>244.1</v>
      </c>
      <c r="E13" s="5" t="n">
        <v>194.4</v>
      </c>
      <c r="F13" s="5" t="n">
        <v>166.3</v>
      </c>
      <c r="G13" s="5" t="n">
        <v>265.1</v>
      </c>
      <c r="H13" s="5" t="n">
        <v>157.5</v>
      </c>
      <c r="I13" s="5" t="n">
        <v>174.6</v>
      </c>
      <c r="J13" s="5" t="n">
        <v>235</v>
      </c>
      <c r="K13" s="5" t="n">
        <v>220.3</v>
      </c>
      <c r="L13" s="5" t="n">
        <v>145.6</v>
      </c>
      <c r="M13" s="5" t="n">
        <v>131.8</v>
      </c>
      <c r="N13" s="5" t="n">
        <v>87.59999999999999</v>
      </c>
      <c r="O13" s="5" t="n">
        <v>93.90000000000001</v>
      </c>
      <c r="P13" s="5" t="n">
        <v>8</v>
      </c>
      <c r="Q13" s="5" t="n">
        <v>-17.3</v>
      </c>
      <c r="R13" s="5" t="n">
        <v>159.8</v>
      </c>
      <c r="S13" s="5" t="n">
        <v>-131.2</v>
      </c>
      <c r="T13" s="5" t="n">
        <v>-1840.4</v>
      </c>
    </row>
    <row r="14">
      <c r="A14" s="6" t="inlineStr">
        <is>
          <t>Administrative expenses</t>
        </is>
      </c>
      <c r="B14" s="6" t="n">
        <v>-334.6</v>
      </c>
      <c r="C14" s="6" t="n">
        <v>-338.6</v>
      </c>
      <c r="D14" s="6" t="n">
        <v>-200.7</v>
      </c>
      <c r="E14" s="6" t="n">
        <v>-178.3</v>
      </c>
      <c r="F14" s="6" t="n">
        <v>-178.5</v>
      </c>
      <c r="G14" s="6" t="n">
        <v>-192</v>
      </c>
      <c r="H14" s="6" t="n">
        <v>-176.6</v>
      </c>
      <c r="I14" s="6" t="n">
        <v>-177.4</v>
      </c>
      <c r="J14" s="6" t="n">
        <v>-178.4</v>
      </c>
      <c r="K14" s="6" t="n">
        <v>-174.8</v>
      </c>
      <c r="L14" s="6" t="n">
        <v>-146.4</v>
      </c>
      <c r="M14" s="6" t="n">
        <v>-124</v>
      </c>
      <c r="N14" s="6" t="n">
        <v>-111.8</v>
      </c>
      <c r="O14" s="6" t="n">
        <v>-104.7</v>
      </c>
      <c r="P14" s="6" t="n">
        <v>-105.5</v>
      </c>
      <c r="Q14" s="6" t="n">
        <v>-134.6</v>
      </c>
      <c r="R14" s="6" t="n">
        <v>-120.9</v>
      </c>
      <c r="S14" s="6" t="n">
        <v>-128.5</v>
      </c>
      <c r="T14" s="6" t="n">
        <v>-183.8</v>
      </c>
    </row>
    <row r="15">
      <c r="A15" s="6" t="inlineStr">
        <is>
          <t>Depreciation and amortisation</t>
        </is>
      </c>
      <c r="B15" s="6" t="n">
        <v>-34.1</v>
      </c>
      <c r="C15" s="6" t="n">
        <v>-28.9</v>
      </c>
      <c r="D15" s="6" t="n">
        <v>-29.3</v>
      </c>
      <c r="E15" s="6" t="n">
        <v>-25.6</v>
      </c>
      <c r="F15" s="6" t="n">
        <v>-25.4</v>
      </c>
      <c r="G15" s="6" t="n">
        <v>-29.5</v>
      </c>
      <c r="H15" s="6" t="n">
        <v>-31.6</v>
      </c>
      <c r="I15" s="6" t="n">
        <v>-28.8</v>
      </c>
      <c r="J15" s="6" t="n">
        <v>-26.6</v>
      </c>
      <c r="K15" s="6" t="n">
        <v>-20.8</v>
      </c>
      <c r="L15" s="6" t="n">
        <v>-12.8</v>
      </c>
      <c r="M15" s="6" t="n">
        <v>-6.2</v>
      </c>
      <c r="N15" s="6" t="n">
        <v>-4.4</v>
      </c>
      <c r="O15" s="6" t="n">
        <v>-4.2</v>
      </c>
      <c r="P15" s="6" t="n">
        <v>-4.4</v>
      </c>
      <c r="Q15" s="6" t="n">
        <v>-3.9</v>
      </c>
      <c r="R15" s="6" t="n">
        <v>-5.1</v>
      </c>
      <c r="S15" s="6" t="n">
        <v>-6.2</v>
      </c>
      <c r="T15" s="6" t="n">
        <v>-6.6</v>
      </c>
    </row>
    <row r="16">
      <c r="A16" s="6" t="inlineStr">
        <is>
          <t>Provisions for liabilities</t>
        </is>
      </c>
      <c r="B16" s="6" t="n">
        <v>-7.5</v>
      </c>
      <c r="C16" s="6" t="n">
        <v>-0.1</v>
      </c>
      <c r="D16" s="6" t="n">
        <v>0.9</v>
      </c>
      <c r="E16" s="6" t="n">
        <v>-0.9</v>
      </c>
      <c r="F16" s="6" t="n"/>
      <c r="G16" s="6" t="n">
        <v>0.2</v>
      </c>
      <c r="H16" s="6" t="n">
        <v>0.6</v>
      </c>
      <c r="I16" s="6" t="n">
        <v>2.3</v>
      </c>
      <c r="J16" s="6" t="n">
        <v>-0.2</v>
      </c>
      <c r="K16" s="6" t="n">
        <v>-12.5</v>
      </c>
      <c r="L16" s="6" t="n">
        <v>-1.8</v>
      </c>
      <c r="M16" s="6" t="n">
        <v>3.3</v>
      </c>
      <c r="N16" s="6" t="n">
        <v>0.6</v>
      </c>
      <c r="O16" s="6" t="n">
        <v>-16.2</v>
      </c>
      <c r="P16" s="6" t="n">
        <v>-68.8</v>
      </c>
      <c r="Q16" s="6" t="n"/>
      <c r="R16" s="6" t="n">
        <v>0</v>
      </c>
      <c r="S16" s="6" t="n">
        <v>-1.4</v>
      </c>
      <c r="T16" s="6" t="n">
        <v>-8.699999999999999</v>
      </c>
    </row>
    <row r="17">
      <c r="A17" s="5" t="inlineStr">
        <is>
          <t>Operating expenses</t>
        </is>
      </c>
      <c r="B17" s="5" t="n">
        <v>-376.2</v>
      </c>
      <c r="C17" s="5" t="n">
        <v>-367.6</v>
      </c>
      <c r="D17" s="5" t="n">
        <v>-229.1</v>
      </c>
      <c r="E17" s="5" t="n">
        <v>-204.8</v>
      </c>
      <c r="F17" s="5" t="n">
        <v>-203.9</v>
      </c>
      <c r="G17" s="5" t="n">
        <v>-221.3</v>
      </c>
      <c r="H17" s="5" t="n">
        <v>-207.6</v>
      </c>
      <c r="I17" s="5" t="n">
        <v>-203.9</v>
      </c>
      <c r="J17" s="5" t="n">
        <v>-205.2</v>
      </c>
      <c r="K17" s="5" t="n">
        <v>-208.1</v>
      </c>
      <c r="L17" s="5" t="n">
        <v>-161</v>
      </c>
      <c r="M17" s="5" t="n">
        <v>-126.9</v>
      </c>
      <c r="N17" s="5" t="n">
        <v>-115.6</v>
      </c>
      <c r="O17" s="5" t="n">
        <v>-125.1</v>
      </c>
      <c r="P17" s="5" t="n">
        <v>-178.7</v>
      </c>
      <c r="Q17" s="5" t="n">
        <v>-138.5</v>
      </c>
      <c r="R17" s="5" t="n">
        <v>-126</v>
      </c>
      <c r="S17" s="5" t="n">
        <v>-136.1</v>
      </c>
      <c r="T17" s="5" t="n">
        <v>-199.1</v>
      </c>
    </row>
    <row r="18">
      <c r="A18" s="6" t="inlineStr">
        <is>
          <t>Disposal of Custody business</t>
        </is>
      </c>
      <c r="B18" s="6" t="n"/>
      <c r="C18" s="6" t="n"/>
      <c r="D18" s="6" t="n"/>
      <c r="E18" s="6" t="n"/>
      <c r="F18" s="6" t="n"/>
      <c r="G18" s="6" t="n"/>
      <c r="H18" s="6" t="n"/>
      <c r="I18" s="6" t="n"/>
      <c r="J18" s="6" t="n"/>
      <c r="K18" s="6" t="n"/>
      <c r="L18" s="6" t="n"/>
      <c r="M18" s="6" t="n"/>
      <c r="N18" s="6" t="n"/>
      <c r="O18" s="6" t="n">
        <v>28.2</v>
      </c>
      <c r="P18" s="6" t="n"/>
      <c r="Q18" s="6" t="n"/>
      <c r="R18" s="6" t="n"/>
      <c r="S18" s="6" t="n"/>
      <c r="T18" s="6" t="n"/>
    </row>
    <row r="19">
      <c r="A19" s="5" t="inlineStr">
        <is>
          <t>Profit/(loss) on ordinary activities before taxation</t>
        </is>
      </c>
      <c r="B19" s="5" t="n">
        <v>20.5</v>
      </c>
      <c r="C19" s="5" t="n">
        <v>5.8</v>
      </c>
      <c r="D19" s="5" t="n">
        <v>15</v>
      </c>
      <c r="E19" s="5" t="n">
        <v>-10.4</v>
      </c>
      <c r="F19" s="5" t="n">
        <v>-37.6</v>
      </c>
      <c r="G19" s="5" t="n">
        <v>43.8</v>
      </c>
      <c r="H19" s="5" t="n">
        <v>-50.1</v>
      </c>
      <c r="I19" s="5" t="n">
        <v>-29.3</v>
      </c>
      <c r="J19" s="5" t="n">
        <v>29.8</v>
      </c>
      <c r="K19" s="5" t="n">
        <v>12.2</v>
      </c>
      <c r="L19" s="5" t="n">
        <v>-15.4</v>
      </c>
      <c r="M19" s="5" t="n">
        <v>4.9</v>
      </c>
      <c r="N19" s="5" t="n">
        <v>-28</v>
      </c>
      <c r="O19" s="5" t="n">
        <v>-3</v>
      </c>
      <c r="P19" s="5" t="n">
        <v>-170.7</v>
      </c>
      <c r="Q19" s="5" t="n">
        <v>-155.8</v>
      </c>
      <c r="R19" s="5" t="n">
        <v>33.8</v>
      </c>
      <c r="S19" s="5" t="n">
        <v>-267.3</v>
      </c>
      <c r="T19" s="5" t="n">
        <v>-2039.5</v>
      </c>
    </row>
    <row r="20">
      <c r="A20" s="6" t="inlineStr">
        <is>
          <t>Tax credit/(charge) on profit/(loss) on ordinary activities</t>
        </is>
      </c>
      <c r="B20" s="6" t="n">
        <v>-3.5</v>
      </c>
      <c r="C20" s="6" t="n">
        <v>1.4</v>
      </c>
      <c r="D20" s="6" t="n">
        <v>-1.5</v>
      </c>
      <c r="E20" s="6" t="n">
        <v>5.9</v>
      </c>
      <c r="F20" s="6" t="n">
        <v>8.800000000000001</v>
      </c>
      <c r="G20" s="6" t="n">
        <v>-1</v>
      </c>
      <c r="H20" s="6" t="n">
        <v>9.4</v>
      </c>
      <c r="I20" s="6" t="n">
        <v>9.800000000000001</v>
      </c>
      <c r="J20" s="6" t="n">
        <v>-2.2</v>
      </c>
      <c r="K20" s="6" t="n">
        <v>0</v>
      </c>
      <c r="L20" s="6" t="n">
        <v>0</v>
      </c>
      <c r="M20" s="6" t="n">
        <v>0</v>
      </c>
      <c r="N20" s="6" t="n">
        <v>0</v>
      </c>
      <c r="O20" s="6" t="n">
        <v>0</v>
      </c>
      <c r="P20" s="6" t="n">
        <v>0.4</v>
      </c>
      <c r="Q20" s="6" t="n">
        <v>3</v>
      </c>
      <c r="R20" s="6" t="n">
        <v>1.4</v>
      </c>
      <c r="S20" s="6" t="n">
        <v>-0.2</v>
      </c>
      <c r="T20" s="6" t="n">
        <v>-1.2</v>
      </c>
    </row>
    <row r="21">
      <c r="A21" s="5" t="inlineStr">
        <is>
          <t>Profit/(loss) for the year</t>
        </is>
      </c>
      <c r="B21" s="5" t="n">
        <v>17</v>
      </c>
      <c r="C21" s="5" t="n">
        <v>7.2</v>
      </c>
      <c r="D21" s="5" t="n">
        <v>13.5</v>
      </c>
      <c r="E21" s="5" t="n">
        <v>-4.5</v>
      </c>
      <c r="F21" s="5" t="n">
        <v>-28.8</v>
      </c>
      <c r="G21" s="5" t="n">
        <v>42.8</v>
      </c>
      <c r="H21" s="5" t="n">
        <v>-40.7</v>
      </c>
      <c r="I21" s="5" t="n">
        <v>-19.5</v>
      </c>
      <c r="J21" s="5" t="n">
        <v>27.6</v>
      </c>
      <c r="K21" s="5" t="n">
        <v>12.2</v>
      </c>
      <c r="L21" s="5" t="n">
        <v>-15.4</v>
      </c>
      <c r="M21" s="5" t="n">
        <v>4.9</v>
      </c>
      <c r="N21" s="5" t="n">
        <v>-28</v>
      </c>
      <c r="O21" s="5" t="n">
        <v>-3</v>
      </c>
      <c r="P21" s="5" t="n">
        <v>-170.3</v>
      </c>
      <c r="Q21" s="5" t="n">
        <v>-152.8</v>
      </c>
      <c r="R21" s="5" t="n">
        <v>35.2</v>
      </c>
      <c r="S21" s="5" t="n">
        <v>-267.5</v>
      </c>
      <c r="T21" s="5" t="n">
        <v>-2040.7</v>
      </c>
    </row>
    <row r="22">
      <c r="A22" s="5" t="inlineStr">
        <is>
          <t>Other comprehensive income/(loss)</t>
        </is>
      </c>
      <c r="B22" s="6" t="n"/>
      <c r="C22" s="6" t="n"/>
      <c r="D22" s="6" t="n"/>
      <c r="E22" s="6" t="n"/>
      <c r="F22" s="6" t="n"/>
      <c r="G22" s="6" t="n"/>
      <c r="H22" s="6" t="n"/>
      <c r="I22" s="6" t="n"/>
      <c r="J22" s="6" t="n"/>
      <c r="K22" s="6" t="n"/>
      <c r="L22" s="6" t="n"/>
      <c r="M22" s="6" t="n"/>
      <c r="N22" s="6" t="n"/>
      <c r="O22" s="6" t="n"/>
      <c r="P22" s="6" t="n"/>
      <c r="Q22" s="6" t="n"/>
      <c r="R22" s="6" t="n"/>
      <c r="S22" s="6" t="n"/>
      <c r="T22" s="6" t="n"/>
    </row>
    <row r="23">
      <c r="A23" s="6" t="inlineStr">
        <is>
          <t>Re-measurement losses from defined benefit scheme</t>
        </is>
      </c>
      <c r="B23" s="6" t="n">
        <v>-0.3</v>
      </c>
      <c r="C23" s="6" t="n">
        <v>-0.3</v>
      </c>
      <c r="D23" s="6" t="n">
        <v>-0.3</v>
      </c>
      <c r="E23" s="6" t="n">
        <v>-0.3</v>
      </c>
      <c r="F23" s="6" t="n">
        <v>-0.3</v>
      </c>
      <c r="G23" s="6" t="n"/>
      <c r="H23" s="6" t="n">
        <v>-0.3</v>
      </c>
      <c r="I23" s="6" t="n">
        <v>-1.9</v>
      </c>
      <c r="J23" s="6" t="n">
        <v>-2.4</v>
      </c>
      <c r="K23" s="6" t="n">
        <v>-4.5</v>
      </c>
      <c r="L23" s="6" t="n">
        <v>-0.4</v>
      </c>
      <c r="M23" s="6" t="n">
        <v>-2.4</v>
      </c>
      <c r="N23" s="6" t="n">
        <v>-2.5</v>
      </c>
      <c r="O23" s="6" t="n">
        <v>-2.5</v>
      </c>
      <c r="P23" s="6" t="n">
        <v>-1.6</v>
      </c>
      <c r="Q23" s="6" t="n">
        <v>0.5</v>
      </c>
      <c r="R23" s="6" t="n">
        <v>-3.4</v>
      </c>
      <c r="S23" s="6" t="n">
        <v>-2.7</v>
      </c>
      <c r="T23" s="6" t="n">
        <v>-0.6</v>
      </c>
    </row>
    <row r="24">
      <c r="A24" s="6" t="inlineStr">
        <is>
          <t>FX translation gain/(loss) relating to net investment in subsidiary</t>
        </is>
      </c>
      <c r="B24" s="6" t="n">
        <v>0</v>
      </c>
      <c r="C24" s="6" t="n">
        <v>-0.2</v>
      </c>
      <c r="D24" s="6" t="n">
        <v>-0.2</v>
      </c>
      <c r="E24" s="6" t="n">
        <v>0.1</v>
      </c>
      <c r="F24" s="6" t="n">
        <v>-0.1</v>
      </c>
      <c r="G24" s="6" t="n">
        <v>-0.4</v>
      </c>
      <c r="H24" s="6" t="n"/>
      <c r="I24" s="6" t="n"/>
      <c r="J24" s="6" t="n"/>
      <c r="K24" s="6" t="n"/>
      <c r="L24" s="6" t="n"/>
      <c r="M24" s="6" t="n"/>
      <c r="N24" s="6" t="n"/>
      <c r="O24" s="6" t="n"/>
      <c r="P24" s="6" t="n"/>
      <c r="Q24" s="6" t="n"/>
      <c r="R24" s="6" t="n"/>
      <c r="S24" s="6" t="n"/>
      <c r="T24" s="6" t="n"/>
    </row>
    <row r="25">
      <c r="A25" s="6" t="inlineStr">
        <is>
          <t>Valuation adjustments on available-for-sale financial investments released from equity</t>
        </is>
      </c>
      <c r="B25" s="6" t="n"/>
      <c r="C25" s="6" t="n"/>
      <c r="D25" s="6" t="n"/>
      <c r="E25" s="6" t="n"/>
      <c r="F25" s="6" t="n"/>
      <c r="G25" s="6" t="n"/>
      <c r="H25" s="6" t="n"/>
      <c r="I25" s="6" t="n"/>
      <c r="J25" s="6" t="n"/>
      <c r="K25" s="6" t="n"/>
      <c r="L25" s="6" t="n"/>
      <c r="M25" s="6" t="n"/>
      <c r="N25" s="6" t="n"/>
      <c r="O25" s="6" t="n"/>
      <c r="P25" s="6" t="n"/>
      <c r="Q25" s="6" t="n"/>
      <c r="R25" s="6" t="n"/>
      <c r="S25" s="6" t="n"/>
      <c r="T25" s="6" t="n">
        <v>0.2</v>
      </c>
    </row>
    <row r="26">
      <c r="A26" s="5" t="inlineStr">
        <is>
          <t>Total comprehensive income/(loss) for the year</t>
        </is>
      </c>
      <c r="B26" s="5" t="n">
        <v>16.7</v>
      </c>
      <c r="C26" s="5" t="n">
        <v>6.7</v>
      </c>
      <c r="D26" s="5" t="n">
        <v>13</v>
      </c>
      <c r="E26" s="5" t="n">
        <v>-4.7</v>
      </c>
      <c r="F26" s="5" t="n">
        <v>-29.2</v>
      </c>
      <c r="G26" s="5" t="n">
        <v>42.4</v>
      </c>
      <c r="H26" s="5" t="n">
        <v>-41</v>
      </c>
      <c r="I26" s="5" t="n">
        <v>-21.4</v>
      </c>
      <c r="J26" s="5" t="n">
        <v>25.2</v>
      </c>
      <c r="K26" s="5" t="n">
        <v>7.7</v>
      </c>
      <c r="L26" s="5" t="n">
        <v>-15.8</v>
      </c>
      <c r="M26" s="5" t="n">
        <v>2.5</v>
      </c>
      <c r="N26" s="5" t="n">
        <v>-30.5</v>
      </c>
      <c r="O26" s="5" t="n">
        <v>-5.5</v>
      </c>
      <c r="P26" s="5" t="n">
        <v>-171.9</v>
      </c>
      <c r="Q26" s="5" t="n">
        <v>-152.3</v>
      </c>
      <c r="R26" s="5" t="n">
        <v>31.8</v>
      </c>
      <c r="S26" s="5" t="n">
        <v>-270.2</v>
      </c>
      <c r="T26" s="5" t="n">
        <v>-2041.1</v>
      </c>
    </row>
    <row r="28" ht="240" customHeight="1">
      <c r="A28"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28:T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2"/>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Mizuho International plc — Statement of Changes in Equity</t>
        </is>
      </c>
    </row>
    <row r="2">
      <c r="A2" s="2" t="inlineStr">
        <is>
          <t>Chronological roll-forward, oldest to newest. Consolidated Group basis FY2019 onward; Company-only basis FY2010-FY2018 (mixed Company-only Balance Sheet / Consolidated P&amp;L basis for FY2008-FY2009 - see the 'REPORTING BASIS' source note; Total Equity is unaffected by that mix, since it nets out on consolidation). £m. Equity reconciliation ladder confirmed: every year's own closing balance ties exactly to both the next year's own opening balance and that year's own Balance Sheet Total Equity across all 18 years (FY2008-FY2025), with one disclosed exception: a real ~£0.5m break between FY2014's closing position as originally filed (UK GAAP, Companies House) and the FRS102-restated FY2015 opening position shown in the FY2016 Annual Report - the 'FRS 102 transition adjustment' row makes that break explicit rather than silently plugging it. FY2025's Capital injection/Equity contribution/Transfer-to-P&amp;L rows relate to a capital raise and the release of a net dilapidation provision following termination of the Company's sub-lease, per the source's own explanatory note. The FY2017 'Share capital reduction' cancelled MHI's cumulative loss balance (135,000,000 JPY ordinary shares and £111,534,584 ordinary shares were cancelled per the source's own explanatory note). HD-075: FY2008-FY2013 fold each year's own separately-disclosed 'Pension reserve' equity component into the 'Profit and loss account' column (Pension reserve left blank, matching the immediately following 'At 1 April 2013' row's own convention) since each year's own primary Balance Sheet shows only one combined 'Profit and loss account' line - the underlying source notes (note 26/28 'Equity') disclose the pension split for readers who want it, but it plays no part in this sheet's own column totals. The FY2008 opening row (1 April 2007) and that year's large £2,057.0m share capital increase, £20.0m dividend paid, and £0.2m fair value reserve release are all sourced from the FY2008 filing's own Equity note (note 28), which also gives the FY2007 opening position used as this ladder's starting point. FY2011's closing row uses that year's own originally-filed figures.</t>
        </is>
      </c>
    </row>
    <row r="3">
      <c r="A3" s="4" t="inlineStr">
        <is>
          <t>Movement</t>
        </is>
      </c>
      <c r="B3" s="4" t="inlineStr">
        <is>
          <t>Share capital</t>
        </is>
      </c>
      <c r="C3" s="4" t="inlineStr">
        <is>
          <t>Share premium account</t>
        </is>
      </c>
      <c r="D3" s="4" t="inlineStr">
        <is>
          <t>Pension reserve</t>
        </is>
      </c>
      <c r="E3" s="4" t="inlineStr">
        <is>
          <t>Other reserves</t>
        </is>
      </c>
      <c r="F3" s="4" t="inlineStr">
        <is>
          <t>Profit and loss account</t>
        </is>
      </c>
      <c r="G3" s="4" t="inlineStr">
        <is>
          <t>Total equity</t>
        </is>
      </c>
    </row>
    <row r="4">
      <c r="A4" s="5" t="inlineStr">
        <is>
          <t>At 1 April 2007 (FY2008 opening)</t>
        </is>
      </c>
      <c r="B4" s="5" t="n">
        <v>257.6</v>
      </c>
      <c r="C4" s="5" t="n">
        <v>15.6</v>
      </c>
      <c r="D4" s="5" t="n"/>
      <c r="E4" s="5" t="n">
        <v>-0.2</v>
      </c>
      <c r="F4" s="5" t="n">
        <v>243.6</v>
      </c>
      <c r="G4" s="5" t="n">
        <v>516.6</v>
      </c>
    </row>
    <row r="5">
      <c r="A5" s="6" t="inlineStr">
        <is>
          <t>Increase in paid up share capital</t>
        </is>
      </c>
      <c r="B5" s="6" t="n">
        <v>2057</v>
      </c>
      <c r="C5" s="6" t="n"/>
      <c r="D5" s="6" t="n"/>
      <c r="E5" s="6" t="n"/>
      <c r="F5" s="6" t="n"/>
      <c r="G5" s="6" t="n">
        <v>2057</v>
      </c>
    </row>
    <row r="6">
      <c r="A6" s="6" t="inlineStr">
        <is>
          <t>Loss for the year</t>
        </is>
      </c>
      <c r="B6" s="6" t="n"/>
      <c r="C6" s="6" t="n"/>
      <c r="D6" s="6" t="n"/>
      <c r="E6" s="6" t="n"/>
      <c r="F6" s="6" t="n">
        <v>-2040.7</v>
      </c>
      <c r="G6" s="6" t="n">
        <v>-2040.7</v>
      </c>
    </row>
    <row r="7">
      <c r="A7" s="6" t="inlineStr">
        <is>
          <t>Dividends paid</t>
        </is>
      </c>
      <c r="B7" s="6" t="n"/>
      <c r="C7" s="6" t="n"/>
      <c r="D7" s="6" t="n"/>
      <c r="E7" s="6" t="n"/>
      <c r="F7" s="6" t="n">
        <v>-20</v>
      </c>
      <c r="G7" s="6" t="n">
        <v>-20</v>
      </c>
    </row>
    <row r="8">
      <c r="A8" s="6" t="inlineStr">
        <is>
          <t>Actuarial loss on defined benefit scheme and related deferred tax</t>
        </is>
      </c>
      <c r="B8" s="6" t="n"/>
      <c r="C8" s="6" t="n"/>
      <c r="D8" s="6" t="n"/>
      <c r="E8" s="6" t="n"/>
      <c r="F8" s="6" t="n">
        <v>-0.6</v>
      </c>
      <c r="G8" s="6" t="n">
        <v>-0.6</v>
      </c>
    </row>
    <row r="9">
      <c r="A9" s="6" t="inlineStr">
        <is>
          <t>Fair value reserve released</t>
        </is>
      </c>
      <c r="B9" s="6" t="n"/>
      <c r="C9" s="6" t="n"/>
      <c r="D9" s="6" t="n"/>
      <c r="E9" s="6" t="n">
        <v>0.2</v>
      </c>
      <c r="F9" s="6" t="n"/>
      <c r="G9" s="6" t="n">
        <v>0.2</v>
      </c>
    </row>
    <row r="10">
      <c r="A10" s="5" t="inlineStr">
        <is>
          <t>At 31 March 2008 (FY2008 closing)</t>
        </is>
      </c>
      <c r="B10" s="5" t="n">
        <v>2314.6</v>
      </c>
      <c r="C10" s="5" t="n">
        <v>15.6</v>
      </c>
      <c r="D10" s="5" t="n"/>
      <c r="E10" s="5" t="n">
        <v>0</v>
      </c>
      <c r="F10" s="5" t="n">
        <v>-1817.7</v>
      </c>
      <c r="G10" s="5" t="n">
        <v>512.5</v>
      </c>
    </row>
    <row r="11">
      <c r="A11" s="6" t="inlineStr">
        <is>
          <t>Increase in paid up share capital</t>
        </is>
      </c>
      <c r="B11" s="6" t="n">
        <v>111.8</v>
      </c>
      <c r="C11" s="6" t="n"/>
      <c r="D11" s="6" t="n"/>
      <c r="E11" s="6" t="n"/>
      <c r="F11" s="6" t="n"/>
      <c r="G11" s="6" t="n">
        <v>111.8</v>
      </c>
    </row>
    <row r="12">
      <c r="A12" s="6" t="inlineStr">
        <is>
          <t>Loss for the year</t>
        </is>
      </c>
      <c r="B12" s="6" t="n"/>
      <c r="C12" s="6" t="n"/>
      <c r="D12" s="6" t="n"/>
      <c r="E12" s="6" t="n"/>
      <c r="F12" s="6" t="n">
        <v>-267.5</v>
      </c>
      <c r="G12" s="6" t="n">
        <v>-267.5</v>
      </c>
    </row>
    <row r="13">
      <c r="A13" s="6" t="inlineStr">
        <is>
          <t>Actuarial loss on defined benefit scheme</t>
        </is>
      </c>
      <c r="B13" s="6" t="n"/>
      <c r="C13" s="6" t="n"/>
      <c r="D13" s="6" t="n"/>
      <c r="E13" s="6" t="n"/>
      <c r="F13" s="6" t="n">
        <v>-2.7</v>
      </c>
      <c r="G13" s="6" t="n">
        <v>-2.7</v>
      </c>
    </row>
    <row r="14">
      <c r="A14" s="5" t="inlineStr">
        <is>
          <t>At 31 March 2009 (FY2009 closing)</t>
        </is>
      </c>
      <c r="B14" s="5" t="n">
        <v>2426.4</v>
      </c>
      <c r="C14" s="5" t="n">
        <v>15.6</v>
      </c>
      <c r="D14" s="5" t="n"/>
      <c r="E14" s="5" t="n">
        <v>0</v>
      </c>
      <c r="F14" s="5" t="n">
        <v>-2087.9</v>
      </c>
      <c r="G14" s="5" t="n">
        <v>354.1</v>
      </c>
    </row>
    <row r="15">
      <c r="A15" s="6" t="inlineStr">
        <is>
          <t>Increase in paid up share capital</t>
        </is>
      </c>
      <c r="B15" s="6" t="n">
        <v>35.9</v>
      </c>
      <c r="C15" s="6" t="n"/>
      <c r="D15" s="6" t="n"/>
      <c r="E15" s="6" t="n"/>
      <c r="F15" s="6" t="n"/>
      <c r="G15" s="6" t="n">
        <v>35.9</v>
      </c>
    </row>
    <row r="16">
      <c r="A16" s="6" t="inlineStr">
        <is>
          <t>Profit for the year</t>
        </is>
      </c>
      <c r="B16" s="6" t="n"/>
      <c r="C16" s="6" t="n"/>
      <c r="D16" s="6" t="n"/>
      <c r="E16" s="6" t="n"/>
      <c r="F16" s="6" t="n">
        <v>35.2</v>
      </c>
      <c r="G16" s="6" t="n">
        <v>35.2</v>
      </c>
    </row>
    <row r="17">
      <c r="A17" s="6" t="inlineStr">
        <is>
          <t>Actuarial loss on defined benefit scheme</t>
        </is>
      </c>
      <c r="B17" s="6" t="n"/>
      <c r="C17" s="6" t="n"/>
      <c r="D17" s="6" t="n"/>
      <c r="E17" s="6" t="n"/>
      <c r="F17" s="6" t="n">
        <v>-3.4</v>
      </c>
      <c r="G17" s="6" t="n">
        <v>-3.4</v>
      </c>
    </row>
    <row r="18">
      <c r="A18" s="5" t="inlineStr">
        <is>
          <t>At 31 March 2010 (FY2010 closing)</t>
        </is>
      </c>
      <c r="B18" s="5" t="n">
        <v>2462.3</v>
      </c>
      <c r="C18" s="5" t="n">
        <v>15.6</v>
      </c>
      <c r="D18" s="5" t="n"/>
      <c r="E18" s="5" t="n">
        <v>0</v>
      </c>
      <c r="F18" s="5" t="n">
        <v>-2056.1</v>
      </c>
      <c r="G18" s="5" t="n">
        <v>421.8</v>
      </c>
    </row>
    <row r="19">
      <c r="A19" s="6" t="inlineStr">
        <is>
          <t>Loss for the year</t>
        </is>
      </c>
      <c r="B19" s="6" t="n"/>
      <c r="C19" s="6" t="n"/>
      <c r="D19" s="6" t="n"/>
      <c r="E19" s="6" t="n"/>
      <c r="F19" s="6" t="n">
        <v>-152.8</v>
      </c>
      <c r="G19" s="6" t="n">
        <v>-152.8</v>
      </c>
    </row>
    <row r="20">
      <c r="A20" s="6" t="inlineStr">
        <is>
          <t>Actuarial gain on defined benefit scheme</t>
        </is>
      </c>
      <c r="B20" s="6" t="n"/>
      <c r="C20" s="6" t="n"/>
      <c r="D20" s="6" t="n"/>
      <c r="E20" s="6" t="n"/>
      <c r="F20" s="6" t="n">
        <v>0.5</v>
      </c>
      <c r="G20" s="6" t="n">
        <v>0.5</v>
      </c>
    </row>
    <row r="21">
      <c r="A21" s="5" t="inlineStr">
        <is>
          <t>At 31 March 2011 (FY2011 closing, originally-filed trade-date basis)</t>
        </is>
      </c>
      <c r="B21" s="5" t="n">
        <v>2462.3</v>
      </c>
      <c r="C21" s="5" t="n">
        <v>15.6</v>
      </c>
      <c r="D21" s="5" t="n"/>
      <c r="E21" s="5" t="n">
        <v>0</v>
      </c>
      <c r="F21" s="5" t="n">
        <v>-2208.4</v>
      </c>
      <c r="G21" s="5" t="n">
        <v>269.5</v>
      </c>
    </row>
    <row r="22">
      <c r="A22" s="6" t="inlineStr">
        <is>
          <t>Increase in paid up share capital</t>
        </is>
      </c>
      <c r="B22" s="6" t="n">
        <v>250</v>
      </c>
      <c r="C22" s="6" t="n"/>
      <c r="D22" s="6" t="n"/>
      <c r="E22" s="6" t="n"/>
      <c r="F22" s="6" t="n"/>
      <c r="G22" s="6" t="n">
        <v>250</v>
      </c>
    </row>
    <row r="23">
      <c r="A23" s="6" t="inlineStr">
        <is>
          <t>Loss for the year</t>
        </is>
      </c>
      <c r="B23" s="6" t="n"/>
      <c r="C23" s="6" t="n"/>
      <c r="D23" s="6" t="n"/>
      <c r="E23" s="6" t="n"/>
      <c r="F23" s="6" t="n">
        <v>-170.3</v>
      </c>
      <c r="G23" s="6" t="n">
        <v>-170.3</v>
      </c>
    </row>
    <row r="24">
      <c r="A24" s="6" t="inlineStr">
        <is>
          <t>Actuarial loss on defined benefit scheme</t>
        </is>
      </c>
      <c r="B24" s="6" t="n"/>
      <c r="C24" s="6" t="n"/>
      <c r="D24" s="6" t="n"/>
      <c r="E24" s="6" t="n"/>
      <c r="F24" s="6" t="n">
        <v>-1.6</v>
      </c>
      <c r="G24" s="6" t="n">
        <v>-1.6</v>
      </c>
    </row>
    <row r="25">
      <c r="A25" s="5" t="inlineStr">
        <is>
          <t>At 31 March 2012 (FY2012 closing)</t>
        </is>
      </c>
      <c r="B25" s="5" t="n">
        <v>2712.3</v>
      </c>
      <c r="C25" s="5" t="n">
        <v>15.6</v>
      </c>
      <c r="D25" s="5" t="n"/>
      <c r="E25" s="5" t="n">
        <v>0</v>
      </c>
      <c r="F25" s="5" t="n">
        <v>-2380.3</v>
      </c>
      <c r="G25" s="5" t="n">
        <v>347.6</v>
      </c>
    </row>
    <row r="26">
      <c r="A26" s="6" t="inlineStr">
        <is>
          <t>Increase in paid up share capital</t>
        </is>
      </c>
      <c r="B26" s="6" t="n">
        <v>83</v>
      </c>
      <c r="C26" s="6" t="n"/>
      <c r="D26" s="6" t="n"/>
      <c r="E26" s="6" t="n"/>
      <c r="F26" s="6" t="n"/>
      <c r="G26" s="6" t="n">
        <v>83</v>
      </c>
    </row>
    <row r="27">
      <c r="A27" s="6" t="inlineStr">
        <is>
          <t>Loss for the year</t>
        </is>
      </c>
      <c r="B27" s="6" t="n"/>
      <c r="C27" s="6" t="n"/>
      <c r="D27" s="6" t="n"/>
      <c r="E27" s="6" t="n"/>
      <c r="F27" s="6" t="n">
        <v>-3</v>
      </c>
      <c r="G27" s="6" t="n">
        <v>-3</v>
      </c>
    </row>
    <row r="28">
      <c r="A28" s="6" t="inlineStr">
        <is>
          <t>Actuarial loss on defined benefit scheme</t>
        </is>
      </c>
      <c r="B28" s="6" t="n"/>
      <c r="C28" s="6" t="n"/>
      <c r="D28" s="6" t="n"/>
      <c r="E28" s="6" t="n"/>
      <c r="F28" s="6" t="n">
        <v>-2.5</v>
      </c>
      <c r="G28" s="6" t="n">
        <v>-2.5</v>
      </c>
    </row>
    <row r="29">
      <c r="A29" s="5" t="inlineStr">
        <is>
          <t>At 1 April 2013 (FY2014 opening, originally-filed UK GAAP)</t>
        </is>
      </c>
      <c r="B29" s="5" t="n">
        <v>2795.3</v>
      </c>
      <c r="C29" s="5" t="n">
        <v>15.6</v>
      </c>
      <c r="D29" s="5" t="n"/>
      <c r="E29" s="5" t="n"/>
      <c r="F29" s="5" t="n">
        <v>-2385.8</v>
      </c>
      <c r="G29" s="5" t="n">
        <v>425.1</v>
      </c>
    </row>
    <row r="30">
      <c r="A30" s="6" t="inlineStr">
        <is>
          <t>Increase in paid up share capital</t>
        </is>
      </c>
      <c r="B30" s="6" t="n">
        <v>45</v>
      </c>
      <c r="C30" s="6" t="n"/>
      <c r="D30" s="6" t="n"/>
      <c r="E30" s="6" t="n"/>
      <c r="F30" s="6" t="n"/>
      <c r="G30" s="6" t="n">
        <v>45</v>
      </c>
    </row>
    <row r="31">
      <c r="A31" s="6" t="inlineStr">
        <is>
          <t>Loss for the year</t>
        </is>
      </c>
      <c r="B31" s="6" t="n"/>
      <c r="C31" s="6" t="n"/>
      <c r="D31" s="6" t="n"/>
      <c r="E31" s="6" t="n"/>
      <c r="F31" s="6" t="n">
        <v>-28</v>
      </c>
      <c r="G31" s="6" t="n">
        <v>-28</v>
      </c>
    </row>
    <row r="32">
      <c r="A32" s="6" t="inlineStr">
        <is>
          <t>Actuarial loss on defined benefit scheme</t>
        </is>
      </c>
      <c r="B32" s="6" t="n"/>
      <c r="C32" s="6" t="n"/>
      <c r="D32" s="6" t="n"/>
      <c r="E32" s="6" t="n"/>
      <c r="F32" s="6" t="n">
        <v>-2.5</v>
      </c>
      <c r="G32" s="6" t="n">
        <v>-2.5</v>
      </c>
    </row>
    <row r="33">
      <c r="A33" s="5" t="inlineStr">
        <is>
          <t>At 31 March 2014 (FY2014 closing, originally-filed UK GAAP)</t>
        </is>
      </c>
      <c r="B33" s="5" t="n">
        <v>2840.3</v>
      </c>
      <c r="C33" s="5" t="n">
        <v>15.6</v>
      </c>
      <c r="D33" s="5" t="n"/>
      <c r="E33" s="5" t="n"/>
      <c r="F33" s="5" t="n">
        <v>-2416.3</v>
      </c>
      <c r="G33" s="5" t="n">
        <v>439.6</v>
      </c>
    </row>
    <row r="34">
      <c r="A34" s="6" t="inlineStr">
        <is>
          <t>FRS 102 transition adjustment (1 April 2014) - reclassifies a pension reserve out of the profit and loss account plus a further ~£0.5m net restatement</t>
        </is>
      </c>
      <c r="B34" s="6" t="n"/>
      <c r="C34" s="6" t="n"/>
      <c r="D34" s="6" t="n">
        <v>-14</v>
      </c>
      <c r="E34" s="6" t="n"/>
      <c r="F34" s="6" t="n">
        <v>13.5</v>
      </c>
      <c r="G34" s="6" t="n">
        <v>-0.5</v>
      </c>
    </row>
    <row r="35">
      <c r="A35" s="5" t="inlineStr">
        <is>
          <t>At 1 April 2014 (FY2015 opening, FRS 102-restated)</t>
        </is>
      </c>
      <c r="B35" s="5" t="n">
        <v>2840.3</v>
      </c>
      <c r="C35" s="5" t="n">
        <v>15.6</v>
      </c>
      <c r="D35" s="5" t="n">
        <v>-14</v>
      </c>
      <c r="E35" s="5" t="n">
        <v>0</v>
      </c>
      <c r="F35" s="5" t="n">
        <v>-2402.8</v>
      </c>
      <c r="G35" s="5" t="n">
        <v>439.1</v>
      </c>
    </row>
    <row r="36">
      <c r="A36" s="6" t="inlineStr">
        <is>
          <t>Profit for the year</t>
        </is>
      </c>
      <c r="B36" s="6" t="n"/>
      <c r="C36" s="6" t="n"/>
      <c r="D36" s="6" t="n"/>
      <c r="E36" s="6" t="n"/>
      <c r="F36" s="6" t="n">
        <v>4.9</v>
      </c>
      <c r="G36" s="6" t="n">
        <v>4.9</v>
      </c>
    </row>
    <row r="37">
      <c r="A37" s="6" t="inlineStr">
        <is>
          <t>Other comprehensive income/(loss)</t>
        </is>
      </c>
      <c r="B37" s="6" t="n"/>
      <c r="C37" s="6" t="n"/>
      <c r="D37" s="6" t="n">
        <v>-2.4</v>
      </c>
      <c r="E37" s="6" t="n"/>
      <c r="F37" s="6" t="n"/>
      <c r="G37" s="6" t="n">
        <v>-2.4</v>
      </c>
    </row>
    <row r="38">
      <c r="A38" s="5" t="inlineStr">
        <is>
          <t>At 31 March 2015 (FY2015 closing)</t>
        </is>
      </c>
      <c r="B38" s="5" t="n">
        <v>2840.3</v>
      </c>
      <c r="C38" s="5" t="n">
        <v>15.6</v>
      </c>
      <c r="D38" s="5" t="n">
        <v>-16.4</v>
      </c>
      <c r="E38" s="5" t="n">
        <v>0</v>
      </c>
      <c r="F38" s="5" t="n">
        <v>-2397.9</v>
      </c>
      <c r="G38" s="5" t="n">
        <v>441.6</v>
      </c>
    </row>
    <row r="39">
      <c r="A39" s="6" t="inlineStr">
        <is>
          <t>Increase in paid up share capital</t>
        </is>
      </c>
      <c r="B39" s="6" t="n">
        <v>35</v>
      </c>
      <c r="C39" s="6" t="n"/>
      <c r="D39" s="6" t="n"/>
      <c r="E39" s="6" t="n"/>
      <c r="F39" s="6" t="n"/>
      <c r="G39" s="6" t="n">
        <v>35</v>
      </c>
    </row>
    <row r="40">
      <c r="A40" s="6" t="inlineStr">
        <is>
          <t>Loss for the year</t>
        </is>
      </c>
      <c r="B40" s="6" t="n"/>
      <c r="C40" s="6" t="n"/>
      <c r="D40" s="6" t="n"/>
      <c r="E40" s="6" t="n"/>
      <c r="F40" s="6" t="n">
        <v>-15.4</v>
      </c>
      <c r="G40" s="6" t="n">
        <v>-15.4</v>
      </c>
    </row>
    <row r="41">
      <c r="A41" s="6" t="inlineStr">
        <is>
          <t>Other comprehensive income/(loss)</t>
        </is>
      </c>
      <c r="B41" s="6" t="n"/>
      <c r="C41" s="6" t="n"/>
      <c r="D41" s="6" t="n">
        <v>-0.4</v>
      </c>
      <c r="E41" s="6" t="n"/>
      <c r="F41" s="6" t="n"/>
      <c r="G41" s="6" t="n">
        <v>-0.4</v>
      </c>
    </row>
    <row r="42">
      <c r="A42" s="5" t="inlineStr">
        <is>
          <t>At 31 March 2016 (FY2016 closing)</t>
        </is>
      </c>
      <c r="B42" s="5" t="n">
        <v>2875.3</v>
      </c>
      <c r="C42" s="5" t="n">
        <v>15.6</v>
      </c>
      <c r="D42" s="5" t="n">
        <v>-16.8</v>
      </c>
      <c r="E42" s="5" t="n">
        <v>0</v>
      </c>
      <c r="F42" s="5" t="n">
        <v>-2413.3</v>
      </c>
      <c r="G42" s="5" t="n">
        <v>460.8</v>
      </c>
    </row>
    <row r="43">
      <c r="A43" s="6" t="inlineStr">
        <is>
          <t>Increase in paid up share capital</t>
        </is>
      </c>
      <c r="B43" s="6" t="n">
        <v>267.9</v>
      </c>
      <c r="C43" s="6" t="n"/>
      <c r="D43" s="6" t="n"/>
      <c r="E43" s="6" t="n"/>
      <c r="F43" s="6" t="n"/>
      <c r="G43" s="6" t="n">
        <v>267.9</v>
      </c>
    </row>
    <row r="44">
      <c r="A44" s="6" t="inlineStr">
        <is>
          <t>Share capital reduction (cancels cumulative loss)</t>
        </is>
      </c>
      <c r="B44" s="6" t="n">
        <v>-2433.3</v>
      </c>
      <c r="C44" s="6" t="n"/>
      <c r="D44" s="6" t="n">
        <v>20</v>
      </c>
      <c r="E44" s="6" t="n"/>
      <c r="F44" s="6" t="n">
        <v>2413.3</v>
      </c>
      <c r="G44" s="6" t="n"/>
    </row>
    <row r="45">
      <c r="A45" s="6" t="inlineStr">
        <is>
          <t>Profit for the year</t>
        </is>
      </c>
      <c r="B45" s="6" t="n"/>
      <c r="C45" s="6" t="n"/>
      <c r="D45" s="6" t="n"/>
      <c r="E45" s="6" t="n"/>
      <c r="F45" s="6" t="n">
        <v>12.2</v>
      </c>
      <c r="G45" s="6" t="n">
        <v>12.2</v>
      </c>
    </row>
    <row r="46">
      <c r="A46" s="6" t="inlineStr">
        <is>
          <t>Other comprehensive income/(loss)</t>
        </is>
      </c>
      <c r="B46" s="6" t="n"/>
      <c r="C46" s="6" t="n"/>
      <c r="D46" s="6" t="n">
        <v>-4.5</v>
      </c>
      <c r="E46" s="6" t="n"/>
      <c r="F46" s="6" t="n"/>
      <c r="G46" s="6" t="n">
        <v>-4.5</v>
      </c>
    </row>
    <row r="47">
      <c r="A47" s="5" t="inlineStr">
        <is>
          <t>At 31 March 2017 (FY2017 closing)</t>
        </is>
      </c>
      <c r="B47" s="5" t="n">
        <v>709.9</v>
      </c>
      <c r="C47" s="5" t="n">
        <v>15.6</v>
      </c>
      <c r="D47" s="5" t="n">
        <v>-1.3</v>
      </c>
      <c r="E47" s="5" t="n">
        <v>0</v>
      </c>
      <c r="F47" s="5" t="n">
        <v>12.2</v>
      </c>
      <c r="G47" s="5" t="n">
        <v>736.4</v>
      </c>
    </row>
    <row r="48">
      <c r="A48" s="6" t="inlineStr">
        <is>
          <t>Profit for the year</t>
        </is>
      </c>
      <c r="B48" s="6" t="n"/>
      <c r="C48" s="6" t="n"/>
      <c r="D48" s="6" t="n"/>
      <c r="E48" s="6" t="n"/>
      <c r="F48" s="6" t="n">
        <v>27.6</v>
      </c>
      <c r="G48" s="6" t="n">
        <v>27.6</v>
      </c>
    </row>
    <row r="49">
      <c r="A49" s="6" t="inlineStr">
        <is>
          <t>Other comprehensive income/(loss)</t>
        </is>
      </c>
      <c r="B49" s="6" t="n"/>
      <c r="C49" s="6" t="n"/>
      <c r="D49" s="6" t="n">
        <v>-2.4</v>
      </c>
      <c r="E49" s="6" t="n"/>
      <c r="F49" s="6" t="n"/>
      <c r="G49" s="6" t="n">
        <v>-2.4</v>
      </c>
    </row>
    <row r="50">
      <c r="A50" s="5" t="inlineStr">
        <is>
          <t>At 31 March 2018 (FY2018 closing)</t>
        </is>
      </c>
      <c r="B50" s="5" t="n">
        <v>709.9</v>
      </c>
      <c r="C50" s="5" t="n">
        <v>15.6</v>
      </c>
      <c r="D50" s="5" t="n">
        <v>-3.7</v>
      </c>
      <c r="E50" s="5" t="n">
        <v>0</v>
      </c>
      <c r="F50" s="5" t="n">
        <v>39.8</v>
      </c>
      <c r="G50" s="5" t="n">
        <v>761.6</v>
      </c>
    </row>
    <row r="51">
      <c r="A51" s="6" t="inlineStr">
        <is>
          <t>Loss for the year</t>
        </is>
      </c>
      <c r="B51" s="6" t="n"/>
      <c r="C51" s="6" t="n"/>
      <c r="D51" s="6" t="n"/>
      <c r="E51" s="6" t="n"/>
      <c r="F51" s="6" t="n">
        <v>-19.5</v>
      </c>
      <c r="G51" s="6" t="n">
        <v>-19.5</v>
      </c>
    </row>
    <row r="52">
      <c r="A52" s="6" t="inlineStr">
        <is>
          <t>Other comprehensive income/(loss)</t>
        </is>
      </c>
      <c r="B52" s="6" t="n"/>
      <c r="C52" s="6" t="n"/>
      <c r="D52" s="6" t="n">
        <v>-1.9</v>
      </c>
      <c r="E52" s="6" t="n"/>
      <c r="F52" s="6" t="n"/>
      <c r="G52" s="6" t="n">
        <v>-1.9</v>
      </c>
    </row>
    <row r="53">
      <c r="A53" s="5" t="inlineStr">
        <is>
          <t>At 31 March 2019 (FY2019 closing)</t>
        </is>
      </c>
      <c r="B53" s="5" t="n">
        <v>709.9</v>
      </c>
      <c r="C53" s="5" t="n">
        <v>15.6</v>
      </c>
      <c r="D53" s="5" t="n">
        <v>-5.6</v>
      </c>
      <c r="E53" s="5" t="n">
        <v>0</v>
      </c>
      <c r="F53" s="5" t="n">
        <v>20.3</v>
      </c>
      <c r="G53" s="5" t="n">
        <v>740.2</v>
      </c>
    </row>
    <row r="54">
      <c r="A54" s="6" t="inlineStr">
        <is>
          <t>Loss for the year</t>
        </is>
      </c>
      <c r="B54" s="6" t="n"/>
      <c r="C54" s="6" t="n"/>
      <c r="D54" s="6" t="n"/>
      <c r="E54" s="6" t="n"/>
      <c r="F54" s="6" t="n">
        <v>-40.7</v>
      </c>
      <c r="G54" s="6" t="n">
        <v>-40.7</v>
      </c>
    </row>
    <row r="55">
      <c r="A55" s="6" t="inlineStr">
        <is>
          <t>Other comprehensive income/(loss)</t>
        </is>
      </c>
      <c r="B55" s="6" t="n"/>
      <c r="C55" s="6" t="n"/>
      <c r="D55" s="6" t="n">
        <v>-0.3</v>
      </c>
      <c r="E55" s="6" t="n"/>
      <c r="F55" s="6" t="n"/>
      <c r="G55" s="6" t="n">
        <v>-0.3</v>
      </c>
    </row>
    <row r="56">
      <c r="A56" s="5" t="inlineStr">
        <is>
          <t>At 31 March 2020 (FY2020 closing)</t>
        </is>
      </c>
      <c r="B56" s="5" t="n">
        <v>709.9</v>
      </c>
      <c r="C56" s="5" t="n">
        <v>15.6</v>
      </c>
      <c r="D56" s="5" t="n">
        <v>-5.9</v>
      </c>
      <c r="E56" s="5" t="n">
        <v>0</v>
      </c>
      <c r="F56" s="5" t="n">
        <v>-20.4</v>
      </c>
      <c r="G56" s="5" t="n">
        <v>699.2</v>
      </c>
    </row>
    <row r="57">
      <c r="A57" s="5" t="inlineStr">
        <is>
          <t>At 1 April 2020 (FY2021 opening)</t>
        </is>
      </c>
      <c r="B57" s="5" t="n">
        <v>709.9</v>
      </c>
      <c r="C57" s="5" t="n">
        <v>15.6</v>
      </c>
      <c r="D57" s="5" t="n">
        <v>-5.9</v>
      </c>
      <c r="E57" s="5" t="n">
        <v>0</v>
      </c>
      <c r="F57" s="5" t="n">
        <v>-20.4</v>
      </c>
      <c r="G57" s="5" t="n">
        <v>699.2</v>
      </c>
    </row>
    <row r="58">
      <c r="A58" s="6" t="inlineStr">
        <is>
          <t>Profit for the year</t>
        </is>
      </c>
      <c r="B58" s="6" t="n"/>
      <c r="C58" s="6" t="n"/>
      <c r="D58" s="6" t="n"/>
      <c r="E58" s="6" t="n"/>
      <c r="F58" s="6" t="n">
        <v>42.8</v>
      </c>
      <c r="G58" s="6" t="n">
        <v>42.8</v>
      </c>
    </row>
    <row r="59">
      <c r="A59" s="6" t="inlineStr">
        <is>
          <t>Other comprehensive income/(loss)</t>
        </is>
      </c>
      <c r="B59" s="6" t="n"/>
      <c r="C59" s="6" t="n"/>
      <c r="D59" s="6" t="n"/>
      <c r="E59" s="6" t="n">
        <v>-0.4</v>
      </c>
      <c r="F59" s="6" t="n"/>
      <c r="G59" s="6" t="n">
        <v>-0.4</v>
      </c>
    </row>
    <row r="60">
      <c r="A60" s="5" t="inlineStr">
        <is>
          <t>At 31 March 2021 (FY2021 closing)</t>
        </is>
      </c>
      <c r="B60" s="5" t="n">
        <v>709.9</v>
      </c>
      <c r="C60" s="5" t="n">
        <v>15.6</v>
      </c>
      <c r="D60" s="5" t="n">
        <v>-5.9</v>
      </c>
      <c r="E60" s="5" t="n">
        <v>-0.4</v>
      </c>
      <c r="F60" s="5" t="n">
        <v>22.4</v>
      </c>
      <c r="G60" s="5" t="n">
        <v>741.6</v>
      </c>
    </row>
    <row r="61">
      <c r="A61" s="6" t="inlineStr">
        <is>
          <t>Loss for the year</t>
        </is>
      </c>
      <c r="B61" s="6" t="n"/>
      <c r="C61" s="6" t="n"/>
      <c r="D61" s="6" t="n"/>
      <c r="E61" s="6" t="n"/>
      <c r="F61" s="6" t="n">
        <v>-28.8</v>
      </c>
      <c r="G61" s="6" t="n">
        <v>-28.8</v>
      </c>
    </row>
    <row r="62">
      <c r="A62" s="6" t="inlineStr">
        <is>
          <t>Other comprehensive income/(loss)</t>
        </is>
      </c>
      <c r="B62" s="6" t="n"/>
      <c r="C62" s="6" t="n"/>
      <c r="D62" s="6" t="n">
        <v>-0.3</v>
      </c>
      <c r="E62" s="6" t="n">
        <v>-0.1</v>
      </c>
      <c r="F62" s="6" t="n"/>
      <c r="G62" s="6" t="n">
        <v>-0.4</v>
      </c>
    </row>
    <row r="63">
      <c r="A63" s="5" t="inlineStr">
        <is>
          <t>At 31 March 2022 (FY2022 closing)</t>
        </is>
      </c>
      <c r="B63" s="5" t="n">
        <v>709.9</v>
      </c>
      <c r="C63" s="5" t="n">
        <v>15.6</v>
      </c>
      <c r="D63" s="5" t="n">
        <v>-6.2</v>
      </c>
      <c r="E63" s="5" t="n">
        <v>-0.5</v>
      </c>
      <c r="F63" s="5" t="n">
        <v>-6.4</v>
      </c>
      <c r="G63" s="5" t="n">
        <v>712.4</v>
      </c>
    </row>
    <row r="64">
      <c r="A64" s="6" t="inlineStr">
        <is>
          <t>Loss for the year</t>
        </is>
      </c>
      <c r="B64" s="6" t="n"/>
      <c r="C64" s="6" t="n"/>
      <c r="D64" s="6" t="n"/>
      <c r="E64" s="6" t="n"/>
      <c r="F64" s="6" t="n">
        <v>-4.5</v>
      </c>
      <c r="G64" s="6" t="n">
        <v>-4.5</v>
      </c>
    </row>
    <row r="65">
      <c r="A65" s="6" t="inlineStr">
        <is>
          <t>Other comprehensive income/(loss)</t>
        </is>
      </c>
      <c r="B65" s="6" t="n"/>
      <c r="C65" s="6" t="n"/>
      <c r="D65" s="6" t="n">
        <v>-0.3</v>
      </c>
      <c r="E65" s="6" t="n">
        <v>0.1</v>
      </c>
      <c r="F65" s="6" t="n"/>
      <c r="G65" s="6" t="n">
        <v>-0.2</v>
      </c>
    </row>
    <row r="66">
      <c r="A66" s="5" t="inlineStr">
        <is>
          <t>At 31 March 2023 (FY2023 closing)</t>
        </is>
      </c>
      <c r="B66" s="5" t="n">
        <v>709.9</v>
      </c>
      <c r="C66" s="5" t="n">
        <v>15.6</v>
      </c>
      <c r="D66" s="5" t="n">
        <v>-6.5</v>
      </c>
      <c r="E66" s="5" t="n">
        <v>-0.4</v>
      </c>
      <c r="F66" s="5" t="n">
        <v>-10.9</v>
      </c>
      <c r="G66" s="5" t="n">
        <v>707.7</v>
      </c>
    </row>
    <row r="67">
      <c r="A67" s="6" t="inlineStr">
        <is>
          <t>Profit for the year</t>
        </is>
      </c>
      <c r="B67" s="6" t="n"/>
      <c r="C67" s="6" t="n"/>
      <c r="D67" s="6" t="n"/>
      <c r="E67" s="6" t="n"/>
      <c r="F67" s="6" t="n">
        <v>13.5</v>
      </c>
      <c r="G67" s="6" t="n">
        <v>13.5</v>
      </c>
    </row>
    <row r="68">
      <c r="A68" s="6" t="inlineStr">
        <is>
          <t>Other comprehensive income/(loss)</t>
        </is>
      </c>
      <c r="B68" s="6" t="n"/>
      <c r="C68" s="6" t="n"/>
      <c r="D68" s="6" t="n">
        <v>-0.3</v>
      </c>
      <c r="E68" s="6" t="n">
        <v>-0.2</v>
      </c>
      <c r="F68" s="6" t="n"/>
      <c r="G68" s="6" t="n">
        <v>-0.5</v>
      </c>
    </row>
    <row r="69">
      <c r="A69" s="5" t="inlineStr">
        <is>
          <t>At 31 March 2024 (FY2024 closing)</t>
        </is>
      </c>
      <c r="B69" s="5" t="n">
        <v>709.9</v>
      </c>
      <c r="C69" s="5" t="n">
        <v>15.6</v>
      </c>
      <c r="D69" s="5" t="n">
        <v>-6.8</v>
      </c>
      <c r="E69" s="5" t="n">
        <v>-0.6</v>
      </c>
      <c r="F69" s="5" t="n">
        <v>2.6</v>
      </c>
      <c r="G69" s="5" t="n">
        <v>720.7</v>
      </c>
    </row>
    <row r="70">
      <c r="A70" s="6" t="inlineStr">
        <is>
          <t>Profit for the year</t>
        </is>
      </c>
      <c r="B70" s="6" t="n"/>
      <c r="C70" s="6" t="n"/>
      <c r="D70" s="6" t="n"/>
      <c r="E70" s="6" t="n"/>
      <c r="F70" s="6" t="n">
        <v>7.2</v>
      </c>
      <c r="G70" s="6" t="n">
        <v>7.2</v>
      </c>
    </row>
    <row r="71">
      <c r="A71" s="6" t="inlineStr">
        <is>
          <t>Capital injection</t>
        </is>
      </c>
      <c r="B71" s="6" t="n">
        <v>45</v>
      </c>
      <c r="C71" s="6" t="n"/>
      <c r="D71" s="6" t="n"/>
      <c r="E71" s="6" t="n"/>
      <c r="F71" s="6" t="n"/>
      <c r="G71" s="6" t="n">
        <v>45</v>
      </c>
    </row>
    <row r="72">
      <c r="A72" s="6" t="inlineStr">
        <is>
          <t>Equity contribution</t>
        </is>
      </c>
      <c r="B72" s="6" t="n"/>
      <c r="C72" s="6" t="n"/>
      <c r="D72" s="6" t="n"/>
      <c r="E72" s="6" t="n">
        <v>1.1</v>
      </c>
      <c r="F72" s="6" t="n"/>
      <c r="G72" s="6" t="n">
        <v>1.1</v>
      </c>
    </row>
    <row r="73">
      <c r="A73" s="6" t="inlineStr">
        <is>
          <t>Transfer to profit and loss account</t>
        </is>
      </c>
      <c r="B73" s="6" t="n"/>
      <c r="C73" s="6" t="n"/>
      <c r="D73" s="6" t="n"/>
      <c r="E73" s="6" t="n">
        <v>-1.1</v>
      </c>
      <c r="F73" s="6" t="n">
        <v>1.1</v>
      </c>
      <c r="G73" s="6" t="n"/>
    </row>
    <row r="74">
      <c r="A74" s="6" t="inlineStr">
        <is>
          <t>Other comprehensive income/(loss)</t>
        </is>
      </c>
      <c r="B74" s="6" t="n"/>
      <c r="C74" s="6" t="n"/>
      <c r="D74" s="6" t="n">
        <v>-0.3</v>
      </c>
      <c r="E74" s="6" t="n">
        <v>-0.2</v>
      </c>
      <c r="F74" s="6" t="n"/>
      <c r="G74" s="6" t="n">
        <v>-0.5</v>
      </c>
    </row>
    <row r="75">
      <c r="A75" s="5" t="inlineStr">
        <is>
          <t>At 31 March 2025 (FY2025 closing)</t>
        </is>
      </c>
      <c r="B75" s="5" t="n">
        <v>754.9</v>
      </c>
      <c r="C75" s="5" t="n">
        <v>15.6</v>
      </c>
      <c r="D75" s="5" t="n">
        <v>-7.1</v>
      </c>
      <c r="E75" s="5" t="n">
        <v>-0.8</v>
      </c>
      <c r="F75" s="5" t="n">
        <v>10.9</v>
      </c>
      <c r="G75" s="5" t="n">
        <v>773.5</v>
      </c>
    </row>
    <row r="76">
      <c r="A76" s="6" t="inlineStr">
        <is>
          <t>Profit for the year</t>
        </is>
      </c>
      <c r="B76" s="6" t="n"/>
      <c r="C76" s="6" t="n"/>
      <c r="D76" s="6" t="n"/>
      <c r="E76" s="6" t="n"/>
      <c r="F76" s="6" t="n">
        <v>17</v>
      </c>
      <c r="G76" s="6" t="n">
        <v>17</v>
      </c>
    </row>
    <row r="77">
      <c r="A77" s="6" t="inlineStr">
        <is>
          <t>Capital injection</t>
        </is>
      </c>
      <c r="B77" s="6" t="n">
        <v>55</v>
      </c>
      <c r="C77" s="6" t="n"/>
      <c r="D77" s="6" t="n"/>
      <c r="E77" s="6" t="n"/>
      <c r="F77" s="6" t="n"/>
      <c r="G77" s="6" t="n">
        <v>55</v>
      </c>
    </row>
    <row r="78">
      <c r="A78" s="6" t="inlineStr">
        <is>
          <t>Transfer to profit and loss account</t>
        </is>
      </c>
      <c r="B78" s="6" t="n"/>
      <c r="C78" s="6" t="n"/>
      <c r="D78" s="6" t="n"/>
      <c r="E78" s="6" t="n">
        <v>0.8</v>
      </c>
      <c r="F78" s="6" t="n">
        <v>-0.8</v>
      </c>
      <c r="G78" s="6" t="n"/>
    </row>
    <row r="79">
      <c r="A79" s="6" t="inlineStr">
        <is>
          <t>Other comprehensive income/(loss)</t>
        </is>
      </c>
      <c r="B79" s="6" t="n"/>
      <c r="C79" s="6" t="n"/>
      <c r="D79" s="6" t="n">
        <v>-0.3</v>
      </c>
      <c r="E79" s="6" t="n"/>
      <c r="F79" s="6" t="n"/>
      <c r="G79" s="6" t="n">
        <v>-0.3</v>
      </c>
    </row>
    <row r="80">
      <c r="A80" s="5" t="inlineStr">
        <is>
          <t>At 31 March 2026 (FY2026 closing)</t>
        </is>
      </c>
      <c r="B80" s="5" t="n">
        <v>809.9</v>
      </c>
      <c r="C80" s="5" t="n">
        <v>15.6</v>
      </c>
      <c r="D80" s="5" t="n">
        <v>-7.4</v>
      </c>
      <c r="E80" s="5" t="n">
        <v>0</v>
      </c>
      <c r="F80" s="5" t="n">
        <v>27.1</v>
      </c>
      <c r="G80" s="5" t="n">
        <v>845.2</v>
      </c>
    </row>
    <row r="82" ht="150" customHeight="1">
      <c r="A82"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82:G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Consolidated Statement of Cash Flows</t>
        </is>
      </c>
    </row>
    <row r="2">
      <c r="A2" s="2" t="inlineStr">
        <is>
          <t>Consolidated Group basis, £ millions. FY2008-FY2020 carry a statement rather than figures (and are certainly not zero): none of those years' Annual Reports/statutory filings include a cash flow statement, each invoking the FRS 1/FRS 102 exemption for a qualifying subsidiary whose ultimate parent (Mizuho Financial Group, Inc.) publishes consolidated financial statements including the Company - the same exemption basis as FY2021-FY2025's ENTITY NOTE. HD-075 confirmed the exemption is invoked explicitly in each of the FY2008-FY2013 Companies House filings too.</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6" t="inlineStr">
        <is>
          <t>No statement of cash flows prepared - FRS 1 / FRS 102 exemption (see note below)</t>
        </is>
      </c>
      <c r="B4" s="6" t="n"/>
      <c r="C4" s="6" t="n"/>
      <c r="D4" s="6" t="n"/>
      <c r="E4" s="6" t="n"/>
      <c r="F4" s="6" t="n"/>
      <c r="G4" s="6" t="n"/>
      <c r="H4" s="6" t="inlineStr">
        <is>
          <t>Not published - no statement of cash flows prepared (FRS 1/FRS 102 exemption)</t>
        </is>
      </c>
      <c r="I4" s="6" t="inlineStr">
        <is>
          <t>Not published - no statement of cash flows prepared (FRS 1/FRS 102 exemption)</t>
        </is>
      </c>
      <c r="J4" s="6" t="inlineStr">
        <is>
          <t>Not published - no statement of cash flows prepared (FRS 1/FRS 102 exemption)</t>
        </is>
      </c>
      <c r="K4" s="6" t="inlineStr">
        <is>
          <t>Not published - no statement of cash flows prepared (FRS 1/FRS 102 exemption)</t>
        </is>
      </c>
      <c r="L4" s="6" t="inlineStr">
        <is>
          <t>Not published - no statement of cash flows prepared (FRS 1/FRS 102 exemption)</t>
        </is>
      </c>
      <c r="M4" s="6" t="inlineStr">
        <is>
          <t>Not published - no statement of cash flows prepared (FRS 1/FRS 102 exemption)</t>
        </is>
      </c>
      <c r="N4" s="6" t="inlineStr">
        <is>
          <t>Not published - no statement of cash flows prepared (FRS 1/FRS 102 exemption)</t>
        </is>
      </c>
      <c r="O4" s="6" t="inlineStr">
        <is>
          <t>Not published - no statement of cash flows prepared (FRS 1/FRS 102 exemption)</t>
        </is>
      </c>
      <c r="P4" s="6" t="inlineStr">
        <is>
          <t>Not published - no statement of cash flows prepared (FRS 1/FRS 102 exemption)</t>
        </is>
      </c>
      <c r="Q4" s="6" t="inlineStr">
        <is>
          <t>Not published - no statement of cash flows prepared (FRS 1/FRS 102 exemption)</t>
        </is>
      </c>
      <c r="R4" s="6" t="inlineStr">
        <is>
          <t>Not published - no statement of cash flows prepared (FRS 1/FRS 102 exemption)</t>
        </is>
      </c>
      <c r="S4" s="6" t="inlineStr">
        <is>
          <t>Not published - no statement of cash flows prepared (FRS 1/FRS 102 exemption)</t>
        </is>
      </c>
      <c r="T4" s="6" t="inlineStr">
        <is>
          <t>Not published - no statement of cash flows prepared (FRS 1/FRS 102 exemption)</t>
        </is>
      </c>
    </row>
    <row r="5">
      <c r="A5" s="5" t="inlineStr">
        <is>
          <t>Operating activities</t>
        </is>
      </c>
      <c r="B5" s="6" t="n"/>
      <c r="C5" s="6" t="n"/>
      <c r="D5" s="6" t="n"/>
      <c r="E5" s="6" t="n"/>
      <c r="F5" s="6" t="n"/>
      <c r="G5" s="6" t="n"/>
      <c r="H5" s="6" t="n"/>
      <c r="I5" s="6" t="n"/>
      <c r="J5" s="6" t="n"/>
      <c r="K5" s="6" t="n"/>
      <c r="L5" s="6" t="n"/>
      <c r="M5" s="6" t="n"/>
      <c r="N5" s="6" t="n"/>
      <c r="O5" s="6" t="n"/>
      <c r="P5" s="6" t="n"/>
      <c r="Q5" s="6" t="n"/>
      <c r="R5" s="6" t="n"/>
      <c r="S5" s="6" t="n"/>
      <c r="T5" s="6" t="n"/>
    </row>
    <row r="6">
      <c r="A6" s="6" t="inlineStr">
        <is>
          <t>Profit / (loss) before tax</t>
        </is>
      </c>
      <c r="B6" s="6" t="n">
        <v>20.5</v>
      </c>
      <c r="C6" s="6" t="n">
        <v>5.8</v>
      </c>
      <c r="D6" s="6" t="n">
        <v>15</v>
      </c>
      <c r="E6" s="6" t="n">
        <v>-10.4</v>
      </c>
      <c r="F6" s="6" t="n">
        <v>-37.6</v>
      </c>
      <c r="G6" s="6" t="n">
        <v>43.8</v>
      </c>
      <c r="H6" s="6" t="n"/>
      <c r="I6" s="6" t="n"/>
      <c r="J6" s="6" t="n"/>
      <c r="K6" s="6" t="n"/>
      <c r="L6" s="6" t="n"/>
      <c r="M6" s="6" t="n"/>
      <c r="N6" s="6" t="n"/>
      <c r="O6" s="6" t="n"/>
      <c r="P6" s="6" t="n"/>
      <c r="Q6" s="6" t="n"/>
      <c r="R6" s="6" t="n"/>
      <c r="S6" s="6" t="n"/>
      <c r="T6" s="6" t="n"/>
    </row>
    <row r="7">
      <c r="A7" s="6" t="inlineStr">
        <is>
          <t>Non-cash items included in profit / (loss) before tax</t>
        </is>
      </c>
      <c r="B7" s="6" t="n">
        <v>-33</v>
      </c>
      <c r="C7" s="6" t="n">
        <v>-30</v>
      </c>
      <c r="D7" s="6" t="n">
        <v>-23</v>
      </c>
      <c r="E7" s="6" t="n">
        <v>-6.3</v>
      </c>
      <c r="F7" s="6" t="n">
        <v>12.6</v>
      </c>
      <c r="G7" s="6" t="n">
        <v>23.3</v>
      </c>
      <c r="H7" s="6" t="n"/>
      <c r="I7" s="6" t="n"/>
      <c r="J7" s="6" t="n"/>
      <c r="K7" s="6" t="n"/>
      <c r="L7" s="6" t="n"/>
      <c r="M7" s="6" t="n"/>
      <c r="N7" s="6" t="n"/>
      <c r="O7" s="6" t="n"/>
      <c r="P7" s="6" t="n"/>
      <c r="Q7" s="6" t="n"/>
      <c r="R7" s="6" t="n"/>
      <c r="S7" s="6" t="n"/>
      <c r="T7" s="6" t="n"/>
    </row>
    <row r="8">
      <c r="A8" s="6" t="inlineStr">
        <is>
          <t>Provision for liabilities</t>
        </is>
      </c>
      <c r="B8" s="6" t="n">
        <v>7.5</v>
      </c>
      <c r="C8" s="6" t="n">
        <v>0.1</v>
      </c>
      <c r="D8" s="6" t="n">
        <v>-0.9</v>
      </c>
      <c r="E8" s="6" t="n">
        <v>0.9</v>
      </c>
      <c r="F8" s="6" t="n">
        <v>-0.2</v>
      </c>
      <c r="G8" s="6" t="n">
        <v>-0.4</v>
      </c>
      <c r="H8" s="6" t="n"/>
      <c r="I8" s="6" t="n"/>
      <c r="J8" s="6" t="n"/>
      <c r="K8" s="6" t="n"/>
      <c r="L8" s="6" t="n"/>
      <c r="M8" s="6" t="n"/>
      <c r="N8" s="6" t="n"/>
      <c r="O8" s="6" t="n"/>
      <c r="P8" s="6" t="n"/>
      <c r="Q8" s="6" t="n"/>
      <c r="R8" s="6" t="n"/>
      <c r="S8" s="6" t="n"/>
      <c r="T8" s="6" t="n"/>
    </row>
    <row r="9">
      <c r="A9" s="6" t="inlineStr">
        <is>
          <t>Movement in Other Comprehensive Income</t>
        </is>
      </c>
      <c r="B9" s="6" t="n">
        <v>-0.3</v>
      </c>
      <c r="C9" s="6" t="n">
        <v>-0.5</v>
      </c>
      <c r="D9" s="6" t="n">
        <v>-0.4</v>
      </c>
      <c r="E9" s="6" t="n">
        <v>-0.1</v>
      </c>
      <c r="F9" s="6" t="n">
        <v>-0.4</v>
      </c>
      <c r="G9" s="6" t="n">
        <v>-0.5</v>
      </c>
      <c r="H9" s="6" t="n"/>
      <c r="I9" s="6" t="n"/>
      <c r="J9" s="6" t="n"/>
      <c r="K9" s="6" t="n"/>
      <c r="L9" s="6" t="n"/>
      <c r="M9" s="6" t="n"/>
      <c r="N9" s="6" t="n"/>
      <c r="O9" s="6" t="n"/>
      <c r="P9" s="6" t="n"/>
      <c r="Q9" s="6" t="n"/>
      <c r="R9" s="6" t="n"/>
      <c r="S9" s="6" t="n"/>
      <c r="T9" s="6" t="n"/>
    </row>
    <row r="10">
      <c r="A10" s="6" t="inlineStr">
        <is>
          <t>Change in operating assets</t>
        </is>
      </c>
      <c r="B10" s="6" t="n">
        <v>-785.1</v>
      </c>
      <c r="C10" s="6" t="n">
        <v>846.1</v>
      </c>
      <c r="D10" s="6" t="n">
        <v>2479.7</v>
      </c>
      <c r="E10" s="6" t="n">
        <v>-5424.2</v>
      </c>
      <c r="F10" s="6" t="n">
        <v>-3613</v>
      </c>
      <c r="G10" s="6" t="n">
        <v>6374.7</v>
      </c>
      <c r="H10" s="6" t="n"/>
      <c r="I10" s="6" t="n"/>
      <c r="J10" s="6" t="n"/>
      <c r="K10" s="6" t="n"/>
      <c r="L10" s="6" t="n"/>
      <c r="M10" s="6" t="n"/>
      <c r="N10" s="6" t="n"/>
      <c r="O10" s="6" t="n"/>
      <c r="P10" s="6" t="n"/>
      <c r="Q10" s="6" t="n"/>
      <c r="R10" s="6" t="n"/>
      <c r="S10" s="6" t="n"/>
      <c r="T10" s="6" t="n"/>
    </row>
    <row r="11">
      <c r="A11" s="6" t="inlineStr">
        <is>
          <t>Change in operating liabilities</t>
        </is>
      </c>
      <c r="B11" s="6" t="n">
        <v>1171.5</v>
      </c>
      <c r="C11" s="6" t="n">
        <v>-938.8</v>
      </c>
      <c r="D11" s="6" t="n">
        <v>-2313.4</v>
      </c>
      <c r="E11" s="6" t="n">
        <v>5456.5</v>
      </c>
      <c r="F11" s="6" t="n">
        <v>4012.7</v>
      </c>
      <c r="G11" s="6" t="n">
        <v>-6952.2</v>
      </c>
      <c r="H11" s="6" t="n"/>
      <c r="I11" s="6" t="n"/>
      <c r="J11" s="6" t="n"/>
      <c r="K11" s="6" t="n"/>
      <c r="L11" s="6" t="n"/>
      <c r="M11" s="6" t="n"/>
      <c r="N11" s="6" t="n"/>
      <c r="O11" s="6" t="n"/>
      <c r="P11" s="6" t="n"/>
      <c r="Q11" s="6" t="n"/>
      <c r="R11" s="6" t="n"/>
      <c r="S11" s="6" t="n"/>
      <c r="T11" s="6" t="n"/>
    </row>
    <row r="12">
      <c r="A12" s="6" t="inlineStr">
        <is>
          <t>Interest paid</t>
        </is>
      </c>
      <c r="B12" s="6" t="n">
        <v>-67.5</v>
      </c>
      <c r="C12" s="6" t="n">
        <v>-93.3</v>
      </c>
      <c r="D12" s="6" t="n">
        <v>-92.7</v>
      </c>
      <c r="E12" s="6" t="n">
        <v>-0.1</v>
      </c>
      <c r="F12" s="6" t="n">
        <v>-0.2</v>
      </c>
      <c r="G12" s="6" t="n">
        <v>-1.3</v>
      </c>
      <c r="H12" s="6" t="n"/>
      <c r="I12" s="6" t="n"/>
      <c r="J12" s="6" t="n"/>
      <c r="K12" s="6" t="n"/>
      <c r="L12" s="6" t="n"/>
      <c r="M12" s="6" t="n"/>
      <c r="N12" s="6" t="n"/>
      <c r="O12" s="6" t="n"/>
      <c r="P12" s="6" t="n"/>
      <c r="Q12" s="6" t="n"/>
      <c r="R12" s="6" t="n"/>
      <c r="S12" s="6" t="n"/>
      <c r="T12" s="6" t="n"/>
    </row>
    <row r="13">
      <c r="A13" s="6" t="inlineStr">
        <is>
          <t>Interest received</t>
        </is>
      </c>
      <c r="B13" s="6" t="n">
        <v>100.9</v>
      </c>
      <c r="C13" s="6" t="n">
        <v>124.2</v>
      </c>
      <c r="D13" s="6" t="n">
        <v>139.8</v>
      </c>
      <c r="E13" s="6" t="n">
        <v>11</v>
      </c>
      <c r="F13" s="6" t="n">
        <v>14.4</v>
      </c>
      <c r="G13" s="6" t="n">
        <v>16.4</v>
      </c>
      <c r="H13" s="6" t="n"/>
      <c r="I13" s="6" t="n"/>
      <c r="J13" s="6" t="n"/>
      <c r="K13" s="6" t="n"/>
      <c r="L13" s="6" t="n"/>
      <c r="M13" s="6" t="n"/>
      <c r="N13" s="6" t="n"/>
      <c r="O13" s="6" t="n"/>
      <c r="P13" s="6" t="n"/>
      <c r="Q13" s="6" t="n"/>
      <c r="R13" s="6" t="n"/>
      <c r="S13" s="6" t="n"/>
      <c r="T13" s="6" t="n"/>
    </row>
    <row r="14">
      <c r="A14" s="6" t="inlineStr">
        <is>
          <t>Tax (paid) / received</t>
        </is>
      </c>
      <c r="B14" s="6" t="n">
        <v>3.2</v>
      </c>
      <c r="C14" s="6" t="n">
        <v>-6.1</v>
      </c>
      <c r="D14" s="6" t="n">
        <v>12.6</v>
      </c>
      <c r="E14" s="6" t="n">
        <v>-2</v>
      </c>
      <c r="F14" s="6" t="n">
        <v>-3.4</v>
      </c>
      <c r="G14" s="6" t="n">
        <v>10.5</v>
      </c>
      <c r="H14" s="6" t="n"/>
      <c r="I14" s="6" t="n"/>
      <c r="J14" s="6" t="n"/>
      <c r="K14" s="6" t="n"/>
      <c r="L14" s="6" t="n"/>
      <c r="M14" s="6" t="n"/>
      <c r="N14" s="6" t="n"/>
      <c r="O14" s="6" t="n"/>
      <c r="P14" s="6" t="n"/>
      <c r="Q14" s="6" t="n"/>
      <c r="R14" s="6" t="n"/>
      <c r="S14" s="6" t="n"/>
      <c r="T14" s="6" t="n"/>
    </row>
    <row r="15">
      <c r="A15" s="5" t="inlineStr">
        <is>
          <t>Net cash flows from operating activities</t>
        </is>
      </c>
      <c r="B15" s="5" t="n">
        <v>417.7</v>
      </c>
      <c r="C15" s="5" t="n">
        <v>-92.5</v>
      </c>
      <c r="D15" s="5" t="n">
        <v>216.7</v>
      </c>
      <c r="E15" s="5" t="n">
        <v>25.3</v>
      </c>
      <c r="F15" s="5" t="n">
        <v>384.9</v>
      </c>
      <c r="G15" s="5" t="n">
        <v>-485.7</v>
      </c>
      <c r="H15" s="5" t="n"/>
      <c r="I15" s="5" t="n"/>
      <c r="J15" s="5" t="n"/>
      <c r="K15" s="5" t="n"/>
      <c r="L15" s="5" t="n"/>
      <c r="M15" s="5" t="n"/>
      <c r="N15" s="5" t="n"/>
      <c r="O15" s="5" t="n"/>
      <c r="P15" s="5" t="n"/>
      <c r="Q15" s="5" t="n"/>
      <c r="R15" s="5" t="n"/>
      <c r="S15" s="5" t="n"/>
      <c r="T15" s="5" t="n"/>
    </row>
    <row r="16">
      <c r="A16" s="5" t="inlineStr">
        <is>
          <t>Investing activities</t>
        </is>
      </c>
      <c r="B16" s="6" t="n"/>
      <c r="C16" s="6" t="n"/>
      <c r="D16" s="6" t="n"/>
      <c r="E16" s="6" t="n"/>
      <c r="F16" s="6" t="n"/>
      <c r="G16" s="6" t="n"/>
      <c r="H16" s="6" t="n"/>
      <c r="I16" s="6" t="n"/>
      <c r="J16" s="6" t="n"/>
      <c r="K16" s="6" t="n"/>
      <c r="L16" s="6" t="n"/>
      <c r="M16" s="6" t="n"/>
      <c r="N16" s="6" t="n"/>
      <c r="O16" s="6" t="n"/>
      <c r="P16" s="6" t="n"/>
      <c r="Q16" s="6" t="n"/>
      <c r="R16" s="6" t="n"/>
      <c r="S16" s="6" t="n"/>
      <c r="T16" s="6" t="n"/>
    </row>
    <row r="17">
      <c r="A17" s="6" t="inlineStr">
        <is>
          <t>Net investment in shares in group undertakings</t>
        </is>
      </c>
      <c r="B17" s="6" t="n">
        <v>-5.8</v>
      </c>
      <c r="C17" s="6" t="n">
        <v>-1.4</v>
      </c>
      <c r="D17" s="6" t="n">
        <v>-0.1</v>
      </c>
      <c r="E17" s="6" t="n">
        <v>-0.5</v>
      </c>
      <c r="F17" s="6" t="n">
        <v>-2</v>
      </c>
      <c r="G17" s="6" t="n">
        <v>-0.1</v>
      </c>
      <c r="H17" s="6" t="n"/>
      <c r="I17" s="6" t="n"/>
      <c r="J17" s="6" t="n"/>
      <c r="K17" s="6" t="n"/>
      <c r="L17" s="6" t="n"/>
      <c r="M17" s="6" t="n"/>
      <c r="N17" s="6" t="n"/>
      <c r="O17" s="6" t="n"/>
      <c r="P17" s="6" t="n"/>
      <c r="Q17" s="6" t="n"/>
      <c r="R17" s="6" t="n"/>
      <c r="S17" s="6" t="n"/>
      <c r="T17" s="6" t="n"/>
    </row>
    <row r="18">
      <c r="A18" s="6" t="inlineStr">
        <is>
          <t>Dividends from investment in shares in group undertakings</t>
        </is>
      </c>
      <c r="B18" s="6" t="n">
        <v>0.5</v>
      </c>
      <c r="C18" s="6" t="n">
        <v>0.4</v>
      </c>
      <c r="D18" s="6" t="n">
        <v>0.2</v>
      </c>
      <c r="E18" s="6" t="n">
        <v>0.3</v>
      </c>
      <c r="F18" s="6" t="n">
        <v>0.7</v>
      </c>
      <c r="G18" s="6" t="n">
        <v>0.4</v>
      </c>
      <c r="H18" s="6" t="n"/>
      <c r="I18" s="6" t="n"/>
      <c r="J18" s="6" t="n"/>
      <c r="K18" s="6" t="n"/>
      <c r="L18" s="6" t="n"/>
      <c r="M18" s="6" t="n"/>
      <c r="N18" s="6" t="n"/>
      <c r="O18" s="6" t="n"/>
      <c r="P18" s="6" t="n"/>
      <c r="Q18" s="6" t="n"/>
      <c r="R18" s="6" t="n"/>
      <c r="S18" s="6" t="n"/>
      <c r="T18" s="6" t="n"/>
    </row>
    <row r="19">
      <c r="A19" s="6" t="inlineStr">
        <is>
          <t>Sale of subsidiary (net of cash disposed)</t>
        </is>
      </c>
      <c r="B19" s="6" t="n">
        <v>15.4</v>
      </c>
      <c r="C19" s="6" t="n"/>
      <c r="D19" s="6" t="n"/>
      <c r="E19" s="6" t="n"/>
      <c r="F19" s="6" t="n"/>
      <c r="G19" s="6" t="n"/>
      <c r="H19" s="6" t="n"/>
      <c r="I19" s="6" t="n"/>
      <c r="J19" s="6" t="n"/>
      <c r="K19" s="6" t="n"/>
      <c r="L19" s="6" t="n"/>
      <c r="M19" s="6" t="n"/>
      <c r="N19" s="6" t="n"/>
      <c r="O19" s="6" t="n"/>
      <c r="P19" s="6" t="n"/>
      <c r="Q19" s="6" t="n"/>
      <c r="R19" s="6" t="n"/>
      <c r="S19" s="6" t="n"/>
      <c r="T19" s="6" t="n"/>
    </row>
    <row r="20">
      <c r="A20" s="6" t="inlineStr">
        <is>
          <t>Purchase of subsidiary (net of cash acquired)</t>
        </is>
      </c>
      <c r="B20" s="6" t="n">
        <v>-38.7</v>
      </c>
      <c r="C20" s="6" t="n"/>
      <c r="D20" s="6" t="n"/>
      <c r="E20" s="6" t="n"/>
      <c r="F20" s="6" t="n"/>
      <c r="G20" s="6" t="n"/>
      <c r="H20" s="6" t="n"/>
      <c r="I20" s="6" t="n"/>
      <c r="J20" s="6" t="n"/>
      <c r="K20" s="6" t="n"/>
      <c r="L20" s="6" t="n"/>
      <c r="M20" s="6" t="n"/>
      <c r="N20" s="6" t="n"/>
      <c r="O20" s="6" t="n"/>
      <c r="P20" s="6" t="n"/>
      <c r="Q20" s="6" t="n"/>
      <c r="R20" s="6" t="n"/>
      <c r="S20" s="6" t="n"/>
      <c r="T20" s="6" t="n"/>
    </row>
    <row r="21">
      <c r="A21" s="6" t="inlineStr">
        <is>
          <t>Purchase of intangible assets</t>
        </is>
      </c>
      <c r="B21" s="6" t="n">
        <v>-51.4</v>
      </c>
      <c r="C21" s="6" t="n">
        <v>-43.8</v>
      </c>
      <c r="D21" s="6" t="n">
        <v>-27.2</v>
      </c>
      <c r="E21" s="6" t="n">
        <v>-28.7</v>
      </c>
      <c r="F21" s="6" t="n">
        <v>-25.3</v>
      </c>
      <c r="G21" s="6" t="n">
        <v>-21.8</v>
      </c>
      <c r="H21" s="6" t="n"/>
      <c r="I21" s="6" t="n"/>
      <c r="J21" s="6" t="n"/>
      <c r="K21" s="6" t="n"/>
      <c r="L21" s="6" t="n"/>
      <c r="M21" s="6" t="n"/>
      <c r="N21" s="6" t="n"/>
      <c r="O21" s="6" t="n"/>
      <c r="P21" s="6" t="n"/>
      <c r="Q21" s="6" t="n"/>
      <c r="R21" s="6" t="n"/>
      <c r="S21" s="6" t="n"/>
      <c r="T21" s="6" t="n"/>
    </row>
    <row r="22">
      <c r="A22" s="6" t="inlineStr">
        <is>
          <t>Purchase of tangible assets</t>
        </is>
      </c>
      <c r="B22" s="6" t="n">
        <v>-2.4</v>
      </c>
      <c r="C22" s="6" t="n">
        <v>-5.2</v>
      </c>
      <c r="D22" s="6" t="n">
        <v>-5.8</v>
      </c>
      <c r="E22" s="6" t="n">
        <v>-2.7</v>
      </c>
      <c r="F22" s="6" t="n">
        <v>-6.4</v>
      </c>
      <c r="G22" s="6" t="n">
        <v>-3.6</v>
      </c>
      <c r="H22" s="6" t="n"/>
      <c r="I22" s="6" t="n"/>
      <c r="J22" s="6" t="n"/>
      <c r="K22" s="6" t="n"/>
      <c r="L22" s="6" t="n"/>
      <c r="M22" s="6" t="n"/>
      <c r="N22" s="6" t="n"/>
      <c r="O22" s="6" t="n"/>
      <c r="P22" s="6" t="n"/>
      <c r="Q22" s="6" t="n"/>
      <c r="R22" s="6" t="n"/>
      <c r="S22" s="6" t="n"/>
      <c r="T22" s="6" t="n"/>
    </row>
    <row r="23">
      <c r="A23" s="5" t="inlineStr">
        <is>
          <t>Net cash flows used in investing activities</t>
        </is>
      </c>
      <c r="B23" s="5" t="n">
        <v>-82.40000000000001</v>
      </c>
      <c r="C23" s="5" t="n">
        <v>-50</v>
      </c>
      <c r="D23" s="5" t="n">
        <v>-32.9</v>
      </c>
      <c r="E23" s="5" t="n">
        <v>-31.6</v>
      </c>
      <c r="F23" s="5" t="n">
        <v>-33</v>
      </c>
      <c r="G23" s="5" t="n">
        <v>-25.1</v>
      </c>
      <c r="H23" s="5" t="n"/>
      <c r="I23" s="5" t="n"/>
      <c r="J23" s="5" t="n"/>
      <c r="K23" s="5" t="n"/>
      <c r="L23" s="5" t="n"/>
      <c r="M23" s="5" t="n"/>
      <c r="N23" s="5" t="n"/>
      <c r="O23" s="5" t="n"/>
      <c r="P23" s="5" t="n"/>
      <c r="Q23" s="5" t="n"/>
      <c r="R23" s="5" t="n"/>
      <c r="S23" s="5" t="n"/>
      <c r="T23" s="5" t="n"/>
    </row>
    <row r="24">
      <c r="A24" s="5" t="inlineStr">
        <is>
          <t>Financing activities</t>
        </is>
      </c>
      <c r="B24" s="6" t="n"/>
      <c r="C24" s="6" t="n"/>
      <c r="D24" s="6" t="n"/>
      <c r="E24" s="6" t="n"/>
      <c r="F24" s="6" t="n"/>
      <c r="G24" s="6" t="n"/>
      <c r="H24" s="6" t="n"/>
      <c r="I24" s="6" t="n"/>
      <c r="J24" s="6" t="n"/>
      <c r="K24" s="6" t="n"/>
      <c r="L24" s="6" t="n"/>
      <c r="M24" s="6" t="n"/>
      <c r="N24" s="6" t="n"/>
      <c r="O24" s="6" t="n"/>
      <c r="P24" s="6" t="n"/>
      <c r="Q24" s="6" t="n"/>
      <c r="R24" s="6" t="n"/>
      <c r="S24" s="6" t="n"/>
      <c r="T24" s="6" t="n"/>
    </row>
    <row r="25">
      <c r="A25" s="6" t="inlineStr">
        <is>
          <t>Proceeds from issuance of debt securities</t>
        </is>
      </c>
      <c r="B25" s="6" t="n">
        <v>738.1</v>
      </c>
      <c r="C25" s="6" t="n"/>
      <c r="D25" s="6" t="n"/>
      <c r="E25" s="6" t="n"/>
      <c r="F25" s="6" t="n"/>
      <c r="G25" s="6" t="n"/>
      <c r="H25" s="6" t="n"/>
      <c r="I25" s="6" t="n"/>
      <c r="J25" s="6" t="n"/>
      <c r="K25" s="6" t="n"/>
      <c r="L25" s="6" t="n"/>
      <c r="M25" s="6" t="n"/>
      <c r="N25" s="6" t="n"/>
      <c r="O25" s="6" t="n"/>
      <c r="P25" s="6" t="n"/>
      <c r="Q25" s="6" t="n"/>
      <c r="R25" s="6" t="n"/>
      <c r="S25" s="6" t="n"/>
      <c r="T25" s="6" t="n"/>
    </row>
    <row r="26">
      <c r="A26" s="6" t="inlineStr">
        <is>
          <t>Payment on redemption of debt securities in issue</t>
        </is>
      </c>
      <c r="B26" s="6" t="n">
        <v>-1029.3</v>
      </c>
      <c r="C26" s="6" t="n"/>
      <c r="D26" s="6" t="n"/>
      <c r="E26" s="6" t="n"/>
      <c r="F26" s="6" t="n"/>
      <c r="G26" s="6" t="n"/>
      <c r="H26" s="6" t="n"/>
      <c r="I26" s="6" t="n"/>
      <c r="J26" s="6" t="n"/>
      <c r="K26" s="6" t="n"/>
      <c r="L26" s="6" t="n"/>
      <c r="M26" s="6" t="n"/>
      <c r="N26" s="6" t="n"/>
      <c r="O26" s="6" t="n"/>
      <c r="P26" s="6" t="n"/>
      <c r="Q26" s="6" t="n"/>
      <c r="R26" s="6" t="n"/>
      <c r="S26" s="6" t="n"/>
      <c r="T26" s="6" t="n"/>
    </row>
    <row r="27">
      <c r="A27" s="6" t="inlineStr">
        <is>
          <t>Net repayment from debt securities in issue</t>
        </is>
      </c>
      <c r="B27" s="6" t="n"/>
      <c r="C27" s="6" t="n">
        <v>-101.5</v>
      </c>
      <c r="D27" s="6" t="n">
        <v>-221.2</v>
      </c>
      <c r="E27" s="6" t="n">
        <v>-139.6</v>
      </c>
      <c r="F27" s="6" t="n">
        <v>-87.8</v>
      </c>
      <c r="G27" s="6" t="n">
        <v>75.59999999999999</v>
      </c>
      <c r="H27" s="6" t="n"/>
      <c r="I27" s="6" t="n"/>
      <c r="J27" s="6" t="n"/>
      <c r="K27" s="6" t="n"/>
      <c r="L27" s="6" t="n"/>
      <c r="M27" s="6" t="n"/>
      <c r="N27" s="6" t="n"/>
      <c r="O27" s="6" t="n"/>
      <c r="P27" s="6" t="n"/>
      <c r="Q27" s="6" t="n"/>
      <c r="R27" s="6" t="n"/>
      <c r="S27" s="6" t="n"/>
      <c r="T27" s="6" t="n"/>
    </row>
    <row r="28">
      <c r="A28" s="6" t="inlineStr">
        <is>
          <t>Net repayment of subordinated liabilities</t>
        </is>
      </c>
      <c r="B28" s="6" t="n"/>
      <c r="C28" s="6" t="n"/>
      <c r="D28" s="6" t="n"/>
      <c r="E28" s="6" t="n"/>
      <c r="F28" s="6" t="n">
        <v>-45</v>
      </c>
      <c r="G28" s="6" t="n"/>
      <c r="H28" s="6" t="n"/>
      <c r="I28" s="6" t="n"/>
      <c r="J28" s="6" t="n"/>
      <c r="K28" s="6" t="n"/>
      <c r="L28" s="6" t="n"/>
      <c r="M28" s="6" t="n"/>
      <c r="N28" s="6" t="n"/>
      <c r="O28" s="6" t="n"/>
      <c r="P28" s="6" t="n"/>
      <c r="Q28" s="6" t="n"/>
      <c r="R28" s="6" t="n"/>
      <c r="S28" s="6" t="n"/>
      <c r="T28" s="6" t="n"/>
    </row>
    <row r="29">
      <c r="A29" s="6" t="inlineStr">
        <is>
          <t>Proceeds from the issuance of equity</t>
        </is>
      </c>
      <c r="B29" s="6" t="n">
        <v>55</v>
      </c>
      <c r="C29" s="6" t="n">
        <v>45</v>
      </c>
      <c r="D29" s="6" t="n"/>
      <c r="E29" s="6" t="n"/>
      <c r="F29" s="6" t="n"/>
      <c r="G29" s="6" t="n"/>
      <c r="H29" s="6" t="n"/>
      <c r="I29" s="6" t="n"/>
      <c r="J29" s="6" t="n"/>
      <c r="K29" s="6" t="n"/>
      <c r="L29" s="6" t="n"/>
      <c r="M29" s="6" t="n"/>
      <c r="N29" s="6" t="n"/>
      <c r="O29" s="6" t="n"/>
      <c r="P29" s="6" t="n"/>
      <c r="Q29" s="6" t="n"/>
      <c r="R29" s="6" t="n"/>
      <c r="S29" s="6" t="n"/>
      <c r="T29" s="6" t="n"/>
    </row>
    <row r="30">
      <c r="A30" s="5" t="inlineStr">
        <is>
          <t>Net cash flows from / (used in) financing activities</t>
        </is>
      </c>
      <c r="B30" s="5" t="n">
        <v>-236.2</v>
      </c>
      <c r="C30" s="5" t="n">
        <v>-56.5</v>
      </c>
      <c r="D30" s="5" t="n">
        <v>-221.2</v>
      </c>
      <c r="E30" s="5" t="n">
        <v>-139.6</v>
      </c>
      <c r="F30" s="5" t="n">
        <v>-132.8</v>
      </c>
      <c r="G30" s="5" t="n">
        <v>75.59999999999999</v>
      </c>
      <c r="H30" s="5" t="n"/>
      <c r="I30" s="5" t="n"/>
      <c r="J30" s="5" t="n"/>
      <c r="K30" s="5" t="n"/>
      <c r="L30" s="5" t="n"/>
      <c r="M30" s="5" t="n"/>
      <c r="N30" s="5" t="n"/>
      <c r="O30" s="5" t="n"/>
      <c r="P30" s="5" t="n"/>
      <c r="Q30" s="5" t="n"/>
      <c r="R30" s="5" t="n"/>
      <c r="S30" s="5" t="n"/>
      <c r="T30" s="5" t="n"/>
    </row>
    <row r="31">
      <c r="A31" s="5" t="inlineStr">
        <is>
          <t>Net (decrease) / increase in cash and cash equivalents</t>
        </is>
      </c>
      <c r="B31" s="5" t="n">
        <v>99.09999999999999</v>
      </c>
      <c r="C31" s="5" t="n">
        <v>-199</v>
      </c>
      <c r="D31" s="5" t="n">
        <v>-37.4</v>
      </c>
      <c r="E31" s="5" t="n">
        <v>-145.9</v>
      </c>
      <c r="F31" s="5" t="n">
        <v>219.1</v>
      </c>
      <c r="G31" s="5" t="n">
        <v>-435.2</v>
      </c>
      <c r="H31" s="5" t="n"/>
      <c r="I31" s="5" t="n"/>
      <c r="J31" s="5" t="n"/>
      <c r="K31" s="5" t="n"/>
      <c r="L31" s="5" t="n"/>
      <c r="M31" s="5" t="n"/>
      <c r="N31" s="5" t="n"/>
      <c r="O31" s="5" t="n"/>
      <c r="P31" s="5" t="n"/>
      <c r="Q31" s="5" t="n"/>
      <c r="R31" s="5" t="n"/>
      <c r="S31" s="5" t="n"/>
      <c r="T31" s="5" t="n"/>
    </row>
    <row r="32">
      <c r="A32" s="5" t="inlineStr">
        <is>
          <t>Effects of exchange rates on cash and cash equivalents</t>
        </is>
      </c>
      <c r="B32" s="5" t="n">
        <v>2.7</v>
      </c>
      <c r="C32" s="5" t="n">
        <v>-0.9</v>
      </c>
      <c r="D32" s="5" t="n">
        <v>-4.2</v>
      </c>
      <c r="E32" s="5" t="n">
        <v>4.3</v>
      </c>
      <c r="F32" s="5" t="n">
        <v>2.2</v>
      </c>
      <c r="G32" s="5" t="n">
        <v>-6.6</v>
      </c>
      <c r="H32" s="5" t="n"/>
      <c r="I32" s="5" t="n"/>
      <c r="J32" s="5" t="n"/>
      <c r="K32" s="5" t="n"/>
      <c r="L32" s="5" t="n"/>
      <c r="M32" s="5" t="n"/>
      <c r="N32" s="5" t="n"/>
      <c r="O32" s="5" t="n"/>
      <c r="P32" s="5" t="n"/>
      <c r="Q32" s="5" t="n"/>
      <c r="R32" s="5" t="n"/>
      <c r="S32" s="5" t="n"/>
      <c r="T32" s="5" t="n"/>
    </row>
    <row r="33">
      <c r="A33" s="5" t="inlineStr">
        <is>
          <t>Cash and cash equivalents at beginning of the period</t>
        </is>
      </c>
      <c r="B33" s="5" t="n">
        <v>175.7</v>
      </c>
      <c r="C33" s="5" t="n">
        <v>375.6</v>
      </c>
      <c r="D33" s="5" t="n">
        <v>417.2</v>
      </c>
      <c r="E33" s="5" t="n">
        <v>558.8</v>
      </c>
      <c r="F33" s="5" t="n">
        <v>337.5</v>
      </c>
      <c r="G33" s="5" t="n">
        <v>779.3</v>
      </c>
      <c r="H33" s="5" t="n"/>
      <c r="I33" s="5" t="n"/>
      <c r="J33" s="5" t="n"/>
      <c r="K33" s="5" t="n"/>
      <c r="L33" s="5" t="n"/>
      <c r="M33" s="5" t="n"/>
      <c r="N33" s="5" t="n"/>
      <c r="O33" s="5" t="n"/>
      <c r="P33" s="5" t="n"/>
      <c r="Q33" s="5" t="n"/>
      <c r="R33" s="5" t="n"/>
      <c r="S33" s="5" t="n"/>
      <c r="T33" s="5" t="n"/>
    </row>
    <row r="34">
      <c r="A34" s="5" t="inlineStr">
        <is>
          <t>Cash and cash equivalents at the end of the period</t>
        </is>
      </c>
      <c r="B34" s="5" t="n">
        <v>277.5</v>
      </c>
      <c r="C34" s="5" t="n">
        <v>175.7</v>
      </c>
      <c r="D34" s="5" t="n">
        <v>375.6</v>
      </c>
      <c r="E34" s="5" t="n">
        <v>417.2</v>
      </c>
      <c r="F34" s="5" t="n">
        <v>558.8</v>
      </c>
      <c r="G34" s="5" t="n">
        <v>337.5</v>
      </c>
      <c r="H34" s="5" t="n"/>
      <c r="I34" s="5" t="n"/>
      <c r="J34" s="5" t="n"/>
      <c r="K34" s="5" t="n"/>
      <c r="L34" s="5" t="n"/>
      <c r="M34" s="5" t="n"/>
      <c r="N34" s="5" t="n"/>
      <c r="O34" s="5" t="n"/>
      <c r="P34" s="5" t="n"/>
      <c r="Q34" s="5" t="n"/>
      <c r="R34" s="5" t="n"/>
      <c r="S34" s="5" t="n"/>
      <c r="T34" s="5" t="n"/>
    </row>
    <row r="36" ht="240" customHeight="1">
      <c r="A3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t>
        </is>
      </c>
    </row>
  </sheetData>
  <mergeCells count="1">
    <mergeCell ref="A36:T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Asset Quality</t>
        </is>
      </c>
    </row>
    <row r="2">
      <c r="A2" s="2" t="inlineStr">
        <is>
          <t>Pillar 3 credit risk exposures by credit quality step (Table 23; the equivalent table carries a different number in earlier disclosures, e.g. Table 25 for FY2014, Table 18 for FY2015-FY2016), standardised approach, £m — substitutes for an IFRS 9 stage split, which this Group does not disclose (it runs no material customer lending book). FY2014-FY2016 report at 'Mizuho Securities UK Holdings Ltd' (MSUKH) group level, MHI's immediate parent, not at MHI level directly (see the P3 source dict comment) — broadly but not exactly comparable to the MHI-level figures used from FY2017 onward, since MHI is described in those disclosures as MSUKH's principal operating subsidiary rather than its sole business.</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row>
    <row r="4">
      <c r="A4" s="5" t="inlineStr">
        <is>
          <t>Credit risk exposures by credit quality step (standardised approach), net of CRM</t>
        </is>
      </c>
      <c r="B4" s="6" t="n"/>
      <c r="C4" s="6" t="n"/>
      <c r="D4" s="6" t="n"/>
      <c r="E4" s="6" t="n"/>
      <c r="F4" s="6" t="n"/>
      <c r="G4" s="6" t="n"/>
      <c r="H4" s="6" t="n"/>
      <c r="I4" s="6" t="n"/>
      <c r="J4" s="6" t="n"/>
      <c r="K4" s="6" t="n"/>
      <c r="L4" s="6" t="n"/>
      <c r="M4" s="6" t="n"/>
      <c r="N4" s="6" t="n"/>
    </row>
    <row r="5">
      <c r="A5" s="6" t="inlineStr">
        <is>
          <t>Credit quality step 1</t>
        </is>
      </c>
      <c r="B5" s="6" t="n">
        <v>281.1</v>
      </c>
      <c r="C5" s="6" t="n">
        <v>158.3</v>
      </c>
      <c r="D5" s="6" t="n">
        <v>368.5</v>
      </c>
      <c r="E5" s="6" t="n">
        <v>403.5</v>
      </c>
      <c r="F5" s="6" t="n">
        <v>531.4</v>
      </c>
      <c r="G5" s="6" t="n">
        <v>303.7</v>
      </c>
      <c r="H5" s="6" t="n">
        <v>611.6</v>
      </c>
      <c r="I5" s="6" t="n">
        <v>8.5</v>
      </c>
      <c r="J5" s="6" t="n">
        <v>234.5</v>
      </c>
      <c r="K5" s="6" t="n">
        <v>114.1</v>
      </c>
      <c r="L5" s="6" t="n">
        <v>31.7</v>
      </c>
      <c r="M5" s="6" t="n">
        <v>5.3</v>
      </c>
      <c r="N5" s="6" t="n">
        <v>6.1</v>
      </c>
    </row>
    <row r="6">
      <c r="A6" s="6" t="inlineStr">
        <is>
          <t>Credit quality step 2</t>
        </is>
      </c>
      <c r="B6" s="6" t="n">
        <v>205.9</v>
      </c>
      <c r="C6" s="6" t="n">
        <v>102.2</v>
      </c>
      <c r="D6" s="6" t="n">
        <v>72.2</v>
      </c>
      <c r="E6" s="6" t="n">
        <v>57.5</v>
      </c>
      <c r="F6" s="6" t="n">
        <v>29.7</v>
      </c>
      <c r="G6" s="6" t="n">
        <v>31.3</v>
      </c>
      <c r="H6" s="6" t="n">
        <v>57.9</v>
      </c>
      <c r="I6" s="6" t="n">
        <v>108.9</v>
      </c>
      <c r="J6" s="6" t="n">
        <v>52</v>
      </c>
      <c r="K6" s="6" t="n">
        <v>128.4</v>
      </c>
      <c r="L6" s="6" t="n">
        <v>54.3</v>
      </c>
      <c r="M6" s="6" t="n">
        <v>69.7</v>
      </c>
      <c r="N6" s="6" t="n">
        <v>61.2</v>
      </c>
    </row>
    <row r="7">
      <c r="A7" s="6" t="inlineStr">
        <is>
          <t>Credit quality step 3</t>
        </is>
      </c>
      <c r="B7" s="6" t="n">
        <v>46.1</v>
      </c>
      <c r="C7" s="6" t="n">
        <v>0</v>
      </c>
      <c r="D7" s="6" t="n">
        <v>57.8</v>
      </c>
      <c r="E7" s="6" t="n">
        <v>56.2</v>
      </c>
      <c r="F7" s="6" t="n">
        <v>20.4</v>
      </c>
      <c r="G7" s="6" t="n"/>
      <c r="H7" s="6" t="n">
        <v>0</v>
      </c>
      <c r="I7" s="6" t="n">
        <v>0</v>
      </c>
      <c r="J7" s="6" t="n">
        <v>0</v>
      </c>
      <c r="K7" s="6" t="n"/>
      <c r="L7" s="6" t="n">
        <v>0.1</v>
      </c>
      <c r="M7" s="6" t="n"/>
      <c r="N7" s="6" t="n"/>
    </row>
    <row r="8">
      <c r="A8" s="6" t="inlineStr">
        <is>
          <t>Credit quality step 4</t>
        </is>
      </c>
      <c r="B8" s="6" t="n"/>
      <c r="C8" s="6" t="n"/>
      <c r="D8" s="6" t="n"/>
      <c r="E8" s="6" t="n"/>
      <c r="F8" s="6" t="n"/>
      <c r="G8" s="6" t="n"/>
      <c r="H8" s="6" t="n"/>
      <c r="I8" s="6" t="n"/>
      <c r="J8" s="6" t="n"/>
      <c r="K8" s="6" t="n"/>
      <c r="L8" s="6" t="n"/>
      <c r="M8" s="6" t="n"/>
      <c r="N8" s="6" t="n"/>
    </row>
    <row r="9">
      <c r="A9" s="6" t="inlineStr">
        <is>
          <t>Credit quality step 5</t>
        </is>
      </c>
      <c r="B9" s="6" t="n">
        <v>29.9</v>
      </c>
      <c r="C9" s="6" t="n">
        <v>17.7</v>
      </c>
      <c r="D9" s="6" t="n">
        <v>13.2</v>
      </c>
      <c r="E9" s="6" t="n">
        <v>9.9</v>
      </c>
      <c r="F9" s="6" t="n">
        <v>8.1</v>
      </c>
      <c r="G9" s="6" t="n">
        <v>6.9</v>
      </c>
      <c r="H9" s="6" t="n">
        <v>7.2</v>
      </c>
      <c r="I9" s="6" t="n">
        <v>8.699999999999999</v>
      </c>
      <c r="J9" s="6" t="n"/>
      <c r="K9" s="6" t="n"/>
      <c r="L9" s="6" t="n"/>
      <c r="M9" s="6" t="n">
        <v>3.7</v>
      </c>
      <c r="N9" s="6" t="n">
        <v>3.2</v>
      </c>
    </row>
    <row r="10">
      <c r="A10" s="6" t="inlineStr">
        <is>
          <t>Credit quality step 6</t>
        </is>
      </c>
      <c r="B10" s="6" t="n">
        <v>0.5</v>
      </c>
      <c r="C10" s="6" t="n">
        <v>1.1</v>
      </c>
      <c r="D10" s="6" t="n">
        <v>4</v>
      </c>
      <c r="E10" s="6" t="n">
        <v>3.9</v>
      </c>
      <c r="F10" s="6" t="n">
        <v>2.5</v>
      </c>
      <c r="G10" s="6" t="n">
        <v>1.7</v>
      </c>
      <c r="H10" s="6" t="n">
        <v>1.6</v>
      </c>
      <c r="I10" s="6" t="n">
        <v>1.1</v>
      </c>
      <c r="J10" s="6" t="n">
        <v>6.8</v>
      </c>
      <c r="K10" s="6" t="n">
        <v>0.8</v>
      </c>
      <c r="L10" s="6" t="n">
        <v>0.6</v>
      </c>
      <c r="M10" s="6" t="n"/>
      <c r="N10" s="6" t="n"/>
    </row>
    <row r="11">
      <c r="A11" s="6" t="inlineStr">
        <is>
          <t>Unrated</t>
        </is>
      </c>
      <c r="B11" s="6" t="n">
        <v>99.59999999999999</v>
      </c>
      <c r="C11" s="6" t="n">
        <v>96.5</v>
      </c>
      <c r="D11" s="6" t="n">
        <v>70.09999999999999</v>
      </c>
      <c r="E11" s="6" t="n">
        <v>78.40000000000001</v>
      </c>
      <c r="F11" s="6" t="n">
        <v>70.5</v>
      </c>
      <c r="G11" s="6" t="n">
        <v>64.7</v>
      </c>
      <c r="H11" s="6" t="n">
        <v>64.7</v>
      </c>
      <c r="I11" s="6" t="n">
        <v>55.9</v>
      </c>
      <c r="J11" s="6" t="n">
        <v>81.09999999999999</v>
      </c>
      <c r="K11" s="6" t="n">
        <v>90.7</v>
      </c>
      <c r="L11" s="6" t="n">
        <v>89.3</v>
      </c>
      <c r="M11" s="6" t="n">
        <v>96.09999999999999</v>
      </c>
      <c r="N11" s="6" t="n">
        <v>48.9</v>
      </c>
    </row>
    <row r="12">
      <c r="A12" s="5" t="inlineStr">
        <is>
          <t>Total net credit exposure</t>
        </is>
      </c>
      <c r="B12" s="5" t="n">
        <v>663.1</v>
      </c>
      <c r="C12" s="5" t="n">
        <v>375.8</v>
      </c>
      <c r="D12" s="5" t="n">
        <v>585.7</v>
      </c>
      <c r="E12" s="5" t="n">
        <v>609.5</v>
      </c>
      <c r="F12" s="5" t="n">
        <v>662.7</v>
      </c>
      <c r="G12" s="5" t="n">
        <v>408.2</v>
      </c>
      <c r="H12" s="5" t="n">
        <v>743</v>
      </c>
      <c r="I12" s="5" t="n">
        <v>183.1</v>
      </c>
      <c r="J12" s="5" t="n">
        <v>374.5</v>
      </c>
      <c r="K12" s="5" t="n">
        <v>334</v>
      </c>
      <c r="L12" s="5" t="n">
        <v>175.9</v>
      </c>
      <c r="M12" s="5" t="n">
        <v>174.8</v>
      </c>
      <c r="N12" s="5" t="n">
        <v>119.4</v>
      </c>
    </row>
    <row r="13">
      <c r="A13" s="6" t="inlineStr">
        <is>
          <t>Memo: Total gross credit exposure (before CRM)</t>
        </is>
      </c>
      <c r="B13" s="6" t="n">
        <v>752.1</v>
      </c>
      <c r="C13" s="6" t="n">
        <v>420.8</v>
      </c>
      <c r="D13" s="6" t="n">
        <v>665.7</v>
      </c>
      <c r="E13" s="6" t="n">
        <v>681.1</v>
      </c>
      <c r="F13" s="6" t="n">
        <v>725</v>
      </c>
      <c r="G13" s="6" t="n">
        <v>437.9</v>
      </c>
      <c r="H13" s="6" t="n">
        <v>834.2</v>
      </c>
      <c r="I13" s="6" t="n">
        <v>257.9</v>
      </c>
      <c r="J13" s="6" t="n">
        <v>405.5</v>
      </c>
      <c r="K13" s="6" t="n">
        <v>401.6</v>
      </c>
      <c r="L13" s="6" t="n">
        <v>228.7</v>
      </c>
      <c r="M13" s="6" t="n">
        <v>174.8</v>
      </c>
      <c r="N13" s="6" t="n">
        <v>119.4</v>
      </c>
    </row>
    <row r="14">
      <c r="A14" s="6" t="inlineStr">
        <is>
          <t>Credit risk RWAs (excluding CCR)</t>
        </is>
      </c>
      <c r="B14" s="6" t="n">
        <v>210.2</v>
      </c>
      <c r="C14" s="6" t="n">
        <v>150.5</v>
      </c>
      <c r="D14" s="6" t="n">
        <v>148.4</v>
      </c>
      <c r="E14" s="6" t="n">
        <v>140.1</v>
      </c>
      <c r="F14" s="6" t="n">
        <v>108.2</v>
      </c>
      <c r="G14" s="6" t="n">
        <v>92.8</v>
      </c>
      <c r="H14" s="6" t="n">
        <v>85.90000000000001</v>
      </c>
      <c r="I14" s="6" t="n">
        <v>88</v>
      </c>
      <c r="J14" s="6" t="n">
        <v>98.7</v>
      </c>
      <c r="K14" s="6" t="n">
        <v>117.7</v>
      </c>
      <c r="L14" s="6" t="n">
        <v>101.1</v>
      </c>
      <c r="M14" s="6" t="n">
        <v>118.5</v>
      </c>
      <c r="N14" s="6" t="n">
        <v>64.3</v>
      </c>
    </row>
    <row r="15">
      <c r="A15" s="6" t="inlineStr">
        <is>
          <t>Credit risk RWA density (RWAs / net credit exposure)</t>
        </is>
      </c>
      <c r="B15" s="6" t="inlineStr">
        <is>
          <t>31.70%</t>
        </is>
      </c>
      <c r="C15" s="6" t="inlineStr">
        <is>
          <t>40.05%</t>
        </is>
      </c>
      <c r="D15" s="6" t="inlineStr">
        <is>
          <t>25.34%</t>
        </is>
      </c>
      <c r="E15" s="6" t="inlineStr">
        <is>
          <t>22.99%</t>
        </is>
      </c>
      <c r="F15" s="6" t="inlineStr">
        <is>
          <t>16.33%</t>
        </is>
      </c>
      <c r="G15" s="6" t="inlineStr">
        <is>
          <t>22.73%</t>
        </is>
      </c>
      <c r="H15" s="6" t="inlineStr">
        <is>
          <t>11.56%</t>
        </is>
      </c>
      <c r="I15" s="6" t="inlineStr">
        <is>
          <t>48.06%</t>
        </is>
      </c>
      <c r="J15" s="6" t="inlineStr">
        <is>
          <t>26.36%</t>
        </is>
      </c>
      <c r="K15" s="6" t="inlineStr">
        <is>
          <t>35.24%</t>
        </is>
      </c>
      <c r="L15" s="6" t="inlineStr">
        <is>
          <t>57.48%</t>
        </is>
      </c>
      <c r="M15" s="6" t="inlineStr">
        <is>
          <t>67.79%</t>
        </is>
      </c>
      <c r="N15" s="6" t="inlineStr">
        <is>
          <t>53.87%</t>
        </is>
      </c>
    </row>
    <row r="17" ht="260" customHeight="1">
      <c r="A1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Credit risk exposures and RWAs by credit quality step table, section 'Analysis of credit risk exposures', in each year's own Pillar 3 disclosure document listed above.</t>
        </is>
      </c>
    </row>
  </sheetData>
  <mergeCells count="1">
    <mergeCell ref="A17:N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Mizuho International plc — KM1 Key Metrics</t>
        </is>
      </c>
    </row>
    <row r="2">
      <c r="A2" s="2" t="inlineStr">
        <is>
          <t>The Group's own "Table 6: Key regulatory metrics", reproduced whole in Mizuho's own row order, row numbers, labels and precision, on the consolidated Mizuho International plc Group basis the Pillar 3 disclosures use. TWO BLOCKS, deliberately not merged: the UK KM1 template as printed in the FY2022-FY2026 editions (numbered rows), and the older Basel/EBA-era key-metrics table the FY2018-FY2021 editions print (no row numbers, a separate "Tier 2" line, "EBA leverage ratio", and no SREP or NSFR rows at all). Every column is that year's own edition except FY2017, which is the FY2018 edition's comparative — see the source note. £m for amounts, percentages as printed.</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5" t="inlineStr">
        <is>
          <t>UK KM1 template - FY2022 to FY2026 editions (£m and %)</t>
        </is>
      </c>
      <c r="B4" s="6" t="n"/>
      <c r="C4" s="6" t="n"/>
      <c r="D4" s="6" t="n"/>
      <c r="E4" s="6" t="n"/>
      <c r="F4" s="6" t="n"/>
      <c r="G4" s="6" t="n"/>
      <c r="H4" s="6" t="n"/>
      <c r="I4" s="6" t="n"/>
      <c r="J4" s="6" t="n"/>
      <c r="K4" s="6" t="n"/>
    </row>
    <row r="5">
      <c r="A5" s="5" t="inlineStr">
        <is>
          <t>Available own funds (amounts)</t>
        </is>
      </c>
      <c r="B5" s="6" t="n"/>
      <c r="C5" s="6" t="n"/>
      <c r="D5" s="6" t="n"/>
      <c r="E5" s="6" t="n"/>
      <c r="F5" s="6" t="n"/>
      <c r="G5" s="6" t="n"/>
      <c r="H5" s="6" t="n"/>
      <c r="I5" s="6" t="n"/>
      <c r="J5" s="6" t="n"/>
      <c r="K5" s="6" t="n"/>
    </row>
    <row r="6">
      <c r="A6" s="6" t="inlineStr">
        <is>
          <t>1 Common Equity Tier 1 (CET1) capital (£m)</t>
        </is>
      </c>
      <c r="B6" s="6" t="n">
        <v>679.8</v>
      </c>
      <c r="C6" s="6" t="n">
        <v>670.5</v>
      </c>
      <c r="D6" s="6" t="n">
        <v>637.4</v>
      </c>
      <c r="E6" s="6" t="n">
        <v>627.7</v>
      </c>
      <c r="F6" s="6" t="n">
        <v>640.8</v>
      </c>
      <c r="G6" s="6" t="n"/>
      <c r="H6" s="6" t="n"/>
      <c r="I6" s="6" t="n"/>
      <c r="J6" s="6" t="n"/>
      <c r="K6" s="6" t="n"/>
    </row>
    <row r="7">
      <c r="A7" s="6" t="inlineStr">
        <is>
          <t>2 Tier 1 capital (£m)</t>
        </is>
      </c>
      <c r="B7" s="6" t="n">
        <v>679.8</v>
      </c>
      <c r="C7" s="6" t="n">
        <v>670.5</v>
      </c>
      <c r="D7" s="6" t="n">
        <v>637.4</v>
      </c>
      <c r="E7" s="6" t="n">
        <v>627.7</v>
      </c>
      <c r="F7" s="6" t="n">
        <v>640.8</v>
      </c>
      <c r="G7" s="6" t="n"/>
      <c r="H7" s="6" t="n"/>
      <c r="I7" s="6" t="n"/>
      <c r="J7" s="6" t="n"/>
      <c r="K7" s="6" t="n"/>
    </row>
    <row r="8">
      <c r="A8" s="6" t="inlineStr">
        <is>
          <t>3 Total capital (£m)</t>
        </is>
      </c>
      <c r="B8" s="6" t="n">
        <v>679.8</v>
      </c>
      <c r="C8" s="6" t="n">
        <v>670.5</v>
      </c>
      <c r="D8" s="6" t="n">
        <v>637.4</v>
      </c>
      <c r="E8" s="6" t="n">
        <v>627.7</v>
      </c>
      <c r="F8" s="6" t="n">
        <v>640.8</v>
      </c>
      <c r="G8" s="6" t="n"/>
      <c r="H8" s="6" t="n"/>
      <c r="I8" s="6" t="n"/>
      <c r="J8" s="6" t="n"/>
      <c r="K8" s="6" t="n"/>
    </row>
    <row r="9">
      <c r="A9" s="5" t="inlineStr">
        <is>
          <t>Risk-weighted assets amounts (RWAs)</t>
        </is>
      </c>
      <c r="B9" s="6" t="n"/>
      <c r="C9" s="6" t="n"/>
      <c r="D9" s="6" t="n"/>
      <c r="E9" s="6" t="n"/>
      <c r="F9" s="6" t="n"/>
      <c r="G9" s="6" t="n"/>
      <c r="H9" s="6" t="n"/>
      <c r="I9" s="6" t="n"/>
      <c r="J9" s="6" t="n"/>
      <c r="K9" s="6" t="n"/>
    </row>
    <row r="10">
      <c r="A10" s="6" t="inlineStr">
        <is>
          <t>4 Total risk-weighted assets (RWAs) (£m)</t>
        </is>
      </c>
      <c r="B10" s="6" t="n">
        <v>2595.5</v>
      </c>
      <c r="C10" s="6" t="n">
        <v>3353.2</v>
      </c>
      <c r="D10" s="6" t="n">
        <v>2790.7</v>
      </c>
      <c r="E10" s="6" t="n">
        <v>2241.7</v>
      </c>
      <c r="F10" s="6" t="n">
        <v>2057.9</v>
      </c>
      <c r="G10" s="6" t="n"/>
      <c r="H10" s="6" t="n"/>
      <c r="I10" s="6" t="n"/>
      <c r="J10" s="6" t="n"/>
      <c r="K10" s="6" t="n"/>
    </row>
    <row r="11">
      <c r="A11" s="5" t="inlineStr">
        <is>
          <t>Capital ratios (as a percentage of RWAs)</t>
        </is>
      </c>
      <c r="B11" s="6" t="n"/>
      <c r="C11" s="6" t="n"/>
      <c r="D11" s="6" t="n"/>
      <c r="E11" s="6" t="n"/>
      <c r="F11" s="6" t="n"/>
      <c r="G11" s="6" t="n"/>
      <c r="H11" s="6" t="n"/>
      <c r="I11" s="6" t="n"/>
      <c r="J11" s="6" t="n"/>
      <c r="K11" s="6" t="n"/>
    </row>
    <row r="12">
      <c r="A12" s="6" t="inlineStr">
        <is>
          <t>5 Common Equity Tier 1 ratio (%)</t>
        </is>
      </c>
      <c r="B12" s="6" t="inlineStr">
        <is>
          <t>26.19%</t>
        </is>
      </c>
      <c r="C12" s="6" t="inlineStr">
        <is>
          <t>20.00%</t>
        </is>
      </c>
      <c r="D12" s="6" t="inlineStr">
        <is>
          <t>22.84%</t>
        </is>
      </c>
      <c r="E12" s="6" t="inlineStr">
        <is>
          <t>28.00%</t>
        </is>
      </c>
      <c r="F12" s="6" t="inlineStr">
        <is>
          <t>31.14%</t>
        </is>
      </c>
      <c r="G12" s="6" t="n"/>
      <c r="H12" s="6" t="n"/>
      <c r="I12" s="6" t="n"/>
      <c r="J12" s="6" t="n"/>
      <c r="K12" s="6" t="n"/>
    </row>
    <row r="13">
      <c r="A13" s="6" t="inlineStr">
        <is>
          <t>6 Tier 1 ratio (%)</t>
        </is>
      </c>
      <c r="B13" s="6" t="inlineStr">
        <is>
          <t>26.19%</t>
        </is>
      </c>
      <c r="C13" s="6" t="inlineStr">
        <is>
          <t>20.00%</t>
        </is>
      </c>
      <c r="D13" s="6" t="inlineStr">
        <is>
          <t>22.84%</t>
        </is>
      </c>
      <c r="E13" s="6" t="inlineStr">
        <is>
          <t>28.00%</t>
        </is>
      </c>
      <c r="F13" s="6" t="inlineStr">
        <is>
          <t>31.14%</t>
        </is>
      </c>
      <c r="G13" s="6" t="n"/>
      <c r="H13" s="6" t="n"/>
      <c r="I13" s="6" t="n"/>
      <c r="J13" s="6" t="n"/>
      <c r="K13" s="6" t="n"/>
    </row>
    <row r="14">
      <c r="A14" s="6" t="inlineStr">
        <is>
          <t>7 Total capital ratio (%)</t>
        </is>
      </c>
      <c r="B14" s="6" t="inlineStr">
        <is>
          <t>26.19%</t>
        </is>
      </c>
      <c r="C14" s="6" t="inlineStr">
        <is>
          <t>20.00%</t>
        </is>
      </c>
      <c r="D14" s="6" t="inlineStr">
        <is>
          <t>22.84%</t>
        </is>
      </c>
      <c r="E14" s="6" t="inlineStr">
        <is>
          <t>28.00%</t>
        </is>
      </c>
      <c r="F14" s="6" t="inlineStr">
        <is>
          <t>31.14%</t>
        </is>
      </c>
      <c r="G14" s="6" t="n"/>
      <c r="H14" s="6" t="n"/>
      <c r="I14" s="6" t="n"/>
      <c r="J14" s="6" t="n"/>
      <c r="K14" s="6" t="n"/>
    </row>
    <row r="15">
      <c r="A15" s="5" t="inlineStr">
        <is>
          <t>Additional own funds requirements based on SREP (as a percentage of RWAs)</t>
        </is>
      </c>
      <c r="B15" s="6" t="n"/>
      <c r="C15" s="6" t="n"/>
      <c r="D15" s="6" t="n"/>
      <c r="E15" s="6" t="n"/>
      <c r="F15" s="6" t="n"/>
      <c r="G15" s="6" t="n"/>
      <c r="H15" s="6" t="n"/>
      <c r="I15" s="6" t="n"/>
      <c r="J15" s="6" t="n"/>
      <c r="K15" s="6" t="n"/>
    </row>
    <row r="16">
      <c r="A16" s="6" t="inlineStr">
        <is>
          <t>7a Additional CET1 SREP requirements (%)</t>
        </is>
      </c>
      <c r="B16" s="6" t="inlineStr">
        <is>
          <t>1.52%</t>
        </is>
      </c>
      <c r="C16" s="6" t="inlineStr">
        <is>
          <t>1.52%</t>
        </is>
      </c>
      <c r="D16" s="6" t="inlineStr">
        <is>
          <t>1.86%</t>
        </is>
      </c>
      <c r="E16" s="6" t="inlineStr">
        <is>
          <t>1.98%</t>
        </is>
      </c>
      <c r="F16" s="6" t="inlineStr">
        <is>
          <t>2.04%</t>
        </is>
      </c>
      <c r="G16" s="6" t="n"/>
      <c r="H16" s="6" t="n"/>
      <c r="I16" s="6" t="n"/>
      <c r="J16" s="6" t="n"/>
      <c r="K16" s="6" t="n"/>
    </row>
    <row r="17">
      <c r="A17" s="6" t="inlineStr">
        <is>
          <t>7d Total SREP own funds requirements (%)</t>
        </is>
      </c>
      <c r="B17" s="6" t="inlineStr">
        <is>
          <t>9.52%</t>
        </is>
      </c>
      <c r="C17" s="6" t="inlineStr">
        <is>
          <t>9.52%</t>
        </is>
      </c>
      <c r="D17" s="6" t="inlineStr">
        <is>
          <t>9.86%</t>
        </is>
      </c>
      <c r="E17" s="6" t="inlineStr">
        <is>
          <t>9.98%</t>
        </is>
      </c>
      <c r="F17" s="6" t="inlineStr">
        <is>
          <t>10.04%</t>
        </is>
      </c>
      <c r="G17" s="6" t="n"/>
      <c r="H17" s="6" t="n"/>
      <c r="I17" s="6" t="n"/>
      <c r="J17" s="6" t="n"/>
      <c r="K17" s="6" t="n"/>
    </row>
    <row r="18">
      <c r="A18" s="5" t="inlineStr">
        <is>
          <t>Combined buffer requirement (as a percentage of RWAs)</t>
        </is>
      </c>
      <c r="B18" s="6" t="n"/>
      <c r="C18" s="6" t="n"/>
      <c r="D18" s="6" t="n"/>
      <c r="E18" s="6" t="n"/>
      <c r="F18" s="6" t="n"/>
      <c r="G18" s="6" t="n"/>
      <c r="H18" s="6" t="n"/>
      <c r="I18" s="6" t="n"/>
      <c r="J18" s="6" t="n"/>
      <c r="K18" s="6" t="n"/>
    </row>
    <row r="19">
      <c r="A19" s="6" t="inlineStr">
        <is>
          <t>8 Capital conservation buffer (%)</t>
        </is>
      </c>
      <c r="B19" s="6" t="inlineStr">
        <is>
          <t>2.50%</t>
        </is>
      </c>
      <c r="C19" s="6" t="inlineStr">
        <is>
          <t>2.50%</t>
        </is>
      </c>
      <c r="D19" s="6" t="inlineStr">
        <is>
          <t>2.50%</t>
        </is>
      </c>
      <c r="E19" s="6" t="inlineStr">
        <is>
          <t>2.50%</t>
        </is>
      </c>
      <c r="F19" s="6" t="inlineStr">
        <is>
          <t>2.50%</t>
        </is>
      </c>
      <c r="G19" s="6" t="n"/>
      <c r="H19" s="6" t="n"/>
      <c r="I19" s="6" t="n"/>
      <c r="J19" s="6" t="n"/>
      <c r="K19" s="6" t="n"/>
    </row>
    <row r="20">
      <c r="A20" s="6" t="inlineStr">
        <is>
          <t>9 Institution-specific countercyclical capital buffer (%)</t>
        </is>
      </c>
      <c r="B20" s="6" t="inlineStr">
        <is>
          <t>0.73%</t>
        </is>
      </c>
      <c r="C20" s="6" t="inlineStr">
        <is>
          <t>0.93%</t>
        </is>
      </c>
      <c r="D20" s="6" t="inlineStr">
        <is>
          <t>0.61%</t>
        </is>
      </c>
      <c r="E20" s="6" t="inlineStr">
        <is>
          <t>0.28%</t>
        </is>
      </c>
      <c r="F20" s="6" t="inlineStr">
        <is>
          <t>0.04%</t>
        </is>
      </c>
      <c r="G20" s="6" t="n"/>
      <c r="H20" s="6" t="n"/>
      <c r="I20" s="6" t="n"/>
      <c r="J20" s="6" t="n"/>
      <c r="K20" s="6" t="n"/>
    </row>
    <row r="21">
      <c r="A21" s="6" t="inlineStr">
        <is>
          <t>11 Combined buffer requirement (%)</t>
        </is>
      </c>
      <c r="B21" s="6" t="inlineStr">
        <is>
          <t>3.23%</t>
        </is>
      </c>
      <c r="C21" s="6" t="inlineStr">
        <is>
          <t>3.43%</t>
        </is>
      </c>
      <c r="D21" s="6" t="inlineStr">
        <is>
          <t>3.11%</t>
        </is>
      </c>
      <c r="E21" s="6" t="inlineStr">
        <is>
          <t>2.78%</t>
        </is>
      </c>
      <c r="F21" s="6" t="inlineStr">
        <is>
          <t>2.54%</t>
        </is>
      </c>
      <c r="G21" s="6" t="n"/>
      <c r="H21" s="6" t="n"/>
      <c r="I21" s="6" t="n"/>
      <c r="J21" s="6" t="n"/>
      <c r="K21" s="6" t="n"/>
    </row>
    <row r="22">
      <c r="A22" s="6" t="inlineStr">
        <is>
          <t>11a Overall capital requirements (%)</t>
        </is>
      </c>
      <c r="B22" s="6" t="inlineStr">
        <is>
          <t>12.75%</t>
        </is>
      </c>
      <c r="C22" s="6" t="inlineStr">
        <is>
          <t>12.95%</t>
        </is>
      </c>
      <c r="D22" s="6" t="inlineStr">
        <is>
          <t>12.97%</t>
        </is>
      </c>
      <c r="E22" s="6" t="inlineStr">
        <is>
          <t>12.76%</t>
        </is>
      </c>
      <c r="F22" s="6" t="inlineStr">
        <is>
          <t>12.57%</t>
        </is>
      </c>
      <c r="G22" s="6" t="n"/>
      <c r="H22" s="6" t="n"/>
      <c r="I22" s="6" t="n"/>
      <c r="J22" s="6" t="n"/>
      <c r="K22" s="6" t="n"/>
    </row>
    <row r="23">
      <c r="A23" s="6" t="inlineStr">
        <is>
          <t>12 CET1 available after meeting the total SREP own funds requirements (%)</t>
        </is>
      </c>
      <c r="B23" s="6" t="inlineStr">
        <is>
          <t>16.67%</t>
        </is>
      </c>
      <c r="C23" s="6" t="inlineStr">
        <is>
          <t>10.48%</t>
        </is>
      </c>
      <c r="D23" s="6" t="inlineStr">
        <is>
          <t>12.98%</t>
        </is>
      </c>
      <c r="E23" s="6" t="inlineStr">
        <is>
          <t>18.02%</t>
        </is>
      </c>
      <c r="F23" s="6" t="inlineStr">
        <is>
          <t>21.10%</t>
        </is>
      </c>
      <c r="G23" s="6" t="n"/>
      <c r="H23" s="6" t="n"/>
      <c r="I23" s="6" t="n"/>
      <c r="J23" s="6" t="n"/>
      <c r="K23" s="6" t="n"/>
    </row>
    <row r="24">
      <c r="A24" s="5" t="inlineStr">
        <is>
          <t>Leverage ratio</t>
        </is>
      </c>
      <c r="B24" s="6" t="n"/>
      <c r="C24" s="6" t="n"/>
      <c r="D24" s="6" t="n"/>
      <c r="E24" s="6" t="n"/>
      <c r="F24" s="6" t="n"/>
      <c r="G24" s="6" t="n"/>
      <c r="H24" s="6" t="n"/>
      <c r="I24" s="6" t="n"/>
      <c r="J24" s="6" t="n"/>
      <c r="K24" s="6" t="n"/>
    </row>
    <row r="25">
      <c r="A25" s="6" t="inlineStr">
        <is>
          <t>13 Total exposure measure excluding claims on central banks (£m)</t>
        </is>
      </c>
      <c r="B25" s="6" t="n">
        <v>15334.8</v>
      </c>
      <c r="C25" s="6" t="n">
        <v>15999.6</v>
      </c>
      <c r="D25" s="6" t="n">
        <v>15668.5</v>
      </c>
      <c r="E25" s="6" t="n">
        <v>14812.8</v>
      </c>
      <c r="F25" s="6" t="n">
        <v>15727.1</v>
      </c>
      <c r="G25" s="6" t="n"/>
      <c r="H25" s="6" t="n"/>
      <c r="I25" s="6" t="n"/>
      <c r="J25" s="6" t="n"/>
      <c r="K25" s="6" t="n"/>
    </row>
    <row r="26">
      <c r="A26" s="6" t="inlineStr">
        <is>
          <t>14 Leverage ratio excluding claims on central banks (%)</t>
        </is>
      </c>
      <c r="B26" s="6" t="inlineStr">
        <is>
          <t>4.43%</t>
        </is>
      </c>
      <c r="C26" s="6" t="inlineStr">
        <is>
          <t>4.19%</t>
        </is>
      </c>
      <c r="D26" s="6" t="inlineStr">
        <is>
          <t>4.07%</t>
        </is>
      </c>
      <c r="E26" s="6" t="inlineStr">
        <is>
          <t>4.24%</t>
        </is>
      </c>
      <c r="F26" s="6" t="inlineStr">
        <is>
          <t>4.07%</t>
        </is>
      </c>
      <c r="G26" s="6" t="n"/>
      <c r="H26" s="6" t="n"/>
      <c r="I26" s="6" t="n"/>
      <c r="J26" s="6" t="n"/>
      <c r="K26" s="6" t="n"/>
    </row>
    <row r="27">
      <c r="A27" s="6" t="inlineStr">
        <is>
          <t>14a Fully loaded ECL accounting model leverage ratio excluding claims on central banks (%)</t>
        </is>
      </c>
      <c r="B27" s="6" t="inlineStr">
        <is>
          <t>4.43%</t>
        </is>
      </c>
      <c r="C27" s="6" t="inlineStr">
        <is>
          <t>4.19%</t>
        </is>
      </c>
      <c r="D27" s="6" t="inlineStr">
        <is>
          <t>4.07%</t>
        </is>
      </c>
      <c r="E27" s="6" t="inlineStr">
        <is>
          <t>4.24%</t>
        </is>
      </c>
      <c r="F27" s="6" t="n"/>
      <c r="G27" s="6" t="n"/>
      <c r="H27" s="6" t="n"/>
      <c r="I27" s="6" t="n"/>
      <c r="J27" s="6" t="n"/>
      <c r="K27" s="6" t="n"/>
    </row>
    <row r="28">
      <c r="A28" s="6" t="inlineStr">
        <is>
          <t>14b Leverage ratio including claims on central banks (%)</t>
        </is>
      </c>
      <c r="B28" s="6" t="inlineStr">
        <is>
          <t>4.37%</t>
        </is>
      </c>
      <c r="C28" s="6" t="inlineStr">
        <is>
          <t>4.16%</t>
        </is>
      </c>
      <c r="D28" s="6" t="inlineStr">
        <is>
          <t>3.98%</t>
        </is>
      </c>
      <c r="E28" s="6" t="inlineStr">
        <is>
          <t>4.13%</t>
        </is>
      </c>
      <c r="F28" s="6" t="inlineStr">
        <is>
          <t>3.95%</t>
        </is>
      </c>
      <c r="G28" s="6" t="n"/>
      <c r="H28" s="6" t="n"/>
      <c r="I28" s="6" t="n"/>
      <c r="J28" s="6" t="n"/>
      <c r="K28" s="6" t="n"/>
    </row>
    <row r="29">
      <c r="A29" s="6" t="inlineStr">
        <is>
          <t>14c Average leverage ratio excluding claims on central banks (%)</t>
        </is>
      </c>
      <c r="B29" s="6" t="inlineStr">
        <is>
          <t>4.22%</t>
        </is>
      </c>
      <c r="C29" s="6" t="inlineStr">
        <is>
          <t>4.15%</t>
        </is>
      </c>
      <c r="D29" s="6" t="inlineStr">
        <is>
          <t>3.91%</t>
        </is>
      </c>
      <c r="E29" s="6" t="inlineStr">
        <is>
          <t>4.04%</t>
        </is>
      </c>
      <c r="F29" s="6" t="n"/>
      <c r="G29" s="6" t="n"/>
      <c r="H29" s="6" t="n"/>
      <c r="I29" s="6" t="n"/>
      <c r="J29" s="6" t="n"/>
      <c r="K29" s="6" t="n"/>
    </row>
    <row r="30">
      <c r="A30" s="6" t="inlineStr">
        <is>
          <t>14d Average leverage ratio including claims on central banks (%)</t>
        </is>
      </c>
      <c r="B30" s="6" t="inlineStr">
        <is>
          <t>4.16%</t>
        </is>
      </c>
      <c r="C30" s="6" t="inlineStr">
        <is>
          <t>4.12%</t>
        </is>
      </c>
      <c r="D30" s="6" t="inlineStr">
        <is>
          <t>3.83%</t>
        </is>
      </c>
      <c r="E30" s="6" t="inlineStr">
        <is>
          <t>3.91%</t>
        </is>
      </c>
      <c r="F30" s="6" t="n"/>
      <c r="G30" s="6" t="n"/>
      <c r="H30" s="6" t="n"/>
      <c r="I30" s="6" t="n"/>
      <c r="J30" s="6" t="n"/>
      <c r="K30" s="6" t="n"/>
    </row>
    <row r="31">
      <c r="A31" s="6" t="inlineStr">
        <is>
          <t>14e Countercyclical leverage ratio buffer (%)</t>
        </is>
      </c>
      <c r="B31" s="6" t="inlineStr">
        <is>
          <t>0.30%</t>
        </is>
      </c>
      <c r="C31" s="6" t="inlineStr">
        <is>
          <t>0.30%</t>
        </is>
      </c>
      <c r="D31" s="6" t="inlineStr">
        <is>
          <t>0.20%</t>
        </is>
      </c>
      <c r="E31" s="6" t="inlineStr">
        <is>
          <t>0.10%</t>
        </is>
      </c>
      <c r="F31" s="6" t="n"/>
      <c r="G31" s="6" t="n"/>
      <c r="H31" s="6" t="n"/>
      <c r="I31" s="6" t="n"/>
      <c r="J31" s="6" t="n"/>
      <c r="K31" s="6" t="n"/>
    </row>
    <row r="32">
      <c r="A32" s="5" t="inlineStr">
        <is>
          <t>Liquidity Coverage Ratio</t>
        </is>
      </c>
      <c r="B32" s="6" t="n"/>
      <c r="C32" s="6" t="n"/>
      <c r="D32" s="6" t="n"/>
      <c r="E32" s="6" t="n"/>
      <c r="F32" s="6" t="n"/>
      <c r="G32" s="6" t="n"/>
      <c r="H32" s="6" t="n"/>
      <c r="I32" s="6" t="n"/>
      <c r="J32" s="6" t="n"/>
      <c r="K32" s="6" t="n"/>
    </row>
    <row r="33">
      <c r="A33" s="6" t="inlineStr">
        <is>
          <t>15 Total high-quality liquid assets (HQLA) (Weighted value - average) (£m)</t>
        </is>
      </c>
      <c r="B33" s="6" t="n">
        <v>1931.8</v>
      </c>
      <c r="C33" s="6" t="n">
        <v>2014.2</v>
      </c>
      <c r="D33" s="6" t="n">
        <v>2079.7</v>
      </c>
      <c r="E33" s="6" t="n">
        <v>2090.2</v>
      </c>
      <c r="F33" s="6" t="n">
        <v>2035.9</v>
      </c>
      <c r="G33" s="6" t="n"/>
      <c r="H33" s="6" t="n"/>
      <c r="I33" s="6" t="n"/>
      <c r="J33" s="6" t="n"/>
      <c r="K33" s="6" t="n"/>
    </row>
    <row r="34">
      <c r="A34" s="6" t="inlineStr">
        <is>
          <t>16a Cash outflows - Total weighted value (£m)</t>
        </is>
      </c>
      <c r="B34" s="6" t="n">
        <v>2883</v>
      </c>
      <c r="C34" s="6" t="n">
        <v>3395.1</v>
      </c>
      <c r="D34" s="6" t="n">
        <v>3357.2</v>
      </c>
      <c r="E34" s="6" t="n">
        <v>2664.6</v>
      </c>
      <c r="F34" s="6" t="n">
        <v>2279.3</v>
      </c>
      <c r="G34" s="6" t="n"/>
      <c r="H34" s="6" t="n"/>
      <c r="I34" s="6" t="n"/>
      <c r="J34" s="6" t="n"/>
      <c r="K34" s="6" t="n"/>
    </row>
    <row r="35">
      <c r="A35" s="6" t="inlineStr">
        <is>
          <t>16b Cash inflows - Total weighted value (£m)</t>
        </is>
      </c>
      <c r="B35" s="6" t="n">
        <v>2445.6</v>
      </c>
      <c r="C35" s="6" t="n">
        <v>2710.9</v>
      </c>
      <c r="D35" s="6" t="n">
        <v>2775.5</v>
      </c>
      <c r="E35" s="6" t="n">
        <v>2173.1</v>
      </c>
      <c r="F35" s="6" t="n">
        <v>2007.4</v>
      </c>
      <c r="G35" s="6" t="n"/>
      <c r="H35" s="6" t="n"/>
      <c r="I35" s="6" t="n"/>
      <c r="J35" s="6" t="n"/>
      <c r="K35" s="6" t="n"/>
    </row>
    <row r="36">
      <c r="A36" s="6" t="inlineStr">
        <is>
          <t>16 Total net cash outflows (adjusted value) (£m)</t>
        </is>
      </c>
      <c r="B36" s="6" t="n">
        <v>720.8</v>
      </c>
      <c r="C36" s="6" t="n">
        <v>850.4</v>
      </c>
      <c r="D36" s="6" t="n">
        <v>839.3</v>
      </c>
      <c r="E36" s="6" t="n">
        <v>716.3</v>
      </c>
      <c r="F36" s="6" t="n">
        <v>574.9</v>
      </c>
      <c r="G36" s="6" t="n"/>
      <c r="H36" s="6" t="n"/>
      <c r="I36" s="6" t="n"/>
      <c r="J36" s="6" t="n"/>
      <c r="K36" s="6" t="n"/>
    </row>
    <row r="37">
      <c r="A37" s="6" t="inlineStr">
        <is>
          <t>17 Liquidity coverage ratio (%)</t>
        </is>
      </c>
      <c r="B37" s="6" t="inlineStr">
        <is>
          <t>272.4%</t>
        </is>
      </c>
      <c r="C37" s="6" t="inlineStr">
        <is>
          <t>239.20%</t>
        </is>
      </c>
      <c r="D37" s="6" t="inlineStr">
        <is>
          <t>250.39%</t>
        </is>
      </c>
      <c r="E37" s="6" t="inlineStr">
        <is>
          <t>302.67%</t>
        </is>
      </c>
      <c r="F37" s="6" t="inlineStr">
        <is>
          <t>364.04%</t>
        </is>
      </c>
      <c r="G37" s="6" t="n"/>
      <c r="H37" s="6" t="n"/>
      <c r="I37" s="6" t="n"/>
      <c r="J37" s="6" t="n"/>
      <c r="K37" s="6" t="n"/>
    </row>
    <row r="38">
      <c r="A38" s="5" t="inlineStr">
        <is>
          <t>Net Stable Funding Ratio</t>
        </is>
      </c>
      <c r="B38" s="6" t="n"/>
      <c r="C38" s="6" t="n"/>
      <c r="D38" s="6" t="n"/>
      <c r="E38" s="6" t="n"/>
      <c r="F38" s="6" t="n"/>
      <c r="G38" s="6" t="n"/>
      <c r="H38" s="6" t="n"/>
      <c r="I38" s="6" t="n"/>
      <c r="J38" s="6" t="n"/>
      <c r="K38" s="6" t="n"/>
    </row>
    <row r="39">
      <c r="A39" s="6" t="inlineStr">
        <is>
          <t>18 Total available stable funding (£m)</t>
        </is>
      </c>
      <c r="B39" s="6" t="n">
        <v>2776.7</v>
      </c>
      <c r="C39" s="6" t="n">
        <v>3196.7</v>
      </c>
      <c r="D39" s="6" t="n">
        <v>2768.8</v>
      </c>
      <c r="E39" s="6" t="n">
        <v>2253.8</v>
      </c>
      <c r="F39" s="6" t="n">
        <v>2509.6</v>
      </c>
      <c r="G39" s="6" t="n"/>
      <c r="H39" s="6" t="n"/>
      <c r="I39" s="6" t="n"/>
      <c r="J39" s="6" t="n"/>
      <c r="K39" s="6" t="n"/>
    </row>
    <row r="40">
      <c r="A40" s="6" t="inlineStr">
        <is>
          <t>19 Total required stable funding (£m)</t>
        </is>
      </c>
      <c r="B40" s="6" t="n">
        <v>1883.5</v>
      </c>
      <c r="C40" s="6" t="n">
        <v>2609.1</v>
      </c>
      <c r="D40" s="6" t="n">
        <v>2151.9</v>
      </c>
      <c r="E40" s="6" t="n">
        <v>1602.3</v>
      </c>
      <c r="F40" s="6" t="n">
        <v>1412.2</v>
      </c>
      <c r="G40" s="6" t="n"/>
      <c r="H40" s="6" t="n"/>
      <c r="I40" s="6" t="n"/>
      <c r="J40" s="6" t="n"/>
      <c r="K40" s="6" t="n"/>
    </row>
    <row r="41">
      <c r="A41" s="6" t="inlineStr">
        <is>
          <t>20 NSFR ratio (%)</t>
        </is>
      </c>
      <c r="B41" s="6" t="inlineStr">
        <is>
          <t>147.4%</t>
        </is>
      </c>
      <c r="C41" s="6" t="inlineStr">
        <is>
          <t>122.52%</t>
        </is>
      </c>
      <c r="D41" s="6" t="inlineStr">
        <is>
          <t>128.67%</t>
        </is>
      </c>
      <c r="E41" s="6" t="inlineStr">
        <is>
          <t>140.66%</t>
        </is>
      </c>
      <c r="F41" s="6" t="inlineStr">
        <is>
          <t>177.71%</t>
        </is>
      </c>
      <c r="G41" s="6" t="n"/>
      <c r="H41" s="6" t="n"/>
      <c r="I41" s="6" t="n"/>
      <c r="J41" s="6" t="n"/>
      <c r="K41" s="6" t="n"/>
    </row>
    <row r="42">
      <c r="A42" s="5" t="inlineStr">
        <is>
          <t>Pre-2022 key regulatory metrics table - FY2018 to FY2021 editions, as printed: unnumbered rows, different captions (£m and %)</t>
        </is>
      </c>
      <c r="B42" s="6" t="n"/>
      <c r="C42" s="6" t="n"/>
      <c r="D42" s="6" t="n"/>
      <c r="E42" s="6" t="n"/>
      <c r="F42" s="6" t="n"/>
      <c r="G42" s="6" t="n"/>
      <c r="H42" s="6" t="n"/>
      <c r="I42" s="6" t="n"/>
      <c r="J42" s="6" t="n"/>
      <c r="K42" s="6" t="n"/>
    </row>
    <row r="43">
      <c r="A43" s="5" t="inlineStr">
        <is>
          <t>Available capital (amounts)</t>
        </is>
      </c>
      <c r="B43" s="6" t="n"/>
      <c r="C43" s="6" t="n"/>
      <c r="D43" s="6" t="n"/>
      <c r="E43" s="6" t="n"/>
      <c r="F43" s="6" t="n"/>
      <c r="G43" s="6" t="n"/>
      <c r="H43" s="6" t="n"/>
      <c r="I43" s="6" t="n"/>
      <c r="J43" s="6" t="n"/>
      <c r="K43" s="6" t="n"/>
    </row>
    <row r="44">
      <c r="A44" s="6" t="inlineStr">
        <is>
          <t>Common Equity Tier 1 (CET1) (£m)</t>
        </is>
      </c>
      <c r="B44" s="6" t="n"/>
      <c r="C44" s="6" t="n"/>
      <c r="D44" s="6" t="n"/>
      <c r="E44" s="6" t="n"/>
      <c r="F44" s="6" t="n"/>
      <c r="G44" s="6" t="n">
        <v>675.6</v>
      </c>
      <c r="H44" s="6" t="n">
        <v>623.7</v>
      </c>
      <c r="I44" s="6" t="n">
        <v>662.5</v>
      </c>
      <c r="J44" s="6" t="n">
        <v>690.9</v>
      </c>
      <c r="K44" s="6" t="n">
        <v>658.3</v>
      </c>
    </row>
    <row r="45">
      <c r="A45" s="6" t="inlineStr">
        <is>
          <t>Tier 2 (£m)</t>
        </is>
      </c>
      <c r="B45" s="6" t="n"/>
      <c r="C45" s="6" t="n"/>
      <c r="D45" s="6" t="n"/>
      <c r="E45" s="6" t="n"/>
      <c r="F45" s="6" t="n"/>
      <c r="G45" s="6" t="n">
        <v>36</v>
      </c>
      <c r="H45" s="6" t="n">
        <v>45</v>
      </c>
      <c r="I45" s="6" t="n">
        <v>45</v>
      </c>
      <c r="J45" s="6" t="n">
        <v>45</v>
      </c>
      <c r="K45" s="6" t="n">
        <v>45</v>
      </c>
    </row>
    <row r="46">
      <c r="A46" s="6" t="inlineStr">
        <is>
          <t>Total capital (£m)</t>
        </is>
      </c>
      <c r="B46" s="6" t="n"/>
      <c r="C46" s="6" t="n"/>
      <c r="D46" s="6" t="n"/>
      <c r="E46" s="6" t="n"/>
      <c r="F46" s="6" t="n"/>
      <c r="G46" s="6" t="n">
        <v>711.6</v>
      </c>
      <c r="H46" s="6" t="n">
        <v>668.7</v>
      </c>
      <c r="I46" s="6" t="n">
        <v>707.5</v>
      </c>
      <c r="J46" s="6" t="n">
        <v>735.9</v>
      </c>
      <c r="K46" s="6" t="n">
        <v>703.3</v>
      </c>
    </row>
    <row r="47">
      <c r="A47" s="5" t="inlineStr">
        <is>
          <t>Risk-weighted assets (amounts)</t>
        </is>
      </c>
      <c r="B47" s="6" t="n"/>
      <c r="C47" s="6" t="n"/>
      <c r="D47" s="6" t="n"/>
      <c r="E47" s="6" t="n"/>
      <c r="F47" s="6" t="n"/>
      <c r="G47" s="6" t="n"/>
      <c r="H47" s="6" t="n"/>
      <c r="I47" s="6" t="n"/>
      <c r="J47" s="6" t="n"/>
      <c r="K47" s="6" t="n"/>
    </row>
    <row r="48">
      <c r="A48" s="6" t="inlineStr">
        <is>
          <t>Total risk-weighted assets (RWA) (£m)</t>
        </is>
      </c>
      <c r="B48" s="6" t="n"/>
      <c r="C48" s="6" t="n"/>
      <c r="D48" s="6" t="n"/>
      <c r="E48" s="6" t="n"/>
      <c r="F48" s="6" t="n"/>
      <c r="G48" s="6" t="n">
        <v>2171</v>
      </c>
      <c r="H48" s="6" t="n">
        <v>3115.3</v>
      </c>
      <c r="I48" s="6" t="n">
        <v>2385.8</v>
      </c>
      <c r="J48" s="6" t="n">
        <v>2257</v>
      </c>
      <c r="K48" s="6" t="n">
        <v>2002.2</v>
      </c>
    </row>
    <row r="49">
      <c r="A49" s="5" t="inlineStr">
        <is>
          <t>Risk-based capital ratios as a percentage of RWA</t>
        </is>
      </c>
      <c r="B49" s="6" t="n"/>
      <c r="C49" s="6" t="n"/>
      <c r="D49" s="6" t="n"/>
      <c r="E49" s="6" t="n"/>
      <c r="F49" s="6" t="n"/>
      <c r="G49" s="6" t="n"/>
      <c r="H49" s="6" t="n"/>
      <c r="I49" s="6" t="n"/>
      <c r="J49" s="6" t="n"/>
      <c r="K49" s="6" t="n"/>
    </row>
    <row r="50">
      <c r="A50" s="6" t="inlineStr">
        <is>
          <t>Common Equity Tier 1 ratio (%)</t>
        </is>
      </c>
      <c r="B50" s="6" t="n"/>
      <c r="C50" s="6" t="n"/>
      <c r="D50" s="6" t="n"/>
      <c r="E50" s="6" t="n"/>
      <c r="F50" s="6" t="n"/>
      <c r="G50" s="6" t="inlineStr">
        <is>
          <t>31.12%</t>
        </is>
      </c>
      <c r="H50" s="6" t="inlineStr">
        <is>
          <t>20.02%</t>
        </is>
      </c>
      <c r="I50" s="6" t="inlineStr">
        <is>
          <t>27.8%</t>
        </is>
      </c>
      <c r="J50" s="6" t="inlineStr">
        <is>
          <t>30.6%</t>
        </is>
      </c>
      <c r="K50" s="6" t="inlineStr">
        <is>
          <t>32.9%</t>
        </is>
      </c>
    </row>
    <row r="51">
      <c r="A51" s="6" t="inlineStr">
        <is>
          <t>Tier 1 ratio</t>
        </is>
      </c>
      <c r="B51" s="6" t="n"/>
      <c r="C51" s="6" t="n"/>
      <c r="D51" s="6" t="n"/>
      <c r="E51" s="6" t="n"/>
      <c r="F51" s="6" t="n"/>
      <c r="G51" s="6" t="inlineStr">
        <is>
          <t>31.12%</t>
        </is>
      </c>
      <c r="H51" s="6" t="inlineStr">
        <is>
          <t>20.02%</t>
        </is>
      </c>
      <c r="I51" s="6" t="inlineStr">
        <is>
          <t>27.8%</t>
        </is>
      </c>
      <c r="J51" s="6" t="inlineStr">
        <is>
          <t>30.6%</t>
        </is>
      </c>
      <c r="K51" s="6" t="inlineStr">
        <is>
          <t>32.9%</t>
        </is>
      </c>
    </row>
    <row r="52">
      <c r="A52" s="6" t="inlineStr">
        <is>
          <t>Total capital ratio (%)</t>
        </is>
      </c>
      <c r="B52" s="6" t="n"/>
      <c r="C52" s="6" t="n"/>
      <c r="D52" s="6" t="n"/>
      <c r="E52" s="6" t="n"/>
      <c r="F52" s="6" t="n"/>
      <c r="G52" s="6" t="inlineStr">
        <is>
          <t>32.78%</t>
        </is>
      </c>
      <c r="H52" s="6" t="inlineStr">
        <is>
          <t>21.46%</t>
        </is>
      </c>
      <c r="I52" s="6" t="inlineStr">
        <is>
          <t>29.7%</t>
        </is>
      </c>
      <c r="J52" s="6" t="inlineStr">
        <is>
          <t>32.6%</t>
        </is>
      </c>
      <c r="K52" s="6" t="inlineStr">
        <is>
          <t>35.1%</t>
        </is>
      </c>
    </row>
    <row r="53">
      <c r="A53" s="5" t="inlineStr">
        <is>
          <t>Additional CET1 buffer requirements as a percentage of RWA</t>
        </is>
      </c>
      <c r="B53" s="6" t="n"/>
      <c r="C53" s="6" t="n"/>
      <c r="D53" s="6" t="n"/>
      <c r="E53" s="6" t="n"/>
      <c r="F53" s="6" t="n"/>
      <c r="G53" s="6" t="n"/>
      <c r="H53" s="6" t="n"/>
      <c r="I53" s="6" t="n"/>
      <c r="J53" s="6" t="n"/>
      <c r="K53" s="6" t="n"/>
    </row>
    <row r="54">
      <c r="A54" s="6" t="inlineStr">
        <is>
          <t>Capital conservation buffer requirement (2.5% from 2019) (%)</t>
        </is>
      </c>
      <c r="B54" s="6" t="n"/>
      <c r="C54" s="6" t="n"/>
      <c r="D54" s="6" t="n"/>
      <c r="E54" s="6" t="n"/>
      <c r="F54" s="6" t="n"/>
      <c r="G54" s="6" t="inlineStr">
        <is>
          <t>2.50%</t>
        </is>
      </c>
      <c r="H54" s="6" t="inlineStr">
        <is>
          <t>2.50%</t>
        </is>
      </c>
      <c r="I54" s="6" t="inlineStr">
        <is>
          <t>2.5%</t>
        </is>
      </c>
      <c r="J54" s="6" t="inlineStr">
        <is>
          <t>1.875%</t>
        </is>
      </c>
      <c r="K54" s="6" t="inlineStr">
        <is>
          <t>1.250%</t>
        </is>
      </c>
    </row>
    <row r="55">
      <c r="A55" s="6" t="inlineStr">
        <is>
          <t>Countercyclical buffer requirement (%)</t>
        </is>
      </c>
      <c r="B55" s="6" t="n"/>
      <c r="C55" s="6" t="n"/>
      <c r="D55" s="6" t="n"/>
      <c r="E55" s="6" t="n"/>
      <c r="F55" s="6" t="n"/>
      <c r="G55" s="6" t="inlineStr">
        <is>
          <t>0.04%</t>
        </is>
      </c>
      <c r="H55" s="6" t="inlineStr">
        <is>
          <t>0.09%</t>
        </is>
      </c>
      <c r="I55" s="6" t="inlineStr">
        <is>
          <t>0.256%</t>
        </is>
      </c>
      <c r="J55" s="6" t="inlineStr">
        <is>
          <t>0.074%</t>
        </is>
      </c>
      <c r="K55" s="6" t="inlineStr">
        <is>
          <t>0.081%</t>
        </is>
      </c>
    </row>
    <row r="56">
      <c r="A56" s="6" t="inlineStr">
        <is>
          <t>Total of bank CET1 specific buffer requirements (%)</t>
        </is>
      </c>
      <c r="B56" s="6" t="n"/>
      <c r="C56" s="6" t="n"/>
      <c r="D56" s="6" t="n"/>
      <c r="E56" s="6" t="n"/>
      <c r="F56" s="6" t="n"/>
      <c r="G56" s="6" t="inlineStr">
        <is>
          <t>2.54%</t>
        </is>
      </c>
      <c r="H56" s="6" t="inlineStr">
        <is>
          <t>2.59%</t>
        </is>
      </c>
      <c r="I56" s="6" t="inlineStr">
        <is>
          <t>2.756%</t>
        </is>
      </c>
      <c r="J56" s="6" t="inlineStr">
        <is>
          <t>1.949%</t>
        </is>
      </c>
      <c r="K56" s="6" t="inlineStr">
        <is>
          <t>1.331%</t>
        </is>
      </c>
    </row>
    <row r="57">
      <c r="A57" s="5" t="inlineStr">
        <is>
          <t>EBA leverage ratio</t>
        </is>
      </c>
      <c r="B57" s="6" t="n"/>
      <c r="C57" s="6" t="n"/>
      <c r="D57" s="6" t="n"/>
      <c r="E57" s="6" t="n"/>
      <c r="F57" s="6" t="n"/>
      <c r="G57" s="6" t="n"/>
      <c r="H57" s="6" t="n"/>
      <c r="I57" s="6" t="n"/>
      <c r="J57" s="6" t="n"/>
      <c r="K57" s="6" t="n"/>
    </row>
    <row r="58">
      <c r="A58" s="6" t="inlineStr">
        <is>
          <t>Total EBA leverage ratio exposure measure (£m)</t>
        </is>
      </c>
      <c r="B58" s="6" t="n"/>
      <c r="C58" s="6" t="n"/>
      <c r="D58" s="6" t="n"/>
      <c r="E58" s="6" t="n"/>
      <c r="F58" s="6" t="n"/>
      <c r="G58" s="6" t="n">
        <v>14224.7</v>
      </c>
      <c r="H58" s="6" t="n">
        <v>16674.5</v>
      </c>
      <c r="I58" s="6" t="n">
        <v>17704.5</v>
      </c>
      <c r="J58" s="6" t="n">
        <v>15347.8</v>
      </c>
      <c r="K58" s="6" t="n">
        <v>15108.3</v>
      </c>
    </row>
    <row r="59">
      <c r="A59" s="6" t="inlineStr">
        <is>
          <t>EBA leverage ratio (%)</t>
        </is>
      </c>
      <c r="B59" s="6" t="n"/>
      <c r="C59" s="6" t="n"/>
      <c r="D59" s="6" t="n"/>
      <c r="E59" s="6" t="n"/>
      <c r="F59" s="6" t="n"/>
      <c r="G59" s="6" t="inlineStr">
        <is>
          <t>4.75%</t>
        </is>
      </c>
      <c r="H59" s="6" t="inlineStr">
        <is>
          <t>3.74%</t>
        </is>
      </c>
      <c r="I59" s="6" t="inlineStr">
        <is>
          <t>3.74%</t>
        </is>
      </c>
      <c r="J59" s="6" t="inlineStr">
        <is>
          <t>4.50%</t>
        </is>
      </c>
      <c r="K59" s="6" t="inlineStr">
        <is>
          <t>4.36%</t>
        </is>
      </c>
    </row>
    <row r="60">
      <c r="A60" s="5" t="inlineStr">
        <is>
          <t>Liquidity Coverage Ratio (LCR)</t>
        </is>
      </c>
      <c r="B60" s="6" t="n"/>
      <c r="C60" s="6" t="n"/>
      <c r="D60" s="6" t="n"/>
      <c r="E60" s="6" t="n"/>
      <c r="F60" s="6" t="n"/>
      <c r="G60" s="6" t="n"/>
      <c r="H60" s="6" t="n"/>
      <c r="I60" s="6" t="n"/>
      <c r="J60" s="6" t="n"/>
      <c r="K60" s="6" t="n"/>
    </row>
    <row r="61">
      <c r="A61" s="6" t="inlineStr">
        <is>
          <t>Total High Quality Liquid Assets (HQLA) (£m)</t>
        </is>
      </c>
      <c r="B61" s="6" t="n"/>
      <c r="C61" s="6" t="n"/>
      <c r="D61" s="6" t="n"/>
      <c r="E61" s="6" t="n"/>
      <c r="F61" s="6" t="n"/>
      <c r="G61" s="6" t="n">
        <v>2166.4</v>
      </c>
      <c r="H61" s="6" t="n">
        <v>2073.6</v>
      </c>
      <c r="I61" s="6" t="n">
        <v>2040.4</v>
      </c>
      <c r="J61" s="6" t="n">
        <v>1996.8</v>
      </c>
      <c r="K61" s="6" t="inlineStr">
        <is>
          <t>N/A</t>
        </is>
      </c>
    </row>
    <row r="62">
      <c r="A62" s="6" t="inlineStr">
        <is>
          <t>Total net cash outflow (£m)</t>
        </is>
      </c>
      <c r="B62" s="6" t="n"/>
      <c r="C62" s="6" t="n"/>
      <c r="D62" s="6" t="n"/>
      <c r="E62" s="6" t="n"/>
      <c r="F62" s="6" t="n"/>
      <c r="G62" s="6" t="n">
        <v>724.9</v>
      </c>
      <c r="H62" s="6" t="n">
        <v>649</v>
      </c>
      <c r="I62" s="6" t="n">
        <v>513.3</v>
      </c>
      <c r="J62" s="6" t="n">
        <v>517.3</v>
      </c>
      <c r="K62" s="6" t="inlineStr">
        <is>
          <t>N/A</t>
        </is>
      </c>
    </row>
    <row r="63">
      <c r="A63" s="6" t="inlineStr">
        <is>
          <t>LCR ratio (%)</t>
        </is>
      </c>
      <c r="B63" s="6" t="n"/>
      <c r="C63" s="6" t="n"/>
      <c r="D63" s="6" t="n"/>
      <c r="E63" s="6" t="n"/>
      <c r="F63" s="6" t="n"/>
      <c r="G63" s="6" t="inlineStr">
        <is>
          <t>303%</t>
        </is>
      </c>
      <c r="H63" s="6" t="inlineStr">
        <is>
          <t>340%</t>
        </is>
      </c>
      <c r="I63" s="6" t="inlineStr">
        <is>
          <t>416%</t>
        </is>
      </c>
      <c r="J63" s="6" t="inlineStr">
        <is>
          <t>396%</t>
        </is>
      </c>
      <c r="K63" s="6" t="inlineStr">
        <is>
          <t>N/A</t>
        </is>
      </c>
    </row>
    <row r="65" ht="420" customHeight="1">
      <c r="A65"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KM1 SHEET SOURCES - one edition per column, per this project's own-year sourcing rule. Each is "Table 6: Key regulatory metrics", cited at the folio printed on the page itself:
FY2026: Pillar 3 disclosures 2026, Table 6, p.17.
FY2025: Pillar 3 disclosures 2025, Table 6, p.18.
FY2024: Pillar 3 disclosures 2024, Table 6, p.18.
FY2023: Pillar 3 disclosures 2023, Table 6, p.17.
FY2022: Pillar 3 disclosures 2022, Table 6, p.15.
FY2021: Pillar 3 disclosures 2021, Table 6, p.14.
FY2020: Pillar 3 disclosures 2020, Table 6, p.16.
FY2019: Pillar 3 disclosures 2019, Table 6, p.14.
FY2018: Pillar 3 disclosures 2018, Table 6, p.15.
FY2017: NO KEY-METRICS TABLE EXISTS IN THE FY2017 EDITION - this column is the FY2018 edition's own 2017 comparative column (Table 6, p.15), and is the only column on this sheet not taken from its own year's edition. It is filled rather than left blank because the FY2017 document publishes no such table at all, so there is no original disclosure for a later one to displace; the distinction matters, and a BLANK on this sheet means the figure was never published for that date in any edition. The FY2017 and FY2016 editions were both read in full: neither contains a key-metrics table, and the extraction is not at fault - the FY2017 document is rich on neighbouring terms and does print a leverage exposure table and a CC1-style own-funds template, but has no line 'Total risk-weighted assets', no 'Liquidity Coverage Ratio' heading and no 'Total capital ratio' row anywhere.
FY2016 AND EARLIER ARE BLANK FOR TWO REASONS AT ONCE: no edition prints the table, and the FY2014-FY2016 Pillar 3 documents are in any case disclosures of Mizuho Securities UK Holdings Ltd (MSUKH), MHI's immediate parent, not of MHI - a parent's consolidated figures are not this entity's and are not reproduced here on any sheet.
WHY TWO BLOCKS RATHER THAN ONE SERIES. The template changed at 1 January 2022 and the two versions are not row-compatible: the pre-2022 table has no SREP rows, no NSFR rows, no 'including claims on central banks' leverage variants and no average-leverage rows, while it does carry a standalone 'Tier 2' line that the UK template does not. Its leverage rows are also on the EBA exposure measure, which is the basis break map rule 5 exists for. Nothing is carried across the boundary and no row is filled by inference from the other block.
ROWS THE BANK DID NOT PRINT ARE BLANK, NOT ZERO. Each FY2022-FY2026 edition states: 'Only rows relevant to the Group are shown in Table 6, remaining rows from the PRA disclosure template have been left out as these are nil rows' - which is why rows 10, UK 8a, UK 9a and UK 10a never appear. Within the UK block, rows 14a, 14c, 14d and 14e are blank for FY2022 because the FY2022 edition does not print them (it prints 'n/a' in its own 2021 comparative column for several rows, but that column is not used here - FY2021 comes from the FY2021 edition). The FY2018 edition prints 'N/A' for all three LCR rows in its 2017 comparative, footnoted 'Not applicable as this disclosure is being made for the first time in 2018'; that glyph is reproduced as printed rather than blanked.
FY2025 LCR - THREE DIFFERENT PUBLISHED FIGURES FOR ONE DATE, ALL RECORDED, NONE RECONCILED.
  (a) This sheet's FY2025 column carries the FY2025 edition's own figures: HQLA 2,014.2, net cash outflows 850.4, LCR 239.20%.
  (b) The FY2026 edition RESTATES that comparative, with its own footnote: 'Values for the year ended 31 March 2025 were reported incorrectly before. Comparative values have been restated' - giving HQLA 2,056.1, net cash outflows 891.2 and LCR 236.5%. Under this project's own-year rule the original stands in the FY2025 column and the restatement is recorded here rather than substituted.
  (c) The LCR metric sheet in this workbook carries 268.7% for FY2025, from the Annual Report 2025's KPI section. The Pillar 3 row is explicitly a twelve-month AVERAGE (row 15 is captioned 'Weighted value - average'); the Annual Report states its figure without that qualification. Two of the bank's own documents, two bases, both transcribed as printed - the workbook's own verifier reports this as a KM1-vs-metric-sheet disagreement and that report is correct and expected.
OTHER SMALL DISAGREEMENTS WITH THE SINGLE-METRIC SHEETS, all rounding rather than substance: the Leverage Ratio sheet carries FY2025 as 4.2% (Annual Report) against row 14's 4.19% (Pillar 3), and the CET1/Tier 1/Total Capital Ratio sheets carry one-decimal forms for FY2025 and FY2024 where the template prints two. Nothing has been re-rounded in either direction to make them agree.</t>
        </is>
      </c>
    </row>
  </sheetData>
  <mergeCells count="1">
    <mergeCell ref="A65:K6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CET1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CET1 Capital</t>
        </is>
      </c>
      <c r="B4" s="6" t="n">
        <v>679.8</v>
      </c>
      <c r="C4" s="6" t="n">
        <v>670.5</v>
      </c>
      <c r="D4" s="6" t="n">
        <v>637.4</v>
      </c>
      <c r="E4" s="6" t="n">
        <v>627.7</v>
      </c>
      <c r="F4" s="6" t="n">
        <v>640.8</v>
      </c>
      <c r="G4" s="6" t="n">
        <v>675.6</v>
      </c>
      <c r="H4" s="6" t="n">
        <v>623.7</v>
      </c>
      <c r="I4" s="6" t="n">
        <v>662.5</v>
      </c>
      <c r="J4" s="6" t="n">
        <v>690.9</v>
      </c>
      <c r="K4" s="6" t="n">
        <v>658.3</v>
      </c>
      <c r="L4" s="6" t="n">
        <v>408.3</v>
      </c>
      <c r="M4" s="6" t="n">
        <v>451.9</v>
      </c>
      <c r="N4" s="6" t="n">
        <v>456.9</v>
      </c>
    </row>
    <row r="5" ht="60" customHeight="1">
      <c r="A5" s="7" t="inlineStr">
        <is>
          <t>Note: FY2025 Annual Report states regulatory capital consists solely of Tier 1 capital; treated as CET1 for this metric because no Tier 2 capital is reported. FY2014-FY2016 capital resources consisted solely of common equity Tier 1 (no Tier 2 issued yet); FY2014-FY2016 are MSUKH group-level figures, not MHI-level (see the P3 source dict comment).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CET1 Ratio</t>
        </is>
      </c>
      <c r="B4" s="6" t="inlineStr">
        <is>
          <t>26.19%</t>
        </is>
      </c>
      <c r="C4" s="6" t="inlineStr">
        <is>
          <t>20.0%</t>
        </is>
      </c>
      <c r="D4" s="6" t="inlineStr">
        <is>
          <t>22.8%</t>
        </is>
      </c>
      <c r="E4" s="6" t="inlineStr">
        <is>
          <t>28.0%</t>
        </is>
      </c>
      <c r="F4" s="6" t="inlineStr">
        <is>
          <t>31.14%</t>
        </is>
      </c>
      <c r="G4" s="6" t="inlineStr">
        <is>
          <t>31.12%</t>
        </is>
      </c>
      <c r="H4" s="6" t="inlineStr">
        <is>
          <t>20.02%</t>
        </is>
      </c>
      <c r="I4" s="6" t="inlineStr">
        <is>
          <t>27.8%</t>
        </is>
      </c>
      <c r="J4" s="6" t="inlineStr">
        <is>
          <t>30.6%</t>
        </is>
      </c>
      <c r="K4" s="6" t="inlineStr">
        <is>
          <t>32.9%</t>
        </is>
      </c>
      <c r="L4" s="6" t="inlineStr">
        <is>
          <t>36.4%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Tier 1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679.8</v>
      </c>
      <c r="C4" s="6" t="n">
        <v>670.5</v>
      </c>
      <c r="D4" s="6" t="n">
        <v>637.4</v>
      </c>
      <c r="E4" s="6" t="n">
        <v>627.7</v>
      </c>
      <c r="F4" s="6" t="n">
        <v>640.8</v>
      </c>
      <c r="G4" s="6" t="n">
        <v>675.6</v>
      </c>
      <c r="H4" s="6" t="n">
        <v>623.7</v>
      </c>
      <c r="I4" s="6" t="n">
        <v>662.5</v>
      </c>
      <c r="J4" s="6" t="n">
        <v>690.9</v>
      </c>
      <c r="K4" s="6" t="n">
        <v>658.3</v>
      </c>
      <c r="L4" s="6" t="n">
        <v>408.3</v>
      </c>
      <c r="M4" s="6" t="n">
        <v>451.9</v>
      </c>
      <c r="N4" s="6" t="n">
        <v>456.9</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26.19%</t>
        </is>
      </c>
      <c r="C4" s="6" t="inlineStr">
        <is>
          <t>20.0%</t>
        </is>
      </c>
      <c r="D4" s="6" t="inlineStr">
        <is>
          <t>22.84%</t>
        </is>
      </c>
      <c r="E4" s="6" t="inlineStr">
        <is>
          <t>28.00%</t>
        </is>
      </c>
      <c r="F4" s="6" t="inlineStr">
        <is>
          <t>31.14%</t>
        </is>
      </c>
      <c r="G4" s="6" t="inlineStr">
        <is>
          <t>31.12%</t>
        </is>
      </c>
      <c r="H4" s="6" t="inlineStr">
        <is>
          <t>20.02%</t>
        </is>
      </c>
      <c r="I4" s="6" t="inlineStr">
        <is>
          <t>27.8%</t>
        </is>
      </c>
      <c r="J4" s="6" t="inlineStr">
        <is>
          <t>30.6%</t>
        </is>
      </c>
      <c r="K4" s="6" t="inlineStr">
        <is>
          <t>32.9%</t>
        </is>
      </c>
      <c r="L4" s="6" t="inlineStr">
        <is>
          <t>36.4%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679.8</v>
      </c>
      <c r="C4" s="6" t="n">
        <v>670.5</v>
      </c>
      <c r="D4" s="6" t="n">
        <v>637.4</v>
      </c>
      <c r="E4" s="6" t="n">
        <v>627.7</v>
      </c>
      <c r="F4" s="6" t="n">
        <v>640.8</v>
      </c>
      <c r="G4" s="6" t="n">
        <v>711.6</v>
      </c>
      <c r="H4" s="6" t="n">
        <v>668.7</v>
      </c>
      <c r="I4" s="6" t="n">
        <v>707.5</v>
      </c>
      <c r="J4" s="6" t="n">
        <v>735.9</v>
      </c>
      <c r="K4" s="6" t="n">
        <v>703.3</v>
      </c>
      <c r="L4" s="6" t="n">
        <v>453.3</v>
      </c>
      <c r="M4" s="6" t="n">
        <v>451.9</v>
      </c>
      <c r="N4" s="6" t="n">
        <v>456.9</v>
      </c>
    </row>
    <row r="5" ht="60" customHeight="1">
      <c r="A5" s="7" t="inlineStr">
        <is>
          <t>Note: FY2015/FY2014: Total capital equals Tier 1 capital because no Tier 2 capital had yet been issued (first appears FY2016).</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26.19%</t>
        </is>
      </c>
      <c r="C4" s="6" t="inlineStr">
        <is>
          <t>20.0%</t>
        </is>
      </c>
      <c r="D4" s="6" t="inlineStr">
        <is>
          <t>22.84%</t>
        </is>
      </c>
      <c r="E4" s="6" t="inlineStr">
        <is>
          <t>28.00%</t>
        </is>
      </c>
      <c r="F4" s="6" t="inlineStr">
        <is>
          <t>31.14%</t>
        </is>
      </c>
      <c r="G4" s="6" t="inlineStr">
        <is>
          <t>32.78%</t>
        </is>
      </c>
      <c r="H4" s="6" t="inlineStr">
        <is>
          <t>21.46%</t>
        </is>
      </c>
      <c r="I4" s="6" t="inlineStr">
        <is>
          <t>29.7%</t>
        </is>
      </c>
      <c r="J4" s="6" t="inlineStr">
        <is>
          <t>32.6%</t>
        </is>
      </c>
      <c r="K4" s="6" t="inlineStr">
        <is>
          <t>35.1%</t>
        </is>
      </c>
      <c r="L4" s="6" t="inlineStr">
        <is>
          <t>40.4%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RWAs</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RWAs</t>
        </is>
      </c>
      <c r="B4" s="6" t="n">
        <v>2595.5</v>
      </c>
      <c r="C4" s="6" t="n">
        <v>3353.2</v>
      </c>
      <c r="D4" s="6" t="n">
        <v>2790.7</v>
      </c>
      <c r="E4" s="6" t="n">
        <v>2241.7</v>
      </c>
      <c r="F4" s="6" t="n">
        <v>2057.9</v>
      </c>
      <c r="G4" s="6" t="n">
        <v>2171</v>
      </c>
      <c r="H4" s="6" t="n">
        <v>3115.3</v>
      </c>
      <c r="I4" s="6" t="n">
        <v>2385.8</v>
      </c>
      <c r="J4" s="6" t="n">
        <v>2257</v>
      </c>
      <c r="K4" s="6" t="n">
        <v>2002.2</v>
      </c>
      <c r="L4" s="6" t="n">
        <v>1122.3</v>
      </c>
      <c r="M4" s="6" t="n">
        <v>913.7</v>
      </c>
      <c r="N4" s="6" t="n">
        <v>908.5</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RWA Breakdown</t>
        </is>
      </c>
    </row>
    <row r="2">
      <c r="A2" s="2" t="inlineStr">
        <is>
          <t>Consolidated Group basis FY2019 onward; MHI Company-only basis FY2017-FY2018; MSUKH group-level basis FY2014-FY2016 (see the P3 source dict comment). Pillar 3 RWA-by-risk-type template (labelled 'UK OV1' from FY2021 onward, an unlabelled equivalent table in earlier years - Table 10 for FY2018-FY2020, Table 9 for FY2014-FY2017; column/row numbering shifts across years but the risk categories are consistent), only non-nil rows shown per each source document's own convention, £m. 'Large exposures' (row 22a of the PRA template) only appears as a non-nil row in the FY2023 report. 'Concentration risk' was only disclosed as a separate line in the FY2015-FY2016 MSUKH Pillar 3 documents (nil/folded into credit risk in all other years). FY2016's own five risk-type rows here sum to £1,129.9m against the FY2016 document's own stated Total of £1,122.3m (a ~£7.6m/0.7% reconciling difference disclosed in the source table itself, not a transcription error here - each row is transcribed as printed).</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row>
    <row r="4">
      <c r="A4" s="6" t="inlineStr">
        <is>
          <t>Credit risk (excluding CCR)</t>
        </is>
      </c>
      <c r="B4" s="6" t="n">
        <v>210.2</v>
      </c>
      <c r="C4" s="6" t="n">
        <v>150.5</v>
      </c>
      <c r="D4" s="6" t="n">
        <v>148.4</v>
      </c>
      <c r="E4" s="6" t="n">
        <v>140.1</v>
      </c>
      <c r="F4" s="6" t="n">
        <v>108.2</v>
      </c>
      <c r="G4" s="6" t="n">
        <v>92.8</v>
      </c>
      <c r="H4" s="6" t="n">
        <v>85.90000000000001</v>
      </c>
      <c r="I4" s="6" t="n">
        <v>88</v>
      </c>
      <c r="J4" s="6" t="n">
        <v>98.7</v>
      </c>
      <c r="K4" s="6" t="n">
        <v>117.7</v>
      </c>
      <c r="L4" s="6" t="n">
        <v>101.1</v>
      </c>
      <c r="M4" s="6" t="n">
        <v>118.5</v>
      </c>
      <c r="N4" s="6" t="n">
        <v>64.3</v>
      </c>
    </row>
    <row r="5">
      <c r="A5" s="6" t="inlineStr">
        <is>
          <t>Counterparty credit risk (CCR)</t>
        </is>
      </c>
      <c r="B5" s="6" t="n">
        <v>550.3</v>
      </c>
      <c r="C5" s="6" t="n">
        <v>682.4</v>
      </c>
      <c r="D5" s="6" t="n">
        <v>638.9</v>
      </c>
      <c r="E5" s="6" t="n">
        <v>530.6</v>
      </c>
      <c r="F5" s="6" t="n">
        <v>357.3</v>
      </c>
      <c r="G5" s="6" t="n">
        <v>259.6</v>
      </c>
      <c r="H5" s="6" t="n">
        <v>232.8</v>
      </c>
      <c r="I5" s="6" t="n">
        <v>181.4</v>
      </c>
      <c r="J5" s="6" t="n">
        <v>182.3</v>
      </c>
      <c r="K5" s="6" t="n">
        <v>184.5</v>
      </c>
      <c r="L5" s="6" t="n">
        <v>134</v>
      </c>
      <c r="M5" s="6" t="n">
        <v>91.59999999999999</v>
      </c>
      <c r="N5" s="6" t="n">
        <v>123.8</v>
      </c>
    </row>
    <row r="6">
      <c r="A6" s="6" t="inlineStr">
        <is>
          <t>Concentration risk</t>
        </is>
      </c>
      <c r="B6" s="6" t="n"/>
      <c r="C6" s="6" t="n"/>
      <c r="D6" s="6" t="n"/>
      <c r="E6" s="6" t="n"/>
      <c r="F6" s="6" t="n"/>
      <c r="G6" s="6" t="n"/>
      <c r="H6" s="6" t="n"/>
      <c r="I6" s="6" t="n"/>
      <c r="J6" s="6" t="n"/>
      <c r="K6" s="6" t="n"/>
      <c r="L6" s="6" t="n">
        <v>0</v>
      </c>
      <c r="M6" s="6" t="n">
        <v>34.4</v>
      </c>
      <c r="N6" s="6" t="n"/>
    </row>
    <row r="7">
      <c r="A7" s="6" t="inlineStr">
        <is>
          <t>Settlement risk</t>
        </is>
      </c>
      <c r="B7" s="6" t="n">
        <v>0</v>
      </c>
      <c r="C7" s="6" t="n">
        <v>0</v>
      </c>
      <c r="D7" s="6" t="n">
        <v>0.2</v>
      </c>
      <c r="E7" s="6" t="n">
        <v>0.1</v>
      </c>
      <c r="F7" s="6" t="n">
        <v>0.2</v>
      </c>
      <c r="G7" s="6" t="n">
        <v>0.1</v>
      </c>
      <c r="H7" s="6" t="n"/>
      <c r="I7" s="6" t="n"/>
      <c r="J7" s="6" t="n"/>
      <c r="K7" s="6" t="n"/>
      <c r="L7" s="6" t="n"/>
      <c r="M7" s="6" t="n"/>
      <c r="N7" s="6" t="n"/>
    </row>
    <row r="8">
      <c r="A8" s="6" t="inlineStr">
        <is>
          <t>Position, foreign exchange and commodities risks (Market risk)</t>
        </is>
      </c>
      <c r="B8" s="6" t="n">
        <v>1189.4</v>
      </c>
      <c r="C8" s="6" t="n">
        <v>2014.2</v>
      </c>
      <c r="D8" s="6" t="n">
        <v>1626.8</v>
      </c>
      <c r="E8" s="6" t="n">
        <v>1166.8</v>
      </c>
      <c r="F8" s="6" t="n">
        <v>1224.3</v>
      </c>
      <c r="G8" s="6" t="n">
        <v>1445.4</v>
      </c>
      <c r="H8" s="6" t="n">
        <v>2442.2</v>
      </c>
      <c r="I8" s="6" t="n">
        <v>1722.7</v>
      </c>
      <c r="J8" s="6" t="n">
        <v>1598.7</v>
      </c>
      <c r="K8" s="6" t="n">
        <v>1393.4</v>
      </c>
      <c r="L8" s="6" t="n">
        <v>659.7</v>
      </c>
      <c r="M8" s="6" t="n">
        <v>552</v>
      </c>
      <c r="N8" s="6" t="n">
        <v>633.3</v>
      </c>
    </row>
    <row r="9">
      <c r="A9" s="6" t="inlineStr">
        <is>
          <t>Large exposures</t>
        </is>
      </c>
      <c r="B9" s="6" t="n"/>
      <c r="C9" s="6" t="n"/>
      <c r="D9" s="6" t="n"/>
      <c r="E9" s="6" t="n">
        <v>14.6</v>
      </c>
      <c r="F9" s="6" t="n"/>
      <c r="G9" s="6" t="n"/>
      <c r="H9" s="6" t="n"/>
      <c r="I9" s="6" t="n"/>
      <c r="J9" s="6" t="n"/>
      <c r="K9" s="6" t="n"/>
      <c r="L9" s="6" t="n"/>
      <c r="M9" s="6" t="n"/>
      <c r="N9" s="6" t="n"/>
    </row>
    <row r="10">
      <c r="A10" s="6" t="inlineStr">
        <is>
          <t>Operational risk</t>
        </is>
      </c>
      <c r="B10" s="6" t="n">
        <v>645.6</v>
      </c>
      <c r="C10" s="6" t="n">
        <v>506.1</v>
      </c>
      <c r="D10" s="6" t="n">
        <v>376.6</v>
      </c>
      <c r="E10" s="6" t="n">
        <v>389.6</v>
      </c>
      <c r="F10" s="6" t="n">
        <v>368.1</v>
      </c>
      <c r="G10" s="6" t="n">
        <v>373.3</v>
      </c>
      <c r="H10" s="6" t="n">
        <v>354.4</v>
      </c>
      <c r="I10" s="6" t="n">
        <v>393.6</v>
      </c>
      <c r="J10" s="6" t="n">
        <v>377.3</v>
      </c>
      <c r="K10" s="6" t="n">
        <v>306.7</v>
      </c>
      <c r="L10" s="6" t="n">
        <v>235.1</v>
      </c>
      <c r="M10" s="6" t="n">
        <v>117.1</v>
      </c>
      <c r="N10" s="6" t="n">
        <v>87.09999999999999</v>
      </c>
    </row>
    <row r="11">
      <c r="A11" s="5" t="inlineStr">
        <is>
          <t>Total</t>
        </is>
      </c>
      <c r="B11" s="5" t="n">
        <v>2595.5</v>
      </c>
      <c r="C11" s="5" t="n">
        <v>3353.2</v>
      </c>
      <c r="D11" s="5" t="n">
        <v>2790.7</v>
      </c>
      <c r="E11" s="5" t="n">
        <v>2241.7</v>
      </c>
      <c r="F11" s="5" t="n">
        <v>2057.9</v>
      </c>
      <c r="G11" s="5" t="n">
        <v>2171</v>
      </c>
      <c r="H11" s="5" t="n">
        <v>3115.3</v>
      </c>
      <c r="I11" s="5" t="n">
        <v>2385.8</v>
      </c>
      <c r="J11" s="5" t="n">
        <v>2257</v>
      </c>
      <c r="K11" s="5" t="n">
        <v>2002.2</v>
      </c>
      <c r="L11" s="5" t="n">
        <v>1122.3</v>
      </c>
      <c r="M11" s="5" t="n">
        <v>913.7</v>
      </c>
      <c r="N11" s="5" t="n">
        <v>908.5</v>
      </c>
    </row>
    <row r="13" ht="260" customHeight="1">
      <c r="A13"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RWAs and Pillar 1 capital requirements table (by risk type) in each year's own Pillar 3 disclosure document listed above.</t>
        </is>
      </c>
    </row>
  </sheetData>
  <mergeCells count="1">
    <mergeCell ref="A13:N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row>
    <row r="4">
      <c r="A4" s="6" t="inlineStr">
        <is>
          <t>Leverage Ratio</t>
        </is>
      </c>
      <c r="B4" s="6" t="inlineStr">
        <is>
          <t>4.43%</t>
        </is>
      </c>
      <c r="C4" s="6" t="inlineStr">
        <is>
          <t>4.2%</t>
        </is>
      </c>
      <c r="D4" s="6" t="inlineStr">
        <is>
          <t>4.07%</t>
        </is>
      </c>
      <c r="E4" s="6" t="inlineStr">
        <is>
          <t>4.24%</t>
        </is>
      </c>
      <c r="F4" s="6" t="inlineStr">
        <is>
          <t>4.07%</t>
        </is>
      </c>
      <c r="G4" s="6" t="inlineStr">
        <is>
          <t>4.75%</t>
        </is>
      </c>
      <c r="H4" s="6" t="inlineStr">
        <is>
          <t>3.74%</t>
        </is>
      </c>
      <c r="I4" s="6" t="inlineStr">
        <is>
          <t>3.74%</t>
        </is>
      </c>
      <c r="J4" s="6" t="inlineStr">
        <is>
          <t>4.50%</t>
        </is>
      </c>
      <c r="K4" s="6" t="inlineStr">
        <is>
          <t>4.36%</t>
        </is>
      </c>
      <c r="L4" s="6" t="inlineStr">
        <is>
          <t>3.28%</t>
        </is>
      </c>
      <c r="M4" s="6" t="inlineStr">
        <is>
          <t>1.87%</t>
        </is>
      </c>
    </row>
    <row r="5" ht="60" customHeight="1">
      <c r="A5" s="7" t="inlineStr">
        <is>
          <t>Note: FY2014 leverage ratio was discussed qualitatively (implementation of PRA bank-level reporting was noted as having 'commenced') but no computed ratio was numerically disclosed in the FY2014 Pillar 3 document.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Mizuho International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LCR</t>
        </is>
      </c>
      <c r="B4" s="6" t="inlineStr">
        <is>
          <t>272.4%</t>
        </is>
      </c>
      <c r="C4" s="6" t="inlineStr">
        <is>
          <t>268.7%</t>
        </is>
      </c>
      <c r="D4" s="6" t="inlineStr">
        <is>
          <t>250.39%</t>
        </is>
      </c>
      <c r="E4" s="6" t="inlineStr">
        <is>
          <t>302.67%</t>
        </is>
      </c>
      <c r="F4" s="6" t="inlineStr">
        <is>
          <t>364.04%</t>
        </is>
      </c>
      <c r="G4" s="6" t="inlineStr">
        <is>
          <t>303.00%</t>
        </is>
      </c>
      <c r="H4" s="6" t="inlineStr">
        <is>
          <t>340%</t>
        </is>
      </c>
      <c r="I4" s="6" t="inlineStr">
        <is>
          <t>416%</t>
        </is>
      </c>
      <c r="J4" s="6" t="inlineStr">
        <is>
          <t>396%</t>
        </is>
      </c>
    </row>
    <row r="5" ht="60" customHeight="1">
      <c r="A5" s="7" t="inlineStr">
        <is>
          <t>Note: LCR was first disclosed in the FY2018 Pillar 3 document (the document itself states this); not disclosed FY2014-FY2017.</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NSFR</t>
        </is>
      </c>
      <c r="B4" s="6" t="inlineStr">
        <is>
          <t>147.4%</t>
        </is>
      </c>
      <c r="C4" s="6" t="inlineStr">
        <is>
          <t>122.5%</t>
        </is>
      </c>
      <c r="D4" s="6" t="inlineStr">
        <is>
          <t>128.67%</t>
        </is>
      </c>
      <c r="E4" s="6" t="inlineStr">
        <is>
          <t>140.66%</t>
        </is>
      </c>
      <c r="F4" s="6" t="inlineStr">
        <is>
          <t>177.71%</t>
        </is>
      </c>
    </row>
    <row r="5" ht="60" customHeight="1">
      <c r="A5" s="7" t="inlineStr">
        <is>
          <t>Note: NSFR was not disclosed in the 2021 report or any FY2014-FY2020 report; 2025 is from the Annual Report KPI section.</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disclosed - MHI publishes no MREL ratio in any edition</t>
        </is>
      </c>
      <c r="C4" s="6" t="inlineStr">
        <is>
          <t>Not disclosed - MHI publishes no MREL ratio in any edition</t>
        </is>
      </c>
      <c r="D4" s="6" t="inlineStr">
        <is>
          <t>Not disclosed - MHI publishes no MREL ratio in any edition</t>
        </is>
      </c>
      <c r="E4" s="6" t="inlineStr">
        <is>
          <t>Not disclosed - MHI publishes no MREL ratio in any edition</t>
        </is>
      </c>
      <c r="F4" s="6" t="inlineStr">
        <is>
          <t>Not disclosed - MHI publishes no MREL ratio in any edition</t>
        </is>
      </c>
      <c r="G4" s="6" t="inlineStr">
        <is>
          <t>Not disclosed - MHI publishes no MREL ratio in any edition</t>
        </is>
      </c>
      <c r="H4" s="6" t="inlineStr">
        <is>
          <t>Not disclosed - MHI publishes no MREL ratio in any edition</t>
        </is>
      </c>
      <c r="I4" s="6" t="inlineStr">
        <is>
          <t>Not disclosed - MHI publishes no MREL ratio in any edition</t>
        </is>
      </c>
      <c r="J4" s="6" t="inlineStr">
        <is>
          <t>Not disclosed - MHI publishes no MREL ratio in any edition</t>
        </is>
      </c>
      <c r="K4" s="6" t="inlineStr">
        <is>
          <t>Not disclosed - MHI publishes no MREL ratio in any edition</t>
        </is>
      </c>
      <c r="L4" s="6" t="inlineStr">
        <is>
          <t>Not disclosed - MHI publishes no MREL ratio in any edition</t>
        </is>
      </c>
      <c r="M4" s="6" t="inlineStr">
        <is>
          <t>Not disclosed - MHI publishes no MREL ratio in any edition</t>
        </is>
      </c>
      <c r="N4" s="6" t="inlineStr">
        <is>
          <t>Not disclosed - MHI publishes no MREL ratio in any edition</t>
        </is>
      </c>
    </row>
    <row r="5" ht="60" customHeight="1">
      <c r="A5" s="7" t="inlineStr">
        <is>
          <t>Note: MREL ratio is not numerically disclosed in any Mizuho International plc annual report or Pillar 3 disclosure. RE-ESTABLISHED WITH A CONTROL 2026-09-18 rather than carried forward - the previous note asserted this for FY2014-FY2025 and was already out of date, since the workbook carries FY2026. Whole-document search of the two newest editions, both text-native and downloaded fresh (%PDF-, application/pdf): the FY2026 consolidated Pillar 3 (217,429 characters) returns ZERO hits for 'MREL', 'minimum requirement for own funds' and 'TLAC', against 145 hits for 'capital', 231 for 'ratio' and 10 for 'own funds' in the same extraction; the FY2025 edition (224,343 characters) returns the same three zeros against 152 and 228. So the zero is a fact about the documents, not a failure of the search. The FY2026 Annual Report (696,912 characters) likewise returns zero for all three.
WHAT THE DOCUMENTS DO SAY, which is consistent with there being nothing to find. The FY2026 Pillar 3 reproduces the PRA's 'UK CCA: Main features of regulatory own funds instruments and eligible liabilities instruments' template - i.e. the template that WOULD carry an eligible-liabilities instrument if MHI had one - and its only instrument is ordinary share capital, with row 34a 'Type of subordination (only for eligible liabilities)' printed 'n/a'. The FY2026 Annual Report states that the Group 'continues to participate actively in Mizuho Financial Group's recovery and resolution planning', i.e. resolution is planned at the Japanese parent level. That is context, not proof of a scope exclusion, and it is recorded as context: what is established here is that MHI publishes no MREL ratio, not why.</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2026-09-18T08:23:10Z</dcterms:created>
  <dcterms:modified xmlns:dcterms="http://purl.org/dc/terms/" xmlns:xsi="http://www.w3.org/2001/XMLSchema-instance" xsi:type="dcterms:W3CDTF">2026-09-18T08:23:10Z</dcterms:modified>
</cp:coreProperties>
</file>