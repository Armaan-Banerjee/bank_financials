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80034"/>
        <bgColor rgb="00D8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DF Capital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DF Capital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DF Capital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DF Capital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DF Capital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DF Capital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999812</v>
      </c>
      <c r="C6" s="5" t="n">
        <v>786540</v>
      </c>
      <c r="D6" s="5" t="n">
        <v>691938</v>
      </c>
      <c r="E6" s="5" t="n">
        <v>582496</v>
      </c>
      <c r="F6" s="5" t="n">
        <v>388608</v>
      </c>
      <c r="G6" s="5" t="n">
        <v>201322</v>
      </c>
      <c r="J6" t="inlineStr">
        <is>
          <t>Total assets</t>
        </is>
      </c>
      <c r="K6" t="n">
        <v>201322</v>
      </c>
      <c r="L6" t="n">
        <v>388608</v>
      </c>
      <c r="M6" t="n">
        <v>582496</v>
      </c>
      <c r="N6" t="n">
        <v>691938</v>
      </c>
      <c r="O6" t="n">
        <v>786540</v>
      </c>
      <c r="P6" t="n">
        <v>999812</v>
      </c>
      <c r="AT6" t="inlineStr">
        <is>
          <t>CET1 Ratio</t>
        </is>
      </c>
      <c r="AU6" t="n">
        <v>50.1</v>
      </c>
      <c r="AV6" t="n">
        <v>38.2</v>
      </c>
      <c r="AW6" t="n">
        <v>22.1</v>
      </c>
      <c r="AX6" t="n">
        <v>22.8</v>
      </c>
      <c r="AY6" t="n">
        <v>21.6</v>
      </c>
      <c r="AZ6" t="n">
        <v>18</v>
      </c>
    </row>
    <row r="7">
      <c r="A7" s="5" t="inlineStr">
        <is>
          <t>Loans and advances to customers</t>
        </is>
      </c>
      <c r="B7" s="5" t="n">
        <v>839526</v>
      </c>
      <c r="C7" s="5" t="n">
        <v>660772</v>
      </c>
      <c r="D7" s="5" t="n">
        <v>568044</v>
      </c>
      <c r="E7" s="5" t="n">
        <v>435883</v>
      </c>
      <c r="F7" s="5" t="n">
        <v>247205</v>
      </c>
      <c r="G7" s="5" t="n">
        <v>111337</v>
      </c>
      <c r="J7" t="inlineStr">
        <is>
          <t>Loans and advances to customers</t>
        </is>
      </c>
      <c r="K7" t="n">
        <v>111337</v>
      </c>
      <c r="L7" t="n">
        <v>247205</v>
      </c>
      <c r="M7" t="n">
        <v>435883</v>
      </c>
      <c r="N7" t="n">
        <v>568044</v>
      </c>
      <c r="O7" t="n">
        <v>660772</v>
      </c>
      <c r="P7" t="n">
        <v>839526</v>
      </c>
      <c r="AT7" t="inlineStr">
        <is>
          <t>Total Capital Ratio</t>
        </is>
      </c>
      <c r="AU7" t="n">
        <v>50.1</v>
      </c>
      <c r="AV7" t="n">
        <v>38.2</v>
      </c>
      <c r="AW7" t="n">
        <v>22.1</v>
      </c>
      <c r="AX7" t="n">
        <v>25.8</v>
      </c>
      <c r="AY7" t="n">
        <v>23.8</v>
      </c>
      <c r="AZ7" t="n">
        <v>20.5</v>
      </c>
    </row>
    <row r="8">
      <c r="A8" s="5" t="inlineStr">
        <is>
          <t>Customer deposits</t>
        </is>
      </c>
      <c r="B8" s="5" t="n">
        <v>840565</v>
      </c>
      <c r="C8" s="5" t="n">
        <v>649665</v>
      </c>
      <c r="D8" s="5" t="n">
        <v>574622</v>
      </c>
      <c r="E8" s="5" t="n">
        <v>479736</v>
      </c>
      <c r="F8" s="5" t="n">
        <v>296856</v>
      </c>
      <c r="G8" s="5" t="n">
        <v>145982</v>
      </c>
      <c r="J8" t="inlineStr">
        <is>
          <t>Customer deposits</t>
        </is>
      </c>
      <c r="K8" t="n">
        <v>145982</v>
      </c>
      <c r="L8" t="n">
        <v>296856</v>
      </c>
      <c r="M8" t="n">
        <v>479736</v>
      </c>
      <c r="N8" t="n">
        <v>574622</v>
      </c>
      <c r="O8" t="n">
        <v>649665</v>
      </c>
      <c r="P8" t="n">
        <v>840565</v>
      </c>
      <c r="AT8" t="inlineStr">
        <is>
          <t>Leverage Ratio</t>
        </is>
      </c>
      <c r="AU8" t="n">
        <v>23.6</v>
      </c>
      <c r="AV8" t="n">
        <v>21.2</v>
      </c>
      <c r="AW8" t="n">
        <v>17.6</v>
      </c>
      <c r="AX8" t="n">
        <v>13</v>
      </c>
      <c r="AY8" t="n">
        <v>14.5</v>
      </c>
      <c r="AZ8" t="n">
        <v>12.8</v>
      </c>
    </row>
    <row r="9">
      <c r="A9" s="5" t="inlineStr">
        <is>
          <t>Total equity</t>
        </is>
      </c>
      <c r="B9" s="5" t="n">
        <v>127230</v>
      </c>
      <c r="C9" s="5" t="n">
        <v>115354</v>
      </c>
      <c r="D9" s="5" t="n">
        <v>100414</v>
      </c>
      <c r="E9" s="5" t="n">
        <v>96239</v>
      </c>
      <c r="F9" s="5" t="n">
        <v>86058</v>
      </c>
      <c r="G9" s="5" t="n">
        <v>50889</v>
      </c>
      <c r="J9" t="inlineStr">
        <is>
          <t>Total equity</t>
        </is>
      </c>
      <c r="K9" t="n">
        <v>50889</v>
      </c>
      <c r="L9" t="n">
        <v>86058</v>
      </c>
      <c r="M9" t="n">
        <v>96239</v>
      </c>
      <c r="N9" t="n">
        <v>100414</v>
      </c>
      <c r="O9" t="n">
        <v>115354</v>
      </c>
      <c r="P9" t="n">
        <v>127230</v>
      </c>
      <c r="AT9" t="inlineStr">
        <is>
          <t>LCR</t>
        </is>
      </c>
      <c r="AU9" t="n">
        <v>6820</v>
      </c>
      <c r="AV9" t="n">
        <v>5597</v>
      </c>
      <c r="AW9" t="n">
        <v>1029</v>
      </c>
      <c r="AX9" t="n">
        <v>618</v>
      </c>
      <c r="AY9" t="n">
        <v>836.6</v>
      </c>
      <c r="AZ9" t="n">
        <v>704</v>
      </c>
    </row>
    <row r="10">
      <c r="AT10" t="inlineStr">
        <is>
          <t>NSFR</t>
        </is>
      </c>
      <c r="AU10" t="n">
        <v>253</v>
      </c>
      <c r="AV10" t="n">
        <v>214</v>
      </c>
      <c r="AW10" t="n">
        <v>163</v>
      </c>
      <c r="AX10" t="n">
        <v>148.2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56039</v>
      </c>
      <c r="C13" s="5" t="n">
        <v>45490</v>
      </c>
      <c r="D13" s="5" t="n">
        <v>38014</v>
      </c>
      <c r="E13" s="5" t="n">
        <v>20431</v>
      </c>
      <c r="F13" s="5" t="n">
        <v>11303</v>
      </c>
      <c r="G13" s="5" t="n">
        <v>2337</v>
      </c>
      <c r="S13" t="inlineStr">
        <is>
          <t>Total operating income</t>
        </is>
      </c>
      <c r="T13" t="n">
        <v>2337</v>
      </c>
      <c r="U13" t="n">
        <v>11303</v>
      </c>
      <c r="V13" t="n">
        <v>20431</v>
      </c>
      <c r="W13" t="n">
        <v>38014</v>
      </c>
      <c r="X13" t="n">
        <v>45490</v>
      </c>
      <c r="Y13" t="n">
        <v>56039</v>
      </c>
    </row>
    <row r="14">
      <c r="A14" s="5" t="inlineStr">
        <is>
          <t>Total operating expenses (staff + other operating expenses)</t>
        </is>
      </c>
      <c r="B14" s="5" t="n">
        <v>-32181</v>
      </c>
      <c r="C14" s="5" t="n">
        <v>-26607</v>
      </c>
      <c r="D14" s="5" t="n">
        <v>-21843</v>
      </c>
      <c r="E14" s="5" t="n">
        <v>-16831</v>
      </c>
      <c r="F14" s="5" t="n">
        <v>-14507</v>
      </c>
      <c r="G14" s="5" t="n">
        <v>-14987</v>
      </c>
      <c r="S14" t="inlineStr">
        <is>
          <t>Total operating expenses (staff + other operating expenses)</t>
        </is>
      </c>
      <c r="T14" t="n">
        <v>-14987</v>
      </c>
      <c r="U14" t="n">
        <v>-14507</v>
      </c>
      <c r="V14" t="n">
        <v>-16831</v>
      </c>
      <c r="W14" t="n">
        <v>-21843</v>
      </c>
      <c r="X14" t="n">
        <v>-26607</v>
      </c>
      <c r="Y14" t="n">
        <v>-32181</v>
      </c>
    </row>
    <row r="15">
      <c r="A15" s="5" t="inlineStr">
        <is>
          <t>Profit/(loss) after taxation</t>
        </is>
      </c>
      <c r="B15" s="5" t="n">
        <v>15159</v>
      </c>
      <c r="C15" s="5" t="n">
        <v>14021</v>
      </c>
      <c r="D15" s="5" t="n">
        <v>3155</v>
      </c>
      <c r="E15" s="5" t="n">
        <v>9761</v>
      </c>
      <c r="F15" s="5" t="n">
        <v>-3676</v>
      </c>
      <c r="G15" s="5" t="n">
        <v>-13603</v>
      </c>
      <c r="S15" t="inlineStr">
        <is>
          <t>Profit/(loss) after taxation</t>
        </is>
      </c>
      <c r="T15" t="n">
        <v>-13603</v>
      </c>
      <c r="U15" t="n">
        <v>-3676</v>
      </c>
      <c r="V15" t="n">
        <v>9761</v>
      </c>
      <c r="W15" t="n">
        <v>3155</v>
      </c>
      <c r="X15" t="n">
        <v>14021</v>
      </c>
      <c r="Y15" t="n">
        <v>15159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115354</v>
      </c>
      <c r="C19" s="5" t="n">
        <v>100414</v>
      </c>
      <c r="D19" s="5" t="n">
        <v>96239</v>
      </c>
      <c r="E19" s="5" t="n">
        <v>86058</v>
      </c>
      <c r="F19" s="5" t="n">
        <v>50889</v>
      </c>
      <c r="G19" s="5" t="n">
        <v>64556</v>
      </c>
      <c r="AB19" t="inlineStr">
        <is>
          <t>Opening equity</t>
        </is>
      </c>
      <c r="AC19" t="n">
        <v>64556</v>
      </c>
      <c r="AD19" t="n">
        <v>50889</v>
      </c>
      <c r="AE19" t="n">
        <v>86058</v>
      </c>
      <c r="AF19" t="n">
        <v>96239</v>
      </c>
      <c r="AG19" t="n">
        <v>100414</v>
      </c>
      <c r="AH19" t="n">
        <v>115354</v>
      </c>
    </row>
    <row r="20">
      <c r="A20" s="5" t="inlineStr">
        <is>
          <t>Total comprehensive income/(loss) for the year</t>
        </is>
      </c>
      <c r="B20" s="5" t="n">
        <v>15159</v>
      </c>
      <c r="C20" s="5" t="n">
        <v>14096</v>
      </c>
      <c r="D20" s="5" t="n">
        <v>3338</v>
      </c>
      <c r="E20" s="5" t="n">
        <v>9682</v>
      </c>
      <c r="F20" s="5" t="n">
        <v>-3838</v>
      </c>
      <c r="G20" s="5" t="n">
        <v>-13625</v>
      </c>
      <c r="AB20" t="inlineStr">
        <is>
          <t>Total comprehensive income/(loss) for the year</t>
        </is>
      </c>
      <c r="AC20" t="n">
        <v>-13625</v>
      </c>
      <c r="AD20" t="n">
        <v>-3838</v>
      </c>
      <c r="AE20" t="n">
        <v>9682</v>
      </c>
      <c r="AF20" t="n">
        <v>3338</v>
      </c>
      <c r="AG20" t="n">
        <v>14096</v>
      </c>
      <c r="AH20" t="n">
        <v>15159</v>
      </c>
    </row>
    <row r="21">
      <c r="A21" s="5" t="inlineStr">
        <is>
          <t>Other equity movements, net</t>
        </is>
      </c>
      <c r="B21" s="5" t="n">
        <v>-3283</v>
      </c>
      <c r="C21" s="5" t="n">
        <v>844</v>
      </c>
      <c r="D21" s="5" t="n">
        <v>837</v>
      </c>
      <c r="E21" s="5" t="n">
        <v>499</v>
      </c>
      <c r="F21" s="5" t="n">
        <v>39007</v>
      </c>
      <c r="G21" s="5" t="n">
        <v>-42</v>
      </c>
      <c r="AB21" t="inlineStr">
        <is>
          <t>Other equity movements, net</t>
        </is>
      </c>
      <c r="AC21" t="n">
        <v>-42</v>
      </c>
      <c r="AD21" t="n">
        <v>39007</v>
      </c>
      <c r="AE21" t="n">
        <v>499</v>
      </c>
      <c r="AF21" t="n">
        <v>837</v>
      </c>
      <c r="AG21" t="n">
        <v>844</v>
      </c>
      <c r="AH21" t="n">
        <v>-3283</v>
      </c>
    </row>
    <row r="22">
      <c r="A22" s="5" t="inlineStr">
        <is>
          <t>Closing equity</t>
        </is>
      </c>
      <c r="B22" s="5" t="n">
        <v>127230</v>
      </c>
      <c r="C22" s="5" t="n">
        <v>115354</v>
      </c>
      <c r="D22" s="5" t="n">
        <v>100414</v>
      </c>
      <c r="E22" s="5" t="n">
        <v>96239</v>
      </c>
      <c r="F22" s="5" t="n">
        <v>86058</v>
      </c>
      <c r="G22" s="5" t="n">
        <v>50889</v>
      </c>
      <c r="AB22" t="inlineStr">
        <is>
          <t>Closing equity</t>
        </is>
      </c>
      <c r="AC22" t="n">
        <v>50889</v>
      </c>
      <c r="AD22" t="n">
        <v>86058</v>
      </c>
      <c r="AE22" t="n">
        <v>96239</v>
      </c>
      <c r="AF22" t="n">
        <v>100414</v>
      </c>
      <c r="AG22" t="n">
        <v>115354</v>
      </c>
      <c r="AH22" t="n">
        <v>127230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32953</v>
      </c>
      <c r="C26" s="5" t="n">
        <v>9201</v>
      </c>
      <c r="D26" s="5" t="n">
        <v>-37712</v>
      </c>
      <c r="E26" s="5" t="n">
        <v>-3408</v>
      </c>
      <c r="F26" s="5" t="n">
        <v>13178</v>
      </c>
      <c r="G26" s="5" t="n">
        <v>66147</v>
      </c>
      <c r="AK26" t="inlineStr">
        <is>
          <t>Net cash generated from/(used in) operating activities</t>
        </is>
      </c>
      <c r="AL26" t="n">
        <v>66147</v>
      </c>
      <c r="AM26" t="n">
        <v>13178</v>
      </c>
      <c r="AN26" t="n">
        <v>-3408</v>
      </c>
      <c r="AO26" t="n">
        <v>-37712</v>
      </c>
      <c r="AP26" t="n">
        <v>9201</v>
      </c>
      <c r="AQ26" t="n">
        <v>32953</v>
      </c>
    </row>
    <row r="27">
      <c r="A27" s="5" t="inlineStr">
        <is>
          <t>Net cash (used in)/generated from investing activities</t>
        </is>
      </c>
      <c r="B27" s="5" t="n">
        <v>-3623</v>
      </c>
      <c r="C27" s="5" t="n">
        <v>14162</v>
      </c>
      <c r="D27" s="5" t="n">
        <v>8227</v>
      </c>
      <c r="E27" s="5" t="n">
        <v>84582</v>
      </c>
      <c r="F27" s="5" t="n">
        <v>-43312</v>
      </c>
      <c r="G27" s="5" t="n">
        <v>-58872</v>
      </c>
      <c r="AK27" t="inlineStr">
        <is>
          <t>Net cash (used in)/generated from investing activities</t>
        </is>
      </c>
      <c r="AL27" t="n">
        <v>-58872</v>
      </c>
      <c r="AM27" t="n">
        <v>-43312</v>
      </c>
      <c r="AN27" t="n">
        <v>84582</v>
      </c>
      <c r="AO27" t="n">
        <v>8227</v>
      </c>
      <c r="AP27" t="n">
        <v>14162</v>
      </c>
      <c r="AQ27" t="n">
        <v>-3623</v>
      </c>
    </row>
    <row r="28">
      <c r="A28" s="5" t="inlineStr">
        <is>
          <t>Net cash (used in)/generated from financing activities</t>
        </is>
      </c>
      <c r="B28" s="5" t="n">
        <v>-1330</v>
      </c>
      <c r="C28" s="5" t="n">
        <v>-1667</v>
      </c>
      <c r="D28" s="5" t="n">
        <v>9722</v>
      </c>
      <c r="E28" s="5" t="n">
        <v>-141</v>
      </c>
      <c r="F28" s="5" t="n">
        <v>38498</v>
      </c>
      <c r="G28" s="5" t="n">
        <v>-164</v>
      </c>
      <c r="AK28" t="inlineStr">
        <is>
          <t>Net cash (used in)/generated from financing activities</t>
        </is>
      </c>
      <c r="AL28" t="n">
        <v>-164</v>
      </c>
      <c r="AM28" t="n">
        <v>38498</v>
      </c>
      <c r="AN28" t="n">
        <v>-141</v>
      </c>
      <c r="AO28" t="n">
        <v>9722</v>
      </c>
      <c r="AP28" t="n">
        <v>-1667</v>
      </c>
      <c r="AQ28" t="n">
        <v>-1330</v>
      </c>
    </row>
    <row r="29">
      <c r="A29" s="5" t="inlineStr">
        <is>
          <t>Cash and cash equivalents at end of the period</t>
        </is>
      </c>
      <c r="B29" s="5" t="n">
        <v>140563</v>
      </c>
      <c r="C29" s="5" t="n">
        <v>112563</v>
      </c>
      <c r="D29" s="5" t="n">
        <v>90867</v>
      </c>
      <c r="E29" s="5" t="n">
        <v>110630</v>
      </c>
      <c r="F29" s="5" t="n">
        <v>29597</v>
      </c>
      <c r="G29" s="5" t="n">
        <v>21233</v>
      </c>
      <c r="AK29" t="inlineStr">
        <is>
          <t>Cash and cash equivalents at end of the period</t>
        </is>
      </c>
      <c r="AL29" t="n">
        <v>21233</v>
      </c>
      <c r="AM29" t="n">
        <v>29597</v>
      </c>
      <c r="AN29" t="n">
        <v>110630</v>
      </c>
      <c r="AO29" t="n">
        <v>90867</v>
      </c>
      <c r="AP29" t="n">
        <v>112563</v>
      </c>
      <c r="AQ29" t="n">
        <v>140563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18.0%</t>
        </is>
      </c>
      <c r="C33" s="6" t="inlineStr">
        <is>
          <t>21.6%</t>
        </is>
      </c>
      <c r="D33" s="6" t="inlineStr">
        <is>
          <t>22.8%</t>
        </is>
      </c>
      <c r="E33" s="6" t="inlineStr">
        <is>
          <t>22.1%</t>
        </is>
      </c>
      <c r="F33" s="6" t="inlineStr">
        <is>
          <t>38.2%</t>
        </is>
      </c>
      <c r="G33" s="6" t="inlineStr">
        <is>
          <t>50.1%</t>
        </is>
      </c>
    </row>
    <row r="34">
      <c r="A34" s="6" t="inlineStr">
        <is>
          <t>Total Capital Ratio</t>
        </is>
      </c>
      <c r="B34" s="6" t="inlineStr">
        <is>
          <t>20.5%</t>
        </is>
      </c>
      <c r="C34" s="6" t="inlineStr">
        <is>
          <t>23.8%</t>
        </is>
      </c>
      <c r="D34" s="6" t="inlineStr">
        <is>
          <t>25.8%</t>
        </is>
      </c>
      <c r="E34" s="6" t="inlineStr">
        <is>
          <t>22.1%</t>
        </is>
      </c>
      <c r="F34" s="6" t="inlineStr">
        <is>
          <t>38.2%</t>
        </is>
      </c>
      <c r="G34" s="6" t="inlineStr">
        <is>
          <t>50.1%</t>
        </is>
      </c>
    </row>
    <row r="35">
      <c r="A35" s="6" t="inlineStr">
        <is>
          <t>Leverage Ratio</t>
        </is>
      </c>
      <c r="B35" s="6" t="inlineStr">
        <is>
          <t>12.8%</t>
        </is>
      </c>
      <c r="C35" s="6" t="inlineStr">
        <is>
          <t>14.5%</t>
        </is>
      </c>
      <c r="D35" s="6" t="inlineStr">
        <is>
          <t>13.0%</t>
        </is>
      </c>
      <c r="E35" s="6" t="inlineStr">
        <is>
          <t>17.6%</t>
        </is>
      </c>
      <c r="F35" s="6" t="inlineStr">
        <is>
          <t>21.2%</t>
        </is>
      </c>
      <c r="G35" s="6" t="inlineStr">
        <is>
          <t>23.6%</t>
        </is>
      </c>
    </row>
    <row r="36">
      <c r="A36" s="6" t="inlineStr">
        <is>
          <t>LCR</t>
        </is>
      </c>
      <c r="B36" s="6" t="inlineStr">
        <is>
          <t>704.0%</t>
        </is>
      </c>
      <c r="C36" s="6" t="inlineStr">
        <is>
          <t>836.6%</t>
        </is>
      </c>
      <c r="D36" s="6" t="inlineStr">
        <is>
          <t>618%</t>
        </is>
      </c>
      <c r="E36" s="6" t="inlineStr">
        <is>
          <t>1029%</t>
        </is>
      </c>
      <c r="F36" s="6" t="inlineStr">
        <is>
          <t>5597%</t>
        </is>
      </c>
      <c r="G36" s="6" t="inlineStr">
        <is>
          <t>6820%</t>
        </is>
      </c>
    </row>
    <row r="37">
      <c r="A37" s="6" t="inlineStr">
        <is>
          <t>NSFR</t>
        </is>
      </c>
      <c r="B37" s="6" t="n"/>
      <c r="C37" s="6" t="n"/>
      <c r="D37" s="6" t="inlineStr">
        <is>
          <t>148.2%</t>
        </is>
      </c>
      <c r="E37" s="6" t="inlineStr">
        <is>
          <t>163%</t>
        </is>
      </c>
      <c r="F37" s="6" t="inlineStr">
        <is>
          <t>214%</t>
        </is>
      </c>
      <c r="G37" s="6" t="inlineStr">
        <is>
          <t>253%</t>
        </is>
      </c>
    </row>
    <row r="39" ht="45" customHeight="1">
      <c r="A39" s="7" t="inlineStr">
        <is>
          <t>Note: Figures are Distribution Finance Capital Holdings plc Group-consolidated basis (the PRA-regulated Bank's own filed accounts are fully scanned with no text layer; the Group and regulatory consolidation bases are confirmed identical, so this is not a basis mismatch — see the Cash Flow Statement sheet's source note). Figures are duplicated from the detail sheets for at-a-glance trend viewing; see each sheet's own source citation for the underlying document/page. FY2020 is this workbook's confirmed floor (HD-023, re-verified against Companies House and the Bank's own disclosure archive) — the Bank only became a PRA-authorised deposit-taker in September 2020 and the Group entity itself was only incorporated March 2019, so no earlier year has both financial statements and a Pillar 3 disclosure; see the Cash Flow Statement sheet's ENTITY NOTE for the full chain of evidence.</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Balance Sheet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v>131676</v>
      </c>
      <c r="C5" s="6" t="n">
        <v>110030</v>
      </c>
      <c r="D5" s="6" t="n">
        <v>89552</v>
      </c>
      <c r="E5" s="6" t="n">
        <v>107353</v>
      </c>
      <c r="F5" s="6" t="n">
        <v>29597</v>
      </c>
      <c r="G5" s="6" t="n">
        <v>21233</v>
      </c>
    </row>
    <row r="6">
      <c r="A6" s="6" t="inlineStr">
        <is>
          <t>Loans and advances to banks</t>
        </is>
      </c>
      <c r="B6" s="6" t="n">
        <v>5894</v>
      </c>
      <c r="C6" s="6" t="n">
        <v>3771</v>
      </c>
      <c r="D6" s="6" t="n">
        <v>3475</v>
      </c>
      <c r="E6" s="6" t="n">
        <v>3848</v>
      </c>
      <c r="F6" s="6" t="n"/>
      <c r="G6" s="6" t="n"/>
    </row>
    <row r="7">
      <c r="A7" s="6" t="inlineStr">
        <is>
          <t>Investment/debt securities (UK govt gilts/T-bills, FVOCI, FY2020-FY2023; money market fund, amortised cost, FY2024-FY2025)</t>
        </is>
      </c>
      <c r="B7" s="6" t="n">
        <v>5722</v>
      </c>
      <c r="C7" s="6" t="n">
        <v>769</v>
      </c>
      <c r="D7" s="6" t="n">
        <v>14839</v>
      </c>
      <c r="E7" s="6" t="n">
        <v>22964</v>
      </c>
      <c r="F7" s="6" t="n">
        <v>108867</v>
      </c>
      <c r="G7" s="6" t="n">
        <v>66601</v>
      </c>
    </row>
    <row r="8">
      <c r="A8" s="6" t="inlineStr">
        <is>
          <t>Derivatives held for risk management (asset)</t>
        </is>
      </c>
      <c r="B8" s="6" t="n">
        <v>411</v>
      </c>
      <c r="C8" s="6" t="n">
        <v>295</v>
      </c>
      <c r="D8" s="6" t="n">
        <v>537</v>
      </c>
      <c r="E8" s="6" t="n">
        <v>57</v>
      </c>
      <c r="F8" s="6" t="n"/>
      <c r="G8" s="6" t="n"/>
    </row>
    <row r="9">
      <c r="A9" s="6" t="inlineStr">
        <is>
          <t>Loans and advances to customers</t>
        </is>
      </c>
      <c r="B9" s="6" t="n">
        <v>839526</v>
      </c>
      <c r="C9" s="6" t="n">
        <v>660772</v>
      </c>
      <c r="D9" s="6" t="n">
        <v>568044</v>
      </c>
      <c r="E9" s="6" t="n">
        <v>435883</v>
      </c>
      <c r="F9" s="6" t="n">
        <v>247205</v>
      </c>
      <c r="G9" s="6" t="n">
        <v>111337</v>
      </c>
    </row>
    <row r="10">
      <c r="A10" s="6" t="inlineStr">
        <is>
          <t>Trade and other receivables</t>
        </is>
      </c>
      <c r="B10" s="6" t="n">
        <v>7734</v>
      </c>
      <c r="C10" s="6" t="n">
        <v>4678</v>
      </c>
      <c r="D10" s="6" t="n">
        <v>5335</v>
      </c>
      <c r="E10" s="6" t="n">
        <v>1524</v>
      </c>
      <c r="F10" s="6" t="n">
        <v>1133</v>
      </c>
      <c r="G10" s="6" t="n">
        <v>1154</v>
      </c>
    </row>
    <row r="11">
      <c r="A11" s="6" t="inlineStr">
        <is>
          <t>Current taxation asset</t>
        </is>
      </c>
      <c r="B11" s="6" t="n">
        <v>40</v>
      </c>
      <c r="C11" s="6" t="n"/>
      <c r="D11" s="6" t="n">
        <v>55</v>
      </c>
      <c r="E11" s="6" t="n">
        <v>55</v>
      </c>
      <c r="F11" s="6" t="n"/>
      <c r="G11" s="6" t="n"/>
    </row>
    <row r="12">
      <c r="A12" s="6" t="inlineStr">
        <is>
          <t>Deferred taxation asset</t>
        </is>
      </c>
      <c r="B12" s="6" t="n">
        <v>1912</v>
      </c>
      <c r="C12" s="6" t="n">
        <v>3980</v>
      </c>
      <c r="D12" s="6" t="n">
        <v>7111</v>
      </c>
      <c r="E12" s="6" t="n">
        <v>8457</v>
      </c>
      <c r="F12" s="6" t="n"/>
      <c r="G12" s="6" t="n"/>
    </row>
    <row r="13">
      <c r="A13" s="6" t="inlineStr">
        <is>
          <t>Property, plant and equipment</t>
        </is>
      </c>
      <c r="B13" s="6" t="n">
        <v>3797</v>
      </c>
      <c r="C13" s="6" t="n">
        <v>1093</v>
      </c>
      <c r="D13" s="6" t="n">
        <v>1145</v>
      </c>
      <c r="E13" s="6" t="n">
        <v>1045</v>
      </c>
      <c r="F13" s="6" t="n">
        <v>99</v>
      </c>
      <c r="G13" s="6" t="n">
        <v>139</v>
      </c>
    </row>
    <row r="14">
      <c r="A14" s="6" t="inlineStr">
        <is>
          <t>Right-of-use assets</t>
        </is>
      </c>
      <c r="B14" s="6" t="n">
        <v>2355</v>
      </c>
      <c r="C14" s="6" t="n">
        <v>202</v>
      </c>
      <c r="D14" s="6" t="n">
        <v>1227</v>
      </c>
      <c r="E14" s="6" t="n">
        <v>433</v>
      </c>
      <c r="F14" s="6" t="n">
        <v>641</v>
      </c>
      <c r="G14" s="6" t="n">
        <v>64</v>
      </c>
    </row>
    <row r="15">
      <c r="A15" s="6" t="inlineStr">
        <is>
          <t>Intangible assets</t>
        </is>
      </c>
      <c r="B15" s="6" t="n">
        <v>745</v>
      </c>
      <c r="C15" s="6" t="n">
        <v>950</v>
      </c>
      <c r="D15" s="6" t="n">
        <v>618</v>
      </c>
      <c r="E15" s="6" t="n">
        <v>877</v>
      </c>
      <c r="F15" s="6" t="n">
        <v>1066</v>
      </c>
      <c r="G15" s="6" t="n">
        <v>794</v>
      </c>
    </row>
    <row r="16">
      <c r="A16" s="5" t="inlineStr">
        <is>
          <t>Total assets</t>
        </is>
      </c>
      <c r="B16" s="5" t="n">
        <v>999812</v>
      </c>
      <c r="C16" s="5" t="n">
        <v>786540</v>
      </c>
      <c r="D16" s="5" t="n">
        <v>691938</v>
      </c>
      <c r="E16" s="5" t="n">
        <v>582496</v>
      </c>
      <c r="F16" s="5" t="n">
        <v>388608</v>
      </c>
      <c r="G16" s="5" t="n">
        <v>201322</v>
      </c>
    </row>
    <row r="17">
      <c r="A17" s="5" t="inlineStr">
        <is>
          <t>Liabilities</t>
        </is>
      </c>
      <c r="B17" s="6" t="n"/>
      <c r="C17" s="6" t="n"/>
      <c r="D17" s="6" t="n"/>
      <c r="E17" s="6" t="n"/>
      <c r="F17" s="6" t="n"/>
      <c r="G17" s="6" t="n"/>
    </row>
    <row r="18">
      <c r="A18" s="6" t="inlineStr">
        <is>
          <t>Customer deposits</t>
        </is>
      </c>
      <c r="B18" s="6" t="n">
        <v>840565</v>
      </c>
      <c r="C18" s="6" t="n">
        <v>649665</v>
      </c>
      <c r="D18" s="6" t="n">
        <v>574622</v>
      </c>
      <c r="E18" s="6" t="n">
        <v>479736</v>
      </c>
      <c r="F18" s="6" t="n">
        <v>296856</v>
      </c>
      <c r="G18" s="6" t="n">
        <v>145982</v>
      </c>
    </row>
    <row r="19">
      <c r="A19" s="6" t="inlineStr">
        <is>
          <t>Amounts due to banks</t>
        </is>
      </c>
      <c r="B19" s="6" t="n"/>
      <c r="C19" s="6" t="n">
        <v>180</v>
      </c>
      <c r="D19" s="6" t="n"/>
      <c r="E19" s="6" t="n"/>
      <c r="F19" s="6" t="n"/>
      <c r="G19" s="6" t="n"/>
    </row>
    <row r="20">
      <c r="A20" s="6" t="inlineStr">
        <is>
          <t>Derivatives held for risk management (liability)</t>
        </is>
      </c>
      <c r="B20" s="6" t="n">
        <v>819</v>
      </c>
      <c r="C20" s="6" t="n">
        <v>6</v>
      </c>
      <c r="D20" s="6" t="n">
        <v>565</v>
      </c>
      <c r="E20" s="6" t="n">
        <v>42</v>
      </c>
      <c r="F20" s="6" t="n"/>
      <c r="G20" s="6" t="n"/>
    </row>
    <row r="21">
      <c r="A21" s="6" t="inlineStr">
        <is>
          <t>Fair value adjustments on hedged liabilities</t>
        </is>
      </c>
      <c r="B21" s="6" t="n">
        <v>375</v>
      </c>
      <c r="C21" s="6" t="n">
        <v>136</v>
      </c>
      <c r="D21" s="6" t="n">
        <v>424</v>
      </c>
      <c r="E21" s="6" t="n">
        <v>-84</v>
      </c>
      <c r="F21" s="6" t="n"/>
      <c r="G21" s="6" t="n"/>
    </row>
    <row r="22">
      <c r="A22" s="6" t="inlineStr">
        <is>
          <t>Financial liabilities</t>
        </is>
      </c>
      <c r="B22" s="6" t="n">
        <v>2444</v>
      </c>
      <c r="C22" s="6" t="n">
        <v>90</v>
      </c>
      <c r="D22" s="6" t="n">
        <v>1255</v>
      </c>
      <c r="E22" s="6" t="n">
        <v>445</v>
      </c>
      <c r="F22" s="6" t="n">
        <v>554</v>
      </c>
      <c r="G22" s="6" t="n">
        <v>107</v>
      </c>
    </row>
    <row r="23">
      <c r="A23" s="6" t="inlineStr">
        <is>
          <t>Trade and other payables</t>
        </is>
      </c>
      <c r="B23" s="6" t="n">
        <v>12822</v>
      </c>
      <c r="C23" s="6" t="n">
        <v>9335</v>
      </c>
      <c r="D23" s="6" t="n">
        <v>4297</v>
      </c>
      <c r="E23" s="6" t="n">
        <v>6041</v>
      </c>
      <c r="F23" s="6" t="n">
        <v>5067</v>
      </c>
      <c r="G23" s="6" t="n">
        <v>4261</v>
      </c>
    </row>
    <row r="24">
      <c r="A24" s="6" t="inlineStr">
        <is>
          <t>Provisions</t>
        </is>
      </c>
      <c r="B24" s="6" t="n">
        <v>255</v>
      </c>
      <c r="C24" s="6" t="n">
        <v>285</v>
      </c>
      <c r="D24" s="6" t="n">
        <v>67</v>
      </c>
      <c r="E24" s="6" t="n">
        <v>77</v>
      </c>
      <c r="F24" s="6" t="n">
        <v>73</v>
      </c>
      <c r="G24" s="6" t="n">
        <v>83</v>
      </c>
    </row>
    <row r="25">
      <c r="A25" s="6" t="inlineStr">
        <is>
          <t>Current taxation liability</t>
        </is>
      </c>
      <c r="B25" s="6" t="n"/>
      <c r="C25" s="6" t="n">
        <v>1259</v>
      </c>
      <c r="D25" s="6" t="n">
        <v>73</v>
      </c>
      <c r="E25" s="6" t="n"/>
      <c r="F25" s="6" t="n"/>
      <c r="G25" s="6" t="n"/>
    </row>
    <row r="26">
      <c r="A26" s="6" t="inlineStr">
        <is>
          <t>Subordinated liabilities</t>
        </is>
      </c>
      <c r="B26" s="6" t="n">
        <v>15302</v>
      </c>
      <c r="C26" s="6" t="n">
        <v>10230</v>
      </c>
      <c r="D26" s="6" t="n">
        <v>10221</v>
      </c>
      <c r="E26" s="6" t="n"/>
      <c r="F26" s="6" t="n"/>
      <c r="G26" s="6" t="n"/>
    </row>
    <row r="27">
      <c r="A27" s="5" t="inlineStr">
        <is>
          <t>Total liabilities</t>
        </is>
      </c>
      <c r="B27" s="5" t="n">
        <v>872582</v>
      </c>
      <c r="C27" s="5" t="n">
        <v>671186</v>
      </c>
      <c r="D27" s="5" t="n">
        <v>591524</v>
      </c>
      <c r="E27" s="5" t="n">
        <v>486257</v>
      </c>
      <c r="F27" s="5" t="n">
        <v>302550</v>
      </c>
      <c r="G27" s="5" t="n">
        <v>150433</v>
      </c>
    </row>
    <row r="28">
      <c r="A28" s="5" t="inlineStr">
        <is>
          <t>Equity</t>
        </is>
      </c>
      <c r="B28" s="6" t="n"/>
      <c r="C28" s="6" t="n"/>
      <c r="D28" s="6" t="n"/>
      <c r="E28" s="6" t="n"/>
      <c r="F28" s="6" t="n"/>
      <c r="G28" s="6" t="n"/>
    </row>
    <row r="29">
      <c r="A29" s="6" t="inlineStr">
        <is>
          <t>Issued share capital</t>
        </is>
      </c>
      <c r="B29" s="6" t="n">
        <v>1793</v>
      </c>
      <c r="C29" s="6" t="n">
        <v>1793</v>
      </c>
      <c r="D29" s="6" t="n">
        <v>1793</v>
      </c>
      <c r="E29" s="6" t="n">
        <v>1793</v>
      </c>
      <c r="F29" s="6" t="n">
        <v>1793</v>
      </c>
      <c r="G29" s="6" t="n">
        <v>1066</v>
      </c>
    </row>
    <row r="30">
      <c r="A30" s="6" t="inlineStr">
        <is>
          <t>Share premium</t>
        </is>
      </c>
      <c r="B30" s="6" t="n"/>
      <c r="C30" s="6" t="n"/>
      <c r="D30" s="6" t="n"/>
      <c r="E30" s="6" t="n">
        <v>39273</v>
      </c>
      <c r="F30" s="6" t="n"/>
      <c r="G30" s="6" t="n"/>
    </row>
    <row r="31">
      <c r="A31" s="6" t="inlineStr">
        <is>
          <t>Merger relief</t>
        </is>
      </c>
      <c r="B31" s="6" t="n">
        <v>94911</v>
      </c>
      <c r="C31" s="6" t="n">
        <v>94911</v>
      </c>
      <c r="D31" s="6" t="n">
        <v>94911</v>
      </c>
      <c r="E31" s="6" t="n">
        <v>94911</v>
      </c>
      <c r="F31" s="6" t="n">
        <v>94911</v>
      </c>
      <c r="G31" s="6" t="n">
        <v>94911</v>
      </c>
    </row>
    <row r="32">
      <c r="A32" s="6" t="inlineStr">
        <is>
          <t>Merger reserve</t>
        </is>
      </c>
      <c r="B32" s="6" t="n">
        <v>-20609</v>
      </c>
      <c r="C32" s="6" t="n">
        <v>-20609</v>
      </c>
      <c r="D32" s="6" t="n">
        <v>-20609</v>
      </c>
      <c r="E32" s="6" t="n">
        <v>-20609</v>
      </c>
      <c r="F32" s="6" t="n">
        <v>-20609</v>
      </c>
      <c r="G32" s="6" t="n">
        <v>-20609</v>
      </c>
    </row>
    <row r="33">
      <c r="A33" s="6" t="inlineStr">
        <is>
          <t>Own shares</t>
        </is>
      </c>
      <c r="B33" s="6" t="n">
        <v>-548</v>
      </c>
      <c r="C33" s="6" t="n">
        <v>-440</v>
      </c>
      <c r="D33" s="6" t="n">
        <v>-401</v>
      </c>
      <c r="E33" s="6" t="n">
        <v>-364</v>
      </c>
      <c r="F33" s="6" t="n">
        <v>-364</v>
      </c>
      <c r="G33" s="6" t="n">
        <v>-364</v>
      </c>
    </row>
    <row r="34">
      <c r="A34" s="6" t="inlineStr">
        <is>
          <t>Treasury shares</t>
        </is>
      </c>
      <c r="B34" s="6" t="n">
        <v>-4755</v>
      </c>
      <c r="C34" s="6" t="n"/>
      <c r="D34" s="6" t="n"/>
      <c r="E34" s="6" t="n"/>
      <c r="F34" s="6" t="n"/>
      <c r="G34" s="6" t="n"/>
    </row>
    <row r="35">
      <c r="A35" s="6" t="inlineStr">
        <is>
          <t>Retained earnings/(loss)</t>
        </is>
      </c>
      <c r="B35" s="6" t="n">
        <v>56438</v>
      </c>
      <c r="C35" s="6" t="n">
        <v>39699</v>
      </c>
      <c r="D35" s="6" t="n">
        <v>24720</v>
      </c>
      <c r="E35" s="6" t="n">
        <v>-18765</v>
      </c>
      <c r="F35" s="6" t="n">
        <v>-28946</v>
      </c>
      <c r="G35" s="6" t="n">
        <v>-24115</v>
      </c>
    </row>
    <row r="36">
      <c r="A36" s="5" t="inlineStr">
        <is>
          <t>Total equity</t>
        </is>
      </c>
      <c r="B36" s="5" t="n">
        <v>127230</v>
      </c>
      <c r="C36" s="5" t="n">
        <v>115354</v>
      </c>
      <c r="D36" s="5" t="n">
        <v>100414</v>
      </c>
      <c r="E36" s="5" t="n">
        <v>96239</v>
      </c>
      <c r="F36" s="5" t="n">
        <v>86058</v>
      </c>
      <c r="G36" s="5" t="n">
        <v>50889</v>
      </c>
    </row>
    <row r="37">
      <c r="A37" s="5" t="inlineStr">
        <is>
          <t>Total equity and liabilities</t>
        </is>
      </c>
      <c r="B37" s="5" t="n">
        <v>999812</v>
      </c>
      <c r="C37" s="5" t="n">
        <v>786540</v>
      </c>
      <c r="D37" s="5" t="n">
        <v>691938</v>
      </c>
      <c r="E37" s="5" t="n">
        <v>582496</v>
      </c>
      <c r="F37" s="5" t="n">
        <v>388608</v>
      </c>
      <c r="G37" s="5" t="n">
        <v>201322</v>
      </c>
    </row>
    <row r="39" ht="340"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Income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90698</v>
      </c>
      <c r="C5" s="6" t="n">
        <v>76820</v>
      </c>
      <c r="D5" s="6" t="n">
        <v>59970</v>
      </c>
      <c r="E5" s="6" t="n">
        <v>25407</v>
      </c>
      <c r="F5" s="6" t="n">
        <v>13259</v>
      </c>
      <c r="G5" s="6" t="n">
        <v>11233</v>
      </c>
    </row>
    <row r="6">
      <c r="A6" s="6" t="inlineStr">
        <is>
          <t>Interest and similar expenses</t>
        </is>
      </c>
      <c r="B6" s="6" t="n">
        <v>-34897</v>
      </c>
      <c r="C6" s="6" t="n">
        <v>-31208</v>
      </c>
      <c r="D6" s="6" t="n">
        <v>-22336</v>
      </c>
      <c r="E6" s="6" t="n">
        <v>-6411</v>
      </c>
      <c r="F6" s="6" t="n">
        <v>-2338</v>
      </c>
      <c r="G6" s="6" t="n">
        <v>-9174</v>
      </c>
    </row>
    <row r="7">
      <c r="A7" s="5" t="inlineStr">
        <is>
          <t>Net interest income</t>
        </is>
      </c>
      <c r="B7" s="5" t="n">
        <v>55801</v>
      </c>
      <c r="C7" s="5" t="n">
        <v>45612</v>
      </c>
      <c r="D7" s="5" t="n">
        <v>37634</v>
      </c>
      <c r="E7" s="5" t="n">
        <v>18996</v>
      </c>
      <c r="F7" s="5" t="n">
        <v>10921</v>
      </c>
      <c r="G7" s="5" t="n">
        <v>2059</v>
      </c>
    </row>
    <row r="8">
      <c r="A8" s="6" t="inlineStr">
        <is>
          <t>Fee income</t>
        </is>
      </c>
      <c r="B8" s="6" t="n">
        <v>1684</v>
      </c>
      <c r="C8" s="6" t="n">
        <v>1237</v>
      </c>
      <c r="D8" s="6" t="n">
        <v>1393</v>
      </c>
      <c r="E8" s="6" t="n">
        <v>1348</v>
      </c>
      <c r="F8" s="6" t="n">
        <v>466</v>
      </c>
      <c r="G8" s="6" t="n">
        <v>168</v>
      </c>
    </row>
    <row r="9">
      <c r="A9" s="6" t="inlineStr">
        <is>
          <t>Fee expenses</t>
        </is>
      </c>
      <c r="B9" s="6" t="n">
        <v>-1608</v>
      </c>
      <c r="C9" s="6" t="n">
        <v>-1626</v>
      </c>
      <c r="D9" s="6" t="n">
        <v>-719</v>
      </c>
      <c r="E9" s="6" t="n"/>
      <c r="F9" s="6" t="n"/>
      <c r="G9" s="6" t="n"/>
    </row>
    <row r="10">
      <c r="A10" s="6" t="inlineStr">
        <is>
          <t>Net losses on disposal of financial assets at FVOCI</t>
        </is>
      </c>
      <c r="B10" s="6" t="n"/>
      <c r="C10" s="6" t="n"/>
      <c r="D10" s="6" t="n"/>
      <c r="E10" s="6" t="n">
        <v>-17</v>
      </c>
      <c r="F10" s="6" t="n"/>
      <c r="G10" s="6" t="n">
        <v>15</v>
      </c>
    </row>
    <row r="11">
      <c r="A11" s="6" t="inlineStr">
        <is>
          <t>Net (losses)/gains from derivatives and other financial instruments at FVTPL</t>
        </is>
      </c>
      <c r="B11" s="6" t="n">
        <v>-773</v>
      </c>
      <c r="C11" s="6" t="n">
        <v>372</v>
      </c>
      <c r="D11" s="6" t="n">
        <v>-303</v>
      </c>
      <c r="E11" s="6" t="n">
        <v>99</v>
      </c>
      <c r="F11" s="6" t="n">
        <v>-3</v>
      </c>
      <c r="G11" s="6" t="n"/>
    </row>
    <row r="12">
      <c r="A12" s="6" t="inlineStr">
        <is>
          <t>Other operating income</t>
        </is>
      </c>
      <c r="B12" s="6" t="n">
        <v>28</v>
      </c>
      <c r="C12" s="6" t="n">
        <v>2</v>
      </c>
      <c r="D12" s="6" t="n">
        <v>9</v>
      </c>
      <c r="E12" s="6" t="n">
        <v>5</v>
      </c>
      <c r="F12" s="6" t="n"/>
      <c r="G12" s="6" t="n">
        <v>95</v>
      </c>
    </row>
    <row r="13">
      <c r="A13" s="6" t="inlineStr">
        <is>
          <t>Other operating (expense)/income</t>
        </is>
      </c>
      <c r="B13" s="6" t="n"/>
      <c r="C13" s="6" t="n"/>
      <c r="D13" s="6" t="n"/>
      <c r="E13" s="6" t="n"/>
      <c r="F13" s="6" t="n">
        <v>-81</v>
      </c>
      <c r="G13" s="6" t="n"/>
    </row>
    <row r="14">
      <c r="A14" s="6" t="inlineStr">
        <is>
          <t>Foreign currency gain/(loss)</t>
        </is>
      </c>
      <c r="B14" s="6" t="n">
        <v>907</v>
      </c>
      <c r="C14" s="6" t="n">
        <v>-107</v>
      </c>
      <c r="D14" s="6" t="n"/>
      <c r="E14" s="6" t="n"/>
      <c r="F14" s="6" t="n"/>
      <c r="G14" s="6" t="n"/>
    </row>
    <row r="15">
      <c r="A15" s="5" t="inlineStr">
        <is>
          <t>Total operating income</t>
        </is>
      </c>
      <c r="B15" s="5" t="n">
        <v>56039</v>
      </c>
      <c r="C15" s="5" t="n">
        <v>45490</v>
      </c>
      <c r="D15" s="5" t="n">
        <v>38014</v>
      </c>
      <c r="E15" s="5" t="n">
        <v>20431</v>
      </c>
      <c r="F15" s="5" t="n">
        <v>11303</v>
      </c>
      <c r="G15" s="5" t="n">
        <v>2337</v>
      </c>
    </row>
    <row r="16">
      <c r="A16" s="5" t="inlineStr">
        <is>
          <t>Expenses</t>
        </is>
      </c>
      <c r="B16" s="6" t="n"/>
      <c r="C16" s="6" t="n"/>
      <c r="D16" s="6" t="n"/>
      <c r="E16" s="6" t="n"/>
      <c r="F16" s="6" t="n"/>
      <c r="G16" s="6" t="n"/>
    </row>
    <row r="17">
      <c r="A17" s="6" t="inlineStr">
        <is>
          <t>Staff costs</t>
        </is>
      </c>
      <c r="B17" s="6" t="n">
        <v>-20684</v>
      </c>
      <c r="C17" s="6" t="n">
        <v>-16044</v>
      </c>
      <c r="D17" s="6" t="n">
        <v>-13431</v>
      </c>
      <c r="E17" s="6" t="n">
        <v>-10848</v>
      </c>
      <c r="F17" s="6" t="n">
        <v>-9121</v>
      </c>
      <c r="G17" s="6" t="n">
        <v>-9805</v>
      </c>
    </row>
    <row r="18">
      <c r="A18" s="6" t="inlineStr">
        <is>
          <t>Other operating expenses</t>
        </is>
      </c>
      <c r="B18" s="6" t="n">
        <v>-11497</v>
      </c>
      <c r="C18" s="6" t="n">
        <v>-10563</v>
      </c>
      <c r="D18" s="6" t="n">
        <v>-8412</v>
      </c>
      <c r="E18" s="6" t="n">
        <v>-5983</v>
      </c>
      <c r="F18" s="6" t="n">
        <v>-5386</v>
      </c>
      <c r="G18" s="6" t="n">
        <v>-5182</v>
      </c>
    </row>
    <row r="19">
      <c r="A19" s="6" t="inlineStr">
        <is>
          <t>Net impairment (loss)/gain on financial assets</t>
        </is>
      </c>
      <c r="B19" s="6" t="n">
        <v>-4267</v>
      </c>
      <c r="C19" s="6" t="n">
        <v>241</v>
      </c>
      <c r="D19" s="6" t="n">
        <v>-11598</v>
      </c>
      <c r="E19" s="6" t="n">
        <v>-2296</v>
      </c>
      <c r="F19" s="6" t="n">
        <v>-556</v>
      </c>
      <c r="G19" s="6" t="n">
        <v>-1294</v>
      </c>
    </row>
    <row r="20">
      <c r="A20" s="6" t="inlineStr">
        <is>
          <t>Other provisions</t>
        </is>
      </c>
      <c r="B20" s="6" t="n">
        <v>50</v>
      </c>
      <c r="C20" s="6" t="n">
        <v>-50</v>
      </c>
      <c r="D20" s="6" t="n"/>
      <c r="E20" s="6" t="n"/>
      <c r="F20" s="6" t="n">
        <v>25</v>
      </c>
      <c r="G20" s="6" t="n">
        <v>417</v>
      </c>
    </row>
    <row r="21">
      <c r="A21" s="6" t="inlineStr">
        <is>
          <t>Other losses</t>
        </is>
      </c>
      <c r="B21" s="6" t="n"/>
      <c r="C21" s="6" t="n"/>
      <c r="D21" s="6" t="n"/>
      <c r="E21" s="6" t="n"/>
      <c r="F21" s="6" t="n">
        <v>0</v>
      </c>
      <c r="G21" s="6" t="n">
        <v>-76</v>
      </c>
    </row>
    <row r="22">
      <c r="A22" s="5" t="inlineStr">
        <is>
          <t>Total operating profit/(loss)</t>
        </is>
      </c>
      <c r="B22" s="5" t="n">
        <v>19641</v>
      </c>
      <c r="C22" s="5" t="n">
        <v>19074</v>
      </c>
      <c r="D22" s="5" t="n">
        <v>4573</v>
      </c>
      <c r="E22" s="5" t="n">
        <v>1304</v>
      </c>
      <c r="F22" s="5" t="n">
        <v>-3735</v>
      </c>
      <c r="G22" s="5" t="n">
        <v>-13603</v>
      </c>
    </row>
    <row r="23">
      <c r="A23" s="5" t="inlineStr">
        <is>
          <t>Profit/(loss) before taxation</t>
        </is>
      </c>
      <c r="B23" s="5" t="n">
        <v>19641</v>
      </c>
      <c r="C23" s="5" t="n">
        <v>19074</v>
      </c>
      <c r="D23" s="5" t="n">
        <v>4573</v>
      </c>
      <c r="E23" s="5" t="n">
        <v>1304</v>
      </c>
      <c r="F23" s="5" t="n">
        <v>-3735</v>
      </c>
      <c r="G23" s="5" t="n">
        <v>-13603</v>
      </c>
    </row>
    <row r="24">
      <c r="A24" s="6" t="inlineStr">
        <is>
          <t>Taxation (charge)/credit</t>
        </is>
      </c>
      <c r="B24" s="6" t="n">
        <v>-4482</v>
      </c>
      <c r="C24" s="6" t="n">
        <v>-5053</v>
      </c>
      <c r="D24" s="6" t="n">
        <v>-1418</v>
      </c>
      <c r="E24" s="6" t="n">
        <v>8457</v>
      </c>
      <c r="F24" s="6" t="n">
        <v>59</v>
      </c>
      <c r="G24" s="6" t="n">
        <v>0</v>
      </c>
    </row>
    <row r="25">
      <c r="A25" s="5" t="inlineStr">
        <is>
          <t>Profit/(loss) after taxation</t>
        </is>
      </c>
      <c r="B25" s="5" t="n">
        <v>15159</v>
      </c>
      <c r="C25" s="5" t="n">
        <v>14021</v>
      </c>
      <c r="D25" s="5" t="n">
        <v>3155</v>
      </c>
      <c r="E25" s="5" t="n">
        <v>9761</v>
      </c>
      <c r="F25" s="5" t="n">
        <v>-3676</v>
      </c>
      <c r="G25" s="5" t="n">
        <v>-13603</v>
      </c>
    </row>
    <row r="26">
      <c r="A26" s="5" t="inlineStr">
        <is>
          <t>Other comprehensive income</t>
        </is>
      </c>
      <c r="B26" s="6" t="n"/>
      <c r="C26" s="6" t="n"/>
      <c r="D26" s="6" t="n"/>
      <c r="E26" s="6" t="n"/>
      <c r="F26" s="6" t="n"/>
      <c r="G26" s="6" t="n"/>
    </row>
    <row r="27">
      <c r="A27" s="6" t="inlineStr">
        <is>
          <t>FVOCI debt securities: amounts transferred to the income statement</t>
        </is>
      </c>
      <c r="B27" s="6" t="n"/>
      <c r="C27" s="6" t="n">
        <v>75</v>
      </c>
      <c r="D27" s="6" t="n"/>
      <c r="E27" s="6" t="n">
        <v>17</v>
      </c>
      <c r="F27" s="6" t="n">
        <v>3</v>
      </c>
      <c r="G27" s="6" t="n"/>
    </row>
    <row r="28">
      <c r="A28" s="6" t="inlineStr">
        <is>
          <t>FVOCI debt securities: fair value movements</t>
        </is>
      </c>
      <c r="B28" s="6" t="n"/>
      <c r="C28" s="6" t="n"/>
      <c r="D28" s="6" t="n">
        <v>183</v>
      </c>
      <c r="E28" s="6" t="n">
        <v>-96</v>
      </c>
      <c r="F28" s="6" t="n">
        <v>-165</v>
      </c>
      <c r="G28" s="6" t="n">
        <v>-22</v>
      </c>
    </row>
    <row r="29">
      <c r="A29" s="5" t="inlineStr">
        <is>
          <t>Total other comprehensive income/(loss) for the year, net of tax</t>
        </is>
      </c>
      <c r="B29" s="5" t="n">
        <v>0</v>
      </c>
      <c r="C29" s="5" t="n">
        <v>75</v>
      </c>
      <c r="D29" s="5" t="n">
        <v>183</v>
      </c>
      <c r="E29" s="5" t="n">
        <v>-79</v>
      </c>
      <c r="F29" s="5" t="n">
        <v>-162</v>
      </c>
      <c r="G29" s="5" t="n">
        <v>-22</v>
      </c>
    </row>
    <row r="30">
      <c r="A30" s="5" t="inlineStr">
        <is>
          <t>Total comprehensive income/(loss) for the year</t>
        </is>
      </c>
      <c r="B30" s="5" t="n">
        <v>15159</v>
      </c>
      <c r="C30" s="5" t="n">
        <v>14096</v>
      </c>
      <c r="D30" s="5" t="n">
        <v>3338</v>
      </c>
      <c r="E30" s="5" t="n">
        <v>9682</v>
      </c>
      <c r="F30" s="5" t="n">
        <v>-3838</v>
      </c>
      <c r="G30" s="5" t="n">
        <v>-13625</v>
      </c>
    </row>
    <row r="32" ht="340" customHeight="1">
      <c r="A32"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DF Capital Bank Limited — Consolidated Statement of Changes in Equity</t>
        </is>
      </c>
    </row>
    <row r="2">
      <c r="A2" s="2" t="inlineStr">
        <is>
          <t>Distribution Finance Capital Holdings plc Group basis, £'000. See source note at bottom.</t>
        </is>
      </c>
    </row>
    <row r="3">
      <c r="A3" s="4" t="inlineStr">
        <is>
          <t>Movement</t>
        </is>
      </c>
      <c r="B3" s="4" t="inlineStr">
        <is>
          <t>Issued share capital</t>
        </is>
      </c>
      <c r="C3" s="4" t="inlineStr">
        <is>
          <t>Share premium</t>
        </is>
      </c>
      <c r="D3" s="4" t="inlineStr">
        <is>
          <t>Merger relief</t>
        </is>
      </c>
      <c r="E3" s="4" t="inlineStr">
        <is>
          <t>Merger reserve</t>
        </is>
      </c>
      <c r="F3" s="4" t="inlineStr">
        <is>
          <t>Own shares</t>
        </is>
      </c>
      <c r="G3" s="4" t="inlineStr">
        <is>
          <t>Treasury shares</t>
        </is>
      </c>
      <c r="H3" s="4" t="inlineStr">
        <is>
          <t>Retained earnings/(loss)</t>
        </is>
      </c>
      <c r="I3" s="4" t="inlineStr">
        <is>
          <t>Total equity</t>
        </is>
      </c>
    </row>
    <row r="4">
      <c r="A4" s="5" t="inlineStr">
        <is>
          <t>At 31 December 2019 (FY2020 opening)</t>
        </is>
      </c>
      <c r="B4" s="5" t="n">
        <v>1066</v>
      </c>
      <c r="C4" s="5" t="n"/>
      <c r="D4" s="5" t="n">
        <v>94911</v>
      </c>
      <c r="E4" s="5" t="n">
        <v>-20609</v>
      </c>
      <c r="F4" s="5" t="n"/>
      <c r="G4" s="5" t="n"/>
      <c r="H4" s="5" t="n">
        <v>-10812</v>
      </c>
      <c r="I4" s="5" t="n">
        <v>64556</v>
      </c>
    </row>
    <row r="5">
      <c r="A5" s="6" t="inlineStr">
        <is>
          <t>Loss after taxation (FY2020)</t>
        </is>
      </c>
      <c r="B5" s="6" t="n"/>
      <c r="C5" s="6" t="n"/>
      <c r="D5" s="6" t="n"/>
      <c r="E5" s="6" t="n"/>
      <c r="F5" s="6" t="n"/>
      <c r="G5" s="6" t="n"/>
      <c r="H5" s="6" t="n">
        <v>-13603</v>
      </c>
      <c r="I5" s="6" t="n">
        <v>-13603</v>
      </c>
    </row>
    <row r="6">
      <c r="A6" s="6" t="inlineStr">
        <is>
          <t>Other comprehensive loss (FY2020)</t>
        </is>
      </c>
      <c r="B6" s="6" t="n"/>
      <c r="C6" s="6" t="n"/>
      <c r="D6" s="6" t="n"/>
      <c r="E6" s="6" t="n"/>
      <c r="F6" s="6" t="n"/>
      <c r="G6" s="6" t="n"/>
      <c r="H6" s="6" t="n">
        <v>-22</v>
      </c>
      <c r="I6" s="6" t="n">
        <v>-22</v>
      </c>
    </row>
    <row r="7">
      <c r="A7" s="5" t="inlineStr">
        <is>
          <t>Total comprehensive loss for the year (FY2020)</t>
        </is>
      </c>
      <c r="B7" s="5" t="n"/>
      <c r="C7" s="5" t="n"/>
      <c r="D7" s="5" t="n"/>
      <c r="E7" s="5" t="n"/>
      <c r="F7" s="5" t="n"/>
      <c r="G7" s="5" t="n"/>
      <c r="H7" s="5" t="n">
        <v>-13625</v>
      </c>
      <c r="I7" s="5" t="n">
        <v>-13625</v>
      </c>
    </row>
    <row r="8">
      <c r="A8" s="6" t="inlineStr">
        <is>
          <t>Share-based payments (FY2020)</t>
        </is>
      </c>
      <c r="B8" s="6" t="n"/>
      <c r="C8" s="6" t="n"/>
      <c r="D8" s="6" t="n"/>
      <c r="E8" s="6" t="n"/>
      <c r="F8" s="6" t="n"/>
      <c r="G8" s="6" t="n"/>
      <c r="H8" s="6" t="n">
        <v>322</v>
      </c>
      <c r="I8" s="6" t="n">
        <v>322</v>
      </c>
    </row>
    <row r="9">
      <c r="A9" s="6" t="inlineStr">
        <is>
          <t>Employee Benefit Trust loan (FY2020)</t>
        </is>
      </c>
      <c r="B9" s="6" t="n"/>
      <c r="C9" s="6" t="n"/>
      <c r="D9" s="6" t="n"/>
      <c r="E9" s="6" t="n"/>
      <c r="F9" s="6" t="n">
        <v>-364</v>
      </c>
      <c r="G9" s="6" t="n"/>
      <c r="H9" s="6" t="n"/>
      <c r="I9" s="6" t="n">
        <v>-364</v>
      </c>
    </row>
    <row r="10">
      <c r="A10" s="5" t="inlineStr">
        <is>
          <t>At 31 December 2020 (FY2021 opening)</t>
        </is>
      </c>
      <c r="B10" s="5" t="n">
        <v>1066</v>
      </c>
      <c r="C10" s="5" t="n"/>
      <c r="D10" s="5" t="n">
        <v>94911</v>
      </c>
      <c r="E10" s="5" t="n">
        <v>-20609</v>
      </c>
      <c r="F10" s="5" t="n">
        <v>-364</v>
      </c>
      <c r="G10" s="5" t="n"/>
      <c r="H10" s="5" t="n">
        <v>-24115</v>
      </c>
      <c r="I10" s="5" t="n">
        <v>50889</v>
      </c>
    </row>
    <row r="11">
      <c r="A11" s="6" t="inlineStr">
        <is>
          <t>Loss after taxation (FY2021)</t>
        </is>
      </c>
      <c r="B11" s="6" t="n"/>
      <c r="C11" s="6" t="n"/>
      <c r="D11" s="6" t="n"/>
      <c r="E11" s="6" t="n"/>
      <c r="F11" s="6" t="n"/>
      <c r="G11" s="6" t="n"/>
      <c r="H11" s="6" t="n">
        <v>-3676</v>
      </c>
      <c r="I11" s="6" t="n">
        <v>-3676</v>
      </c>
    </row>
    <row r="12">
      <c r="A12" s="6" t="inlineStr">
        <is>
          <t>Other comprehensive loss (FY2021)</t>
        </is>
      </c>
      <c r="B12" s="6" t="n"/>
      <c r="C12" s="6" t="n"/>
      <c r="D12" s="6" t="n"/>
      <c r="E12" s="6" t="n"/>
      <c r="F12" s="6" t="n"/>
      <c r="G12" s="6" t="n"/>
      <c r="H12" s="6" t="n">
        <v>-162</v>
      </c>
      <c r="I12" s="6" t="n">
        <v>-162</v>
      </c>
    </row>
    <row r="13">
      <c r="A13" s="5" t="inlineStr">
        <is>
          <t>Total comprehensive loss for the year (FY2021)</t>
        </is>
      </c>
      <c r="B13" s="5" t="n"/>
      <c r="C13" s="5" t="n"/>
      <c r="D13" s="5" t="n"/>
      <c r="E13" s="5" t="n"/>
      <c r="F13" s="5" t="n"/>
      <c r="G13" s="5" t="n"/>
      <c r="H13" s="5" t="n">
        <v>-3838</v>
      </c>
      <c r="I13" s="5" t="n">
        <v>-3838</v>
      </c>
    </row>
    <row r="14">
      <c r="A14" s="6" t="inlineStr">
        <is>
          <t>Share-based payments (FY2021)</t>
        </is>
      </c>
      <c r="B14" s="6" t="n"/>
      <c r="C14" s="6" t="n"/>
      <c r="D14" s="6" t="n"/>
      <c r="E14" s="6" t="n"/>
      <c r="F14" s="6" t="n"/>
      <c r="G14" s="6" t="n"/>
      <c r="H14" s="6" t="n">
        <v>362</v>
      </c>
      <c r="I14" s="6" t="n">
        <v>362</v>
      </c>
    </row>
    <row r="15">
      <c r="A15" s="6" t="inlineStr">
        <is>
          <t>Issue of new shares (FY2021)</t>
        </is>
      </c>
      <c r="B15" s="6" t="n">
        <v>727</v>
      </c>
      <c r="C15" s="6" t="n">
        <v>39273</v>
      </c>
      <c r="D15" s="6" t="n"/>
      <c r="E15" s="6" t="n"/>
      <c r="F15" s="6" t="n"/>
      <c r="G15" s="6" t="n"/>
      <c r="H15" s="6" t="n">
        <v>-1355</v>
      </c>
      <c r="I15" s="6" t="n">
        <v>38645</v>
      </c>
    </row>
    <row r="16">
      <c r="A16" s="5" t="inlineStr">
        <is>
          <t>At 31 December 2021</t>
        </is>
      </c>
      <c r="B16" s="5" t="n">
        <v>1793</v>
      </c>
      <c r="C16" s="5" t="n">
        <v>39273</v>
      </c>
      <c r="D16" s="5" t="n">
        <v>94911</v>
      </c>
      <c r="E16" s="5" t="n">
        <v>-20609</v>
      </c>
      <c r="F16" s="5" t="n">
        <v>-364</v>
      </c>
      <c r="G16" s="5" t="n"/>
      <c r="H16" s="5" t="n">
        <v>-28946</v>
      </c>
      <c r="I16" s="5" t="n">
        <v>86058</v>
      </c>
    </row>
    <row r="17">
      <c r="A17" s="6" t="inlineStr">
        <is>
          <t>Profit after taxation (FY2022)</t>
        </is>
      </c>
      <c r="B17" s="6" t="n"/>
      <c r="C17" s="6" t="n"/>
      <c r="D17" s="6" t="n"/>
      <c r="E17" s="6" t="n"/>
      <c r="F17" s="6" t="n"/>
      <c r="G17" s="6" t="n"/>
      <c r="H17" s="6" t="n">
        <v>9761</v>
      </c>
      <c r="I17" s="6" t="n">
        <v>9761</v>
      </c>
    </row>
    <row r="18">
      <c r="A18" s="6" t="inlineStr">
        <is>
          <t>Other comprehensive loss (FY2022)</t>
        </is>
      </c>
      <c r="B18" s="6" t="n"/>
      <c r="C18" s="6" t="n"/>
      <c r="D18" s="6" t="n"/>
      <c r="E18" s="6" t="n"/>
      <c r="F18" s="6" t="n"/>
      <c r="G18" s="6" t="n"/>
      <c r="H18" s="6" t="n">
        <v>-79</v>
      </c>
      <c r="I18" s="6" t="n">
        <v>-79</v>
      </c>
    </row>
    <row r="19">
      <c r="A19" s="5" t="inlineStr">
        <is>
          <t>Total comprehensive income for the year (FY2022)</t>
        </is>
      </c>
      <c r="B19" s="5" t="n"/>
      <c r="C19" s="5" t="n"/>
      <c r="D19" s="5" t="n"/>
      <c r="E19" s="5" t="n"/>
      <c r="F19" s="5" t="n"/>
      <c r="G19" s="5" t="n"/>
      <c r="H19" s="5" t="n">
        <v>9682</v>
      </c>
      <c r="I19" s="5" t="n">
        <v>9682</v>
      </c>
    </row>
    <row r="20">
      <c r="A20" s="6" t="inlineStr">
        <is>
          <t>Share-based payments (FY2022)</t>
        </is>
      </c>
      <c r="B20" s="6" t="n"/>
      <c r="C20" s="6" t="n"/>
      <c r="D20" s="6" t="n"/>
      <c r="E20" s="6" t="n"/>
      <c r="F20" s="6" t="n"/>
      <c r="G20" s="6" t="n"/>
      <c r="H20" s="6" t="n">
        <v>499</v>
      </c>
      <c r="I20" s="6" t="n">
        <v>499</v>
      </c>
    </row>
    <row r="21">
      <c r="A21" s="5" t="inlineStr">
        <is>
          <t>At 31 December 2022</t>
        </is>
      </c>
      <c r="B21" s="5" t="n">
        <v>1793</v>
      </c>
      <c r="C21" s="5" t="n">
        <v>39273</v>
      </c>
      <c r="D21" s="5" t="n">
        <v>94911</v>
      </c>
      <c r="E21" s="5" t="n">
        <v>-20609</v>
      </c>
      <c r="F21" s="5" t="n">
        <v>-364</v>
      </c>
      <c r="G21" s="5" t="n"/>
      <c r="H21" s="5" t="n">
        <v>-18765</v>
      </c>
      <c r="I21" s="5" t="n">
        <v>96239</v>
      </c>
    </row>
    <row r="22">
      <c r="A22" s="6" t="inlineStr">
        <is>
          <t>Profit after taxation (FY2023)</t>
        </is>
      </c>
      <c r="B22" s="6" t="n"/>
      <c r="C22" s="6" t="n"/>
      <c r="D22" s="6" t="n"/>
      <c r="E22" s="6" t="n"/>
      <c r="F22" s="6" t="n"/>
      <c r="G22" s="6" t="n"/>
      <c r="H22" s="6" t="n">
        <v>3155</v>
      </c>
      <c r="I22" s="6" t="n">
        <v>3155</v>
      </c>
    </row>
    <row r="23">
      <c r="A23" s="6" t="inlineStr">
        <is>
          <t>Other comprehensive income (FY2023)</t>
        </is>
      </c>
      <c r="B23" s="6" t="n"/>
      <c r="C23" s="6" t="n"/>
      <c r="D23" s="6" t="n"/>
      <c r="E23" s="6" t="n"/>
      <c r="F23" s="6" t="n"/>
      <c r="G23" s="6" t="n"/>
      <c r="H23" s="6" t="n">
        <v>183</v>
      </c>
      <c r="I23" s="6" t="n">
        <v>183</v>
      </c>
    </row>
    <row r="24">
      <c r="A24" s="5" t="inlineStr">
        <is>
          <t>Total comprehensive income for the year (FY2023)</t>
        </is>
      </c>
      <c r="B24" s="5" t="n"/>
      <c r="C24" s="5" t="n"/>
      <c r="D24" s="5" t="n"/>
      <c r="E24" s="5" t="n"/>
      <c r="F24" s="5" t="n"/>
      <c r="G24" s="5" t="n"/>
      <c r="H24" s="5" t="n">
        <v>3338</v>
      </c>
      <c r="I24" s="5" t="n">
        <v>3338</v>
      </c>
    </row>
    <row r="25">
      <c r="A25" s="6" t="inlineStr">
        <is>
          <t>Share-based payments (FY2023)</t>
        </is>
      </c>
      <c r="B25" s="6" t="n"/>
      <c r="C25" s="6" t="n"/>
      <c r="D25" s="6" t="n"/>
      <c r="E25" s="6" t="n"/>
      <c r="F25" s="6" t="n"/>
      <c r="G25" s="6" t="n"/>
      <c r="H25" s="6" t="n">
        <v>905</v>
      </c>
      <c r="I25" s="6" t="n">
        <v>905</v>
      </c>
    </row>
    <row r="26">
      <c r="A26" s="6" t="inlineStr">
        <is>
          <t>Employee Benefit Trust (FY2023)</t>
        </is>
      </c>
      <c r="B26" s="6" t="n"/>
      <c r="C26" s="6" t="n"/>
      <c r="D26" s="6" t="n"/>
      <c r="E26" s="6" t="n"/>
      <c r="F26" s="6" t="n">
        <v>-37</v>
      </c>
      <c r="G26" s="6" t="n"/>
      <c r="H26" s="6" t="n">
        <v>-31</v>
      </c>
      <c r="I26" s="6" t="n">
        <v>-68</v>
      </c>
    </row>
    <row r="27">
      <c r="A27" s="6" t="inlineStr">
        <is>
          <t>Share premium account cancellation (FY2023)</t>
        </is>
      </c>
      <c r="B27" s="6" t="n"/>
      <c r="C27" s="6" t="n">
        <v>-39273</v>
      </c>
      <c r="D27" s="6" t="n"/>
      <c r="E27" s="6" t="n"/>
      <c r="F27" s="6" t="n"/>
      <c r="G27" s="6" t="n"/>
      <c r="H27" s="6" t="n">
        <v>39273</v>
      </c>
      <c r="I27" s="6" t="n">
        <v>0</v>
      </c>
    </row>
    <row r="28">
      <c r="A28" s="5" t="inlineStr">
        <is>
          <t>At 31 December 2023</t>
        </is>
      </c>
      <c r="B28" s="5" t="n">
        <v>1793</v>
      </c>
      <c r="C28" s="5" t="n">
        <v>0</v>
      </c>
      <c r="D28" s="5" t="n">
        <v>94911</v>
      </c>
      <c r="E28" s="5" t="n">
        <v>-20609</v>
      </c>
      <c r="F28" s="5" t="n">
        <v>-401</v>
      </c>
      <c r="G28" s="5" t="n"/>
      <c r="H28" s="5" t="n">
        <v>24720</v>
      </c>
      <c r="I28" s="5" t="n">
        <v>100414</v>
      </c>
    </row>
    <row r="29">
      <c r="A29" s="6" t="inlineStr">
        <is>
          <t>Profit after taxation (FY2024)</t>
        </is>
      </c>
      <c r="B29" s="6" t="n"/>
      <c r="C29" s="6" t="n"/>
      <c r="D29" s="6" t="n"/>
      <c r="E29" s="6" t="n"/>
      <c r="F29" s="6" t="n"/>
      <c r="G29" s="6" t="n"/>
      <c r="H29" s="6" t="n">
        <v>14021</v>
      </c>
      <c r="I29" s="6" t="n">
        <v>14021</v>
      </c>
    </row>
    <row r="30">
      <c r="A30" s="6" t="inlineStr">
        <is>
          <t>Other comprehensive income (FY2024)</t>
        </is>
      </c>
      <c r="B30" s="6" t="n"/>
      <c r="C30" s="6" t="n"/>
      <c r="D30" s="6" t="n"/>
      <c r="E30" s="6" t="n"/>
      <c r="F30" s="6" t="n"/>
      <c r="G30" s="6" t="n"/>
      <c r="H30" s="6" t="n">
        <v>75</v>
      </c>
      <c r="I30" s="6" t="n">
        <v>75</v>
      </c>
    </row>
    <row r="31">
      <c r="A31" s="5" t="inlineStr">
        <is>
          <t>Total comprehensive income for the year (FY2024)</t>
        </is>
      </c>
      <c r="B31" s="5" t="n"/>
      <c r="C31" s="5" t="n"/>
      <c r="D31" s="5" t="n"/>
      <c r="E31" s="5" t="n"/>
      <c r="F31" s="5" t="n"/>
      <c r="G31" s="5" t="n"/>
      <c r="H31" s="5" t="n">
        <v>14096</v>
      </c>
      <c r="I31" s="5" t="n">
        <v>14096</v>
      </c>
    </row>
    <row r="32">
      <c r="A32" s="6" t="inlineStr">
        <is>
          <t>Share-based payments (FY2024)</t>
        </is>
      </c>
      <c r="B32" s="6" t="n"/>
      <c r="C32" s="6" t="n"/>
      <c r="D32" s="6" t="n"/>
      <c r="E32" s="6" t="n"/>
      <c r="F32" s="6" t="n"/>
      <c r="G32" s="6" t="n"/>
      <c r="H32" s="6" t="n">
        <v>985</v>
      </c>
      <c r="I32" s="6" t="n">
        <v>985</v>
      </c>
    </row>
    <row r="33">
      <c r="A33" s="6" t="inlineStr">
        <is>
          <t>Employee Benefit Trust (FY2024)</t>
        </is>
      </c>
      <c r="B33" s="6" t="n"/>
      <c r="C33" s="6" t="n"/>
      <c r="D33" s="6" t="n"/>
      <c r="E33" s="6" t="n"/>
      <c r="F33" s="6" t="n">
        <v>-39</v>
      </c>
      <c r="G33" s="6" t="n"/>
      <c r="H33" s="6" t="n">
        <v>-102</v>
      </c>
      <c r="I33" s="6" t="n">
        <v>-141</v>
      </c>
    </row>
    <row r="34">
      <c r="A34" s="5" t="inlineStr">
        <is>
          <t>At 31 December 2024</t>
        </is>
      </c>
      <c r="B34" s="5" t="n">
        <v>1793</v>
      </c>
      <c r="C34" s="5" t="n">
        <v>0</v>
      </c>
      <c r="D34" s="5" t="n">
        <v>94911</v>
      </c>
      <c r="E34" s="5" t="n">
        <v>-20609</v>
      </c>
      <c r="F34" s="5" t="n">
        <v>-440</v>
      </c>
      <c r="G34" s="5" t="n"/>
      <c r="H34" s="5" t="n">
        <v>39699</v>
      </c>
      <c r="I34" s="5" t="n">
        <v>115354</v>
      </c>
    </row>
    <row r="35">
      <c r="A35" s="6" t="inlineStr">
        <is>
          <t>Profit after taxation (FY2025)</t>
        </is>
      </c>
      <c r="B35" s="6" t="n"/>
      <c r="C35" s="6" t="n"/>
      <c r="D35" s="6" t="n"/>
      <c r="E35" s="6" t="n"/>
      <c r="F35" s="6" t="n"/>
      <c r="G35" s="6" t="n"/>
      <c r="H35" s="6" t="n">
        <v>15159</v>
      </c>
      <c r="I35" s="6" t="n">
        <v>15159</v>
      </c>
    </row>
    <row r="36">
      <c r="A36" s="6" t="inlineStr">
        <is>
          <t>Other comprehensive income (FY2025)</t>
        </is>
      </c>
      <c r="B36" s="6" t="n"/>
      <c r="C36" s="6" t="n"/>
      <c r="D36" s="6" t="n"/>
      <c r="E36" s="6" t="n"/>
      <c r="F36" s="6" t="n"/>
      <c r="G36" s="6" t="n"/>
      <c r="H36" s="6" t="n">
        <v>0</v>
      </c>
      <c r="I36" s="6" t="n">
        <v>0</v>
      </c>
    </row>
    <row r="37">
      <c r="A37" s="5" t="inlineStr">
        <is>
          <t>Total comprehensive income for the year (FY2025)</t>
        </is>
      </c>
      <c r="B37" s="5" t="n"/>
      <c r="C37" s="5" t="n"/>
      <c r="D37" s="5" t="n"/>
      <c r="E37" s="5" t="n"/>
      <c r="F37" s="5" t="n"/>
      <c r="G37" s="5" t="n"/>
      <c r="H37" s="5" t="n">
        <v>15159</v>
      </c>
      <c r="I37" s="5" t="n">
        <v>15159</v>
      </c>
    </row>
    <row r="38">
      <c r="A38" s="6" t="inlineStr">
        <is>
          <t>Share-based payments (FY2025)</t>
        </is>
      </c>
      <c r="B38" s="6" t="n"/>
      <c r="C38" s="6" t="n"/>
      <c r="D38" s="6" t="n"/>
      <c r="E38" s="6" t="n"/>
      <c r="F38" s="6" t="n"/>
      <c r="G38" s="6" t="n"/>
      <c r="H38" s="6" t="n">
        <v>1254</v>
      </c>
      <c r="I38" s="6" t="n">
        <v>1254</v>
      </c>
    </row>
    <row r="39">
      <c r="A39" s="6" t="inlineStr">
        <is>
          <t>Employee Benefit Trust (FY2025)</t>
        </is>
      </c>
      <c r="B39" s="6" t="n"/>
      <c r="C39" s="6" t="n"/>
      <c r="D39" s="6" t="n"/>
      <c r="E39" s="6" t="n"/>
      <c r="F39" s="6" t="n">
        <v>-108</v>
      </c>
      <c r="G39" s="6" t="n"/>
      <c r="H39" s="6" t="n">
        <v>-84</v>
      </c>
      <c r="I39" s="6" t="n">
        <v>-192</v>
      </c>
    </row>
    <row r="40">
      <c r="A40" s="6" t="inlineStr">
        <is>
          <t>Share Buyback (FY2025)</t>
        </is>
      </c>
      <c r="B40" s="6" t="n"/>
      <c r="C40" s="6" t="n"/>
      <c r="D40" s="6" t="n"/>
      <c r="E40" s="6" t="n"/>
      <c r="F40" s="6" t="n"/>
      <c r="G40" s="6" t="n">
        <v>-4877</v>
      </c>
      <c r="H40" s="6" t="n"/>
      <c r="I40" s="6" t="n">
        <v>-4877</v>
      </c>
    </row>
    <row r="41">
      <c r="A41" s="6" t="inlineStr">
        <is>
          <t>Settlement of share options (FY2025)</t>
        </is>
      </c>
      <c r="B41" s="6" t="n"/>
      <c r="C41" s="6" t="n"/>
      <c r="D41" s="6" t="n"/>
      <c r="E41" s="6" t="n"/>
      <c r="F41" s="6" t="n"/>
      <c r="G41" s="6" t="n">
        <v>122</v>
      </c>
      <c r="H41" s="6" t="n">
        <v>-6</v>
      </c>
      <c r="I41" s="6" t="n">
        <v>116</v>
      </c>
    </row>
    <row r="42">
      <c r="A42" s="6" t="inlineStr">
        <is>
          <t>Deferred tax asset on share-based payments (FY2025)</t>
        </is>
      </c>
      <c r="B42" s="6" t="n"/>
      <c r="C42" s="6" t="n"/>
      <c r="D42" s="6" t="n"/>
      <c r="E42" s="6" t="n"/>
      <c r="F42" s="6" t="n"/>
      <c r="G42" s="6" t="n"/>
      <c r="H42" s="6" t="n">
        <v>416</v>
      </c>
      <c r="I42" s="6" t="n">
        <v>416</v>
      </c>
    </row>
    <row r="43">
      <c r="A43" s="5" t="inlineStr">
        <is>
          <t>At 31 December 2025</t>
        </is>
      </c>
      <c r="B43" s="5" t="n">
        <v>1793</v>
      </c>
      <c r="C43" s="5" t="n">
        <v>0</v>
      </c>
      <c r="D43" s="5" t="n">
        <v>94911</v>
      </c>
      <c r="E43" s="5" t="n">
        <v>-20609</v>
      </c>
      <c r="F43" s="5" t="n">
        <v>-548</v>
      </c>
      <c r="G43" s="5" t="n">
        <v>-4755</v>
      </c>
      <c r="H43" s="5" t="n">
        <v>56438</v>
      </c>
      <c r="I43" s="5" t="n">
        <v>127230</v>
      </c>
    </row>
    <row r="45" ht="340" customHeight="1">
      <c r="A45"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45:I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Cash Flow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Profit/(loss) before taxation</t>
        </is>
      </c>
      <c r="B5" s="6" t="n">
        <v>19641</v>
      </c>
      <c r="C5" s="6" t="n">
        <v>19074</v>
      </c>
      <c r="D5" s="6" t="n">
        <v>4573</v>
      </c>
      <c r="E5" s="6" t="n">
        <v>1304</v>
      </c>
      <c r="F5" s="6" t="n">
        <v>-3735</v>
      </c>
      <c r="G5" s="6" t="n">
        <v>-13603</v>
      </c>
    </row>
    <row r="6">
      <c r="A6" s="6" t="inlineStr">
        <is>
          <t>Adjustments for non-cash items and other adjustments included in the income statement</t>
        </is>
      </c>
      <c r="B6" s="6" t="n">
        <v>7794</v>
      </c>
      <c r="C6" s="6" t="n">
        <v>3822</v>
      </c>
      <c r="D6" s="6" t="n">
        <v>13000</v>
      </c>
      <c r="E6" s="6" t="n">
        <v>4664</v>
      </c>
      <c r="F6" s="6" t="n">
        <v>1446</v>
      </c>
      <c r="G6" s="6" t="n">
        <v>2059</v>
      </c>
    </row>
    <row r="7">
      <c r="A7" s="6" t="inlineStr">
        <is>
          <t>Increase/(decrease) in operating assets</t>
        </is>
      </c>
      <c r="B7" s="6" t="n">
        <v>-186354</v>
      </c>
      <c r="C7" s="6" t="n">
        <v>-92390</v>
      </c>
      <c r="D7" s="6" t="n">
        <v>-149456</v>
      </c>
      <c r="E7" s="6" t="n">
        <v>-193189</v>
      </c>
      <c r="F7" s="6" t="n">
        <v>-136244</v>
      </c>
      <c r="G7" s="6" t="n">
        <v>96764</v>
      </c>
    </row>
    <row r="8">
      <c r="A8" s="6" t="inlineStr">
        <is>
          <t>Increase/(decrease) in operating liabilities</t>
        </is>
      </c>
      <c r="B8" s="6" t="n">
        <v>195168</v>
      </c>
      <c r="C8" s="6" t="n">
        <v>79376</v>
      </c>
      <c r="D8" s="6" t="n">
        <v>94171</v>
      </c>
      <c r="E8" s="6" t="n">
        <v>183809</v>
      </c>
      <c r="F8" s="6" t="n">
        <v>151711</v>
      </c>
      <c r="G8" s="6" t="n">
        <v>-19073</v>
      </c>
    </row>
    <row r="9">
      <c r="A9" s="6" t="inlineStr">
        <is>
          <t>Taxation paid/(received)</t>
        </is>
      </c>
      <c r="B9" s="6" t="n">
        <v>-3296</v>
      </c>
      <c r="C9" s="6" t="n">
        <v>-681</v>
      </c>
      <c r="D9" s="6" t="n">
        <v>0</v>
      </c>
      <c r="E9" s="6" t="n">
        <v>-4</v>
      </c>
      <c r="F9" s="6" t="n">
        <v>0</v>
      </c>
      <c r="G9" s="6" t="n">
        <v>0</v>
      </c>
    </row>
    <row r="10">
      <c r="A10" s="5" t="inlineStr">
        <is>
          <t>Net cash generated from/(used in) operating activities</t>
        </is>
      </c>
      <c r="B10" s="5" t="n">
        <v>32953</v>
      </c>
      <c r="C10" s="5" t="n">
        <v>9201</v>
      </c>
      <c r="D10" s="5" t="n">
        <v>-37712</v>
      </c>
      <c r="E10" s="5" t="n">
        <v>-3408</v>
      </c>
      <c r="F10" s="5" t="n">
        <v>13178</v>
      </c>
      <c r="G10" s="5" t="n">
        <v>66147</v>
      </c>
    </row>
    <row r="11">
      <c r="A11" s="5" t="inlineStr">
        <is>
          <t>Investing activities</t>
        </is>
      </c>
      <c r="B11" s="6" t="n"/>
      <c r="C11" s="6" t="n"/>
      <c r="D11" s="6" t="n"/>
      <c r="E11" s="6" t="n"/>
      <c r="F11" s="6" t="n"/>
      <c r="G11" s="6" t="n"/>
    </row>
    <row r="12">
      <c r="A12" s="6" t="inlineStr">
        <is>
          <t>Purchase of investment/debt securities</t>
        </is>
      </c>
      <c r="B12" s="6" t="n">
        <v>-498</v>
      </c>
      <c r="C12" s="6" t="n">
        <v>-9918</v>
      </c>
      <c r="D12" s="6" t="n">
        <v>-14554</v>
      </c>
      <c r="E12" s="6" t="n">
        <v>0</v>
      </c>
      <c r="F12" s="6" t="n">
        <v>-350980</v>
      </c>
      <c r="G12" s="6" t="n">
        <v>-120721</v>
      </c>
    </row>
    <row r="13">
      <c r="A13" s="6" t="inlineStr">
        <is>
          <t>Proceeds from sale and maturity of investment/debt securities</t>
        </is>
      </c>
      <c r="B13" s="6" t="n">
        <v>500</v>
      </c>
      <c r="C13" s="6" t="n">
        <v>25000</v>
      </c>
      <c r="D13" s="6" t="n">
        <v>23000</v>
      </c>
      <c r="E13" s="6" t="n">
        <v>85070</v>
      </c>
      <c r="F13" s="6" t="n">
        <v>307958</v>
      </c>
      <c r="G13" s="6" t="n">
        <v>62107</v>
      </c>
    </row>
    <row r="14">
      <c r="A14" s="6" t="inlineStr">
        <is>
          <t>Dividends received on money market funds</t>
        </is>
      </c>
      <c r="B14" s="6" t="n">
        <v>57</v>
      </c>
      <c r="C14" s="6" t="n">
        <v>25</v>
      </c>
      <c r="D14" s="6" t="n"/>
      <c r="E14" s="6" t="n"/>
      <c r="F14" s="6" t="n"/>
      <c r="G14" s="6" t="n"/>
    </row>
    <row r="15">
      <c r="A15" s="6" t="inlineStr">
        <is>
          <t>Interest received on investment/debt securities</t>
        </is>
      </c>
      <c r="B15" s="6" t="n">
        <v>2</v>
      </c>
      <c r="C15" s="6" t="n">
        <v>75</v>
      </c>
      <c r="D15" s="6" t="n">
        <v>383</v>
      </c>
      <c r="E15" s="6" t="n">
        <v>746</v>
      </c>
      <c r="F15" s="6" t="n">
        <v>549</v>
      </c>
      <c r="G15" s="6" t="n"/>
    </row>
    <row r="16">
      <c r="A16" s="6" t="inlineStr">
        <is>
          <t>Purchase of own shares</t>
        </is>
      </c>
      <c r="B16" s="6" t="n"/>
      <c r="C16" s="6" t="n"/>
      <c r="D16" s="6" t="n">
        <v>-67</v>
      </c>
      <c r="E16" s="6" t="n"/>
      <c r="F16" s="6" t="n"/>
      <c r="G16" s="6" t="n"/>
    </row>
    <row r="17">
      <c r="A17" s="6" t="inlineStr">
        <is>
          <t>Purchase of property, plant and equipment</t>
        </is>
      </c>
      <c r="B17" s="6" t="n">
        <v>-3557</v>
      </c>
      <c r="C17" s="6" t="n">
        <v>-397</v>
      </c>
      <c r="D17" s="6" t="n">
        <v>-418</v>
      </c>
      <c r="E17" s="6" t="n">
        <v>-1041</v>
      </c>
      <c r="F17" s="6" t="n">
        <v>-253</v>
      </c>
      <c r="G17" s="6" t="n">
        <v>-32</v>
      </c>
    </row>
    <row r="18">
      <c r="A18" s="6" t="inlineStr">
        <is>
          <t>Cash received on disposal of property, plant and equipment</t>
        </is>
      </c>
      <c r="B18" s="6" t="n">
        <v>34</v>
      </c>
      <c r="C18" s="6" t="n"/>
      <c r="D18" s="6" t="n"/>
      <c r="E18" s="6" t="n"/>
      <c r="F18" s="6" t="n"/>
      <c r="G18" s="6" t="n"/>
    </row>
    <row r="19">
      <c r="A19" s="6" t="inlineStr">
        <is>
          <t>Purchase of right of use assets</t>
        </is>
      </c>
      <c r="B19" s="6" t="n">
        <v>-81</v>
      </c>
      <c r="C19" s="6" t="n"/>
      <c r="D19" s="6" t="n"/>
      <c r="E19" s="6" t="n"/>
      <c r="F19" s="6" t="n"/>
      <c r="G19" s="6" t="n"/>
    </row>
    <row r="20">
      <c r="A20" s="6" t="inlineStr">
        <is>
          <t>Purchase of intangible assets</t>
        </is>
      </c>
      <c r="B20" s="6" t="n">
        <v>-80</v>
      </c>
      <c r="C20" s="6" t="n">
        <v>-623</v>
      </c>
      <c r="D20" s="6" t="n">
        <v>-117</v>
      </c>
      <c r="E20" s="6" t="n">
        <v>-193</v>
      </c>
      <c r="F20" s="6" t="n">
        <v>-586</v>
      </c>
      <c r="G20" s="6" t="n">
        <v>-226</v>
      </c>
    </row>
    <row r="21">
      <c r="A21" s="5" t="inlineStr">
        <is>
          <t>Net cash (used in)/generated from investing activities</t>
        </is>
      </c>
      <c r="B21" s="5" t="n">
        <v>-3623</v>
      </c>
      <c r="C21" s="5" t="n">
        <v>14162</v>
      </c>
      <c r="D21" s="5" t="n">
        <v>8227</v>
      </c>
      <c r="E21" s="5" t="n">
        <v>84582</v>
      </c>
      <c r="F21" s="5" t="n">
        <v>-43312</v>
      </c>
      <c r="G21" s="5" t="n">
        <v>-58872</v>
      </c>
    </row>
    <row r="22">
      <c r="A22" s="5" t="inlineStr">
        <is>
          <t>Financing activities</t>
        </is>
      </c>
      <c r="B22" s="6" t="n"/>
      <c r="C22" s="6" t="n"/>
      <c r="D22" s="6" t="n"/>
      <c r="E22" s="6" t="n"/>
      <c r="F22" s="6" t="n"/>
      <c r="G22" s="6" t="n"/>
    </row>
    <row r="23">
      <c r="A23" s="6" t="inlineStr">
        <is>
          <t>Issue of new shares</t>
        </is>
      </c>
      <c r="B23" s="6" t="n"/>
      <c r="C23" s="6" t="n"/>
      <c r="D23" s="6" t="n"/>
      <c r="E23" s="6" t="n"/>
      <c r="F23" s="6" t="n">
        <v>38645</v>
      </c>
      <c r="G23" s="6" t="n"/>
    </row>
    <row r="24">
      <c r="A24" s="6" t="inlineStr">
        <is>
          <t>Repayment of lease liabilities</t>
        </is>
      </c>
      <c r="B24" s="6" t="n">
        <v>-108</v>
      </c>
      <c r="C24" s="6" t="n">
        <v>-252</v>
      </c>
      <c r="D24" s="6" t="n">
        <v>-227</v>
      </c>
      <c r="E24" s="6" t="n">
        <v>-141</v>
      </c>
      <c r="F24" s="6" t="n">
        <v>-147</v>
      </c>
      <c r="G24" s="6" t="n">
        <v>-164</v>
      </c>
    </row>
    <row r="25">
      <c r="A25" s="6" t="inlineStr">
        <is>
          <t>Issuance of subordinated liabilities</t>
        </is>
      </c>
      <c r="B25" s="6" t="n">
        <v>5000</v>
      </c>
      <c r="C25" s="6" t="n"/>
      <c r="D25" s="6" t="n">
        <v>10000</v>
      </c>
      <c r="E25" s="6" t="n"/>
      <c r="F25" s="6" t="n"/>
      <c r="G25" s="6" t="n"/>
    </row>
    <row r="26">
      <c r="A26" s="6" t="inlineStr">
        <is>
          <t>Acquisition of subordinated liabilities</t>
        </is>
      </c>
      <c r="B26" s="6" t="n"/>
      <c r="C26" s="6" t="n"/>
      <c r="D26" s="6" t="n">
        <v>-51</v>
      </c>
      <c r="E26" s="6" t="n"/>
      <c r="F26" s="6" t="n"/>
      <c r="G26" s="6" t="n"/>
    </row>
    <row r="27">
      <c r="A27" s="6" t="inlineStr">
        <is>
          <t>Coupon paid on subordinated liabilities</t>
        </is>
      </c>
      <c r="B27" s="6" t="n">
        <v>-1269</v>
      </c>
      <c r="C27" s="6" t="n">
        <v>-1273</v>
      </c>
      <c r="D27" s="6" t="n"/>
      <c r="E27" s="6" t="n"/>
      <c r="F27" s="6" t="n"/>
      <c r="G27" s="6" t="n"/>
    </row>
    <row r="28">
      <c r="A28" s="6" t="inlineStr">
        <is>
          <t>Purchase of own shares</t>
        </is>
      </c>
      <c r="B28" s="6" t="n">
        <v>-192</v>
      </c>
      <c r="C28" s="6" t="n">
        <v>-142</v>
      </c>
      <c r="D28" s="6" t="n"/>
      <c r="E28" s="6" t="n"/>
      <c r="F28" s="6" t="n"/>
      <c r="G28" s="6" t="n"/>
    </row>
    <row r="29">
      <c r="A29" s="6" t="inlineStr">
        <is>
          <t>Purchase of treasury shares</t>
        </is>
      </c>
      <c r="B29" s="6" t="n">
        <v>-4877</v>
      </c>
      <c r="C29" s="6" t="n"/>
      <c r="D29" s="6" t="n"/>
      <c r="E29" s="6" t="n"/>
      <c r="F29" s="6" t="n"/>
      <c r="G29" s="6" t="n"/>
    </row>
    <row r="30">
      <c r="A30" s="6" t="inlineStr">
        <is>
          <t>Receipt of cash from settlement of share options</t>
        </is>
      </c>
      <c r="B30" s="6" t="n">
        <v>116</v>
      </c>
      <c r="C30" s="6" t="n"/>
      <c r="D30" s="6" t="n"/>
      <c r="E30" s="6" t="n"/>
      <c r="F30" s="6" t="n"/>
      <c r="G30" s="6" t="n"/>
    </row>
    <row r="31">
      <c r="A31" s="5" t="inlineStr">
        <is>
          <t>Net cash (used in)/generated from financing activities</t>
        </is>
      </c>
      <c r="B31" s="5" t="n">
        <v>-1330</v>
      </c>
      <c r="C31" s="5" t="n">
        <v>-1667</v>
      </c>
      <c r="D31" s="5" t="n">
        <v>9722</v>
      </c>
      <c r="E31" s="5" t="n">
        <v>-141</v>
      </c>
      <c r="F31" s="5" t="n">
        <v>38498</v>
      </c>
      <c r="G31" s="5" t="n">
        <v>-164</v>
      </c>
    </row>
    <row r="32">
      <c r="A32" s="5" t="inlineStr">
        <is>
          <t>Net increase/(decrease) in cash and cash equivalents</t>
        </is>
      </c>
      <c r="B32" s="5" t="n">
        <v>28000</v>
      </c>
      <c r="C32" s="5" t="n">
        <v>21696</v>
      </c>
      <c r="D32" s="5" t="n">
        <v>-19763</v>
      </c>
      <c r="E32" s="5" t="n">
        <v>81033</v>
      </c>
      <c r="F32" s="5" t="n">
        <v>8364</v>
      </c>
      <c r="G32" s="5" t="n">
        <v>7111</v>
      </c>
    </row>
    <row r="33">
      <c r="A33" s="6" t="inlineStr">
        <is>
          <t>Cash and cash equivalents at start of the period</t>
        </is>
      </c>
      <c r="B33" s="6" t="n">
        <v>112563</v>
      </c>
      <c r="C33" s="6" t="n">
        <v>90867</v>
      </c>
      <c r="D33" s="6" t="n">
        <v>110630</v>
      </c>
      <c r="E33" s="6" t="n">
        <v>29597</v>
      </c>
      <c r="F33" s="6" t="n">
        <v>21233</v>
      </c>
      <c r="G33" s="6" t="n">
        <v>14122</v>
      </c>
    </row>
    <row r="34">
      <c r="A34" s="5" t="inlineStr">
        <is>
          <t>Cash and cash equivalents at end of the period</t>
        </is>
      </c>
      <c r="B34" s="5" t="n">
        <v>140563</v>
      </c>
      <c r="C34" s="5" t="n">
        <v>112563</v>
      </c>
      <c r="D34" s="5" t="n">
        <v>90867</v>
      </c>
      <c r="E34" s="5" t="n">
        <v>110630</v>
      </c>
      <c r="F34" s="5" t="n">
        <v>29597</v>
      </c>
      <c r="G34" s="5" t="n">
        <v>21233</v>
      </c>
    </row>
    <row r="36" ht="280" customHeight="1">
      <c r="A36" s="8" t="inlineStr">
        <is>
          <t>Sources - Distribution Finance Capital Holdings plc's Consolidated Cash Flow Statement (Group basis, the Bank's own filed accounts are fully scanned - see ENTITY NOTE):
FY2025/FY2024: Annual Report and Accounts 2025, p.114-115 (Consolidated Cash Flow Statement) - https://wp-dfcapital-investors-2020.s3.eu-west-2.amazonaws.com/media/2026/03/DF-Capital-Annual-Report-and-Accounts-year-ending-2025.pdf
FY2023/FY2022: Annual Report and Accounts 2023, p.114-115 (Consolidated Cash Flow Statement) - https://wp-dfcapital-investors-2020.s3.eu-west-2.amazonaws.com/media/2024/04/DF-Capital-Annual-Report-and-Accounts-year-ending-2023-1.pdf
FY2021: Annual Report and Accounts 2021, p.106-107 (Consolidated Cash Flow Statement) - https://wp-dfcapital-investors-2020.s3.eu-west-2.amazonaws.com/media/2022/05/Annual-report-and-accounts-year-end-2021.pdf
FY2020: Annual Report and Financial Statements 2020, p.94 (Consolidated Cash Flow Statement) - https://wp-dfcapital-investors-2020.s3.eu-west-2.amazonaws.com/media/2021/04/21070044/Annual-report-and-accounts-Year-end-2020-Final-compressed.pdf
Each year's own originally-published figures are used; the closing balance of each year ties exactly to the opening balance of the next, no restatements found across any vintage (including FY2020's own closing GBP21,233k, which ties to FY2021's own opening balance). FY2022's own printed operating-activities total (-GBP3,408k) is GBP8k off its own component lines' sum (-GBP3,416k) - an immaterial rounding artifact in the source document itself, kept as printed rather than force-corrected; every other year's total ties to the penny, hand-traced across every year boundary FY2020-FY2025.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6:G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Asset Quality</t>
        </is>
      </c>
    </row>
    <row r="2">
      <c r="A2" s="2" t="inlineStr">
        <is>
          <t>Loans and advances to customers, by IFRS 9 stage, £'000. Group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 composition</t>
        </is>
      </c>
      <c r="B4" s="6" t="n"/>
      <c r="C4" s="6" t="n"/>
      <c r="D4" s="6" t="n"/>
      <c r="E4" s="6" t="n"/>
      <c r="F4" s="6" t="n"/>
      <c r="G4" s="6" t="n"/>
    </row>
    <row r="5">
      <c r="A5" s="6" t="inlineStr">
        <is>
          <t>Loan book principal</t>
        </is>
      </c>
      <c r="B5" s="6" t="n">
        <v>845966</v>
      </c>
      <c r="C5" s="6" t="n">
        <v>665709</v>
      </c>
      <c r="D5" s="6" t="n">
        <v>580525</v>
      </c>
      <c r="E5" s="6" t="n">
        <v>439282</v>
      </c>
      <c r="F5" s="6" t="n"/>
      <c r="G5" s="6" t="n"/>
    </row>
    <row r="6">
      <c r="A6" s="6" t="inlineStr">
        <is>
          <t>Accrued interest and fees</t>
        </is>
      </c>
      <c r="B6" s="6" t="n">
        <v>4141</v>
      </c>
      <c r="C6" s="6" t="n">
        <v>4067</v>
      </c>
      <c r="D6" s="6" t="n">
        <v>3602</v>
      </c>
      <c r="E6" s="6" t="n">
        <v>2002</v>
      </c>
      <c r="F6" s="6" t="n"/>
      <c r="G6" s="6" t="n"/>
    </row>
    <row r="7">
      <c r="A7" s="5" t="inlineStr">
        <is>
          <t>Gross carrying amount</t>
        </is>
      </c>
      <c r="B7" s="5" t="n">
        <v>850107</v>
      </c>
      <c r="C7" s="5" t="n">
        <v>669776</v>
      </c>
      <c r="D7" s="5" t="n">
        <v>584127</v>
      </c>
      <c r="E7" s="5" t="n">
        <v>441284</v>
      </c>
      <c r="F7" s="5" t="n">
        <v>249454</v>
      </c>
      <c r="G7" s="5" t="n">
        <v>113259</v>
      </c>
    </row>
    <row r="8">
      <c r="A8" s="6" t="inlineStr">
        <is>
          <t>less: impairment allowance</t>
        </is>
      </c>
      <c r="B8" s="6" t="n">
        <v>-8501</v>
      </c>
      <c r="C8" s="6" t="n">
        <v>-6577</v>
      </c>
      <c r="D8" s="6" t="n">
        <v>-14596</v>
      </c>
      <c r="E8" s="6" t="n">
        <v>-3720</v>
      </c>
      <c r="F8" s="6" t="n">
        <v>-1718</v>
      </c>
      <c r="G8" s="6" t="n">
        <v>-1288</v>
      </c>
    </row>
    <row r="9">
      <c r="A9" s="6" t="inlineStr">
        <is>
          <t>less: effective interest rate adjustment</t>
        </is>
      </c>
      <c r="B9" s="6" t="n">
        <v>-2080</v>
      </c>
      <c r="C9" s="6" t="n">
        <v>-2427</v>
      </c>
      <c r="D9" s="6" t="n">
        <v>-1487</v>
      </c>
      <c r="E9" s="6" t="n">
        <v>-1681</v>
      </c>
      <c r="F9" s="6" t="n">
        <v>-531</v>
      </c>
      <c r="G9" s="6" t="n">
        <v>-634</v>
      </c>
    </row>
    <row r="10">
      <c r="A10" s="5" t="inlineStr">
        <is>
          <t>Total loans and advances to customers</t>
        </is>
      </c>
      <c r="B10" s="5" t="n">
        <v>839526</v>
      </c>
      <c r="C10" s="5" t="n">
        <v>660772</v>
      </c>
      <c r="D10" s="5" t="n">
        <v>568044</v>
      </c>
      <c r="E10" s="5" t="n">
        <v>435883</v>
      </c>
      <c r="F10" s="5" t="n">
        <v>247205</v>
      </c>
      <c r="G10" s="5" t="n">
        <v>111337</v>
      </c>
    </row>
    <row r="11">
      <c r="A11" s="5" t="inlineStr">
        <is>
          <t>Gross carrying amount, by IFRS 9 stage</t>
        </is>
      </c>
      <c r="B11" s="6" t="n"/>
      <c r="C11" s="6" t="n"/>
      <c r="D11" s="6" t="n"/>
      <c r="E11" s="6" t="n"/>
      <c r="F11" s="6" t="n"/>
      <c r="G11" s="6" t="n"/>
    </row>
    <row r="12">
      <c r="A12" s="6" t="inlineStr">
        <is>
          <t>Stage 1</t>
        </is>
      </c>
      <c r="B12" s="6" t="n">
        <v>785729</v>
      </c>
      <c r="C12" s="6" t="n">
        <v>643513</v>
      </c>
      <c r="D12" s="6" t="n">
        <v>545952</v>
      </c>
      <c r="E12" s="6" t="n">
        <v>410756</v>
      </c>
      <c r="F12" s="6" t="n">
        <v>239327</v>
      </c>
      <c r="G12" s="6" t="n">
        <v>103823</v>
      </c>
    </row>
    <row r="13">
      <c r="A13" s="6" t="inlineStr">
        <is>
          <t>Stage 2</t>
        </is>
      </c>
      <c r="B13" s="6" t="n">
        <v>54741</v>
      </c>
      <c r="C13" s="6" t="n">
        <v>18484</v>
      </c>
      <c r="D13" s="6" t="n">
        <v>21052</v>
      </c>
      <c r="E13" s="6" t="n">
        <v>13323</v>
      </c>
      <c r="F13" s="6" t="n">
        <v>9585</v>
      </c>
      <c r="G13" s="6" t="n">
        <v>8726</v>
      </c>
    </row>
    <row r="14">
      <c r="A14" s="6" t="inlineStr">
        <is>
          <t>Stage 3</t>
        </is>
      </c>
      <c r="B14" s="6" t="n">
        <v>9637</v>
      </c>
      <c r="C14" s="6" t="n">
        <v>7779</v>
      </c>
      <c r="D14" s="6" t="n">
        <v>17123</v>
      </c>
      <c r="E14" s="6" t="n">
        <v>17205</v>
      </c>
      <c r="F14" s="6" t="n">
        <v>542</v>
      </c>
      <c r="G14" s="6" t="n">
        <v>710</v>
      </c>
    </row>
    <row r="15">
      <c r="A15" s="5" t="inlineStr">
        <is>
          <t>Total gross carrying amount (by stage)</t>
        </is>
      </c>
      <c r="B15" s="5" t="n">
        <v>850107</v>
      </c>
      <c r="C15" s="5" t="n">
        <v>669776</v>
      </c>
      <c r="D15" s="5" t="n">
        <v>584127</v>
      </c>
      <c r="E15" s="5" t="n">
        <v>441284</v>
      </c>
      <c r="F15" s="5" t="n">
        <v>249454</v>
      </c>
      <c r="G15" s="5" t="n">
        <v>113259</v>
      </c>
    </row>
    <row r="16">
      <c r="A16" s="5" t="inlineStr">
        <is>
          <t>Loss allowance (ECL), by IFRS 9 stage</t>
        </is>
      </c>
      <c r="B16" s="6" t="n"/>
      <c r="C16" s="6" t="n"/>
      <c r="D16" s="6" t="n"/>
      <c r="E16" s="6" t="n"/>
      <c r="F16" s="6" t="n"/>
      <c r="G16" s="6" t="n"/>
    </row>
    <row r="17">
      <c r="A17" s="6" t="inlineStr">
        <is>
          <t>Stage 1</t>
        </is>
      </c>
      <c r="B17" s="6" t="n">
        <v>-4368</v>
      </c>
      <c r="C17" s="6" t="n">
        <v>-3692</v>
      </c>
      <c r="D17" s="6" t="n">
        <v>-2522</v>
      </c>
      <c r="E17" s="6" t="n">
        <v>-1943</v>
      </c>
      <c r="F17" s="6" t="n">
        <v>-1142</v>
      </c>
      <c r="G17" s="6" t="n">
        <v>-645</v>
      </c>
    </row>
    <row r="18">
      <c r="A18" s="6" t="inlineStr">
        <is>
          <t>Stage 2</t>
        </is>
      </c>
      <c r="B18" s="6" t="n">
        <v>-711</v>
      </c>
      <c r="C18" s="6" t="n">
        <v>-166</v>
      </c>
      <c r="D18" s="6" t="n">
        <v>-160</v>
      </c>
      <c r="E18" s="6" t="n">
        <v>-84</v>
      </c>
      <c r="F18" s="6" t="n">
        <v>-155</v>
      </c>
      <c r="G18" s="6" t="n">
        <v>-49</v>
      </c>
    </row>
    <row r="19">
      <c r="A19" s="6" t="inlineStr">
        <is>
          <t>Stage 3</t>
        </is>
      </c>
      <c r="B19" s="6" t="n">
        <v>-3422</v>
      </c>
      <c r="C19" s="6" t="n">
        <v>-2719</v>
      </c>
      <c r="D19" s="6" t="n">
        <v>-11914</v>
      </c>
      <c r="E19" s="6" t="n">
        <v>-1693</v>
      </c>
      <c r="F19" s="6" t="n">
        <v>-421</v>
      </c>
      <c r="G19" s="6" t="n">
        <v>-594</v>
      </c>
    </row>
    <row r="20">
      <c r="A20" s="5" t="inlineStr">
        <is>
          <t>Total loss allowance (by stage)</t>
        </is>
      </c>
      <c r="B20" s="5" t="n">
        <v>-8501</v>
      </c>
      <c r="C20" s="5" t="n">
        <v>-6577</v>
      </c>
      <c r="D20" s="5" t="n">
        <v>-14596</v>
      </c>
      <c r="E20" s="5" t="n">
        <v>-3720</v>
      </c>
      <c r="F20" s="5" t="n">
        <v>-1718</v>
      </c>
      <c r="G20" s="5" t="n">
        <v>-1288</v>
      </c>
    </row>
    <row r="21">
      <c r="A21" s="5" t="inlineStr">
        <is>
          <t>Derived ratios</t>
        </is>
      </c>
      <c r="B21" s="6" t="n"/>
      <c r="C21" s="6" t="n"/>
      <c r="D21" s="6" t="n"/>
      <c r="E21" s="6" t="n"/>
      <c r="F21" s="6" t="n"/>
      <c r="G21" s="6" t="n"/>
    </row>
    <row r="22">
      <c r="A22" s="6" t="inlineStr">
        <is>
          <t>Stage 3 / gross carrying amount (NPL ratio)</t>
        </is>
      </c>
      <c r="B22" s="6" t="inlineStr">
        <is>
          <t>1.13%</t>
        </is>
      </c>
      <c r="C22" s="6" t="inlineStr">
        <is>
          <t>1.16%</t>
        </is>
      </c>
      <c r="D22" s="6" t="inlineStr">
        <is>
          <t>2.93%</t>
        </is>
      </c>
      <c r="E22" s="6" t="inlineStr">
        <is>
          <t>3.90%</t>
        </is>
      </c>
      <c r="F22" s="6" t="inlineStr">
        <is>
          <t>0.22%</t>
        </is>
      </c>
      <c r="G22" s="6" t="inlineStr">
        <is>
          <t>0.63%</t>
        </is>
      </c>
    </row>
    <row r="23">
      <c r="A23" s="6" t="inlineStr">
        <is>
          <t>Stage 3 coverage (Stage 3 loss allowance / Stage 3 gross)</t>
        </is>
      </c>
      <c r="B23" s="6" t="inlineStr">
        <is>
          <t>35.51%</t>
        </is>
      </c>
      <c r="C23" s="6" t="inlineStr">
        <is>
          <t>34.95%</t>
        </is>
      </c>
      <c r="D23" s="6" t="inlineStr">
        <is>
          <t>69.58%</t>
        </is>
      </c>
      <c r="E23" s="6" t="inlineStr">
        <is>
          <t>9.84%</t>
        </is>
      </c>
      <c r="F23" s="6" t="inlineStr">
        <is>
          <t>77.68%</t>
        </is>
      </c>
      <c r="G23" s="6" t="inlineStr">
        <is>
          <t>83.66%</t>
        </is>
      </c>
    </row>
    <row r="24">
      <c r="A24" s="6" t="inlineStr">
        <is>
          <t>Total loss allowance coverage (total allowance / total gross)</t>
        </is>
      </c>
      <c r="B24" s="6" t="inlineStr">
        <is>
          <t>1.00%</t>
        </is>
      </c>
      <c r="C24" s="6" t="inlineStr">
        <is>
          <t>0.98%</t>
        </is>
      </c>
      <c r="D24" s="6" t="inlineStr">
        <is>
          <t>2.50%</t>
        </is>
      </c>
      <c r="E24" s="6" t="inlineStr">
        <is>
          <t>0.84%</t>
        </is>
      </c>
      <c r="F24" s="6" t="inlineStr">
        <is>
          <t>0.69%</t>
        </is>
      </c>
      <c r="G24" s="6" t="inlineStr">
        <is>
          <t>1.14%</t>
        </is>
      </c>
    </row>
    <row r="26" ht="300" customHeight="1">
      <c r="A26" s="8" t="inlineStr">
        <is>
          <t>Sources - Distribution Finance Capital Holdings plc's own Notes to the Consolidated Financial Statements, 'Loans and advances to customers' note and its 'Analysis of gross/impairment losses on loans and advances to customers' stage-migration tables:
FY2025/FY2024: Annual Report and Accounts 2025, p.148-151 - https://wp-dfcapital-investors-2020.s3.eu-west-2.amazonaws.com/media/2026/03/DF-Capital-Annual-Report-and-Accounts-year-ending-2025.pdf
FY2023/FY2022: Annual Report and Accounts 2023, p.148-151 - https://wp-dfcapital-investors-2020.s3.eu-west-2.amazonaws.com/media/2024/04/DF-Capital-Annual-Report-and-Accounts-year-ending-2023-1.pdf
FY2021: Annual Report and Accounts 2021, p.136-139 - https://wp-dfcapital-investors-2020.s3.eu-west-2.amazonaws.com/media/2022/05/Annual-report-and-accounts-year-end-2021.pdf
FY2020: Annual Report and Financial Statements 2020, p.118-121 (Note 20, 'Loans and advances to customers') - https://wp-dfcapital-investors-2020.s3.eu-west-2.amazonaws.com/media/2021/04/21070044/Annual-report-and-accounts-Year-end-2020-Final-compressed.pdf
Each year's own originally-published figures used; every stage-split total ties exactly to the note's own Gross carrying amount and to the note's own disclosed 'Loss allowance coverage' percentages (used directly for the Derived ratios where disclosed, not independently recomputed, to avoid rounding drift; FY2020's Stage 3 coverage and Total coverage percentages are the note's own disclosed 'Loss allowance coverage' figures, its NPL ratio is computed from the note's own Stage 3/Total gross carrying amount since the note doesn't disclose that ratio directly). FY2020-FY2021's reports do not disclose a Loan book principal/Accrued interest split (pre-dates that level of note detail) - left blank rather than guessed.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DF Capital Bank Limited — KM1 Key Metrics</t>
        </is>
      </c>
    </row>
    <row r="2">
      <c r="A2" s="2" t="inlineStr">
        <is>
          <t>Distribution Finance Capital Holdings plc's own published UK KM1 key-metrics template, Consolidated Group basis, reproduced in the Group's row order with its own labels and printed precision. Amounts in £000's, ratios as printed. Only year-end columns are shown - every edition also prints an intervening half-year column, which is not a financial year. FY2020 predates the template and is intentionally blank; rows 18-20 stop after FY2023 under the SDDT/Article 433b reduced disclosure regime. ROW 17 FY2021 (2554%) DELIBERATELY DIFFERS FROM THE LCR SHEET (5597%): this row is the four-quarter weighted average the FY2022 edition prints, the LCR sheet is the FY2021 edition's own point-in-time year-end ratio. Both are as published and neither has been adjusted. See the source note for the full detail.</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t>
        </is>
      </c>
      <c r="B5" s="6" t="n">
        <v>112443</v>
      </c>
      <c r="C5" s="6" t="n">
        <v>98780</v>
      </c>
      <c r="D5" s="6" t="n">
        <v>79269</v>
      </c>
      <c r="E5" s="6" t="n">
        <v>84579</v>
      </c>
      <c r="F5" s="6" t="n">
        <v>82690</v>
      </c>
    </row>
    <row r="6">
      <c r="A6" s="6" t="inlineStr">
        <is>
          <t>2    Tier 1 capital</t>
        </is>
      </c>
      <c r="B6" s="6" t="n">
        <v>112443</v>
      </c>
      <c r="C6" s="6" t="n">
        <v>98780</v>
      </c>
      <c r="D6" s="6" t="n">
        <v>79269</v>
      </c>
      <c r="E6" s="6" t="n">
        <v>84579</v>
      </c>
      <c r="F6" s="6" t="n">
        <v>82690</v>
      </c>
    </row>
    <row r="7">
      <c r="A7" s="6" t="inlineStr">
        <is>
          <t>3    Total capital</t>
        </is>
      </c>
      <c r="B7" s="6" t="n">
        <v>127745</v>
      </c>
      <c r="C7" s="6" t="n">
        <v>109010</v>
      </c>
      <c r="D7" s="6" t="n">
        <v>89538</v>
      </c>
      <c r="E7" s="6" t="n">
        <v>84579</v>
      </c>
      <c r="F7" s="6" t="n">
        <v>82690</v>
      </c>
    </row>
    <row r="8">
      <c r="A8" s="5" t="inlineStr">
        <is>
          <t>Risk-weighted exposure amounts (£'000)</t>
        </is>
      </c>
      <c r="B8" s="6" t="n"/>
      <c r="C8" s="6" t="n"/>
      <c r="D8" s="6" t="n"/>
      <c r="E8" s="6" t="n"/>
      <c r="F8" s="6" t="n"/>
    </row>
    <row r="9">
      <c r="A9" s="6" t="inlineStr">
        <is>
          <t>4    Total risk-weighted exposure amount</t>
        </is>
      </c>
      <c r="B9" s="6" t="n">
        <v>623607</v>
      </c>
      <c r="C9" s="6" t="n">
        <v>457565</v>
      </c>
      <c r="D9" s="6" t="n">
        <v>347034</v>
      </c>
      <c r="E9" s="6" t="n">
        <v>381972</v>
      </c>
      <c r="F9" s="6" t="n">
        <v>216353</v>
      </c>
    </row>
    <row r="10">
      <c r="A10" s="5" t="inlineStr">
        <is>
          <t>Capital ratios (as a percentage of risk-weighted exposure amount)</t>
        </is>
      </c>
      <c r="B10" s="6" t="n"/>
      <c r="C10" s="6" t="n"/>
      <c r="D10" s="6" t="n"/>
      <c r="E10" s="6" t="n"/>
      <c r="F10" s="6" t="n"/>
    </row>
    <row r="11">
      <c r="A11" s="6" t="inlineStr">
        <is>
          <t>5    Common Equity Tier 1 ratio (%)</t>
        </is>
      </c>
      <c r="B11" s="6" t="inlineStr">
        <is>
          <t>18.0%</t>
        </is>
      </c>
      <c r="C11" s="6" t="inlineStr">
        <is>
          <t>21.6%</t>
        </is>
      </c>
      <c r="D11" s="6" t="inlineStr">
        <is>
          <t>22.8%</t>
        </is>
      </c>
      <c r="E11" s="6" t="inlineStr">
        <is>
          <t>22.1%</t>
        </is>
      </c>
      <c r="F11" s="6" t="inlineStr">
        <is>
          <t>38.2%</t>
        </is>
      </c>
    </row>
    <row r="12">
      <c r="A12" s="6" t="inlineStr">
        <is>
          <t>6    Tier 1 ratio (%)</t>
        </is>
      </c>
      <c r="B12" s="6" t="inlineStr">
        <is>
          <t>18.0%</t>
        </is>
      </c>
      <c r="C12" s="6" t="inlineStr">
        <is>
          <t>21.6%</t>
        </is>
      </c>
      <c r="D12" s="6" t="inlineStr">
        <is>
          <t>22.8%</t>
        </is>
      </c>
      <c r="E12" s="6" t="inlineStr">
        <is>
          <t>22.1%</t>
        </is>
      </c>
      <c r="F12" s="6" t="inlineStr">
        <is>
          <t>38.2%</t>
        </is>
      </c>
    </row>
    <row r="13">
      <c r="A13" s="6" t="inlineStr">
        <is>
          <t>7    Total capital ratio (%)</t>
        </is>
      </c>
      <c r="B13" s="6" t="inlineStr">
        <is>
          <t>20.5%</t>
        </is>
      </c>
      <c r="C13" s="6" t="inlineStr">
        <is>
          <t>23.8%</t>
        </is>
      </c>
      <c r="D13" s="6" t="inlineStr">
        <is>
          <t>25.8%</t>
        </is>
      </c>
      <c r="E13" s="6" t="inlineStr">
        <is>
          <t>22.1%</t>
        </is>
      </c>
      <c r="F13" s="6" t="inlineStr">
        <is>
          <t>38.2%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2.4%</t>
        </is>
      </c>
      <c r="C15" s="6" t="inlineStr">
        <is>
          <t>2.4%</t>
        </is>
      </c>
      <c r="D15" s="6" t="n"/>
      <c r="E15" s="6" t="n"/>
      <c r="F15" s="6" t="n"/>
    </row>
    <row r="16">
      <c r="A16" s="6" t="inlineStr">
        <is>
          <t>UK 7b    Additional AT1 SREP requirements (%)</t>
        </is>
      </c>
      <c r="B16" s="6" t="inlineStr">
        <is>
          <t>0.8%</t>
        </is>
      </c>
      <c r="C16" s="6" t="inlineStr">
        <is>
          <t>0.8%</t>
        </is>
      </c>
      <c r="D16" s="6" t="n"/>
      <c r="E16" s="6" t="n"/>
      <c r="F16" s="6" t="n"/>
    </row>
    <row r="17">
      <c r="A17" s="6" t="inlineStr">
        <is>
          <t>UK 7c    Additional T2 SREP requirements (%)</t>
        </is>
      </c>
      <c r="B17" s="6" t="inlineStr">
        <is>
          <t>1.1%</t>
        </is>
      </c>
      <c r="C17" s="6" t="inlineStr">
        <is>
          <t>1.1%</t>
        </is>
      </c>
      <c r="D17" s="6" t="n"/>
      <c r="E17" s="6" t="n"/>
      <c r="F17" s="6" t="n"/>
    </row>
    <row r="18">
      <c r="A18" s="6" t="inlineStr">
        <is>
          <t>UK 7d    Total SREP own funds requirements (%)</t>
        </is>
      </c>
      <c r="B18" s="6" t="inlineStr">
        <is>
          <t>12.3%</t>
        </is>
      </c>
      <c r="C18" s="6" t="inlineStr">
        <is>
          <t>12.3%</t>
        </is>
      </c>
      <c r="D18" s="6" t="inlineStr">
        <is>
          <t>8.0%</t>
        </is>
      </c>
      <c r="E18" s="6" t="inlineStr">
        <is>
          <t>8.0%</t>
        </is>
      </c>
      <c r="F18" s="6" t="inlineStr">
        <is>
          <t>8.0%</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16.8%</t>
        </is>
      </c>
      <c r="C23" s="6" t="inlineStr">
        <is>
          <t>16.8%</t>
        </is>
      </c>
      <c r="D23" s="6" t="inlineStr">
        <is>
          <t>17.6%</t>
        </is>
      </c>
      <c r="E23" s="6" t="inlineStr">
        <is>
          <t>11.5%</t>
        </is>
      </c>
      <c r="F23" s="6" t="inlineStr">
        <is>
          <t>10.5%</t>
        </is>
      </c>
    </row>
    <row r="24">
      <c r="A24" s="6" t="inlineStr">
        <is>
          <t>12    CET1 available after meeting the total SREP own funds requirements (%)</t>
        </is>
      </c>
      <c r="B24" s="6" t="inlineStr">
        <is>
          <t>7.1%</t>
        </is>
      </c>
      <c r="C24" s="6" t="inlineStr">
        <is>
          <t>22.4%</t>
        </is>
      </c>
      <c r="D24" s="6" t="inlineStr">
        <is>
          <t>22.8%</t>
        </is>
      </c>
      <c r="E24" s="6" t="inlineStr">
        <is>
          <t>48.1%</t>
        </is>
      </c>
      <c r="F24" s="6" t="inlineStr">
        <is>
          <t>72.5%</t>
        </is>
      </c>
    </row>
    <row r="25">
      <c r="A25" s="5" t="inlineStr">
        <is>
          <t>Leverage ratio (£'000 / %)</t>
        </is>
      </c>
      <c r="B25" s="6" t="n"/>
      <c r="C25" s="6" t="n"/>
      <c r="D25" s="6" t="n"/>
      <c r="E25" s="6" t="n"/>
      <c r="F25" s="6" t="n"/>
    </row>
    <row r="26">
      <c r="A26" s="6" t="inlineStr">
        <is>
          <t>13    Total exposure measure excluding claims on central banks</t>
        </is>
      </c>
      <c r="B26" s="6" t="n">
        <v>878704</v>
      </c>
      <c r="C26" s="6" t="n">
        <v>681053</v>
      </c>
      <c r="D26" s="6" t="n">
        <v>608644</v>
      </c>
      <c r="E26" s="6" t="n">
        <v>480834</v>
      </c>
      <c r="F26" s="6" t="inlineStr">
        <is>
          <t>-</t>
        </is>
      </c>
    </row>
    <row r="27">
      <c r="A27" s="6" t="inlineStr">
        <is>
          <t>14    Leverage ratio excluding claims on central banks (%)</t>
        </is>
      </c>
      <c r="B27" s="6" t="inlineStr">
        <is>
          <t>12.8%</t>
        </is>
      </c>
      <c r="C27" s="6" t="inlineStr">
        <is>
          <t>14.5%</t>
        </is>
      </c>
      <c r="D27" s="6" t="inlineStr">
        <is>
          <t>13.0%</t>
        </is>
      </c>
      <c r="E27" s="6" t="inlineStr">
        <is>
          <t>17.6%</t>
        </is>
      </c>
      <c r="F27" s="6" t="inlineStr">
        <is>
          <t>-</t>
        </is>
      </c>
    </row>
    <row r="28">
      <c r="A28" s="5" t="inlineStr">
        <is>
          <t>Liquidity Coverage Ratio (£'000 / %)</t>
        </is>
      </c>
      <c r="B28" s="6" t="n"/>
      <c r="C28" s="6" t="n"/>
      <c r="D28" s="6" t="n"/>
      <c r="E28" s="6" t="n"/>
      <c r="F28" s="6" t="n"/>
    </row>
    <row r="29">
      <c r="A29" s="6" t="inlineStr">
        <is>
          <t>15    Total high-quality liquid assets (HQLA) (Weighted value - average)</t>
        </is>
      </c>
      <c r="B29" s="6" t="n">
        <v>106821</v>
      </c>
      <c r="C29" s="6" t="n">
        <v>87857</v>
      </c>
      <c r="D29" s="6" t="n">
        <v>97757</v>
      </c>
      <c r="E29" s="6" t="n">
        <v>94091</v>
      </c>
      <c r="F29" s="6" t="n">
        <v>89169</v>
      </c>
    </row>
    <row r="30">
      <c r="A30" s="6" t="inlineStr">
        <is>
          <t>UK 16a    Cash outflows - Total weighted value</t>
        </is>
      </c>
      <c r="B30" s="6" t="n">
        <v>47835</v>
      </c>
      <c r="C30" s="6" t="n">
        <v>34088</v>
      </c>
      <c r="D30" s="6" t="n">
        <v>32754</v>
      </c>
      <c r="E30" s="6" t="n">
        <v>29060</v>
      </c>
      <c r="F30" s="6" t="n">
        <v>17992</v>
      </c>
    </row>
    <row r="31">
      <c r="A31" s="6" t="inlineStr">
        <is>
          <t>UK 16b    Cash inflows - Total weighted value</t>
        </is>
      </c>
      <c r="B31" s="6" t="n">
        <v>32440</v>
      </c>
      <c r="C31" s="6" t="n">
        <v>25895</v>
      </c>
      <c r="D31" s="6" t="n">
        <v>15535</v>
      </c>
      <c r="E31" s="6" t="n">
        <v>22166</v>
      </c>
      <c r="F31" s="6" t="n">
        <v>37318</v>
      </c>
    </row>
    <row r="32">
      <c r="A32" s="6" t="inlineStr">
        <is>
          <t>16    Total net cash outflows (adjusted value)</t>
        </is>
      </c>
      <c r="B32" s="6" t="n">
        <v>15424</v>
      </c>
      <c r="C32" s="6" t="n">
        <v>10567</v>
      </c>
      <c r="D32" s="6" t="n">
        <v>17219</v>
      </c>
      <c r="E32" s="6" t="n">
        <v>10485</v>
      </c>
      <c r="F32" s="6" t="n">
        <v>4498</v>
      </c>
    </row>
    <row r="33">
      <c r="A33" s="6" t="inlineStr">
        <is>
          <t>17    Liquidity coverage ratio (%)</t>
        </is>
      </c>
      <c r="B33" s="6" t="inlineStr">
        <is>
          <t>704.0%</t>
        </is>
      </c>
      <c r="C33" s="6" t="inlineStr">
        <is>
          <t>836.6%</t>
        </is>
      </c>
      <c r="D33" s="6" t="inlineStr">
        <is>
          <t>618%</t>
        </is>
      </c>
      <c r="E33" s="6" t="inlineStr">
        <is>
          <t>1029%</t>
        </is>
      </c>
      <c r="F33" s="6" t="inlineStr">
        <is>
          <t>2554%</t>
        </is>
      </c>
    </row>
    <row r="34">
      <c r="A34" s="5" t="inlineStr">
        <is>
          <t>Net Stable Funding Ratio (£'000 / %) — printed only in the FY2022 and FY2023 editions; dropped from FY2024 onward under the SDDT/Article 433b reduced disclosure regime</t>
        </is>
      </c>
      <c r="B34" s="6" t="n"/>
      <c r="C34" s="6" t="n"/>
      <c r="D34" s="6" t="n"/>
      <c r="E34" s="6" t="n"/>
      <c r="F34" s="6" t="n"/>
    </row>
    <row r="35">
      <c r="A35" s="6" t="inlineStr">
        <is>
          <t>Total ASF (Total available stable funding)</t>
        </is>
      </c>
      <c r="B35" s="6" t="n"/>
      <c r="C35" s="6" t="n"/>
      <c r="D35" s="6" t="n">
        <v>566687</v>
      </c>
      <c r="E35" s="6" t="n">
        <v>410203</v>
      </c>
      <c r="F35" s="6" t="inlineStr">
        <is>
          <t>-</t>
        </is>
      </c>
    </row>
    <row r="36">
      <c r="A36" s="6" t="inlineStr">
        <is>
          <t>Total RSF (Total required stable funding)</t>
        </is>
      </c>
      <c r="B36" s="6" t="n"/>
      <c r="C36" s="6" t="n"/>
      <c r="D36" s="6" t="n">
        <v>382085</v>
      </c>
      <c r="E36" s="6" t="n">
        <v>251336</v>
      </c>
      <c r="F36" s="6" t="inlineStr">
        <is>
          <t>-</t>
        </is>
      </c>
    </row>
    <row r="37">
      <c r="A37" s="6" t="inlineStr">
        <is>
          <t>NSFR ratio (%)</t>
        </is>
      </c>
      <c r="B37" s="6" t="n"/>
      <c r="C37" s="6" t="n"/>
      <c r="D37" s="6" t="inlineStr">
        <is>
          <t>148.2%</t>
        </is>
      </c>
      <c r="E37" s="6" t="inlineStr">
        <is>
          <t>163%</t>
        </is>
      </c>
      <c r="F37" s="6" t="inlineStr">
        <is>
          <t>-</t>
        </is>
      </c>
    </row>
    <row r="39" ht="320" customHeight="1">
      <c r="A39" s="8" t="inlineStr">
        <is>
          <t xml:space="preserve">Sources - Distribution Finance Capital Holdings plc's own published UK KM1 key-metrics table, Consolidated Group basis, £000's, reproduced as printed. Each year is taken from the edition in which it is the REPORTING year (the only exception is FY2021, below):
FY2025: DF Capital Pillar 3 Disclosures at December 2025, section 2 'Key Metrics (UK KM1)', p.4. Columns 'Dec-25 / Jun-25 / Dec-24' - https://wp-dfcapital-investors-2020.s3.eu-west-2.amazonaws.com/media/2026/03/DF-Capital-Pillar-III-2025.pdf
FY2024: DF Capital Pillar 3 Disclosures at December 2024, section 2 'Key Metrics (UK KM1)', p.4. Columns 'Dec-24 / Jun-24 / Dec-23' - https://wp-dfcapital-investors-2020.s3.eu-west-2.amazonaws.com/media/2025/04/Distribution-Finance-Capital-Holdings-plc-Pillar-3-Disclosures-at-31-December-2024.pdf
FY2023: DF Capital Pillar 3 Disclosures at December 2023, 'Key Regulatory Metrics' table, PDF page 16 of 20. Columns 'Dec-23 / Jun-23 / Dec-22' - https://wp-dfcapital-investors-2020.s3.eu-west-2.amazonaws.com/media/2024/04/DF-Capital-Pillar-III_2024-FINAL.pdf
FY2022 (own column) and FY2021 (comparative column): DF Capital Pillar 3 Disclosures at December 2022, section 8.1 'Key Metrics', p.28. Columns 'Dec-22 / Jun-22 / Dec-21' - https://wp-dfcapital-investors-2020.s3.eu-west-2.amazonaws.com/media/2023/04/Pillar-3-Disclosures-31-December-2022.pdf
PRESENTATION NOTES - all of these are things the Group did, not choices made here:
* THREE COLUMNS, NOT TWO. Every edition prints its own year-end, the intervening HALF-YEAR and the prior year-end. The Jun- columns were read and discarded: a half-year column is not a financial year. For the record, they are Jun-25 CET1 93,171 / RWA 516,748 / CET1 ratio 18.0%; Jun-24 81,142 / 386,669 / 21.0%; Jun-23 77,083 / 353,045 / 21.8%; Jun-22 82,769 / 270,607 / 30.6%.
* ROW NUMBERS EXIST ONLY IN THE LATER EDITIONS. The FY2024 and FY2025 editions print the template's row numbers; the FY2022 and FY2023 editions print the same table unnumbered and with shorter labels ('CET1 Capital' for row 1, 'Total RWA' for row 4, 'Institution specific CCyb (%)' for row 9, 'Total HQLA' for row 15, 'Cash outflows'/'Cash inflows' for UK 16a/16b, 'Total ASF'/'Total RSF' for rows 18/19). The numbers shown above are this Group's own, from its own later editions; rows 18-20 are left unnumbered because no edition of this Group ever numbered them. The fuller labels are the later editions' own wording.
* UK 7a/7b/7c ARE BLANK BEFORE FY2024 BECAUSE THE GROUP HAD NO SREP ADD-ON, and says so in its own footnote to the FY2022 and FY2023 tables: 'The Group did not have additional Own funds requirements as a result of SREP therefore the total minimum Own funds requirements were 8% per article 92 of CRR.' Those editions print no such rows at all, which is why they are blank rather than zero.
* ROWS 18-20 (NSFR) STOP AFTER FY2023, and that is a regulatory change rather than a gap. Both the FY2024 and FY2025 editions state at p.3: 'The Group has opted into the Small Domestic Deposit Takers (SDDT) regime at both Consolidated and Bank levels. Having received PRA approval, disclosures are prepared in accordance with the regime's reduced disclosure requirements as prescribed by Article 433b.' The PRA's own waivers register carries the underlying instrument (Rule 3.1 SDDT modification by consent, ref A00009982P.pdf, effective 07/03/2025). The same editions state they have excluded nothing under Article 432 on proprietary or confidentiality grounds, so this is the reduced template, not an omission.
* 'n/a' IS THE GROUP'S OWN WORD, NOT A BLANK AND NOT A ZERO. FY2021's rows 13, 14 and 18-20 print 'n/a' in the FY2022 edition, with that edition's own footnotes explaining why: 'The new methodology of LR which excludes claims on Central Banks was introduced in 2022 as part of CRR2, therefore no contextual comparative information for the prior period included', and the same for NSFR. The marker is recorded, per the locked KM1 transcription rule 2 (wayfinder/km1/map.md), as the plain ASCII '-' in the cell: the glyph the FY2022 edition actually printed (p.28, Dec-21 column, rows 13, 14, 18, 19, 20) is 'n/a'. Converted from the literal 'n/a' on 2026-09-19 (GA-020), page image re-read. Nothing is back-filled from the older leverage or NSFR basis. (The FY2021 Pillar 3's own narrow table does state an FY2021 leverage ratio of 21.2% and NSFR of 214% on those older bases - they are on the Leverage Ratio and NSFR sheets, not here.)
* A PRINTED ZERO IS KEPT. FY2021's countercyclical buffer is printed '0.0%', a measured zero, and is shown as such.
* FY2021 IS THE FY2022 EDITION'S COMPARATIVE COLUMN, the one departure from 'each year from its own edition', because the FY2021 Pillar 3 has no KM1 to take it from. Its 'Key Regulatory Metrics' table (Table 1, p.18) is a pre-KM1 disclosure: eight rows, separate Group AND Bank columns, and no SREP, buffer, exposure-measure, HQLA or cash-flow rows at all. It is not this template and is not reproduced as one. Where the two overlap they agree on capital and RWAs (CET1 82,690; RWA 216,353; CET1 ratio 38.2%) and disagree on liquidity and leverage, which is a basis difference, not an error: the FY2021 edition's LCR of 5597% and leverage of 21.2% are point-in-time on the pre-CRR2 basis, while the KM1 column's 2554% is, per the FY2022 edition's own footnote, 'a weighted average of the preceding 4 quarters'. The LCR sheet carries 5597% for FY2021, so that sheet and this one deliberately differ, and both say so.
  ROW 17 FY2021 - THE ONE PLACE THIS SHEET AND A METRIC SHEET DISAGREE, scrutinised and confirmed 2026-09-16 from both source documents. Row 17 here reads 2554%; the LCR sheet reads 5597%. Neither was changed to make them agree, because each is a correctly transcribed figure on a stated and different basis, and BOTH sources show their own arithmetic:
    - 5597% is a spot 31-Dec-2021 ratio. The FY2021 Pillar 3's Table 13 ('LCR as at 31 December', p.32) prints liquidity buffer 108,981, net cash outflows 1,947 and 30-Day LCR 5597% - and 108,981 / 1,947 = 5597.4%, so the figure is internally exact on a point-in-time basis. The same document's narrative states it twice more ('The LCR as at 31 December 2021 was 5597%', and Table 1's Group column).
    - 2554% is a four-quarter weighted average, printed in the FY2022 edition's Dec-21 column under that edition's own footnote 2: 'Pursuant to requirements of UK KM1, the LCR is presented for the reportable period, based on a weighted average of the preceding 4 quarters.' A spot year-end ratio and an average of the four quarters that led to it are not the same measurement and are not expected to match; the year-end was the high point of the year.
    - The ratio is roughly 2.2x, not a factor of 10 or a transposition, which is consistent with an averaging basis and inconsistent with a digit slip. It was checked for one anyway: every digit of both figures was re-read against the source text above.
  A SOURCE-INTERNAL QUIRK IN THAT SAME COLUMN, recorded and not corrected (this sheet reproduces, it does not recompute). The FY2022 edition's Dec-21 column prints average HQLA 89,169 and average total net cash outflows 4,498, whose quotient is 1982%, not the 2554% printed on the row below. The Group is averaging the quarterly RATIOS rather than dividing its averaged numerator by its averaged denominator, and those differ. The same spread, smaller, appears in every other year of this table (Dec-25 693% vs 704.0% printed; Dec-24 831% vs 836.6%; Dec-23 568% vs 618%; Dec-22 897% vs 1029%), which is what shows it to be the Group's consistent method rather than a one-off error.
* THE FY2023 EDITION RESTATED TWO FY2022 CELLS, and FY2022 keeps its own edition's figures per the rule above. The FY2023 edition's Dec-22 comparative shows overall capital requirements of 16.6% and CET1 available of 24.9% where the FY2022 edition's own Dec-22 column shows 11.5% and 48.1%. The FY2023 edition explains the change in its own footnote 2: 'Overall capital requirement disclosed now includes Pillar 2a requirements, excluding PRA buffer as this is not disclosable.' Every other Dec-22 cell agrees exactly between the two editions.
* FY2020 IS BLANK, not missing. The FY2020 Pillar 3 (Table 1, p.17) carries the same narrow pre-KM1 table described above, with Group and Bank columns and no template rows. The Group's FY2020 capital, RWA and ratio figures are on the individual metric sheets, sourced from that table and labelled as such - they are deliberately not reassembled into a KM1 shape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
ROWS 1, 2 AND 3 ARE EQUAL IN THE SOURCE FOR FY2022 AND FY2021 - READ FROM THE DOCUMENTS ON 2026-09-18 AND RECORDED HERE SO THE QUESTION IS NOT RE-OPENED. The FY2022 edition's Key Metrics table prints CET1 Capital, T1 Capital and Total Capital all as 84,579 at Dec-22 and all as 82,690 at Dec-21. The FY2021 edition's Table 1 states the reason in its own rows: 'Additional Tier 1 Capital -' and 'Tier 2 Capital -', against Total Regulatory Capital of 82,690. ENTITY: the FY2021 edition prints Group beside Bank (82,690 against 90,051) and the FY2022 edition's table is headed 'Consolidated Group'. This sheet is the GROUP series.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112443</v>
      </c>
      <c r="C4" s="6" t="n">
        <v>98780</v>
      </c>
      <c r="D4" s="6" t="n">
        <v>79269</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18.0%</t>
        </is>
      </c>
      <c r="C4" s="6" t="inlineStr">
        <is>
          <t>21.6%</t>
        </is>
      </c>
      <c r="D4" s="6" t="inlineStr">
        <is>
          <t>22.8%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112443</v>
      </c>
      <c r="C4" s="6" t="n">
        <v>98780</v>
      </c>
      <c r="D4" s="6" t="n">
        <v>79269</v>
      </c>
      <c r="E4" s="6" t="n">
        <v>84579</v>
      </c>
      <c r="F4" s="6" t="n">
        <v>82690</v>
      </c>
      <c r="G4" s="6" t="n">
        <v>47792</v>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18.0%</t>
        </is>
      </c>
      <c r="C4" s="6" t="inlineStr">
        <is>
          <t>21.6%</t>
        </is>
      </c>
      <c r="D4" s="6" t="inlineStr">
        <is>
          <t>22.8%</t>
        </is>
      </c>
      <c r="E4" s="6" t="inlineStr">
        <is>
          <t>22.1%</t>
        </is>
      </c>
      <c r="F4" s="6" t="inlineStr">
        <is>
          <t>38.2%</t>
        </is>
      </c>
      <c r="G4" s="6" t="inlineStr">
        <is>
          <t>50.1%</t>
        </is>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127745</v>
      </c>
      <c r="C4" s="6" t="n">
        <v>109010</v>
      </c>
      <c r="D4" s="6" t="n">
        <v>89538</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20.5%</t>
        </is>
      </c>
      <c r="C4" s="6" t="inlineStr">
        <is>
          <t>23.8%</t>
        </is>
      </c>
      <c r="D4" s="6" t="inlineStr">
        <is>
          <t>25.8%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623607</v>
      </c>
      <c r="C4" s="6" t="n">
        <v>457565</v>
      </c>
      <c r="D4" s="6" t="n">
        <v>347034</v>
      </c>
      <c r="E4" s="6" t="n">
        <v>381972</v>
      </c>
      <c r="F4" s="6" t="n">
        <v>216353</v>
      </c>
      <c r="G4" s="6" t="n">
        <v>95427</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RWA Breakdown</t>
        </is>
      </c>
    </row>
    <row r="2">
      <c r="A2" s="2" t="inlineStr">
        <is>
          <t>Distribution Finance Capital Holdings plc Group basis, £'000. TWO different source tables, kept in separate sections below: the OV1-format 'Overview of RWA' table for FY2025-FY2022, and the pre-OV1 Table 3 'Pillar 1 Capital requirement' - which prints a risk-weighted-assets column alongside the capital-requirement column - for FY2021 and FY2020. The older table carries only two risk categories, so no row runs across the break. FY2023 category split OCR-recovered from an image-rendered table (2026-09-12).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OV1-format 'Overview of RWA' table - DF Capital Pillar III 2025, p.5 (FY2025, with FY2024 as that document's own comparative column); DF Capital Pillar III 2024, section 3.4 'Approach to RWAs', p.15 (FY2023, OCR-recovered from an image-rendered table); and Pillar 3 Disclosures at 31 December 2022, section 5.1 'Pillar 1 Capital requirements - Overview of RWA and Own Funds', p.22 (FY2022). All four years carry the OV1 row set - credit risk excluding CCR, counterparty credit risk with its standardised and CVA components, and operational risk - whatever each edition titles it (FY2025-FY2022)</t>
        </is>
      </c>
      <c r="B4" s="6" t="n"/>
      <c r="C4" s="6" t="n"/>
      <c r="D4" s="6" t="n"/>
      <c r="E4" s="6" t="n"/>
      <c r="F4" s="6" t="n"/>
      <c r="G4" s="6" t="n"/>
    </row>
    <row r="5">
      <c r="A5" s="6" t="inlineStr">
        <is>
          <t>Credit risk (excluding CCR)</t>
        </is>
      </c>
      <c r="B5" s="6" t="n">
        <v>533039</v>
      </c>
      <c r="C5" s="6" t="n">
        <v>388533</v>
      </c>
      <c r="D5" s="6" t="n">
        <v>323338</v>
      </c>
      <c r="E5" s="6" t="n">
        <v>369638</v>
      </c>
      <c r="F5" s="6" t="n"/>
      <c r="G5" s="6" t="n"/>
    </row>
    <row r="6">
      <c r="A6" s="6" t="inlineStr">
        <is>
          <t>Counterparty credit risk (CCR) - of which standardised approach</t>
        </is>
      </c>
      <c r="B6" s="6" t="n">
        <v>2259</v>
      </c>
      <c r="C6" s="6" t="n">
        <v>1635</v>
      </c>
      <c r="D6" s="6" t="n">
        <v>1651</v>
      </c>
      <c r="E6" s="6" t="n">
        <v>662</v>
      </c>
      <c r="F6" s="6" t="n"/>
      <c r="G6" s="6" t="n"/>
    </row>
    <row r="7">
      <c r="A7" s="6" t="inlineStr">
        <is>
          <t>Counterparty credit risk (CCR) - of which credit valuation adjustment (CVA)</t>
        </is>
      </c>
      <c r="B7" s="6" t="n">
        <v>1027</v>
      </c>
      <c r="C7" s="6" t="n">
        <v>2371</v>
      </c>
      <c r="D7" s="6" t="n">
        <v>751</v>
      </c>
      <c r="E7" s="6" t="n">
        <v>367</v>
      </c>
      <c r="F7" s="6" t="n"/>
      <c r="G7" s="6" t="n"/>
    </row>
    <row r="8">
      <c r="A8" s="5" t="inlineStr">
        <is>
          <t>Counterparty credit risk (CCR), total</t>
        </is>
      </c>
      <c r="B8" s="5" t="n">
        <v>3286</v>
      </c>
      <c r="C8" s="5" t="n">
        <v>4006</v>
      </c>
      <c r="D8" s="5" t="n">
        <v>2402</v>
      </c>
      <c r="E8" s="5" t="n">
        <v>1029</v>
      </c>
      <c r="F8" s="5" t="n"/>
      <c r="G8" s="5" t="n"/>
    </row>
    <row r="9">
      <c r="A9" s="6" t="inlineStr">
        <is>
          <t>Operational risk (Basic Indicator Approach)</t>
        </is>
      </c>
      <c r="B9" s="6" t="n">
        <v>87281</v>
      </c>
      <c r="C9" s="6" t="n">
        <v>65026</v>
      </c>
      <c r="D9" s="6" t="n">
        <v>21294</v>
      </c>
      <c r="E9" s="6" t="n">
        <v>11305</v>
      </c>
      <c r="F9" s="6" t="n"/>
      <c r="G9" s="6" t="n"/>
    </row>
    <row r="10">
      <c r="A10" s="5" t="inlineStr">
        <is>
          <t>Total RWAs</t>
        </is>
      </c>
      <c r="B10" s="5" t="n">
        <v>623607</v>
      </c>
      <c r="C10" s="5" t="n">
        <v>457565</v>
      </c>
      <c r="D10" s="5" t="n">
        <v>347034</v>
      </c>
      <c r="E10" s="5" t="n">
        <v>381972</v>
      </c>
      <c r="F10" s="5" t="n"/>
      <c r="G10" s="5" t="n"/>
    </row>
    <row r="11">
      <c r="A11" s="6" t="inlineStr">
        <is>
          <t>Securitisation exposures in the non-trading book (after the cap, deducted from CET1 - not part of Total RWAs)</t>
        </is>
      </c>
      <c r="B11" s="6" t="n">
        <v>10942</v>
      </c>
      <c r="C11" s="6" t="n">
        <v>10095</v>
      </c>
      <c r="D11" s="6" t="n">
        <v>11281</v>
      </c>
      <c r="E11" s="6" t="n"/>
      <c r="F11" s="6" t="n"/>
      <c r="G11" s="6" t="n"/>
    </row>
    <row r="12">
      <c r="A12" s="5" t="inlineStr">
        <is>
          <t>Table 3 'Pillar 1 Capital requirement at 31 December' - DF Capital Pillar III Dec 2021, p.22 (FY2021, with FY2020 as that table's own comparative column), and Pillar 3 Disclosures at 31 December 2020, p.21 (FY2020). PRE-OV1 AND NOT DERIVED: this table prints a risk-weighted-assets column beside its Pillar 1 capital-requirement column, so these are disclosed RWAs - but it carries only TWO risk categories, with no counterparty-credit-risk, CVA or securitisation line at all, so those rows are absent here rather than nil and cannot be read across from the block above. The FY2020 edition's section 10 states that 'At 31 December 2020 the Group had no exposure to securitisation structures', which is why the securitisation row below carries an explicit 0 for that year rather than a blank; the securitisation programme itself began only in March 2023 (FY2021, FY2020)</t>
        </is>
      </c>
      <c r="B12" s="6" t="n"/>
      <c r="C12" s="6" t="n"/>
      <c r="D12" s="6" t="n"/>
      <c r="E12" s="6" t="n"/>
      <c r="F12" s="6" t="n"/>
      <c r="G12" s="6" t="n"/>
    </row>
    <row r="13">
      <c r="A13" s="6" t="inlineStr">
        <is>
          <t>Credit Risk</t>
        </is>
      </c>
      <c r="B13" s="6" t="n"/>
      <c r="C13" s="6" t="n"/>
      <c r="D13" s="6" t="n"/>
      <c r="E13" s="6" t="n"/>
      <c r="F13" s="6" t="n">
        <v>211065</v>
      </c>
      <c r="G13" s="6" t="n">
        <v>90139</v>
      </c>
    </row>
    <row r="14">
      <c r="A14" s="6" t="inlineStr">
        <is>
          <t>Operational Risk</t>
        </is>
      </c>
      <c r="B14" s="6" t="n"/>
      <c r="C14" s="6" t="n"/>
      <c r="D14" s="6" t="n"/>
      <c r="E14" s="6" t="n"/>
      <c r="F14" s="6" t="n">
        <v>5288</v>
      </c>
      <c r="G14" s="6" t="n">
        <v>5288</v>
      </c>
    </row>
    <row r="15">
      <c r="A15" s="5" t="inlineStr">
        <is>
          <t>Total RWAs</t>
        </is>
      </c>
      <c r="B15" s="5" t="n"/>
      <c r="C15" s="5" t="n"/>
      <c r="D15" s="5" t="n"/>
      <c r="E15" s="5" t="n"/>
      <c r="F15" s="5" t="n">
        <v>216353</v>
      </c>
      <c r="G15" s="5" t="n">
        <v>95427</v>
      </c>
    </row>
    <row r="16">
      <c r="A16" s="6" t="inlineStr">
        <is>
          <t>Securitisation exposures in the non-trading book (not part of Total RWAs)</t>
        </is>
      </c>
      <c r="B16" s="6" t="n"/>
      <c r="C16" s="6" t="n"/>
      <c r="D16" s="6" t="n"/>
      <c r="E16" s="6" t="n"/>
      <c r="F16" s="6" t="n"/>
      <c r="G16" s="6" t="n">
        <v>0</v>
      </c>
    </row>
    <row r="18" ht="280" customHeight="1">
      <c r="A18" s="8" t="inlineStr">
        <is>
          <t>Sources - Distribution Finance Capital Holdings plc Pillar 3 Disclosures, 'Overview of risk weighted exposure amounts' (UK OV1) table:
FY2025/FY2024: DF Capital Pillar III 2025, p.5 (FY2024 shown as the document's own comparative column) - https://wp-dfcapital-investors-2020.s3.eu-west-2.amazonaws.com/media/2026/03/DF-Capital-Pillar-III-2025.pdf
FY2021: DF Capital Pillar III Dec 2021, Table 3, p.22 (pre-dates CCR/CVA and the securitisation programme, which only began March 2023 per the FY2023 Pillar 3 document's own approach-to-RWAs note) - https://wp-dfcapital-investors-2020.s3.eu-west-2.amazonaws.com/media/2022/04/DF-Capital-Pillar-III_Dec-2021-Final.pdf
FY2020: DF Capital Pillar 3 Disclosures at 31 December 2020, Table 3 'Pillar 1 capital requirement', p.21 (pre-dates CCR/CVA and securitisation entirely - the document's own s.10 states 'At 31 December 2020 the Group had no exposure to securitisation structures', hence the explicit GBP0k rather than blank) - https://wp-dfcapital-investors-2020.s3.eu-west-2.amazonaws.com/media/2021/04/21065603/Distribution-Finance-Capital-Holdings-plc-Pillar-3-31-December-2020.pdf
FY2022: DF Capital Pillar 3 Disclosures at 31 December 2022, p.22 (FY2022 OV1-style table) - https://wp-dfcapital-investors-2020.s3.eu-west-2.amazonaws.com/media/2023/04/Pillar-3-Disclosures-31-December-2022.pdf; the FY2022 table discloses credit risk £369,638k and operational risk £11,305k, with CCR £1,029k (including standardised £662k and CVA £367k), all summing to total RWA £381,972k. FY2023 (2026-09-12 re-verification): DF Capital Pillar III 2024, p.15 - https://wp-dfcapital-investors-2020.s3.eu-west-2.amazonaws.com/media/2024/04/DF-Capital-Pillar-III_2024-FINAL.pdf. The OV1-style table is rendered as an image within the PDF (no text layer for this specific table, hence the earlier 'not recoverable' claim - confirmed via OCR at 300dpi, p.15, section 3.4 'Approach to RWAs'): credit risk (excl. CCR) £323,338k [standardised approach, same figure], CCR £2,402k (of which standardised £1,651k, of which CVA £751k), operational risk £21,294k, securitisation exposures (after cap) £11,281k (n/a for own-funds deduction that year), total RWA £347,034k - ties exactly to the Total RWAs sheet.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18:G1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12.8%</t>
        </is>
      </c>
      <c r="C4" s="6" t="inlineStr">
        <is>
          <t>14.5%</t>
        </is>
      </c>
      <c r="D4" s="6" t="inlineStr">
        <is>
          <t>13.0%</t>
        </is>
      </c>
      <c r="E4" s="6" t="inlineStr">
        <is>
          <t>17.6%</t>
        </is>
      </c>
      <c r="F4" s="6" t="inlineStr">
        <is>
          <t>21.2%</t>
        </is>
      </c>
      <c r="G4" s="6" t="inlineStr">
        <is>
          <t>23.6%</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704.0%</t>
        </is>
      </c>
      <c r="C4" s="6" t="inlineStr">
        <is>
          <t>836.6%</t>
        </is>
      </c>
      <c r="D4" s="6" t="inlineStr">
        <is>
          <t>618%</t>
        </is>
      </c>
      <c r="E4" s="6" t="inlineStr">
        <is>
          <t>1029%</t>
        </is>
      </c>
      <c r="F4" s="6" t="inlineStr">
        <is>
          <t>5597%</t>
        </is>
      </c>
      <c r="G4" s="6" t="inlineStr">
        <is>
          <t>6820%</t>
        </is>
      </c>
    </row>
    <row r="5" ht="60" customHeight="1">
      <c r="A5" s="7" t="inlineStr">
        <is>
          <t>Note: BASIS, and why FY2021 here (5597%) differs from the KM1 Key Metrics sheet's row 17 (2554%). This sheet carries each year's POINT-IN-TIME year-end ratio as that year's own edition states it. The FY2021 Pillar 3's Table 13 ('LCR as at 31 December', p.32) prints liquidity buffer 108,981 and net cash outflows 1,947, giving the 5597% it states three times in that document. The KM1 sheet reproduces the FY2022 edition's Dec-21 column, which that edition's own footnote 2 defines as 'a weighted average of the preceding 4 quarters' - a different measurement of the same year, not a competing estimate of the same thing. Both are printed figures from named editions; neither has been adjusted to agree with the other, and the disagreement is expected rather than a defect. Confirmed against both PDFs 2026-09-16.</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Not published - SDDT reduced Pillar 3 template (Article 433b) drops the NSFR; not disclosed in the Annual Report either</t>
        </is>
      </c>
      <c r="C4" s="6" t="inlineStr">
        <is>
          <t>Not published - SDDT reduced Pillar 3 template (Article 433b) drops the NSFR; not disclosed in the Annual Report either</t>
        </is>
      </c>
      <c r="D4" s="6" t="inlineStr">
        <is>
          <t>148.2%</t>
        </is>
      </c>
      <c r="E4" s="6" t="inlineStr">
        <is>
          <t>163%</t>
        </is>
      </c>
      <c r="F4" s="6" t="inlineStr">
        <is>
          <t>214%</t>
        </is>
      </c>
      <c r="G4" s="6" t="inlineStr">
        <is>
          <t>253%</t>
        </is>
      </c>
    </row>
    <row r="5" ht="60" customHeight="1">
      <c r="A5" s="7" t="inlineStr">
        <is>
          <t>Note: NSFR was disclosed for FY2020-FY2023 but does not appear anywhere in the FY2024 or FY2025 Pillar 3 documents (confirmed by direct search of both, not assumed). STRUCTURALLY EXEMPT, not undisclosed (established 2026-09-15): both of those documents state at p.3 that 'The Group has opted into the Small Domestic Deposit Takers ('SDDT') regime at both Consolidated and Bank levels. Having received PRA approval, disclosures are prepared in accordance with the regime's reduced disclosure requirements as prescribed by Article 433b.' The PRA's own register confirms the underlying instrument - Rule 3.1 SDDT modification by consent, ref A00009982P.pdf, effective 07/03/2025. NSFR is one of the items the reduced template drops; becoming an SDDT also replaces the full NSFR with a Simplified Retail Deposit Ratio, which this Group does not publish a value for. So FY2024/FY2025 NSFR is a regulatory absence, not a search miss. This says nothing about FY2020-FY2023, which are disclosed in full above.</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SDDT reduced Pillar 3 (Art. 433b) and FY2025 Annual Report contain no MREL figure ('MREL' 0 hits, 2026-09-19)</t>
        </is>
      </c>
      <c r="C4" s="6" t="inlineStr">
        <is>
          <t>Not published – SDDT reduced Pillar 3 (Art. 433b) contains no MREL figure ('MREL' 0 hits, 2026-09-19)</t>
        </is>
      </c>
      <c r="D4" s="6" t="inlineStr">
        <is>
          <t>Not applicable – FY2023 Pillar 3 p.14: 'The Group MREL, as set by the PRA, is equal to its TCR, with no additional MREL requirement'</t>
        </is>
      </c>
      <c r="E4" s="6" t="inlineStr">
        <is>
          <t>Not applicable – FY2022 Pillar 3 p.21: 'The Group MREL, as set by the PRA, is equal to its TCR, with no additional MREL requirement'</t>
        </is>
      </c>
      <c r="F4" s="6" t="inlineStr">
        <is>
          <t>Not applicable – FY2021 Pillar 3 p.21: 'The Group MREL, as set by the PRA, is equal to its TCR, with no additional MREL requirement'</t>
        </is>
      </c>
      <c r="G4" s="6" t="inlineStr">
        <is>
          <t>Not published – FY2020 Pillar 3 and FY2020 Annual Report contain no MREL figure or statement ('MREL' 0 hits, 2026-09-19)</t>
        </is>
      </c>
    </row>
    <row r="5" ht="60" customHeight="1">
      <c r="A5" s="7" t="inlineStr">
        <is>
          <t>Note: Not publicly disclosed in any year (FY2020-FY2025), and no document states an MREL exemption. The earlier gloss 'consistent with a small SDDT-regime institution' was removed 2026-09-15 as an unevidenced inference: the Group's SDDT opt-in is now separately evidenced (see ENTITY NOTE) but it is dated 07/03/2025 and so cannot account for the FY2020-FY2023 MREL blanks, and no source links SDDT status to the MREL absence in any year. Recorded simply as not disclosed.
GA-020 (2026-09-19): 'no document states an MREL exemption' was wrong. The FY2021 (p.21), FY2022 (p.21) and FY2023 (p.14) Pillar 3 editions each state 'The Group MREL, as set by the PRA, is equal to its TCR, with no additional MREL requirement in excess of Pillar 1 and Pillar 2A', so those three years read 'Not applicable'. The FY2020, FY2024 and FY2025 editions and the FY2020/FY2025 Annual Reports return zero hits for 'MREL', so those years read 'Not published'.</t>
        </is>
      </c>
    </row>
    <row r="7" ht="150" customHeight="1">
      <c r="A7" s="8" t="inlineStr">
        <is>
          <t>Sources - Distribution Finance Capital Holdings plc Pillar 3 Disclosures (Consolidated Group basis), Key Metrics (UK KM1) table, p.n/a: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REASON ESTABLISHED 2026-09-15 (cross-bank SDDT pass), replacing the earlier 'plausibly linked' / 'consistent with' wording, which was an inference rather than evidence. The FY2024 and FY2025 NSFR (and MREL) gaps are an EVIDENCED STRUCTURAL REDUCTION IN DISCLOSURE SCOPE, stated by the Group itself in the documents concerned. DF Capital is unusual among the SDDTs in this project in that it keeps publishing a Pillar 3 document - it just publishes a shorter one - so the gap is a narrowed template, not a missing document.
Evidence 1 - the Group's own words, identically in both editions, section 1.3: 'The Group has opted into the Small Domestic Deposit Takers ('SDDT') regime at both Consolidated and Bank levels. Having received PRA approval, disclosures are prepared in accordance with the regime's reduced disclosure requirements as prescribed by Article 433b.' - Pillar 3 Disclosures at 31 December 2024, p.3 (https://wp-dfcapital-investors-2020.s3.eu-west-2.amazonaws.com/media/2025/04/Distribution-Finance-Capital-Holdings-plc-Pillar-3-Disclosures-at-31-December-2024.pdf) and Pillar 3 Disclosures 2025, p.3 (https://wp-dfcapital-investors-2020.s3.eu-west-2.amazonaws.com/media/2026/03/DF-Capital-Pillar-III-2025.pdf).
Evidence 2 - Annual Report and Accounts 2025, p.37: 'The Group decided to use the Smaller Domestic Deposit Taker ("SDDT") approach to prudential regulation.' - https://wp-dfcapital-investors-2020.s3.eu-west-2.amazonaws.com/media/2026/03/DF-Capital-Annual-Report-and-Accounts-year-ending-2025.pdf
Evidence 3 - the PRA's own firm-level register. Bank of England consolidated list of waivers and modifications granted to PRA-authorised firms (downloaded 2026-09-15) carries the row: FRN 848291, 'DF Capital Bank Limited', 'Modification by Consent - PRA Rulebook - CRR Firms - Rule 3.1 of the SDDT Regime - General Application Part', sub rule 'Ru 3.1', waiver ref 'A00009982P.pdf', start date '07/03/2025', no end date - https://www.bankofengland.co.uk/-/media/boe/files/prudential-regulation/authorisations/waivers-and-modifications-of-rules/consolidated-waivers-pra-firms.csv
DATE FIT: the modification took effect 7 March 2025 and the FY2024 Pillar 3 document was published in April 2025 - after it - which is why that FY2024 document is already the reduced Article 433b form and already states 'Having received PRA approval'. The exemption therefore explains the FY2024 and FY2025 narrowing and explains NOTHING about FY2020-FY2023, whose Pillar 3 documents are full-scope and whose own MREL absence has a separate cause (no MREL requirement disclosed for an institution of this size in any year). Do not read SDDT back onto FY2023 or earlier. No Simplified Retail Deposit Ratio value is disclosed, so nothing replaces the NSFR series here. Note also that the Annual Report's reference to moving to 'the new SDDT Capital Regime ... from 1st January 2027' (p.82) is the separate, later simplified CAPITAL regime, not the disclosure exemption that already applies.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2026-10-08T23:27:20Z</dcterms:created>
  <dcterms:modified xmlns:dcterms="http://purl.org/dc/terms/" xmlns:xsi="http://www.w3.org/2001/XMLSchema-instance" xsi:type="dcterms:W3CDTF">2026-10-08T23:27:20Z</dcterms:modified>
</cp:coreProperties>
</file>