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80034"/>
        <bgColor rgb="00D8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DF Capital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DF Capital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DF Capital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DF Capital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DF Capital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DF Capital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999812</v>
      </c>
      <c r="C6" s="5" t="n">
        <v>786540</v>
      </c>
      <c r="D6" s="5" t="n">
        <v>691938</v>
      </c>
      <c r="E6" s="5" t="n">
        <v>582496</v>
      </c>
      <c r="F6" s="5" t="n">
        <v>388608</v>
      </c>
      <c r="G6" s="5" t="n">
        <v>201322</v>
      </c>
      <c r="J6" t="inlineStr">
        <is>
          <t>Total assets</t>
        </is>
      </c>
      <c r="K6" t="n">
        <v>201322</v>
      </c>
      <c r="L6" t="n">
        <v>388608</v>
      </c>
      <c r="M6" t="n">
        <v>582496</v>
      </c>
      <c r="N6" t="n">
        <v>691938</v>
      </c>
      <c r="O6" t="n">
        <v>786540</v>
      </c>
      <c r="P6" t="n">
        <v>999812</v>
      </c>
      <c r="AT6" t="inlineStr">
        <is>
          <t>CET1 Ratio</t>
        </is>
      </c>
      <c r="AU6" t="n">
        <v>50.1</v>
      </c>
      <c r="AV6" t="n">
        <v>38.2</v>
      </c>
      <c r="AW6" t="n">
        <v>22.1</v>
      </c>
      <c r="AX6" t="n">
        <v>22.8</v>
      </c>
      <c r="AY6" t="n">
        <v>21.6</v>
      </c>
      <c r="AZ6" t="n">
        <v>18</v>
      </c>
    </row>
    <row r="7">
      <c r="A7" s="5" t="inlineStr">
        <is>
          <t>Loans and advances to customers</t>
        </is>
      </c>
      <c r="B7" s="5" t="n">
        <v>839526</v>
      </c>
      <c r="C7" s="5" t="n">
        <v>660772</v>
      </c>
      <c r="D7" s="5" t="n">
        <v>568044</v>
      </c>
      <c r="E7" s="5" t="n">
        <v>435883</v>
      </c>
      <c r="F7" s="5" t="n">
        <v>247205</v>
      </c>
      <c r="G7" s="5" t="n">
        <v>111337</v>
      </c>
      <c r="J7" t="inlineStr">
        <is>
          <t>Loans and advances to customers</t>
        </is>
      </c>
      <c r="K7" t="n">
        <v>111337</v>
      </c>
      <c r="L7" t="n">
        <v>247205</v>
      </c>
      <c r="M7" t="n">
        <v>435883</v>
      </c>
      <c r="N7" t="n">
        <v>568044</v>
      </c>
      <c r="O7" t="n">
        <v>660772</v>
      </c>
      <c r="P7" t="n">
        <v>839526</v>
      </c>
      <c r="AT7" t="inlineStr">
        <is>
          <t>Total Capital Ratio</t>
        </is>
      </c>
      <c r="AU7" t="n">
        <v>50.1</v>
      </c>
      <c r="AV7" t="n">
        <v>38.2</v>
      </c>
      <c r="AW7" t="n">
        <v>22.1</v>
      </c>
      <c r="AX7" t="n">
        <v>25.8</v>
      </c>
      <c r="AY7" t="n">
        <v>23.8</v>
      </c>
      <c r="AZ7" t="n">
        <v>20.5</v>
      </c>
    </row>
    <row r="8">
      <c r="A8" s="5" t="inlineStr">
        <is>
          <t>Customer deposits</t>
        </is>
      </c>
      <c r="B8" s="5" t="n">
        <v>840565</v>
      </c>
      <c r="C8" s="5" t="n">
        <v>649665</v>
      </c>
      <c r="D8" s="5" t="n">
        <v>574622</v>
      </c>
      <c r="E8" s="5" t="n">
        <v>479736</v>
      </c>
      <c r="F8" s="5" t="n">
        <v>296856</v>
      </c>
      <c r="G8" s="5" t="n">
        <v>145982</v>
      </c>
      <c r="J8" t="inlineStr">
        <is>
          <t>Customer deposits</t>
        </is>
      </c>
      <c r="K8" t="n">
        <v>145982</v>
      </c>
      <c r="L8" t="n">
        <v>296856</v>
      </c>
      <c r="M8" t="n">
        <v>479736</v>
      </c>
      <c r="N8" t="n">
        <v>574622</v>
      </c>
      <c r="O8" t="n">
        <v>649665</v>
      </c>
      <c r="P8" t="n">
        <v>840565</v>
      </c>
      <c r="AT8" t="inlineStr">
        <is>
          <t>Leverage Ratio</t>
        </is>
      </c>
      <c r="AU8" t="n">
        <v>23.6</v>
      </c>
      <c r="AV8" t="n">
        <v>21.2</v>
      </c>
      <c r="AW8" t="n">
        <v>17.6</v>
      </c>
      <c r="AX8" t="n">
        <v>13</v>
      </c>
      <c r="AY8" t="n">
        <v>14.5</v>
      </c>
      <c r="AZ8" t="n">
        <v>12.8</v>
      </c>
    </row>
    <row r="9">
      <c r="A9" s="5" t="inlineStr">
        <is>
          <t>Total equity</t>
        </is>
      </c>
      <c r="B9" s="5" t="n">
        <v>127230</v>
      </c>
      <c r="C9" s="5" t="n">
        <v>115354</v>
      </c>
      <c r="D9" s="5" t="n">
        <v>100414</v>
      </c>
      <c r="E9" s="5" t="n">
        <v>96239</v>
      </c>
      <c r="F9" s="5" t="n">
        <v>86058</v>
      </c>
      <c r="G9" s="5" t="n">
        <v>50889</v>
      </c>
      <c r="J9" t="inlineStr">
        <is>
          <t>Total equity</t>
        </is>
      </c>
      <c r="K9" t="n">
        <v>50889</v>
      </c>
      <c r="L9" t="n">
        <v>86058</v>
      </c>
      <c r="M9" t="n">
        <v>96239</v>
      </c>
      <c r="N9" t="n">
        <v>100414</v>
      </c>
      <c r="O9" t="n">
        <v>115354</v>
      </c>
      <c r="P9" t="n">
        <v>127230</v>
      </c>
      <c r="AT9" t="inlineStr">
        <is>
          <t>LCR</t>
        </is>
      </c>
      <c r="AU9" t="n">
        <v>6820</v>
      </c>
      <c r="AV9" t="n">
        <v>5597</v>
      </c>
      <c r="AW9" t="n">
        <v>1029</v>
      </c>
      <c r="AX9" t="n">
        <v>618</v>
      </c>
      <c r="AY9" t="n">
        <v>836.6</v>
      </c>
      <c r="AZ9" t="n">
        <v>704</v>
      </c>
    </row>
    <row r="10">
      <c r="AT10" t="inlineStr">
        <is>
          <t>NSFR</t>
        </is>
      </c>
      <c r="AU10" t="n">
        <v>253</v>
      </c>
      <c r="AV10" t="n">
        <v>214</v>
      </c>
      <c r="AW10" t="n">
        <v>163</v>
      </c>
      <c r="AX10" t="n">
        <v>148.2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56039</v>
      </c>
      <c r="C13" s="5" t="n">
        <v>45490</v>
      </c>
      <c r="D13" s="5" t="n">
        <v>38014</v>
      </c>
      <c r="E13" s="5" t="n">
        <v>20431</v>
      </c>
      <c r="F13" s="5" t="n">
        <v>11303</v>
      </c>
      <c r="G13" s="5" t="n">
        <v>2337</v>
      </c>
      <c r="S13" t="inlineStr">
        <is>
          <t>Total operating income</t>
        </is>
      </c>
      <c r="T13" t="n">
        <v>2337</v>
      </c>
      <c r="U13" t="n">
        <v>11303</v>
      </c>
      <c r="V13" t="n">
        <v>20431</v>
      </c>
      <c r="W13" t="n">
        <v>38014</v>
      </c>
      <c r="X13" t="n">
        <v>45490</v>
      </c>
      <c r="Y13" t="n">
        <v>56039</v>
      </c>
    </row>
    <row r="14">
      <c r="A14" s="5" t="inlineStr">
        <is>
          <t>Total operating expenses (staff + other operating expenses)</t>
        </is>
      </c>
      <c r="B14" s="5" t="n">
        <v>-32181</v>
      </c>
      <c r="C14" s="5" t="n">
        <v>-26607</v>
      </c>
      <c r="D14" s="5" t="n">
        <v>-21843</v>
      </c>
      <c r="E14" s="5" t="n">
        <v>-16831</v>
      </c>
      <c r="F14" s="5" t="n">
        <v>-14507</v>
      </c>
      <c r="G14" s="5" t="n">
        <v>-14987</v>
      </c>
      <c r="S14" t="inlineStr">
        <is>
          <t>Total operating expenses (staff + other operating expenses)</t>
        </is>
      </c>
      <c r="T14" t="n">
        <v>-14987</v>
      </c>
      <c r="U14" t="n">
        <v>-14507</v>
      </c>
      <c r="V14" t="n">
        <v>-16831</v>
      </c>
      <c r="W14" t="n">
        <v>-21843</v>
      </c>
      <c r="X14" t="n">
        <v>-26607</v>
      </c>
      <c r="Y14" t="n">
        <v>-32181</v>
      </c>
    </row>
    <row r="15">
      <c r="A15" s="5" t="inlineStr">
        <is>
          <t>Profit/(loss) after taxation</t>
        </is>
      </c>
      <c r="B15" s="5" t="n">
        <v>15159</v>
      </c>
      <c r="C15" s="5" t="n">
        <v>14021</v>
      </c>
      <c r="D15" s="5" t="n">
        <v>3155</v>
      </c>
      <c r="E15" s="5" t="n">
        <v>9761</v>
      </c>
      <c r="F15" s="5" t="n">
        <v>-3676</v>
      </c>
      <c r="G15" s="5" t="n">
        <v>-13603</v>
      </c>
      <c r="S15" t="inlineStr">
        <is>
          <t>Profit/(loss) after taxation</t>
        </is>
      </c>
      <c r="T15" t="n">
        <v>-13603</v>
      </c>
      <c r="U15" t="n">
        <v>-3676</v>
      </c>
      <c r="V15" t="n">
        <v>9761</v>
      </c>
      <c r="W15" t="n">
        <v>3155</v>
      </c>
      <c r="X15" t="n">
        <v>14021</v>
      </c>
      <c r="Y15" t="n">
        <v>15159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115354</v>
      </c>
      <c r="C19" s="5" t="n">
        <v>100414</v>
      </c>
      <c r="D19" s="5" t="n">
        <v>96239</v>
      </c>
      <c r="E19" s="5" t="n">
        <v>86058</v>
      </c>
      <c r="F19" s="5" t="n">
        <v>50889</v>
      </c>
      <c r="G19" s="5" t="n">
        <v>64556</v>
      </c>
      <c r="AB19" t="inlineStr">
        <is>
          <t>Opening equity</t>
        </is>
      </c>
      <c r="AC19" t="n">
        <v>64556</v>
      </c>
      <c r="AD19" t="n">
        <v>50889</v>
      </c>
      <c r="AE19" t="n">
        <v>86058</v>
      </c>
      <c r="AF19" t="n">
        <v>96239</v>
      </c>
      <c r="AG19" t="n">
        <v>100414</v>
      </c>
      <c r="AH19" t="n">
        <v>115354</v>
      </c>
    </row>
    <row r="20">
      <c r="A20" s="5" t="inlineStr">
        <is>
          <t>Total comprehensive income/(loss) for the year</t>
        </is>
      </c>
      <c r="B20" s="5" t="n">
        <v>15159</v>
      </c>
      <c r="C20" s="5" t="n">
        <v>14096</v>
      </c>
      <c r="D20" s="5" t="n">
        <v>3338</v>
      </c>
      <c r="E20" s="5" t="n">
        <v>9682</v>
      </c>
      <c r="F20" s="5" t="n">
        <v>-3838</v>
      </c>
      <c r="G20" s="5" t="n">
        <v>-13625</v>
      </c>
      <c r="AB20" t="inlineStr">
        <is>
          <t>Total comprehensive income/(loss) for the year</t>
        </is>
      </c>
      <c r="AC20" t="n">
        <v>-13625</v>
      </c>
      <c r="AD20" t="n">
        <v>-3838</v>
      </c>
      <c r="AE20" t="n">
        <v>9682</v>
      </c>
      <c r="AF20" t="n">
        <v>3338</v>
      </c>
      <c r="AG20" t="n">
        <v>14096</v>
      </c>
      <c r="AH20" t="n">
        <v>15159</v>
      </c>
    </row>
    <row r="21">
      <c r="A21" s="5" t="inlineStr">
        <is>
          <t>Other equity movements, net</t>
        </is>
      </c>
      <c r="B21" s="5" t="n">
        <v>-3283</v>
      </c>
      <c r="C21" s="5" t="n">
        <v>844</v>
      </c>
      <c r="D21" s="5" t="n">
        <v>837</v>
      </c>
      <c r="E21" s="5" t="n">
        <v>499</v>
      </c>
      <c r="F21" s="5" t="n">
        <v>39007</v>
      </c>
      <c r="G21" s="5" t="n">
        <v>-42</v>
      </c>
      <c r="AB21" t="inlineStr">
        <is>
          <t>Other equity movements, net</t>
        </is>
      </c>
      <c r="AC21" t="n">
        <v>-42</v>
      </c>
      <c r="AD21" t="n">
        <v>39007</v>
      </c>
      <c r="AE21" t="n">
        <v>499</v>
      </c>
      <c r="AF21" t="n">
        <v>837</v>
      </c>
      <c r="AG21" t="n">
        <v>844</v>
      </c>
      <c r="AH21" t="n">
        <v>-3283</v>
      </c>
    </row>
    <row r="22">
      <c r="A22" s="5" t="inlineStr">
        <is>
          <t>Closing equity</t>
        </is>
      </c>
      <c r="B22" s="5" t="n">
        <v>127230</v>
      </c>
      <c r="C22" s="5" t="n">
        <v>115354</v>
      </c>
      <c r="D22" s="5" t="n">
        <v>100414</v>
      </c>
      <c r="E22" s="5" t="n">
        <v>96239</v>
      </c>
      <c r="F22" s="5" t="n">
        <v>86058</v>
      </c>
      <c r="G22" s="5" t="n">
        <v>50889</v>
      </c>
      <c r="AB22" t="inlineStr">
        <is>
          <t>Closing equity</t>
        </is>
      </c>
      <c r="AC22" t="n">
        <v>50889</v>
      </c>
      <c r="AD22" t="n">
        <v>86058</v>
      </c>
      <c r="AE22" t="n">
        <v>96239</v>
      </c>
      <c r="AF22" t="n">
        <v>100414</v>
      </c>
      <c r="AG22" t="n">
        <v>115354</v>
      </c>
      <c r="AH22" t="n">
        <v>127230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32953</v>
      </c>
      <c r="C26" s="5" t="n">
        <v>9201</v>
      </c>
      <c r="D26" s="5" t="n">
        <v>-37712</v>
      </c>
      <c r="E26" s="5" t="n">
        <v>-3408</v>
      </c>
      <c r="F26" s="5" t="n">
        <v>13178</v>
      </c>
      <c r="G26" s="5" t="n">
        <v>66147</v>
      </c>
      <c r="AK26" t="inlineStr">
        <is>
          <t>Net cash generated from/(used in) operating activities</t>
        </is>
      </c>
      <c r="AL26" t="n">
        <v>66147</v>
      </c>
      <c r="AM26" t="n">
        <v>13178</v>
      </c>
      <c r="AN26" t="n">
        <v>-3408</v>
      </c>
      <c r="AO26" t="n">
        <v>-37712</v>
      </c>
      <c r="AP26" t="n">
        <v>9201</v>
      </c>
      <c r="AQ26" t="n">
        <v>32953</v>
      </c>
    </row>
    <row r="27">
      <c r="A27" s="5" t="inlineStr">
        <is>
          <t>Net cash (used in)/generated from investing activities</t>
        </is>
      </c>
      <c r="B27" s="5" t="n">
        <v>-3623</v>
      </c>
      <c r="C27" s="5" t="n">
        <v>14162</v>
      </c>
      <c r="D27" s="5" t="n">
        <v>8227</v>
      </c>
      <c r="E27" s="5" t="n">
        <v>84582</v>
      </c>
      <c r="F27" s="5" t="n">
        <v>-43312</v>
      </c>
      <c r="G27" s="5" t="n">
        <v>-58872</v>
      </c>
      <c r="AK27" t="inlineStr">
        <is>
          <t>Net cash (used in)/generated from investing activities</t>
        </is>
      </c>
      <c r="AL27" t="n">
        <v>-58872</v>
      </c>
      <c r="AM27" t="n">
        <v>-43312</v>
      </c>
      <c r="AN27" t="n">
        <v>84582</v>
      </c>
      <c r="AO27" t="n">
        <v>8227</v>
      </c>
      <c r="AP27" t="n">
        <v>14162</v>
      </c>
      <c r="AQ27" t="n">
        <v>-3623</v>
      </c>
    </row>
    <row r="28">
      <c r="A28" s="5" t="inlineStr">
        <is>
          <t>Net cash (used in)/generated from financing activities</t>
        </is>
      </c>
      <c r="B28" s="5" t="n">
        <v>-1330</v>
      </c>
      <c r="C28" s="5" t="n">
        <v>-1667</v>
      </c>
      <c r="D28" s="5" t="n">
        <v>9722</v>
      </c>
      <c r="E28" s="5" t="n">
        <v>-141</v>
      </c>
      <c r="F28" s="5" t="n">
        <v>38498</v>
      </c>
      <c r="G28" s="5" t="n">
        <v>-164</v>
      </c>
      <c r="AK28" t="inlineStr">
        <is>
          <t>Net cash (used in)/generated from financing activities</t>
        </is>
      </c>
      <c r="AL28" t="n">
        <v>-164</v>
      </c>
      <c r="AM28" t="n">
        <v>38498</v>
      </c>
      <c r="AN28" t="n">
        <v>-141</v>
      </c>
      <c r="AO28" t="n">
        <v>9722</v>
      </c>
      <c r="AP28" t="n">
        <v>-1667</v>
      </c>
      <c r="AQ28" t="n">
        <v>-1330</v>
      </c>
    </row>
    <row r="29">
      <c r="A29" s="5" t="inlineStr">
        <is>
          <t>Cash and cash equivalents at end of the period</t>
        </is>
      </c>
      <c r="B29" s="5" t="n">
        <v>140563</v>
      </c>
      <c r="C29" s="5" t="n">
        <v>112563</v>
      </c>
      <c r="D29" s="5" t="n">
        <v>90867</v>
      </c>
      <c r="E29" s="5" t="n">
        <v>110630</v>
      </c>
      <c r="F29" s="5" t="n">
        <v>29597</v>
      </c>
      <c r="G29" s="5" t="n">
        <v>21233</v>
      </c>
      <c r="AK29" t="inlineStr">
        <is>
          <t>Cash and cash equivalents at end of the period</t>
        </is>
      </c>
      <c r="AL29" t="n">
        <v>21233</v>
      </c>
      <c r="AM29" t="n">
        <v>29597</v>
      </c>
      <c r="AN29" t="n">
        <v>110630</v>
      </c>
      <c r="AO29" t="n">
        <v>90867</v>
      </c>
      <c r="AP29" t="n">
        <v>112563</v>
      </c>
      <c r="AQ29" t="n">
        <v>140563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18.0%</t>
        </is>
      </c>
      <c r="C33" s="6" t="inlineStr">
        <is>
          <t>21.6%</t>
        </is>
      </c>
      <c r="D33" s="6" t="inlineStr">
        <is>
          <t>22.8%</t>
        </is>
      </c>
      <c r="E33" s="6" t="inlineStr">
        <is>
          <t>22.1%</t>
        </is>
      </c>
      <c r="F33" s="6" t="inlineStr">
        <is>
          <t>38.2%</t>
        </is>
      </c>
      <c r="G33" s="6" t="inlineStr">
        <is>
          <t>50.1%</t>
        </is>
      </c>
    </row>
    <row r="34">
      <c r="A34" s="6" t="inlineStr">
        <is>
          <t>Total Capital Ratio</t>
        </is>
      </c>
      <c r="B34" s="6" t="inlineStr">
        <is>
          <t>20.5%</t>
        </is>
      </c>
      <c r="C34" s="6" t="inlineStr">
        <is>
          <t>23.8%</t>
        </is>
      </c>
      <c r="D34" s="6" t="inlineStr">
        <is>
          <t>25.8%</t>
        </is>
      </c>
      <c r="E34" s="6" t="inlineStr">
        <is>
          <t>22.1%</t>
        </is>
      </c>
      <c r="F34" s="6" t="inlineStr">
        <is>
          <t>38.2%</t>
        </is>
      </c>
      <c r="G34" s="6" t="inlineStr">
        <is>
          <t>50.1%</t>
        </is>
      </c>
    </row>
    <row r="35">
      <c r="A35" s="6" t="inlineStr">
        <is>
          <t>Leverage Ratio</t>
        </is>
      </c>
      <c r="B35" s="6" t="inlineStr">
        <is>
          <t>12.8%</t>
        </is>
      </c>
      <c r="C35" s="6" t="inlineStr">
        <is>
          <t>14.5%</t>
        </is>
      </c>
      <c r="D35" s="6" t="inlineStr">
        <is>
          <t>13.0%</t>
        </is>
      </c>
      <c r="E35" s="6" t="inlineStr">
        <is>
          <t>17.6%</t>
        </is>
      </c>
      <c r="F35" s="6" t="inlineStr">
        <is>
          <t>21.2%</t>
        </is>
      </c>
      <c r="G35" s="6" t="inlineStr">
        <is>
          <t>23.6%</t>
        </is>
      </c>
    </row>
    <row r="36">
      <c r="A36" s="6" t="inlineStr">
        <is>
          <t>LCR</t>
        </is>
      </c>
      <c r="B36" s="6" t="inlineStr">
        <is>
          <t>704.0%</t>
        </is>
      </c>
      <c r="C36" s="6" t="inlineStr">
        <is>
          <t>836.6%</t>
        </is>
      </c>
      <c r="D36" s="6" t="inlineStr">
        <is>
          <t>618%</t>
        </is>
      </c>
      <c r="E36" s="6" t="inlineStr">
        <is>
          <t>1029%</t>
        </is>
      </c>
      <c r="F36" s="6" t="inlineStr">
        <is>
          <t>5597%</t>
        </is>
      </c>
      <c r="G36" s="6" t="inlineStr">
        <is>
          <t>6820%</t>
        </is>
      </c>
    </row>
    <row r="37">
      <c r="A37" s="6" t="inlineStr">
        <is>
          <t>NSFR</t>
        </is>
      </c>
      <c r="B37" s="6" t="n"/>
      <c r="C37" s="6" t="n"/>
      <c r="D37" s="6" t="inlineStr">
        <is>
          <t>148.2%</t>
        </is>
      </c>
      <c r="E37" s="6" t="inlineStr">
        <is>
          <t>163%</t>
        </is>
      </c>
      <c r="F37" s="6" t="inlineStr">
        <is>
          <t>214%</t>
        </is>
      </c>
      <c r="G37" s="6" t="inlineStr">
        <is>
          <t>253%</t>
        </is>
      </c>
    </row>
    <row r="39" ht="45" customHeight="1">
      <c r="A39" s="7" t="inlineStr">
        <is>
          <t>Note: Figures are Distribution Finance Capital Holdings plc Group-consolidated basis (the PRA-regulated Bank's own filed accounts are fully scanned with no text layer; the Group and regulatory consolidation bases are confirmed identical, so this is not a basis mismatch — see the Cash Flow Statement sheet's source note). Figures are duplicated from the detail sheets for at-a-glance trend viewing; see each sheet's own source citation for the underlying document/page. FY2020 is this workbook's confirmed floor (HD-023, re-verified against Companies House and the Bank's own disclosure archive) — the Bank only became a PRA-authorised deposit-taker in September 2020 and the Group entity itself was only incorporated March 2019, so no earlier year has both financial statements and a Pillar 3 disclosure; see the Cash Flow Statement sheet's ENTITY NOTE for the full chain of evidence.</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Balance Sheet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t>
        </is>
      </c>
      <c r="B5" s="6" t="n">
        <v>131676</v>
      </c>
      <c r="C5" s="6" t="n">
        <v>110030</v>
      </c>
      <c r="D5" s="6" t="n">
        <v>89552</v>
      </c>
      <c r="E5" s="6" t="n">
        <v>107353</v>
      </c>
      <c r="F5" s="6" t="n">
        <v>29597</v>
      </c>
      <c r="G5" s="6" t="n">
        <v>21233</v>
      </c>
    </row>
    <row r="6">
      <c r="A6" s="6" t="inlineStr">
        <is>
          <t>Loans and advances to banks</t>
        </is>
      </c>
      <c r="B6" s="6" t="n">
        <v>5894</v>
      </c>
      <c r="C6" s="6" t="n">
        <v>3771</v>
      </c>
      <c r="D6" s="6" t="n">
        <v>3475</v>
      </c>
      <c r="E6" s="6" t="n">
        <v>3848</v>
      </c>
      <c r="F6" s="6" t="n"/>
      <c r="G6" s="6" t="n"/>
    </row>
    <row r="7">
      <c r="A7" s="6" t="inlineStr">
        <is>
          <t>Investment/debt securities (UK govt gilts/T-bills, FVOCI, FY2020-FY2023; money market fund, amortised cost, FY2024-FY2025)</t>
        </is>
      </c>
      <c r="B7" s="6" t="n">
        <v>5722</v>
      </c>
      <c r="C7" s="6" t="n">
        <v>769</v>
      </c>
      <c r="D7" s="6" t="n">
        <v>14839</v>
      </c>
      <c r="E7" s="6" t="n">
        <v>22964</v>
      </c>
      <c r="F7" s="6" t="n">
        <v>108867</v>
      </c>
      <c r="G7" s="6" t="n">
        <v>66601</v>
      </c>
    </row>
    <row r="8">
      <c r="A8" s="6" t="inlineStr">
        <is>
          <t>Derivatives held for risk management (asset)</t>
        </is>
      </c>
      <c r="B8" s="6" t="n">
        <v>411</v>
      </c>
      <c r="C8" s="6" t="n">
        <v>295</v>
      </c>
      <c r="D8" s="6" t="n">
        <v>537</v>
      </c>
      <c r="E8" s="6" t="n">
        <v>57</v>
      </c>
      <c r="F8" s="6" t="n"/>
      <c r="G8" s="6" t="n"/>
    </row>
    <row r="9">
      <c r="A9" s="6" t="inlineStr">
        <is>
          <t>Loans and advances to customers</t>
        </is>
      </c>
      <c r="B9" s="6" t="n">
        <v>839526</v>
      </c>
      <c r="C9" s="6" t="n">
        <v>660772</v>
      </c>
      <c r="D9" s="6" t="n">
        <v>568044</v>
      </c>
      <c r="E9" s="6" t="n">
        <v>435883</v>
      </c>
      <c r="F9" s="6" t="n">
        <v>247205</v>
      </c>
      <c r="G9" s="6" t="n">
        <v>111337</v>
      </c>
    </row>
    <row r="10">
      <c r="A10" s="6" t="inlineStr">
        <is>
          <t>Trade and other receivables</t>
        </is>
      </c>
      <c r="B10" s="6" t="n">
        <v>7734</v>
      </c>
      <c r="C10" s="6" t="n">
        <v>4678</v>
      </c>
      <c r="D10" s="6" t="n">
        <v>5335</v>
      </c>
      <c r="E10" s="6" t="n">
        <v>1524</v>
      </c>
      <c r="F10" s="6" t="n">
        <v>1133</v>
      </c>
      <c r="G10" s="6" t="n">
        <v>1154</v>
      </c>
    </row>
    <row r="11">
      <c r="A11" s="6" t="inlineStr">
        <is>
          <t>Current taxation asset</t>
        </is>
      </c>
      <c r="B11" s="6" t="n">
        <v>40</v>
      </c>
      <c r="C11" s="6" t="n"/>
      <c r="D11" s="6" t="n">
        <v>55</v>
      </c>
      <c r="E11" s="6" t="n">
        <v>55</v>
      </c>
      <c r="F11" s="6" t="n"/>
      <c r="G11" s="6" t="n"/>
    </row>
    <row r="12">
      <c r="A12" s="6" t="inlineStr">
        <is>
          <t>Deferred taxation asset</t>
        </is>
      </c>
      <c r="B12" s="6" t="n">
        <v>1912</v>
      </c>
      <c r="C12" s="6" t="n">
        <v>3980</v>
      </c>
      <c r="D12" s="6" t="n">
        <v>7111</v>
      </c>
      <c r="E12" s="6" t="n">
        <v>8457</v>
      </c>
      <c r="F12" s="6" t="n"/>
      <c r="G12" s="6" t="n"/>
    </row>
    <row r="13">
      <c r="A13" s="6" t="inlineStr">
        <is>
          <t>Property, plant and equipment</t>
        </is>
      </c>
      <c r="B13" s="6" t="n">
        <v>3797</v>
      </c>
      <c r="C13" s="6" t="n">
        <v>1093</v>
      </c>
      <c r="D13" s="6" t="n">
        <v>1145</v>
      </c>
      <c r="E13" s="6" t="n">
        <v>1045</v>
      </c>
      <c r="F13" s="6" t="n">
        <v>99</v>
      </c>
      <c r="G13" s="6" t="n">
        <v>139</v>
      </c>
    </row>
    <row r="14">
      <c r="A14" s="6" t="inlineStr">
        <is>
          <t>Right-of-use assets</t>
        </is>
      </c>
      <c r="B14" s="6" t="n">
        <v>2355</v>
      </c>
      <c r="C14" s="6" t="n">
        <v>202</v>
      </c>
      <c r="D14" s="6" t="n">
        <v>1227</v>
      </c>
      <c r="E14" s="6" t="n">
        <v>433</v>
      </c>
      <c r="F14" s="6" t="n">
        <v>641</v>
      </c>
      <c r="G14" s="6" t="n">
        <v>64</v>
      </c>
    </row>
    <row r="15">
      <c r="A15" s="6" t="inlineStr">
        <is>
          <t>Intangible assets</t>
        </is>
      </c>
      <c r="B15" s="6" t="n">
        <v>745</v>
      </c>
      <c r="C15" s="6" t="n">
        <v>950</v>
      </c>
      <c r="D15" s="6" t="n">
        <v>618</v>
      </c>
      <c r="E15" s="6" t="n">
        <v>877</v>
      </c>
      <c r="F15" s="6" t="n">
        <v>1066</v>
      </c>
      <c r="G15" s="6" t="n">
        <v>794</v>
      </c>
    </row>
    <row r="16">
      <c r="A16" s="5" t="inlineStr">
        <is>
          <t>Total assets</t>
        </is>
      </c>
      <c r="B16" s="5" t="n">
        <v>999812</v>
      </c>
      <c r="C16" s="5" t="n">
        <v>786540</v>
      </c>
      <c r="D16" s="5" t="n">
        <v>691938</v>
      </c>
      <c r="E16" s="5" t="n">
        <v>582496</v>
      </c>
      <c r="F16" s="5" t="n">
        <v>388608</v>
      </c>
      <c r="G16" s="5" t="n">
        <v>201322</v>
      </c>
    </row>
    <row r="17">
      <c r="A17" s="5" t="inlineStr">
        <is>
          <t>Liabilities</t>
        </is>
      </c>
      <c r="B17" s="6" t="n"/>
      <c r="C17" s="6" t="n"/>
      <c r="D17" s="6" t="n"/>
      <c r="E17" s="6" t="n"/>
      <c r="F17" s="6" t="n"/>
      <c r="G17" s="6" t="n"/>
    </row>
    <row r="18">
      <c r="A18" s="6" t="inlineStr">
        <is>
          <t>Customer deposits</t>
        </is>
      </c>
      <c r="B18" s="6" t="n">
        <v>840565</v>
      </c>
      <c r="C18" s="6" t="n">
        <v>649665</v>
      </c>
      <c r="D18" s="6" t="n">
        <v>574622</v>
      </c>
      <c r="E18" s="6" t="n">
        <v>479736</v>
      </c>
      <c r="F18" s="6" t="n">
        <v>296856</v>
      </c>
      <c r="G18" s="6" t="n">
        <v>145982</v>
      </c>
    </row>
    <row r="19">
      <c r="A19" s="6" t="inlineStr">
        <is>
          <t>Amounts due to banks</t>
        </is>
      </c>
      <c r="B19" s="6" t="n"/>
      <c r="C19" s="6" t="n">
        <v>180</v>
      </c>
      <c r="D19" s="6" t="n"/>
      <c r="E19" s="6" t="n"/>
      <c r="F19" s="6" t="n"/>
      <c r="G19" s="6" t="n"/>
    </row>
    <row r="20">
      <c r="A20" s="6" t="inlineStr">
        <is>
          <t>Derivatives held for risk management (liability)</t>
        </is>
      </c>
      <c r="B20" s="6" t="n">
        <v>819</v>
      </c>
      <c r="C20" s="6" t="n">
        <v>6</v>
      </c>
      <c r="D20" s="6" t="n">
        <v>565</v>
      </c>
      <c r="E20" s="6" t="n">
        <v>42</v>
      </c>
      <c r="F20" s="6" t="n"/>
      <c r="G20" s="6" t="n"/>
    </row>
    <row r="21">
      <c r="A21" s="6" t="inlineStr">
        <is>
          <t>Fair value adjustments on hedged liabilities</t>
        </is>
      </c>
      <c r="B21" s="6" t="n">
        <v>375</v>
      </c>
      <c r="C21" s="6" t="n">
        <v>136</v>
      </c>
      <c r="D21" s="6" t="n">
        <v>424</v>
      </c>
      <c r="E21" s="6" t="n">
        <v>-84</v>
      </c>
      <c r="F21" s="6" t="n"/>
      <c r="G21" s="6" t="n"/>
    </row>
    <row r="22">
      <c r="A22" s="6" t="inlineStr">
        <is>
          <t>Financial liabilities</t>
        </is>
      </c>
      <c r="B22" s="6" t="n">
        <v>2444</v>
      </c>
      <c r="C22" s="6" t="n">
        <v>90</v>
      </c>
      <c r="D22" s="6" t="n">
        <v>1255</v>
      </c>
      <c r="E22" s="6" t="n">
        <v>445</v>
      </c>
      <c r="F22" s="6" t="n">
        <v>554</v>
      </c>
      <c r="G22" s="6" t="n">
        <v>107</v>
      </c>
    </row>
    <row r="23">
      <c r="A23" s="6" t="inlineStr">
        <is>
          <t>Trade and other payables</t>
        </is>
      </c>
      <c r="B23" s="6" t="n">
        <v>12822</v>
      </c>
      <c r="C23" s="6" t="n">
        <v>9335</v>
      </c>
      <c r="D23" s="6" t="n">
        <v>4297</v>
      </c>
      <c r="E23" s="6" t="n">
        <v>6041</v>
      </c>
      <c r="F23" s="6" t="n">
        <v>5067</v>
      </c>
      <c r="G23" s="6" t="n">
        <v>4261</v>
      </c>
    </row>
    <row r="24">
      <c r="A24" s="6" t="inlineStr">
        <is>
          <t>Provisions</t>
        </is>
      </c>
      <c r="B24" s="6" t="n">
        <v>255</v>
      </c>
      <c r="C24" s="6" t="n">
        <v>285</v>
      </c>
      <c r="D24" s="6" t="n">
        <v>67</v>
      </c>
      <c r="E24" s="6" t="n">
        <v>77</v>
      </c>
      <c r="F24" s="6" t="n">
        <v>73</v>
      </c>
      <c r="G24" s="6" t="n">
        <v>83</v>
      </c>
    </row>
    <row r="25">
      <c r="A25" s="6" t="inlineStr">
        <is>
          <t>Current taxation liability</t>
        </is>
      </c>
      <c r="B25" s="6" t="n"/>
      <c r="C25" s="6" t="n">
        <v>1259</v>
      </c>
      <c r="D25" s="6" t="n">
        <v>73</v>
      </c>
      <c r="E25" s="6" t="n"/>
      <c r="F25" s="6" t="n"/>
      <c r="G25" s="6" t="n"/>
    </row>
    <row r="26">
      <c r="A26" s="6" t="inlineStr">
        <is>
          <t>Subordinated liabilities</t>
        </is>
      </c>
      <c r="B26" s="6" t="n">
        <v>15302</v>
      </c>
      <c r="C26" s="6" t="n">
        <v>10230</v>
      </c>
      <c r="D26" s="6" t="n">
        <v>10221</v>
      </c>
      <c r="E26" s="6" t="n"/>
      <c r="F26" s="6" t="n"/>
      <c r="G26" s="6" t="n"/>
    </row>
    <row r="27">
      <c r="A27" s="5" t="inlineStr">
        <is>
          <t>Total liabilities</t>
        </is>
      </c>
      <c r="B27" s="5" t="n">
        <v>872582</v>
      </c>
      <c r="C27" s="5" t="n">
        <v>671186</v>
      </c>
      <c r="D27" s="5" t="n">
        <v>591524</v>
      </c>
      <c r="E27" s="5" t="n">
        <v>486257</v>
      </c>
      <c r="F27" s="5" t="n">
        <v>302550</v>
      </c>
      <c r="G27" s="5" t="n">
        <v>150433</v>
      </c>
    </row>
    <row r="28">
      <c r="A28" s="5" t="inlineStr">
        <is>
          <t>Equity</t>
        </is>
      </c>
      <c r="B28" s="6" t="n"/>
      <c r="C28" s="6" t="n"/>
      <c r="D28" s="6" t="n"/>
      <c r="E28" s="6" t="n"/>
      <c r="F28" s="6" t="n"/>
      <c r="G28" s="6" t="n"/>
    </row>
    <row r="29">
      <c r="A29" s="6" t="inlineStr">
        <is>
          <t>Issued share capital</t>
        </is>
      </c>
      <c r="B29" s="6" t="n">
        <v>1793</v>
      </c>
      <c r="C29" s="6" t="n">
        <v>1793</v>
      </c>
      <c r="D29" s="6" t="n">
        <v>1793</v>
      </c>
      <c r="E29" s="6" t="n">
        <v>1793</v>
      </c>
      <c r="F29" s="6" t="n">
        <v>1793</v>
      </c>
      <c r="G29" s="6" t="n">
        <v>1066</v>
      </c>
    </row>
    <row r="30">
      <c r="A30" s="6" t="inlineStr">
        <is>
          <t>Share premium</t>
        </is>
      </c>
      <c r="B30" s="6" t="n"/>
      <c r="C30" s="6" t="n"/>
      <c r="D30" s="6" t="n"/>
      <c r="E30" s="6" t="n">
        <v>39273</v>
      </c>
      <c r="F30" s="6" t="n"/>
      <c r="G30" s="6" t="n"/>
    </row>
    <row r="31">
      <c r="A31" s="6" t="inlineStr">
        <is>
          <t>Merger relief</t>
        </is>
      </c>
      <c r="B31" s="6" t="n">
        <v>94911</v>
      </c>
      <c r="C31" s="6" t="n">
        <v>94911</v>
      </c>
      <c r="D31" s="6" t="n">
        <v>94911</v>
      </c>
      <c r="E31" s="6" t="n">
        <v>94911</v>
      </c>
      <c r="F31" s="6" t="n">
        <v>94911</v>
      </c>
      <c r="G31" s="6" t="n">
        <v>94911</v>
      </c>
    </row>
    <row r="32">
      <c r="A32" s="6" t="inlineStr">
        <is>
          <t>Merger reserve</t>
        </is>
      </c>
      <c r="B32" s="6" t="n">
        <v>-20609</v>
      </c>
      <c r="C32" s="6" t="n">
        <v>-20609</v>
      </c>
      <c r="D32" s="6" t="n">
        <v>-20609</v>
      </c>
      <c r="E32" s="6" t="n">
        <v>-20609</v>
      </c>
      <c r="F32" s="6" t="n">
        <v>-20609</v>
      </c>
      <c r="G32" s="6" t="n">
        <v>-20609</v>
      </c>
    </row>
    <row r="33">
      <c r="A33" s="6" t="inlineStr">
        <is>
          <t>Own shares</t>
        </is>
      </c>
      <c r="B33" s="6" t="n">
        <v>-548</v>
      </c>
      <c r="C33" s="6" t="n">
        <v>-440</v>
      </c>
      <c r="D33" s="6" t="n">
        <v>-401</v>
      </c>
      <c r="E33" s="6" t="n">
        <v>-364</v>
      </c>
      <c r="F33" s="6" t="n">
        <v>-364</v>
      </c>
      <c r="G33" s="6" t="n">
        <v>-364</v>
      </c>
    </row>
    <row r="34">
      <c r="A34" s="6" t="inlineStr">
        <is>
          <t>Treasury shares</t>
        </is>
      </c>
      <c r="B34" s="6" t="n">
        <v>-4755</v>
      </c>
      <c r="C34" s="6" t="n"/>
      <c r="D34" s="6" t="n"/>
      <c r="E34" s="6" t="n"/>
      <c r="F34" s="6" t="n"/>
      <c r="G34" s="6" t="n"/>
    </row>
    <row r="35">
      <c r="A35" s="6" t="inlineStr">
        <is>
          <t>Retained earnings/(loss)</t>
        </is>
      </c>
      <c r="B35" s="6" t="n">
        <v>56438</v>
      </c>
      <c r="C35" s="6" t="n">
        <v>39699</v>
      </c>
      <c r="D35" s="6" t="n">
        <v>24720</v>
      </c>
      <c r="E35" s="6" t="n">
        <v>-18765</v>
      </c>
      <c r="F35" s="6" t="n">
        <v>-28946</v>
      </c>
      <c r="G35" s="6" t="n">
        <v>-24115</v>
      </c>
    </row>
    <row r="36">
      <c r="A36" s="5" t="inlineStr">
        <is>
          <t>Total equity</t>
        </is>
      </c>
      <c r="B36" s="5" t="n">
        <v>127230</v>
      </c>
      <c r="C36" s="5" t="n">
        <v>115354</v>
      </c>
      <c r="D36" s="5" t="n">
        <v>100414</v>
      </c>
      <c r="E36" s="5" t="n">
        <v>96239</v>
      </c>
      <c r="F36" s="5" t="n">
        <v>86058</v>
      </c>
      <c r="G36" s="5" t="n">
        <v>50889</v>
      </c>
    </row>
    <row r="37">
      <c r="A37" s="5" t="inlineStr">
        <is>
          <t>Total equity and liabilities</t>
        </is>
      </c>
      <c r="B37" s="5" t="n">
        <v>999812</v>
      </c>
      <c r="C37" s="5" t="n">
        <v>786540</v>
      </c>
      <c r="D37" s="5" t="n">
        <v>691938</v>
      </c>
      <c r="E37" s="5" t="n">
        <v>582496</v>
      </c>
      <c r="F37" s="5" t="n">
        <v>388608</v>
      </c>
      <c r="G37" s="5" t="n">
        <v>201322</v>
      </c>
    </row>
    <row r="39" ht="340" customHeight="1">
      <c r="A39"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Income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90698</v>
      </c>
      <c r="C5" s="6" t="n">
        <v>76820</v>
      </c>
      <c r="D5" s="6" t="n">
        <v>59970</v>
      </c>
      <c r="E5" s="6" t="n">
        <v>25407</v>
      </c>
      <c r="F5" s="6" t="n">
        <v>13259</v>
      </c>
      <c r="G5" s="6" t="n">
        <v>11233</v>
      </c>
    </row>
    <row r="6">
      <c r="A6" s="6" t="inlineStr">
        <is>
          <t>Interest and similar expenses</t>
        </is>
      </c>
      <c r="B6" s="6" t="n">
        <v>-34897</v>
      </c>
      <c r="C6" s="6" t="n">
        <v>-31208</v>
      </c>
      <c r="D6" s="6" t="n">
        <v>-22336</v>
      </c>
      <c r="E6" s="6" t="n">
        <v>-6411</v>
      </c>
      <c r="F6" s="6" t="n">
        <v>-2338</v>
      </c>
      <c r="G6" s="6" t="n">
        <v>-9174</v>
      </c>
    </row>
    <row r="7">
      <c r="A7" s="5" t="inlineStr">
        <is>
          <t>Net interest income</t>
        </is>
      </c>
      <c r="B7" s="5" t="n">
        <v>55801</v>
      </c>
      <c r="C7" s="5" t="n">
        <v>45612</v>
      </c>
      <c r="D7" s="5" t="n">
        <v>37634</v>
      </c>
      <c r="E7" s="5" t="n">
        <v>18996</v>
      </c>
      <c r="F7" s="5" t="n">
        <v>10921</v>
      </c>
      <c r="G7" s="5" t="n">
        <v>2059</v>
      </c>
    </row>
    <row r="8">
      <c r="A8" s="6" t="inlineStr">
        <is>
          <t>Fee income</t>
        </is>
      </c>
      <c r="B8" s="6" t="n">
        <v>1684</v>
      </c>
      <c r="C8" s="6" t="n">
        <v>1237</v>
      </c>
      <c r="D8" s="6" t="n">
        <v>1393</v>
      </c>
      <c r="E8" s="6" t="n">
        <v>1348</v>
      </c>
      <c r="F8" s="6" t="n">
        <v>466</v>
      </c>
      <c r="G8" s="6" t="n">
        <v>168</v>
      </c>
    </row>
    <row r="9">
      <c r="A9" s="6" t="inlineStr">
        <is>
          <t>Fee expenses</t>
        </is>
      </c>
      <c r="B9" s="6" t="n">
        <v>-1608</v>
      </c>
      <c r="C9" s="6" t="n">
        <v>-1626</v>
      </c>
      <c r="D9" s="6" t="n">
        <v>-719</v>
      </c>
      <c r="E9" s="6" t="n"/>
      <c r="F9" s="6" t="n"/>
      <c r="G9" s="6" t="n"/>
    </row>
    <row r="10">
      <c r="A10" s="6" t="inlineStr">
        <is>
          <t>Net losses on disposal of financial assets at FVOCI</t>
        </is>
      </c>
      <c r="B10" s="6" t="n"/>
      <c r="C10" s="6" t="n"/>
      <c r="D10" s="6" t="n"/>
      <c r="E10" s="6" t="n">
        <v>-17</v>
      </c>
      <c r="F10" s="6" t="n"/>
      <c r="G10" s="6" t="n">
        <v>15</v>
      </c>
    </row>
    <row r="11">
      <c r="A11" s="6" t="inlineStr">
        <is>
          <t>Net (losses)/gains from derivatives and other financial instruments at FVTPL</t>
        </is>
      </c>
      <c r="B11" s="6" t="n">
        <v>-773</v>
      </c>
      <c r="C11" s="6" t="n">
        <v>372</v>
      </c>
      <c r="D11" s="6" t="n">
        <v>-303</v>
      </c>
      <c r="E11" s="6" t="n">
        <v>99</v>
      </c>
      <c r="F11" s="6" t="n">
        <v>-3</v>
      </c>
      <c r="G11" s="6" t="n"/>
    </row>
    <row r="12">
      <c r="A12" s="6" t="inlineStr">
        <is>
          <t>Other operating income</t>
        </is>
      </c>
      <c r="B12" s="6" t="n">
        <v>28</v>
      </c>
      <c r="C12" s="6" t="n">
        <v>2</v>
      </c>
      <c r="D12" s="6" t="n">
        <v>9</v>
      </c>
      <c r="E12" s="6" t="n">
        <v>5</v>
      </c>
      <c r="F12" s="6" t="n"/>
      <c r="G12" s="6" t="n">
        <v>95</v>
      </c>
    </row>
    <row r="13">
      <c r="A13" s="6" t="inlineStr">
        <is>
          <t>Other operating (expense)/income</t>
        </is>
      </c>
      <c r="B13" s="6" t="n"/>
      <c r="C13" s="6" t="n"/>
      <c r="D13" s="6" t="n"/>
      <c r="E13" s="6" t="n"/>
      <c r="F13" s="6" t="n">
        <v>-81</v>
      </c>
      <c r="G13" s="6" t="n"/>
    </row>
    <row r="14">
      <c r="A14" s="6" t="inlineStr">
        <is>
          <t>Foreign currency gain/(loss)</t>
        </is>
      </c>
      <c r="B14" s="6" t="n">
        <v>907</v>
      </c>
      <c r="C14" s="6" t="n">
        <v>-107</v>
      </c>
      <c r="D14" s="6" t="n"/>
      <c r="E14" s="6" t="n"/>
      <c r="F14" s="6" t="n"/>
      <c r="G14" s="6" t="n"/>
    </row>
    <row r="15">
      <c r="A15" s="5" t="inlineStr">
        <is>
          <t>Total operating income</t>
        </is>
      </c>
      <c r="B15" s="5" t="n">
        <v>56039</v>
      </c>
      <c r="C15" s="5" t="n">
        <v>45490</v>
      </c>
      <c r="D15" s="5" t="n">
        <v>38014</v>
      </c>
      <c r="E15" s="5" t="n">
        <v>20431</v>
      </c>
      <c r="F15" s="5" t="n">
        <v>11303</v>
      </c>
      <c r="G15" s="5" t="n">
        <v>2337</v>
      </c>
    </row>
    <row r="16">
      <c r="A16" s="5" t="inlineStr">
        <is>
          <t>Expenses</t>
        </is>
      </c>
      <c r="B16" s="6" t="n"/>
      <c r="C16" s="6" t="n"/>
      <c r="D16" s="6" t="n"/>
      <c r="E16" s="6" t="n"/>
      <c r="F16" s="6" t="n"/>
      <c r="G16" s="6" t="n"/>
    </row>
    <row r="17">
      <c r="A17" s="6" t="inlineStr">
        <is>
          <t>Staff costs</t>
        </is>
      </c>
      <c r="B17" s="6" t="n">
        <v>-20684</v>
      </c>
      <c r="C17" s="6" t="n">
        <v>-16044</v>
      </c>
      <c r="D17" s="6" t="n">
        <v>-13431</v>
      </c>
      <c r="E17" s="6" t="n">
        <v>-10848</v>
      </c>
      <c r="F17" s="6" t="n">
        <v>-9121</v>
      </c>
      <c r="G17" s="6" t="n">
        <v>-9805</v>
      </c>
    </row>
    <row r="18">
      <c r="A18" s="6" t="inlineStr">
        <is>
          <t>Other operating expenses</t>
        </is>
      </c>
      <c r="B18" s="6" t="n">
        <v>-11497</v>
      </c>
      <c r="C18" s="6" t="n">
        <v>-10563</v>
      </c>
      <c r="D18" s="6" t="n">
        <v>-8412</v>
      </c>
      <c r="E18" s="6" t="n">
        <v>-5983</v>
      </c>
      <c r="F18" s="6" t="n">
        <v>-5386</v>
      </c>
      <c r="G18" s="6" t="n">
        <v>-5182</v>
      </c>
    </row>
    <row r="19">
      <c r="A19" s="6" t="inlineStr">
        <is>
          <t>Net impairment (loss)/gain on financial assets</t>
        </is>
      </c>
      <c r="B19" s="6" t="n">
        <v>-4267</v>
      </c>
      <c r="C19" s="6" t="n">
        <v>241</v>
      </c>
      <c r="D19" s="6" t="n">
        <v>-11598</v>
      </c>
      <c r="E19" s="6" t="n">
        <v>-2296</v>
      </c>
      <c r="F19" s="6" t="n">
        <v>-556</v>
      </c>
      <c r="G19" s="6" t="n">
        <v>-1294</v>
      </c>
    </row>
    <row r="20">
      <c r="A20" s="6" t="inlineStr">
        <is>
          <t>Other provisions</t>
        </is>
      </c>
      <c r="B20" s="6" t="n">
        <v>50</v>
      </c>
      <c r="C20" s="6" t="n">
        <v>-50</v>
      </c>
      <c r="D20" s="6" t="n"/>
      <c r="E20" s="6" t="n"/>
      <c r="F20" s="6" t="n">
        <v>25</v>
      </c>
      <c r="G20" s="6" t="n">
        <v>417</v>
      </c>
    </row>
    <row r="21">
      <c r="A21" s="6" t="inlineStr">
        <is>
          <t>Other losses</t>
        </is>
      </c>
      <c r="B21" s="6" t="n"/>
      <c r="C21" s="6" t="n"/>
      <c r="D21" s="6" t="n"/>
      <c r="E21" s="6" t="n"/>
      <c r="F21" s="6" t="n">
        <v>0</v>
      </c>
      <c r="G21" s="6" t="n">
        <v>-76</v>
      </c>
    </row>
    <row r="22">
      <c r="A22" s="5" t="inlineStr">
        <is>
          <t>Total operating profit/(loss)</t>
        </is>
      </c>
      <c r="B22" s="5" t="n">
        <v>19641</v>
      </c>
      <c r="C22" s="5" t="n">
        <v>19074</v>
      </c>
      <c r="D22" s="5" t="n">
        <v>4573</v>
      </c>
      <c r="E22" s="5" t="n">
        <v>1304</v>
      </c>
      <c r="F22" s="5" t="n">
        <v>-3735</v>
      </c>
      <c r="G22" s="5" t="n">
        <v>-13603</v>
      </c>
    </row>
    <row r="23">
      <c r="A23" s="5" t="inlineStr">
        <is>
          <t>Profit/(loss) before taxation</t>
        </is>
      </c>
      <c r="B23" s="5" t="n">
        <v>19641</v>
      </c>
      <c r="C23" s="5" t="n">
        <v>19074</v>
      </c>
      <c r="D23" s="5" t="n">
        <v>4573</v>
      </c>
      <c r="E23" s="5" t="n">
        <v>1304</v>
      </c>
      <c r="F23" s="5" t="n">
        <v>-3735</v>
      </c>
      <c r="G23" s="5" t="n">
        <v>-13603</v>
      </c>
    </row>
    <row r="24">
      <c r="A24" s="6" t="inlineStr">
        <is>
          <t>Taxation (charge)/credit</t>
        </is>
      </c>
      <c r="B24" s="6" t="n">
        <v>-4482</v>
      </c>
      <c r="C24" s="6" t="n">
        <v>-5053</v>
      </c>
      <c r="D24" s="6" t="n">
        <v>-1418</v>
      </c>
      <c r="E24" s="6" t="n">
        <v>8457</v>
      </c>
      <c r="F24" s="6" t="n">
        <v>59</v>
      </c>
      <c r="G24" s="6" t="n">
        <v>0</v>
      </c>
    </row>
    <row r="25">
      <c r="A25" s="5" t="inlineStr">
        <is>
          <t>Profit/(loss) after taxation</t>
        </is>
      </c>
      <c r="B25" s="5" t="n">
        <v>15159</v>
      </c>
      <c r="C25" s="5" t="n">
        <v>14021</v>
      </c>
      <c r="D25" s="5" t="n">
        <v>3155</v>
      </c>
      <c r="E25" s="5" t="n">
        <v>9761</v>
      </c>
      <c r="F25" s="5" t="n">
        <v>-3676</v>
      </c>
      <c r="G25" s="5" t="n">
        <v>-13603</v>
      </c>
    </row>
    <row r="26">
      <c r="A26" s="5" t="inlineStr">
        <is>
          <t>Other comprehensive income</t>
        </is>
      </c>
      <c r="B26" s="6" t="n"/>
      <c r="C26" s="6" t="n"/>
      <c r="D26" s="6" t="n"/>
      <c r="E26" s="6" t="n"/>
      <c r="F26" s="6" t="n"/>
      <c r="G26" s="6" t="n"/>
    </row>
    <row r="27">
      <c r="A27" s="6" t="inlineStr">
        <is>
          <t>FVOCI debt securities: amounts transferred to the income statement</t>
        </is>
      </c>
      <c r="B27" s="6" t="n"/>
      <c r="C27" s="6" t="n">
        <v>75</v>
      </c>
      <c r="D27" s="6" t="n"/>
      <c r="E27" s="6" t="n">
        <v>17</v>
      </c>
      <c r="F27" s="6" t="n">
        <v>3</v>
      </c>
      <c r="G27" s="6" t="n"/>
    </row>
    <row r="28">
      <c r="A28" s="6" t="inlineStr">
        <is>
          <t>FVOCI debt securities: fair value movements</t>
        </is>
      </c>
      <c r="B28" s="6" t="n"/>
      <c r="C28" s="6" t="n"/>
      <c r="D28" s="6" t="n">
        <v>183</v>
      </c>
      <c r="E28" s="6" t="n">
        <v>-96</v>
      </c>
      <c r="F28" s="6" t="n">
        <v>-165</v>
      </c>
      <c r="G28" s="6" t="n">
        <v>-22</v>
      </c>
    </row>
    <row r="29">
      <c r="A29" s="5" t="inlineStr">
        <is>
          <t>Total other comprehensive income/(loss) for the year, net of tax</t>
        </is>
      </c>
      <c r="B29" s="5" t="n">
        <v>0</v>
      </c>
      <c r="C29" s="5" t="n">
        <v>75</v>
      </c>
      <c r="D29" s="5" t="n">
        <v>183</v>
      </c>
      <c r="E29" s="5" t="n">
        <v>-79</v>
      </c>
      <c r="F29" s="5" t="n">
        <v>-162</v>
      </c>
      <c r="G29" s="5" t="n">
        <v>-22</v>
      </c>
    </row>
    <row r="30">
      <c r="A30" s="5" t="inlineStr">
        <is>
          <t>Total comprehensive income/(loss) for the year</t>
        </is>
      </c>
      <c r="B30" s="5" t="n">
        <v>15159</v>
      </c>
      <c r="C30" s="5" t="n">
        <v>14096</v>
      </c>
      <c r="D30" s="5" t="n">
        <v>3338</v>
      </c>
      <c r="E30" s="5" t="n">
        <v>9682</v>
      </c>
      <c r="F30" s="5" t="n">
        <v>-3838</v>
      </c>
      <c r="G30" s="5" t="n">
        <v>-13625</v>
      </c>
    </row>
    <row r="32" ht="340" customHeight="1">
      <c r="A32"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DF Capital Bank Limited — Consolidated Statement of Changes in Equity</t>
        </is>
      </c>
    </row>
    <row r="2">
      <c r="A2" s="2" t="inlineStr">
        <is>
          <t>Distribution Finance Capital Holdings plc Group basis, £'000. See source note at bottom.</t>
        </is>
      </c>
    </row>
    <row r="3">
      <c r="A3" s="4" t="inlineStr">
        <is>
          <t>Movement</t>
        </is>
      </c>
      <c r="B3" s="4" t="inlineStr">
        <is>
          <t>Issued share capital</t>
        </is>
      </c>
      <c r="C3" s="4" t="inlineStr">
        <is>
          <t>Share premium</t>
        </is>
      </c>
      <c r="D3" s="4" t="inlineStr">
        <is>
          <t>Merger relief</t>
        </is>
      </c>
      <c r="E3" s="4" t="inlineStr">
        <is>
          <t>Merger reserve</t>
        </is>
      </c>
      <c r="F3" s="4" t="inlineStr">
        <is>
          <t>Own shares</t>
        </is>
      </c>
      <c r="G3" s="4" t="inlineStr">
        <is>
          <t>Treasury shares</t>
        </is>
      </c>
      <c r="H3" s="4" t="inlineStr">
        <is>
          <t>Retained earnings/(loss)</t>
        </is>
      </c>
      <c r="I3" s="4" t="inlineStr">
        <is>
          <t>Total equity</t>
        </is>
      </c>
    </row>
    <row r="4">
      <c r="A4" s="5" t="inlineStr">
        <is>
          <t>At 31 December 2019 (FY2020 opening)</t>
        </is>
      </c>
      <c r="B4" s="5" t="n">
        <v>1066</v>
      </c>
      <c r="C4" s="5" t="n"/>
      <c r="D4" s="5" t="n">
        <v>94911</v>
      </c>
      <c r="E4" s="5" t="n">
        <v>-20609</v>
      </c>
      <c r="F4" s="5" t="n"/>
      <c r="G4" s="5" t="n"/>
      <c r="H4" s="5" t="n">
        <v>-10812</v>
      </c>
      <c r="I4" s="5" t="n">
        <v>64556</v>
      </c>
    </row>
    <row r="5">
      <c r="A5" s="6" t="inlineStr">
        <is>
          <t>Loss after taxation (FY2020)</t>
        </is>
      </c>
      <c r="B5" s="6" t="n"/>
      <c r="C5" s="6" t="n"/>
      <c r="D5" s="6" t="n"/>
      <c r="E5" s="6" t="n"/>
      <c r="F5" s="6" t="n"/>
      <c r="G5" s="6" t="n"/>
      <c r="H5" s="6" t="n">
        <v>-13603</v>
      </c>
      <c r="I5" s="6" t="n">
        <v>-13603</v>
      </c>
    </row>
    <row r="6">
      <c r="A6" s="6" t="inlineStr">
        <is>
          <t>Other comprehensive loss (FY2020)</t>
        </is>
      </c>
      <c r="B6" s="6" t="n"/>
      <c r="C6" s="6" t="n"/>
      <c r="D6" s="6" t="n"/>
      <c r="E6" s="6" t="n"/>
      <c r="F6" s="6" t="n"/>
      <c r="G6" s="6" t="n"/>
      <c r="H6" s="6" t="n">
        <v>-22</v>
      </c>
      <c r="I6" s="6" t="n">
        <v>-22</v>
      </c>
    </row>
    <row r="7">
      <c r="A7" s="5" t="inlineStr">
        <is>
          <t>Total comprehensive loss for the year (FY2020)</t>
        </is>
      </c>
      <c r="B7" s="5" t="n"/>
      <c r="C7" s="5" t="n"/>
      <c r="D7" s="5" t="n"/>
      <c r="E7" s="5" t="n"/>
      <c r="F7" s="5" t="n"/>
      <c r="G7" s="5" t="n"/>
      <c r="H7" s="5" t="n">
        <v>-13625</v>
      </c>
      <c r="I7" s="5" t="n">
        <v>-13625</v>
      </c>
    </row>
    <row r="8">
      <c r="A8" s="6" t="inlineStr">
        <is>
          <t>Share-based payments (FY2020)</t>
        </is>
      </c>
      <c r="B8" s="6" t="n"/>
      <c r="C8" s="6" t="n"/>
      <c r="D8" s="6" t="n"/>
      <c r="E8" s="6" t="n"/>
      <c r="F8" s="6" t="n"/>
      <c r="G8" s="6" t="n"/>
      <c r="H8" s="6" t="n">
        <v>322</v>
      </c>
      <c r="I8" s="6" t="n">
        <v>322</v>
      </c>
    </row>
    <row r="9">
      <c r="A9" s="6" t="inlineStr">
        <is>
          <t>Employee Benefit Trust loan (FY2020)</t>
        </is>
      </c>
      <c r="B9" s="6" t="n"/>
      <c r="C9" s="6" t="n"/>
      <c r="D9" s="6" t="n"/>
      <c r="E9" s="6" t="n"/>
      <c r="F9" s="6" t="n">
        <v>-364</v>
      </c>
      <c r="G9" s="6" t="n"/>
      <c r="H9" s="6" t="n"/>
      <c r="I9" s="6" t="n">
        <v>-364</v>
      </c>
    </row>
    <row r="10">
      <c r="A10" s="5" t="inlineStr">
        <is>
          <t>At 31 December 2020 (FY2021 opening)</t>
        </is>
      </c>
      <c r="B10" s="5" t="n">
        <v>1066</v>
      </c>
      <c r="C10" s="5" t="n"/>
      <c r="D10" s="5" t="n">
        <v>94911</v>
      </c>
      <c r="E10" s="5" t="n">
        <v>-20609</v>
      </c>
      <c r="F10" s="5" t="n">
        <v>-364</v>
      </c>
      <c r="G10" s="5" t="n"/>
      <c r="H10" s="5" t="n">
        <v>-24115</v>
      </c>
      <c r="I10" s="5" t="n">
        <v>50889</v>
      </c>
    </row>
    <row r="11">
      <c r="A11" s="6" t="inlineStr">
        <is>
          <t>Loss after taxation (FY2021)</t>
        </is>
      </c>
      <c r="B11" s="6" t="n"/>
      <c r="C11" s="6" t="n"/>
      <c r="D11" s="6" t="n"/>
      <c r="E11" s="6" t="n"/>
      <c r="F11" s="6" t="n"/>
      <c r="G11" s="6" t="n"/>
      <c r="H11" s="6" t="n">
        <v>-3676</v>
      </c>
      <c r="I11" s="6" t="n">
        <v>-3676</v>
      </c>
    </row>
    <row r="12">
      <c r="A12" s="6" t="inlineStr">
        <is>
          <t>Other comprehensive loss (FY2021)</t>
        </is>
      </c>
      <c r="B12" s="6" t="n"/>
      <c r="C12" s="6" t="n"/>
      <c r="D12" s="6" t="n"/>
      <c r="E12" s="6" t="n"/>
      <c r="F12" s="6" t="n"/>
      <c r="G12" s="6" t="n"/>
      <c r="H12" s="6" t="n">
        <v>-162</v>
      </c>
      <c r="I12" s="6" t="n">
        <v>-162</v>
      </c>
    </row>
    <row r="13">
      <c r="A13" s="5" t="inlineStr">
        <is>
          <t>Total comprehensive loss for the year (FY2021)</t>
        </is>
      </c>
      <c r="B13" s="5" t="n"/>
      <c r="C13" s="5" t="n"/>
      <c r="D13" s="5" t="n"/>
      <c r="E13" s="5" t="n"/>
      <c r="F13" s="5" t="n"/>
      <c r="G13" s="5" t="n"/>
      <c r="H13" s="5" t="n">
        <v>-3838</v>
      </c>
      <c r="I13" s="5" t="n">
        <v>-3838</v>
      </c>
    </row>
    <row r="14">
      <c r="A14" s="6" t="inlineStr">
        <is>
          <t>Share-based payments (FY2021)</t>
        </is>
      </c>
      <c r="B14" s="6" t="n"/>
      <c r="C14" s="6" t="n"/>
      <c r="D14" s="6" t="n"/>
      <c r="E14" s="6" t="n"/>
      <c r="F14" s="6" t="n"/>
      <c r="G14" s="6" t="n"/>
      <c r="H14" s="6" t="n">
        <v>362</v>
      </c>
      <c r="I14" s="6" t="n">
        <v>362</v>
      </c>
    </row>
    <row r="15">
      <c r="A15" s="6" t="inlineStr">
        <is>
          <t>Issue of new shares (FY2021)</t>
        </is>
      </c>
      <c r="B15" s="6" t="n">
        <v>727</v>
      </c>
      <c r="C15" s="6" t="n">
        <v>39273</v>
      </c>
      <c r="D15" s="6" t="n"/>
      <c r="E15" s="6" t="n"/>
      <c r="F15" s="6" t="n"/>
      <c r="G15" s="6" t="n"/>
      <c r="H15" s="6" t="n">
        <v>-1355</v>
      </c>
      <c r="I15" s="6" t="n">
        <v>38645</v>
      </c>
    </row>
    <row r="16">
      <c r="A16" s="5" t="inlineStr">
        <is>
          <t>At 31 December 2021</t>
        </is>
      </c>
      <c r="B16" s="5" t="n">
        <v>1793</v>
      </c>
      <c r="C16" s="5" t="n">
        <v>39273</v>
      </c>
      <c r="D16" s="5" t="n">
        <v>94911</v>
      </c>
      <c r="E16" s="5" t="n">
        <v>-20609</v>
      </c>
      <c r="F16" s="5" t="n">
        <v>-364</v>
      </c>
      <c r="G16" s="5" t="n"/>
      <c r="H16" s="5" t="n">
        <v>-28946</v>
      </c>
      <c r="I16" s="5" t="n">
        <v>86058</v>
      </c>
    </row>
    <row r="17">
      <c r="A17" s="6" t="inlineStr">
        <is>
          <t>Profit after taxation (FY2022)</t>
        </is>
      </c>
      <c r="B17" s="6" t="n"/>
      <c r="C17" s="6" t="n"/>
      <c r="D17" s="6" t="n"/>
      <c r="E17" s="6" t="n"/>
      <c r="F17" s="6" t="n"/>
      <c r="G17" s="6" t="n"/>
      <c r="H17" s="6" t="n">
        <v>9761</v>
      </c>
      <c r="I17" s="6" t="n">
        <v>9761</v>
      </c>
    </row>
    <row r="18">
      <c r="A18" s="6" t="inlineStr">
        <is>
          <t>Other comprehensive loss (FY2022)</t>
        </is>
      </c>
      <c r="B18" s="6" t="n"/>
      <c r="C18" s="6" t="n"/>
      <c r="D18" s="6" t="n"/>
      <c r="E18" s="6" t="n"/>
      <c r="F18" s="6" t="n"/>
      <c r="G18" s="6" t="n"/>
      <c r="H18" s="6" t="n">
        <v>-79</v>
      </c>
      <c r="I18" s="6" t="n">
        <v>-79</v>
      </c>
    </row>
    <row r="19">
      <c r="A19" s="5" t="inlineStr">
        <is>
          <t>Total comprehensive income for the year (FY2022)</t>
        </is>
      </c>
      <c r="B19" s="5" t="n"/>
      <c r="C19" s="5" t="n"/>
      <c r="D19" s="5" t="n"/>
      <c r="E19" s="5" t="n"/>
      <c r="F19" s="5" t="n"/>
      <c r="G19" s="5" t="n"/>
      <c r="H19" s="5" t="n">
        <v>9682</v>
      </c>
      <c r="I19" s="5" t="n">
        <v>9682</v>
      </c>
    </row>
    <row r="20">
      <c r="A20" s="6" t="inlineStr">
        <is>
          <t>Share-based payments (FY2022)</t>
        </is>
      </c>
      <c r="B20" s="6" t="n"/>
      <c r="C20" s="6" t="n"/>
      <c r="D20" s="6" t="n"/>
      <c r="E20" s="6" t="n"/>
      <c r="F20" s="6" t="n"/>
      <c r="G20" s="6" t="n"/>
      <c r="H20" s="6" t="n">
        <v>499</v>
      </c>
      <c r="I20" s="6" t="n">
        <v>499</v>
      </c>
    </row>
    <row r="21">
      <c r="A21" s="5" t="inlineStr">
        <is>
          <t>At 31 December 2022</t>
        </is>
      </c>
      <c r="B21" s="5" t="n">
        <v>1793</v>
      </c>
      <c r="C21" s="5" t="n">
        <v>39273</v>
      </c>
      <c r="D21" s="5" t="n">
        <v>94911</v>
      </c>
      <c r="E21" s="5" t="n">
        <v>-20609</v>
      </c>
      <c r="F21" s="5" t="n">
        <v>-364</v>
      </c>
      <c r="G21" s="5" t="n"/>
      <c r="H21" s="5" t="n">
        <v>-18765</v>
      </c>
      <c r="I21" s="5" t="n">
        <v>96239</v>
      </c>
    </row>
    <row r="22">
      <c r="A22" s="6" t="inlineStr">
        <is>
          <t>Profit after taxation (FY2023)</t>
        </is>
      </c>
      <c r="B22" s="6" t="n"/>
      <c r="C22" s="6" t="n"/>
      <c r="D22" s="6" t="n"/>
      <c r="E22" s="6" t="n"/>
      <c r="F22" s="6" t="n"/>
      <c r="G22" s="6" t="n"/>
      <c r="H22" s="6" t="n">
        <v>3155</v>
      </c>
      <c r="I22" s="6" t="n">
        <v>3155</v>
      </c>
    </row>
    <row r="23">
      <c r="A23" s="6" t="inlineStr">
        <is>
          <t>Other comprehensive income (FY2023)</t>
        </is>
      </c>
      <c r="B23" s="6" t="n"/>
      <c r="C23" s="6" t="n"/>
      <c r="D23" s="6" t="n"/>
      <c r="E23" s="6" t="n"/>
      <c r="F23" s="6" t="n"/>
      <c r="G23" s="6" t="n"/>
      <c r="H23" s="6" t="n">
        <v>183</v>
      </c>
      <c r="I23" s="6" t="n">
        <v>183</v>
      </c>
    </row>
    <row r="24">
      <c r="A24" s="5" t="inlineStr">
        <is>
          <t>Total comprehensive income for the year (FY2023)</t>
        </is>
      </c>
      <c r="B24" s="5" t="n"/>
      <c r="C24" s="5" t="n"/>
      <c r="D24" s="5" t="n"/>
      <c r="E24" s="5" t="n"/>
      <c r="F24" s="5" t="n"/>
      <c r="G24" s="5" t="n"/>
      <c r="H24" s="5" t="n">
        <v>3338</v>
      </c>
      <c r="I24" s="5" t="n">
        <v>3338</v>
      </c>
    </row>
    <row r="25">
      <c r="A25" s="6" t="inlineStr">
        <is>
          <t>Share-based payments (FY2023)</t>
        </is>
      </c>
      <c r="B25" s="6" t="n"/>
      <c r="C25" s="6" t="n"/>
      <c r="D25" s="6" t="n"/>
      <c r="E25" s="6" t="n"/>
      <c r="F25" s="6" t="n"/>
      <c r="G25" s="6" t="n"/>
      <c r="H25" s="6" t="n">
        <v>905</v>
      </c>
      <c r="I25" s="6" t="n">
        <v>905</v>
      </c>
    </row>
    <row r="26">
      <c r="A26" s="6" t="inlineStr">
        <is>
          <t>Employee Benefit Trust (FY2023)</t>
        </is>
      </c>
      <c r="B26" s="6" t="n"/>
      <c r="C26" s="6" t="n"/>
      <c r="D26" s="6" t="n"/>
      <c r="E26" s="6" t="n"/>
      <c r="F26" s="6" t="n">
        <v>-37</v>
      </c>
      <c r="G26" s="6" t="n"/>
      <c r="H26" s="6" t="n">
        <v>-31</v>
      </c>
      <c r="I26" s="6" t="n">
        <v>-68</v>
      </c>
    </row>
    <row r="27">
      <c r="A27" s="6" t="inlineStr">
        <is>
          <t>Share premium account cancellation (FY2023)</t>
        </is>
      </c>
      <c r="B27" s="6" t="n"/>
      <c r="C27" s="6" t="n">
        <v>-39273</v>
      </c>
      <c r="D27" s="6" t="n"/>
      <c r="E27" s="6" t="n"/>
      <c r="F27" s="6" t="n"/>
      <c r="G27" s="6" t="n"/>
      <c r="H27" s="6" t="n">
        <v>39273</v>
      </c>
      <c r="I27" s="6" t="n">
        <v>0</v>
      </c>
    </row>
    <row r="28">
      <c r="A28" s="5" t="inlineStr">
        <is>
          <t>At 31 December 2023</t>
        </is>
      </c>
      <c r="B28" s="5" t="n">
        <v>1793</v>
      </c>
      <c r="C28" s="5" t="n">
        <v>0</v>
      </c>
      <c r="D28" s="5" t="n">
        <v>94911</v>
      </c>
      <c r="E28" s="5" t="n">
        <v>-20609</v>
      </c>
      <c r="F28" s="5" t="n">
        <v>-401</v>
      </c>
      <c r="G28" s="5" t="n"/>
      <c r="H28" s="5" t="n">
        <v>24720</v>
      </c>
      <c r="I28" s="5" t="n">
        <v>100414</v>
      </c>
    </row>
    <row r="29">
      <c r="A29" s="6" t="inlineStr">
        <is>
          <t>Profit after taxation (FY2024)</t>
        </is>
      </c>
      <c r="B29" s="6" t="n"/>
      <c r="C29" s="6" t="n"/>
      <c r="D29" s="6" t="n"/>
      <c r="E29" s="6" t="n"/>
      <c r="F29" s="6" t="n"/>
      <c r="G29" s="6" t="n"/>
      <c r="H29" s="6" t="n">
        <v>14021</v>
      </c>
      <c r="I29" s="6" t="n">
        <v>14021</v>
      </c>
    </row>
    <row r="30">
      <c r="A30" s="6" t="inlineStr">
        <is>
          <t>Other comprehensive income (FY2024)</t>
        </is>
      </c>
      <c r="B30" s="6" t="n"/>
      <c r="C30" s="6" t="n"/>
      <c r="D30" s="6" t="n"/>
      <c r="E30" s="6" t="n"/>
      <c r="F30" s="6" t="n"/>
      <c r="G30" s="6" t="n"/>
      <c r="H30" s="6" t="n">
        <v>75</v>
      </c>
      <c r="I30" s="6" t="n">
        <v>75</v>
      </c>
    </row>
    <row r="31">
      <c r="A31" s="5" t="inlineStr">
        <is>
          <t>Total comprehensive income for the year (FY2024)</t>
        </is>
      </c>
      <c r="B31" s="5" t="n"/>
      <c r="C31" s="5" t="n"/>
      <c r="D31" s="5" t="n"/>
      <c r="E31" s="5" t="n"/>
      <c r="F31" s="5" t="n"/>
      <c r="G31" s="5" t="n"/>
      <c r="H31" s="5" t="n">
        <v>14096</v>
      </c>
      <c r="I31" s="5" t="n">
        <v>14096</v>
      </c>
    </row>
    <row r="32">
      <c r="A32" s="6" t="inlineStr">
        <is>
          <t>Share-based payments (FY2024)</t>
        </is>
      </c>
      <c r="B32" s="6" t="n"/>
      <c r="C32" s="6" t="n"/>
      <c r="D32" s="6" t="n"/>
      <c r="E32" s="6" t="n"/>
      <c r="F32" s="6" t="n"/>
      <c r="G32" s="6" t="n"/>
      <c r="H32" s="6" t="n">
        <v>985</v>
      </c>
      <c r="I32" s="6" t="n">
        <v>985</v>
      </c>
    </row>
    <row r="33">
      <c r="A33" s="6" t="inlineStr">
        <is>
          <t>Employee Benefit Trust (FY2024)</t>
        </is>
      </c>
      <c r="B33" s="6" t="n"/>
      <c r="C33" s="6" t="n"/>
      <c r="D33" s="6" t="n"/>
      <c r="E33" s="6" t="n"/>
      <c r="F33" s="6" t="n">
        <v>-39</v>
      </c>
      <c r="G33" s="6" t="n"/>
      <c r="H33" s="6" t="n">
        <v>-102</v>
      </c>
      <c r="I33" s="6" t="n">
        <v>-141</v>
      </c>
    </row>
    <row r="34">
      <c r="A34" s="5" t="inlineStr">
        <is>
          <t>At 31 December 2024</t>
        </is>
      </c>
      <c r="B34" s="5" t="n">
        <v>1793</v>
      </c>
      <c r="C34" s="5" t="n">
        <v>0</v>
      </c>
      <c r="D34" s="5" t="n">
        <v>94911</v>
      </c>
      <c r="E34" s="5" t="n">
        <v>-20609</v>
      </c>
      <c r="F34" s="5" t="n">
        <v>-440</v>
      </c>
      <c r="G34" s="5" t="n"/>
      <c r="H34" s="5" t="n">
        <v>39699</v>
      </c>
      <c r="I34" s="5" t="n">
        <v>115354</v>
      </c>
    </row>
    <row r="35">
      <c r="A35" s="6" t="inlineStr">
        <is>
          <t>Profit after taxation (FY2025)</t>
        </is>
      </c>
      <c r="B35" s="6" t="n"/>
      <c r="C35" s="6" t="n"/>
      <c r="D35" s="6" t="n"/>
      <c r="E35" s="6" t="n"/>
      <c r="F35" s="6" t="n"/>
      <c r="G35" s="6" t="n"/>
      <c r="H35" s="6" t="n">
        <v>15159</v>
      </c>
      <c r="I35" s="6" t="n">
        <v>15159</v>
      </c>
    </row>
    <row r="36">
      <c r="A36" s="6" t="inlineStr">
        <is>
          <t>Other comprehensive income (FY2025)</t>
        </is>
      </c>
      <c r="B36" s="6" t="n"/>
      <c r="C36" s="6" t="n"/>
      <c r="D36" s="6" t="n"/>
      <c r="E36" s="6" t="n"/>
      <c r="F36" s="6" t="n"/>
      <c r="G36" s="6" t="n"/>
      <c r="H36" s="6" t="n">
        <v>0</v>
      </c>
      <c r="I36" s="6" t="n">
        <v>0</v>
      </c>
    </row>
    <row r="37">
      <c r="A37" s="5" t="inlineStr">
        <is>
          <t>Total comprehensive income for the year (FY2025)</t>
        </is>
      </c>
      <c r="B37" s="5" t="n"/>
      <c r="C37" s="5" t="n"/>
      <c r="D37" s="5" t="n"/>
      <c r="E37" s="5" t="n"/>
      <c r="F37" s="5" t="n"/>
      <c r="G37" s="5" t="n"/>
      <c r="H37" s="5" t="n">
        <v>15159</v>
      </c>
      <c r="I37" s="5" t="n">
        <v>15159</v>
      </c>
    </row>
    <row r="38">
      <c r="A38" s="6" t="inlineStr">
        <is>
          <t>Share-based payments (FY2025)</t>
        </is>
      </c>
      <c r="B38" s="6" t="n"/>
      <c r="C38" s="6" t="n"/>
      <c r="D38" s="6" t="n"/>
      <c r="E38" s="6" t="n"/>
      <c r="F38" s="6" t="n"/>
      <c r="G38" s="6" t="n"/>
      <c r="H38" s="6" t="n">
        <v>1254</v>
      </c>
      <c r="I38" s="6" t="n">
        <v>1254</v>
      </c>
    </row>
    <row r="39">
      <c r="A39" s="6" t="inlineStr">
        <is>
          <t>Employee Benefit Trust (FY2025)</t>
        </is>
      </c>
      <c r="B39" s="6" t="n"/>
      <c r="C39" s="6" t="n"/>
      <c r="D39" s="6" t="n"/>
      <c r="E39" s="6" t="n"/>
      <c r="F39" s="6" t="n">
        <v>-108</v>
      </c>
      <c r="G39" s="6" t="n"/>
      <c r="H39" s="6" t="n">
        <v>-84</v>
      </c>
      <c r="I39" s="6" t="n">
        <v>-192</v>
      </c>
    </row>
    <row r="40">
      <c r="A40" s="6" t="inlineStr">
        <is>
          <t>Share Buyback (FY2025)</t>
        </is>
      </c>
      <c r="B40" s="6" t="n"/>
      <c r="C40" s="6" t="n"/>
      <c r="D40" s="6" t="n"/>
      <c r="E40" s="6" t="n"/>
      <c r="F40" s="6" t="n"/>
      <c r="G40" s="6" t="n">
        <v>-4877</v>
      </c>
      <c r="H40" s="6" t="n"/>
      <c r="I40" s="6" t="n">
        <v>-4877</v>
      </c>
    </row>
    <row r="41">
      <c r="A41" s="6" t="inlineStr">
        <is>
          <t>Settlement of share options (FY2025)</t>
        </is>
      </c>
      <c r="B41" s="6" t="n"/>
      <c r="C41" s="6" t="n"/>
      <c r="D41" s="6" t="n"/>
      <c r="E41" s="6" t="n"/>
      <c r="F41" s="6" t="n"/>
      <c r="G41" s="6" t="n">
        <v>122</v>
      </c>
      <c r="H41" s="6" t="n">
        <v>-6</v>
      </c>
      <c r="I41" s="6" t="n">
        <v>116</v>
      </c>
    </row>
    <row r="42">
      <c r="A42" s="6" t="inlineStr">
        <is>
          <t>Deferred tax asset on share-based payments (FY2025)</t>
        </is>
      </c>
      <c r="B42" s="6" t="n"/>
      <c r="C42" s="6" t="n"/>
      <c r="D42" s="6" t="n"/>
      <c r="E42" s="6" t="n"/>
      <c r="F42" s="6" t="n"/>
      <c r="G42" s="6" t="n"/>
      <c r="H42" s="6" t="n">
        <v>416</v>
      </c>
      <c r="I42" s="6" t="n">
        <v>416</v>
      </c>
    </row>
    <row r="43">
      <c r="A43" s="5" t="inlineStr">
        <is>
          <t>At 31 December 2025</t>
        </is>
      </c>
      <c r="B43" s="5" t="n">
        <v>1793</v>
      </c>
      <c r="C43" s="5" t="n">
        <v>0</v>
      </c>
      <c r="D43" s="5" t="n">
        <v>94911</v>
      </c>
      <c r="E43" s="5" t="n">
        <v>-20609</v>
      </c>
      <c r="F43" s="5" t="n">
        <v>-548</v>
      </c>
      <c r="G43" s="5" t="n">
        <v>-4755</v>
      </c>
      <c r="H43" s="5" t="n">
        <v>56438</v>
      </c>
      <c r="I43" s="5" t="n">
        <v>127230</v>
      </c>
    </row>
    <row r="45" ht="340" customHeight="1">
      <c r="A45"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45:I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Cash Flow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Profit/(loss) before taxation</t>
        </is>
      </c>
      <c r="B5" s="6" t="n">
        <v>19641</v>
      </c>
      <c r="C5" s="6" t="n">
        <v>19074</v>
      </c>
      <c r="D5" s="6" t="n">
        <v>4573</v>
      </c>
      <c r="E5" s="6" t="n">
        <v>1304</v>
      </c>
      <c r="F5" s="6" t="n">
        <v>-3735</v>
      </c>
      <c r="G5" s="6" t="n">
        <v>-13603</v>
      </c>
    </row>
    <row r="6">
      <c r="A6" s="6" t="inlineStr">
        <is>
          <t>Adjustments for non-cash items and other adjustments included in the income statement</t>
        </is>
      </c>
      <c r="B6" s="6" t="n">
        <v>7794</v>
      </c>
      <c r="C6" s="6" t="n">
        <v>3822</v>
      </c>
      <c r="D6" s="6" t="n">
        <v>13000</v>
      </c>
      <c r="E6" s="6" t="n">
        <v>4664</v>
      </c>
      <c r="F6" s="6" t="n">
        <v>1446</v>
      </c>
      <c r="G6" s="6" t="n">
        <v>2059</v>
      </c>
    </row>
    <row r="7">
      <c r="A7" s="6" t="inlineStr">
        <is>
          <t>Increase/(decrease) in operating assets</t>
        </is>
      </c>
      <c r="B7" s="6" t="n">
        <v>-186354</v>
      </c>
      <c r="C7" s="6" t="n">
        <v>-92390</v>
      </c>
      <c r="D7" s="6" t="n">
        <v>-149456</v>
      </c>
      <c r="E7" s="6" t="n">
        <v>-193189</v>
      </c>
      <c r="F7" s="6" t="n">
        <v>-136244</v>
      </c>
      <c r="G7" s="6" t="n">
        <v>96764</v>
      </c>
    </row>
    <row r="8">
      <c r="A8" s="6" t="inlineStr">
        <is>
          <t>Increase/(decrease) in operating liabilities</t>
        </is>
      </c>
      <c r="B8" s="6" t="n">
        <v>195168</v>
      </c>
      <c r="C8" s="6" t="n">
        <v>79376</v>
      </c>
      <c r="D8" s="6" t="n">
        <v>94171</v>
      </c>
      <c r="E8" s="6" t="n">
        <v>183809</v>
      </c>
      <c r="F8" s="6" t="n">
        <v>151711</v>
      </c>
      <c r="G8" s="6" t="n">
        <v>-19073</v>
      </c>
    </row>
    <row r="9">
      <c r="A9" s="6" t="inlineStr">
        <is>
          <t>Taxation paid/(received)</t>
        </is>
      </c>
      <c r="B9" s="6" t="n">
        <v>-3296</v>
      </c>
      <c r="C9" s="6" t="n">
        <v>-681</v>
      </c>
      <c r="D9" s="6" t="n">
        <v>0</v>
      </c>
      <c r="E9" s="6" t="n">
        <v>-4</v>
      </c>
      <c r="F9" s="6" t="n">
        <v>0</v>
      </c>
      <c r="G9" s="6" t="n">
        <v>0</v>
      </c>
    </row>
    <row r="10">
      <c r="A10" s="5" t="inlineStr">
        <is>
          <t>Net cash generated from/(used in) operating activities</t>
        </is>
      </c>
      <c r="B10" s="5" t="n">
        <v>32953</v>
      </c>
      <c r="C10" s="5" t="n">
        <v>9201</v>
      </c>
      <c r="D10" s="5" t="n">
        <v>-37712</v>
      </c>
      <c r="E10" s="5" t="n">
        <v>-3408</v>
      </c>
      <c r="F10" s="5" t="n">
        <v>13178</v>
      </c>
      <c r="G10" s="5" t="n">
        <v>66147</v>
      </c>
    </row>
    <row r="11">
      <c r="A11" s="5" t="inlineStr">
        <is>
          <t>Investing activities</t>
        </is>
      </c>
      <c r="B11" s="6" t="n"/>
      <c r="C11" s="6" t="n"/>
      <c r="D11" s="6" t="n"/>
      <c r="E11" s="6" t="n"/>
      <c r="F11" s="6" t="n"/>
      <c r="G11" s="6" t="n"/>
    </row>
    <row r="12">
      <c r="A12" s="6" t="inlineStr">
        <is>
          <t>Purchase of investment/debt securities</t>
        </is>
      </c>
      <c r="B12" s="6" t="n">
        <v>-498</v>
      </c>
      <c r="C12" s="6" t="n">
        <v>-9918</v>
      </c>
      <c r="D12" s="6" t="n">
        <v>-14554</v>
      </c>
      <c r="E12" s="6" t="n">
        <v>0</v>
      </c>
      <c r="F12" s="6" t="n">
        <v>-350980</v>
      </c>
      <c r="G12" s="6" t="n">
        <v>-120721</v>
      </c>
    </row>
    <row r="13">
      <c r="A13" s="6" t="inlineStr">
        <is>
          <t>Proceeds from sale and maturity of investment/debt securities</t>
        </is>
      </c>
      <c r="B13" s="6" t="n">
        <v>500</v>
      </c>
      <c r="C13" s="6" t="n">
        <v>25000</v>
      </c>
      <c r="D13" s="6" t="n">
        <v>23000</v>
      </c>
      <c r="E13" s="6" t="n">
        <v>85070</v>
      </c>
      <c r="F13" s="6" t="n">
        <v>307958</v>
      </c>
      <c r="G13" s="6" t="n">
        <v>62107</v>
      </c>
    </row>
    <row r="14">
      <c r="A14" s="6" t="inlineStr">
        <is>
          <t>Dividends received on money market funds</t>
        </is>
      </c>
      <c r="B14" s="6" t="n">
        <v>57</v>
      </c>
      <c r="C14" s="6" t="n">
        <v>25</v>
      </c>
      <c r="D14" s="6" t="n"/>
      <c r="E14" s="6" t="n"/>
      <c r="F14" s="6" t="n"/>
      <c r="G14" s="6" t="n"/>
    </row>
    <row r="15">
      <c r="A15" s="6" t="inlineStr">
        <is>
          <t>Interest received on investment/debt securities</t>
        </is>
      </c>
      <c r="B15" s="6" t="n">
        <v>2</v>
      </c>
      <c r="C15" s="6" t="n">
        <v>75</v>
      </c>
      <c r="D15" s="6" t="n">
        <v>383</v>
      </c>
      <c r="E15" s="6" t="n">
        <v>746</v>
      </c>
      <c r="F15" s="6" t="n">
        <v>549</v>
      </c>
      <c r="G15" s="6" t="n"/>
    </row>
    <row r="16">
      <c r="A16" s="6" t="inlineStr">
        <is>
          <t>Purchase of own shares</t>
        </is>
      </c>
      <c r="B16" s="6" t="n"/>
      <c r="C16" s="6" t="n"/>
      <c r="D16" s="6" t="n">
        <v>-67</v>
      </c>
      <c r="E16" s="6" t="n"/>
      <c r="F16" s="6" t="n"/>
      <c r="G16" s="6" t="n"/>
    </row>
    <row r="17">
      <c r="A17" s="6" t="inlineStr">
        <is>
          <t>Purchase of property, plant and equipment</t>
        </is>
      </c>
      <c r="B17" s="6" t="n">
        <v>-3557</v>
      </c>
      <c r="C17" s="6" t="n">
        <v>-397</v>
      </c>
      <c r="D17" s="6" t="n">
        <v>-418</v>
      </c>
      <c r="E17" s="6" t="n">
        <v>-1041</v>
      </c>
      <c r="F17" s="6" t="n">
        <v>-253</v>
      </c>
      <c r="G17" s="6" t="n">
        <v>-32</v>
      </c>
    </row>
    <row r="18">
      <c r="A18" s="6" t="inlineStr">
        <is>
          <t>Cash received on disposal of property, plant and equipment</t>
        </is>
      </c>
      <c r="B18" s="6" t="n">
        <v>34</v>
      </c>
      <c r="C18" s="6" t="n"/>
      <c r="D18" s="6" t="n"/>
      <c r="E18" s="6" t="n"/>
      <c r="F18" s="6" t="n"/>
      <c r="G18" s="6" t="n"/>
    </row>
    <row r="19">
      <c r="A19" s="6" t="inlineStr">
        <is>
          <t>Purchase of right of use assets</t>
        </is>
      </c>
      <c r="B19" s="6" t="n">
        <v>-81</v>
      </c>
      <c r="C19" s="6" t="n"/>
      <c r="D19" s="6" t="n"/>
      <c r="E19" s="6" t="n"/>
      <c r="F19" s="6" t="n"/>
      <c r="G19" s="6" t="n"/>
    </row>
    <row r="20">
      <c r="A20" s="6" t="inlineStr">
        <is>
          <t>Purchase of intangible assets</t>
        </is>
      </c>
      <c r="B20" s="6" t="n">
        <v>-80</v>
      </c>
      <c r="C20" s="6" t="n">
        <v>-623</v>
      </c>
      <c r="D20" s="6" t="n">
        <v>-117</v>
      </c>
      <c r="E20" s="6" t="n">
        <v>-193</v>
      </c>
      <c r="F20" s="6" t="n">
        <v>-586</v>
      </c>
      <c r="G20" s="6" t="n">
        <v>-226</v>
      </c>
    </row>
    <row r="21">
      <c r="A21" s="5" t="inlineStr">
        <is>
          <t>Net cash (used in)/generated from investing activities</t>
        </is>
      </c>
      <c r="B21" s="5" t="n">
        <v>-3623</v>
      </c>
      <c r="C21" s="5" t="n">
        <v>14162</v>
      </c>
      <c r="D21" s="5" t="n">
        <v>8227</v>
      </c>
      <c r="E21" s="5" t="n">
        <v>84582</v>
      </c>
      <c r="F21" s="5" t="n">
        <v>-43312</v>
      </c>
      <c r="G21" s="5" t="n">
        <v>-58872</v>
      </c>
    </row>
    <row r="22">
      <c r="A22" s="5" t="inlineStr">
        <is>
          <t>Financing activities</t>
        </is>
      </c>
      <c r="B22" s="6" t="n"/>
      <c r="C22" s="6" t="n"/>
      <c r="D22" s="6" t="n"/>
      <c r="E22" s="6" t="n"/>
      <c r="F22" s="6" t="n"/>
      <c r="G22" s="6" t="n"/>
    </row>
    <row r="23">
      <c r="A23" s="6" t="inlineStr">
        <is>
          <t>Issue of new shares</t>
        </is>
      </c>
      <c r="B23" s="6" t="n"/>
      <c r="C23" s="6" t="n"/>
      <c r="D23" s="6" t="n"/>
      <c r="E23" s="6" t="n"/>
      <c r="F23" s="6" t="n">
        <v>38645</v>
      </c>
      <c r="G23" s="6" t="n"/>
    </row>
    <row r="24">
      <c r="A24" s="6" t="inlineStr">
        <is>
          <t>Repayment of lease liabilities</t>
        </is>
      </c>
      <c r="B24" s="6" t="n">
        <v>-108</v>
      </c>
      <c r="C24" s="6" t="n">
        <v>-252</v>
      </c>
      <c r="D24" s="6" t="n">
        <v>-227</v>
      </c>
      <c r="E24" s="6" t="n">
        <v>-141</v>
      </c>
      <c r="F24" s="6" t="n">
        <v>-147</v>
      </c>
      <c r="G24" s="6" t="n">
        <v>-164</v>
      </c>
    </row>
    <row r="25">
      <c r="A25" s="6" t="inlineStr">
        <is>
          <t>Issuance of subordinated liabilities</t>
        </is>
      </c>
      <c r="B25" s="6" t="n">
        <v>5000</v>
      </c>
      <c r="C25" s="6" t="n"/>
      <c r="D25" s="6" t="n">
        <v>10000</v>
      </c>
      <c r="E25" s="6" t="n"/>
      <c r="F25" s="6" t="n"/>
      <c r="G25" s="6" t="n"/>
    </row>
    <row r="26">
      <c r="A26" s="6" t="inlineStr">
        <is>
          <t>Acquisition of subordinated liabilities</t>
        </is>
      </c>
      <c r="B26" s="6" t="n"/>
      <c r="C26" s="6" t="n"/>
      <c r="D26" s="6" t="n">
        <v>-51</v>
      </c>
      <c r="E26" s="6" t="n"/>
      <c r="F26" s="6" t="n"/>
      <c r="G26" s="6" t="n"/>
    </row>
    <row r="27">
      <c r="A27" s="6" t="inlineStr">
        <is>
          <t>Coupon paid on subordinated liabilities</t>
        </is>
      </c>
      <c r="B27" s="6" t="n">
        <v>-1269</v>
      </c>
      <c r="C27" s="6" t="n">
        <v>-1273</v>
      </c>
      <c r="D27" s="6" t="n"/>
      <c r="E27" s="6" t="n"/>
      <c r="F27" s="6" t="n"/>
      <c r="G27" s="6" t="n"/>
    </row>
    <row r="28">
      <c r="A28" s="6" t="inlineStr">
        <is>
          <t>Purchase of own shares</t>
        </is>
      </c>
      <c r="B28" s="6" t="n">
        <v>-192</v>
      </c>
      <c r="C28" s="6" t="n">
        <v>-142</v>
      </c>
      <c r="D28" s="6" t="n"/>
      <c r="E28" s="6" t="n"/>
      <c r="F28" s="6" t="n"/>
      <c r="G28" s="6" t="n"/>
    </row>
    <row r="29">
      <c r="A29" s="6" t="inlineStr">
        <is>
          <t>Purchase of treasury shares</t>
        </is>
      </c>
      <c r="B29" s="6" t="n">
        <v>-4877</v>
      </c>
      <c r="C29" s="6" t="n"/>
      <c r="D29" s="6" t="n"/>
      <c r="E29" s="6" t="n"/>
      <c r="F29" s="6" t="n"/>
      <c r="G29" s="6" t="n"/>
    </row>
    <row r="30">
      <c r="A30" s="6" t="inlineStr">
        <is>
          <t>Receipt of cash from settlement of share options</t>
        </is>
      </c>
      <c r="B30" s="6" t="n">
        <v>116</v>
      </c>
      <c r="C30" s="6" t="n"/>
      <c r="D30" s="6" t="n"/>
      <c r="E30" s="6" t="n"/>
      <c r="F30" s="6" t="n"/>
      <c r="G30" s="6" t="n"/>
    </row>
    <row r="31">
      <c r="A31" s="5" t="inlineStr">
        <is>
          <t>Net cash (used in)/generated from financing activities</t>
        </is>
      </c>
      <c r="B31" s="5" t="n">
        <v>-1330</v>
      </c>
      <c r="C31" s="5" t="n">
        <v>-1667</v>
      </c>
      <c r="D31" s="5" t="n">
        <v>9722</v>
      </c>
      <c r="E31" s="5" t="n">
        <v>-141</v>
      </c>
      <c r="F31" s="5" t="n">
        <v>38498</v>
      </c>
      <c r="G31" s="5" t="n">
        <v>-164</v>
      </c>
    </row>
    <row r="32">
      <c r="A32" s="5" t="inlineStr">
        <is>
          <t>Net increase/(decrease) in cash and cash equivalents</t>
        </is>
      </c>
      <c r="B32" s="5" t="n">
        <v>28000</v>
      </c>
      <c r="C32" s="5" t="n">
        <v>21696</v>
      </c>
      <c r="D32" s="5" t="n">
        <v>-19763</v>
      </c>
      <c r="E32" s="5" t="n">
        <v>81033</v>
      </c>
      <c r="F32" s="5" t="n">
        <v>8364</v>
      </c>
      <c r="G32" s="5" t="n">
        <v>7111</v>
      </c>
    </row>
    <row r="33">
      <c r="A33" s="6" t="inlineStr">
        <is>
          <t>Cash and cash equivalents at start of the period</t>
        </is>
      </c>
      <c r="B33" s="6" t="n">
        <v>112563</v>
      </c>
      <c r="C33" s="6" t="n">
        <v>90867</v>
      </c>
      <c r="D33" s="6" t="n">
        <v>110630</v>
      </c>
      <c r="E33" s="6" t="n">
        <v>29597</v>
      </c>
      <c r="F33" s="6" t="n">
        <v>21233</v>
      </c>
      <c r="G33" s="6" t="n">
        <v>14122</v>
      </c>
    </row>
    <row r="34">
      <c r="A34" s="5" t="inlineStr">
        <is>
          <t>Cash and cash equivalents at end of the period</t>
        </is>
      </c>
      <c r="B34" s="5" t="n">
        <v>140563</v>
      </c>
      <c r="C34" s="5" t="n">
        <v>112563</v>
      </c>
      <c r="D34" s="5" t="n">
        <v>90867</v>
      </c>
      <c r="E34" s="5" t="n">
        <v>110630</v>
      </c>
      <c r="F34" s="5" t="n">
        <v>29597</v>
      </c>
      <c r="G34" s="5" t="n">
        <v>21233</v>
      </c>
    </row>
    <row r="36" ht="280" customHeight="1">
      <c r="A36" s="8" t="inlineStr">
        <is>
          <t>Sources - Distribution Finance Capital Holdings plc's Consolidated Cash Flow Statement (Group basis, the Bank's own filed accounts are fully scanned - see ENTITY NOTE):
FY2025/FY2024: Annual Report and Accounts 2025, p.114-115 (Consolidated Cash Flow Statement) - https://wp-dfcapital-investors-2020.s3.eu-west-2.amazonaws.com/media/2026/03/DF-Capital-Annual-Report-and-Accounts-year-ending-2025.pdf
FY2023/FY2022: Annual Report and Accounts 2023, p.114-115 (Consolidated Cash Flow Statement) - https://wp-dfcapital-investors-2020.s3.eu-west-2.amazonaws.com/media/2024/04/DF-Capital-Annual-Report-and-Accounts-year-ending-2023-1.pdf
FY2021: Annual Report and Accounts 2021, p.106-107 (Consolidated Cash Flow Statement) - https://wp-dfcapital-investors-2020.s3.eu-west-2.amazonaws.com/media/2022/05/Annual-report-and-accounts-year-end-2021.pdf
FY2020: Annual Report and Financial Statements 2020, p.94 (Consolidated Cash Flow Statement) - https://wp-dfcapital-investors-2020.s3.eu-west-2.amazonaws.com/media/2021/04/21070044/Annual-report-and-accounts-Year-end-2020-Final-compressed.pdf
Each year's own originally-published figures are used; the closing balance of each year ties exactly to the opening balance of the next, no restatements found across any vintage (including FY2020's own closing GBP21,233k, which ties to FY2021's own opening balance). FY2022's own printed operating-activities total (-GBP3,408k) is GBP8k off its own component lines' sum (-GBP3,416k) - an immaterial rounding artifact in the source document itself, kept as printed rather than force-corrected; every other year's total ties to the penny, hand-traced across every year boundary FY2020-FY2025.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6:G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Asset Quality</t>
        </is>
      </c>
    </row>
    <row r="2">
      <c r="A2" s="2" t="inlineStr">
        <is>
          <t>Loans and advances to customers, by IFRS 9 stage, £'000. Group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 composition</t>
        </is>
      </c>
      <c r="B4" s="6" t="n"/>
      <c r="C4" s="6" t="n"/>
      <c r="D4" s="6" t="n"/>
      <c r="E4" s="6" t="n"/>
      <c r="F4" s="6" t="n"/>
      <c r="G4" s="6" t="n"/>
    </row>
    <row r="5">
      <c r="A5" s="6" t="inlineStr">
        <is>
          <t>Loan book principal</t>
        </is>
      </c>
      <c r="B5" s="6" t="n">
        <v>845966</v>
      </c>
      <c r="C5" s="6" t="n">
        <v>665709</v>
      </c>
      <c r="D5" s="6" t="n">
        <v>580525</v>
      </c>
      <c r="E5" s="6" t="n">
        <v>439282</v>
      </c>
      <c r="F5" s="6" t="n"/>
      <c r="G5" s="6" t="n"/>
    </row>
    <row r="6">
      <c r="A6" s="6" t="inlineStr">
        <is>
          <t>Accrued interest and fees</t>
        </is>
      </c>
      <c r="B6" s="6" t="n">
        <v>4141</v>
      </c>
      <c r="C6" s="6" t="n">
        <v>4067</v>
      </c>
      <c r="D6" s="6" t="n">
        <v>3602</v>
      </c>
      <c r="E6" s="6" t="n">
        <v>2002</v>
      </c>
      <c r="F6" s="6" t="n"/>
      <c r="G6" s="6" t="n"/>
    </row>
    <row r="7">
      <c r="A7" s="5" t="inlineStr">
        <is>
          <t>Gross carrying amount</t>
        </is>
      </c>
      <c r="B7" s="5" t="n">
        <v>850107</v>
      </c>
      <c r="C7" s="5" t="n">
        <v>669776</v>
      </c>
      <c r="D7" s="5" t="n">
        <v>584127</v>
      </c>
      <c r="E7" s="5" t="n">
        <v>441284</v>
      </c>
      <c r="F7" s="5" t="n">
        <v>249454</v>
      </c>
      <c r="G7" s="5" t="n">
        <v>113259</v>
      </c>
    </row>
    <row r="8">
      <c r="A8" s="6" t="inlineStr">
        <is>
          <t>less: impairment allowance</t>
        </is>
      </c>
      <c r="B8" s="6" t="n">
        <v>-8501</v>
      </c>
      <c r="C8" s="6" t="n">
        <v>-6577</v>
      </c>
      <c r="D8" s="6" t="n">
        <v>-14596</v>
      </c>
      <c r="E8" s="6" t="n">
        <v>-3720</v>
      </c>
      <c r="F8" s="6" t="n">
        <v>-1718</v>
      </c>
      <c r="G8" s="6" t="n">
        <v>-1288</v>
      </c>
    </row>
    <row r="9">
      <c r="A9" s="6" t="inlineStr">
        <is>
          <t>less: effective interest rate adjustment</t>
        </is>
      </c>
      <c r="B9" s="6" t="n">
        <v>-2080</v>
      </c>
      <c r="C9" s="6" t="n">
        <v>-2427</v>
      </c>
      <c r="D9" s="6" t="n">
        <v>-1487</v>
      </c>
      <c r="E9" s="6" t="n">
        <v>-1681</v>
      </c>
      <c r="F9" s="6" t="n">
        <v>-531</v>
      </c>
      <c r="G9" s="6" t="n">
        <v>-634</v>
      </c>
    </row>
    <row r="10">
      <c r="A10" s="5" t="inlineStr">
        <is>
          <t>Total loans and advances to customers</t>
        </is>
      </c>
      <c r="B10" s="5" t="n">
        <v>839526</v>
      </c>
      <c r="C10" s="5" t="n">
        <v>660772</v>
      </c>
      <c r="D10" s="5" t="n">
        <v>568044</v>
      </c>
      <c r="E10" s="5" t="n">
        <v>435883</v>
      </c>
      <c r="F10" s="5" t="n">
        <v>247205</v>
      </c>
      <c r="G10" s="5" t="n">
        <v>111337</v>
      </c>
    </row>
    <row r="11">
      <c r="A11" s="5" t="inlineStr">
        <is>
          <t>Gross carrying amount, by IFRS 9 stage</t>
        </is>
      </c>
      <c r="B11" s="6" t="n"/>
      <c r="C11" s="6" t="n"/>
      <c r="D11" s="6" t="n"/>
      <c r="E11" s="6" t="n"/>
      <c r="F11" s="6" t="n"/>
      <c r="G11" s="6" t="n"/>
    </row>
    <row r="12">
      <c r="A12" s="6" t="inlineStr">
        <is>
          <t>Stage 1</t>
        </is>
      </c>
      <c r="B12" s="6" t="n">
        <v>785729</v>
      </c>
      <c r="C12" s="6" t="n">
        <v>643513</v>
      </c>
      <c r="D12" s="6" t="n">
        <v>545952</v>
      </c>
      <c r="E12" s="6" t="n">
        <v>410756</v>
      </c>
      <c r="F12" s="6" t="n">
        <v>239327</v>
      </c>
      <c r="G12" s="6" t="n">
        <v>103823</v>
      </c>
    </row>
    <row r="13">
      <c r="A13" s="6" t="inlineStr">
        <is>
          <t>Stage 2</t>
        </is>
      </c>
      <c r="B13" s="6" t="n">
        <v>54741</v>
      </c>
      <c r="C13" s="6" t="n">
        <v>18484</v>
      </c>
      <c r="D13" s="6" t="n">
        <v>21052</v>
      </c>
      <c r="E13" s="6" t="n">
        <v>13323</v>
      </c>
      <c r="F13" s="6" t="n">
        <v>9585</v>
      </c>
      <c r="G13" s="6" t="n">
        <v>8726</v>
      </c>
    </row>
    <row r="14">
      <c r="A14" s="6" t="inlineStr">
        <is>
          <t>Stage 3</t>
        </is>
      </c>
      <c r="B14" s="6" t="n">
        <v>9637</v>
      </c>
      <c r="C14" s="6" t="n">
        <v>7779</v>
      </c>
      <c r="D14" s="6" t="n">
        <v>17123</v>
      </c>
      <c r="E14" s="6" t="n">
        <v>17205</v>
      </c>
      <c r="F14" s="6" t="n">
        <v>542</v>
      </c>
      <c r="G14" s="6" t="n">
        <v>710</v>
      </c>
    </row>
    <row r="15">
      <c r="A15" s="5" t="inlineStr">
        <is>
          <t>Total gross carrying amount (by stage)</t>
        </is>
      </c>
      <c r="B15" s="5" t="n">
        <v>850107</v>
      </c>
      <c r="C15" s="5" t="n">
        <v>669776</v>
      </c>
      <c r="D15" s="5" t="n">
        <v>584127</v>
      </c>
      <c r="E15" s="5" t="n">
        <v>441284</v>
      </c>
      <c r="F15" s="5" t="n">
        <v>249454</v>
      </c>
      <c r="G15" s="5" t="n">
        <v>113259</v>
      </c>
    </row>
    <row r="16">
      <c r="A16" s="5" t="inlineStr">
        <is>
          <t>Loss allowance (ECL), by IFRS 9 stage</t>
        </is>
      </c>
      <c r="B16" s="6" t="n"/>
      <c r="C16" s="6" t="n"/>
      <c r="D16" s="6" t="n"/>
      <c r="E16" s="6" t="n"/>
      <c r="F16" s="6" t="n"/>
      <c r="G16" s="6" t="n"/>
    </row>
    <row r="17">
      <c r="A17" s="6" t="inlineStr">
        <is>
          <t>Stage 1</t>
        </is>
      </c>
      <c r="B17" s="6" t="n">
        <v>-4368</v>
      </c>
      <c r="C17" s="6" t="n">
        <v>-3692</v>
      </c>
      <c r="D17" s="6" t="n">
        <v>-2522</v>
      </c>
      <c r="E17" s="6" t="n">
        <v>-1943</v>
      </c>
      <c r="F17" s="6" t="n">
        <v>-1142</v>
      </c>
      <c r="G17" s="6" t="n">
        <v>-645</v>
      </c>
    </row>
    <row r="18">
      <c r="A18" s="6" t="inlineStr">
        <is>
          <t>Stage 2</t>
        </is>
      </c>
      <c r="B18" s="6" t="n">
        <v>-711</v>
      </c>
      <c r="C18" s="6" t="n">
        <v>-166</v>
      </c>
      <c r="D18" s="6" t="n">
        <v>-160</v>
      </c>
      <c r="E18" s="6" t="n">
        <v>-84</v>
      </c>
      <c r="F18" s="6" t="n">
        <v>-155</v>
      </c>
      <c r="G18" s="6" t="n">
        <v>-49</v>
      </c>
    </row>
    <row r="19">
      <c r="A19" s="6" t="inlineStr">
        <is>
          <t>Stage 3</t>
        </is>
      </c>
      <c r="B19" s="6" t="n">
        <v>-3422</v>
      </c>
      <c r="C19" s="6" t="n">
        <v>-2719</v>
      </c>
      <c r="D19" s="6" t="n">
        <v>-11914</v>
      </c>
      <c r="E19" s="6" t="n">
        <v>-1693</v>
      </c>
      <c r="F19" s="6" t="n">
        <v>-421</v>
      </c>
      <c r="G19" s="6" t="n">
        <v>-594</v>
      </c>
    </row>
    <row r="20">
      <c r="A20" s="5" t="inlineStr">
        <is>
          <t>Total loss allowance (by stage)</t>
        </is>
      </c>
      <c r="B20" s="5" t="n">
        <v>-8501</v>
      </c>
      <c r="C20" s="5" t="n">
        <v>-6577</v>
      </c>
      <c r="D20" s="5" t="n">
        <v>-14596</v>
      </c>
      <c r="E20" s="5" t="n">
        <v>-3720</v>
      </c>
      <c r="F20" s="5" t="n">
        <v>-1718</v>
      </c>
      <c r="G20" s="5" t="n">
        <v>-1288</v>
      </c>
    </row>
    <row r="21">
      <c r="A21" s="5" t="inlineStr">
        <is>
          <t>Derived ratios</t>
        </is>
      </c>
      <c r="B21" s="6" t="n"/>
      <c r="C21" s="6" t="n"/>
      <c r="D21" s="6" t="n"/>
      <c r="E21" s="6" t="n"/>
      <c r="F21" s="6" t="n"/>
      <c r="G21" s="6" t="n"/>
    </row>
    <row r="22">
      <c r="A22" s="6" t="inlineStr">
        <is>
          <t>Stage 3 / gross carrying amount (NPL ratio)</t>
        </is>
      </c>
      <c r="B22" s="6" t="inlineStr">
        <is>
          <t>1.13%</t>
        </is>
      </c>
      <c r="C22" s="6" t="inlineStr">
        <is>
          <t>1.16%</t>
        </is>
      </c>
      <c r="D22" s="6" t="inlineStr">
        <is>
          <t>2.93%</t>
        </is>
      </c>
      <c r="E22" s="6" t="inlineStr">
        <is>
          <t>3.90%</t>
        </is>
      </c>
      <c r="F22" s="6" t="inlineStr">
        <is>
          <t>0.22%</t>
        </is>
      </c>
      <c r="G22" s="6" t="inlineStr">
        <is>
          <t>0.63%</t>
        </is>
      </c>
    </row>
    <row r="23">
      <c r="A23" s="6" t="inlineStr">
        <is>
          <t>Stage 3 coverage (Stage 3 loss allowance / Stage 3 gross)</t>
        </is>
      </c>
      <c r="B23" s="6" t="inlineStr">
        <is>
          <t>35.51%</t>
        </is>
      </c>
      <c r="C23" s="6" t="inlineStr">
        <is>
          <t>34.95%</t>
        </is>
      </c>
      <c r="D23" s="6" t="inlineStr">
        <is>
          <t>69.58%</t>
        </is>
      </c>
      <c r="E23" s="6" t="inlineStr">
        <is>
          <t>9.84%</t>
        </is>
      </c>
      <c r="F23" s="6" t="inlineStr">
        <is>
          <t>77.68%</t>
        </is>
      </c>
      <c r="G23" s="6" t="inlineStr">
        <is>
          <t>83.66%</t>
        </is>
      </c>
    </row>
    <row r="24">
      <c r="A24" s="6" t="inlineStr">
        <is>
          <t>Total loss allowance coverage (total allowance / total gross)</t>
        </is>
      </c>
      <c r="B24" s="6" t="inlineStr">
        <is>
          <t>1.00%</t>
        </is>
      </c>
      <c r="C24" s="6" t="inlineStr">
        <is>
          <t>0.98%</t>
        </is>
      </c>
      <c r="D24" s="6" t="inlineStr">
        <is>
          <t>2.50%</t>
        </is>
      </c>
      <c r="E24" s="6" t="inlineStr">
        <is>
          <t>0.84%</t>
        </is>
      </c>
      <c r="F24" s="6" t="inlineStr">
        <is>
          <t>0.69%</t>
        </is>
      </c>
      <c r="G24" s="6" t="inlineStr">
        <is>
          <t>1.14%</t>
        </is>
      </c>
    </row>
    <row r="26" ht="300" customHeight="1">
      <c r="A26" s="8" t="inlineStr">
        <is>
          <t>Sources - Distribution Finance Capital Holdings plc's own Notes to the Consolidated Financial Statements, 'Loans and advances to customers' note and its 'Analysis of gross/impairment losses on loans and advances to customers' stage-migration tables:
FY2025/FY2024: Annual Report and Accounts 2025, p.148-151 - https://wp-dfcapital-investors-2020.s3.eu-west-2.amazonaws.com/media/2026/03/DF-Capital-Annual-Report-and-Accounts-year-ending-2025.pdf
FY2023/FY2022: Annual Report and Accounts 2023, p.148-151 - https://wp-dfcapital-investors-2020.s3.eu-west-2.amazonaws.com/media/2024/04/DF-Capital-Annual-Report-and-Accounts-year-ending-2023-1.pdf
FY2021: Annual Report and Accounts 2021, p.136-139 - https://wp-dfcapital-investors-2020.s3.eu-west-2.amazonaws.com/media/2022/05/Annual-report-and-accounts-year-end-2021.pdf
FY2020: Annual Report and Financial Statements 2020, p.118-121 (Note 20, 'Loans and advances to customers') - https://wp-dfcapital-investors-2020.s3.eu-west-2.amazonaws.com/media/2021/04/21070044/Annual-report-and-accounts-Year-end-2020-Final-compressed.pdf
Each year's own originally-published figures used; every stage-split total ties exactly to the note's own Gross carrying amount and to the note's own disclosed 'Loss allowance coverage' percentages (used directly for the Derived ratios where disclosed, not independently recomputed, to avoid rounding drift; FY2020's Stage 3 coverage and Total coverage percentages are the note's own disclosed 'Loss allowance coverage' figures, its NPL ratio is computed from the note's own Stage 3/Total gross carrying amount since the note doesn't disclose that ratio directly). FY2020-FY2021's reports do not disclose a Loan book principal/Accrued interest split (pre-dates that level of note detail) - left blank rather than guessed.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26:G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112443</v>
      </c>
      <c r="C4" s="6" t="n">
        <v>98780</v>
      </c>
      <c r="D4" s="6" t="n">
        <v>79269</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18.0%</t>
        </is>
      </c>
      <c r="C4" s="6" t="inlineStr">
        <is>
          <t>21.6%</t>
        </is>
      </c>
      <c r="D4" s="6" t="inlineStr">
        <is>
          <t>22.8%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112443</v>
      </c>
      <c r="C4" s="6" t="n">
        <v>98780</v>
      </c>
      <c r="D4" s="6" t="n">
        <v>79269</v>
      </c>
      <c r="E4" s="6" t="n">
        <v>84579</v>
      </c>
      <c r="F4" s="6" t="n">
        <v>82690</v>
      </c>
      <c r="G4" s="6" t="n">
        <v>47792</v>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18.0%</t>
        </is>
      </c>
      <c r="C4" s="6" t="inlineStr">
        <is>
          <t>21.6%</t>
        </is>
      </c>
      <c r="D4" s="6" t="inlineStr">
        <is>
          <t>22.8%</t>
        </is>
      </c>
      <c r="E4" s="6" t="inlineStr">
        <is>
          <t>22.1%</t>
        </is>
      </c>
      <c r="F4" s="6" t="inlineStr">
        <is>
          <t>38.2%</t>
        </is>
      </c>
      <c r="G4" s="6" t="inlineStr">
        <is>
          <t>50.1%</t>
        </is>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127745</v>
      </c>
      <c r="C4" s="6" t="n">
        <v>109010</v>
      </c>
      <c r="D4" s="6" t="n">
        <v>89538</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20.5%</t>
        </is>
      </c>
      <c r="C4" s="6" t="inlineStr">
        <is>
          <t>23.8%</t>
        </is>
      </c>
      <c r="D4" s="6" t="inlineStr">
        <is>
          <t>25.8%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623607</v>
      </c>
      <c r="C4" s="6" t="n">
        <v>457565</v>
      </c>
      <c r="D4" s="6" t="n">
        <v>347034</v>
      </c>
      <c r="E4" s="6" t="n">
        <v>381972</v>
      </c>
      <c r="F4" s="6" t="n">
        <v>216353</v>
      </c>
      <c r="G4" s="6" t="n">
        <v>95427</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RWA Breakdown</t>
        </is>
      </c>
    </row>
    <row r="2">
      <c r="A2" s="2" t="inlineStr">
        <is>
          <t>Distribution Finance Capital Holdings plc Group basis, £'000 (UK OV1 template). FY2023 category split OCR-recovered from an image-rendered table (2026-09-12).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 (excluding CCR)</t>
        </is>
      </c>
      <c r="B4" s="6" t="n">
        <v>533039</v>
      </c>
      <c r="C4" s="6" t="n">
        <v>388533</v>
      </c>
      <c r="D4" s="6" t="n">
        <v>323338</v>
      </c>
      <c r="E4" s="6" t="n">
        <v>369638</v>
      </c>
      <c r="F4" s="6" t="n">
        <v>211065</v>
      </c>
      <c r="G4" s="6" t="n">
        <v>90139</v>
      </c>
    </row>
    <row r="5">
      <c r="A5" s="6" t="inlineStr">
        <is>
          <t>Counterparty credit risk (CCR) - of which standardised approach</t>
        </is>
      </c>
      <c r="B5" s="6" t="n">
        <v>2259</v>
      </c>
      <c r="C5" s="6" t="n">
        <v>1635</v>
      </c>
      <c r="D5" s="6" t="n">
        <v>1651</v>
      </c>
      <c r="E5" s="6" t="n">
        <v>662</v>
      </c>
      <c r="F5" s="6" t="n"/>
      <c r="G5" s="6" t="n"/>
    </row>
    <row r="6">
      <c r="A6" s="6" t="inlineStr">
        <is>
          <t>Counterparty credit risk (CCR) - of which credit valuation adjustment (CVA)</t>
        </is>
      </c>
      <c r="B6" s="6" t="n">
        <v>1027</v>
      </c>
      <c r="C6" s="6" t="n">
        <v>2371</v>
      </c>
      <c r="D6" s="6" t="n">
        <v>751</v>
      </c>
      <c r="E6" s="6" t="n">
        <v>367</v>
      </c>
      <c r="F6" s="6" t="n"/>
      <c r="G6" s="6" t="n"/>
    </row>
    <row r="7">
      <c r="A7" s="5" t="inlineStr">
        <is>
          <t>Counterparty credit risk (CCR), total</t>
        </is>
      </c>
      <c r="B7" s="5" t="n">
        <v>3286</v>
      </c>
      <c r="C7" s="5" t="n">
        <v>4006</v>
      </c>
      <c r="D7" s="5" t="n">
        <v>2402</v>
      </c>
      <c r="E7" s="5" t="n">
        <v>1029</v>
      </c>
      <c r="F7" s="5" t="n"/>
      <c r="G7" s="5" t="n"/>
    </row>
    <row r="8">
      <c r="A8" s="6" t="inlineStr">
        <is>
          <t>Operational risk (Basic Indicator Approach)</t>
        </is>
      </c>
      <c r="B8" s="6" t="n">
        <v>87281</v>
      </c>
      <c r="C8" s="6" t="n">
        <v>65026</v>
      </c>
      <c r="D8" s="6" t="n">
        <v>21294</v>
      </c>
      <c r="E8" s="6" t="n">
        <v>11305</v>
      </c>
      <c r="F8" s="6" t="n">
        <v>5288</v>
      </c>
      <c r="G8" s="6" t="n">
        <v>5288</v>
      </c>
    </row>
    <row r="9">
      <c r="A9" s="5" t="inlineStr">
        <is>
          <t>Total RWAs</t>
        </is>
      </c>
      <c r="B9" s="5" t="n">
        <v>623607</v>
      </c>
      <c r="C9" s="5" t="n">
        <v>457565</v>
      </c>
      <c r="D9" s="5" t="n">
        <v>347034</v>
      </c>
      <c r="E9" s="5" t="n">
        <v>381972</v>
      </c>
      <c r="F9" s="5" t="n">
        <v>216353</v>
      </c>
      <c r="G9" s="5" t="n">
        <v>95427</v>
      </c>
    </row>
    <row r="10">
      <c r="A10" s="6" t="inlineStr">
        <is>
          <t>Securitisation exposures in the non-trading book (after the cap, deducted from CET1 - not part of Total RWAs)</t>
        </is>
      </c>
      <c r="B10" s="6" t="n">
        <v>10942</v>
      </c>
      <c r="C10" s="6" t="n">
        <v>10095</v>
      </c>
      <c r="D10" s="6" t="n">
        <v>11281</v>
      </c>
      <c r="E10" s="6" t="n"/>
      <c r="F10" s="6" t="n"/>
      <c r="G10" s="6" t="n">
        <v>0</v>
      </c>
    </row>
    <row r="12" ht="280" customHeight="1">
      <c r="A12" s="8" t="inlineStr">
        <is>
          <t>Sources - Distribution Finance Capital Holdings plc Pillar 3 Disclosures, 'Overview of risk weighted exposure amounts' (UK OV1) table:
FY2025/FY2024: DF Capital Pillar III 2025, p.5 (FY2024 shown as the document's own comparative column) - https://wp-dfcapital-investors-2020.s3.eu-west-2.amazonaws.com/media/2026/03/DF-Capital-Pillar-III-2025.pdf
FY2021: DF Capital Pillar III Dec 2021, Table 3, p.22 (pre-dates CCR/CVA and the securitisation programme, which only began March 2023 per the FY2023 Pillar 3 document's own approach-to-RWAs note) - https://wp-dfcapital-investors-2020.s3.eu-west-2.amazonaws.com/media/2022/04/DF-Capital-Pillar-III_Dec-2021-Final.pdf
FY2020: DF Capital Pillar 3 Disclosures at 31 December 2020, Table 3 'Pillar 1 capital requirement', p.20 (pre-dates CCR/CVA and securitisation entirely - the document's own s.10 states 'At 31 December 2020 the Group had no exposure to securitisation structures', hence the explicit GBP0k rather than blank) - https://wp-dfcapital-investors-2020.s3.eu-west-2.amazonaws.com/media/2021/04/21065603/Distribution-Finance-Capital-Holdings-plc-Pillar-3-31-December-2020.pdf
FY2022: DF Capital Pillar 3 Disclosures at 31 December 2022, p.22 (FY2022 OV1-style table) - https://wp-dfcapital-investors-2020.s3.eu-west-2.amazonaws.com/media/2023/04/Pillar-3-Disclosures-31-December-2022.pdf; the FY2022 table discloses credit risk £369,638k and operational risk £11,305k, with CCR £1,029k (including standardised £662k and CVA £367k), all summing to total RWA £381,972k. FY2023 (2026-09-12 re-verification): DF Capital Pillar III 2024, p.15 - https://wp-dfcapital-investors-2020.s3.eu-west-2.amazonaws.com/media/2024/04/DF-Capital-Pillar-III_2024-FINAL.pdf. The OV1-style table is rendered as an image within the PDF (no text layer for this specific table, hence the earlier 'not recoverable' claim - confirmed via OCR at 300dpi, p.15, section 3.4 'Approach to RWAs'): credit risk (excl. CCR) £323,338k [standardised approach, same figure], CCR £2,402k (of which standardised £1,651k, of which CVA £751k), operational risk £21,294k, securitisation exposures (after cap) £11,281k (n/a for own-funds deduction that year), total RWA £347,034k - ties exactly to the Total RWAs sheet.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12:G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12.8%</t>
        </is>
      </c>
      <c r="C4" s="6" t="inlineStr">
        <is>
          <t>14.5%</t>
        </is>
      </c>
      <c r="D4" s="6" t="inlineStr">
        <is>
          <t>13.0%</t>
        </is>
      </c>
      <c r="E4" s="6" t="inlineStr">
        <is>
          <t>17.6%</t>
        </is>
      </c>
      <c r="F4" s="6" t="inlineStr">
        <is>
          <t>21.2%</t>
        </is>
      </c>
      <c r="G4" s="6" t="inlineStr">
        <is>
          <t>23.6%</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704.0%</t>
        </is>
      </c>
      <c r="C4" s="6" t="inlineStr">
        <is>
          <t>836.6%</t>
        </is>
      </c>
      <c r="D4" s="6" t="inlineStr">
        <is>
          <t>618%</t>
        </is>
      </c>
      <c r="E4" s="6" t="inlineStr">
        <is>
          <t>1029%</t>
        </is>
      </c>
      <c r="F4" s="6" t="inlineStr">
        <is>
          <t>5597%</t>
        </is>
      </c>
      <c r="G4" s="6" t="inlineStr">
        <is>
          <t>6820%</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n"/>
      <c r="C4" s="6" t="n"/>
      <c r="D4" s="6" t="inlineStr">
        <is>
          <t>148.2%</t>
        </is>
      </c>
      <c r="E4" s="6" t="inlineStr">
        <is>
          <t>163%</t>
        </is>
      </c>
      <c r="F4" s="6" t="inlineStr">
        <is>
          <t>214%</t>
        </is>
      </c>
      <c r="G4" s="6" t="inlineStr">
        <is>
          <t>253%</t>
        </is>
      </c>
    </row>
    <row r="5" ht="60" customHeight="1">
      <c r="A5" s="7" t="inlineStr">
        <is>
          <t>Note: NSFR was disclosed for FY2020-FY2023 but does not appear anywhere in the FY2024 or FY2025 Pillar 3 documents (confirmed by direct search of both, not assumed). STRUCTURALLY EXEMPT, not undisclosed (established 2026-09-15): both of those documents state at p.3 that 'The Group has opted into the Small Domestic Deposit Takers ('SDDT') regime at both Consolidated and Bank levels. Having received PRA approval, disclosures are prepared in accordance with the regime's reduced disclosure requirements as prescribed by Article 433b.' The PRA's own register confirms the underlying instrument - Rule 3.1 SDDT modification by consent, ref A00009982P.pdf, effective 07/03/2025. NSFR is one of the items the reduced template drops; becoming an SDDT also replaces the full NSFR with a Simplified Retail Deposit Ratio, which this Group does not publish a value for. So FY2024/FY2025 NSFR is a regulatory absence, not a search miss. This says nothing about FY2020-FY2023, which are disclosed in full above.</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in any year (FY2020-FY2025), and no document states an MREL exemption. The earlier gloss 'consistent with a small SDDT-regime institution' was removed 2026-09-15 as an unevidenced inference: the Group's SDDT opt-in is now separately evidenced (see ENTITY NOTE) but it is dated 07/03/2025 and so cannot account for the FY2020-FY2023 MREL blanks, and no source links SDDT status to the MREL absence in any year. Recorded simply as not disclosed.</t>
        </is>
      </c>
    </row>
    <row r="7" ht="150" customHeight="1">
      <c r="A7" s="8" t="inlineStr">
        <is>
          <t>Sources - Distribution Finance Capital Holdings plc Pillar 3 Disclosures (Consolidated Group basis), Key Metrics (UK KM1) table, p.n/a: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2026-09-15T10:10:57Z</dcterms:created>
  <dcterms:modified xmlns:dcterms="http://purl.org/dc/terms/" xmlns:xsi="http://www.w3.org/2001/XMLSchema-instance" xsi:type="dcterms:W3CDTF">2026-09-15T10:10:57Z</dcterms:modified>
</cp:coreProperties>
</file>