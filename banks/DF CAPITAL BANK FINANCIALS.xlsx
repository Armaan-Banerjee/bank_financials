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Balance Sheet" sheetId="2" state="visible" r:id="rId2"/>
    <sheet name="Profit &amp; Loss" sheetId="3" state="visible" r:id="rId3"/>
    <sheet name="Statement of Changes in Equity" sheetId="4" state="visible" r:id="rId4"/>
    <sheet name="Cash Flow Statement" sheetId="5" state="visible" r:id="rId5"/>
    <sheet name="Asset Quality" sheetId="6" state="visible" r:id="rId6"/>
    <sheet name="CET1 Capital" sheetId="7" state="visible" r:id="rId7"/>
    <sheet name="CET1 Ratio" sheetId="8" state="visible" r:id="rId8"/>
    <sheet name="Tier 1 Capital" sheetId="9" state="visible" r:id="rId9"/>
    <sheet name="Tier 1 Ratio" sheetId="10" state="visible" r:id="rId10"/>
    <sheet name="Total Capital" sheetId="11" state="visible" r:id="rId11"/>
    <sheet name="Total Capital Ratio" sheetId="12" state="visible" r:id="rId12"/>
    <sheet name="Total RWAs" sheetId="13" state="visible" r:id="rId13"/>
    <sheet name="RWA Breakdown" sheetId="14" state="visible" r:id="rId14"/>
    <sheet name="Leverage Ratio" sheetId="15" state="visible" r:id="rId15"/>
    <sheet name="LCR" sheetId="16" state="visible" r:id="rId16"/>
    <sheet name="NSFR" sheetId="17" state="visible" r:id="rId17"/>
    <sheet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D80034"/>
        <bgColor rgb="00D8003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t>DF Capital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a:prstDash val="solid"/>
            </a:ln>
          </spPr>
          <cat>
            <numRef>
              <f>'Overview'!$K$5:$P$5</f>
            </numRef>
          </cat>
          <val>
            <numRef>
              <f>'Overview'!$K$6:$P$6</f>
            </numRef>
          </val>
        </ser>
        <ser>
          <idx val="1"/>
          <order val="1"/>
          <tx>
            <strRef>
              <f>'Overview'!J7</f>
            </strRef>
          </tx>
          <spPr>
            <a:ln>
              <a:prstDash val="solid"/>
            </a:ln>
          </spPr>
          <cat>
            <numRef>
              <f>'Overview'!$K$5:$P$5</f>
            </numRef>
          </cat>
          <val>
            <numRef>
              <f>'Overview'!$K$7:$P$7</f>
            </numRef>
          </val>
        </ser>
        <ser>
          <idx val="2"/>
          <order val="2"/>
          <tx>
            <strRef>
              <f>'Overview'!J8</f>
            </strRef>
          </tx>
          <spPr>
            <a:ln>
              <a:prstDash val="solid"/>
            </a:ln>
          </spPr>
          <cat>
            <numRef>
              <f>'Overview'!$K$5:$P$5</f>
            </numRef>
          </cat>
          <val>
            <numRef>
              <f>'Overview'!$K$8:$P$8</f>
            </numRef>
          </val>
        </ser>
        <ser>
          <idx val="3"/>
          <order val="3"/>
          <tx>
            <strRef>
              <f>'Overview'!J9</f>
            </strRef>
          </tx>
          <spPr>
            <a:l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DF Capital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a:prstDash val="solid"/>
            </a:ln>
          </spPr>
          <cat>
            <numRef>
              <f>'Overview'!$T$12:$Y$12</f>
            </numRef>
          </cat>
          <val>
            <numRef>
              <f>'Overview'!$T$13:$Y$13</f>
            </numRef>
          </val>
        </ser>
        <ser>
          <idx val="1"/>
          <order val="1"/>
          <tx>
            <strRef>
              <f>'Overview'!S14</f>
            </strRef>
          </tx>
          <spPr>
            <a:ln>
              <a:prstDash val="solid"/>
            </a:ln>
          </spPr>
          <cat>
            <numRef>
              <f>'Overview'!$T$12:$Y$12</f>
            </numRef>
          </cat>
          <val>
            <numRef>
              <f>'Overview'!$T$14:$Y$14</f>
            </numRef>
          </val>
        </ser>
        <ser>
          <idx val="2"/>
          <order val="2"/>
          <tx>
            <strRef>
              <f>'Overview'!S15</f>
            </strRef>
          </tx>
          <spPr>
            <a:l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a="http://schemas.openxmlformats.org/drawingml/2006/main" xmlns="http://schemas.openxmlformats.org/drawingml/2006/chart">
  <chart>
    <title>
      <tx>
        <rich>
          <a:bodyPr/>
          <a:p>
            <a:pPr>
              <a:defRPr/>
            </a:pPr>
            <a:r>
              <a:t>DF Capital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a:prstDash val="solid"/>
            </a:ln>
          </spPr>
          <cat>
            <numRef>
              <f>'Overview'!$AC$18:$AH$18</f>
            </numRef>
          </cat>
          <val>
            <numRef>
              <f>'Overview'!$AC$19:$AH$19</f>
            </numRef>
          </val>
        </ser>
        <ser>
          <idx val="1"/>
          <order val="1"/>
          <tx>
            <strRef>
              <f>'Overview'!AB20</f>
            </strRef>
          </tx>
          <spPr>
            <a:ln>
              <a:prstDash val="solid"/>
            </a:ln>
          </spPr>
          <cat>
            <numRef>
              <f>'Overview'!$AC$18:$AH$18</f>
            </numRef>
          </cat>
          <val>
            <numRef>
              <f>'Overview'!$AC$20:$AH$20</f>
            </numRef>
          </val>
        </ser>
        <ser>
          <idx val="2"/>
          <order val="2"/>
          <tx>
            <strRef>
              <f>'Overview'!AB21</f>
            </strRef>
          </tx>
          <spPr>
            <a:ln>
              <a:prstDash val="solid"/>
            </a:ln>
          </spPr>
          <cat>
            <numRef>
              <f>'Overview'!$AC$18:$AH$18</f>
            </numRef>
          </cat>
          <val>
            <numRef>
              <f>'Overview'!$AC$21:$AH$21</f>
            </numRef>
          </val>
        </ser>
        <ser>
          <idx val="3"/>
          <order val="3"/>
          <tx>
            <strRef>
              <f>'Overview'!AB22</f>
            </strRef>
          </tx>
          <spPr>
            <a:l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a="http://schemas.openxmlformats.org/drawingml/2006/main" xmlns="http://schemas.openxmlformats.org/drawingml/2006/chart">
  <chart>
    <title>
      <tx>
        <rich>
          <a:bodyPr/>
          <a:p>
            <a:pPr>
              <a:defRPr/>
            </a:pPr>
            <a:r>
              <a:t>DF Capital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a:prstDash val="solid"/>
            </a:ln>
          </spPr>
          <cat>
            <numRef>
              <f>'Overview'!$AL$25:$AQ$25</f>
            </numRef>
          </cat>
          <val>
            <numRef>
              <f>'Overview'!$AL$26:$AQ$26</f>
            </numRef>
          </val>
        </ser>
        <ser>
          <idx val="1"/>
          <order val="1"/>
          <tx>
            <strRef>
              <f>'Overview'!AK27</f>
            </strRef>
          </tx>
          <spPr>
            <a:ln>
              <a:prstDash val="solid"/>
            </a:ln>
          </spPr>
          <cat>
            <numRef>
              <f>'Overview'!$AL$25:$AQ$25</f>
            </numRef>
          </cat>
          <val>
            <numRef>
              <f>'Overview'!$AL$27:$AQ$27</f>
            </numRef>
          </val>
        </ser>
        <ser>
          <idx val="2"/>
          <order val="2"/>
          <tx>
            <strRef>
              <f>'Overview'!AK28</f>
            </strRef>
          </tx>
          <spPr>
            <a:ln>
              <a:prstDash val="solid"/>
            </a:ln>
          </spPr>
          <cat>
            <numRef>
              <f>'Overview'!$AL$25:$AQ$25</f>
            </numRef>
          </cat>
          <val>
            <numRef>
              <f>'Overview'!$AL$28:$AQ$28</f>
            </numRef>
          </val>
        </ser>
        <ser>
          <idx val="3"/>
          <order val="3"/>
          <tx>
            <strRef>
              <f>'Overview'!AK29</f>
            </strRef>
          </tx>
          <spPr>
            <a:l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a="http://schemas.openxmlformats.org/drawingml/2006/main" xmlns="http://schemas.openxmlformats.org/drawingml/2006/chart">
  <chart>
    <title>
      <tx>
        <rich>
          <a:bodyPr/>
          <a:p>
            <a:pPr>
              <a:defRPr/>
            </a:pPr>
            <a:r>
              <a:t>DF Capital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a:prstDash val="solid"/>
            </a:ln>
          </spPr>
          <marker>
            <symbol val="none"/>
            <spPr>
              <a:ln>
                <a:prstDash val="solid"/>
              </a:ln>
            </spPr>
          </marker>
          <cat>
            <numRef>
              <f>'Overview'!$AU$5:$AZ$5</f>
            </numRef>
          </cat>
          <val>
            <numRef>
              <f>'Overview'!$AU$6:$AZ$6</f>
            </numRef>
          </val>
          <smooth val="0"/>
        </ser>
        <ser>
          <idx val="1"/>
          <order val="1"/>
          <tx>
            <strRef>
              <f>'Overview'!AT7</f>
            </strRef>
          </tx>
          <spPr>
            <a:ln>
              <a:prstDash val="solid"/>
            </a:ln>
          </spPr>
          <marker>
            <symbol val="none"/>
            <spPr>
              <a:ln>
                <a:prstDash val="solid"/>
              </a:ln>
            </spPr>
          </marker>
          <cat>
            <numRef>
              <f>'Overview'!$AU$5:$AZ$5</f>
            </numRef>
          </cat>
          <val>
            <numRef>
              <f>'Overview'!$AU$7:$AZ$7</f>
            </numRef>
          </val>
          <smooth val="0"/>
        </ser>
        <ser>
          <idx val="2"/>
          <order val="2"/>
          <tx>
            <strRef>
              <f>'Overview'!AT8</f>
            </strRef>
          </tx>
          <spPr>
            <a:ln>
              <a:prstDash val="solid"/>
            </a:ln>
          </spPr>
          <marker>
            <symbol val="none"/>
            <spPr>
              <a:ln>
                <a:prstDash val="solid"/>
              </a:ln>
            </spPr>
          </marker>
          <cat>
            <numRef>
              <f>'Overview'!$AU$5:$AZ$5</f>
            </numRef>
          </cat>
          <val>
            <numRef>
              <f>'Overview'!$AU$8:$AZ$8</f>
            </numRef>
          </val>
          <smooth val="0"/>
        </ser>
        <ser>
          <idx val="3"/>
          <order val="3"/>
          <tx>
            <strRef>
              <f>'Overview'!AT9</f>
            </strRef>
          </tx>
          <spPr>
            <a:ln>
              <a:prstDash val="solid"/>
            </a:ln>
          </spPr>
          <marker>
            <symbol val="none"/>
            <spPr>
              <a:ln>
                <a:prstDash val="solid"/>
              </a:ln>
            </spPr>
          </marker>
          <cat>
            <numRef>
              <f>'Overview'!$AU$5:$AZ$5</f>
            </numRef>
          </cat>
          <val>
            <numRef>
              <f>'Overview'!$AU$9:$AZ$9</f>
            </numRef>
          </val>
          <smooth val="0"/>
        </ser>
        <ser>
          <idx val="4"/>
          <order val="4"/>
          <tx>
            <strRef>
              <f>'Overview'!AT10</f>
            </strRef>
          </tx>
          <spPr>
            <a:ln>
              <a:prstDash val="solid"/>
            </a:ln>
          </spPr>
          <marker>
            <symbol val="none"/>
            <spPr>
              <a:ln>
                <a:prstDash val="solid"/>
              </a:ln>
            </spPr>
          </marker>
          <cat>
            <numRef>
              <f>'Overview'!$AU$5:$AZ$5</f>
            </numRef>
          </cat>
          <val>
            <numRef>
              <f>'Overview'!$AU$10:$AZ$10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63</row>
      <rowOff>0</rowOff>
    </from>
    <ext cx="8640000" cy="468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85</row>
      <rowOff>0</rowOff>
    </from>
    <ext cx="8640000" cy="468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107</row>
      <rowOff>0</rowOff>
    </from>
    <ext cx="8640000" cy="468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129</row>
      <rowOff>0</rowOff>
    </from>
    <ext cx="8640000" cy="576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Z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DF Capital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999812</v>
      </c>
      <c r="C6" s="5" t="n">
        <v>786540</v>
      </c>
      <c r="D6" s="5" t="n">
        <v>691938</v>
      </c>
      <c r="E6" s="5" t="n">
        <v>582496</v>
      </c>
      <c r="F6" s="5" t="n">
        <v>388608</v>
      </c>
      <c r="G6" s="5" t="n">
        <v>201322</v>
      </c>
      <c r="J6" t="inlineStr">
        <is>
          <t>Total assets</t>
        </is>
      </c>
      <c r="K6" t="n">
        <v>201322</v>
      </c>
      <c r="L6" t="n">
        <v>388608</v>
      </c>
      <c r="M6" t="n">
        <v>582496</v>
      </c>
      <c r="N6" t="n">
        <v>691938</v>
      </c>
      <c r="O6" t="n">
        <v>786540</v>
      </c>
      <c r="P6" t="n">
        <v>999812</v>
      </c>
      <c r="AT6" t="inlineStr">
        <is>
          <t>CET1 Ratio</t>
        </is>
      </c>
      <c r="AU6" t="n">
        <v>50.1</v>
      </c>
      <c r="AV6" t="n">
        <v>38.2</v>
      </c>
      <c r="AW6" t="n">
        <v>22.1</v>
      </c>
      <c r="AX6" t="n">
        <v>22.8</v>
      </c>
      <c r="AY6" t="n">
        <v>21.6</v>
      </c>
      <c r="AZ6" t="n">
        <v>18</v>
      </c>
    </row>
    <row r="7">
      <c r="A7" s="5" t="inlineStr">
        <is>
          <t>Loans and advances to customers</t>
        </is>
      </c>
      <c r="B7" s="5" t="n">
        <v>839526</v>
      </c>
      <c r="C7" s="5" t="n">
        <v>660772</v>
      </c>
      <c r="D7" s="5" t="n">
        <v>568044</v>
      </c>
      <c r="E7" s="5" t="n">
        <v>435883</v>
      </c>
      <c r="F7" s="5" t="n">
        <v>247205</v>
      </c>
      <c r="G7" s="5" t="n">
        <v>111337</v>
      </c>
      <c r="J7" t="inlineStr">
        <is>
          <t>Loans and advances to customers</t>
        </is>
      </c>
      <c r="K7" t="n">
        <v>111337</v>
      </c>
      <c r="L7" t="n">
        <v>247205</v>
      </c>
      <c r="M7" t="n">
        <v>435883</v>
      </c>
      <c r="N7" t="n">
        <v>568044</v>
      </c>
      <c r="O7" t="n">
        <v>660772</v>
      </c>
      <c r="P7" t="n">
        <v>839526</v>
      </c>
      <c r="AT7" t="inlineStr">
        <is>
          <t>Total Capital Ratio</t>
        </is>
      </c>
      <c r="AU7" t="n">
        <v>50.1</v>
      </c>
      <c r="AV7" t="n">
        <v>38.2</v>
      </c>
      <c r="AW7" t="n">
        <v>22.1</v>
      </c>
      <c r="AX7" t="n">
        <v>25.8</v>
      </c>
      <c r="AY7" t="n">
        <v>23.8</v>
      </c>
      <c r="AZ7" t="n">
        <v>20.5</v>
      </c>
    </row>
    <row r="8">
      <c r="A8" s="5" t="inlineStr">
        <is>
          <t>Customer deposits</t>
        </is>
      </c>
      <c r="B8" s="5" t="n">
        <v>840565</v>
      </c>
      <c r="C8" s="5" t="n">
        <v>649665</v>
      </c>
      <c r="D8" s="5" t="n">
        <v>574622</v>
      </c>
      <c r="E8" s="5" t="n">
        <v>479736</v>
      </c>
      <c r="F8" s="5" t="n">
        <v>296856</v>
      </c>
      <c r="G8" s="5" t="n">
        <v>145982</v>
      </c>
      <c r="J8" t="inlineStr">
        <is>
          <t>Customer deposits</t>
        </is>
      </c>
      <c r="K8" t="n">
        <v>145982</v>
      </c>
      <c r="L8" t="n">
        <v>296856</v>
      </c>
      <c r="M8" t="n">
        <v>479736</v>
      </c>
      <c r="N8" t="n">
        <v>574622</v>
      </c>
      <c r="O8" t="n">
        <v>649665</v>
      </c>
      <c r="P8" t="n">
        <v>840565</v>
      </c>
      <c r="AT8" t="inlineStr">
        <is>
          <t>Leverage Ratio</t>
        </is>
      </c>
      <c r="AU8" t="n">
        <v>23.6</v>
      </c>
      <c r="AV8" t="n">
        <v>21.2</v>
      </c>
      <c r="AW8" t="n">
        <v>17.6</v>
      </c>
      <c r="AX8" t="n">
        <v>13</v>
      </c>
      <c r="AY8" t="n">
        <v>14.5</v>
      </c>
      <c r="AZ8" t="n">
        <v>12.8</v>
      </c>
    </row>
    <row r="9">
      <c r="A9" s="5" t="inlineStr">
        <is>
          <t>Total equity</t>
        </is>
      </c>
      <c r="B9" s="5" t="n">
        <v>127230</v>
      </c>
      <c r="C9" s="5" t="n">
        <v>115354</v>
      </c>
      <c r="D9" s="5" t="n">
        <v>100414</v>
      </c>
      <c r="E9" s="5" t="n">
        <v>96239</v>
      </c>
      <c r="F9" s="5" t="n">
        <v>86058</v>
      </c>
      <c r="G9" s="5" t="n">
        <v>50889</v>
      </c>
      <c r="J9" t="inlineStr">
        <is>
          <t>Total equity</t>
        </is>
      </c>
      <c r="K9" t="n">
        <v>50889</v>
      </c>
      <c r="L9" t="n">
        <v>86058</v>
      </c>
      <c r="M9" t="n">
        <v>96239</v>
      </c>
      <c r="N9" t="n">
        <v>100414</v>
      </c>
      <c r="O9" t="n">
        <v>115354</v>
      </c>
      <c r="P9" t="n">
        <v>127230</v>
      </c>
      <c r="AT9" t="inlineStr">
        <is>
          <t>LCR</t>
        </is>
      </c>
      <c r="AU9" t="n">
        <v>6820</v>
      </c>
      <c r="AV9" t="n">
        <v>5597</v>
      </c>
      <c r="AW9" t="n">
        <v>1029</v>
      </c>
      <c r="AX9" t="n">
        <v>618</v>
      </c>
      <c r="AY9" t="n">
        <v>836.6</v>
      </c>
      <c r="AZ9" t="n">
        <v>704</v>
      </c>
    </row>
    <row r="10">
      <c r="AT10" t="inlineStr">
        <is>
          <t>NSFR</t>
        </is>
      </c>
      <c r="AU10" t="n">
        <v>253</v>
      </c>
      <c r="AV10" t="n">
        <v>214</v>
      </c>
      <c r="AW10" t="n">
        <v>163</v>
      </c>
      <c r="AX10" t="n">
        <v>148.2</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Total operating income</t>
        </is>
      </c>
      <c r="B13" s="5" t="n">
        <v>56039</v>
      </c>
      <c r="C13" s="5" t="n">
        <v>45490</v>
      </c>
      <c r="D13" s="5" t="n">
        <v>38014</v>
      </c>
      <c r="E13" s="5" t="n">
        <v>20431</v>
      </c>
      <c r="F13" s="5" t="n">
        <v>11303</v>
      </c>
      <c r="G13" s="5" t="n">
        <v>2337</v>
      </c>
      <c r="S13" t="inlineStr">
        <is>
          <t>Total operating income</t>
        </is>
      </c>
      <c r="T13" t="n">
        <v>2337</v>
      </c>
      <c r="U13" t="n">
        <v>11303</v>
      </c>
      <c r="V13" t="n">
        <v>20431</v>
      </c>
      <c r="W13" t="n">
        <v>38014</v>
      </c>
      <c r="X13" t="n">
        <v>45490</v>
      </c>
      <c r="Y13" t="n">
        <v>56039</v>
      </c>
    </row>
    <row r="14">
      <c r="A14" s="5" t="inlineStr">
        <is>
          <t>Total operating expenses (staff + other operating expenses)</t>
        </is>
      </c>
      <c r="B14" s="5" t="n">
        <v>-32181</v>
      </c>
      <c r="C14" s="5" t="n">
        <v>-26607</v>
      </c>
      <c r="D14" s="5" t="n">
        <v>-21843</v>
      </c>
      <c r="E14" s="5" t="n">
        <v>-16831</v>
      </c>
      <c r="F14" s="5" t="n">
        <v>-14507</v>
      </c>
      <c r="G14" s="5" t="n">
        <v>-14987</v>
      </c>
      <c r="S14" t="inlineStr">
        <is>
          <t>Total operating expenses (staff + other operating expenses)</t>
        </is>
      </c>
      <c r="T14" t="n">
        <v>-14987</v>
      </c>
      <c r="U14" t="n">
        <v>-14507</v>
      </c>
      <c r="V14" t="n">
        <v>-16831</v>
      </c>
      <c r="W14" t="n">
        <v>-21843</v>
      </c>
      <c r="X14" t="n">
        <v>-26607</v>
      </c>
      <c r="Y14" t="n">
        <v>-32181</v>
      </c>
    </row>
    <row r="15">
      <c r="A15" s="5" t="inlineStr">
        <is>
          <t>Profit/(loss) after taxation</t>
        </is>
      </c>
      <c r="B15" s="5" t="n">
        <v>15159</v>
      </c>
      <c r="C15" s="5" t="n">
        <v>14021</v>
      </c>
      <c r="D15" s="5" t="n">
        <v>3155</v>
      </c>
      <c r="E15" s="5" t="n">
        <v>9761</v>
      </c>
      <c r="F15" s="5" t="n">
        <v>-3676</v>
      </c>
      <c r="G15" s="5" t="n">
        <v>-13603</v>
      </c>
      <c r="S15" t="inlineStr">
        <is>
          <t>Profit/(loss) after taxation</t>
        </is>
      </c>
      <c r="T15" t="n">
        <v>-13603</v>
      </c>
      <c r="U15" t="n">
        <v>-3676</v>
      </c>
      <c r="V15" t="n">
        <v>9761</v>
      </c>
      <c r="W15" t="n">
        <v>3155</v>
      </c>
      <c r="X15" t="n">
        <v>14021</v>
      </c>
      <c r="Y15" t="n">
        <v>15159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115354</v>
      </c>
      <c r="C19" s="5" t="n">
        <v>100414</v>
      </c>
      <c r="D19" s="5" t="n">
        <v>96239</v>
      </c>
      <c r="E19" s="5" t="n">
        <v>86058</v>
      </c>
      <c r="F19" s="5" t="n">
        <v>50889</v>
      </c>
      <c r="G19" s="5" t="n">
        <v>64556</v>
      </c>
      <c r="AB19" t="inlineStr">
        <is>
          <t>Opening equity</t>
        </is>
      </c>
      <c r="AC19" t="n">
        <v>64556</v>
      </c>
      <c r="AD19" t="n">
        <v>50889</v>
      </c>
      <c r="AE19" t="n">
        <v>86058</v>
      </c>
      <c r="AF19" t="n">
        <v>96239</v>
      </c>
      <c r="AG19" t="n">
        <v>100414</v>
      </c>
      <c r="AH19" t="n">
        <v>115354</v>
      </c>
    </row>
    <row r="20">
      <c r="A20" s="5" t="inlineStr">
        <is>
          <t>Total comprehensive income/(loss) for the year</t>
        </is>
      </c>
      <c r="B20" s="5" t="n">
        <v>15159</v>
      </c>
      <c r="C20" s="5" t="n">
        <v>14096</v>
      </c>
      <c r="D20" s="5" t="n">
        <v>3338</v>
      </c>
      <c r="E20" s="5" t="n">
        <v>9682</v>
      </c>
      <c r="F20" s="5" t="n">
        <v>-3838</v>
      </c>
      <c r="G20" s="5" t="n">
        <v>-13625</v>
      </c>
      <c r="AB20" t="inlineStr">
        <is>
          <t>Total comprehensive income/(loss) for the year</t>
        </is>
      </c>
      <c r="AC20" t="n">
        <v>-13625</v>
      </c>
      <c r="AD20" t="n">
        <v>-3838</v>
      </c>
      <c r="AE20" t="n">
        <v>9682</v>
      </c>
      <c r="AF20" t="n">
        <v>3338</v>
      </c>
      <c r="AG20" t="n">
        <v>14096</v>
      </c>
      <c r="AH20" t="n">
        <v>15159</v>
      </c>
    </row>
    <row r="21">
      <c r="A21" s="5" t="inlineStr">
        <is>
          <t>Other equity movements, net</t>
        </is>
      </c>
      <c r="B21" s="5" t="n">
        <v>-3283</v>
      </c>
      <c r="C21" s="5" t="n">
        <v>844</v>
      </c>
      <c r="D21" s="5" t="n">
        <v>837</v>
      </c>
      <c r="E21" s="5" t="n">
        <v>499</v>
      </c>
      <c r="F21" s="5" t="n">
        <v>39007</v>
      </c>
      <c r="G21" s="5" t="n">
        <v>-42</v>
      </c>
      <c r="AB21" t="inlineStr">
        <is>
          <t>Other equity movements, net</t>
        </is>
      </c>
      <c r="AC21" t="n">
        <v>-42</v>
      </c>
      <c r="AD21" t="n">
        <v>39007</v>
      </c>
      <c r="AE21" t="n">
        <v>499</v>
      </c>
      <c r="AF21" t="n">
        <v>837</v>
      </c>
      <c r="AG21" t="n">
        <v>844</v>
      </c>
      <c r="AH21" t="n">
        <v>-3283</v>
      </c>
    </row>
    <row r="22">
      <c r="A22" s="5" t="inlineStr">
        <is>
          <t>Closing equity</t>
        </is>
      </c>
      <c r="B22" s="5" t="n">
        <v>127230</v>
      </c>
      <c r="C22" s="5" t="n">
        <v>115354</v>
      </c>
      <c r="D22" s="5" t="n">
        <v>100414</v>
      </c>
      <c r="E22" s="5" t="n">
        <v>96239</v>
      </c>
      <c r="F22" s="5" t="n">
        <v>86058</v>
      </c>
      <c r="G22" s="5" t="n">
        <v>50889</v>
      </c>
      <c r="AB22" t="inlineStr">
        <is>
          <t>Closing equity</t>
        </is>
      </c>
      <c r="AC22" t="n">
        <v>50889</v>
      </c>
      <c r="AD22" t="n">
        <v>86058</v>
      </c>
      <c r="AE22" t="n">
        <v>96239</v>
      </c>
      <c r="AF22" t="n">
        <v>100414</v>
      </c>
      <c r="AG22" t="n">
        <v>115354</v>
      </c>
      <c r="AH22" t="n">
        <v>127230</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AL25" t="inlineStr">
        <is>
          <t>FY2020</t>
        </is>
      </c>
      <c r="AM25" t="inlineStr">
        <is>
          <t>FY2021</t>
        </is>
      </c>
      <c r="AN25" t="inlineStr">
        <is>
          <t>FY2022</t>
        </is>
      </c>
      <c r="AO25" t="inlineStr">
        <is>
          <t>FY2023</t>
        </is>
      </c>
      <c r="AP25" t="inlineStr">
        <is>
          <t>FY2024</t>
        </is>
      </c>
      <c r="AQ25" t="inlineStr">
        <is>
          <t>FY2025</t>
        </is>
      </c>
    </row>
    <row r="26">
      <c r="A26" s="5" t="inlineStr">
        <is>
          <t>Net cash generated from/(used in) operating activities</t>
        </is>
      </c>
      <c r="B26" s="5" t="n">
        <v>32953</v>
      </c>
      <c r="C26" s="5" t="n">
        <v>9201</v>
      </c>
      <c r="D26" s="5" t="n">
        <v>-37712</v>
      </c>
      <c r="E26" s="5" t="n">
        <v>-3408</v>
      </c>
      <c r="F26" s="5" t="n">
        <v>13178</v>
      </c>
      <c r="G26" s="5" t="n">
        <v>66147</v>
      </c>
      <c r="AK26" t="inlineStr">
        <is>
          <t>Net cash generated from/(used in) operating activities</t>
        </is>
      </c>
      <c r="AL26" t="n">
        <v>66147</v>
      </c>
      <c r="AM26" t="n">
        <v>13178</v>
      </c>
      <c r="AN26" t="n">
        <v>-3408</v>
      </c>
      <c r="AO26" t="n">
        <v>-37712</v>
      </c>
      <c r="AP26" t="n">
        <v>9201</v>
      </c>
      <c r="AQ26" t="n">
        <v>32953</v>
      </c>
    </row>
    <row r="27">
      <c r="A27" s="5" t="inlineStr">
        <is>
          <t>Net cash (used in)/generated from investing activities</t>
        </is>
      </c>
      <c r="B27" s="5" t="n">
        <v>-3623</v>
      </c>
      <c r="C27" s="5" t="n">
        <v>14162</v>
      </c>
      <c r="D27" s="5" t="n">
        <v>8227</v>
      </c>
      <c r="E27" s="5" t="n">
        <v>84582</v>
      </c>
      <c r="F27" s="5" t="n">
        <v>-43312</v>
      </c>
      <c r="G27" s="5" t="n">
        <v>-58872</v>
      </c>
      <c r="AK27" t="inlineStr">
        <is>
          <t>Net cash (used in)/generated from investing activities</t>
        </is>
      </c>
      <c r="AL27" t="n">
        <v>-58872</v>
      </c>
      <c r="AM27" t="n">
        <v>-43312</v>
      </c>
      <c r="AN27" t="n">
        <v>84582</v>
      </c>
      <c r="AO27" t="n">
        <v>8227</v>
      </c>
      <c r="AP27" t="n">
        <v>14162</v>
      </c>
      <c r="AQ27" t="n">
        <v>-3623</v>
      </c>
    </row>
    <row r="28">
      <c r="A28" s="5" t="inlineStr">
        <is>
          <t>Net cash (used in)/generated from financing activities</t>
        </is>
      </c>
      <c r="B28" s="5" t="n">
        <v>-1330</v>
      </c>
      <c r="C28" s="5" t="n">
        <v>-1667</v>
      </c>
      <c r="D28" s="5" t="n">
        <v>9722</v>
      </c>
      <c r="E28" s="5" t="n">
        <v>-141</v>
      </c>
      <c r="F28" s="5" t="n">
        <v>38498</v>
      </c>
      <c r="G28" s="5" t="n">
        <v>-164</v>
      </c>
      <c r="AK28" t="inlineStr">
        <is>
          <t>Net cash (used in)/generated from financing activities</t>
        </is>
      </c>
      <c r="AL28" t="n">
        <v>-164</v>
      </c>
      <c r="AM28" t="n">
        <v>38498</v>
      </c>
      <c r="AN28" t="n">
        <v>-141</v>
      </c>
      <c r="AO28" t="n">
        <v>9722</v>
      </c>
      <c r="AP28" t="n">
        <v>-1667</v>
      </c>
      <c r="AQ28" t="n">
        <v>-1330</v>
      </c>
    </row>
    <row r="29">
      <c r="A29" s="5" t="inlineStr">
        <is>
          <t>Cash and cash equivalents at end of the period</t>
        </is>
      </c>
      <c r="B29" s="5" t="n">
        <v>140563</v>
      </c>
      <c r="C29" s="5" t="n">
        <v>112563</v>
      </c>
      <c r="D29" s="5" t="n">
        <v>90867</v>
      </c>
      <c r="E29" s="5" t="n">
        <v>110630</v>
      </c>
      <c r="F29" s="5" t="n">
        <v>29597</v>
      </c>
      <c r="G29" s="5" t="n">
        <v>21233</v>
      </c>
      <c r="AK29" t="inlineStr">
        <is>
          <t>Cash and cash equivalents at end of the period</t>
        </is>
      </c>
      <c r="AL29" t="n">
        <v>21233</v>
      </c>
      <c r="AM29" t="n">
        <v>29597</v>
      </c>
      <c r="AN29" t="n">
        <v>110630</v>
      </c>
      <c r="AO29" t="n">
        <v>90867</v>
      </c>
      <c r="AP29" t="n">
        <v>112563</v>
      </c>
      <c r="AQ29" t="n">
        <v>140563</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inlineStr">
        <is>
          <t>18.0%</t>
        </is>
      </c>
      <c r="C33" s="6" t="inlineStr">
        <is>
          <t>21.6%</t>
        </is>
      </c>
      <c r="D33" s="6" t="inlineStr">
        <is>
          <t>22.8%</t>
        </is>
      </c>
      <c r="E33" s="6" t="inlineStr">
        <is>
          <t>22.1%</t>
        </is>
      </c>
      <c r="F33" s="6" t="inlineStr">
        <is>
          <t>38.2%</t>
        </is>
      </c>
      <c r="G33" s="6" t="inlineStr">
        <is>
          <t>50.1%</t>
        </is>
      </c>
    </row>
    <row r="34">
      <c r="A34" s="6" t="inlineStr">
        <is>
          <t>Total Capital Ratio</t>
        </is>
      </c>
      <c r="B34" s="6" t="inlineStr">
        <is>
          <t>20.5%</t>
        </is>
      </c>
      <c r="C34" s="6" t="inlineStr">
        <is>
          <t>23.8%</t>
        </is>
      </c>
      <c r="D34" s="6" t="inlineStr">
        <is>
          <t>25.8%</t>
        </is>
      </c>
      <c r="E34" s="6" t="inlineStr">
        <is>
          <t>22.1%</t>
        </is>
      </c>
      <c r="F34" s="6" t="inlineStr">
        <is>
          <t>38.2%</t>
        </is>
      </c>
      <c r="G34" s="6" t="inlineStr">
        <is>
          <t>50.1%</t>
        </is>
      </c>
    </row>
    <row r="35">
      <c r="A35" s="6" t="inlineStr">
        <is>
          <t>Leverage Ratio</t>
        </is>
      </c>
      <c r="B35" s="6" t="inlineStr">
        <is>
          <t>12.8%</t>
        </is>
      </c>
      <c r="C35" s="6" t="inlineStr">
        <is>
          <t>14.5%</t>
        </is>
      </c>
      <c r="D35" s="6" t="inlineStr">
        <is>
          <t>13.0%</t>
        </is>
      </c>
      <c r="E35" s="6" t="inlineStr">
        <is>
          <t>17.6%</t>
        </is>
      </c>
      <c r="F35" s="6" t="inlineStr">
        <is>
          <t>21.2%</t>
        </is>
      </c>
      <c r="G35" s="6" t="inlineStr">
        <is>
          <t>23.6%</t>
        </is>
      </c>
    </row>
    <row r="36">
      <c r="A36" s="6" t="inlineStr">
        <is>
          <t>LCR</t>
        </is>
      </c>
      <c r="B36" s="6" t="inlineStr">
        <is>
          <t>704.0%</t>
        </is>
      </c>
      <c r="C36" s="6" t="inlineStr">
        <is>
          <t>836.6%</t>
        </is>
      </c>
      <c r="D36" s="6" t="inlineStr">
        <is>
          <t>618%</t>
        </is>
      </c>
      <c r="E36" s="6" t="inlineStr">
        <is>
          <t>1029%</t>
        </is>
      </c>
      <c r="F36" s="6" t="inlineStr">
        <is>
          <t>5597%</t>
        </is>
      </c>
      <c r="G36" s="6" t="inlineStr">
        <is>
          <t>6820%</t>
        </is>
      </c>
    </row>
    <row r="37">
      <c r="A37" s="6" t="inlineStr">
        <is>
          <t>NSFR</t>
        </is>
      </c>
      <c r="B37" s="6" t="n"/>
      <c r="C37" s="6" t="n"/>
      <c r="D37" s="6" t="inlineStr">
        <is>
          <t>148.2%</t>
        </is>
      </c>
      <c r="E37" s="6" t="inlineStr">
        <is>
          <t>163%</t>
        </is>
      </c>
      <c r="F37" s="6" t="inlineStr">
        <is>
          <t>214%</t>
        </is>
      </c>
      <c r="G37" s="6" t="inlineStr">
        <is>
          <t>253%</t>
        </is>
      </c>
    </row>
    <row r="39" ht="45" customHeight="1">
      <c r="A39" s="7" t="inlineStr">
        <is>
          <t>Note: Figures are Distribution Finance Capital Holdings plc Group-consolidated basis (the PRA-regulated Bank's own filed accounts are fully scanned with no text layer; the Group and regulatory consolidation bases are confirmed identical, so this is not a basis mismatch — see the Cash Flow Statement sheet's source note). Figures are duplicated from the detail sheets for at-a-glance trend viewing; see each sheet's own source citation for the underlying document/page. FY2020 is this workbook's confirmed floor (HD-023, re-verified against Companies House and the Bank's own disclosure archive) — the Bank only became a PRA-authorised deposit-taker in September 2020 and the Group entity itself was only incorporated March 2019, so no earlier year has both financial statements and a Pillar 3 disclosure; see the Cash Flow Statement sheet's ENTITY NOTE for the full chain of evidence.</t>
        </is>
      </c>
    </row>
  </sheetData>
  <mergeCells count="1">
    <mergeCell ref="A39:G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Consolidated Balance Sheet</t>
        </is>
      </c>
    </row>
    <row r="2">
      <c r="A2" s="2" t="inlineStr">
        <is>
          <t>Distribution Finance Capital Holdings plc Group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Assets</t>
        </is>
      </c>
      <c r="B4" s="6" t="n"/>
      <c r="C4" s="6" t="n"/>
      <c r="D4" s="6" t="n"/>
      <c r="E4" s="6" t="n"/>
      <c r="F4" s="6" t="n"/>
      <c r="G4" s="6" t="n"/>
    </row>
    <row r="5">
      <c r="A5" s="6" t="inlineStr">
        <is>
          <t>Cash and balances at central banks</t>
        </is>
      </c>
      <c r="B5" s="6" t="n">
        <v>131676</v>
      </c>
      <c r="C5" s="6" t="n">
        <v>110030</v>
      </c>
      <c r="D5" s="6" t="n">
        <v>89552</v>
      </c>
      <c r="E5" s="6" t="n">
        <v>107353</v>
      </c>
      <c r="F5" s="6" t="n">
        <v>29597</v>
      </c>
      <c r="G5" s="6" t="n">
        <v>21233</v>
      </c>
    </row>
    <row r="6">
      <c r="A6" s="6" t="inlineStr">
        <is>
          <t>Loans and advances to banks</t>
        </is>
      </c>
      <c r="B6" s="6" t="n">
        <v>5894</v>
      </c>
      <c r="C6" s="6" t="n">
        <v>3771</v>
      </c>
      <c r="D6" s="6" t="n">
        <v>3475</v>
      </c>
      <c r="E6" s="6" t="n">
        <v>3848</v>
      </c>
      <c r="F6" s="6" t="n"/>
      <c r="G6" s="6" t="n"/>
    </row>
    <row r="7">
      <c r="A7" s="6" t="inlineStr">
        <is>
          <t>Investment/debt securities</t>
        </is>
      </c>
      <c r="B7" s="6" t="n">
        <v>5722</v>
      </c>
      <c r="C7" s="6" t="n">
        <v>769</v>
      </c>
      <c r="D7" s="6" t="n">
        <v>14839</v>
      </c>
      <c r="E7" s="6" t="n">
        <v>22964</v>
      </c>
      <c r="F7" s="6" t="n">
        <v>108867</v>
      </c>
      <c r="G7" s="6" t="n">
        <v>66601</v>
      </c>
    </row>
    <row r="8">
      <c r="A8" s="6" t="inlineStr">
        <is>
          <t>Derivatives held for risk management (asset)</t>
        </is>
      </c>
      <c r="B8" s="6" t="n">
        <v>411</v>
      </c>
      <c r="C8" s="6" t="n">
        <v>295</v>
      </c>
      <c r="D8" s="6" t="n">
        <v>537</v>
      </c>
      <c r="E8" s="6" t="n">
        <v>57</v>
      </c>
      <c r="F8" s="6" t="n"/>
      <c r="G8" s="6" t="n"/>
    </row>
    <row r="9">
      <c r="A9" s="6" t="inlineStr">
        <is>
          <t>Loans and advances to customers</t>
        </is>
      </c>
      <c r="B9" s="6" t="n">
        <v>839526</v>
      </c>
      <c r="C9" s="6" t="n">
        <v>660772</v>
      </c>
      <c r="D9" s="6" t="n">
        <v>568044</v>
      </c>
      <c r="E9" s="6" t="n">
        <v>435883</v>
      </c>
      <c r="F9" s="6" t="n">
        <v>247205</v>
      </c>
      <c r="G9" s="6" t="n">
        <v>111337</v>
      </c>
    </row>
    <row r="10">
      <c r="A10" s="6" t="inlineStr">
        <is>
          <t>Trade and other receivables</t>
        </is>
      </c>
      <c r="B10" s="6" t="n">
        <v>7734</v>
      </c>
      <c r="C10" s="6" t="n">
        <v>4678</v>
      </c>
      <c r="D10" s="6" t="n">
        <v>5335</v>
      </c>
      <c r="E10" s="6" t="n">
        <v>1524</v>
      </c>
      <c r="F10" s="6" t="n">
        <v>1133</v>
      </c>
      <c r="G10" s="6" t="n">
        <v>1154</v>
      </c>
    </row>
    <row r="11">
      <c r="A11" s="6" t="inlineStr">
        <is>
          <t>Current taxation asset</t>
        </is>
      </c>
      <c r="B11" s="6" t="n">
        <v>40</v>
      </c>
      <c r="C11" s="6" t="n"/>
      <c r="D11" s="6" t="n">
        <v>55</v>
      </c>
      <c r="E11" s="6" t="n">
        <v>55</v>
      </c>
      <c r="F11" s="6" t="n"/>
      <c r="G11" s="6" t="n"/>
    </row>
    <row r="12">
      <c r="A12" s="6" t="inlineStr">
        <is>
          <t>Deferred taxation asset</t>
        </is>
      </c>
      <c r="B12" s="6" t="n">
        <v>1912</v>
      </c>
      <c r="C12" s="6" t="n">
        <v>3980</v>
      </c>
      <c r="D12" s="6" t="n">
        <v>7111</v>
      </c>
      <c r="E12" s="6" t="n">
        <v>8457</v>
      </c>
      <c r="F12" s="6" t="n"/>
      <c r="G12" s="6" t="n"/>
    </row>
    <row r="13">
      <c r="A13" s="6" t="inlineStr">
        <is>
          <t>Property, plant and equipment</t>
        </is>
      </c>
      <c r="B13" s="6" t="n">
        <v>3797</v>
      </c>
      <c r="C13" s="6" t="n">
        <v>1093</v>
      </c>
      <c r="D13" s="6" t="n">
        <v>1145</v>
      </c>
      <c r="E13" s="6" t="n">
        <v>1045</v>
      </c>
      <c r="F13" s="6" t="n">
        <v>99</v>
      </c>
      <c r="G13" s="6" t="n">
        <v>139</v>
      </c>
    </row>
    <row r="14">
      <c r="A14" s="6" t="inlineStr">
        <is>
          <t>Right-of-use assets</t>
        </is>
      </c>
      <c r="B14" s="6" t="n">
        <v>2355</v>
      </c>
      <c r="C14" s="6" t="n">
        <v>202</v>
      </c>
      <c r="D14" s="6" t="n">
        <v>1227</v>
      </c>
      <c r="E14" s="6" t="n">
        <v>433</v>
      </c>
      <c r="F14" s="6" t="n">
        <v>641</v>
      </c>
      <c r="G14" s="6" t="n">
        <v>64</v>
      </c>
    </row>
    <row r="15">
      <c r="A15" s="6" t="inlineStr">
        <is>
          <t>Intangible assets</t>
        </is>
      </c>
      <c r="B15" s="6" t="n">
        <v>745</v>
      </c>
      <c r="C15" s="6" t="n">
        <v>950</v>
      </c>
      <c r="D15" s="6" t="n">
        <v>618</v>
      </c>
      <c r="E15" s="6" t="n">
        <v>877</v>
      </c>
      <c r="F15" s="6" t="n">
        <v>1066</v>
      </c>
      <c r="G15" s="6" t="n">
        <v>794</v>
      </c>
    </row>
    <row r="16">
      <c r="A16" s="5" t="inlineStr">
        <is>
          <t>Total assets</t>
        </is>
      </c>
      <c r="B16" s="5" t="n">
        <v>999812</v>
      </c>
      <c r="C16" s="5" t="n">
        <v>786540</v>
      </c>
      <c r="D16" s="5" t="n">
        <v>691938</v>
      </c>
      <c r="E16" s="5" t="n">
        <v>582496</v>
      </c>
      <c r="F16" s="5" t="n">
        <v>388608</v>
      </c>
      <c r="G16" s="5" t="n">
        <v>201322</v>
      </c>
    </row>
    <row r="17">
      <c r="A17" s="5" t="inlineStr">
        <is>
          <t>Liabilities</t>
        </is>
      </c>
      <c r="B17" s="6" t="n"/>
      <c r="C17" s="6" t="n"/>
      <c r="D17" s="6" t="n"/>
      <c r="E17" s="6" t="n"/>
      <c r="F17" s="6" t="n"/>
      <c r="G17" s="6" t="n"/>
    </row>
    <row r="18">
      <c r="A18" s="6" t="inlineStr">
        <is>
          <t>Customer deposits</t>
        </is>
      </c>
      <c r="B18" s="6" t="n">
        <v>840565</v>
      </c>
      <c r="C18" s="6" t="n">
        <v>649665</v>
      </c>
      <c r="D18" s="6" t="n">
        <v>574622</v>
      </c>
      <c r="E18" s="6" t="n">
        <v>479736</v>
      </c>
      <c r="F18" s="6" t="n">
        <v>296856</v>
      </c>
      <c r="G18" s="6" t="n">
        <v>145982</v>
      </c>
    </row>
    <row r="19">
      <c r="A19" s="6" t="inlineStr">
        <is>
          <t>Amounts due to banks</t>
        </is>
      </c>
      <c r="B19" s="6" t="n"/>
      <c r="C19" s="6" t="n">
        <v>180</v>
      </c>
      <c r="D19" s="6" t="n"/>
      <c r="E19" s="6" t="n"/>
      <c r="F19" s="6" t="n"/>
      <c r="G19" s="6" t="n"/>
    </row>
    <row r="20">
      <c r="A20" s="6" t="inlineStr">
        <is>
          <t>Derivatives held for risk management (liability)</t>
        </is>
      </c>
      <c r="B20" s="6" t="n">
        <v>819</v>
      </c>
      <c r="C20" s="6" t="n">
        <v>6</v>
      </c>
      <c r="D20" s="6" t="n">
        <v>565</v>
      </c>
      <c r="E20" s="6" t="n">
        <v>42</v>
      </c>
      <c r="F20" s="6" t="n"/>
      <c r="G20" s="6" t="n"/>
    </row>
    <row r="21">
      <c r="A21" s="6" t="inlineStr">
        <is>
          <t>Fair value adjustments on hedged liabilities</t>
        </is>
      </c>
      <c r="B21" s="6" t="n">
        <v>375</v>
      </c>
      <c r="C21" s="6" t="n">
        <v>136</v>
      </c>
      <c r="D21" s="6" t="n">
        <v>424</v>
      </c>
      <c r="E21" s="6" t="n">
        <v>-84</v>
      </c>
      <c r="F21" s="6" t="n"/>
      <c r="G21" s="6" t="n"/>
    </row>
    <row r="22">
      <c r="A22" s="6" t="inlineStr">
        <is>
          <t>Financial liabilities</t>
        </is>
      </c>
      <c r="B22" s="6" t="n">
        <v>2444</v>
      </c>
      <c r="C22" s="6" t="n">
        <v>90</v>
      </c>
      <c r="D22" s="6" t="n">
        <v>1255</v>
      </c>
      <c r="E22" s="6" t="n">
        <v>445</v>
      </c>
      <c r="F22" s="6" t="n">
        <v>554</v>
      </c>
      <c r="G22" s="6" t="n">
        <v>107</v>
      </c>
    </row>
    <row r="23">
      <c r="A23" s="6" t="inlineStr">
        <is>
          <t>Trade and other payables</t>
        </is>
      </c>
      <c r="B23" s="6" t="n">
        <v>12822</v>
      </c>
      <c r="C23" s="6" t="n">
        <v>9335</v>
      </c>
      <c r="D23" s="6" t="n">
        <v>4297</v>
      </c>
      <c r="E23" s="6" t="n">
        <v>6041</v>
      </c>
      <c r="F23" s="6" t="n">
        <v>5067</v>
      </c>
      <c r="G23" s="6" t="n">
        <v>4261</v>
      </c>
    </row>
    <row r="24">
      <c r="A24" s="6" t="inlineStr">
        <is>
          <t>Provisions</t>
        </is>
      </c>
      <c r="B24" s="6" t="n">
        <v>255</v>
      </c>
      <c r="C24" s="6" t="n">
        <v>285</v>
      </c>
      <c r="D24" s="6" t="n">
        <v>67</v>
      </c>
      <c r="E24" s="6" t="n">
        <v>77</v>
      </c>
      <c r="F24" s="6" t="n">
        <v>73</v>
      </c>
      <c r="G24" s="6" t="n">
        <v>83</v>
      </c>
    </row>
    <row r="25">
      <c r="A25" s="6" t="inlineStr">
        <is>
          <t>Current taxation liability</t>
        </is>
      </c>
      <c r="B25" s="6" t="n"/>
      <c r="C25" s="6" t="n">
        <v>1259</v>
      </c>
      <c r="D25" s="6" t="n">
        <v>73</v>
      </c>
      <c r="E25" s="6" t="n"/>
      <c r="F25" s="6" t="n"/>
      <c r="G25" s="6" t="n"/>
    </row>
    <row r="26">
      <c r="A26" s="6" t="inlineStr">
        <is>
          <t>Subordinated liabilities</t>
        </is>
      </c>
      <c r="B26" s="6" t="n">
        <v>15302</v>
      </c>
      <c r="C26" s="6" t="n">
        <v>10230</v>
      </c>
      <c r="D26" s="6" t="n">
        <v>10221</v>
      </c>
      <c r="E26" s="6" t="n"/>
      <c r="F26" s="6" t="n"/>
      <c r="G26" s="6" t="n"/>
    </row>
    <row r="27">
      <c r="A27" s="5" t="inlineStr">
        <is>
          <t>Total liabilities</t>
        </is>
      </c>
      <c r="B27" s="5" t="n">
        <v>872582</v>
      </c>
      <c r="C27" s="5" t="n">
        <v>671186</v>
      </c>
      <c r="D27" s="5" t="n">
        <v>591524</v>
      </c>
      <c r="E27" s="5" t="n">
        <v>486257</v>
      </c>
      <c r="F27" s="5" t="n">
        <v>302550</v>
      </c>
      <c r="G27" s="5" t="n">
        <v>150433</v>
      </c>
    </row>
    <row r="28">
      <c r="A28" s="5" t="inlineStr">
        <is>
          <t>Equity</t>
        </is>
      </c>
      <c r="B28" s="6" t="n"/>
      <c r="C28" s="6" t="n"/>
      <c r="D28" s="6" t="n"/>
      <c r="E28" s="6" t="n"/>
      <c r="F28" s="6" t="n"/>
      <c r="G28" s="6" t="n"/>
    </row>
    <row r="29">
      <c r="A29" s="6" t="inlineStr">
        <is>
          <t>Issued share capital</t>
        </is>
      </c>
      <c r="B29" s="6" t="n">
        <v>1793</v>
      </c>
      <c r="C29" s="6" t="n">
        <v>1793</v>
      </c>
      <c r="D29" s="6" t="n">
        <v>1793</v>
      </c>
      <c r="E29" s="6" t="n">
        <v>1793</v>
      </c>
      <c r="F29" s="6" t="n">
        <v>1793</v>
      </c>
      <c r="G29" s="6" t="n">
        <v>1066</v>
      </c>
    </row>
    <row r="30">
      <c r="A30" s="6" t="inlineStr">
        <is>
          <t>Share premium</t>
        </is>
      </c>
      <c r="B30" s="6" t="n"/>
      <c r="C30" s="6" t="n"/>
      <c r="D30" s="6" t="n"/>
      <c r="E30" s="6" t="n">
        <v>39273</v>
      </c>
      <c r="F30" s="6" t="n"/>
      <c r="G30" s="6" t="n"/>
    </row>
    <row r="31">
      <c r="A31" s="6" t="inlineStr">
        <is>
          <t>Merger relief</t>
        </is>
      </c>
      <c r="B31" s="6" t="n">
        <v>94911</v>
      </c>
      <c r="C31" s="6" t="n">
        <v>94911</v>
      </c>
      <c r="D31" s="6" t="n">
        <v>94911</v>
      </c>
      <c r="E31" s="6" t="n">
        <v>94911</v>
      </c>
      <c r="F31" s="6" t="n">
        <v>94911</v>
      </c>
      <c r="G31" s="6" t="n">
        <v>94911</v>
      </c>
    </row>
    <row r="32">
      <c r="A32" s="6" t="inlineStr">
        <is>
          <t>Merger reserve</t>
        </is>
      </c>
      <c r="B32" s="6" t="n">
        <v>-20609</v>
      </c>
      <c r="C32" s="6" t="n">
        <v>-20609</v>
      </c>
      <c r="D32" s="6" t="n">
        <v>-20609</v>
      </c>
      <c r="E32" s="6" t="n">
        <v>-20609</v>
      </c>
      <c r="F32" s="6" t="n">
        <v>-20609</v>
      </c>
      <c r="G32" s="6" t="n">
        <v>-20609</v>
      </c>
    </row>
    <row r="33">
      <c r="A33" s="6" t="inlineStr">
        <is>
          <t>Own shares</t>
        </is>
      </c>
      <c r="B33" s="6" t="n">
        <v>-548</v>
      </c>
      <c r="C33" s="6" t="n">
        <v>-440</v>
      </c>
      <c r="D33" s="6" t="n">
        <v>-401</v>
      </c>
      <c r="E33" s="6" t="n">
        <v>-364</v>
      </c>
      <c r="F33" s="6" t="n">
        <v>-364</v>
      </c>
      <c r="G33" s="6" t="n">
        <v>-364</v>
      </c>
    </row>
    <row r="34">
      <c r="A34" s="6" t="inlineStr">
        <is>
          <t>Treasury shares</t>
        </is>
      </c>
      <c r="B34" s="6" t="n">
        <v>-4755</v>
      </c>
      <c r="C34" s="6" t="n"/>
      <c r="D34" s="6" t="n"/>
      <c r="E34" s="6" t="n"/>
      <c r="F34" s="6" t="n"/>
      <c r="G34" s="6" t="n"/>
    </row>
    <row r="35">
      <c r="A35" s="6" t="inlineStr">
        <is>
          <t>Retained earnings/(loss)</t>
        </is>
      </c>
      <c r="B35" s="6" t="n">
        <v>56438</v>
      </c>
      <c r="C35" s="6" t="n">
        <v>39699</v>
      </c>
      <c r="D35" s="6" t="n">
        <v>24720</v>
      </c>
      <c r="E35" s="6" t="n">
        <v>-18765</v>
      </c>
      <c r="F35" s="6" t="n">
        <v>-28946</v>
      </c>
      <c r="G35" s="6" t="n">
        <v>-24115</v>
      </c>
    </row>
    <row r="36">
      <c r="A36" s="5" t="inlineStr">
        <is>
          <t>Total equity</t>
        </is>
      </c>
      <c r="B36" s="5" t="n">
        <v>127230</v>
      </c>
      <c r="C36" s="5" t="n">
        <v>115354</v>
      </c>
      <c r="D36" s="5" t="n">
        <v>100414</v>
      </c>
      <c r="E36" s="5" t="n">
        <v>96239</v>
      </c>
      <c r="F36" s="5" t="n">
        <v>86058</v>
      </c>
      <c r="G36" s="5" t="n">
        <v>50889</v>
      </c>
    </row>
    <row r="37">
      <c r="A37" s="5" t="inlineStr">
        <is>
          <t>Total equity and liabilities</t>
        </is>
      </c>
      <c r="B37" s="5" t="n">
        <v>999812</v>
      </c>
      <c r="C37" s="5" t="n">
        <v>786540</v>
      </c>
      <c r="D37" s="5" t="n">
        <v>691938</v>
      </c>
      <c r="E37" s="5" t="n">
        <v>582496</v>
      </c>
      <c r="F37" s="5" t="n">
        <v>388608</v>
      </c>
      <c r="G37" s="5" t="n">
        <v>201322</v>
      </c>
    </row>
    <row r="39" ht="340" customHeight="1">
      <c r="A39" s="8" t="inlineStr">
        <is>
          <t>Sources - Distribution Finance Capital Holdings plc's Consolidated Financial Statements (Group basis, the Bank's own filed accounts are fully scanned - see ENTITY NOTE):
FY2025/FY2024: Annual Report and Accounts 2025, p.111-114 (Consolidated Statement of Comprehensive Income / Financial Position / Changes in Equity) - https://wp-dfcapital-investors-2020.s3.eu-west-2.amazonaws.com/media/2026/03/DF-Capital-Annual-Report-and-Accounts-year-ending-2025.pdf
FY2023/FY2022: Annual Report and Accounts 2023, p.111-114 (same statements) - https://wp-dfcapital-investors-2020.s3.eu-west-2.amazonaws.com/media/2024/04/DF-Capital-Annual-Report-and-Accounts-year-ending-2023-1.pdf
FY2021: Annual Report and Accounts 2021, p.103-105 (same statements) - https://wp-dfcapital-investors-2020.s3.eu-west-2.amazonaws.com/media/2022/05/Annual-report-and-accounts-year-end-2021.pdf
FY2020: Annual Report and Financial Statements 2020, p.91-93 (Consolidated Statement of Comprehensive Income / Financial Position / Changes in Equity) - https://wp-dfcapital-investors-2020.s3.eu-west-2.amazonaws.com/media/2021/04/21070044/Annual-report-and-accounts-Year-end-2020-Final-compressed.pdf
Each year's own originally-published figures used; the equity roll-forward ties exactly at every boundary (each year's closing Total equity ties to both the next year's own opening balance and that year's own Balance Sheet Total equity, including FY2020's own closing GBP50,889k tying to FY2021's own opening balance) - no plug rows needed anywhere in this series.
PRESENTATION NOTE: FY2021-FY2022 label the investment line 'Debt securities'; FY2024-FY2025 relabel it 'Investment securities' (same line, a money market fund holding was added) - shown on one row. FY2020- FY2021's cash line is labelled 'Cash and cash equivalents' vs later years' 'Cash and balances at central banks' - same line, relabelled. FY2020-FY2021 don't disclose separate Loans and advances to banks, Current/Deferred taxation asset, Derivatives, Amounts due to banks, Fair value adjustments on hedged liabilities or Subordinated liabilities lines (business was smaller and pre-dated some of these balances/hedge relationships - FY2020 specifically pre-dates any derivative/hedge activity entirely) - left blank rather than assumed zero. Share premium was cancelled during FY2023 (transferred to retained earnings) and Treasury shares only introduced FY2025 (share buyback) - both shown as blank in years they don't apply. FY2020's own P&amp;L splits out a distinct 'Exceptional items' line (GBP0k in FY2020, material only in the FY2019 comparative which is out of scope - see ENTITY NOTE) not carried as its own row since it nets to zero for every year actually included here.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 plausibly linked to the Group's disclosed opt-in to the PRA's Small Domestic Deposit Takers (SDDT) reduced-disclosure regime. MREL not disclosed any year, no exemption stated - consistent with a small SDDT-regime institution.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39:G3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Consolidated Income Statement</t>
        </is>
      </c>
    </row>
    <row r="2">
      <c r="A2" s="2" t="inlineStr">
        <is>
          <t>Distribution Finance Capital Holdings plc Group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Income</t>
        </is>
      </c>
      <c r="B4" s="6" t="n"/>
      <c r="C4" s="6" t="n"/>
      <c r="D4" s="6" t="n"/>
      <c r="E4" s="6" t="n"/>
      <c r="F4" s="6" t="n"/>
      <c r="G4" s="6" t="n"/>
    </row>
    <row r="5">
      <c r="A5" s="6" t="inlineStr">
        <is>
          <t>Interest and similar income</t>
        </is>
      </c>
      <c r="B5" s="6" t="n">
        <v>90698</v>
      </c>
      <c r="C5" s="6" t="n">
        <v>76820</v>
      </c>
      <c r="D5" s="6" t="n">
        <v>59970</v>
      </c>
      <c r="E5" s="6" t="n">
        <v>25407</v>
      </c>
      <c r="F5" s="6" t="n">
        <v>13259</v>
      </c>
      <c r="G5" s="6" t="n">
        <v>11233</v>
      </c>
    </row>
    <row r="6">
      <c r="A6" s="6" t="inlineStr">
        <is>
          <t>Interest and similar expenses</t>
        </is>
      </c>
      <c r="B6" s="6" t="n">
        <v>-34897</v>
      </c>
      <c r="C6" s="6" t="n">
        <v>-31208</v>
      </c>
      <c r="D6" s="6" t="n">
        <v>-22336</v>
      </c>
      <c r="E6" s="6" t="n">
        <v>-6411</v>
      </c>
      <c r="F6" s="6" t="n">
        <v>-2338</v>
      </c>
      <c r="G6" s="6" t="n">
        <v>-9174</v>
      </c>
    </row>
    <row r="7">
      <c r="A7" s="5" t="inlineStr">
        <is>
          <t>Net interest income</t>
        </is>
      </c>
      <c r="B7" s="5" t="n">
        <v>55801</v>
      </c>
      <c r="C7" s="5" t="n">
        <v>45612</v>
      </c>
      <c r="D7" s="5" t="n">
        <v>37634</v>
      </c>
      <c r="E7" s="5" t="n">
        <v>18996</v>
      </c>
      <c r="F7" s="5" t="n">
        <v>10921</v>
      </c>
      <c r="G7" s="5" t="n">
        <v>2059</v>
      </c>
    </row>
    <row r="8">
      <c r="A8" s="6" t="inlineStr">
        <is>
          <t>Fee income</t>
        </is>
      </c>
      <c r="B8" s="6" t="n">
        <v>1684</v>
      </c>
      <c r="C8" s="6" t="n">
        <v>1237</v>
      </c>
      <c r="D8" s="6" t="n">
        <v>1393</v>
      </c>
      <c r="E8" s="6" t="n">
        <v>1348</v>
      </c>
      <c r="F8" s="6" t="n">
        <v>466</v>
      </c>
      <c r="G8" s="6" t="n">
        <v>168</v>
      </c>
    </row>
    <row r="9">
      <c r="A9" s="6" t="inlineStr">
        <is>
          <t>Fee expenses</t>
        </is>
      </c>
      <c r="B9" s="6" t="n">
        <v>-1608</v>
      </c>
      <c r="C9" s="6" t="n">
        <v>-1626</v>
      </c>
      <c r="D9" s="6" t="n">
        <v>-719</v>
      </c>
      <c r="E9" s="6" t="n"/>
      <c r="F9" s="6" t="n"/>
      <c r="G9" s="6" t="n"/>
    </row>
    <row r="10">
      <c r="A10" s="6" t="inlineStr">
        <is>
          <t>Net losses on disposal of financial assets at FVOCI</t>
        </is>
      </c>
      <c r="B10" s="6" t="n"/>
      <c r="C10" s="6" t="n"/>
      <c r="D10" s="6" t="n"/>
      <c r="E10" s="6" t="n">
        <v>-17</v>
      </c>
      <c r="F10" s="6" t="n"/>
      <c r="G10" s="6" t="n">
        <v>15</v>
      </c>
    </row>
    <row r="11">
      <c r="A11" s="6" t="inlineStr">
        <is>
          <t>Net (losses)/gains from derivatives and other financial instruments at FVTPL</t>
        </is>
      </c>
      <c r="B11" s="6" t="n">
        <v>-773</v>
      </c>
      <c r="C11" s="6" t="n">
        <v>372</v>
      </c>
      <c r="D11" s="6" t="n">
        <v>-303</v>
      </c>
      <c r="E11" s="6" t="n">
        <v>99</v>
      </c>
      <c r="F11" s="6" t="n">
        <v>-3</v>
      </c>
      <c r="G11" s="6" t="n"/>
    </row>
    <row r="12">
      <c r="A12" s="6" t="inlineStr">
        <is>
          <t>Other operating income</t>
        </is>
      </c>
      <c r="B12" s="6" t="n">
        <v>28</v>
      </c>
      <c r="C12" s="6" t="n">
        <v>2</v>
      </c>
      <c r="D12" s="6" t="n">
        <v>9</v>
      </c>
      <c r="E12" s="6" t="n">
        <v>5</v>
      </c>
      <c r="F12" s="6" t="n"/>
      <c r="G12" s="6" t="n">
        <v>95</v>
      </c>
    </row>
    <row r="13">
      <c r="A13" s="6" t="inlineStr">
        <is>
          <t>Other operating (expense)/income</t>
        </is>
      </c>
      <c r="B13" s="6" t="n"/>
      <c r="C13" s="6" t="n"/>
      <c r="D13" s="6" t="n"/>
      <c r="E13" s="6" t="n"/>
      <c r="F13" s="6" t="n">
        <v>-81</v>
      </c>
      <c r="G13" s="6" t="n"/>
    </row>
    <row r="14">
      <c r="A14" s="6" t="inlineStr">
        <is>
          <t>Foreign currency gain/(loss)</t>
        </is>
      </c>
      <c r="B14" s="6" t="n">
        <v>907</v>
      </c>
      <c r="C14" s="6" t="n">
        <v>-107</v>
      </c>
      <c r="D14" s="6" t="n"/>
      <c r="E14" s="6" t="n"/>
      <c r="F14" s="6" t="n"/>
      <c r="G14" s="6" t="n"/>
    </row>
    <row r="15">
      <c r="A15" s="5" t="inlineStr">
        <is>
          <t>Total operating income</t>
        </is>
      </c>
      <c r="B15" s="5" t="n">
        <v>56039</v>
      </c>
      <c r="C15" s="5" t="n">
        <v>45490</v>
      </c>
      <c r="D15" s="5" t="n">
        <v>38014</v>
      </c>
      <c r="E15" s="5" t="n">
        <v>20431</v>
      </c>
      <c r="F15" s="5" t="n">
        <v>11303</v>
      </c>
      <c r="G15" s="5" t="n">
        <v>2337</v>
      </c>
    </row>
    <row r="16">
      <c r="A16" s="5" t="inlineStr">
        <is>
          <t>Expenses</t>
        </is>
      </c>
      <c r="B16" s="6" t="n"/>
      <c r="C16" s="6" t="n"/>
      <c r="D16" s="6" t="n"/>
      <c r="E16" s="6" t="n"/>
      <c r="F16" s="6" t="n"/>
      <c r="G16" s="6" t="n"/>
    </row>
    <row r="17">
      <c r="A17" s="6" t="inlineStr">
        <is>
          <t>Staff costs</t>
        </is>
      </c>
      <c r="B17" s="6" t="n">
        <v>-20684</v>
      </c>
      <c r="C17" s="6" t="n">
        <v>-16044</v>
      </c>
      <c r="D17" s="6" t="n">
        <v>-13431</v>
      </c>
      <c r="E17" s="6" t="n">
        <v>-10848</v>
      </c>
      <c r="F17" s="6" t="n">
        <v>-9121</v>
      </c>
      <c r="G17" s="6" t="n">
        <v>-9805</v>
      </c>
    </row>
    <row r="18">
      <c r="A18" s="6" t="inlineStr">
        <is>
          <t>Other operating expenses</t>
        </is>
      </c>
      <c r="B18" s="6" t="n">
        <v>-11497</v>
      </c>
      <c r="C18" s="6" t="n">
        <v>-10563</v>
      </c>
      <c r="D18" s="6" t="n">
        <v>-8412</v>
      </c>
      <c r="E18" s="6" t="n">
        <v>-5983</v>
      </c>
      <c r="F18" s="6" t="n">
        <v>-5386</v>
      </c>
      <c r="G18" s="6" t="n">
        <v>-5182</v>
      </c>
    </row>
    <row r="19">
      <c r="A19" s="6" t="inlineStr">
        <is>
          <t>Net impairment (loss)/gain on financial assets</t>
        </is>
      </c>
      <c r="B19" s="6" t="n">
        <v>-4267</v>
      </c>
      <c r="C19" s="6" t="n">
        <v>241</v>
      </c>
      <c r="D19" s="6" t="n">
        <v>-11598</v>
      </c>
      <c r="E19" s="6" t="n">
        <v>-2296</v>
      </c>
      <c r="F19" s="6" t="n">
        <v>-556</v>
      </c>
      <c r="G19" s="6" t="n">
        <v>-1294</v>
      </c>
    </row>
    <row r="20">
      <c r="A20" s="6" t="inlineStr">
        <is>
          <t>Other provisions</t>
        </is>
      </c>
      <c r="B20" s="6" t="n">
        <v>50</v>
      </c>
      <c r="C20" s="6" t="n">
        <v>-50</v>
      </c>
      <c r="D20" s="6" t="n"/>
      <c r="E20" s="6" t="n"/>
      <c r="F20" s="6" t="n">
        <v>25</v>
      </c>
      <c r="G20" s="6" t="n">
        <v>417</v>
      </c>
    </row>
    <row r="21">
      <c r="A21" s="6" t="inlineStr">
        <is>
          <t>Other losses</t>
        </is>
      </c>
      <c r="B21" s="6" t="n"/>
      <c r="C21" s="6" t="n"/>
      <c r="D21" s="6" t="n"/>
      <c r="E21" s="6" t="n"/>
      <c r="F21" s="6" t="n">
        <v>0</v>
      </c>
      <c r="G21" s="6" t="n">
        <v>-76</v>
      </c>
    </row>
    <row r="22">
      <c r="A22" s="5" t="inlineStr">
        <is>
          <t>Total operating profit/(loss)</t>
        </is>
      </c>
      <c r="B22" s="5" t="n">
        <v>19641</v>
      </c>
      <c r="C22" s="5" t="n">
        <v>19074</v>
      </c>
      <c r="D22" s="5" t="n">
        <v>4573</v>
      </c>
      <c r="E22" s="5" t="n">
        <v>1304</v>
      </c>
      <c r="F22" s="5" t="n">
        <v>-3735</v>
      </c>
      <c r="G22" s="5" t="n">
        <v>-13603</v>
      </c>
    </row>
    <row r="23">
      <c r="A23" s="5" t="inlineStr">
        <is>
          <t>Profit/(loss) before taxation</t>
        </is>
      </c>
      <c r="B23" s="5" t="n">
        <v>19641</v>
      </c>
      <c r="C23" s="5" t="n">
        <v>19074</v>
      </c>
      <c r="D23" s="5" t="n">
        <v>4573</v>
      </c>
      <c r="E23" s="5" t="n">
        <v>1304</v>
      </c>
      <c r="F23" s="5" t="n">
        <v>-3735</v>
      </c>
      <c r="G23" s="5" t="n">
        <v>-13603</v>
      </c>
    </row>
    <row r="24">
      <c r="A24" s="6" t="inlineStr">
        <is>
          <t>Taxation (charge)/credit</t>
        </is>
      </c>
      <c r="B24" s="6" t="n">
        <v>-4482</v>
      </c>
      <c r="C24" s="6" t="n">
        <v>-5053</v>
      </c>
      <c r="D24" s="6" t="n">
        <v>-1418</v>
      </c>
      <c r="E24" s="6" t="n">
        <v>8457</v>
      </c>
      <c r="F24" s="6" t="n">
        <v>59</v>
      </c>
      <c r="G24" s="6" t="n">
        <v>0</v>
      </c>
    </row>
    <row r="25">
      <c r="A25" s="5" t="inlineStr">
        <is>
          <t>Profit/(loss) after taxation</t>
        </is>
      </c>
      <c r="B25" s="5" t="n">
        <v>15159</v>
      </c>
      <c r="C25" s="5" t="n">
        <v>14021</v>
      </c>
      <c r="D25" s="5" t="n">
        <v>3155</v>
      </c>
      <c r="E25" s="5" t="n">
        <v>9761</v>
      </c>
      <c r="F25" s="5" t="n">
        <v>-3676</v>
      </c>
      <c r="G25" s="5" t="n">
        <v>-13603</v>
      </c>
    </row>
    <row r="26">
      <c r="A26" s="5" t="inlineStr">
        <is>
          <t>Other comprehensive income</t>
        </is>
      </c>
      <c r="B26" s="6" t="n"/>
      <c r="C26" s="6" t="n"/>
      <c r="D26" s="6" t="n"/>
      <c r="E26" s="6" t="n"/>
      <c r="F26" s="6" t="n"/>
      <c r="G26" s="6" t="n"/>
    </row>
    <row r="27">
      <c r="A27" s="6" t="inlineStr">
        <is>
          <t>FVOCI debt securities: amounts transferred to the income statement</t>
        </is>
      </c>
      <c r="B27" s="6" t="n"/>
      <c r="C27" s="6" t="n">
        <v>75</v>
      </c>
      <c r="D27" s="6" t="n"/>
      <c r="E27" s="6" t="n">
        <v>17</v>
      </c>
      <c r="F27" s="6" t="n">
        <v>3</v>
      </c>
      <c r="G27" s="6" t="n"/>
    </row>
    <row r="28">
      <c r="A28" s="6" t="inlineStr">
        <is>
          <t>FVOCI debt securities: fair value movements</t>
        </is>
      </c>
      <c r="B28" s="6" t="n"/>
      <c r="C28" s="6" t="n"/>
      <c r="D28" s="6" t="n">
        <v>183</v>
      </c>
      <c r="E28" s="6" t="n">
        <v>-96</v>
      </c>
      <c r="F28" s="6" t="n">
        <v>-165</v>
      </c>
      <c r="G28" s="6" t="n">
        <v>-22</v>
      </c>
    </row>
    <row r="29">
      <c r="A29" s="5" t="inlineStr">
        <is>
          <t>Total other comprehensive income/(loss) for the year, net of tax</t>
        </is>
      </c>
      <c r="B29" s="5" t="n">
        <v>0</v>
      </c>
      <c r="C29" s="5" t="n">
        <v>75</v>
      </c>
      <c r="D29" s="5" t="n">
        <v>183</v>
      </c>
      <c r="E29" s="5" t="n">
        <v>-79</v>
      </c>
      <c r="F29" s="5" t="n">
        <v>-162</v>
      </c>
      <c r="G29" s="5" t="n">
        <v>-22</v>
      </c>
    </row>
    <row r="30">
      <c r="A30" s="5" t="inlineStr">
        <is>
          <t>Total comprehensive income/(loss) for the year</t>
        </is>
      </c>
      <c r="B30" s="5" t="n">
        <v>15159</v>
      </c>
      <c r="C30" s="5" t="n">
        <v>14096</v>
      </c>
      <c r="D30" s="5" t="n">
        <v>3338</v>
      </c>
      <c r="E30" s="5" t="n">
        <v>9682</v>
      </c>
      <c r="F30" s="5" t="n">
        <v>-3838</v>
      </c>
      <c r="G30" s="5" t="n">
        <v>-13625</v>
      </c>
    </row>
    <row r="32" ht="340" customHeight="1">
      <c r="A32" s="8" t="inlineStr">
        <is>
          <t>Sources - Distribution Finance Capital Holdings plc's Consolidated Financial Statements (Group basis, the Bank's own filed accounts are fully scanned - see ENTITY NOTE):
FY2025/FY2024: Annual Report and Accounts 2025, p.111-114 (Consolidated Statement of Comprehensive Income / Financial Position / Changes in Equity) - https://wp-dfcapital-investors-2020.s3.eu-west-2.amazonaws.com/media/2026/03/DF-Capital-Annual-Report-and-Accounts-year-ending-2025.pdf
FY2023/FY2022: Annual Report and Accounts 2023, p.111-114 (same statements) - https://wp-dfcapital-investors-2020.s3.eu-west-2.amazonaws.com/media/2024/04/DF-Capital-Annual-Report-and-Accounts-year-ending-2023-1.pdf
FY2021: Annual Report and Accounts 2021, p.103-105 (same statements) - https://wp-dfcapital-investors-2020.s3.eu-west-2.amazonaws.com/media/2022/05/Annual-report-and-accounts-year-end-2021.pdf
FY2020: Annual Report and Financial Statements 2020, p.91-93 (Consolidated Statement of Comprehensive Income / Financial Position / Changes in Equity) - https://wp-dfcapital-investors-2020.s3.eu-west-2.amazonaws.com/media/2021/04/21070044/Annual-report-and-accounts-Year-end-2020-Final-compressed.pdf
Each year's own originally-published figures used; the equity roll-forward ties exactly at every boundary (each year's closing Total equity ties to both the next year's own opening balance and that year's own Balance Sheet Total equity, including FY2020's own closing GBP50,889k tying to FY2021's own opening balance) - no plug rows needed anywhere in this series.
PRESENTATION NOTE: FY2021-FY2022 label the investment line 'Debt securities'; FY2024-FY2025 relabel it 'Investment securities' (same line, a money market fund holding was added) - shown on one row. FY2020- FY2021's cash line is labelled 'Cash and cash equivalents' vs later years' 'Cash and balances at central banks' - same line, relabelled. FY2020-FY2021 don't disclose separate Loans and advances to banks, Current/Deferred taxation asset, Derivatives, Amounts due to banks, Fair value adjustments on hedged liabilities or Subordinated liabilities lines (business was smaller and pre-dated some of these balances/hedge relationships - FY2020 specifically pre-dates any derivative/hedge activity entirely) - left blank rather than assumed zero. Share premium was cancelled during FY2023 (transferred to retained earnings) and Treasury shares only introduced FY2025 (share buyback) - both shown as blank in years they don't apply. FY2020's own P&amp;L splits out a distinct 'Exceptional items' line (GBP0k in FY2020, material only in the FY2019 comparative which is out of scope - see ENTITY NOTE) not carried as its own row since it nets to zero for every year actually included here.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 plausibly linked to the Group's disclosed opt-in to the PRA's Small Domestic Deposit Takers (SDDT) reduced-disclosure regime. MREL not disclosed any year, no exemption stated - consistent with a small SDDT-regime institution.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32:G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45"/>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DF Capital Bank Limited — Consolidated Statement of Changes in Equity</t>
        </is>
      </c>
    </row>
    <row r="2">
      <c r="A2" s="2" t="inlineStr">
        <is>
          <t>Distribution Finance Capital Holdings plc Group basis, £'000. See source note at bottom.</t>
        </is>
      </c>
    </row>
    <row r="3">
      <c r="A3" s="4" t="inlineStr">
        <is>
          <t>Movement</t>
        </is>
      </c>
      <c r="B3" s="4" t="inlineStr">
        <is>
          <t>Issued share capital</t>
        </is>
      </c>
      <c r="C3" s="4" t="inlineStr">
        <is>
          <t>Share premium</t>
        </is>
      </c>
      <c r="D3" s="4" t="inlineStr">
        <is>
          <t>Merger relief</t>
        </is>
      </c>
      <c r="E3" s="4" t="inlineStr">
        <is>
          <t>Merger reserve</t>
        </is>
      </c>
      <c r="F3" s="4" t="inlineStr">
        <is>
          <t>Own shares</t>
        </is>
      </c>
      <c r="G3" s="4" t="inlineStr">
        <is>
          <t>Treasury shares</t>
        </is>
      </c>
      <c r="H3" s="4" t="inlineStr">
        <is>
          <t>Retained earnings/(loss)</t>
        </is>
      </c>
      <c r="I3" s="4" t="inlineStr">
        <is>
          <t>Total equity</t>
        </is>
      </c>
    </row>
    <row r="4">
      <c r="A4" s="5" t="inlineStr">
        <is>
          <t>At 31 December 2019 (FY2020 opening)</t>
        </is>
      </c>
      <c r="B4" s="5" t="n">
        <v>1066</v>
      </c>
      <c r="C4" s="5" t="n"/>
      <c r="D4" s="5" t="n">
        <v>94911</v>
      </c>
      <c r="E4" s="5" t="n">
        <v>-20609</v>
      </c>
      <c r="F4" s="5" t="n"/>
      <c r="G4" s="5" t="n"/>
      <c r="H4" s="5" t="n">
        <v>-10812</v>
      </c>
      <c r="I4" s="5" t="n">
        <v>64556</v>
      </c>
    </row>
    <row r="5">
      <c r="A5" s="6" t="inlineStr">
        <is>
          <t>Loss after taxation (FY2020)</t>
        </is>
      </c>
      <c r="B5" s="6" t="n"/>
      <c r="C5" s="6" t="n"/>
      <c r="D5" s="6" t="n"/>
      <c r="E5" s="6" t="n"/>
      <c r="F5" s="6" t="n"/>
      <c r="G5" s="6" t="n"/>
      <c r="H5" s="6" t="n">
        <v>-13603</v>
      </c>
      <c r="I5" s="6" t="n">
        <v>-13603</v>
      </c>
    </row>
    <row r="6">
      <c r="A6" s="6" t="inlineStr">
        <is>
          <t>Other comprehensive loss (FY2020)</t>
        </is>
      </c>
      <c r="B6" s="6" t="n"/>
      <c r="C6" s="6" t="n"/>
      <c r="D6" s="6" t="n"/>
      <c r="E6" s="6" t="n"/>
      <c r="F6" s="6" t="n"/>
      <c r="G6" s="6" t="n"/>
      <c r="H6" s="6" t="n">
        <v>-22</v>
      </c>
      <c r="I6" s="6" t="n">
        <v>-22</v>
      </c>
    </row>
    <row r="7">
      <c r="A7" s="5" t="inlineStr">
        <is>
          <t>Total comprehensive loss for the year (FY2020)</t>
        </is>
      </c>
      <c r="B7" s="5" t="n"/>
      <c r="C7" s="5" t="n"/>
      <c r="D7" s="5" t="n"/>
      <c r="E7" s="5" t="n"/>
      <c r="F7" s="5" t="n"/>
      <c r="G7" s="5" t="n"/>
      <c r="H7" s="5" t="n">
        <v>-13625</v>
      </c>
      <c r="I7" s="5" t="n">
        <v>-13625</v>
      </c>
    </row>
    <row r="8">
      <c r="A8" s="6" t="inlineStr">
        <is>
          <t>Share-based payments (FY2020)</t>
        </is>
      </c>
      <c r="B8" s="6" t="n"/>
      <c r="C8" s="6" t="n"/>
      <c r="D8" s="6" t="n"/>
      <c r="E8" s="6" t="n"/>
      <c r="F8" s="6" t="n"/>
      <c r="G8" s="6" t="n"/>
      <c r="H8" s="6" t="n">
        <v>322</v>
      </c>
      <c r="I8" s="6" t="n">
        <v>322</v>
      </c>
    </row>
    <row r="9">
      <c r="A9" s="6" t="inlineStr">
        <is>
          <t>Employee Benefit Trust loan (FY2020)</t>
        </is>
      </c>
      <c r="B9" s="6" t="n"/>
      <c r="C9" s="6" t="n"/>
      <c r="D9" s="6" t="n"/>
      <c r="E9" s="6" t="n"/>
      <c r="F9" s="6" t="n">
        <v>-364</v>
      </c>
      <c r="G9" s="6" t="n"/>
      <c r="H9" s="6" t="n"/>
      <c r="I9" s="6" t="n">
        <v>-364</v>
      </c>
    </row>
    <row r="10">
      <c r="A10" s="5" t="inlineStr">
        <is>
          <t>At 31 December 2020 (FY2021 opening)</t>
        </is>
      </c>
      <c r="B10" s="5" t="n">
        <v>1066</v>
      </c>
      <c r="C10" s="5" t="n"/>
      <c r="D10" s="5" t="n">
        <v>94911</v>
      </c>
      <c r="E10" s="5" t="n">
        <v>-20609</v>
      </c>
      <c r="F10" s="5" t="n">
        <v>-364</v>
      </c>
      <c r="G10" s="5" t="n"/>
      <c r="H10" s="5" t="n">
        <v>-24115</v>
      </c>
      <c r="I10" s="5" t="n">
        <v>50889</v>
      </c>
    </row>
    <row r="11">
      <c r="A11" s="6" t="inlineStr">
        <is>
          <t>Loss after taxation (FY2021)</t>
        </is>
      </c>
      <c r="B11" s="6" t="n"/>
      <c r="C11" s="6" t="n"/>
      <c r="D11" s="6" t="n"/>
      <c r="E11" s="6" t="n"/>
      <c r="F11" s="6" t="n"/>
      <c r="G11" s="6" t="n"/>
      <c r="H11" s="6" t="n">
        <v>-3676</v>
      </c>
      <c r="I11" s="6" t="n">
        <v>-3676</v>
      </c>
    </row>
    <row r="12">
      <c r="A12" s="6" t="inlineStr">
        <is>
          <t>Other comprehensive loss (FY2021)</t>
        </is>
      </c>
      <c r="B12" s="6" t="n"/>
      <c r="C12" s="6" t="n"/>
      <c r="D12" s="6" t="n"/>
      <c r="E12" s="6" t="n"/>
      <c r="F12" s="6" t="n"/>
      <c r="G12" s="6" t="n"/>
      <c r="H12" s="6" t="n">
        <v>-162</v>
      </c>
      <c r="I12" s="6" t="n">
        <v>-162</v>
      </c>
    </row>
    <row r="13">
      <c r="A13" s="5" t="inlineStr">
        <is>
          <t>Total comprehensive loss for the year (FY2021)</t>
        </is>
      </c>
      <c r="B13" s="5" t="n"/>
      <c r="C13" s="5" t="n"/>
      <c r="D13" s="5" t="n"/>
      <c r="E13" s="5" t="n"/>
      <c r="F13" s="5" t="n"/>
      <c r="G13" s="5" t="n"/>
      <c r="H13" s="5" t="n">
        <v>-3838</v>
      </c>
      <c r="I13" s="5" t="n">
        <v>-3838</v>
      </c>
    </row>
    <row r="14">
      <c r="A14" s="6" t="inlineStr">
        <is>
          <t>Share-based payments (FY2021)</t>
        </is>
      </c>
      <c r="B14" s="6" t="n"/>
      <c r="C14" s="6" t="n"/>
      <c r="D14" s="6" t="n"/>
      <c r="E14" s="6" t="n"/>
      <c r="F14" s="6" t="n"/>
      <c r="G14" s="6" t="n"/>
      <c r="H14" s="6" t="n">
        <v>362</v>
      </c>
      <c r="I14" s="6" t="n">
        <v>362</v>
      </c>
    </row>
    <row r="15">
      <c r="A15" s="6" t="inlineStr">
        <is>
          <t>Issue of new shares (FY2021)</t>
        </is>
      </c>
      <c r="B15" s="6" t="n">
        <v>727</v>
      </c>
      <c r="C15" s="6" t="n">
        <v>39273</v>
      </c>
      <c r="D15" s="6" t="n"/>
      <c r="E15" s="6" t="n"/>
      <c r="F15" s="6" t="n"/>
      <c r="G15" s="6" t="n"/>
      <c r="H15" s="6" t="n">
        <v>-1355</v>
      </c>
      <c r="I15" s="6" t="n">
        <v>38645</v>
      </c>
    </row>
    <row r="16">
      <c r="A16" s="5" t="inlineStr">
        <is>
          <t>At 31 December 2021</t>
        </is>
      </c>
      <c r="B16" s="5" t="n">
        <v>1793</v>
      </c>
      <c r="C16" s="5" t="n">
        <v>39273</v>
      </c>
      <c r="D16" s="5" t="n">
        <v>94911</v>
      </c>
      <c r="E16" s="5" t="n">
        <v>-20609</v>
      </c>
      <c r="F16" s="5" t="n">
        <v>-364</v>
      </c>
      <c r="G16" s="5" t="n"/>
      <c r="H16" s="5" t="n">
        <v>-28946</v>
      </c>
      <c r="I16" s="5" t="n">
        <v>86058</v>
      </c>
    </row>
    <row r="17">
      <c r="A17" s="6" t="inlineStr">
        <is>
          <t>Profit after taxation (FY2022)</t>
        </is>
      </c>
      <c r="B17" s="6" t="n"/>
      <c r="C17" s="6" t="n"/>
      <c r="D17" s="6" t="n"/>
      <c r="E17" s="6" t="n"/>
      <c r="F17" s="6" t="n"/>
      <c r="G17" s="6" t="n"/>
      <c r="H17" s="6" t="n">
        <v>9761</v>
      </c>
      <c r="I17" s="6" t="n">
        <v>9761</v>
      </c>
    </row>
    <row r="18">
      <c r="A18" s="6" t="inlineStr">
        <is>
          <t>Other comprehensive loss (FY2022)</t>
        </is>
      </c>
      <c r="B18" s="6" t="n"/>
      <c r="C18" s="6" t="n"/>
      <c r="D18" s="6" t="n"/>
      <c r="E18" s="6" t="n"/>
      <c r="F18" s="6" t="n"/>
      <c r="G18" s="6" t="n"/>
      <c r="H18" s="6" t="n">
        <v>-79</v>
      </c>
      <c r="I18" s="6" t="n">
        <v>-79</v>
      </c>
    </row>
    <row r="19">
      <c r="A19" s="5" t="inlineStr">
        <is>
          <t>Total comprehensive income for the year (FY2022)</t>
        </is>
      </c>
      <c r="B19" s="5" t="n"/>
      <c r="C19" s="5" t="n"/>
      <c r="D19" s="5" t="n"/>
      <c r="E19" s="5" t="n"/>
      <c r="F19" s="5" t="n"/>
      <c r="G19" s="5" t="n"/>
      <c r="H19" s="5" t="n">
        <v>9682</v>
      </c>
      <c r="I19" s="5" t="n">
        <v>9682</v>
      </c>
    </row>
    <row r="20">
      <c r="A20" s="6" t="inlineStr">
        <is>
          <t>Share-based payments (FY2022)</t>
        </is>
      </c>
      <c r="B20" s="6" t="n"/>
      <c r="C20" s="6" t="n"/>
      <c r="D20" s="6" t="n"/>
      <c r="E20" s="6" t="n"/>
      <c r="F20" s="6" t="n"/>
      <c r="G20" s="6" t="n"/>
      <c r="H20" s="6" t="n">
        <v>499</v>
      </c>
      <c r="I20" s="6" t="n">
        <v>499</v>
      </c>
    </row>
    <row r="21">
      <c r="A21" s="5" t="inlineStr">
        <is>
          <t>At 31 December 2022</t>
        </is>
      </c>
      <c r="B21" s="5" t="n">
        <v>1793</v>
      </c>
      <c r="C21" s="5" t="n">
        <v>39273</v>
      </c>
      <c r="D21" s="5" t="n">
        <v>94911</v>
      </c>
      <c r="E21" s="5" t="n">
        <v>-20609</v>
      </c>
      <c r="F21" s="5" t="n">
        <v>-364</v>
      </c>
      <c r="G21" s="5" t="n"/>
      <c r="H21" s="5" t="n">
        <v>-18765</v>
      </c>
      <c r="I21" s="5" t="n">
        <v>96239</v>
      </c>
    </row>
    <row r="22">
      <c r="A22" s="6" t="inlineStr">
        <is>
          <t>Profit after taxation (FY2023)</t>
        </is>
      </c>
      <c r="B22" s="6" t="n"/>
      <c r="C22" s="6" t="n"/>
      <c r="D22" s="6" t="n"/>
      <c r="E22" s="6" t="n"/>
      <c r="F22" s="6" t="n"/>
      <c r="G22" s="6" t="n"/>
      <c r="H22" s="6" t="n">
        <v>3155</v>
      </c>
      <c r="I22" s="6" t="n">
        <v>3155</v>
      </c>
    </row>
    <row r="23">
      <c r="A23" s="6" t="inlineStr">
        <is>
          <t>Other comprehensive income (FY2023)</t>
        </is>
      </c>
      <c r="B23" s="6" t="n"/>
      <c r="C23" s="6" t="n"/>
      <c r="D23" s="6" t="n"/>
      <c r="E23" s="6" t="n"/>
      <c r="F23" s="6" t="n"/>
      <c r="G23" s="6" t="n"/>
      <c r="H23" s="6" t="n">
        <v>183</v>
      </c>
      <c r="I23" s="6" t="n">
        <v>183</v>
      </c>
    </row>
    <row r="24">
      <c r="A24" s="5" t="inlineStr">
        <is>
          <t>Total comprehensive income for the year (FY2023)</t>
        </is>
      </c>
      <c r="B24" s="5" t="n"/>
      <c r="C24" s="5" t="n"/>
      <c r="D24" s="5" t="n"/>
      <c r="E24" s="5" t="n"/>
      <c r="F24" s="5" t="n"/>
      <c r="G24" s="5" t="n"/>
      <c r="H24" s="5" t="n">
        <v>3338</v>
      </c>
      <c r="I24" s="5" t="n">
        <v>3338</v>
      </c>
    </row>
    <row r="25">
      <c r="A25" s="6" t="inlineStr">
        <is>
          <t>Share-based payments (FY2023)</t>
        </is>
      </c>
      <c r="B25" s="6" t="n"/>
      <c r="C25" s="6" t="n"/>
      <c r="D25" s="6" t="n"/>
      <c r="E25" s="6" t="n"/>
      <c r="F25" s="6" t="n"/>
      <c r="G25" s="6" t="n"/>
      <c r="H25" s="6" t="n">
        <v>905</v>
      </c>
      <c r="I25" s="6" t="n">
        <v>905</v>
      </c>
    </row>
    <row r="26">
      <c r="A26" s="6" t="inlineStr">
        <is>
          <t>Employee Benefit Trust (FY2023)</t>
        </is>
      </c>
      <c r="B26" s="6" t="n"/>
      <c r="C26" s="6" t="n"/>
      <c r="D26" s="6" t="n"/>
      <c r="E26" s="6" t="n"/>
      <c r="F26" s="6" t="n">
        <v>-37</v>
      </c>
      <c r="G26" s="6" t="n"/>
      <c r="H26" s="6" t="n">
        <v>-31</v>
      </c>
      <c r="I26" s="6" t="n">
        <v>-68</v>
      </c>
    </row>
    <row r="27">
      <c r="A27" s="6" t="inlineStr">
        <is>
          <t>Share premium account cancellation (FY2023)</t>
        </is>
      </c>
      <c r="B27" s="6" t="n"/>
      <c r="C27" s="6" t="n">
        <v>-39273</v>
      </c>
      <c r="D27" s="6" t="n"/>
      <c r="E27" s="6" t="n"/>
      <c r="F27" s="6" t="n"/>
      <c r="G27" s="6" t="n"/>
      <c r="H27" s="6" t="n">
        <v>39273</v>
      </c>
      <c r="I27" s="6" t="n">
        <v>0</v>
      </c>
    </row>
    <row r="28">
      <c r="A28" s="5" t="inlineStr">
        <is>
          <t>At 31 December 2023</t>
        </is>
      </c>
      <c r="B28" s="5" t="n">
        <v>1793</v>
      </c>
      <c r="C28" s="5" t="n">
        <v>0</v>
      </c>
      <c r="D28" s="5" t="n">
        <v>94911</v>
      </c>
      <c r="E28" s="5" t="n">
        <v>-20609</v>
      </c>
      <c r="F28" s="5" t="n">
        <v>-401</v>
      </c>
      <c r="G28" s="5" t="n"/>
      <c r="H28" s="5" t="n">
        <v>24720</v>
      </c>
      <c r="I28" s="5" t="n">
        <v>100414</v>
      </c>
    </row>
    <row r="29">
      <c r="A29" s="6" t="inlineStr">
        <is>
          <t>Profit after taxation (FY2024)</t>
        </is>
      </c>
      <c r="B29" s="6" t="n"/>
      <c r="C29" s="6" t="n"/>
      <c r="D29" s="6" t="n"/>
      <c r="E29" s="6" t="n"/>
      <c r="F29" s="6" t="n"/>
      <c r="G29" s="6" t="n"/>
      <c r="H29" s="6" t="n">
        <v>14021</v>
      </c>
      <c r="I29" s="6" t="n">
        <v>14021</v>
      </c>
    </row>
    <row r="30">
      <c r="A30" s="6" t="inlineStr">
        <is>
          <t>Other comprehensive income (FY2024)</t>
        </is>
      </c>
      <c r="B30" s="6" t="n"/>
      <c r="C30" s="6" t="n"/>
      <c r="D30" s="6" t="n"/>
      <c r="E30" s="6" t="n"/>
      <c r="F30" s="6" t="n"/>
      <c r="G30" s="6" t="n"/>
      <c r="H30" s="6" t="n">
        <v>75</v>
      </c>
      <c r="I30" s="6" t="n">
        <v>75</v>
      </c>
    </row>
    <row r="31">
      <c r="A31" s="5" t="inlineStr">
        <is>
          <t>Total comprehensive income for the year (FY2024)</t>
        </is>
      </c>
      <c r="B31" s="5" t="n"/>
      <c r="C31" s="5" t="n"/>
      <c r="D31" s="5" t="n"/>
      <c r="E31" s="5" t="n"/>
      <c r="F31" s="5" t="n"/>
      <c r="G31" s="5" t="n"/>
      <c r="H31" s="5" t="n">
        <v>14096</v>
      </c>
      <c r="I31" s="5" t="n">
        <v>14096</v>
      </c>
    </row>
    <row r="32">
      <c r="A32" s="6" t="inlineStr">
        <is>
          <t>Share-based payments (FY2024)</t>
        </is>
      </c>
      <c r="B32" s="6" t="n"/>
      <c r="C32" s="6" t="n"/>
      <c r="D32" s="6" t="n"/>
      <c r="E32" s="6" t="n"/>
      <c r="F32" s="6" t="n"/>
      <c r="G32" s="6" t="n"/>
      <c r="H32" s="6" t="n">
        <v>985</v>
      </c>
      <c r="I32" s="6" t="n">
        <v>985</v>
      </c>
    </row>
    <row r="33">
      <c r="A33" s="6" t="inlineStr">
        <is>
          <t>Employee Benefit Trust (FY2024)</t>
        </is>
      </c>
      <c r="B33" s="6" t="n"/>
      <c r="C33" s="6" t="n"/>
      <c r="D33" s="6" t="n"/>
      <c r="E33" s="6" t="n"/>
      <c r="F33" s="6" t="n">
        <v>-39</v>
      </c>
      <c r="G33" s="6" t="n"/>
      <c r="H33" s="6" t="n">
        <v>-102</v>
      </c>
      <c r="I33" s="6" t="n">
        <v>-141</v>
      </c>
    </row>
    <row r="34">
      <c r="A34" s="5" t="inlineStr">
        <is>
          <t>At 31 December 2024</t>
        </is>
      </c>
      <c r="B34" s="5" t="n">
        <v>1793</v>
      </c>
      <c r="C34" s="5" t="n">
        <v>0</v>
      </c>
      <c r="D34" s="5" t="n">
        <v>94911</v>
      </c>
      <c r="E34" s="5" t="n">
        <v>-20609</v>
      </c>
      <c r="F34" s="5" t="n">
        <v>-440</v>
      </c>
      <c r="G34" s="5" t="n"/>
      <c r="H34" s="5" t="n">
        <v>39699</v>
      </c>
      <c r="I34" s="5" t="n">
        <v>115354</v>
      </c>
    </row>
    <row r="35">
      <c r="A35" s="6" t="inlineStr">
        <is>
          <t>Profit after taxation (FY2025)</t>
        </is>
      </c>
      <c r="B35" s="6" t="n"/>
      <c r="C35" s="6" t="n"/>
      <c r="D35" s="6" t="n"/>
      <c r="E35" s="6" t="n"/>
      <c r="F35" s="6" t="n"/>
      <c r="G35" s="6" t="n"/>
      <c r="H35" s="6" t="n">
        <v>15159</v>
      </c>
      <c r="I35" s="6" t="n">
        <v>15159</v>
      </c>
    </row>
    <row r="36">
      <c r="A36" s="6" t="inlineStr">
        <is>
          <t>Other comprehensive income (FY2025)</t>
        </is>
      </c>
      <c r="B36" s="6" t="n"/>
      <c r="C36" s="6" t="n"/>
      <c r="D36" s="6" t="n"/>
      <c r="E36" s="6" t="n"/>
      <c r="F36" s="6" t="n"/>
      <c r="G36" s="6" t="n"/>
      <c r="H36" s="6" t="n">
        <v>0</v>
      </c>
      <c r="I36" s="6" t="n">
        <v>0</v>
      </c>
    </row>
    <row r="37">
      <c r="A37" s="5" t="inlineStr">
        <is>
          <t>Total comprehensive income for the year (FY2025)</t>
        </is>
      </c>
      <c r="B37" s="5" t="n"/>
      <c r="C37" s="5" t="n"/>
      <c r="D37" s="5" t="n"/>
      <c r="E37" s="5" t="n"/>
      <c r="F37" s="5" t="n"/>
      <c r="G37" s="5" t="n"/>
      <c r="H37" s="5" t="n">
        <v>15159</v>
      </c>
      <c r="I37" s="5" t="n">
        <v>15159</v>
      </c>
    </row>
    <row r="38">
      <c r="A38" s="6" t="inlineStr">
        <is>
          <t>Share-based payments (FY2025)</t>
        </is>
      </c>
      <c r="B38" s="6" t="n"/>
      <c r="C38" s="6" t="n"/>
      <c r="D38" s="6" t="n"/>
      <c r="E38" s="6" t="n"/>
      <c r="F38" s="6" t="n"/>
      <c r="G38" s="6" t="n"/>
      <c r="H38" s="6" t="n">
        <v>1254</v>
      </c>
      <c r="I38" s="6" t="n">
        <v>1254</v>
      </c>
    </row>
    <row r="39">
      <c r="A39" s="6" t="inlineStr">
        <is>
          <t>Employee Benefit Trust (FY2025)</t>
        </is>
      </c>
      <c r="B39" s="6" t="n"/>
      <c r="C39" s="6" t="n"/>
      <c r="D39" s="6" t="n"/>
      <c r="E39" s="6" t="n"/>
      <c r="F39" s="6" t="n">
        <v>-108</v>
      </c>
      <c r="G39" s="6" t="n"/>
      <c r="H39" s="6" t="n">
        <v>-84</v>
      </c>
      <c r="I39" s="6" t="n">
        <v>-192</v>
      </c>
    </row>
    <row r="40">
      <c r="A40" s="6" t="inlineStr">
        <is>
          <t>Share Buyback (FY2025)</t>
        </is>
      </c>
      <c r="B40" s="6" t="n"/>
      <c r="C40" s="6" t="n"/>
      <c r="D40" s="6" t="n"/>
      <c r="E40" s="6" t="n"/>
      <c r="F40" s="6" t="n"/>
      <c r="G40" s="6" t="n">
        <v>-4877</v>
      </c>
      <c r="H40" s="6" t="n"/>
      <c r="I40" s="6" t="n">
        <v>-4877</v>
      </c>
    </row>
    <row r="41">
      <c r="A41" s="6" t="inlineStr">
        <is>
          <t>Settlement of share options (FY2025)</t>
        </is>
      </c>
      <c r="B41" s="6" t="n"/>
      <c r="C41" s="6" t="n"/>
      <c r="D41" s="6" t="n"/>
      <c r="E41" s="6" t="n"/>
      <c r="F41" s="6" t="n"/>
      <c r="G41" s="6" t="n">
        <v>122</v>
      </c>
      <c r="H41" s="6" t="n">
        <v>-6</v>
      </c>
      <c r="I41" s="6" t="n">
        <v>116</v>
      </c>
    </row>
    <row r="42">
      <c r="A42" s="6" t="inlineStr">
        <is>
          <t>Deferred tax asset on share-based payments (FY2025)</t>
        </is>
      </c>
      <c r="B42" s="6" t="n"/>
      <c r="C42" s="6" t="n"/>
      <c r="D42" s="6" t="n"/>
      <c r="E42" s="6" t="n"/>
      <c r="F42" s="6" t="n"/>
      <c r="G42" s="6" t="n"/>
      <c r="H42" s="6" t="n">
        <v>416</v>
      </c>
      <c r="I42" s="6" t="n">
        <v>416</v>
      </c>
    </row>
    <row r="43">
      <c r="A43" s="5" t="inlineStr">
        <is>
          <t>At 31 December 2025</t>
        </is>
      </c>
      <c r="B43" s="5" t="n">
        <v>1793</v>
      </c>
      <c r="C43" s="5" t="n">
        <v>0</v>
      </c>
      <c r="D43" s="5" t="n">
        <v>94911</v>
      </c>
      <c r="E43" s="5" t="n">
        <v>-20609</v>
      </c>
      <c r="F43" s="5" t="n">
        <v>-548</v>
      </c>
      <c r="G43" s="5" t="n">
        <v>-4755</v>
      </c>
      <c r="H43" s="5" t="n">
        <v>56438</v>
      </c>
      <c r="I43" s="5" t="n">
        <v>127230</v>
      </c>
    </row>
    <row r="45" ht="340" customHeight="1">
      <c r="A45" s="8" t="inlineStr">
        <is>
          <t>Sources - Distribution Finance Capital Holdings plc's Consolidated Financial Statements (Group basis, the Bank's own filed accounts are fully scanned - see ENTITY NOTE):
FY2025/FY2024: Annual Report and Accounts 2025, p.111-114 (Consolidated Statement of Comprehensive Income / Financial Position / Changes in Equity) - https://wp-dfcapital-investors-2020.s3.eu-west-2.amazonaws.com/media/2026/03/DF-Capital-Annual-Report-and-Accounts-year-ending-2025.pdf
FY2023/FY2022: Annual Report and Accounts 2023, p.111-114 (same statements) - https://wp-dfcapital-investors-2020.s3.eu-west-2.amazonaws.com/media/2024/04/DF-Capital-Annual-Report-and-Accounts-year-ending-2023-1.pdf
FY2021: Annual Report and Accounts 2021, p.103-105 (same statements) - https://wp-dfcapital-investors-2020.s3.eu-west-2.amazonaws.com/media/2022/05/Annual-report-and-accounts-year-end-2021.pdf
FY2020: Annual Report and Financial Statements 2020, p.91-93 (Consolidated Statement of Comprehensive Income / Financial Position / Changes in Equity) - https://wp-dfcapital-investors-2020.s3.eu-west-2.amazonaws.com/media/2021/04/21070044/Annual-report-and-accounts-Year-end-2020-Final-compressed.pdf
Each year's own originally-published figures used; the equity roll-forward ties exactly at every boundary (each year's closing Total equity ties to both the next year's own opening balance and that year's own Balance Sheet Total equity, including FY2020's own closing GBP50,889k tying to FY2021's own opening balance) - no plug rows needed anywhere in this series.
PRESENTATION NOTE: FY2021-FY2022 label the investment line 'Debt securities'; FY2024-FY2025 relabel it 'Investment securities' (same line, a money market fund holding was added) - shown on one row. FY2020- FY2021's cash line is labelled 'Cash and cash equivalents' vs later years' 'Cash and balances at central banks' - same line, relabelled. FY2020-FY2021 don't disclose separate Loans and advances to banks, Current/Deferred taxation asset, Derivatives, Amounts due to banks, Fair value adjustments on hedged liabilities or Subordinated liabilities lines (business was smaller and pre-dated some of these balances/hedge relationships - FY2020 specifically pre-dates any derivative/hedge activity entirely) - left blank rather than assumed zero. Share premium was cancelled during FY2023 (transferred to retained earnings) and Treasury shares only introduced FY2025 (share buyback) - both shown as blank in years they don't apply. FY2020's own P&amp;L splits out a distinct 'Exceptional items' line (GBP0k in FY2020, material only in the FY2019 comparative which is out of scope - see ENTITY NOTE) not carried as its own row since it nets to zero for every year actually included here.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 plausibly linked to the Group's disclosed opt-in to the PRA's Small Domestic Deposit Takers (SDDT) reduced-disclosure regime. MREL not disclosed any year, no exemption stated - consistent with a small SDDT-regime institution.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45:I4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Consolidated Cash Flow Statement</t>
        </is>
      </c>
    </row>
    <row r="2">
      <c r="A2" s="2" t="inlineStr">
        <is>
          <t>Distribution Finance Capital Holdings plc Group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Operating activities</t>
        </is>
      </c>
      <c r="B4" s="6" t="n"/>
      <c r="C4" s="6" t="n"/>
      <c r="D4" s="6" t="n"/>
      <c r="E4" s="6" t="n"/>
      <c r="F4" s="6" t="n"/>
      <c r="G4" s="6" t="n"/>
    </row>
    <row r="5">
      <c r="A5" s="6" t="inlineStr">
        <is>
          <t>Profit/(loss) before taxation</t>
        </is>
      </c>
      <c r="B5" s="6" t="n">
        <v>19641</v>
      </c>
      <c r="C5" s="6" t="n">
        <v>19074</v>
      </c>
      <c r="D5" s="6" t="n">
        <v>4573</v>
      </c>
      <c r="E5" s="6" t="n">
        <v>1304</v>
      </c>
      <c r="F5" s="6" t="n">
        <v>-3735</v>
      </c>
      <c r="G5" s="6" t="n">
        <v>-13603</v>
      </c>
    </row>
    <row r="6">
      <c r="A6" s="6" t="inlineStr">
        <is>
          <t>Adjustments for non-cash items and other adjustments included in the income statement</t>
        </is>
      </c>
      <c r="B6" s="6" t="n">
        <v>7794</v>
      </c>
      <c r="C6" s="6" t="n">
        <v>3822</v>
      </c>
      <c r="D6" s="6" t="n">
        <v>13000</v>
      </c>
      <c r="E6" s="6" t="n">
        <v>4664</v>
      </c>
      <c r="F6" s="6" t="n">
        <v>1446</v>
      </c>
      <c r="G6" s="6" t="n">
        <v>2059</v>
      </c>
    </row>
    <row r="7">
      <c r="A7" s="6" t="inlineStr">
        <is>
          <t>Increase/(decrease) in operating assets</t>
        </is>
      </c>
      <c r="B7" s="6" t="n">
        <v>-186354</v>
      </c>
      <c r="C7" s="6" t="n">
        <v>-92390</v>
      </c>
      <c r="D7" s="6" t="n">
        <v>-149456</v>
      </c>
      <c r="E7" s="6" t="n">
        <v>-193189</v>
      </c>
      <c r="F7" s="6" t="n">
        <v>-136244</v>
      </c>
      <c r="G7" s="6" t="n">
        <v>96764</v>
      </c>
    </row>
    <row r="8">
      <c r="A8" s="6" t="inlineStr">
        <is>
          <t>Increase/(decrease) in operating liabilities</t>
        </is>
      </c>
      <c r="B8" s="6" t="n">
        <v>195168</v>
      </c>
      <c r="C8" s="6" t="n">
        <v>79376</v>
      </c>
      <c r="D8" s="6" t="n">
        <v>94171</v>
      </c>
      <c r="E8" s="6" t="n">
        <v>183809</v>
      </c>
      <c r="F8" s="6" t="n">
        <v>151711</v>
      </c>
      <c r="G8" s="6" t="n">
        <v>-19073</v>
      </c>
    </row>
    <row r="9">
      <c r="A9" s="6" t="inlineStr">
        <is>
          <t>Taxation paid/(received)</t>
        </is>
      </c>
      <c r="B9" s="6" t="n">
        <v>-3296</v>
      </c>
      <c r="C9" s="6" t="n">
        <v>-681</v>
      </c>
      <c r="D9" s="6" t="n">
        <v>0</v>
      </c>
      <c r="E9" s="6" t="n">
        <v>-4</v>
      </c>
      <c r="F9" s="6" t="n">
        <v>0</v>
      </c>
      <c r="G9" s="6" t="n">
        <v>0</v>
      </c>
    </row>
    <row r="10">
      <c r="A10" s="5" t="inlineStr">
        <is>
          <t>Net cash generated from/(used in) operating activities</t>
        </is>
      </c>
      <c r="B10" s="5" t="n">
        <v>32953</v>
      </c>
      <c r="C10" s="5" t="n">
        <v>9201</v>
      </c>
      <c r="D10" s="5" t="n">
        <v>-37712</v>
      </c>
      <c r="E10" s="5" t="n">
        <v>-3408</v>
      </c>
      <c r="F10" s="5" t="n">
        <v>13178</v>
      </c>
      <c r="G10" s="5" t="n">
        <v>66147</v>
      </c>
    </row>
    <row r="11">
      <c r="A11" s="5" t="inlineStr">
        <is>
          <t>Investing activities</t>
        </is>
      </c>
      <c r="B11" s="6" t="n"/>
      <c r="C11" s="6" t="n"/>
      <c r="D11" s="6" t="n"/>
      <c r="E11" s="6" t="n"/>
      <c r="F11" s="6" t="n"/>
      <c r="G11" s="6" t="n"/>
    </row>
    <row r="12">
      <c r="A12" s="6" t="inlineStr">
        <is>
          <t>Purchase of investment/debt securities</t>
        </is>
      </c>
      <c r="B12" s="6" t="n">
        <v>-498</v>
      </c>
      <c r="C12" s="6" t="n">
        <v>-9918</v>
      </c>
      <c r="D12" s="6" t="n">
        <v>-14554</v>
      </c>
      <c r="E12" s="6" t="n">
        <v>0</v>
      </c>
      <c r="F12" s="6" t="n">
        <v>-350980</v>
      </c>
      <c r="G12" s="6" t="n">
        <v>-120721</v>
      </c>
    </row>
    <row r="13">
      <c r="A13" s="6" t="inlineStr">
        <is>
          <t>Proceeds from sale and maturity of investment/debt securities</t>
        </is>
      </c>
      <c r="B13" s="6" t="n">
        <v>500</v>
      </c>
      <c r="C13" s="6" t="n">
        <v>25000</v>
      </c>
      <c r="D13" s="6" t="n">
        <v>23000</v>
      </c>
      <c r="E13" s="6" t="n">
        <v>85070</v>
      </c>
      <c r="F13" s="6" t="n">
        <v>307958</v>
      </c>
      <c r="G13" s="6" t="n">
        <v>62107</v>
      </c>
    </row>
    <row r="14">
      <c r="A14" s="6" t="inlineStr">
        <is>
          <t>Dividends received on money market funds</t>
        </is>
      </c>
      <c r="B14" s="6" t="n">
        <v>57</v>
      </c>
      <c r="C14" s="6" t="n">
        <v>25</v>
      </c>
      <c r="D14" s="6" t="n"/>
      <c r="E14" s="6" t="n"/>
      <c r="F14" s="6" t="n"/>
      <c r="G14" s="6" t="n"/>
    </row>
    <row r="15">
      <c r="A15" s="6" t="inlineStr">
        <is>
          <t>Interest received on investment/debt securities</t>
        </is>
      </c>
      <c r="B15" s="6" t="n">
        <v>2</v>
      </c>
      <c r="C15" s="6" t="n">
        <v>75</v>
      </c>
      <c r="D15" s="6" t="n">
        <v>383</v>
      </c>
      <c r="E15" s="6" t="n">
        <v>746</v>
      </c>
      <c r="F15" s="6" t="n">
        <v>549</v>
      </c>
      <c r="G15" s="6" t="n"/>
    </row>
    <row r="16">
      <c r="A16" s="6" t="inlineStr">
        <is>
          <t>Purchase of own shares</t>
        </is>
      </c>
      <c r="B16" s="6" t="n"/>
      <c r="C16" s="6" t="n"/>
      <c r="D16" s="6" t="n">
        <v>-67</v>
      </c>
      <c r="E16" s="6" t="n"/>
      <c r="F16" s="6" t="n"/>
      <c r="G16" s="6" t="n"/>
    </row>
    <row r="17">
      <c r="A17" s="6" t="inlineStr">
        <is>
          <t>Purchase of property, plant and equipment</t>
        </is>
      </c>
      <c r="B17" s="6" t="n">
        <v>-3557</v>
      </c>
      <c r="C17" s="6" t="n">
        <v>-397</v>
      </c>
      <c r="D17" s="6" t="n">
        <v>-418</v>
      </c>
      <c r="E17" s="6" t="n">
        <v>-1041</v>
      </c>
      <c r="F17" s="6" t="n">
        <v>-253</v>
      </c>
      <c r="G17" s="6" t="n">
        <v>-32</v>
      </c>
    </row>
    <row r="18">
      <c r="A18" s="6" t="inlineStr">
        <is>
          <t>Cash received on disposal of property, plant and equipment</t>
        </is>
      </c>
      <c r="B18" s="6" t="n">
        <v>34</v>
      </c>
      <c r="C18" s="6" t="n"/>
      <c r="D18" s="6" t="n"/>
      <c r="E18" s="6" t="n"/>
      <c r="F18" s="6" t="n"/>
      <c r="G18" s="6" t="n"/>
    </row>
    <row r="19">
      <c r="A19" s="6" t="inlineStr">
        <is>
          <t>Purchase of right of use assets</t>
        </is>
      </c>
      <c r="B19" s="6" t="n">
        <v>-81</v>
      </c>
      <c r="C19" s="6" t="n"/>
      <c r="D19" s="6" t="n"/>
      <c r="E19" s="6" t="n"/>
      <c r="F19" s="6" t="n"/>
      <c r="G19" s="6" t="n"/>
    </row>
    <row r="20">
      <c r="A20" s="6" t="inlineStr">
        <is>
          <t>Purchase of intangible assets</t>
        </is>
      </c>
      <c r="B20" s="6" t="n">
        <v>-80</v>
      </c>
      <c r="C20" s="6" t="n">
        <v>-623</v>
      </c>
      <c r="D20" s="6" t="n">
        <v>-117</v>
      </c>
      <c r="E20" s="6" t="n">
        <v>-193</v>
      </c>
      <c r="F20" s="6" t="n">
        <v>-586</v>
      </c>
      <c r="G20" s="6" t="n">
        <v>-226</v>
      </c>
    </row>
    <row r="21">
      <c r="A21" s="5" t="inlineStr">
        <is>
          <t>Net cash (used in)/generated from investing activities</t>
        </is>
      </c>
      <c r="B21" s="5" t="n">
        <v>-3623</v>
      </c>
      <c r="C21" s="5" t="n">
        <v>14162</v>
      </c>
      <c r="D21" s="5" t="n">
        <v>8227</v>
      </c>
      <c r="E21" s="5" t="n">
        <v>84582</v>
      </c>
      <c r="F21" s="5" t="n">
        <v>-43312</v>
      </c>
      <c r="G21" s="5" t="n">
        <v>-58872</v>
      </c>
    </row>
    <row r="22">
      <c r="A22" s="5" t="inlineStr">
        <is>
          <t>Financing activities</t>
        </is>
      </c>
      <c r="B22" s="6" t="n"/>
      <c r="C22" s="6" t="n"/>
      <c r="D22" s="6" t="n"/>
      <c r="E22" s="6" t="n"/>
      <c r="F22" s="6" t="n"/>
      <c r="G22" s="6" t="n"/>
    </row>
    <row r="23">
      <c r="A23" s="6" t="inlineStr">
        <is>
          <t>Issue of new shares</t>
        </is>
      </c>
      <c r="B23" s="6" t="n"/>
      <c r="C23" s="6" t="n"/>
      <c r="D23" s="6" t="n"/>
      <c r="E23" s="6" t="n"/>
      <c r="F23" s="6" t="n">
        <v>38645</v>
      </c>
      <c r="G23" s="6" t="n"/>
    </row>
    <row r="24">
      <c r="A24" s="6" t="inlineStr">
        <is>
          <t>Repayment of lease liabilities</t>
        </is>
      </c>
      <c r="B24" s="6" t="n">
        <v>-108</v>
      </c>
      <c r="C24" s="6" t="n">
        <v>-252</v>
      </c>
      <c r="D24" s="6" t="n">
        <v>-227</v>
      </c>
      <c r="E24" s="6" t="n">
        <v>-141</v>
      </c>
      <c r="F24" s="6" t="n">
        <v>-147</v>
      </c>
      <c r="G24" s="6" t="n">
        <v>-164</v>
      </c>
    </row>
    <row r="25">
      <c r="A25" s="6" t="inlineStr">
        <is>
          <t>Issuance of subordinated liabilities</t>
        </is>
      </c>
      <c r="B25" s="6" t="n">
        <v>5000</v>
      </c>
      <c r="C25" s="6" t="n"/>
      <c r="D25" s="6" t="n">
        <v>10000</v>
      </c>
      <c r="E25" s="6" t="n"/>
      <c r="F25" s="6" t="n"/>
      <c r="G25" s="6" t="n"/>
    </row>
    <row r="26">
      <c r="A26" s="6" t="inlineStr">
        <is>
          <t>Acquisition of subordinated liabilities</t>
        </is>
      </c>
      <c r="B26" s="6" t="n"/>
      <c r="C26" s="6" t="n"/>
      <c r="D26" s="6" t="n">
        <v>-51</v>
      </c>
      <c r="E26" s="6" t="n"/>
      <c r="F26" s="6" t="n"/>
      <c r="G26" s="6" t="n"/>
    </row>
    <row r="27">
      <c r="A27" s="6" t="inlineStr">
        <is>
          <t>Coupon paid on subordinated liabilities</t>
        </is>
      </c>
      <c r="B27" s="6" t="n">
        <v>-1269</v>
      </c>
      <c r="C27" s="6" t="n">
        <v>-1273</v>
      </c>
      <c r="D27" s="6" t="n"/>
      <c r="E27" s="6" t="n"/>
      <c r="F27" s="6" t="n"/>
      <c r="G27" s="6" t="n"/>
    </row>
    <row r="28">
      <c r="A28" s="6" t="inlineStr">
        <is>
          <t>Purchase of own shares</t>
        </is>
      </c>
      <c r="B28" s="6" t="n">
        <v>-192</v>
      </c>
      <c r="C28" s="6" t="n">
        <v>-142</v>
      </c>
      <c r="D28" s="6" t="n"/>
      <c r="E28" s="6" t="n"/>
      <c r="F28" s="6" t="n"/>
      <c r="G28" s="6" t="n"/>
    </row>
    <row r="29">
      <c r="A29" s="6" t="inlineStr">
        <is>
          <t>Purchase of treasury shares</t>
        </is>
      </c>
      <c r="B29" s="6" t="n">
        <v>-4877</v>
      </c>
      <c r="C29" s="6" t="n"/>
      <c r="D29" s="6" t="n"/>
      <c r="E29" s="6" t="n"/>
      <c r="F29" s="6" t="n"/>
      <c r="G29" s="6" t="n"/>
    </row>
    <row r="30">
      <c r="A30" s="6" t="inlineStr">
        <is>
          <t>Receipt of cash from settlement of share options</t>
        </is>
      </c>
      <c r="B30" s="6" t="n">
        <v>116</v>
      </c>
      <c r="C30" s="6" t="n"/>
      <c r="D30" s="6" t="n"/>
      <c r="E30" s="6" t="n"/>
      <c r="F30" s="6" t="n"/>
      <c r="G30" s="6" t="n"/>
    </row>
    <row r="31">
      <c r="A31" s="5" t="inlineStr">
        <is>
          <t>Net cash (used in)/generated from financing activities</t>
        </is>
      </c>
      <c r="B31" s="5" t="n">
        <v>-1330</v>
      </c>
      <c r="C31" s="5" t="n">
        <v>-1667</v>
      </c>
      <c r="D31" s="5" t="n">
        <v>9722</v>
      </c>
      <c r="E31" s="5" t="n">
        <v>-141</v>
      </c>
      <c r="F31" s="5" t="n">
        <v>38498</v>
      </c>
      <c r="G31" s="5" t="n">
        <v>-164</v>
      </c>
    </row>
    <row r="32">
      <c r="A32" s="5" t="inlineStr">
        <is>
          <t>Net increase/(decrease) in cash and cash equivalents</t>
        </is>
      </c>
      <c r="B32" s="5" t="n">
        <v>28000</v>
      </c>
      <c r="C32" s="5" t="n">
        <v>21696</v>
      </c>
      <c r="D32" s="5" t="n">
        <v>-19763</v>
      </c>
      <c r="E32" s="5" t="n">
        <v>81033</v>
      </c>
      <c r="F32" s="5" t="n">
        <v>8364</v>
      </c>
      <c r="G32" s="5" t="n">
        <v>7111</v>
      </c>
    </row>
    <row r="33">
      <c r="A33" s="6" t="inlineStr">
        <is>
          <t>Cash and cash equivalents at start of the period</t>
        </is>
      </c>
      <c r="B33" s="6" t="n">
        <v>112563</v>
      </c>
      <c r="C33" s="6" t="n">
        <v>90867</v>
      </c>
      <c r="D33" s="6" t="n">
        <v>110630</v>
      </c>
      <c r="E33" s="6" t="n">
        <v>29597</v>
      </c>
      <c r="F33" s="6" t="n">
        <v>21233</v>
      </c>
      <c r="G33" s="6" t="n">
        <v>14122</v>
      </c>
    </row>
    <row r="34">
      <c r="A34" s="5" t="inlineStr">
        <is>
          <t>Cash and cash equivalents at end of the period</t>
        </is>
      </c>
      <c r="B34" s="5" t="n">
        <v>140563</v>
      </c>
      <c r="C34" s="5" t="n">
        <v>112563</v>
      </c>
      <c r="D34" s="5" t="n">
        <v>90867</v>
      </c>
      <c r="E34" s="5" t="n">
        <v>110630</v>
      </c>
      <c r="F34" s="5" t="n">
        <v>29597</v>
      </c>
      <c r="G34" s="5" t="n">
        <v>21233</v>
      </c>
    </row>
    <row r="36" ht="280" customHeight="1">
      <c r="A36" s="8" t="inlineStr">
        <is>
          <t>Sources - Distribution Finance Capital Holdings plc's Consolidated Cash Flow Statement (Group basis, the Bank's own filed accounts are fully scanned - see ENTITY NOTE):
FY2025/FY2024: Annual Report and Accounts 2025, p.114-115 (Consolidated Cash Flow Statement) - https://wp-dfcapital-investors-2020.s3.eu-west-2.amazonaws.com/media/2026/03/DF-Capital-Annual-Report-and-Accounts-year-ending-2025.pdf
FY2023/FY2022: Annual Report and Accounts 2023, p.114-115 (Consolidated Cash Flow Statement) - https://wp-dfcapital-investors-2020.s3.eu-west-2.amazonaws.com/media/2024/04/DF-Capital-Annual-Report-and-Accounts-year-ending-2023-1.pdf
FY2021: Annual Report and Accounts 2021, p.106-107 (Consolidated Cash Flow Statement) - https://wp-dfcapital-investors-2020.s3.eu-west-2.amazonaws.com/media/2022/05/Annual-report-and-accounts-year-end-2021.pdf
FY2020: Annual Report and Financial Statements 2020, p.94 (Consolidated Cash Flow Statement) - https://wp-dfcapital-investors-2020.s3.eu-west-2.amazonaws.com/media/2021/04/21070044/Annual-report-and-accounts-Year-end-2020-Final-compressed.pdf
Each year's own originally-published figures are used; the closing balance of each year ties exactly to the opening balance of the next, no restatements found across any vintage (including FY2020's own closing GBP21,233k, which ties to FY2021's own opening balance). FY2022's own printed operating-activities total (-GBP3,408k) is GBP8k off its own component lines' sum (-GBP3,416k) - an immaterial rounding artifact in the source document itself, kept as printed rather than force-corrected; every other year's total ties to the penny, hand-traced across every year boundary FY2020-FY2025.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 plausibly linked to the Group's disclosed opt-in to the PRA's Small Domestic Deposit Takers (SDDT) reduced-disclosure regime. MREL not disclosed any year, no exemption stated - consistent with a small SDDT-regime institution.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36:G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Asset Quality</t>
        </is>
      </c>
    </row>
    <row r="2">
      <c r="A2" s="2" t="inlineStr">
        <is>
          <t>Loans and advances to customers, by IFRS 9 stage, £'000. Group basis.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Loans and advances to customers - composition</t>
        </is>
      </c>
      <c r="B4" s="6" t="n"/>
      <c r="C4" s="6" t="n"/>
      <c r="D4" s="6" t="n"/>
      <c r="E4" s="6" t="n"/>
      <c r="F4" s="6" t="n"/>
      <c r="G4" s="6" t="n"/>
    </row>
    <row r="5">
      <c r="A5" s="6" t="inlineStr">
        <is>
          <t>Loan book principal</t>
        </is>
      </c>
      <c r="B5" s="6" t="n">
        <v>845966</v>
      </c>
      <c r="C5" s="6" t="n">
        <v>665709</v>
      </c>
      <c r="D5" s="6" t="n">
        <v>580525</v>
      </c>
      <c r="E5" s="6" t="n">
        <v>439282</v>
      </c>
      <c r="F5" s="6" t="n"/>
      <c r="G5" s="6" t="n"/>
    </row>
    <row r="6">
      <c r="A6" s="6" t="inlineStr">
        <is>
          <t>Accrued interest and fees</t>
        </is>
      </c>
      <c r="B6" s="6" t="n">
        <v>4141</v>
      </c>
      <c r="C6" s="6" t="n">
        <v>4067</v>
      </c>
      <c r="D6" s="6" t="n">
        <v>3602</v>
      </c>
      <c r="E6" s="6" t="n">
        <v>2002</v>
      </c>
      <c r="F6" s="6" t="n"/>
      <c r="G6" s="6" t="n"/>
    </row>
    <row r="7">
      <c r="A7" s="5" t="inlineStr">
        <is>
          <t>Gross carrying amount</t>
        </is>
      </c>
      <c r="B7" s="5" t="n">
        <v>850107</v>
      </c>
      <c r="C7" s="5" t="n">
        <v>669776</v>
      </c>
      <c r="D7" s="5" t="n">
        <v>584127</v>
      </c>
      <c r="E7" s="5" t="n">
        <v>441284</v>
      </c>
      <c r="F7" s="5" t="n">
        <v>249454</v>
      </c>
      <c r="G7" s="5" t="n">
        <v>113259</v>
      </c>
    </row>
    <row r="8">
      <c r="A8" s="6" t="inlineStr">
        <is>
          <t>less: impairment allowance</t>
        </is>
      </c>
      <c r="B8" s="6" t="n">
        <v>-8501</v>
      </c>
      <c r="C8" s="6" t="n">
        <v>-6577</v>
      </c>
      <c r="D8" s="6" t="n">
        <v>-14596</v>
      </c>
      <c r="E8" s="6" t="n">
        <v>-3720</v>
      </c>
      <c r="F8" s="6" t="n">
        <v>-1718</v>
      </c>
      <c r="G8" s="6" t="n">
        <v>-1288</v>
      </c>
    </row>
    <row r="9">
      <c r="A9" s="6" t="inlineStr">
        <is>
          <t>less: effective interest rate adjustment</t>
        </is>
      </c>
      <c r="B9" s="6" t="n">
        <v>-2080</v>
      </c>
      <c r="C9" s="6" t="n">
        <v>-2427</v>
      </c>
      <c r="D9" s="6" t="n">
        <v>-1487</v>
      </c>
      <c r="E9" s="6" t="n">
        <v>-1681</v>
      </c>
      <c r="F9" s="6" t="n">
        <v>-531</v>
      </c>
      <c r="G9" s="6" t="n">
        <v>-634</v>
      </c>
    </row>
    <row r="10">
      <c r="A10" s="5" t="inlineStr">
        <is>
          <t>Total loans and advances to customers</t>
        </is>
      </c>
      <c r="B10" s="5" t="n">
        <v>839526</v>
      </c>
      <c r="C10" s="5" t="n">
        <v>660772</v>
      </c>
      <c r="D10" s="5" t="n">
        <v>568044</v>
      </c>
      <c r="E10" s="5" t="n">
        <v>435883</v>
      </c>
      <c r="F10" s="5" t="n">
        <v>247205</v>
      </c>
      <c r="G10" s="5" t="n">
        <v>111337</v>
      </c>
    </row>
    <row r="11">
      <c r="A11" s="5" t="inlineStr">
        <is>
          <t>Gross carrying amount, by IFRS 9 stage</t>
        </is>
      </c>
      <c r="B11" s="6" t="n"/>
      <c r="C11" s="6" t="n"/>
      <c r="D11" s="6" t="n"/>
      <c r="E11" s="6" t="n"/>
      <c r="F11" s="6" t="n"/>
      <c r="G11" s="6" t="n"/>
    </row>
    <row r="12">
      <c r="A12" s="6" t="inlineStr">
        <is>
          <t>Stage 1</t>
        </is>
      </c>
      <c r="B12" s="6" t="n">
        <v>785729</v>
      </c>
      <c r="C12" s="6" t="n">
        <v>643513</v>
      </c>
      <c r="D12" s="6" t="n">
        <v>545952</v>
      </c>
      <c r="E12" s="6" t="n">
        <v>410756</v>
      </c>
      <c r="F12" s="6" t="n">
        <v>239327</v>
      </c>
      <c r="G12" s="6" t="n">
        <v>103823</v>
      </c>
    </row>
    <row r="13">
      <c r="A13" s="6" t="inlineStr">
        <is>
          <t>Stage 2</t>
        </is>
      </c>
      <c r="B13" s="6" t="n">
        <v>54741</v>
      </c>
      <c r="C13" s="6" t="n">
        <v>18484</v>
      </c>
      <c r="D13" s="6" t="n">
        <v>21052</v>
      </c>
      <c r="E13" s="6" t="n">
        <v>13323</v>
      </c>
      <c r="F13" s="6" t="n">
        <v>9585</v>
      </c>
      <c r="G13" s="6" t="n">
        <v>8726</v>
      </c>
    </row>
    <row r="14">
      <c r="A14" s="6" t="inlineStr">
        <is>
          <t>Stage 3</t>
        </is>
      </c>
      <c r="B14" s="6" t="n">
        <v>9637</v>
      </c>
      <c r="C14" s="6" t="n">
        <v>7779</v>
      </c>
      <c r="D14" s="6" t="n">
        <v>17123</v>
      </c>
      <c r="E14" s="6" t="n">
        <v>17205</v>
      </c>
      <c r="F14" s="6" t="n">
        <v>542</v>
      </c>
      <c r="G14" s="6" t="n">
        <v>710</v>
      </c>
    </row>
    <row r="15">
      <c r="A15" s="5" t="inlineStr">
        <is>
          <t>Total gross carrying amount (by stage)</t>
        </is>
      </c>
      <c r="B15" s="5" t="n">
        <v>850107</v>
      </c>
      <c r="C15" s="5" t="n">
        <v>669776</v>
      </c>
      <c r="D15" s="5" t="n">
        <v>584127</v>
      </c>
      <c r="E15" s="5" t="n">
        <v>441284</v>
      </c>
      <c r="F15" s="5" t="n">
        <v>249454</v>
      </c>
      <c r="G15" s="5" t="n">
        <v>113259</v>
      </c>
    </row>
    <row r="16">
      <c r="A16" s="5" t="inlineStr">
        <is>
          <t>Loss allowance (ECL), by IFRS 9 stage</t>
        </is>
      </c>
      <c r="B16" s="6" t="n"/>
      <c r="C16" s="6" t="n"/>
      <c r="D16" s="6" t="n"/>
      <c r="E16" s="6" t="n"/>
      <c r="F16" s="6" t="n"/>
      <c r="G16" s="6" t="n"/>
    </row>
    <row r="17">
      <c r="A17" s="6" t="inlineStr">
        <is>
          <t>Stage 1</t>
        </is>
      </c>
      <c r="B17" s="6" t="n">
        <v>-4368</v>
      </c>
      <c r="C17" s="6" t="n">
        <v>-3692</v>
      </c>
      <c r="D17" s="6" t="n">
        <v>-2522</v>
      </c>
      <c r="E17" s="6" t="n">
        <v>-1943</v>
      </c>
      <c r="F17" s="6" t="n">
        <v>-1142</v>
      </c>
      <c r="G17" s="6" t="n">
        <v>-645</v>
      </c>
    </row>
    <row r="18">
      <c r="A18" s="6" t="inlineStr">
        <is>
          <t>Stage 2</t>
        </is>
      </c>
      <c r="B18" s="6" t="n">
        <v>-711</v>
      </c>
      <c r="C18" s="6" t="n">
        <v>-166</v>
      </c>
      <c r="D18" s="6" t="n">
        <v>-160</v>
      </c>
      <c r="E18" s="6" t="n">
        <v>-84</v>
      </c>
      <c r="F18" s="6" t="n">
        <v>-155</v>
      </c>
      <c r="G18" s="6" t="n">
        <v>-49</v>
      </c>
    </row>
    <row r="19">
      <c r="A19" s="6" t="inlineStr">
        <is>
          <t>Stage 3</t>
        </is>
      </c>
      <c r="B19" s="6" t="n">
        <v>-3422</v>
      </c>
      <c r="C19" s="6" t="n">
        <v>-2719</v>
      </c>
      <c r="D19" s="6" t="n">
        <v>-11914</v>
      </c>
      <c r="E19" s="6" t="n">
        <v>-1693</v>
      </c>
      <c r="F19" s="6" t="n">
        <v>-421</v>
      </c>
      <c r="G19" s="6" t="n">
        <v>-594</v>
      </c>
    </row>
    <row r="20">
      <c r="A20" s="5" t="inlineStr">
        <is>
          <t>Total loss allowance (by stage)</t>
        </is>
      </c>
      <c r="B20" s="5" t="n">
        <v>-8501</v>
      </c>
      <c r="C20" s="5" t="n">
        <v>-6577</v>
      </c>
      <c r="D20" s="5" t="n">
        <v>-14596</v>
      </c>
      <c r="E20" s="5" t="n">
        <v>-3720</v>
      </c>
      <c r="F20" s="5" t="n">
        <v>-1718</v>
      </c>
      <c r="G20" s="5" t="n">
        <v>-1288</v>
      </c>
    </row>
    <row r="21">
      <c r="A21" s="5" t="inlineStr">
        <is>
          <t>Derived ratios</t>
        </is>
      </c>
      <c r="B21" s="6" t="n"/>
      <c r="C21" s="6" t="n"/>
      <c r="D21" s="6" t="n"/>
      <c r="E21" s="6" t="n"/>
      <c r="F21" s="6" t="n"/>
      <c r="G21" s="6" t="n"/>
    </row>
    <row r="22">
      <c r="A22" s="6" t="inlineStr">
        <is>
          <t>Stage 3 / gross carrying amount (NPL ratio)</t>
        </is>
      </c>
      <c r="B22" s="6" t="inlineStr">
        <is>
          <t>1.13%</t>
        </is>
      </c>
      <c r="C22" s="6" t="inlineStr">
        <is>
          <t>1.16%</t>
        </is>
      </c>
      <c r="D22" s="6" t="inlineStr">
        <is>
          <t>2.93%</t>
        </is>
      </c>
      <c r="E22" s="6" t="inlineStr">
        <is>
          <t>3.90%</t>
        </is>
      </c>
      <c r="F22" s="6" t="inlineStr">
        <is>
          <t>0.22%</t>
        </is>
      </c>
      <c r="G22" s="6" t="inlineStr">
        <is>
          <t>0.63%</t>
        </is>
      </c>
    </row>
    <row r="23">
      <c r="A23" s="6" t="inlineStr">
        <is>
          <t>Stage 3 coverage (Stage 3 loss allowance / Stage 3 gross)</t>
        </is>
      </c>
      <c r="B23" s="6" t="inlineStr">
        <is>
          <t>35.51%</t>
        </is>
      </c>
      <c r="C23" s="6" t="inlineStr">
        <is>
          <t>34.95%</t>
        </is>
      </c>
      <c r="D23" s="6" t="inlineStr">
        <is>
          <t>69.58%</t>
        </is>
      </c>
      <c r="E23" s="6" t="inlineStr">
        <is>
          <t>9.84%</t>
        </is>
      </c>
      <c r="F23" s="6" t="inlineStr">
        <is>
          <t>77.68%</t>
        </is>
      </c>
      <c r="G23" s="6" t="inlineStr">
        <is>
          <t>83.66%</t>
        </is>
      </c>
    </row>
    <row r="24">
      <c r="A24" s="6" t="inlineStr">
        <is>
          <t>Total loss allowance coverage (total allowance / total gross)</t>
        </is>
      </c>
      <c r="B24" s="6" t="inlineStr">
        <is>
          <t>1.00%</t>
        </is>
      </c>
      <c r="C24" s="6" t="inlineStr">
        <is>
          <t>0.98%</t>
        </is>
      </c>
      <c r="D24" s="6" t="inlineStr">
        <is>
          <t>2.50%</t>
        </is>
      </c>
      <c r="E24" s="6" t="inlineStr">
        <is>
          <t>0.84%</t>
        </is>
      </c>
      <c r="F24" s="6" t="inlineStr">
        <is>
          <t>0.69%</t>
        </is>
      </c>
      <c r="G24" s="6" t="inlineStr">
        <is>
          <t>1.14%</t>
        </is>
      </c>
    </row>
    <row r="26" ht="300" customHeight="1">
      <c r="A26" s="8" t="inlineStr">
        <is>
          <t>Sources - Distribution Finance Capital Holdings plc's own Notes to the Consolidated Financial Statements, 'Loans and advances to customers' note and its 'Analysis of gross/impairment losses on loans and advances to customers' stage-migration tables:
FY2025/FY2024: Annual Report and Accounts 2025, p.148-151 - https://wp-dfcapital-investors-2020.s3.eu-west-2.amazonaws.com/media/2026/03/DF-Capital-Annual-Report-and-Accounts-year-ending-2025.pdf
FY2023/FY2022: Annual Report and Accounts 2023, p.148-151 - https://wp-dfcapital-investors-2020.s3.eu-west-2.amazonaws.com/media/2024/04/DF-Capital-Annual-Report-and-Accounts-year-ending-2023-1.pdf
FY2021: Annual Report and Accounts 2021, p.136-139 - https://wp-dfcapital-investors-2020.s3.eu-west-2.amazonaws.com/media/2022/05/Annual-report-and-accounts-year-end-2021.pdf
FY2020: Annual Report and Financial Statements 2020, p.118-121 (Note 20, 'Loans and advances to customers') - https://wp-dfcapital-investors-2020.s3.eu-west-2.amazonaws.com/media/2021/04/21070044/Annual-report-and-accounts-Year-end-2020-Final-compressed.pdf
Each year's own originally-published figures used; every stage-split total ties exactly to the note's own Gross carrying amount and to the note's own disclosed 'Loss allowance coverage' percentages (used directly for the Derived ratios where disclosed, not independently recomputed, to avoid rounding drift; FY2020's Stage 3 coverage and Total coverage percentages are the note's own disclosed 'Loss allowance coverage' figures, its NPL ratio is computed from the note's own Stage 3/Total gross carrying amount since the note doesn't disclose that ratio directly). FY2020-FY2021's reports do not disclose a Loan book principal/Accrued interest split (pre-dates that level of note detail) - left blank rather than guessed.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 plausibly linked to the Group's disclosed opt-in to the PRA's Small Domestic Deposit Takers (SDDT) reduced-disclosure regime. MREL not disclosed any year, no exemption stated - consistent with a small SDDT-regime institution.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26:G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112443</v>
      </c>
      <c r="C4" s="6" t="n">
        <v>98780</v>
      </c>
      <c r="D4" s="6" t="n">
        <v>79269</v>
      </c>
      <c r="E4" s="6" t="n">
        <v>84579</v>
      </c>
      <c r="F4" s="6" t="n">
        <v>82690</v>
      </c>
      <c r="G4" s="6" t="n">
        <v>47792</v>
      </c>
    </row>
    <row r="6" ht="180" customHeight="1">
      <c r="A6"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 plausibly linked to the Group's disclosed opt-in to the PRA's Small Domestic Deposit Takers (SDDT) reduced-disclosure regime. MREL not disclosed any year, no exemption stated - consistent with a small SDDT-regime institution.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6:G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CET1 ratio</t>
        </is>
      </c>
      <c r="B4" s="6" t="inlineStr">
        <is>
          <t>18.0%</t>
        </is>
      </c>
      <c r="C4" s="6" t="inlineStr">
        <is>
          <t>21.6%</t>
        </is>
      </c>
      <c r="D4" s="6" t="inlineStr">
        <is>
          <t>22.8%</t>
        </is>
      </c>
      <c r="E4" s="6" t="inlineStr">
        <is>
          <t>22.1%</t>
        </is>
      </c>
      <c r="F4" s="6" t="inlineStr">
        <is>
          <t>38.2%</t>
        </is>
      </c>
      <c r="G4" s="6" t="inlineStr">
        <is>
          <t>50.1%</t>
        </is>
      </c>
    </row>
    <row r="6" ht="180" customHeight="1">
      <c r="A6"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 plausibly linked to the Group's disclosed opt-in to the PRA's Small Domestic Deposit Takers (SDDT) reduced-disclosure regime. MREL not disclosed any year, no exemption stated - consistent with a small SDDT-regime institution.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112443</v>
      </c>
      <c r="C4" s="6" t="n">
        <v>98780</v>
      </c>
      <c r="D4" s="6" t="n">
        <v>79269</v>
      </c>
      <c r="E4" s="6" t="n">
        <v>84579</v>
      </c>
      <c r="F4" s="6" t="n">
        <v>82690</v>
      </c>
      <c r="G4" s="6" t="n">
        <v>47792</v>
      </c>
    </row>
    <row r="5" ht="60" customHeight="1">
      <c r="A5" s="7" t="inlineStr">
        <is>
          <t>Note: No Additional Tier 1 or Tier 2 instruments disclosed any year - Tier 1/Total Capital equal CET1 Capital throughout.</t>
        </is>
      </c>
    </row>
    <row r="7" ht="180" customHeight="1">
      <c r="A7"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 plausibly linked to the Group's disclosed opt-in to the PRA's Small Domestic Deposit Takers (SDDT) reduced-disclosure regime. MREL not disclosed any year, no exemption stated - consistent with a small SDDT-regime institution.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18.0%</t>
        </is>
      </c>
      <c r="C4" s="6" t="inlineStr">
        <is>
          <t>21.6%</t>
        </is>
      </c>
      <c r="D4" s="6" t="inlineStr">
        <is>
          <t>22.8%</t>
        </is>
      </c>
      <c r="E4" s="6" t="inlineStr">
        <is>
          <t>22.1%</t>
        </is>
      </c>
      <c r="F4" s="6" t="inlineStr">
        <is>
          <t>38.2%</t>
        </is>
      </c>
      <c r="G4" s="6" t="inlineStr">
        <is>
          <t>50.1%</t>
        </is>
      </c>
    </row>
    <row r="5" ht="60" customHeight="1">
      <c r="A5" s="7" t="inlineStr">
        <is>
          <t>Note: No Additional Tier 1 or Tier 2 instruments disclosed any year - Tier 1/Total Capital equal CET1 Capital throughout.</t>
        </is>
      </c>
    </row>
    <row r="7" ht="180" customHeight="1">
      <c r="A7"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 plausibly linked to the Group's disclosed opt-in to the PRA's Small Domestic Deposit Takers (SDDT) reduced-disclosure regime. MREL not disclosed any year, no exemption stated - consistent with a small SDDT-regime institution.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v>127745</v>
      </c>
      <c r="C4" s="6" t="n">
        <v>109010</v>
      </c>
      <c r="D4" s="6" t="n">
        <v>89538</v>
      </c>
      <c r="E4" s="6" t="n">
        <v>84579</v>
      </c>
      <c r="F4" s="6" t="n">
        <v>82690</v>
      </c>
      <c r="G4" s="6" t="n">
        <v>47792</v>
      </c>
    </row>
    <row r="6" ht="180" customHeight="1">
      <c r="A6"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 plausibly linked to the Group's disclosed opt-in to the PRA's Small Domestic Deposit Takers (SDDT) reduced-disclosure regime. MREL not disclosed any year, no exemption stated - consistent with a small SDDT-regime institution.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20.5%</t>
        </is>
      </c>
      <c r="C4" s="6" t="inlineStr">
        <is>
          <t>23.8%</t>
        </is>
      </c>
      <c r="D4" s="6" t="inlineStr">
        <is>
          <t>25.8%</t>
        </is>
      </c>
      <c r="E4" s="6" t="inlineStr">
        <is>
          <t>22.1%</t>
        </is>
      </c>
      <c r="F4" s="6" t="inlineStr">
        <is>
          <t>38.2%</t>
        </is>
      </c>
      <c r="G4" s="6" t="inlineStr">
        <is>
          <t>50.1%</t>
        </is>
      </c>
    </row>
    <row r="6" ht="180" customHeight="1">
      <c r="A6"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 plausibly linked to the Group's disclosed opt-in to the PRA's Small Domestic Deposit Takers (SDDT) reduced-disclosure regime. MREL not disclosed any year, no exemption stated - consistent with a small SDDT-regime institution.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n">
        <v>623607</v>
      </c>
      <c r="C4" s="6" t="n">
        <v>457565</v>
      </c>
      <c r="D4" s="6" t="n">
        <v>347034</v>
      </c>
      <c r="E4" s="6" t="n">
        <v>381972</v>
      </c>
      <c r="F4" s="6" t="n">
        <v>216353</v>
      </c>
      <c r="G4" s="6" t="n">
        <v>95427</v>
      </c>
    </row>
    <row r="6" ht="180" customHeight="1">
      <c r="A6"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 plausibly linked to the Group's disclosed opt-in to the PRA's Small Domestic Deposit Takers (SDDT) reduced-disclosure regime. MREL not disclosed any year, no exemption stated - consistent with a small SDDT-regime institution.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RWA Breakdown</t>
        </is>
      </c>
    </row>
    <row r="2">
      <c r="A2" s="2" t="inlineStr">
        <is>
          <t>Distribution Finance Capital Holdings plc Group basis, £'000 (UK OV1 template).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6" t="inlineStr">
        <is>
          <t>Credit risk (excluding CCR)</t>
        </is>
      </c>
      <c r="B4" s="6" t="n">
        <v>533039</v>
      </c>
      <c r="C4" s="6" t="n">
        <v>388533</v>
      </c>
      <c r="D4" s="6" t="n"/>
      <c r="E4" s="6" t="n">
        <v>369638</v>
      </c>
      <c r="F4" s="6" t="n">
        <v>211065</v>
      </c>
      <c r="G4" s="6" t="n">
        <v>90139</v>
      </c>
    </row>
    <row r="5">
      <c r="A5" s="6" t="inlineStr">
        <is>
          <t>Counterparty credit risk (CCR) - of which standardised approach</t>
        </is>
      </c>
      <c r="B5" s="6" t="n">
        <v>2259</v>
      </c>
      <c r="C5" s="6" t="n">
        <v>1635</v>
      </c>
      <c r="D5" s="6" t="n"/>
      <c r="E5" s="6" t="n">
        <v>662</v>
      </c>
      <c r="F5" s="6" t="n"/>
      <c r="G5" s="6" t="n"/>
    </row>
    <row r="6">
      <c r="A6" s="6" t="inlineStr">
        <is>
          <t>Counterparty credit risk (CCR) - of which credit valuation adjustment (CVA)</t>
        </is>
      </c>
      <c r="B6" s="6" t="n">
        <v>1027</v>
      </c>
      <c r="C6" s="6" t="n">
        <v>2371</v>
      </c>
      <c r="D6" s="6" t="n"/>
      <c r="E6" s="6" t="n">
        <v>367</v>
      </c>
      <c r="F6" s="6" t="n"/>
      <c r="G6" s="6" t="n"/>
    </row>
    <row r="7">
      <c r="A7" s="5" t="inlineStr">
        <is>
          <t>Counterparty credit risk (CCR), total</t>
        </is>
      </c>
      <c r="B7" s="5" t="n">
        <v>3286</v>
      </c>
      <c r="C7" s="5" t="n">
        <v>4006</v>
      </c>
      <c r="D7" s="5" t="n"/>
      <c r="E7" s="5" t="n">
        <v>1029</v>
      </c>
      <c r="F7" s="5" t="n"/>
      <c r="G7" s="5" t="n"/>
    </row>
    <row r="8">
      <c r="A8" s="6" t="inlineStr">
        <is>
          <t>Operational risk (Basic Indicator Approach)</t>
        </is>
      </c>
      <c r="B8" s="6" t="n">
        <v>87281</v>
      </c>
      <c r="C8" s="6" t="n">
        <v>65026</v>
      </c>
      <c r="D8" s="6" t="n"/>
      <c r="E8" s="6" t="n">
        <v>11305</v>
      </c>
      <c r="F8" s="6" t="n">
        <v>5288</v>
      </c>
      <c r="G8" s="6" t="n">
        <v>5288</v>
      </c>
    </row>
    <row r="9">
      <c r="A9" s="5" t="inlineStr">
        <is>
          <t>Total RWAs</t>
        </is>
      </c>
      <c r="B9" s="5" t="n">
        <v>623607</v>
      </c>
      <c r="C9" s="5" t="n">
        <v>457565</v>
      </c>
      <c r="D9" s="5" t="n">
        <v>347034</v>
      </c>
      <c r="E9" s="5" t="n">
        <v>381972</v>
      </c>
      <c r="F9" s="5" t="n">
        <v>216353</v>
      </c>
      <c r="G9" s="5" t="n">
        <v>95427</v>
      </c>
    </row>
    <row r="10">
      <c r="A10" s="6" t="inlineStr">
        <is>
          <t>Securitisation exposures in the non-trading book (after the cap, deducted from CET1 - not part of Total RWAs)</t>
        </is>
      </c>
      <c r="B10" s="6" t="n">
        <v>10942</v>
      </c>
      <c r="C10" s="6" t="n">
        <v>10095</v>
      </c>
      <c r="D10" s="6" t="n"/>
      <c r="E10" s="6" t="n"/>
      <c r="F10" s="6" t="n"/>
      <c r="G10" s="6" t="n">
        <v>0</v>
      </c>
    </row>
    <row r="12" ht="280" customHeight="1">
      <c r="A12" s="8" t="inlineStr">
        <is>
          <t>Sources - Distribution Finance Capital Holdings plc Pillar 3 Disclosures, 'Overview of risk weighted exposure amounts' (UK OV1) table:
FY2025/FY2024: DF Capital Pillar III 2025, p.5 (FY2024 shown as the document's own comparative column) - https://wp-dfcapital-investors-2020.s3.eu-west-2.amazonaws.com/media/2026/03/DF-Capital-Pillar-III-2025.pdf
FY2021: DF Capital Pillar III Dec 2021, Table 3, p.22 (pre-dates CCR/CVA and the securitisation programme, which only began March 2023 per the FY2023 Pillar 3 document's own approach-to-RWAs note) - https://wp-dfcapital-investors-2020.s3.eu-west-2.amazonaws.com/media/2022/04/DF-Capital-Pillar-III_Dec-2021-Final.pdf
FY2020: DF Capital Pillar 3 Disclosures at 31 December 2020, Table 3 'Pillar 1 capital requirement', p.20 (pre-dates CCR/CVA and securitisation entirely - the document's own s.10 states 'At 31 December 2020 the Group had no exposure to securitisation structures', hence the explicit GBP0k rather than blank) - https://wp-dfcapital-investors-2020.s3.eu-west-2.amazonaws.com/media/2021/04/21065603/Distribution-Finance-Capital-Holdings-plc-Pillar-3-31-December-2020.pdf
FY2022: DF Capital Pillar 3 Disclosures at 31 December 2022, p.22 (FY2022 OV1-style table) - https://wp-dfcapital-investors-2020.s3.eu-west-2.amazonaws.com/media/2023/04/Pillar-3-Disclosures-31-December-2022.pdf; the FY2022 table discloses credit risk £369,638k and operational risk £11,305k, with CCR £1,029k (including standardised £662k and CVA £367k), all summing to total RWA £381,972k. FY2023: the FY2023 Pillar 3 document (DF Capital Pillar III 2024) was checked but its available UK KM1 table did not yield an OV1-style category breakdown, so FY2023 category cells remain blank while aggregate total RWA £347,034k remains populated.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 plausibly linked to the Group's disclosed opt-in to the PRA's Small Domestic Deposit Takers (SDDT) reduced-disclosure regime. MREL not disclosed any year, no exemption stated - consistent with a small SDDT-regime institution.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12:G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Leverage ratio excluding claims on central banks</t>
        </is>
      </c>
      <c r="B4" s="6" t="inlineStr">
        <is>
          <t>12.8%</t>
        </is>
      </c>
      <c r="C4" s="6" t="inlineStr">
        <is>
          <t>14.5%</t>
        </is>
      </c>
      <c r="D4" s="6" t="inlineStr">
        <is>
          <t>13.0%</t>
        </is>
      </c>
      <c r="E4" s="6" t="inlineStr">
        <is>
          <t>17.6%</t>
        </is>
      </c>
      <c r="F4" s="6" t="inlineStr">
        <is>
          <t>21.2%</t>
        </is>
      </c>
      <c r="G4" s="6" t="inlineStr">
        <is>
          <t>23.6%</t>
        </is>
      </c>
    </row>
    <row r="6" ht="180" customHeight="1">
      <c r="A6"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 plausibly linked to the Group's disclosed opt-in to the PRA's Small Domestic Deposit Takers (SDDT) reduced-disclosure regime. MREL not disclosed any year, no exemption stated - consistent with a small SDDT-regime institution.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6:G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Liquidity coverage ratio</t>
        </is>
      </c>
      <c r="B4" s="6" t="inlineStr">
        <is>
          <t>704.0%</t>
        </is>
      </c>
      <c r="C4" s="6" t="inlineStr">
        <is>
          <t>836.6%</t>
        </is>
      </c>
      <c r="D4" s="6" t="inlineStr">
        <is>
          <t>618%</t>
        </is>
      </c>
      <c r="E4" s="6" t="inlineStr">
        <is>
          <t>1029%</t>
        </is>
      </c>
      <c r="F4" s="6" t="inlineStr">
        <is>
          <t>5597%</t>
        </is>
      </c>
      <c r="G4" s="6" t="inlineStr">
        <is>
          <t>6820%</t>
        </is>
      </c>
    </row>
    <row r="6" ht="180" customHeight="1">
      <c r="A6"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 plausibly linked to the Group's disclosed opt-in to the PRA's Small Domestic Deposit Takers (SDDT) reduced-disclosure regime. MREL not disclosed any year, no exemption stated - consistent with a small SDDT-regime institution.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6:G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Net Stable Funding Ratio</t>
        </is>
      </c>
      <c r="B4" s="6" t="n"/>
      <c r="C4" s="6" t="n"/>
      <c r="D4" s="6" t="inlineStr">
        <is>
          <t>148.2%</t>
        </is>
      </c>
      <c r="E4" s="6" t="inlineStr">
        <is>
          <t>163%</t>
        </is>
      </c>
      <c r="F4" s="6" t="inlineStr">
        <is>
          <t>214%</t>
        </is>
      </c>
      <c r="G4" s="6" t="inlineStr">
        <is>
          <t>253%</t>
        </is>
      </c>
    </row>
    <row r="5" ht="60" customHeight="1">
      <c r="A5" s="7" t="inlineStr">
        <is>
          <t>Note: NSFR was disclosed for FY2020-FY2023 but does not appear anywhere in the FY2024 or FY2025 Pillar 3 documents (confirmed by direct search of both, not assumed) - plausibly linked to the Group's disclosed opt-in to the PRA's Small Domestic Deposit Takers (SDDT) reduced-disclosure regime.</t>
        </is>
      </c>
    </row>
    <row r="7" ht="180" customHeight="1">
      <c r="A7"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 plausibly linked to the Group's disclosed opt-in to the PRA's Small Domestic Deposit Takers (SDDT) reduced-disclosure regime. MREL not disclosed any year, no exemption stated - consistent with a small SDDT-regime institution.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2">
    <mergeCell ref="A7:G7"/>
    <mergeCell ref="A5:G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Not publicly disclosed any year, no exemption stated - consistent with a small SDDT-regime institution.</t>
        </is>
      </c>
    </row>
    <row r="7" ht="150" customHeight="1">
      <c r="A7" s="8" t="inlineStr">
        <is>
          <t>Sources - Distribution Finance Capital Holdings plc Pillar 3 Disclosures (Consolidated Group basis), Key Metrics (UK KM1) table, p.n/a: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 plausibly linked to the Group's disclosed opt-in to the PRA's Small Domestic Deposit Takers (SDDT) reduced-disclosure regime. MREL not disclosed any year, no exemption stated - consistent with a small SDDT-regime institution.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2026-09-06T16:55:46Z</dcterms:created>
  <dcterms:modified xsi:type="dcterms:W3CDTF">2026-09-06T16:55:46Z</dcterms:modified>
</cp:coreProperties>
</file>