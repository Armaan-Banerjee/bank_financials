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D80034"/>
        <bgColor rgb="00D8003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DF Capital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DF Capital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DF Capital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from/(used in) operating activities</t>
        </is>
      </c>
      <c r="B6" s="5" t="n">
        <v>32953</v>
      </c>
      <c r="C6" s="5" t="n">
        <v>9201</v>
      </c>
      <c r="D6" s="5" t="n">
        <v>-37712</v>
      </c>
      <c r="E6" s="5" t="n">
        <v>-3408</v>
      </c>
      <c r="F6" s="5" t="n">
        <v>13178</v>
      </c>
      <c r="I6" t="inlineStr">
        <is>
          <t>Net cash generated from/(used in) operating activities</t>
        </is>
      </c>
      <c r="J6" t="n">
        <v>13178</v>
      </c>
      <c r="K6" t="n">
        <v>-3408</v>
      </c>
      <c r="L6" t="n">
        <v>-37712</v>
      </c>
      <c r="M6" t="n">
        <v>9201</v>
      </c>
      <c r="N6" t="n">
        <v>32953</v>
      </c>
      <c r="Q6" t="inlineStr">
        <is>
          <t>CET1 Ratio</t>
        </is>
      </c>
      <c r="R6" t="n">
        <v>38.2</v>
      </c>
      <c r="S6" t="n">
        <v>22.1</v>
      </c>
      <c r="T6" t="n">
        <v>22.8</v>
      </c>
      <c r="U6" t="n">
        <v>21.6</v>
      </c>
      <c r="V6" t="n">
        <v>18</v>
      </c>
    </row>
    <row r="7">
      <c r="A7" s="5" t="inlineStr">
        <is>
          <t>Net cash (used in)/generated from investing activities</t>
        </is>
      </c>
      <c r="B7" s="5" t="n">
        <v>-3623</v>
      </c>
      <c r="C7" s="5" t="n">
        <v>14162</v>
      </c>
      <c r="D7" s="5" t="n">
        <v>8227</v>
      </c>
      <c r="E7" s="5" t="n">
        <v>84582</v>
      </c>
      <c r="F7" s="5" t="n">
        <v>-43312</v>
      </c>
      <c r="I7" t="inlineStr">
        <is>
          <t>Net cash (used in)/generated from investing activities</t>
        </is>
      </c>
      <c r="J7" t="n">
        <v>-43312</v>
      </c>
      <c r="K7" t="n">
        <v>84582</v>
      </c>
      <c r="L7" t="n">
        <v>8227</v>
      </c>
      <c r="M7" t="n">
        <v>14162</v>
      </c>
      <c r="N7" t="n">
        <v>-3623</v>
      </c>
      <c r="Q7" t="inlineStr">
        <is>
          <t>Total Capital Ratio</t>
        </is>
      </c>
      <c r="R7" t="n">
        <v>38.2</v>
      </c>
      <c r="S7" t="n">
        <v>22.1</v>
      </c>
      <c r="T7" t="n">
        <v>25.8</v>
      </c>
      <c r="U7" t="n">
        <v>23.8</v>
      </c>
      <c r="V7" t="n">
        <v>20.5</v>
      </c>
    </row>
    <row r="8">
      <c r="A8" s="5" t="inlineStr">
        <is>
          <t>Net cash (used in)/generated from financing activities</t>
        </is>
      </c>
      <c r="B8" s="5" t="n">
        <v>-1330</v>
      </c>
      <c r="C8" s="5" t="n">
        <v>-1667</v>
      </c>
      <c r="D8" s="5" t="n">
        <v>9722</v>
      </c>
      <c r="E8" s="5" t="n">
        <v>-141</v>
      </c>
      <c r="F8" s="5" t="n">
        <v>38498</v>
      </c>
      <c r="I8" t="inlineStr">
        <is>
          <t>Net cash (used in)/generated from financing activities</t>
        </is>
      </c>
      <c r="J8" t="n">
        <v>38498</v>
      </c>
      <c r="K8" t="n">
        <v>-141</v>
      </c>
      <c r="L8" t="n">
        <v>9722</v>
      </c>
      <c r="M8" t="n">
        <v>-1667</v>
      </c>
      <c r="N8" t="n">
        <v>-1330</v>
      </c>
      <c r="Q8" t="inlineStr">
        <is>
          <t>Leverage Ratio</t>
        </is>
      </c>
      <c r="R8" t="n">
        <v>21.2</v>
      </c>
      <c r="S8" t="n">
        <v>17.6</v>
      </c>
      <c r="T8" t="n">
        <v>13</v>
      </c>
      <c r="U8" t="n">
        <v>14.5</v>
      </c>
      <c r="V8" t="n">
        <v>12.8</v>
      </c>
    </row>
    <row r="9">
      <c r="A9" s="5" t="inlineStr">
        <is>
          <t>Cash and cash equivalents at end of the period</t>
        </is>
      </c>
      <c r="B9" s="5" t="n">
        <v>140563</v>
      </c>
      <c r="C9" s="5" t="n">
        <v>112563</v>
      </c>
      <c r="D9" s="5" t="n">
        <v>90867</v>
      </c>
      <c r="E9" s="5" t="n">
        <v>110630</v>
      </c>
      <c r="F9" s="5" t="n">
        <v>29597</v>
      </c>
      <c r="I9" t="inlineStr">
        <is>
          <t>Cash and cash equivalents at end of the period</t>
        </is>
      </c>
      <c r="J9" t="n">
        <v>29597</v>
      </c>
      <c r="K9" t="n">
        <v>110630</v>
      </c>
      <c r="L9" t="n">
        <v>90867</v>
      </c>
      <c r="M9" t="n">
        <v>112563</v>
      </c>
      <c r="N9" t="n">
        <v>140563</v>
      </c>
      <c r="Q9" t="inlineStr">
        <is>
          <t>LCR</t>
        </is>
      </c>
      <c r="R9" t="n">
        <v>5597</v>
      </c>
      <c r="S9" t="n">
        <v>1029</v>
      </c>
      <c r="T9" t="n">
        <v>618</v>
      </c>
      <c r="U9" t="n">
        <v>836.6</v>
      </c>
      <c r="V9" t="n">
        <v>704</v>
      </c>
    </row>
    <row r="10">
      <c r="Q10" t="inlineStr">
        <is>
          <t>NSFR</t>
        </is>
      </c>
      <c r="R10" t="n">
        <v>214</v>
      </c>
      <c r="S10" t="n">
        <v>163</v>
      </c>
      <c r="T10" t="n">
        <v>148.2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18.0%</t>
        </is>
      </c>
      <c r="C13" s="6" t="inlineStr">
        <is>
          <t>21.6%</t>
        </is>
      </c>
      <c r="D13" s="6" t="inlineStr">
        <is>
          <t>22.8%</t>
        </is>
      </c>
      <c r="E13" s="6" t="inlineStr">
        <is>
          <t>22.1%</t>
        </is>
      </c>
      <c r="F13" s="6" t="inlineStr">
        <is>
          <t>38.2%</t>
        </is>
      </c>
    </row>
    <row r="14">
      <c r="A14" s="6" t="inlineStr">
        <is>
          <t>Total Capital Ratio</t>
        </is>
      </c>
      <c r="B14" s="6" t="inlineStr">
        <is>
          <t>20.5%</t>
        </is>
      </c>
      <c r="C14" s="6" t="inlineStr">
        <is>
          <t>23.8%</t>
        </is>
      </c>
      <c r="D14" s="6" t="inlineStr">
        <is>
          <t>25.8%</t>
        </is>
      </c>
      <c r="E14" s="6" t="inlineStr">
        <is>
          <t>22.1%</t>
        </is>
      </c>
      <c r="F14" s="6" t="inlineStr">
        <is>
          <t>38.2%</t>
        </is>
      </c>
    </row>
    <row r="15">
      <c r="A15" s="6" t="inlineStr">
        <is>
          <t>Leverage Ratio</t>
        </is>
      </c>
      <c r="B15" s="6" t="inlineStr">
        <is>
          <t>12.8%</t>
        </is>
      </c>
      <c r="C15" s="6" t="inlineStr">
        <is>
          <t>14.5%</t>
        </is>
      </c>
      <c r="D15" s="6" t="inlineStr">
        <is>
          <t>13.0%</t>
        </is>
      </c>
      <c r="E15" s="6" t="inlineStr">
        <is>
          <t>17.6%</t>
        </is>
      </c>
      <c r="F15" s="6" t="inlineStr">
        <is>
          <t>21.2%</t>
        </is>
      </c>
    </row>
    <row r="16">
      <c r="A16" s="6" t="inlineStr">
        <is>
          <t>LCR</t>
        </is>
      </c>
      <c r="B16" s="6" t="inlineStr">
        <is>
          <t>704.0%</t>
        </is>
      </c>
      <c r="C16" s="6" t="inlineStr">
        <is>
          <t>836.6%</t>
        </is>
      </c>
      <c r="D16" s="6" t="inlineStr">
        <is>
          <t>618%</t>
        </is>
      </c>
      <c r="E16" s="6" t="inlineStr">
        <is>
          <t>1029%</t>
        </is>
      </c>
      <c r="F16" s="6" t="inlineStr">
        <is>
          <t>5597%</t>
        </is>
      </c>
    </row>
    <row r="17">
      <c r="A17" s="6" t="inlineStr">
        <is>
          <t>NSFR</t>
        </is>
      </c>
      <c r="B17" s="6" t="n"/>
      <c r="C17" s="6" t="n"/>
      <c r="D17" s="6" t="inlineStr">
        <is>
          <t>148.2%</t>
        </is>
      </c>
      <c r="E17" s="6" t="inlineStr">
        <is>
          <t>163%</t>
        </is>
      </c>
      <c r="F17" s="6" t="inlineStr">
        <is>
          <t>214%</t>
        </is>
      </c>
    </row>
    <row r="19" ht="45" customHeight="1">
      <c r="A19" s="7" t="inlineStr">
        <is>
          <t>Note: Figures are Distribution Finance Capital Holdings plc Group-consolidated basis (the PRA-regulated Bank's own filed accounts are fully scanned with no text layer; the Group and regulatory consolidation bases are confirmed identical, so this is not a basis mismatch — see the Cash Flow Statement sheet's source note). Figures are duplicated from the detail sheets for at-a-glance trend viewing; see each sheet's own source citation for the underlying document/page.</t>
        </is>
      </c>
    </row>
  </sheetData>
  <mergeCells count="1">
    <mergeCell ref="A19:F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Consolidated Cash Flow Statement</t>
        </is>
      </c>
    </row>
    <row r="2">
      <c r="A2" s="2" t="inlineStr">
        <is>
          <t>Distribution Finance Capital Holdings plc Group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taxation</t>
        </is>
      </c>
      <c r="B5" s="6" t="n">
        <v>19641</v>
      </c>
      <c r="C5" s="6" t="n">
        <v>19074</v>
      </c>
      <c r="D5" s="6" t="n">
        <v>4573</v>
      </c>
      <c r="E5" s="6" t="n">
        <v>1304</v>
      </c>
      <c r="F5" s="6" t="n">
        <v>-3735</v>
      </c>
    </row>
    <row r="6">
      <c r="A6" s="6" t="inlineStr">
        <is>
          <t>Adjustments for non-cash items and other adjustments included in the income statement</t>
        </is>
      </c>
      <c r="B6" s="6" t="n">
        <v>7794</v>
      </c>
      <c r="C6" s="6" t="n">
        <v>3822</v>
      </c>
      <c r="D6" s="6" t="n">
        <v>13000</v>
      </c>
      <c r="E6" s="6" t="n">
        <v>4664</v>
      </c>
      <c r="F6" s="6" t="n">
        <v>1446</v>
      </c>
    </row>
    <row r="7">
      <c r="A7" s="6" t="inlineStr">
        <is>
          <t>Increase/(decrease) in operating assets</t>
        </is>
      </c>
      <c r="B7" s="6" t="n">
        <v>-186354</v>
      </c>
      <c r="C7" s="6" t="n">
        <v>-92390</v>
      </c>
      <c r="D7" s="6" t="n">
        <v>-149456</v>
      </c>
      <c r="E7" s="6" t="n">
        <v>-193189</v>
      </c>
      <c r="F7" s="6" t="n">
        <v>-136244</v>
      </c>
    </row>
    <row r="8">
      <c r="A8" s="6" t="inlineStr">
        <is>
          <t>Increase/(decrease) in operating liabilities</t>
        </is>
      </c>
      <c r="B8" s="6" t="n">
        <v>195168</v>
      </c>
      <c r="C8" s="6" t="n">
        <v>79376</v>
      </c>
      <c r="D8" s="6" t="n">
        <v>94171</v>
      </c>
      <c r="E8" s="6" t="n">
        <v>183809</v>
      </c>
      <c r="F8" s="6" t="n">
        <v>151711</v>
      </c>
    </row>
    <row r="9">
      <c r="A9" s="6" t="inlineStr">
        <is>
          <t>Taxation paid/(received)</t>
        </is>
      </c>
      <c r="B9" s="6" t="n">
        <v>-3296</v>
      </c>
      <c r="C9" s="6" t="n">
        <v>-681</v>
      </c>
      <c r="D9" s="6" t="n">
        <v>0</v>
      </c>
      <c r="E9" s="6" t="n">
        <v>-4</v>
      </c>
      <c r="F9" s="6" t="n">
        <v>0</v>
      </c>
    </row>
    <row r="10">
      <c r="A10" s="5" t="inlineStr">
        <is>
          <t>Net cash generated from/(used in) operating activities</t>
        </is>
      </c>
      <c r="B10" s="5" t="n">
        <v>32953</v>
      </c>
      <c r="C10" s="5" t="n">
        <v>9201</v>
      </c>
      <c r="D10" s="5" t="n">
        <v>-37712</v>
      </c>
      <c r="E10" s="5" t="n">
        <v>-3408</v>
      </c>
      <c r="F10" s="5" t="n">
        <v>13178</v>
      </c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investment/debt securities</t>
        </is>
      </c>
      <c r="B12" s="6" t="n">
        <v>-498</v>
      </c>
      <c r="C12" s="6" t="n">
        <v>-9918</v>
      </c>
      <c r="D12" s="6" t="n">
        <v>-14554</v>
      </c>
      <c r="E12" s="6" t="n">
        <v>0</v>
      </c>
      <c r="F12" s="6" t="n">
        <v>-350980</v>
      </c>
    </row>
    <row r="13">
      <c r="A13" s="6" t="inlineStr">
        <is>
          <t>Proceeds from sale and maturity of investment/debt securities</t>
        </is>
      </c>
      <c r="B13" s="6" t="n">
        <v>500</v>
      </c>
      <c r="C13" s="6" t="n">
        <v>25000</v>
      </c>
      <c r="D13" s="6" t="n">
        <v>23000</v>
      </c>
      <c r="E13" s="6" t="n">
        <v>85070</v>
      </c>
      <c r="F13" s="6" t="n">
        <v>307958</v>
      </c>
    </row>
    <row r="14">
      <c r="A14" s="6" t="inlineStr">
        <is>
          <t>Dividends received on money market funds</t>
        </is>
      </c>
      <c r="B14" s="6" t="n">
        <v>57</v>
      </c>
      <c r="C14" s="6" t="n">
        <v>25</v>
      </c>
      <c r="D14" s="6" t="n"/>
      <c r="E14" s="6" t="n"/>
      <c r="F14" s="6" t="n"/>
    </row>
    <row r="15">
      <c r="A15" s="6" t="inlineStr">
        <is>
          <t>Interest received on investment/debt securities</t>
        </is>
      </c>
      <c r="B15" s="6" t="n">
        <v>2</v>
      </c>
      <c r="C15" s="6" t="n">
        <v>75</v>
      </c>
      <c r="D15" s="6" t="n">
        <v>383</v>
      </c>
      <c r="E15" s="6" t="n">
        <v>746</v>
      </c>
      <c r="F15" s="6" t="n">
        <v>549</v>
      </c>
    </row>
    <row r="16">
      <c r="A16" s="6" t="inlineStr">
        <is>
          <t>Purchase of own shares</t>
        </is>
      </c>
      <c r="B16" s="6" t="n"/>
      <c r="C16" s="6" t="n"/>
      <c r="D16" s="6" t="n">
        <v>-67</v>
      </c>
      <c r="E16" s="6" t="n"/>
      <c r="F16" s="6" t="n"/>
    </row>
    <row r="17">
      <c r="A17" s="6" t="inlineStr">
        <is>
          <t>Purchase of property, plant and equipment</t>
        </is>
      </c>
      <c r="B17" s="6" t="n">
        <v>-3557</v>
      </c>
      <c r="C17" s="6" t="n">
        <v>-397</v>
      </c>
      <c r="D17" s="6" t="n">
        <v>-418</v>
      </c>
      <c r="E17" s="6" t="n">
        <v>-1041</v>
      </c>
      <c r="F17" s="6" t="n">
        <v>-253</v>
      </c>
    </row>
    <row r="18">
      <c r="A18" s="6" t="inlineStr">
        <is>
          <t>Cash received on disposal of property, plant and equipment</t>
        </is>
      </c>
      <c r="B18" s="6" t="n">
        <v>34</v>
      </c>
      <c r="C18" s="6" t="n"/>
      <c r="D18" s="6" t="n"/>
      <c r="E18" s="6" t="n"/>
      <c r="F18" s="6" t="n"/>
    </row>
    <row r="19">
      <c r="A19" s="6" t="inlineStr">
        <is>
          <t>Purchase of right of use assets</t>
        </is>
      </c>
      <c r="B19" s="6" t="n">
        <v>-81</v>
      </c>
      <c r="C19" s="6" t="n"/>
      <c r="D19" s="6" t="n"/>
      <c r="E19" s="6" t="n"/>
      <c r="F19" s="6" t="n"/>
    </row>
    <row r="20">
      <c r="A20" s="6" t="inlineStr">
        <is>
          <t>Purchase of intangible assets</t>
        </is>
      </c>
      <c r="B20" s="6" t="n">
        <v>-80</v>
      </c>
      <c r="C20" s="6" t="n">
        <v>-623</v>
      </c>
      <c r="D20" s="6" t="n">
        <v>-117</v>
      </c>
      <c r="E20" s="6" t="n">
        <v>-193</v>
      </c>
      <c r="F20" s="6" t="n">
        <v>-586</v>
      </c>
    </row>
    <row r="21">
      <c r="A21" s="5" t="inlineStr">
        <is>
          <t>Net cash (used in)/generated from investing activities</t>
        </is>
      </c>
      <c r="B21" s="5" t="n">
        <v>-3623</v>
      </c>
      <c r="C21" s="5" t="n">
        <v>14162</v>
      </c>
      <c r="D21" s="5" t="n">
        <v>8227</v>
      </c>
      <c r="E21" s="5" t="n">
        <v>84582</v>
      </c>
      <c r="F21" s="5" t="n">
        <v>-43312</v>
      </c>
    </row>
    <row r="22">
      <c r="A22" s="5" t="inlineStr">
        <is>
          <t>Financing activities</t>
        </is>
      </c>
      <c r="B22" s="6" t="n"/>
      <c r="C22" s="6" t="n"/>
      <c r="D22" s="6" t="n"/>
      <c r="E22" s="6" t="n"/>
      <c r="F22" s="6" t="n"/>
    </row>
    <row r="23">
      <c r="A23" s="6" t="inlineStr">
        <is>
          <t>Issue of new shares</t>
        </is>
      </c>
      <c r="B23" s="6" t="n"/>
      <c r="C23" s="6" t="n"/>
      <c r="D23" s="6" t="n"/>
      <c r="E23" s="6" t="n"/>
      <c r="F23" s="6" t="n">
        <v>38645</v>
      </c>
    </row>
    <row r="24">
      <c r="A24" s="6" t="inlineStr">
        <is>
          <t>Repayment of lease liabilities</t>
        </is>
      </c>
      <c r="B24" s="6" t="n">
        <v>-108</v>
      </c>
      <c r="C24" s="6" t="n">
        <v>-252</v>
      </c>
      <c r="D24" s="6" t="n">
        <v>-227</v>
      </c>
      <c r="E24" s="6" t="n">
        <v>-141</v>
      </c>
      <c r="F24" s="6" t="n">
        <v>-147</v>
      </c>
    </row>
    <row r="25">
      <c r="A25" s="6" t="inlineStr">
        <is>
          <t>Issuance of subordinated liabilities</t>
        </is>
      </c>
      <c r="B25" s="6" t="n">
        <v>5000</v>
      </c>
      <c r="C25" s="6" t="n"/>
      <c r="D25" s="6" t="n">
        <v>10000</v>
      </c>
      <c r="E25" s="6" t="n"/>
      <c r="F25" s="6" t="n"/>
    </row>
    <row r="26">
      <c r="A26" s="6" t="inlineStr">
        <is>
          <t>Acquisition of subordinated liabilities</t>
        </is>
      </c>
      <c r="B26" s="6" t="n"/>
      <c r="C26" s="6" t="n"/>
      <c r="D26" s="6" t="n">
        <v>-51</v>
      </c>
      <c r="E26" s="6" t="n"/>
      <c r="F26" s="6" t="n"/>
    </row>
    <row r="27">
      <c r="A27" s="6" t="inlineStr">
        <is>
          <t>Coupon paid on subordinated liabilities</t>
        </is>
      </c>
      <c r="B27" s="6" t="n">
        <v>-1269</v>
      </c>
      <c r="C27" s="6" t="n">
        <v>-1273</v>
      </c>
      <c r="D27" s="6" t="n"/>
      <c r="E27" s="6" t="n"/>
      <c r="F27" s="6" t="n"/>
    </row>
    <row r="28">
      <c r="A28" s="6" t="inlineStr">
        <is>
          <t>Purchase of own shares</t>
        </is>
      </c>
      <c r="B28" s="6" t="n">
        <v>-192</v>
      </c>
      <c r="C28" s="6" t="n">
        <v>-142</v>
      </c>
      <c r="D28" s="6" t="n"/>
      <c r="E28" s="6" t="n"/>
      <c r="F28" s="6" t="n"/>
    </row>
    <row r="29">
      <c r="A29" s="6" t="inlineStr">
        <is>
          <t>Purchase of treasury shares</t>
        </is>
      </c>
      <c r="B29" s="6" t="n">
        <v>-4877</v>
      </c>
      <c r="C29" s="6" t="n"/>
      <c r="D29" s="6" t="n"/>
      <c r="E29" s="6" t="n"/>
      <c r="F29" s="6" t="n"/>
    </row>
    <row r="30">
      <c r="A30" s="6" t="inlineStr">
        <is>
          <t>Receipt of cash from settlement of share options</t>
        </is>
      </c>
      <c r="B30" s="6" t="n">
        <v>116</v>
      </c>
      <c r="C30" s="6" t="n"/>
      <c r="D30" s="6" t="n"/>
      <c r="E30" s="6" t="n"/>
      <c r="F30" s="6" t="n"/>
    </row>
    <row r="31">
      <c r="A31" s="5" t="inlineStr">
        <is>
          <t>Net cash (used in)/generated from financing activities</t>
        </is>
      </c>
      <c r="B31" s="5" t="n">
        <v>-1330</v>
      </c>
      <c r="C31" s="5" t="n">
        <v>-1667</v>
      </c>
      <c r="D31" s="5" t="n">
        <v>9722</v>
      </c>
      <c r="E31" s="5" t="n">
        <v>-141</v>
      </c>
      <c r="F31" s="5" t="n">
        <v>38498</v>
      </c>
    </row>
    <row r="32">
      <c r="A32" s="5" t="inlineStr">
        <is>
          <t>Net increase/(decrease) in cash and cash equivalents</t>
        </is>
      </c>
      <c r="B32" s="5" t="n">
        <v>28000</v>
      </c>
      <c r="C32" s="5" t="n">
        <v>21696</v>
      </c>
      <c r="D32" s="5" t="n">
        <v>-19763</v>
      </c>
      <c r="E32" s="5" t="n">
        <v>81033</v>
      </c>
      <c r="F32" s="5" t="n">
        <v>8364</v>
      </c>
    </row>
    <row r="33">
      <c r="A33" s="6" t="inlineStr">
        <is>
          <t>Cash and cash equivalents at start of the period</t>
        </is>
      </c>
      <c r="B33" s="6" t="n">
        <v>112563</v>
      </c>
      <c r="C33" s="6" t="n">
        <v>90867</v>
      </c>
      <c r="D33" s="6" t="n">
        <v>110630</v>
      </c>
      <c r="E33" s="6" t="n">
        <v>29597</v>
      </c>
      <c r="F33" s="6" t="n">
        <v>21233</v>
      </c>
    </row>
    <row r="34">
      <c r="A34" s="5" t="inlineStr">
        <is>
          <t>Cash and cash equivalents at end of the period</t>
        </is>
      </c>
      <c r="B34" s="5" t="n">
        <v>140563</v>
      </c>
      <c r="C34" s="5" t="n">
        <v>112563</v>
      </c>
      <c r="D34" s="5" t="n">
        <v>90867</v>
      </c>
      <c r="E34" s="5" t="n">
        <v>110630</v>
      </c>
      <c r="F34" s="5" t="n">
        <v>29597</v>
      </c>
    </row>
    <row r="36" ht="280" customHeight="1">
      <c r="A36" s="8" t="inlineStr">
        <is>
          <t>Sources - Distribution Finance Capital Holdings plc's Consolidated Cash Flow Statement (Group basis, the Bank's own filed accounts are fully scanned - see ENTITY NOTE):
FY2025/FY2024: Annual Report and Accounts 2025, p.114-115 (Consolidated Cash Flow Statement) - https://wp-dfcapital-investors-2020.s3.eu-west-2.amazonaws.com/media/2026/03/DF-Capital-Annual-Report-and-Accounts-year-ending-2025.pdf
FY2023/FY2022: Annual Report and Accounts 2023, p.114-115 (Consolidated Cash Flow Statement) - https://wp-dfcapital-investors-2020.s3.eu-west-2.amazonaws.com/media/2024/04/DF-Capital-Annual-Report-and-Accounts-year-ending-2023-1.pdf
FY2021: Annual Report and Accounts 2021, p.106-107 (Consolidated Cash Flow Statement) - https://wp-dfcapital-investors-2020.s3.eu-west-2.amazonaws.com/media/2022/05/Annual-report-and-accounts-year-end-2021.pdf
Each year's own originally-published figures are used; the closing balance of each year ties exactly to the opening balance of the next, no restatements found across any vintage. FY2022's own printed operating-activities total (-GBP3,408k) is GBP8k off its own component lines' sum (-GBP3,416k) - an immaterial rounding artifact in the source document itself, kept as printed rather than force-corrected; every other year's total ties to the penny.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112443</v>
      </c>
      <c r="C4" s="6" t="n">
        <v>98780</v>
      </c>
      <c r="D4" s="6" t="n">
        <v>79269</v>
      </c>
      <c r="E4" s="6" t="n">
        <v>84579</v>
      </c>
      <c r="F4" s="6" t="n">
        <v>82690</v>
      </c>
    </row>
    <row r="6" ht="180" customHeight="1">
      <c r="A6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18.0%</t>
        </is>
      </c>
      <c r="C4" s="6" t="inlineStr">
        <is>
          <t>21.6%</t>
        </is>
      </c>
      <c r="D4" s="6" t="inlineStr">
        <is>
          <t>22.8%</t>
        </is>
      </c>
      <c r="E4" s="6" t="inlineStr">
        <is>
          <t>22.1%</t>
        </is>
      </c>
      <c r="F4" s="6" t="inlineStr">
        <is>
          <t>38.2%</t>
        </is>
      </c>
    </row>
    <row r="6" ht="180" customHeight="1">
      <c r="A6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112443</v>
      </c>
      <c r="C4" s="6" t="n">
        <v>98780</v>
      </c>
      <c r="D4" s="6" t="n">
        <v>79269</v>
      </c>
      <c r="E4" s="6" t="n">
        <v>84579</v>
      </c>
      <c r="F4" s="6" t="n">
        <v>82690</v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80" customHeight="1">
      <c r="A7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18.0%</t>
        </is>
      </c>
      <c r="C4" s="6" t="inlineStr">
        <is>
          <t>21.6%</t>
        </is>
      </c>
      <c r="D4" s="6" t="inlineStr">
        <is>
          <t>22.8%</t>
        </is>
      </c>
      <c r="E4" s="6" t="inlineStr">
        <is>
          <t>22.1%</t>
        </is>
      </c>
      <c r="F4" s="6" t="inlineStr">
        <is>
          <t>38.2%</t>
        </is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80" customHeight="1">
      <c r="A7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127745</v>
      </c>
      <c r="C4" s="6" t="n">
        <v>109010</v>
      </c>
      <c r="D4" s="6" t="n">
        <v>89538</v>
      </c>
      <c r="E4" s="6" t="n">
        <v>84579</v>
      </c>
      <c r="F4" s="6" t="n">
        <v>82690</v>
      </c>
    </row>
    <row r="6" ht="180" customHeight="1">
      <c r="A6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20.5%</t>
        </is>
      </c>
      <c r="C4" s="6" t="inlineStr">
        <is>
          <t>23.8%</t>
        </is>
      </c>
      <c r="D4" s="6" t="inlineStr">
        <is>
          <t>25.8%</t>
        </is>
      </c>
      <c r="E4" s="6" t="inlineStr">
        <is>
          <t>22.1%</t>
        </is>
      </c>
      <c r="F4" s="6" t="inlineStr">
        <is>
          <t>38.2%</t>
        </is>
      </c>
    </row>
    <row r="6" ht="180" customHeight="1">
      <c r="A6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623607</v>
      </c>
      <c r="C4" s="6" t="n">
        <v>457565</v>
      </c>
      <c r="D4" s="6" t="n">
        <v>347034</v>
      </c>
      <c r="E4" s="6" t="n">
        <v>381972</v>
      </c>
      <c r="F4" s="6" t="n">
        <v>216353</v>
      </c>
    </row>
    <row r="6" ht="180" customHeight="1">
      <c r="A6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excluding claims on central banks</t>
        </is>
      </c>
      <c r="B4" s="6" t="inlineStr">
        <is>
          <t>12.8%</t>
        </is>
      </c>
      <c r="C4" s="6" t="inlineStr">
        <is>
          <t>14.5%</t>
        </is>
      </c>
      <c r="D4" s="6" t="inlineStr">
        <is>
          <t>13.0%</t>
        </is>
      </c>
      <c r="E4" s="6" t="inlineStr">
        <is>
          <t>17.6%</t>
        </is>
      </c>
      <c r="F4" s="6" t="inlineStr">
        <is>
          <t>21.2%</t>
        </is>
      </c>
    </row>
    <row r="6" ht="180" customHeight="1">
      <c r="A6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704.0%</t>
        </is>
      </c>
      <c r="C4" s="6" t="inlineStr">
        <is>
          <t>836.6%</t>
        </is>
      </c>
      <c r="D4" s="6" t="inlineStr">
        <is>
          <t>618%</t>
        </is>
      </c>
      <c r="E4" s="6" t="inlineStr">
        <is>
          <t>1029%</t>
        </is>
      </c>
      <c r="F4" s="6" t="inlineStr">
        <is>
          <t>5597%</t>
        </is>
      </c>
    </row>
    <row r="6" ht="180" customHeight="1">
      <c r="A6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n"/>
      <c r="C4" s="6" t="n"/>
      <c r="D4" s="6" t="inlineStr">
        <is>
          <t>148.2%</t>
        </is>
      </c>
      <c r="E4" s="6" t="inlineStr">
        <is>
          <t>163%</t>
        </is>
      </c>
      <c r="F4" s="6" t="inlineStr">
        <is>
          <t>214%</t>
        </is>
      </c>
    </row>
    <row r="5" ht="60" customHeight="1">
      <c r="A5" s="7" t="inlineStr">
        <is>
          <t>Note: NSFR was disclosed for FY2021-FY2023 but does not appear anywhere in the FY2024 or FY2025 Pillar 3 documents (confirmed by direct search of both, not assumed) - plausibly linked to the Group's disclosed opt-in to the PRA's Small Domestic Deposit Takers (SDDT) reduced-disclosure regime.</t>
        </is>
      </c>
    </row>
    <row r="7" ht="180" customHeight="1">
      <c r="A7" s="8" t="inlineStr">
        <is>
          <t>Sources - Distribution Finance Capital Holdings plc Pillar 3 Disclosures (Consolidated Group basis), Key Metrics (UK KM1) table, p.4: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DF Capital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any year, no exemption stated - consistent with a small SDDT-regime institution.</t>
        </is>
      </c>
    </row>
    <row r="7" ht="150" customHeight="1">
      <c r="A7" s="8" t="inlineStr">
        <is>
          <t>Sources - Distribution Finance Capital Holdings plc Pillar 3 Disclosures (Consolidated Group basis), Key Metrics (UK KM1) table, p.n/a:
FY2025: DF Capital Pillar III 2025 - https://wp-dfcapital-investors-2020.s3.eu-west-2.amazonaws.com/media/2026/03/DF-Capital-Pillar-III-2025.pdf
FY2024: DF Capital Pillar 3 Disclosures at December 2024 - https://wp-dfcapital-investors-2020.s3.eu-west-2.amazonaws.com/media/2025/04/Distribution-Finance-Capital-Holdings-plc-Pillar-3-Disclosures-at-31-December-2024.pdf
FY2023/FY2022: DF Capital Pillar III 2024 (FY2023 with Dec-22 comparative) - https://wp-dfcapital-investors-2020.s3.eu-west-2.amazonaws.com/media/2024/04/DF-Capital-Pillar-III_2024-FINAL.pdf
FY2021: DF Capital Pillar III Dec 2021, Table 1 (Group column used, Bank-solo column also disclosed that year only, not used - see ENTITY NOTE) - https://wp-dfcapital-investors-2020.s3.eu-west-2.amazonaws.com/media/2022/04/DF-Capital-Pillar-III_Dec-2021-Final.pdf
ENTITY NOTE: DF Capital Bank Limited (FRN 848291, company 10198535) is the PRA-regulated bank entity, a wholly-owned subsidiary of the AIM-listed Distribution Finance Capital Holdings plc (company 11911574, 'the Group'). The Bank's own Companies House filings are fully scanned (no text layer). Both the Annual Report and the Pillar 3 disclosure are published ONLY at the Group-consolidated level - the Pillar 3 document itself states 'there are no differences between the basis of consolidation of the Group for accounting and regulatory purposes,' confirming this is not a basis mismatch. From FY2021-FY2023 the Group comprised only DFCH plc and DF Capital Bank Limited; two further lending subsidiaries (DF Capital Financial Solutions Limited, DF Capital Retail Finance Limited) were added by FY2025 per the Annual Report's own country-by-country note. The FY2021 Pillar 3 document uniquely also discloses a Bank-solo column alongside Group - the Group column is used throughout for consistency with every later year, which only shows Group. NSFR was disclosed FY2021-FY2023 but stops appearing in the FY2024 and FY2025 Pillar 3 documents entirely (checked directly, not assumed) - plausibly linked to the Group's disclosed opt-in to the PRA's Small Domestic Deposit Takers (SDDT) reduced-disclosure regime. MREL not disclosed any year, no exemption stated - consistent with a small SDDT-regime institution.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2026-08-28T04:26:02Z</dcterms:created>
  <dcterms:modified xsi:type="dcterms:W3CDTF">2026-08-28T04:26:02Z</dcterms:modified>
</cp:coreProperties>
</file>