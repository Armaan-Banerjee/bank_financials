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999812</v>
      </c>
      <c r="C6" s="5" t="n">
        <v>786540</v>
      </c>
      <c r="D6" s="5" t="n">
        <v>691938</v>
      </c>
      <c r="E6" s="5" t="n">
        <v>582496</v>
      </c>
      <c r="F6" s="5" t="n">
        <v>388608</v>
      </c>
      <c r="I6" t="inlineStr">
        <is>
          <t>Total assets</t>
        </is>
      </c>
      <c r="J6" t="n">
        <v>388608</v>
      </c>
      <c r="K6" t="n">
        <v>582496</v>
      </c>
      <c r="L6" t="n">
        <v>691938</v>
      </c>
      <c r="M6" t="n">
        <v>786540</v>
      </c>
      <c r="N6" t="n">
        <v>999812</v>
      </c>
      <c r="AO6" t="inlineStr">
        <is>
          <t>CET1 Ratio</t>
        </is>
      </c>
      <c r="AP6" t="n">
        <v>38.2</v>
      </c>
      <c r="AQ6" t="n">
        <v>22.1</v>
      </c>
      <c r="AR6" t="n">
        <v>22.8</v>
      </c>
      <c r="AS6" t="n">
        <v>21.6</v>
      </c>
      <c r="AT6" t="n">
        <v>18</v>
      </c>
    </row>
    <row r="7">
      <c r="A7" s="5" t="inlineStr">
        <is>
          <t>Loans and advances to customers</t>
        </is>
      </c>
      <c r="B7" s="5" t="n">
        <v>839526</v>
      </c>
      <c r="C7" s="5" t="n">
        <v>660772</v>
      </c>
      <c r="D7" s="5" t="n">
        <v>568044</v>
      </c>
      <c r="E7" s="5" t="n">
        <v>435883</v>
      </c>
      <c r="F7" s="5" t="n">
        <v>247205</v>
      </c>
      <c r="I7" t="inlineStr">
        <is>
          <t>Loans and advances to customers</t>
        </is>
      </c>
      <c r="J7" t="n">
        <v>247205</v>
      </c>
      <c r="K7" t="n">
        <v>435883</v>
      </c>
      <c r="L7" t="n">
        <v>568044</v>
      </c>
      <c r="M7" t="n">
        <v>660772</v>
      </c>
      <c r="N7" t="n">
        <v>839526</v>
      </c>
      <c r="AO7" t="inlineStr">
        <is>
          <t>Total Capital Ratio</t>
        </is>
      </c>
      <c r="AP7" t="n">
        <v>38.2</v>
      </c>
      <c r="AQ7" t="n">
        <v>22.1</v>
      </c>
      <c r="AR7" t="n">
        <v>25.8</v>
      </c>
      <c r="AS7" t="n">
        <v>23.8</v>
      </c>
      <c r="AT7" t="n">
        <v>20.5</v>
      </c>
    </row>
    <row r="8">
      <c r="A8" s="5" t="inlineStr">
        <is>
          <t>Customer deposits</t>
        </is>
      </c>
      <c r="B8" s="5" t="n">
        <v>840565</v>
      </c>
      <c r="C8" s="5" t="n">
        <v>649665</v>
      </c>
      <c r="D8" s="5" t="n">
        <v>574622</v>
      </c>
      <c r="E8" s="5" t="n">
        <v>479736</v>
      </c>
      <c r="F8" s="5" t="n">
        <v>296856</v>
      </c>
      <c r="I8" t="inlineStr">
        <is>
          <t>Customer deposits</t>
        </is>
      </c>
      <c r="J8" t="n">
        <v>296856</v>
      </c>
      <c r="K8" t="n">
        <v>479736</v>
      </c>
      <c r="L8" t="n">
        <v>574622</v>
      </c>
      <c r="M8" t="n">
        <v>649665</v>
      </c>
      <c r="N8" t="n">
        <v>840565</v>
      </c>
      <c r="AO8" t="inlineStr">
        <is>
          <t>Leverage Ratio</t>
        </is>
      </c>
      <c r="AP8" t="n">
        <v>21.2</v>
      </c>
      <c r="AQ8" t="n">
        <v>17.6</v>
      </c>
      <c r="AR8" t="n">
        <v>13</v>
      </c>
      <c r="AS8" t="n">
        <v>14.5</v>
      </c>
      <c r="AT8" t="n">
        <v>12.8</v>
      </c>
    </row>
    <row r="9">
      <c r="A9" s="5" t="inlineStr">
        <is>
          <t>Total equity</t>
        </is>
      </c>
      <c r="B9" s="5" t="n">
        <v>127230</v>
      </c>
      <c r="C9" s="5" t="n">
        <v>115354</v>
      </c>
      <c r="D9" s="5" t="n">
        <v>100414</v>
      </c>
      <c r="E9" s="5" t="n">
        <v>96239</v>
      </c>
      <c r="F9" s="5" t="n">
        <v>86058</v>
      </c>
      <c r="I9" t="inlineStr">
        <is>
          <t>Total equity</t>
        </is>
      </c>
      <c r="J9" t="n">
        <v>86058</v>
      </c>
      <c r="K9" t="n">
        <v>96239</v>
      </c>
      <c r="L9" t="n">
        <v>100414</v>
      </c>
      <c r="M9" t="n">
        <v>115354</v>
      </c>
      <c r="N9" t="n">
        <v>127230</v>
      </c>
      <c r="AO9" t="inlineStr">
        <is>
          <t>LCR</t>
        </is>
      </c>
      <c r="AP9" t="n">
        <v>5597</v>
      </c>
      <c r="AQ9" t="n">
        <v>1029</v>
      </c>
      <c r="AR9" t="n">
        <v>618</v>
      </c>
      <c r="AS9" t="n">
        <v>836.6</v>
      </c>
      <c r="AT9" t="n">
        <v>704</v>
      </c>
    </row>
    <row r="10">
      <c r="AO10" t="inlineStr">
        <is>
          <t>NSFR</t>
        </is>
      </c>
      <c r="AP10" t="n">
        <v>214</v>
      </c>
      <c r="AQ10" t="n">
        <v>163</v>
      </c>
      <c r="AR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56039</v>
      </c>
      <c r="C13" s="5" t="n">
        <v>45490</v>
      </c>
      <c r="D13" s="5" t="n">
        <v>38014</v>
      </c>
      <c r="E13" s="5" t="n">
        <v>20431</v>
      </c>
      <c r="F13" s="5" t="n">
        <v>11303</v>
      </c>
      <c r="Q13" t="inlineStr">
        <is>
          <t>Total operating income</t>
        </is>
      </c>
      <c r="R13" t="n">
        <v>11303</v>
      </c>
      <c r="S13" t="n">
        <v>20431</v>
      </c>
      <c r="T13" t="n">
        <v>38014</v>
      </c>
      <c r="U13" t="n">
        <v>45490</v>
      </c>
      <c r="V13" t="n">
        <v>56039</v>
      </c>
    </row>
    <row r="14">
      <c r="A14" s="5" t="inlineStr">
        <is>
          <t>Total operating expenses (staff + other operating expenses)</t>
        </is>
      </c>
      <c r="B14" s="5" t="n">
        <v>-32181</v>
      </c>
      <c r="C14" s="5" t="n">
        <v>-26607</v>
      </c>
      <c r="D14" s="5" t="n">
        <v>-21843</v>
      </c>
      <c r="E14" s="5" t="n">
        <v>-16831</v>
      </c>
      <c r="F14" s="5" t="n">
        <v>-14507</v>
      </c>
      <c r="Q14" t="inlineStr">
        <is>
          <t>Total operating expenses (staff + other operating expenses)</t>
        </is>
      </c>
      <c r="R14" t="n">
        <v>-14507</v>
      </c>
      <c r="S14" t="n">
        <v>-16831</v>
      </c>
      <c r="T14" t="n">
        <v>-21843</v>
      </c>
      <c r="U14" t="n">
        <v>-26607</v>
      </c>
      <c r="V14" t="n">
        <v>-32181</v>
      </c>
    </row>
    <row r="15">
      <c r="A15" s="5" t="inlineStr">
        <is>
          <t>Profit/(loss) after taxation</t>
        </is>
      </c>
      <c r="B15" s="5" t="n">
        <v>15159</v>
      </c>
      <c r="C15" s="5" t="n">
        <v>14021</v>
      </c>
      <c r="D15" s="5" t="n">
        <v>3155</v>
      </c>
      <c r="E15" s="5" t="n">
        <v>9761</v>
      </c>
      <c r="F15" s="5" t="n">
        <v>-3676</v>
      </c>
      <c r="Q15" t="inlineStr">
        <is>
          <t>Profit/(loss) after taxation</t>
        </is>
      </c>
      <c r="R15" t="n">
        <v>-3676</v>
      </c>
      <c r="S15" t="n">
        <v>9761</v>
      </c>
      <c r="T15" t="n">
        <v>3155</v>
      </c>
      <c r="U15" t="n">
        <v>14021</v>
      </c>
      <c r="V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115354</v>
      </c>
      <c r="C19" s="5" t="n">
        <v>100414</v>
      </c>
      <c r="D19" s="5" t="n">
        <v>96239</v>
      </c>
      <c r="E19" s="5" t="n">
        <v>86058</v>
      </c>
      <c r="F19" s="5" t="n">
        <v>50889</v>
      </c>
      <c r="Y19" t="inlineStr">
        <is>
          <t>Opening equity</t>
        </is>
      </c>
      <c r="Z19" t="n">
        <v>50889</v>
      </c>
      <c r="AA19" t="n">
        <v>86058</v>
      </c>
      <c r="AB19" t="n">
        <v>96239</v>
      </c>
      <c r="AC19" t="n">
        <v>100414</v>
      </c>
      <c r="AD19" t="n">
        <v>115354</v>
      </c>
    </row>
    <row r="20">
      <c r="A20" s="5" t="inlineStr">
        <is>
          <t>Total comprehensive income/(loss) for the year</t>
        </is>
      </c>
      <c r="B20" s="5" t="n">
        <v>15159</v>
      </c>
      <c r="C20" s="5" t="n">
        <v>14096</v>
      </c>
      <c r="D20" s="5" t="n">
        <v>3338</v>
      </c>
      <c r="E20" s="5" t="n">
        <v>9682</v>
      </c>
      <c r="F20" s="5" t="n">
        <v>-3838</v>
      </c>
      <c r="Y20" t="inlineStr">
        <is>
          <t>Total comprehensive income/(loss) for the year</t>
        </is>
      </c>
      <c r="Z20" t="n">
        <v>-3838</v>
      </c>
      <c r="AA20" t="n">
        <v>9682</v>
      </c>
      <c r="AB20" t="n">
        <v>3338</v>
      </c>
      <c r="AC20" t="n">
        <v>14096</v>
      </c>
      <c r="AD20" t="n">
        <v>15159</v>
      </c>
    </row>
    <row r="21">
      <c r="A21" s="5" t="inlineStr">
        <is>
          <t>Other equity movements, net</t>
        </is>
      </c>
      <c r="B21" s="5" t="n">
        <v>-3283</v>
      </c>
      <c r="C21" s="5" t="n">
        <v>844</v>
      </c>
      <c r="D21" s="5" t="n">
        <v>837</v>
      </c>
      <c r="E21" s="5" t="n">
        <v>499</v>
      </c>
      <c r="F21" s="5" t="n">
        <v>39007</v>
      </c>
      <c r="Y21" t="inlineStr">
        <is>
          <t>Other equity movements, net</t>
        </is>
      </c>
      <c r="Z21" t="n">
        <v>39007</v>
      </c>
      <c r="AA21" t="n">
        <v>499</v>
      </c>
      <c r="AB21" t="n">
        <v>837</v>
      </c>
      <c r="AC21" t="n">
        <v>844</v>
      </c>
      <c r="AD21" t="n">
        <v>-3283</v>
      </c>
    </row>
    <row r="22">
      <c r="A22" s="5" t="inlineStr">
        <is>
          <t>Closing equity</t>
        </is>
      </c>
      <c r="B22" s="5" t="n">
        <v>127230</v>
      </c>
      <c r="C22" s="5" t="n">
        <v>115354</v>
      </c>
      <c r="D22" s="5" t="n">
        <v>100414</v>
      </c>
      <c r="E22" s="5" t="n">
        <v>96239</v>
      </c>
      <c r="F22" s="5" t="n">
        <v>86058</v>
      </c>
      <c r="Y22" t="inlineStr">
        <is>
          <t>Closing equity</t>
        </is>
      </c>
      <c r="Z22" t="n">
        <v>86058</v>
      </c>
      <c r="AA22" t="n">
        <v>96239</v>
      </c>
      <c r="AB22" t="n">
        <v>100414</v>
      </c>
      <c r="AC22" t="n">
        <v>115354</v>
      </c>
      <c r="AD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from/(used in) operating activities</t>
        </is>
      </c>
      <c r="B26" s="5" t="n">
        <v>32953</v>
      </c>
      <c r="C26" s="5" t="n">
        <v>9201</v>
      </c>
      <c r="D26" s="5" t="n">
        <v>-37712</v>
      </c>
      <c r="E26" s="5" t="n">
        <v>-3408</v>
      </c>
      <c r="F26" s="5" t="n">
        <v>13178</v>
      </c>
      <c r="AG26" t="inlineStr">
        <is>
          <t>Net cash generated from/(used in) operating activities</t>
        </is>
      </c>
      <c r="AH26" t="n">
        <v>13178</v>
      </c>
      <c r="AI26" t="n">
        <v>-3408</v>
      </c>
      <c r="AJ26" t="n">
        <v>-37712</v>
      </c>
      <c r="AK26" t="n">
        <v>9201</v>
      </c>
      <c r="AL26" t="n">
        <v>32953</v>
      </c>
    </row>
    <row r="27">
      <c r="A27" s="5" t="inlineStr">
        <is>
          <t>Net cash (used in)/generated from investing activities</t>
        </is>
      </c>
      <c r="B27" s="5" t="n">
        <v>-3623</v>
      </c>
      <c r="C27" s="5" t="n">
        <v>14162</v>
      </c>
      <c r="D27" s="5" t="n">
        <v>8227</v>
      </c>
      <c r="E27" s="5" t="n">
        <v>84582</v>
      </c>
      <c r="F27" s="5" t="n">
        <v>-43312</v>
      </c>
      <c r="AG27" t="inlineStr">
        <is>
          <t>Net cash (used in)/generated from investing activities</t>
        </is>
      </c>
      <c r="AH27" t="n">
        <v>-43312</v>
      </c>
      <c r="AI27" t="n">
        <v>84582</v>
      </c>
      <c r="AJ27" t="n">
        <v>8227</v>
      </c>
      <c r="AK27" t="n">
        <v>14162</v>
      </c>
      <c r="AL27" t="n">
        <v>-3623</v>
      </c>
    </row>
    <row r="28">
      <c r="A28" s="5" t="inlineStr">
        <is>
          <t>Net cash (used in)/generated from financing activities</t>
        </is>
      </c>
      <c r="B28" s="5" t="n">
        <v>-1330</v>
      </c>
      <c r="C28" s="5" t="n">
        <v>-1667</v>
      </c>
      <c r="D28" s="5" t="n">
        <v>9722</v>
      </c>
      <c r="E28" s="5" t="n">
        <v>-141</v>
      </c>
      <c r="F28" s="5" t="n">
        <v>38498</v>
      </c>
      <c r="AG28" t="inlineStr">
        <is>
          <t>Net cash (used in)/generated from financing activities</t>
        </is>
      </c>
      <c r="AH28" t="n">
        <v>38498</v>
      </c>
      <c r="AI28" t="n">
        <v>-141</v>
      </c>
      <c r="AJ28" t="n">
        <v>9722</v>
      </c>
      <c r="AK28" t="n">
        <v>-1667</v>
      </c>
      <c r="AL28" t="n">
        <v>-1330</v>
      </c>
    </row>
    <row r="29">
      <c r="A29" s="5" t="inlineStr">
        <is>
          <t>Cash and cash equivalents at end of the period</t>
        </is>
      </c>
      <c r="B29" s="5" t="n">
        <v>140563</v>
      </c>
      <c r="C29" s="5" t="n">
        <v>112563</v>
      </c>
      <c r="D29" s="5" t="n">
        <v>90867</v>
      </c>
      <c r="E29" s="5" t="n">
        <v>110630</v>
      </c>
      <c r="F29" s="5" t="n">
        <v>29597</v>
      </c>
      <c r="AG29" t="inlineStr">
        <is>
          <t>Cash and cash equivalents at end of the period</t>
        </is>
      </c>
      <c r="AH29" t="n">
        <v>29597</v>
      </c>
      <c r="AI29" t="n">
        <v>110630</v>
      </c>
      <c r="AJ29" t="n">
        <v>90867</v>
      </c>
      <c r="AK29" t="n">
        <v>112563</v>
      </c>
      <c r="AL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18.0%</t>
        </is>
      </c>
      <c r="C33" s="6" t="inlineStr">
        <is>
          <t>21.6%</t>
        </is>
      </c>
      <c r="D33" s="6" t="inlineStr">
        <is>
          <t>22.8%</t>
        </is>
      </c>
      <c r="E33" s="6" t="inlineStr">
        <is>
          <t>22.1%</t>
        </is>
      </c>
      <c r="F33" s="6" t="inlineStr">
        <is>
          <t>38.2%</t>
        </is>
      </c>
    </row>
    <row r="34">
      <c r="A34" s="6" t="inlineStr">
        <is>
          <t>Total Capital Ratio</t>
        </is>
      </c>
      <c r="B34" s="6" t="inlineStr">
        <is>
          <t>20.5%</t>
        </is>
      </c>
      <c r="C34" s="6" t="inlineStr">
        <is>
          <t>23.8%</t>
        </is>
      </c>
      <c r="D34" s="6" t="inlineStr">
        <is>
          <t>25.8%</t>
        </is>
      </c>
      <c r="E34" s="6" t="inlineStr">
        <is>
          <t>22.1%</t>
        </is>
      </c>
      <c r="F34" s="6" t="inlineStr">
        <is>
          <t>38.2%</t>
        </is>
      </c>
    </row>
    <row r="35">
      <c r="A35" s="6" t="inlineStr">
        <is>
          <t>Leverage Ratio</t>
        </is>
      </c>
      <c r="B35" s="6" t="inlineStr">
        <is>
          <t>12.8%</t>
        </is>
      </c>
      <c r="C35" s="6" t="inlineStr">
        <is>
          <t>14.5%</t>
        </is>
      </c>
      <c r="D35" s="6" t="inlineStr">
        <is>
          <t>13.0%</t>
        </is>
      </c>
      <c r="E35" s="6" t="inlineStr">
        <is>
          <t>17.6%</t>
        </is>
      </c>
      <c r="F35" s="6" t="inlineStr">
        <is>
          <t>21.2%</t>
        </is>
      </c>
    </row>
    <row r="36">
      <c r="A36" s="6" t="inlineStr">
        <is>
          <t>LCR</t>
        </is>
      </c>
      <c r="B36" s="6" t="inlineStr">
        <is>
          <t>704.0%</t>
        </is>
      </c>
      <c r="C36" s="6" t="inlineStr">
        <is>
          <t>836.6%</t>
        </is>
      </c>
      <c r="D36" s="6" t="inlineStr">
        <is>
          <t>618%</t>
        </is>
      </c>
      <c r="E36" s="6" t="inlineStr">
        <is>
          <t>1029%</t>
        </is>
      </c>
      <c r="F36" s="6" t="inlineStr">
        <is>
          <t>5597%</t>
        </is>
      </c>
    </row>
    <row r="37">
      <c r="A37" s="6" t="inlineStr">
        <is>
          <t>NSFR</t>
        </is>
      </c>
      <c r="B37" s="6" t="n"/>
      <c r="C37" s="6" t="n"/>
      <c r="D37" s="6" t="inlineStr">
        <is>
          <t>148.2%</t>
        </is>
      </c>
      <c r="E37" s="6" t="inlineStr">
        <is>
          <t>163%</t>
        </is>
      </c>
      <c r="F37" s="6" t="inlineStr">
        <is>
          <t>214%</t>
        </is>
      </c>
    </row>
    <row r="39" ht="4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131676</v>
      </c>
      <c r="C5" s="6" t="n">
        <v>110030</v>
      </c>
      <c r="D5" s="6" t="n">
        <v>89552</v>
      </c>
      <c r="E5" s="6" t="n">
        <v>107353</v>
      </c>
      <c r="F5" s="6" t="n">
        <v>29597</v>
      </c>
    </row>
    <row r="6">
      <c r="A6" s="6" t="inlineStr">
        <is>
          <t>Loans and advances to banks</t>
        </is>
      </c>
      <c r="B6" s="6" t="n">
        <v>5894</v>
      </c>
      <c r="C6" s="6" t="n">
        <v>3771</v>
      </c>
      <c r="D6" s="6" t="n">
        <v>3475</v>
      </c>
      <c r="E6" s="6" t="n">
        <v>3848</v>
      </c>
      <c r="F6" s="6" t="n"/>
    </row>
    <row r="7">
      <c r="A7" s="6" t="inlineStr">
        <is>
          <t>Investment/debt securities</t>
        </is>
      </c>
      <c r="B7" s="6" t="n">
        <v>5722</v>
      </c>
      <c r="C7" s="6" t="n">
        <v>769</v>
      </c>
      <c r="D7" s="6" t="n">
        <v>14839</v>
      </c>
      <c r="E7" s="6" t="n">
        <v>22964</v>
      </c>
      <c r="F7" s="6" t="n">
        <v>108867</v>
      </c>
    </row>
    <row r="8">
      <c r="A8" s="6" t="inlineStr">
        <is>
          <t>Derivatives held for risk management (asset)</t>
        </is>
      </c>
      <c r="B8" s="6" t="n">
        <v>411</v>
      </c>
      <c r="C8" s="6" t="n">
        <v>295</v>
      </c>
      <c r="D8" s="6" t="n">
        <v>537</v>
      </c>
      <c r="E8" s="6" t="n">
        <v>57</v>
      </c>
      <c r="F8" s="6" t="n"/>
    </row>
    <row r="9">
      <c r="A9" s="6" t="inlineStr">
        <is>
          <t>Loans and advances to customers</t>
        </is>
      </c>
      <c r="B9" s="6" t="n">
        <v>839526</v>
      </c>
      <c r="C9" s="6" t="n">
        <v>660772</v>
      </c>
      <c r="D9" s="6" t="n">
        <v>568044</v>
      </c>
      <c r="E9" s="6" t="n">
        <v>435883</v>
      </c>
      <c r="F9" s="6" t="n">
        <v>247205</v>
      </c>
    </row>
    <row r="10">
      <c r="A10" s="6" t="inlineStr">
        <is>
          <t>Trade and other receivables</t>
        </is>
      </c>
      <c r="B10" s="6" t="n">
        <v>7734</v>
      </c>
      <c r="C10" s="6" t="n">
        <v>4678</v>
      </c>
      <c r="D10" s="6" t="n">
        <v>5335</v>
      </c>
      <c r="E10" s="6" t="n">
        <v>1524</v>
      </c>
      <c r="F10" s="6" t="n">
        <v>1133</v>
      </c>
    </row>
    <row r="11">
      <c r="A11" s="6" t="inlineStr">
        <is>
          <t>Current taxation asset</t>
        </is>
      </c>
      <c r="B11" s="6" t="n">
        <v>40</v>
      </c>
      <c r="C11" s="6" t="n"/>
      <c r="D11" s="6" t="n">
        <v>55</v>
      </c>
      <c r="E11" s="6" t="n">
        <v>55</v>
      </c>
      <c r="F11" s="6" t="n"/>
    </row>
    <row r="12">
      <c r="A12" s="6" t="inlineStr">
        <is>
          <t>Deferred taxation asset</t>
        </is>
      </c>
      <c r="B12" s="6" t="n">
        <v>1912</v>
      </c>
      <c r="C12" s="6" t="n">
        <v>3980</v>
      </c>
      <c r="D12" s="6" t="n">
        <v>7111</v>
      </c>
      <c r="E12" s="6" t="n">
        <v>8457</v>
      </c>
      <c r="F12" s="6" t="n"/>
    </row>
    <row r="13">
      <c r="A13" s="6" t="inlineStr">
        <is>
          <t>Property, plant and equipment</t>
        </is>
      </c>
      <c r="B13" s="6" t="n">
        <v>3797</v>
      </c>
      <c r="C13" s="6" t="n">
        <v>1093</v>
      </c>
      <c r="D13" s="6" t="n">
        <v>1145</v>
      </c>
      <c r="E13" s="6" t="n">
        <v>1045</v>
      </c>
      <c r="F13" s="6" t="n">
        <v>99</v>
      </c>
    </row>
    <row r="14">
      <c r="A14" s="6" t="inlineStr">
        <is>
          <t>Right-of-use assets</t>
        </is>
      </c>
      <c r="B14" s="6" t="n">
        <v>2355</v>
      </c>
      <c r="C14" s="6" t="n">
        <v>202</v>
      </c>
      <c r="D14" s="6" t="n">
        <v>1227</v>
      </c>
      <c r="E14" s="6" t="n">
        <v>433</v>
      </c>
      <c r="F14" s="6" t="n">
        <v>641</v>
      </c>
    </row>
    <row r="15">
      <c r="A15" s="6" t="inlineStr">
        <is>
          <t>Intangible assets</t>
        </is>
      </c>
      <c r="B15" s="6" t="n">
        <v>745</v>
      </c>
      <c r="C15" s="6" t="n">
        <v>950</v>
      </c>
      <c r="D15" s="6" t="n">
        <v>618</v>
      </c>
      <c r="E15" s="6" t="n">
        <v>877</v>
      </c>
      <c r="F15" s="6" t="n">
        <v>1066</v>
      </c>
    </row>
    <row r="16">
      <c r="A16" s="5" t="inlineStr">
        <is>
          <t>Total assets</t>
        </is>
      </c>
      <c r="B16" s="5" t="n">
        <v>999812</v>
      </c>
      <c r="C16" s="5" t="n">
        <v>786540</v>
      </c>
      <c r="D16" s="5" t="n">
        <v>691938</v>
      </c>
      <c r="E16" s="5" t="n">
        <v>582496</v>
      </c>
      <c r="F16" s="5" t="n">
        <v>388608</v>
      </c>
    </row>
    <row r="17">
      <c r="A17" s="5" t="inlineStr">
        <is>
          <t>Liabilities</t>
        </is>
      </c>
      <c r="B17" s="6" t="n"/>
      <c r="C17" s="6" t="n"/>
      <c r="D17" s="6" t="n"/>
      <c r="E17" s="6" t="n"/>
      <c r="F17" s="6" t="n"/>
    </row>
    <row r="18">
      <c r="A18" s="6" t="inlineStr">
        <is>
          <t>Customer deposits</t>
        </is>
      </c>
      <c r="B18" s="6" t="n">
        <v>840565</v>
      </c>
      <c r="C18" s="6" t="n">
        <v>649665</v>
      </c>
      <c r="D18" s="6" t="n">
        <v>574622</v>
      </c>
      <c r="E18" s="6" t="n">
        <v>479736</v>
      </c>
      <c r="F18" s="6" t="n">
        <v>296856</v>
      </c>
    </row>
    <row r="19">
      <c r="A19" s="6" t="inlineStr">
        <is>
          <t>Amounts due to banks</t>
        </is>
      </c>
      <c r="B19" s="6" t="n"/>
      <c r="C19" s="6" t="n">
        <v>180</v>
      </c>
      <c r="D19" s="6" t="n"/>
      <c r="E19" s="6" t="n"/>
      <c r="F19" s="6" t="n"/>
    </row>
    <row r="20">
      <c r="A20" s="6" t="inlineStr">
        <is>
          <t>Derivatives held for risk management (liability)</t>
        </is>
      </c>
      <c r="B20" s="6" t="n">
        <v>819</v>
      </c>
      <c r="C20" s="6" t="n">
        <v>6</v>
      </c>
      <c r="D20" s="6" t="n">
        <v>565</v>
      </c>
      <c r="E20" s="6" t="n">
        <v>42</v>
      </c>
      <c r="F20" s="6" t="n"/>
    </row>
    <row r="21">
      <c r="A21" s="6" t="inlineStr">
        <is>
          <t>Fair value adjustments on hedged liabilities</t>
        </is>
      </c>
      <c r="B21" s="6" t="n">
        <v>375</v>
      </c>
      <c r="C21" s="6" t="n">
        <v>136</v>
      </c>
      <c r="D21" s="6" t="n">
        <v>424</v>
      </c>
      <c r="E21" s="6" t="n">
        <v>-84</v>
      </c>
      <c r="F21" s="6" t="n"/>
    </row>
    <row r="22">
      <c r="A22" s="6" t="inlineStr">
        <is>
          <t>Financial liabilities</t>
        </is>
      </c>
      <c r="B22" s="6" t="n">
        <v>2444</v>
      </c>
      <c r="C22" s="6" t="n">
        <v>90</v>
      </c>
      <c r="D22" s="6" t="n">
        <v>1255</v>
      </c>
      <c r="E22" s="6" t="n">
        <v>445</v>
      </c>
      <c r="F22" s="6" t="n">
        <v>554</v>
      </c>
    </row>
    <row r="23">
      <c r="A23" s="6" t="inlineStr">
        <is>
          <t>Trade and other payables</t>
        </is>
      </c>
      <c r="B23" s="6" t="n">
        <v>12822</v>
      </c>
      <c r="C23" s="6" t="n">
        <v>9335</v>
      </c>
      <c r="D23" s="6" t="n">
        <v>4297</v>
      </c>
      <c r="E23" s="6" t="n">
        <v>6041</v>
      </c>
      <c r="F23" s="6" t="n">
        <v>5067</v>
      </c>
    </row>
    <row r="24">
      <c r="A24" s="6" t="inlineStr">
        <is>
          <t>Provisions</t>
        </is>
      </c>
      <c r="B24" s="6" t="n">
        <v>255</v>
      </c>
      <c r="C24" s="6" t="n">
        <v>285</v>
      </c>
      <c r="D24" s="6" t="n">
        <v>67</v>
      </c>
      <c r="E24" s="6" t="n">
        <v>77</v>
      </c>
      <c r="F24" s="6" t="n">
        <v>73</v>
      </c>
    </row>
    <row r="25">
      <c r="A25" s="6" t="inlineStr">
        <is>
          <t>Current taxation liability</t>
        </is>
      </c>
      <c r="B25" s="6" t="n"/>
      <c r="C25" s="6" t="n">
        <v>1259</v>
      </c>
      <c r="D25" s="6" t="n">
        <v>73</v>
      </c>
      <c r="E25" s="6" t="n"/>
      <c r="F25" s="6" t="n"/>
    </row>
    <row r="26">
      <c r="A26" s="6" t="inlineStr">
        <is>
          <t>Subordinated liabilities</t>
        </is>
      </c>
      <c r="B26" s="6" t="n">
        <v>15302</v>
      </c>
      <c r="C26" s="6" t="n">
        <v>10230</v>
      </c>
      <c r="D26" s="6" t="n">
        <v>10221</v>
      </c>
      <c r="E26" s="6" t="n"/>
      <c r="F26" s="6" t="n"/>
    </row>
    <row r="27">
      <c r="A27" s="5" t="inlineStr">
        <is>
          <t>Total liabilities</t>
        </is>
      </c>
      <c r="B27" s="5" t="n">
        <v>872582</v>
      </c>
      <c r="C27" s="5" t="n">
        <v>671186</v>
      </c>
      <c r="D27" s="5" t="n">
        <v>591524</v>
      </c>
      <c r="E27" s="5" t="n">
        <v>486257</v>
      </c>
      <c r="F27" s="5" t="n">
        <v>302550</v>
      </c>
    </row>
    <row r="28">
      <c r="A28" s="5" t="inlineStr">
        <is>
          <t>Equity</t>
        </is>
      </c>
      <c r="B28" s="6" t="n"/>
      <c r="C28" s="6" t="n"/>
      <c r="D28" s="6" t="n"/>
      <c r="E28" s="6" t="n"/>
      <c r="F28" s="6" t="n"/>
    </row>
    <row r="29">
      <c r="A29" s="6" t="inlineStr">
        <is>
          <t>Issued share capital</t>
        </is>
      </c>
      <c r="B29" s="6" t="n">
        <v>1793</v>
      </c>
      <c r="C29" s="6" t="n">
        <v>1793</v>
      </c>
      <c r="D29" s="6" t="n">
        <v>1793</v>
      </c>
      <c r="E29" s="6" t="n">
        <v>1793</v>
      </c>
      <c r="F29" s="6" t="n">
        <v>1793</v>
      </c>
    </row>
    <row r="30">
      <c r="A30" s="6" t="inlineStr">
        <is>
          <t>Share premium</t>
        </is>
      </c>
      <c r="B30" s="6" t="n"/>
      <c r="C30" s="6" t="n"/>
      <c r="D30" s="6" t="n"/>
      <c r="E30" s="6" t="n">
        <v>39273</v>
      </c>
      <c r="F30" s="6" t="n"/>
    </row>
    <row r="31">
      <c r="A31" s="6" t="inlineStr">
        <is>
          <t>Merger relief</t>
        </is>
      </c>
      <c r="B31" s="6" t="n">
        <v>94911</v>
      </c>
      <c r="C31" s="6" t="n">
        <v>94911</v>
      </c>
      <c r="D31" s="6" t="n">
        <v>94911</v>
      </c>
      <c r="E31" s="6" t="n">
        <v>94911</v>
      </c>
      <c r="F31" s="6" t="n">
        <v>94911</v>
      </c>
    </row>
    <row r="32">
      <c r="A32" s="6" t="inlineStr">
        <is>
          <t>Merger reserve</t>
        </is>
      </c>
      <c r="B32" s="6" t="n">
        <v>-20609</v>
      </c>
      <c r="C32" s="6" t="n">
        <v>-20609</v>
      </c>
      <c r="D32" s="6" t="n">
        <v>-20609</v>
      </c>
      <c r="E32" s="6" t="n">
        <v>-20609</v>
      </c>
      <c r="F32" s="6" t="n">
        <v>-20609</v>
      </c>
    </row>
    <row r="33">
      <c r="A33" s="6" t="inlineStr">
        <is>
          <t>Own shares</t>
        </is>
      </c>
      <c r="B33" s="6" t="n">
        <v>-548</v>
      </c>
      <c r="C33" s="6" t="n">
        <v>-440</v>
      </c>
      <c r="D33" s="6" t="n">
        <v>-401</v>
      </c>
      <c r="E33" s="6" t="n">
        <v>-364</v>
      </c>
      <c r="F33" s="6" t="n">
        <v>-364</v>
      </c>
    </row>
    <row r="34">
      <c r="A34" s="6" t="inlineStr">
        <is>
          <t>Treasury shares</t>
        </is>
      </c>
      <c r="B34" s="6" t="n">
        <v>-4755</v>
      </c>
      <c r="C34" s="6" t="n"/>
      <c r="D34" s="6" t="n"/>
      <c r="E34" s="6" t="n"/>
      <c r="F34" s="6" t="n"/>
    </row>
    <row r="35">
      <c r="A35" s="6" t="inlineStr">
        <is>
          <t>Retained earnings/(loss)</t>
        </is>
      </c>
      <c r="B35" s="6" t="n">
        <v>56438</v>
      </c>
      <c r="C35" s="6" t="n">
        <v>39699</v>
      </c>
      <c r="D35" s="6" t="n">
        <v>24720</v>
      </c>
      <c r="E35" s="6" t="n">
        <v>-18765</v>
      </c>
      <c r="F35" s="6" t="n">
        <v>-28946</v>
      </c>
    </row>
    <row r="36">
      <c r="A36" s="5" t="inlineStr">
        <is>
          <t>Total equity</t>
        </is>
      </c>
      <c r="B36" s="5" t="n">
        <v>127230</v>
      </c>
      <c r="C36" s="5" t="n">
        <v>115354</v>
      </c>
      <c r="D36" s="5" t="n">
        <v>100414</v>
      </c>
      <c r="E36" s="5" t="n">
        <v>96239</v>
      </c>
      <c r="F36" s="5" t="n">
        <v>86058</v>
      </c>
    </row>
    <row r="37">
      <c r="A37" s="5" t="inlineStr">
        <is>
          <t>Total equity and liabilities</t>
        </is>
      </c>
      <c r="B37" s="5" t="n">
        <v>999812</v>
      </c>
      <c r="C37" s="5" t="n">
        <v>786540</v>
      </c>
      <c r="D37" s="5" t="n">
        <v>691938</v>
      </c>
      <c r="E37" s="5" t="n">
        <v>582496</v>
      </c>
      <c r="F37" s="5" t="n">
        <v>388608</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Each year's own originally-published figures used; the equity roll-forward ties exactly at every boundary (each year's closing Total equity ties to both the next year's own opening balance and that year's own Balance Sheet Total equity) - no plug rows needed anywhere in this series.
PRESENTATION NOTE: FY2021-FY2022 label the investment line 'Debt securities'; FY2024-FY2025 relabel it 'Investment securities' (same line, a money market fund holding was added) - shown on one row. FY2021's cash line is labelled 'Cash and cash equivalents' vs later years' 'Cash and balances at central banks' - same line, relabelled. FY2021 doesn't disclose separate Current/Deferred taxation asset, Derivatives, Fair value adjustments on hedged liabilities or Subordinated liabilities lines (business was smaller and pre-dated some of these balances/hedge relationships) - left blank rather than assumed zero. Share premium was cancelled during FY2023 (transferred to retained earnings) and Treasury shares only introduced FY2025 (share buyback) - both shown as blank in years they don't apply.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39:F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and similar income</t>
        </is>
      </c>
      <c r="B5" s="6" t="n">
        <v>90698</v>
      </c>
      <c r="C5" s="6" t="n">
        <v>76820</v>
      </c>
      <c r="D5" s="6" t="n">
        <v>59970</v>
      </c>
      <c r="E5" s="6" t="n">
        <v>25407</v>
      </c>
      <c r="F5" s="6" t="n">
        <v>13259</v>
      </c>
    </row>
    <row r="6">
      <c r="A6" s="6" t="inlineStr">
        <is>
          <t>Interest and similar expenses</t>
        </is>
      </c>
      <c r="B6" s="6" t="n">
        <v>-34897</v>
      </c>
      <c r="C6" s="6" t="n">
        <v>-31208</v>
      </c>
      <c r="D6" s="6" t="n">
        <v>-22336</v>
      </c>
      <c r="E6" s="6" t="n">
        <v>-6411</v>
      </c>
      <c r="F6" s="6" t="n">
        <v>-2338</v>
      </c>
    </row>
    <row r="7">
      <c r="A7" s="5" t="inlineStr">
        <is>
          <t>Net interest income</t>
        </is>
      </c>
      <c r="B7" s="5" t="n">
        <v>55801</v>
      </c>
      <c r="C7" s="5" t="n">
        <v>45612</v>
      </c>
      <c r="D7" s="5" t="n">
        <v>37634</v>
      </c>
      <c r="E7" s="5" t="n">
        <v>18996</v>
      </c>
      <c r="F7" s="5" t="n">
        <v>10921</v>
      </c>
    </row>
    <row r="8">
      <c r="A8" s="6" t="inlineStr">
        <is>
          <t>Fee income</t>
        </is>
      </c>
      <c r="B8" s="6" t="n">
        <v>1684</v>
      </c>
      <c r="C8" s="6" t="n">
        <v>1237</v>
      </c>
      <c r="D8" s="6" t="n">
        <v>1393</v>
      </c>
      <c r="E8" s="6" t="n">
        <v>1348</v>
      </c>
      <c r="F8" s="6" t="n">
        <v>466</v>
      </c>
    </row>
    <row r="9">
      <c r="A9" s="6" t="inlineStr">
        <is>
          <t>Fee expenses</t>
        </is>
      </c>
      <c r="B9" s="6" t="n">
        <v>-1608</v>
      </c>
      <c r="C9" s="6" t="n">
        <v>-1626</v>
      </c>
      <c r="D9" s="6" t="n">
        <v>-719</v>
      </c>
      <c r="E9" s="6" t="n"/>
      <c r="F9" s="6" t="n"/>
    </row>
    <row r="10">
      <c r="A10" s="6" t="inlineStr">
        <is>
          <t>Net losses on disposal of financial assets at FVOCI</t>
        </is>
      </c>
      <c r="B10" s="6" t="n"/>
      <c r="C10" s="6" t="n"/>
      <c r="D10" s="6" t="n"/>
      <c r="E10" s="6" t="n">
        <v>-17</v>
      </c>
      <c r="F10" s="6" t="n"/>
    </row>
    <row r="11">
      <c r="A11" s="6" t="inlineStr">
        <is>
          <t>Net (losses)/gains from derivatives and other financial instruments at FVTPL</t>
        </is>
      </c>
      <c r="B11" s="6" t="n">
        <v>-773</v>
      </c>
      <c r="C11" s="6" t="n">
        <v>372</v>
      </c>
      <c r="D11" s="6" t="n">
        <v>-303</v>
      </c>
      <c r="E11" s="6" t="n">
        <v>99</v>
      </c>
      <c r="F11" s="6" t="n">
        <v>-3</v>
      </c>
    </row>
    <row r="12">
      <c r="A12" s="6" t="inlineStr">
        <is>
          <t>Other operating income</t>
        </is>
      </c>
      <c r="B12" s="6" t="n">
        <v>28</v>
      </c>
      <c r="C12" s="6" t="n">
        <v>2</v>
      </c>
      <c r="D12" s="6" t="n">
        <v>9</v>
      </c>
      <c r="E12" s="6" t="n">
        <v>5</v>
      </c>
      <c r="F12" s="6" t="n"/>
    </row>
    <row r="13">
      <c r="A13" s="6" t="inlineStr">
        <is>
          <t>Other operating (expense)/income</t>
        </is>
      </c>
      <c r="B13" s="6" t="n"/>
      <c r="C13" s="6" t="n"/>
      <c r="D13" s="6" t="n"/>
      <c r="E13" s="6" t="n"/>
      <c r="F13" s="6" t="n">
        <v>-81</v>
      </c>
    </row>
    <row r="14">
      <c r="A14" s="6" t="inlineStr">
        <is>
          <t>Foreign currency gain/(loss)</t>
        </is>
      </c>
      <c r="B14" s="6" t="n">
        <v>907</v>
      </c>
      <c r="C14" s="6" t="n">
        <v>-107</v>
      </c>
      <c r="D14" s="6" t="n"/>
      <c r="E14" s="6" t="n"/>
      <c r="F14" s="6" t="n"/>
    </row>
    <row r="15">
      <c r="A15" s="5" t="inlineStr">
        <is>
          <t>Total operating income</t>
        </is>
      </c>
      <c r="B15" s="5" t="n">
        <v>56039</v>
      </c>
      <c r="C15" s="5" t="n">
        <v>45490</v>
      </c>
      <c r="D15" s="5" t="n">
        <v>38014</v>
      </c>
      <c r="E15" s="5" t="n">
        <v>20431</v>
      </c>
      <c r="F15" s="5" t="n">
        <v>11303</v>
      </c>
    </row>
    <row r="16">
      <c r="A16" s="5" t="inlineStr">
        <is>
          <t>Expenses</t>
        </is>
      </c>
      <c r="B16" s="6" t="n"/>
      <c r="C16" s="6" t="n"/>
      <c r="D16" s="6" t="n"/>
      <c r="E16" s="6" t="n"/>
      <c r="F16" s="6" t="n"/>
    </row>
    <row r="17">
      <c r="A17" s="6" t="inlineStr">
        <is>
          <t>Staff costs</t>
        </is>
      </c>
      <c r="B17" s="6" t="n">
        <v>-20684</v>
      </c>
      <c r="C17" s="6" t="n">
        <v>-16044</v>
      </c>
      <c r="D17" s="6" t="n">
        <v>-13431</v>
      </c>
      <c r="E17" s="6" t="n">
        <v>-10848</v>
      </c>
      <c r="F17" s="6" t="n">
        <v>-9121</v>
      </c>
    </row>
    <row r="18">
      <c r="A18" s="6" t="inlineStr">
        <is>
          <t>Other operating expenses</t>
        </is>
      </c>
      <c r="B18" s="6" t="n">
        <v>-11497</v>
      </c>
      <c r="C18" s="6" t="n">
        <v>-10563</v>
      </c>
      <c r="D18" s="6" t="n">
        <v>-8412</v>
      </c>
      <c r="E18" s="6" t="n">
        <v>-5983</v>
      </c>
      <c r="F18" s="6" t="n">
        <v>-5386</v>
      </c>
    </row>
    <row r="19">
      <c r="A19" s="6" t="inlineStr">
        <is>
          <t>Net impairment (loss)/gain on financial assets</t>
        </is>
      </c>
      <c r="B19" s="6" t="n">
        <v>-4267</v>
      </c>
      <c r="C19" s="6" t="n">
        <v>241</v>
      </c>
      <c r="D19" s="6" t="n">
        <v>-11598</v>
      </c>
      <c r="E19" s="6" t="n">
        <v>-2296</v>
      </c>
      <c r="F19" s="6" t="n">
        <v>-556</v>
      </c>
    </row>
    <row r="20">
      <c r="A20" s="6" t="inlineStr">
        <is>
          <t>Other provisions</t>
        </is>
      </c>
      <c r="B20" s="6" t="n">
        <v>50</v>
      </c>
      <c r="C20" s="6" t="n">
        <v>-50</v>
      </c>
      <c r="D20" s="6" t="n"/>
      <c r="E20" s="6" t="n"/>
      <c r="F20" s="6" t="n">
        <v>25</v>
      </c>
    </row>
    <row r="21">
      <c r="A21" s="6" t="inlineStr">
        <is>
          <t>Other losses</t>
        </is>
      </c>
      <c r="B21" s="6" t="n"/>
      <c r="C21" s="6" t="n"/>
      <c r="D21" s="6" t="n"/>
      <c r="E21" s="6" t="n"/>
      <c r="F21" s="6" t="n">
        <v>0</v>
      </c>
    </row>
    <row r="22">
      <c r="A22" s="5" t="inlineStr">
        <is>
          <t>Total operating profit/(loss)</t>
        </is>
      </c>
      <c r="B22" s="5" t="n">
        <v>19641</v>
      </c>
      <c r="C22" s="5" t="n">
        <v>19074</v>
      </c>
      <c r="D22" s="5" t="n">
        <v>4573</v>
      </c>
      <c r="E22" s="5" t="n">
        <v>1304</v>
      </c>
      <c r="F22" s="5" t="n">
        <v>-3735</v>
      </c>
    </row>
    <row r="23">
      <c r="A23" s="5" t="inlineStr">
        <is>
          <t>Profit/(loss) before taxation</t>
        </is>
      </c>
      <c r="B23" s="5" t="n">
        <v>19641</v>
      </c>
      <c r="C23" s="5" t="n">
        <v>19074</v>
      </c>
      <c r="D23" s="5" t="n">
        <v>4573</v>
      </c>
      <c r="E23" s="5" t="n">
        <v>1304</v>
      </c>
      <c r="F23" s="5" t="n">
        <v>-3735</v>
      </c>
    </row>
    <row r="24">
      <c r="A24" s="6" t="inlineStr">
        <is>
          <t>Taxation (charge)/credit</t>
        </is>
      </c>
      <c r="B24" s="6" t="n">
        <v>-4482</v>
      </c>
      <c r="C24" s="6" t="n">
        <v>-5053</v>
      </c>
      <c r="D24" s="6" t="n">
        <v>-1418</v>
      </c>
      <c r="E24" s="6" t="n">
        <v>8457</v>
      </c>
      <c r="F24" s="6" t="n">
        <v>59</v>
      </c>
    </row>
    <row r="25">
      <c r="A25" s="5" t="inlineStr">
        <is>
          <t>Profit/(loss) after taxation</t>
        </is>
      </c>
      <c r="B25" s="5" t="n">
        <v>15159</v>
      </c>
      <c r="C25" s="5" t="n">
        <v>14021</v>
      </c>
      <c r="D25" s="5" t="n">
        <v>3155</v>
      </c>
      <c r="E25" s="5" t="n">
        <v>9761</v>
      </c>
      <c r="F25" s="5" t="n">
        <v>-3676</v>
      </c>
    </row>
    <row r="26">
      <c r="A26" s="5" t="inlineStr">
        <is>
          <t>Other comprehensive income</t>
        </is>
      </c>
      <c r="B26" s="6" t="n"/>
      <c r="C26" s="6" t="n"/>
      <c r="D26" s="6" t="n"/>
      <c r="E26" s="6" t="n"/>
      <c r="F26" s="6" t="n"/>
    </row>
    <row r="27">
      <c r="A27" s="6" t="inlineStr">
        <is>
          <t>FVOCI debt securities: amounts transferred to the income statement</t>
        </is>
      </c>
      <c r="B27" s="6" t="n"/>
      <c r="C27" s="6" t="n">
        <v>75</v>
      </c>
      <c r="D27" s="6" t="n"/>
      <c r="E27" s="6" t="n">
        <v>17</v>
      </c>
      <c r="F27" s="6" t="n">
        <v>3</v>
      </c>
    </row>
    <row r="28">
      <c r="A28" s="6" t="inlineStr">
        <is>
          <t>FVOCI debt securities: fair value movements</t>
        </is>
      </c>
      <c r="B28" s="6" t="n"/>
      <c r="C28" s="6" t="n"/>
      <c r="D28" s="6" t="n">
        <v>183</v>
      </c>
      <c r="E28" s="6" t="n">
        <v>-96</v>
      </c>
      <c r="F28" s="6" t="n">
        <v>-165</v>
      </c>
    </row>
    <row r="29">
      <c r="A29" s="5" t="inlineStr">
        <is>
          <t>Total other comprehensive income/(loss) for the year, net of tax</t>
        </is>
      </c>
      <c r="B29" s="5" t="n">
        <v>0</v>
      </c>
      <c r="C29" s="5" t="n">
        <v>75</v>
      </c>
      <c r="D29" s="5" t="n">
        <v>183</v>
      </c>
      <c r="E29" s="5" t="n">
        <v>-79</v>
      </c>
      <c r="F29" s="5" t="n">
        <v>-162</v>
      </c>
    </row>
    <row r="30">
      <c r="A30" s="5" t="inlineStr">
        <is>
          <t>Total comprehensive income/(loss) for the year</t>
        </is>
      </c>
      <c r="B30" s="5" t="n">
        <v>15159</v>
      </c>
      <c r="C30" s="5" t="n">
        <v>14096</v>
      </c>
      <c r="D30" s="5" t="n">
        <v>3338</v>
      </c>
      <c r="E30" s="5" t="n">
        <v>9682</v>
      </c>
      <c r="F30" s="5" t="n">
        <v>-3838</v>
      </c>
    </row>
    <row r="32" ht="340"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Each year's own originally-published figures used; the equity roll-forward ties exactly at every boundary (each year's closing Total equity ties to both the next year's own opening balance and that year's own Balance Sheet Total equity) - no plug rows needed anywhere in this series.
PRESENTATION NOTE: FY2021-FY2022 label the investment line 'Debt securities'; FY2024-FY2025 relabel it 'Investment securities' (same line, a money market fund holding was added) - shown on one row. FY2021's cash line is labelled 'Cash and cash equivalents' vs later years' 'Cash and balances at central banks' - same line, relabelled. FY2021 doesn't disclose separate Current/Deferred taxation asset, Derivatives, Fair value adjustments on hedged liabilities or Subordinated liabilities lines (business was smaller and pre-dated some of these balances/hedge relationships) - left blank rather than assumed zero. Share premium was cancelled during FY2023 (transferred to retained earnings) and Treasury shares only introduced FY2025 (share buyback) - both shown as blank in years they don't apply.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2020 (FY2021 opening)</t>
        </is>
      </c>
      <c r="B4" s="5" t="n">
        <v>1066</v>
      </c>
      <c r="C4" s="5" t="n"/>
      <c r="D4" s="5" t="n">
        <v>94911</v>
      </c>
      <c r="E4" s="5" t="n">
        <v>-20609</v>
      </c>
      <c r="F4" s="5" t="n">
        <v>-364</v>
      </c>
      <c r="G4" s="5" t="n"/>
      <c r="H4" s="5" t="n">
        <v>-24115</v>
      </c>
      <c r="I4" s="5" t="n">
        <v>50889</v>
      </c>
    </row>
    <row r="5">
      <c r="A5" s="6" t="inlineStr">
        <is>
          <t>Loss after taxation (FY2021)</t>
        </is>
      </c>
      <c r="B5" s="6" t="n"/>
      <c r="C5" s="6" t="n"/>
      <c r="D5" s="6" t="n"/>
      <c r="E5" s="6" t="n"/>
      <c r="F5" s="6" t="n"/>
      <c r="G5" s="6" t="n"/>
      <c r="H5" s="6" t="n">
        <v>-3676</v>
      </c>
      <c r="I5" s="6" t="n">
        <v>-3676</v>
      </c>
    </row>
    <row r="6">
      <c r="A6" s="6" t="inlineStr">
        <is>
          <t>Other comprehensive loss (FY2021)</t>
        </is>
      </c>
      <c r="B6" s="6" t="n"/>
      <c r="C6" s="6" t="n"/>
      <c r="D6" s="6" t="n"/>
      <c r="E6" s="6" t="n"/>
      <c r="F6" s="6" t="n"/>
      <c r="G6" s="6" t="n"/>
      <c r="H6" s="6" t="n">
        <v>-162</v>
      </c>
      <c r="I6" s="6" t="n">
        <v>-162</v>
      </c>
    </row>
    <row r="7">
      <c r="A7" s="5" t="inlineStr">
        <is>
          <t>Total comprehensive loss for the year (FY2021)</t>
        </is>
      </c>
      <c r="B7" s="5" t="n"/>
      <c r="C7" s="5" t="n"/>
      <c r="D7" s="5" t="n"/>
      <c r="E7" s="5" t="n"/>
      <c r="F7" s="5" t="n"/>
      <c r="G7" s="5" t="n"/>
      <c r="H7" s="5" t="n">
        <v>-3838</v>
      </c>
      <c r="I7" s="5" t="n">
        <v>-3838</v>
      </c>
    </row>
    <row r="8">
      <c r="A8" s="6" t="inlineStr">
        <is>
          <t>Share-based payments (FY2021)</t>
        </is>
      </c>
      <c r="B8" s="6" t="n"/>
      <c r="C8" s="6" t="n"/>
      <c r="D8" s="6" t="n"/>
      <c r="E8" s="6" t="n"/>
      <c r="F8" s="6" t="n"/>
      <c r="G8" s="6" t="n"/>
      <c r="H8" s="6" t="n">
        <v>362</v>
      </c>
      <c r="I8" s="6" t="n">
        <v>362</v>
      </c>
    </row>
    <row r="9">
      <c r="A9" s="6" t="inlineStr">
        <is>
          <t>Issue of new shares (FY2021)</t>
        </is>
      </c>
      <c r="B9" s="6" t="n">
        <v>727</v>
      </c>
      <c r="C9" s="6" t="n">
        <v>39273</v>
      </c>
      <c r="D9" s="6" t="n"/>
      <c r="E9" s="6" t="n"/>
      <c r="F9" s="6" t="n"/>
      <c r="G9" s="6" t="n"/>
      <c r="H9" s="6" t="n">
        <v>-1355</v>
      </c>
      <c r="I9" s="6" t="n">
        <v>38645</v>
      </c>
    </row>
    <row r="10">
      <c r="A10" s="5" t="inlineStr">
        <is>
          <t>At 31 December 2021</t>
        </is>
      </c>
      <c r="B10" s="5" t="n">
        <v>1793</v>
      </c>
      <c r="C10" s="5" t="n">
        <v>39273</v>
      </c>
      <c r="D10" s="5" t="n">
        <v>94911</v>
      </c>
      <c r="E10" s="5" t="n">
        <v>-20609</v>
      </c>
      <c r="F10" s="5" t="n">
        <v>-364</v>
      </c>
      <c r="G10" s="5" t="n"/>
      <c r="H10" s="5" t="n">
        <v>-28946</v>
      </c>
      <c r="I10" s="5" t="n">
        <v>86058</v>
      </c>
    </row>
    <row r="11">
      <c r="A11" s="6" t="inlineStr">
        <is>
          <t>Profit after taxation (FY2022)</t>
        </is>
      </c>
      <c r="B11" s="6" t="n"/>
      <c r="C11" s="6" t="n"/>
      <c r="D11" s="6" t="n"/>
      <c r="E11" s="6" t="n"/>
      <c r="F11" s="6" t="n"/>
      <c r="G11" s="6" t="n"/>
      <c r="H11" s="6" t="n">
        <v>9761</v>
      </c>
      <c r="I11" s="6" t="n">
        <v>9761</v>
      </c>
    </row>
    <row r="12">
      <c r="A12" s="6" t="inlineStr">
        <is>
          <t>Other comprehensive loss (FY2022)</t>
        </is>
      </c>
      <c r="B12" s="6" t="n"/>
      <c r="C12" s="6" t="n"/>
      <c r="D12" s="6" t="n"/>
      <c r="E12" s="6" t="n"/>
      <c r="F12" s="6" t="n"/>
      <c r="G12" s="6" t="n"/>
      <c r="H12" s="6" t="n">
        <v>-79</v>
      </c>
      <c r="I12" s="6" t="n">
        <v>-79</v>
      </c>
    </row>
    <row r="13">
      <c r="A13" s="5" t="inlineStr">
        <is>
          <t>Total comprehensive income for the year (FY2022)</t>
        </is>
      </c>
      <c r="B13" s="5" t="n"/>
      <c r="C13" s="5" t="n"/>
      <c r="D13" s="5" t="n"/>
      <c r="E13" s="5" t="n"/>
      <c r="F13" s="5" t="n"/>
      <c r="G13" s="5" t="n"/>
      <c r="H13" s="5" t="n">
        <v>9682</v>
      </c>
      <c r="I13" s="5" t="n">
        <v>9682</v>
      </c>
    </row>
    <row r="14">
      <c r="A14" s="6" t="inlineStr">
        <is>
          <t>Share-based payments (FY2022)</t>
        </is>
      </c>
      <c r="B14" s="6" t="n"/>
      <c r="C14" s="6" t="n"/>
      <c r="D14" s="6" t="n"/>
      <c r="E14" s="6" t="n"/>
      <c r="F14" s="6" t="n"/>
      <c r="G14" s="6" t="n"/>
      <c r="H14" s="6" t="n">
        <v>499</v>
      </c>
      <c r="I14" s="6" t="n">
        <v>499</v>
      </c>
    </row>
    <row r="15">
      <c r="A15" s="5" t="inlineStr">
        <is>
          <t>At 31 December 2022</t>
        </is>
      </c>
      <c r="B15" s="5" t="n">
        <v>1793</v>
      </c>
      <c r="C15" s="5" t="n">
        <v>39273</v>
      </c>
      <c r="D15" s="5" t="n">
        <v>94911</v>
      </c>
      <c r="E15" s="5" t="n">
        <v>-20609</v>
      </c>
      <c r="F15" s="5" t="n">
        <v>-364</v>
      </c>
      <c r="G15" s="5" t="n"/>
      <c r="H15" s="5" t="n">
        <v>-18765</v>
      </c>
      <c r="I15" s="5" t="n">
        <v>96239</v>
      </c>
    </row>
    <row r="16">
      <c r="A16" s="6" t="inlineStr">
        <is>
          <t>Profit after taxation (FY2023)</t>
        </is>
      </c>
      <c r="B16" s="6" t="n"/>
      <c r="C16" s="6" t="n"/>
      <c r="D16" s="6" t="n"/>
      <c r="E16" s="6" t="n"/>
      <c r="F16" s="6" t="n"/>
      <c r="G16" s="6" t="n"/>
      <c r="H16" s="6" t="n">
        <v>3155</v>
      </c>
      <c r="I16" s="6" t="n">
        <v>3155</v>
      </c>
    </row>
    <row r="17">
      <c r="A17" s="6" t="inlineStr">
        <is>
          <t>Other comprehensive income (FY2023)</t>
        </is>
      </c>
      <c r="B17" s="6" t="n"/>
      <c r="C17" s="6" t="n"/>
      <c r="D17" s="6" t="n"/>
      <c r="E17" s="6" t="n"/>
      <c r="F17" s="6" t="n"/>
      <c r="G17" s="6" t="n"/>
      <c r="H17" s="6" t="n">
        <v>183</v>
      </c>
      <c r="I17" s="6" t="n">
        <v>183</v>
      </c>
    </row>
    <row r="18">
      <c r="A18" s="5" t="inlineStr">
        <is>
          <t>Total comprehensive income for the year (FY2023)</t>
        </is>
      </c>
      <c r="B18" s="5" t="n"/>
      <c r="C18" s="5" t="n"/>
      <c r="D18" s="5" t="n"/>
      <c r="E18" s="5" t="n"/>
      <c r="F18" s="5" t="n"/>
      <c r="G18" s="5" t="n"/>
      <c r="H18" s="5" t="n">
        <v>3338</v>
      </c>
      <c r="I18" s="5" t="n">
        <v>3338</v>
      </c>
    </row>
    <row r="19">
      <c r="A19" s="6" t="inlineStr">
        <is>
          <t>Share-based payments (FY2023)</t>
        </is>
      </c>
      <c r="B19" s="6" t="n"/>
      <c r="C19" s="6" t="n"/>
      <c r="D19" s="6" t="n"/>
      <c r="E19" s="6" t="n"/>
      <c r="F19" s="6" t="n"/>
      <c r="G19" s="6" t="n"/>
      <c r="H19" s="6" t="n">
        <v>905</v>
      </c>
      <c r="I19" s="6" t="n">
        <v>905</v>
      </c>
    </row>
    <row r="20">
      <c r="A20" s="6" t="inlineStr">
        <is>
          <t>Employee Benefit Trust (FY2023)</t>
        </is>
      </c>
      <c r="B20" s="6" t="n"/>
      <c r="C20" s="6" t="n"/>
      <c r="D20" s="6" t="n"/>
      <c r="E20" s="6" t="n"/>
      <c r="F20" s="6" t="n">
        <v>-37</v>
      </c>
      <c r="G20" s="6" t="n"/>
      <c r="H20" s="6" t="n">
        <v>-31</v>
      </c>
      <c r="I20" s="6" t="n">
        <v>-68</v>
      </c>
    </row>
    <row r="21">
      <c r="A21" s="6" t="inlineStr">
        <is>
          <t>Share premium account cancellation (FY2023)</t>
        </is>
      </c>
      <c r="B21" s="6" t="n"/>
      <c r="C21" s="6" t="n">
        <v>-39273</v>
      </c>
      <c r="D21" s="6" t="n"/>
      <c r="E21" s="6" t="n"/>
      <c r="F21" s="6" t="n"/>
      <c r="G21" s="6" t="n"/>
      <c r="H21" s="6" t="n">
        <v>39273</v>
      </c>
      <c r="I21" s="6" t="n">
        <v>0</v>
      </c>
    </row>
    <row r="22">
      <c r="A22" s="5" t="inlineStr">
        <is>
          <t>At 31 December 2023</t>
        </is>
      </c>
      <c r="B22" s="5" t="n">
        <v>1793</v>
      </c>
      <c r="C22" s="5" t="n">
        <v>0</v>
      </c>
      <c r="D22" s="5" t="n">
        <v>94911</v>
      </c>
      <c r="E22" s="5" t="n">
        <v>-20609</v>
      </c>
      <c r="F22" s="5" t="n">
        <v>-401</v>
      </c>
      <c r="G22" s="5" t="n"/>
      <c r="H22" s="5" t="n">
        <v>24720</v>
      </c>
      <c r="I22" s="5" t="n">
        <v>100414</v>
      </c>
    </row>
    <row r="23">
      <c r="A23" s="6" t="inlineStr">
        <is>
          <t>Profit after taxation (FY2024)</t>
        </is>
      </c>
      <c r="B23" s="6" t="n"/>
      <c r="C23" s="6" t="n"/>
      <c r="D23" s="6" t="n"/>
      <c r="E23" s="6" t="n"/>
      <c r="F23" s="6" t="n"/>
      <c r="G23" s="6" t="n"/>
      <c r="H23" s="6" t="n">
        <v>14021</v>
      </c>
      <c r="I23" s="6" t="n">
        <v>14021</v>
      </c>
    </row>
    <row r="24">
      <c r="A24" s="6" t="inlineStr">
        <is>
          <t>Other comprehensive income (FY2024)</t>
        </is>
      </c>
      <c r="B24" s="6" t="n"/>
      <c r="C24" s="6" t="n"/>
      <c r="D24" s="6" t="n"/>
      <c r="E24" s="6" t="n"/>
      <c r="F24" s="6" t="n"/>
      <c r="G24" s="6" t="n"/>
      <c r="H24" s="6" t="n">
        <v>75</v>
      </c>
      <c r="I24" s="6" t="n">
        <v>75</v>
      </c>
    </row>
    <row r="25">
      <c r="A25" s="5" t="inlineStr">
        <is>
          <t>Total comprehensive income for the year (FY2024)</t>
        </is>
      </c>
      <c r="B25" s="5" t="n"/>
      <c r="C25" s="5" t="n"/>
      <c r="D25" s="5" t="n"/>
      <c r="E25" s="5" t="n"/>
      <c r="F25" s="5" t="n"/>
      <c r="G25" s="5" t="n"/>
      <c r="H25" s="5" t="n">
        <v>14096</v>
      </c>
      <c r="I25" s="5" t="n">
        <v>14096</v>
      </c>
    </row>
    <row r="26">
      <c r="A26" s="6" t="inlineStr">
        <is>
          <t>Share-based payments (FY2024)</t>
        </is>
      </c>
      <c r="B26" s="6" t="n"/>
      <c r="C26" s="6" t="n"/>
      <c r="D26" s="6" t="n"/>
      <c r="E26" s="6" t="n"/>
      <c r="F26" s="6" t="n"/>
      <c r="G26" s="6" t="n"/>
      <c r="H26" s="6" t="n">
        <v>985</v>
      </c>
      <c r="I26" s="6" t="n">
        <v>985</v>
      </c>
    </row>
    <row r="27">
      <c r="A27" s="6" t="inlineStr">
        <is>
          <t>Employee Benefit Trust (FY2024)</t>
        </is>
      </c>
      <c r="B27" s="6" t="n"/>
      <c r="C27" s="6" t="n"/>
      <c r="D27" s="6" t="n"/>
      <c r="E27" s="6" t="n"/>
      <c r="F27" s="6" t="n">
        <v>-39</v>
      </c>
      <c r="G27" s="6" t="n"/>
      <c r="H27" s="6" t="n">
        <v>-102</v>
      </c>
      <c r="I27" s="6" t="n">
        <v>-141</v>
      </c>
    </row>
    <row r="28">
      <c r="A28" s="5" t="inlineStr">
        <is>
          <t>At 31 December 2024</t>
        </is>
      </c>
      <c r="B28" s="5" t="n">
        <v>1793</v>
      </c>
      <c r="C28" s="5" t="n">
        <v>0</v>
      </c>
      <c r="D28" s="5" t="n">
        <v>94911</v>
      </c>
      <c r="E28" s="5" t="n">
        <v>-20609</v>
      </c>
      <c r="F28" s="5" t="n">
        <v>-440</v>
      </c>
      <c r="G28" s="5" t="n"/>
      <c r="H28" s="5" t="n">
        <v>39699</v>
      </c>
      <c r="I28" s="5" t="n">
        <v>115354</v>
      </c>
    </row>
    <row r="29">
      <c r="A29" s="6" t="inlineStr">
        <is>
          <t>Profit after taxation (FY2025)</t>
        </is>
      </c>
      <c r="B29" s="6" t="n"/>
      <c r="C29" s="6" t="n"/>
      <c r="D29" s="6" t="n"/>
      <c r="E29" s="6" t="n"/>
      <c r="F29" s="6" t="n"/>
      <c r="G29" s="6" t="n"/>
      <c r="H29" s="6" t="n">
        <v>15159</v>
      </c>
      <c r="I29" s="6" t="n">
        <v>15159</v>
      </c>
    </row>
    <row r="30">
      <c r="A30" s="6" t="inlineStr">
        <is>
          <t>Other comprehensive income (FY2025)</t>
        </is>
      </c>
      <c r="B30" s="6" t="n"/>
      <c r="C30" s="6" t="n"/>
      <c r="D30" s="6" t="n"/>
      <c r="E30" s="6" t="n"/>
      <c r="F30" s="6" t="n"/>
      <c r="G30" s="6" t="n"/>
      <c r="H30" s="6" t="n">
        <v>0</v>
      </c>
      <c r="I30" s="6" t="n">
        <v>0</v>
      </c>
    </row>
    <row r="31">
      <c r="A31" s="5" t="inlineStr">
        <is>
          <t>Total comprehensive income for the year (FY2025)</t>
        </is>
      </c>
      <c r="B31" s="5" t="n"/>
      <c r="C31" s="5" t="n"/>
      <c r="D31" s="5" t="n"/>
      <c r="E31" s="5" t="n"/>
      <c r="F31" s="5" t="n"/>
      <c r="G31" s="5" t="n"/>
      <c r="H31" s="5" t="n">
        <v>15159</v>
      </c>
      <c r="I31" s="5" t="n">
        <v>15159</v>
      </c>
    </row>
    <row r="32">
      <c r="A32" s="6" t="inlineStr">
        <is>
          <t>Share-based payments (FY2025)</t>
        </is>
      </c>
      <c r="B32" s="6" t="n"/>
      <c r="C32" s="6" t="n"/>
      <c r="D32" s="6" t="n"/>
      <c r="E32" s="6" t="n"/>
      <c r="F32" s="6" t="n"/>
      <c r="G32" s="6" t="n"/>
      <c r="H32" s="6" t="n">
        <v>1254</v>
      </c>
      <c r="I32" s="6" t="n">
        <v>1254</v>
      </c>
    </row>
    <row r="33">
      <c r="A33" s="6" t="inlineStr">
        <is>
          <t>Employee Benefit Trust (FY2025)</t>
        </is>
      </c>
      <c r="B33" s="6" t="n"/>
      <c r="C33" s="6" t="n"/>
      <c r="D33" s="6" t="n"/>
      <c r="E33" s="6" t="n"/>
      <c r="F33" s="6" t="n">
        <v>-108</v>
      </c>
      <c r="G33" s="6" t="n"/>
      <c r="H33" s="6" t="n">
        <v>-84</v>
      </c>
      <c r="I33" s="6" t="n">
        <v>-192</v>
      </c>
    </row>
    <row r="34">
      <c r="A34" s="6" t="inlineStr">
        <is>
          <t>Share Buyback (FY2025)</t>
        </is>
      </c>
      <c r="B34" s="6" t="n"/>
      <c r="C34" s="6" t="n"/>
      <c r="D34" s="6" t="n"/>
      <c r="E34" s="6" t="n"/>
      <c r="F34" s="6" t="n"/>
      <c r="G34" s="6" t="n">
        <v>-4877</v>
      </c>
      <c r="H34" s="6" t="n"/>
      <c r="I34" s="6" t="n">
        <v>-4877</v>
      </c>
    </row>
    <row r="35">
      <c r="A35" s="6" t="inlineStr">
        <is>
          <t>Settlement of share options (FY2025)</t>
        </is>
      </c>
      <c r="B35" s="6" t="n"/>
      <c r="C35" s="6" t="n"/>
      <c r="D35" s="6" t="n"/>
      <c r="E35" s="6" t="n"/>
      <c r="F35" s="6" t="n"/>
      <c r="G35" s="6" t="n">
        <v>122</v>
      </c>
      <c r="H35" s="6" t="n">
        <v>-6</v>
      </c>
      <c r="I35" s="6" t="n">
        <v>116</v>
      </c>
    </row>
    <row r="36">
      <c r="A36" s="6" t="inlineStr">
        <is>
          <t>Deferred tax asset on share-based payments (FY2025)</t>
        </is>
      </c>
      <c r="B36" s="6" t="n"/>
      <c r="C36" s="6" t="n"/>
      <c r="D36" s="6" t="n"/>
      <c r="E36" s="6" t="n"/>
      <c r="F36" s="6" t="n"/>
      <c r="G36" s="6" t="n"/>
      <c r="H36" s="6" t="n">
        <v>416</v>
      </c>
      <c r="I36" s="6" t="n">
        <v>416</v>
      </c>
    </row>
    <row r="37">
      <c r="A37" s="5" t="inlineStr">
        <is>
          <t>At 31 December 2025</t>
        </is>
      </c>
      <c r="B37" s="5" t="n">
        <v>1793</v>
      </c>
      <c r="C37" s="5" t="n">
        <v>0</v>
      </c>
      <c r="D37" s="5" t="n">
        <v>94911</v>
      </c>
      <c r="E37" s="5" t="n">
        <v>-20609</v>
      </c>
      <c r="F37" s="5" t="n">
        <v>-548</v>
      </c>
      <c r="G37" s="5" t="n">
        <v>-4755</v>
      </c>
      <c r="H37" s="5" t="n">
        <v>56438</v>
      </c>
      <c r="I37" s="5" t="n">
        <v>127230</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Each year's own originally-published figures used; the equity roll-forward ties exactly at every boundary (each year's closing Total equity ties to both the next year's own opening balance and that year's own Balance Sheet Total equity) - no plug rows needed anywhere in this series.
PRESENTATION NOTE: FY2021-FY2022 label the investment line 'Debt securities'; FY2024-FY2025 relabel it 'Investment securities' (same line, a money market fund holding was added) - shown on one row. FY2021's cash line is labelled 'Cash and cash equivalents' vs later years' 'Cash and balances at central banks' - same line, relabelled. FY2021 doesn't disclose separate Current/Deferred taxation asset, Derivatives, Fair value adjustments on hedged liabilities or Subordinated liabilities lines (business was smaller and pre-dated some of these balances/hedge relationships) - left blank rather than assumed zero. Share premium was cancelled during FY2023 (transferred to retained earnings) and Treasury shares only introduced FY2025 (share buyback) - both shown as blank in years they don't apply.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39:I3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taxation</t>
        </is>
      </c>
      <c r="B5" s="6" t="n">
        <v>19641</v>
      </c>
      <c r="C5" s="6" t="n">
        <v>19074</v>
      </c>
      <c r="D5" s="6" t="n">
        <v>4573</v>
      </c>
      <c r="E5" s="6" t="n">
        <v>1304</v>
      </c>
      <c r="F5" s="6" t="n">
        <v>-3735</v>
      </c>
    </row>
    <row r="6">
      <c r="A6" s="6" t="inlineStr">
        <is>
          <t>Adjustments for non-cash items and other adjustments included in the income statement</t>
        </is>
      </c>
      <c r="B6" s="6" t="n">
        <v>7794</v>
      </c>
      <c r="C6" s="6" t="n">
        <v>3822</v>
      </c>
      <c r="D6" s="6" t="n">
        <v>13000</v>
      </c>
      <c r="E6" s="6" t="n">
        <v>4664</v>
      </c>
      <c r="F6" s="6" t="n">
        <v>1446</v>
      </c>
    </row>
    <row r="7">
      <c r="A7" s="6" t="inlineStr">
        <is>
          <t>Increase/(decrease) in operating assets</t>
        </is>
      </c>
      <c r="B7" s="6" t="n">
        <v>-186354</v>
      </c>
      <c r="C7" s="6" t="n">
        <v>-92390</v>
      </c>
      <c r="D7" s="6" t="n">
        <v>-149456</v>
      </c>
      <c r="E7" s="6" t="n">
        <v>-193189</v>
      </c>
      <c r="F7" s="6" t="n">
        <v>-136244</v>
      </c>
    </row>
    <row r="8">
      <c r="A8" s="6" t="inlineStr">
        <is>
          <t>Increase/(decrease) in operating liabilities</t>
        </is>
      </c>
      <c r="B8" s="6" t="n">
        <v>195168</v>
      </c>
      <c r="C8" s="6" t="n">
        <v>79376</v>
      </c>
      <c r="D8" s="6" t="n">
        <v>94171</v>
      </c>
      <c r="E8" s="6" t="n">
        <v>183809</v>
      </c>
      <c r="F8" s="6" t="n">
        <v>151711</v>
      </c>
    </row>
    <row r="9">
      <c r="A9" s="6" t="inlineStr">
        <is>
          <t>Taxation paid/(received)</t>
        </is>
      </c>
      <c r="B9" s="6" t="n">
        <v>-3296</v>
      </c>
      <c r="C9" s="6" t="n">
        <v>-681</v>
      </c>
      <c r="D9" s="6" t="n">
        <v>0</v>
      </c>
      <c r="E9" s="6" t="n">
        <v>-4</v>
      </c>
      <c r="F9" s="6" t="n">
        <v>0</v>
      </c>
    </row>
    <row r="10">
      <c r="A10" s="5" t="inlineStr">
        <is>
          <t>Net cash generated from/(used in) operating activities</t>
        </is>
      </c>
      <c r="B10" s="5" t="n">
        <v>32953</v>
      </c>
      <c r="C10" s="5" t="n">
        <v>9201</v>
      </c>
      <c r="D10" s="5" t="n">
        <v>-37712</v>
      </c>
      <c r="E10" s="5" t="n">
        <v>-3408</v>
      </c>
      <c r="F10" s="5" t="n">
        <v>13178</v>
      </c>
    </row>
    <row r="11">
      <c r="A11" s="5" t="inlineStr">
        <is>
          <t>Investing activities</t>
        </is>
      </c>
      <c r="B11" s="6" t="n"/>
      <c r="C11" s="6" t="n"/>
      <c r="D11" s="6" t="n"/>
      <c r="E11" s="6" t="n"/>
      <c r="F11" s="6" t="n"/>
    </row>
    <row r="12">
      <c r="A12" s="6" t="inlineStr">
        <is>
          <t>Purchase of investment/debt securities</t>
        </is>
      </c>
      <c r="B12" s="6" t="n">
        <v>-498</v>
      </c>
      <c r="C12" s="6" t="n">
        <v>-9918</v>
      </c>
      <c r="D12" s="6" t="n">
        <v>-14554</v>
      </c>
      <c r="E12" s="6" t="n">
        <v>0</v>
      </c>
      <c r="F12" s="6" t="n">
        <v>-350980</v>
      </c>
    </row>
    <row r="13">
      <c r="A13" s="6" t="inlineStr">
        <is>
          <t>Proceeds from sale and maturity of investment/debt securities</t>
        </is>
      </c>
      <c r="B13" s="6" t="n">
        <v>500</v>
      </c>
      <c r="C13" s="6" t="n">
        <v>25000</v>
      </c>
      <c r="D13" s="6" t="n">
        <v>23000</v>
      </c>
      <c r="E13" s="6" t="n">
        <v>85070</v>
      </c>
      <c r="F13" s="6" t="n">
        <v>307958</v>
      </c>
    </row>
    <row r="14">
      <c r="A14" s="6" t="inlineStr">
        <is>
          <t>Dividends received on money market funds</t>
        </is>
      </c>
      <c r="B14" s="6" t="n">
        <v>57</v>
      </c>
      <c r="C14" s="6" t="n">
        <v>25</v>
      </c>
      <c r="D14" s="6" t="n"/>
      <c r="E14" s="6" t="n"/>
      <c r="F14" s="6" t="n"/>
    </row>
    <row r="15">
      <c r="A15" s="6" t="inlineStr">
        <is>
          <t>Interest received on investment/debt securities</t>
        </is>
      </c>
      <c r="B15" s="6" t="n">
        <v>2</v>
      </c>
      <c r="C15" s="6" t="n">
        <v>75</v>
      </c>
      <c r="D15" s="6" t="n">
        <v>383</v>
      </c>
      <c r="E15" s="6" t="n">
        <v>746</v>
      </c>
      <c r="F15" s="6" t="n">
        <v>549</v>
      </c>
    </row>
    <row r="16">
      <c r="A16" s="6" t="inlineStr">
        <is>
          <t>Purchase of own shares</t>
        </is>
      </c>
      <c r="B16" s="6" t="n"/>
      <c r="C16" s="6" t="n"/>
      <c r="D16" s="6" t="n">
        <v>-67</v>
      </c>
      <c r="E16" s="6" t="n"/>
      <c r="F16" s="6" t="n"/>
    </row>
    <row r="17">
      <c r="A17" s="6" t="inlineStr">
        <is>
          <t>Purchase of property, plant and equipment</t>
        </is>
      </c>
      <c r="B17" s="6" t="n">
        <v>-3557</v>
      </c>
      <c r="C17" s="6" t="n">
        <v>-397</v>
      </c>
      <c r="D17" s="6" t="n">
        <v>-418</v>
      </c>
      <c r="E17" s="6" t="n">
        <v>-1041</v>
      </c>
      <c r="F17" s="6" t="n">
        <v>-253</v>
      </c>
    </row>
    <row r="18">
      <c r="A18" s="6" t="inlineStr">
        <is>
          <t>Cash received on disposal of property, plant and equipment</t>
        </is>
      </c>
      <c r="B18" s="6" t="n">
        <v>34</v>
      </c>
      <c r="C18" s="6" t="n"/>
      <c r="D18" s="6" t="n"/>
      <c r="E18" s="6" t="n"/>
      <c r="F18" s="6" t="n"/>
    </row>
    <row r="19">
      <c r="A19" s="6" t="inlineStr">
        <is>
          <t>Purchase of right of use assets</t>
        </is>
      </c>
      <c r="B19" s="6" t="n">
        <v>-81</v>
      </c>
      <c r="C19" s="6" t="n"/>
      <c r="D19" s="6" t="n"/>
      <c r="E19" s="6" t="n"/>
      <c r="F19" s="6" t="n"/>
    </row>
    <row r="20">
      <c r="A20" s="6" t="inlineStr">
        <is>
          <t>Purchase of intangible assets</t>
        </is>
      </c>
      <c r="B20" s="6" t="n">
        <v>-80</v>
      </c>
      <c r="C20" s="6" t="n">
        <v>-623</v>
      </c>
      <c r="D20" s="6" t="n">
        <v>-117</v>
      </c>
      <c r="E20" s="6" t="n">
        <v>-193</v>
      </c>
      <c r="F20" s="6" t="n">
        <v>-586</v>
      </c>
    </row>
    <row r="21">
      <c r="A21" s="5" t="inlineStr">
        <is>
          <t>Net cash (used in)/generated from investing activities</t>
        </is>
      </c>
      <c r="B21" s="5" t="n">
        <v>-3623</v>
      </c>
      <c r="C21" s="5" t="n">
        <v>14162</v>
      </c>
      <c r="D21" s="5" t="n">
        <v>8227</v>
      </c>
      <c r="E21" s="5" t="n">
        <v>84582</v>
      </c>
      <c r="F21" s="5" t="n">
        <v>-43312</v>
      </c>
    </row>
    <row r="22">
      <c r="A22" s="5" t="inlineStr">
        <is>
          <t>Financing activities</t>
        </is>
      </c>
      <c r="B22" s="6" t="n"/>
      <c r="C22" s="6" t="n"/>
      <c r="D22" s="6" t="n"/>
      <c r="E22" s="6" t="n"/>
      <c r="F22" s="6" t="n"/>
    </row>
    <row r="23">
      <c r="A23" s="6" t="inlineStr">
        <is>
          <t>Issue of new shares</t>
        </is>
      </c>
      <c r="B23" s="6" t="n"/>
      <c r="C23" s="6" t="n"/>
      <c r="D23" s="6" t="n"/>
      <c r="E23" s="6" t="n"/>
      <c r="F23" s="6" t="n">
        <v>38645</v>
      </c>
    </row>
    <row r="24">
      <c r="A24" s="6" t="inlineStr">
        <is>
          <t>Repayment of lease liabilities</t>
        </is>
      </c>
      <c r="B24" s="6" t="n">
        <v>-108</v>
      </c>
      <c r="C24" s="6" t="n">
        <v>-252</v>
      </c>
      <c r="D24" s="6" t="n">
        <v>-227</v>
      </c>
      <c r="E24" s="6" t="n">
        <v>-141</v>
      </c>
      <c r="F24" s="6" t="n">
        <v>-147</v>
      </c>
    </row>
    <row r="25">
      <c r="A25" s="6" t="inlineStr">
        <is>
          <t>Issuance of subordinated liabilities</t>
        </is>
      </c>
      <c r="B25" s="6" t="n">
        <v>5000</v>
      </c>
      <c r="C25" s="6" t="n"/>
      <c r="D25" s="6" t="n">
        <v>10000</v>
      </c>
      <c r="E25" s="6" t="n"/>
      <c r="F25" s="6" t="n"/>
    </row>
    <row r="26">
      <c r="A26" s="6" t="inlineStr">
        <is>
          <t>Acquisition of subordinated liabilities</t>
        </is>
      </c>
      <c r="B26" s="6" t="n"/>
      <c r="C26" s="6" t="n"/>
      <c r="D26" s="6" t="n">
        <v>-51</v>
      </c>
      <c r="E26" s="6" t="n"/>
      <c r="F26" s="6" t="n"/>
    </row>
    <row r="27">
      <c r="A27" s="6" t="inlineStr">
        <is>
          <t>Coupon paid on subordinated liabilities</t>
        </is>
      </c>
      <c r="B27" s="6" t="n">
        <v>-1269</v>
      </c>
      <c r="C27" s="6" t="n">
        <v>-1273</v>
      </c>
      <c r="D27" s="6" t="n"/>
      <c r="E27" s="6" t="n"/>
      <c r="F27" s="6" t="n"/>
    </row>
    <row r="28">
      <c r="A28" s="6" t="inlineStr">
        <is>
          <t>Purchase of own shares</t>
        </is>
      </c>
      <c r="B28" s="6" t="n">
        <v>-192</v>
      </c>
      <c r="C28" s="6" t="n">
        <v>-142</v>
      </c>
      <c r="D28" s="6" t="n"/>
      <c r="E28" s="6" t="n"/>
      <c r="F28" s="6" t="n"/>
    </row>
    <row r="29">
      <c r="A29" s="6" t="inlineStr">
        <is>
          <t>Purchase of treasury shares</t>
        </is>
      </c>
      <c r="B29" s="6" t="n">
        <v>-4877</v>
      </c>
      <c r="C29" s="6" t="n"/>
      <c r="D29" s="6" t="n"/>
      <c r="E29" s="6" t="n"/>
      <c r="F29" s="6" t="n"/>
    </row>
    <row r="30">
      <c r="A30" s="6" t="inlineStr">
        <is>
          <t>Receipt of cash from settlement of share options</t>
        </is>
      </c>
      <c r="B30" s="6" t="n">
        <v>116</v>
      </c>
      <c r="C30" s="6" t="n"/>
      <c r="D30" s="6" t="n"/>
      <c r="E30" s="6" t="n"/>
      <c r="F30" s="6" t="n"/>
    </row>
    <row r="31">
      <c r="A31" s="5" t="inlineStr">
        <is>
          <t>Net cash (used in)/generated from financing activities</t>
        </is>
      </c>
      <c r="B31" s="5" t="n">
        <v>-1330</v>
      </c>
      <c r="C31" s="5" t="n">
        <v>-1667</v>
      </c>
      <c r="D31" s="5" t="n">
        <v>9722</v>
      </c>
      <c r="E31" s="5" t="n">
        <v>-141</v>
      </c>
      <c r="F31" s="5" t="n">
        <v>38498</v>
      </c>
    </row>
    <row r="32">
      <c r="A32" s="5" t="inlineStr">
        <is>
          <t>Net increase/(decrease) in cash and cash equivalents</t>
        </is>
      </c>
      <c r="B32" s="5" t="n">
        <v>28000</v>
      </c>
      <c r="C32" s="5" t="n">
        <v>21696</v>
      </c>
      <c r="D32" s="5" t="n">
        <v>-19763</v>
      </c>
      <c r="E32" s="5" t="n">
        <v>81033</v>
      </c>
      <c r="F32" s="5" t="n">
        <v>8364</v>
      </c>
    </row>
    <row r="33">
      <c r="A33" s="6" t="inlineStr">
        <is>
          <t>Cash and cash equivalents at start of the period</t>
        </is>
      </c>
      <c r="B33" s="6" t="n">
        <v>112563</v>
      </c>
      <c r="C33" s="6" t="n">
        <v>90867</v>
      </c>
      <c r="D33" s="6" t="n">
        <v>110630</v>
      </c>
      <c r="E33" s="6" t="n">
        <v>29597</v>
      </c>
      <c r="F33" s="6" t="n">
        <v>21233</v>
      </c>
    </row>
    <row r="34">
      <c r="A34" s="5" t="inlineStr">
        <is>
          <t>Cash and cash equivalents at end of the period</t>
        </is>
      </c>
      <c r="B34" s="5" t="n">
        <v>140563</v>
      </c>
      <c r="C34" s="5" t="n">
        <v>112563</v>
      </c>
      <c r="D34" s="5" t="n">
        <v>90867</v>
      </c>
      <c r="E34" s="5" t="n">
        <v>110630</v>
      </c>
      <c r="F34" s="5" t="n">
        <v>29597</v>
      </c>
    </row>
    <row r="36" ht="28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Each year's own originally-published figures are used; the closing balance of each year ties exactly to the opening balance of the next, no restatements found across any vintage. FY2022's own printed operating-activities total (-GBP3,408k) is GBP8k off its own component lines' sum (-GBP3,416k) - an immaterial rounding artifact in the source document itself, kept as printed rather than force-corrected; every other year's total ties to the penny.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 composition</t>
        </is>
      </c>
      <c r="B4" s="6" t="n"/>
      <c r="C4" s="6" t="n"/>
      <c r="D4" s="6" t="n"/>
      <c r="E4" s="6" t="n"/>
      <c r="F4" s="6" t="n"/>
    </row>
    <row r="5">
      <c r="A5" s="6" t="inlineStr">
        <is>
          <t>Loan book principal</t>
        </is>
      </c>
      <c r="B5" s="6" t="n">
        <v>845966</v>
      </c>
      <c r="C5" s="6" t="n">
        <v>665709</v>
      </c>
      <c r="D5" s="6" t="n">
        <v>580525</v>
      </c>
      <c r="E5" s="6" t="n">
        <v>439282</v>
      </c>
      <c r="F5" s="6" t="n"/>
    </row>
    <row r="6">
      <c r="A6" s="6" t="inlineStr">
        <is>
          <t>Accrued interest and fees</t>
        </is>
      </c>
      <c r="B6" s="6" t="n">
        <v>4141</v>
      </c>
      <c r="C6" s="6" t="n">
        <v>4067</v>
      </c>
      <c r="D6" s="6" t="n">
        <v>3602</v>
      </c>
      <c r="E6" s="6" t="n">
        <v>2002</v>
      </c>
      <c r="F6" s="6" t="n"/>
    </row>
    <row r="7">
      <c r="A7" s="5" t="inlineStr">
        <is>
          <t>Gross carrying amount</t>
        </is>
      </c>
      <c r="B7" s="5" t="n">
        <v>850107</v>
      </c>
      <c r="C7" s="5" t="n">
        <v>669776</v>
      </c>
      <c r="D7" s="5" t="n">
        <v>584127</v>
      </c>
      <c r="E7" s="5" t="n">
        <v>441284</v>
      </c>
      <c r="F7" s="5" t="n">
        <v>249454</v>
      </c>
    </row>
    <row r="8">
      <c r="A8" s="6" t="inlineStr">
        <is>
          <t>less: impairment allowance</t>
        </is>
      </c>
      <c r="B8" s="6" t="n">
        <v>-8501</v>
      </c>
      <c r="C8" s="6" t="n">
        <v>-6577</v>
      </c>
      <c r="D8" s="6" t="n">
        <v>-14596</v>
      </c>
      <c r="E8" s="6" t="n">
        <v>-3720</v>
      </c>
      <c r="F8" s="6" t="n">
        <v>-1718</v>
      </c>
    </row>
    <row r="9">
      <c r="A9" s="6" t="inlineStr">
        <is>
          <t>less: effective interest rate adjustment</t>
        </is>
      </c>
      <c r="B9" s="6" t="n">
        <v>-2080</v>
      </c>
      <c r="C9" s="6" t="n">
        <v>-2427</v>
      </c>
      <c r="D9" s="6" t="n">
        <v>-1487</v>
      </c>
      <c r="E9" s="6" t="n">
        <v>-1681</v>
      </c>
      <c r="F9" s="6" t="n">
        <v>-531</v>
      </c>
    </row>
    <row r="10">
      <c r="A10" s="5" t="inlineStr">
        <is>
          <t>Total loans and advances to customers</t>
        </is>
      </c>
      <c r="B10" s="5" t="n">
        <v>839526</v>
      </c>
      <c r="C10" s="5" t="n">
        <v>660772</v>
      </c>
      <c r="D10" s="5" t="n">
        <v>568044</v>
      </c>
      <c r="E10" s="5" t="n">
        <v>435883</v>
      </c>
      <c r="F10" s="5" t="n">
        <v>247205</v>
      </c>
    </row>
    <row r="11">
      <c r="A11" s="5" t="inlineStr">
        <is>
          <t>Gross carrying amount, by IFRS 9 stage</t>
        </is>
      </c>
      <c r="B11" s="6" t="n"/>
      <c r="C11" s="6" t="n"/>
      <c r="D11" s="6" t="n"/>
      <c r="E11" s="6" t="n"/>
      <c r="F11" s="6" t="n"/>
    </row>
    <row r="12">
      <c r="A12" s="6" t="inlineStr">
        <is>
          <t>Stage 1</t>
        </is>
      </c>
      <c r="B12" s="6" t="n">
        <v>785729</v>
      </c>
      <c r="C12" s="6" t="n">
        <v>643513</v>
      </c>
      <c r="D12" s="6" t="n">
        <v>545952</v>
      </c>
      <c r="E12" s="6" t="n">
        <v>410756</v>
      </c>
      <c r="F12" s="6" t="n">
        <v>239327</v>
      </c>
    </row>
    <row r="13">
      <c r="A13" s="6" t="inlineStr">
        <is>
          <t>Stage 2</t>
        </is>
      </c>
      <c r="B13" s="6" t="n">
        <v>54741</v>
      </c>
      <c r="C13" s="6" t="n">
        <v>18484</v>
      </c>
      <c r="D13" s="6" t="n">
        <v>21052</v>
      </c>
      <c r="E13" s="6" t="n">
        <v>13323</v>
      </c>
      <c r="F13" s="6" t="n">
        <v>9585</v>
      </c>
    </row>
    <row r="14">
      <c r="A14" s="6" t="inlineStr">
        <is>
          <t>Stage 3</t>
        </is>
      </c>
      <c r="B14" s="6" t="n">
        <v>9637</v>
      </c>
      <c r="C14" s="6" t="n">
        <v>7779</v>
      </c>
      <c r="D14" s="6" t="n">
        <v>17123</v>
      </c>
      <c r="E14" s="6" t="n">
        <v>17205</v>
      </c>
      <c r="F14" s="6" t="n">
        <v>542</v>
      </c>
    </row>
    <row r="15">
      <c r="A15" s="5" t="inlineStr">
        <is>
          <t>Total gross carrying amount (by stage)</t>
        </is>
      </c>
      <c r="B15" s="5" t="n">
        <v>850107</v>
      </c>
      <c r="C15" s="5" t="n">
        <v>669776</v>
      </c>
      <c r="D15" s="5" t="n">
        <v>584127</v>
      </c>
      <c r="E15" s="5" t="n">
        <v>441284</v>
      </c>
      <c r="F15" s="5" t="n">
        <v>249454</v>
      </c>
    </row>
    <row r="16">
      <c r="A16" s="5" t="inlineStr">
        <is>
          <t>Loss allowance (ECL), by IFRS 9 stage</t>
        </is>
      </c>
      <c r="B16" s="6" t="n"/>
      <c r="C16" s="6" t="n"/>
      <c r="D16" s="6" t="n"/>
      <c r="E16" s="6" t="n"/>
      <c r="F16" s="6" t="n"/>
    </row>
    <row r="17">
      <c r="A17" s="6" t="inlineStr">
        <is>
          <t>Stage 1</t>
        </is>
      </c>
      <c r="B17" s="6" t="n">
        <v>-4368</v>
      </c>
      <c r="C17" s="6" t="n">
        <v>-3692</v>
      </c>
      <c r="D17" s="6" t="n">
        <v>-2522</v>
      </c>
      <c r="E17" s="6" t="n">
        <v>-1943</v>
      </c>
      <c r="F17" s="6" t="n">
        <v>-1142</v>
      </c>
    </row>
    <row r="18">
      <c r="A18" s="6" t="inlineStr">
        <is>
          <t>Stage 2</t>
        </is>
      </c>
      <c r="B18" s="6" t="n">
        <v>-711</v>
      </c>
      <c r="C18" s="6" t="n">
        <v>-166</v>
      </c>
      <c r="D18" s="6" t="n">
        <v>-160</v>
      </c>
      <c r="E18" s="6" t="n">
        <v>-84</v>
      </c>
      <c r="F18" s="6" t="n">
        <v>-155</v>
      </c>
    </row>
    <row r="19">
      <c r="A19" s="6" t="inlineStr">
        <is>
          <t>Stage 3</t>
        </is>
      </c>
      <c r="B19" s="6" t="n">
        <v>-3422</v>
      </c>
      <c r="C19" s="6" t="n">
        <v>-2719</v>
      </c>
      <c r="D19" s="6" t="n">
        <v>-11914</v>
      </c>
      <c r="E19" s="6" t="n">
        <v>-1693</v>
      </c>
      <c r="F19" s="6" t="n">
        <v>-421</v>
      </c>
    </row>
    <row r="20">
      <c r="A20" s="5" t="inlineStr">
        <is>
          <t>Total loss allowance (by stage)</t>
        </is>
      </c>
      <c r="B20" s="5" t="n">
        <v>-8501</v>
      </c>
      <c r="C20" s="5" t="n">
        <v>-6577</v>
      </c>
      <c r="D20" s="5" t="n">
        <v>-14596</v>
      </c>
      <c r="E20" s="5" t="n">
        <v>-3720</v>
      </c>
      <c r="F20" s="5" t="n">
        <v>-1718</v>
      </c>
    </row>
    <row r="21">
      <c r="A21" s="5" t="inlineStr">
        <is>
          <t>Derived ratios</t>
        </is>
      </c>
      <c r="B21" s="6" t="n"/>
      <c r="C21" s="6" t="n"/>
      <c r="D21" s="6" t="n"/>
      <c r="E21" s="6" t="n"/>
      <c r="F21" s="6" t="n"/>
    </row>
    <row r="22">
      <c r="A22" s="6" t="inlineStr">
        <is>
          <t>Stage 3 / gross carrying amount (NPL ratio)</t>
        </is>
      </c>
      <c r="B22" s="6" t="inlineStr">
        <is>
          <t>1.13%</t>
        </is>
      </c>
      <c r="C22" s="6" t="inlineStr">
        <is>
          <t>1.16%</t>
        </is>
      </c>
      <c r="D22" s="6" t="inlineStr">
        <is>
          <t>2.93%</t>
        </is>
      </c>
      <c r="E22" s="6" t="inlineStr">
        <is>
          <t>3.90%</t>
        </is>
      </c>
      <c r="F22" s="6" t="inlineStr">
        <is>
          <t>0.22%</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row>
    <row r="26" ht="300"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Each year's own originally-published figures used; every stage-split total ties exactly to the note's own Gross carrying amount and to the note's own disclosed 'Loss allowance coverage' percentages (used directly for the Derived ratios, not independently recomputed, to avoid rounding drift). FY2021's report does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26:F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112443</v>
      </c>
      <c r="C4" s="6" t="n">
        <v>98780</v>
      </c>
      <c r="D4" s="6" t="n">
        <v>79269</v>
      </c>
      <c r="E4" s="6" t="n">
        <v>84579</v>
      </c>
      <c r="F4" s="6" t="n">
        <v>82690</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18.0%</t>
        </is>
      </c>
      <c r="C4" s="6" t="inlineStr">
        <is>
          <t>21.6%</t>
        </is>
      </c>
      <c r="D4" s="6" t="inlineStr">
        <is>
          <t>22.8%</t>
        </is>
      </c>
      <c r="E4" s="6" t="inlineStr">
        <is>
          <t>22.1%</t>
        </is>
      </c>
      <c r="F4" s="6" t="inlineStr">
        <is>
          <t>38.2%</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112443</v>
      </c>
      <c r="C4" s="6" t="n">
        <v>98780</v>
      </c>
      <c r="D4" s="6" t="n">
        <v>79269</v>
      </c>
      <c r="E4" s="6" t="n">
        <v>84579</v>
      </c>
      <c r="F4" s="6" t="n">
        <v>82690</v>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18.0%</t>
        </is>
      </c>
      <c r="C4" s="6" t="inlineStr">
        <is>
          <t>21.6%</t>
        </is>
      </c>
      <c r="D4" s="6" t="inlineStr">
        <is>
          <t>22.8%</t>
        </is>
      </c>
      <c r="E4" s="6" t="inlineStr">
        <is>
          <t>22.1%</t>
        </is>
      </c>
      <c r="F4" s="6" t="inlineStr">
        <is>
          <t>38.2%</t>
        </is>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127745</v>
      </c>
      <c r="C4" s="6" t="n">
        <v>109010</v>
      </c>
      <c r="D4" s="6" t="n">
        <v>89538</v>
      </c>
      <c r="E4" s="6" t="n">
        <v>84579</v>
      </c>
      <c r="F4" s="6" t="n">
        <v>82690</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20.5%</t>
        </is>
      </c>
      <c r="C4" s="6" t="inlineStr">
        <is>
          <t>23.8%</t>
        </is>
      </c>
      <c r="D4" s="6" t="inlineStr">
        <is>
          <t>25.8%</t>
        </is>
      </c>
      <c r="E4" s="6" t="inlineStr">
        <is>
          <t>22.1%</t>
        </is>
      </c>
      <c r="F4" s="6" t="inlineStr">
        <is>
          <t>38.2%</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623607</v>
      </c>
      <c r="C4" s="6" t="n">
        <v>457565</v>
      </c>
      <c r="D4" s="6" t="n">
        <v>347034</v>
      </c>
      <c r="E4" s="6" t="n">
        <v>381972</v>
      </c>
      <c r="F4" s="6" t="n">
        <v>216353</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DF Capital Bank Limited — RWA Breakdown</t>
        </is>
      </c>
    </row>
    <row r="2">
      <c r="A2" s="2" t="inlineStr">
        <is>
          <t>Distribution Finance Capital Holdings plc Group basis, £'000 (UK OV1 template).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533039</v>
      </c>
      <c r="C4" s="6" t="n">
        <v>388533</v>
      </c>
      <c r="D4" s="6" t="n"/>
      <c r="E4" s="6" t="n"/>
      <c r="F4" s="6" t="n">
        <v>211065</v>
      </c>
    </row>
    <row r="5">
      <c r="A5" s="6" t="inlineStr">
        <is>
          <t>Counterparty credit risk (CCR) - of which standardised approach</t>
        </is>
      </c>
      <c r="B5" s="6" t="n">
        <v>2259</v>
      </c>
      <c r="C5" s="6" t="n">
        <v>1635</v>
      </c>
      <c r="D5" s="6" t="n"/>
      <c r="E5" s="6" t="n"/>
      <c r="F5" s="6" t="n"/>
    </row>
    <row r="6">
      <c r="A6" s="6" t="inlineStr">
        <is>
          <t>Counterparty credit risk (CCR) - of which credit valuation adjustment (CVA)</t>
        </is>
      </c>
      <c r="B6" s="6" t="n">
        <v>1027</v>
      </c>
      <c r="C6" s="6" t="n">
        <v>2371</v>
      </c>
      <c r="D6" s="6" t="n"/>
      <c r="E6" s="6" t="n"/>
      <c r="F6" s="6" t="n"/>
    </row>
    <row r="7">
      <c r="A7" s="5" t="inlineStr">
        <is>
          <t>Counterparty credit risk (CCR), total</t>
        </is>
      </c>
      <c r="B7" s="5" t="n">
        <v>3286</v>
      </c>
      <c r="C7" s="5" t="n">
        <v>4006</v>
      </c>
      <c r="D7" s="5" t="n"/>
      <c r="E7" s="5" t="n"/>
      <c r="F7" s="5" t="n"/>
    </row>
    <row r="8">
      <c r="A8" s="6" t="inlineStr">
        <is>
          <t>Operational risk (Basic Indicator Approach)</t>
        </is>
      </c>
      <c r="B8" s="6" t="n">
        <v>87281</v>
      </c>
      <c r="C8" s="6" t="n">
        <v>65026</v>
      </c>
      <c r="D8" s="6" t="n"/>
      <c r="E8" s="6" t="n"/>
      <c r="F8" s="6" t="n">
        <v>5288</v>
      </c>
    </row>
    <row r="9">
      <c r="A9" s="5" t="inlineStr">
        <is>
          <t>Total RWAs</t>
        </is>
      </c>
      <c r="B9" s="5" t="n">
        <v>623607</v>
      </c>
      <c r="C9" s="5" t="n">
        <v>457565</v>
      </c>
      <c r="D9" s="5" t="n">
        <v>347034</v>
      </c>
      <c r="E9" s="5" t="n">
        <v>381972</v>
      </c>
      <c r="F9" s="5" t="n">
        <v>216353</v>
      </c>
    </row>
    <row r="10">
      <c r="A10" s="6" t="inlineStr">
        <is>
          <t>Securitisation exposures in the non-trading book (after the cap, deducted from CET1 - not part of Total RWAs)</t>
        </is>
      </c>
      <c r="B10" s="6" t="n">
        <v>10942</v>
      </c>
      <c r="C10" s="6" t="n">
        <v>10095</v>
      </c>
      <c r="D10" s="6" t="n"/>
      <c r="E10" s="6" t="n"/>
      <c r="F10" s="6" t="n"/>
    </row>
    <row r="12" ht="280" customHeight="1">
      <c r="A12"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FY2023/FY2022: genuinely NOT publicly disclosed at this category level - checked both the FY2023 Pillar 3 document (DF Capital Pillar III 2024, which only discloses aggregate Total RWA in its UK KM1 Key Regulatory Metrics table, no OV1-style breakdown) and confirmed no earlier/later document carries an OV1 comparative for these two years. The aggregate Total RWA figure for FY2023/FY2022 is genuine (from KM1, matching the Total RWAs metric sheet) - only the category split is missing.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12:F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12.8%</t>
        </is>
      </c>
      <c r="C4" s="6" t="inlineStr">
        <is>
          <t>14.5%</t>
        </is>
      </c>
      <c r="D4" s="6" t="inlineStr">
        <is>
          <t>13.0%</t>
        </is>
      </c>
      <c r="E4" s="6" t="inlineStr">
        <is>
          <t>17.6%</t>
        </is>
      </c>
      <c r="F4" s="6" t="inlineStr">
        <is>
          <t>21.2%</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704.0%</t>
        </is>
      </c>
      <c r="C4" s="6" t="inlineStr">
        <is>
          <t>836.6%</t>
        </is>
      </c>
      <c r="D4" s="6" t="inlineStr">
        <is>
          <t>618%</t>
        </is>
      </c>
      <c r="E4" s="6" t="inlineStr">
        <is>
          <t>1029%</t>
        </is>
      </c>
      <c r="F4" s="6" t="inlineStr">
        <is>
          <t>5597%</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n"/>
      <c r="D4" s="6" t="inlineStr">
        <is>
          <t>148.2%</t>
        </is>
      </c>
      <c r="E4" s="6" t="inlineStr">
        <is>
          <t>163%</t>
        </is>
      </c>
      <c r="F4" s="6" t="inlineStr">
        <is>
          <t>214%</t>
        </is>
      </c>
    </row>
    <row r="5" ht="60" customHeight="1">
      <c r="A5" s="7" t="inlineStr">
        <is>
          <t>Note: NSFR was disclosed for FY2021-FY2023 but does not appear anywhere in the FY2024 or FY2025 Pillar 3 documents (confirmed by direct search of both, not assumed) - plausibly linked to the Group's disclosed opt-in to the PRA's Small Domestic Deposit Takers (SDDT) reduced-disclosure regime.</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any year, no exemption stated - consistent with a small SDDT-regime institution.</t>
        </is>
      </c>
    </row>
    <row r="7" ht="15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2026-09-02T21:48:36Z</dcterms:created>
  <dcterms:modified xmlns:dcterms="http://purl.org/dc/terms/" xmlns:xsi="http://www.w3.org/2001/XMLSchema-instance" xsi:type="dcterms:W3CDTF">2026-09-02T21:48:36Z</dcterms:modified>
</cp:coreProperties>
</file>