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'Overview'!AG25</f>
            </strRef>
          </tx>
          <spPr>
            <a:ln xmlns:a="http://schemas.openxmlformats.org/drawingml/2006/main">
              <a:prstDash val="solid"/>
            </a:ln>
          </spPr>
          <cat>
            <numRef>
              <f>'Overview'!$AH$24:$AL$24</f>
            </numRef>
          </cat>
          <val>
            <numRef>
              <f>'Overview'!$AH$25:$AL$25</f>
            </numRef>
          </val>
        </ser>
        <ser>
          <idx val="1"/>
          <order val="1"/>
          <tx>
            <strRef>
              <f>'Overview'!AG26</f>
            </strRef>
          </tx>
          <spPr>
            <a:ln xmlns:a="http://schemas.openxmlformats.org/drawingml/2006/main">
              <a:prstDash val="solid"/>
            </a:ln>
          </spPr>
          <cat>
            <numRef>
              <f>'Overview'!$AH$24:$AL$24</f>
            </numRef>
          </cat>
          <val>
            <numRef>
              <f>'Overview'!$AH$26:$AL$26</f>
            </numRef>
          </val>
        </ser>
        <ser>
          <idx val="2"/>
          <order val="2"/>
          <tx>
            <strRef>
              <f>'Overview'!AG27</f>
            </strRef>
          </tx>
          <spPr>
            <a:ln xmlns:a="http://schemas.openxmlformats.org/drawingml/2006/main">
              <a:prstDash val="solid"/>
            </a:ln>
          </spPr>
          <cat>
            <numRef>
              <f>'Overview'!$AH$24:$AL$24</f>
            </numRef>
          </cat>
          <val>
            <numRef>
              <f>'Overview'!$AH$27:$AL$27</f>
            </numRef>
          </val>
        </ser>
        <ser>
          <idx val="3"/>
          <order val="3"/>
          <tx>
            <strRef>
              <f>'Overview'!AG28</f>
            </strRef>
          </tx>
          <spPr>
            <a:ln xmlns:a="http://schemas.openxmlformats.org/drawingml/2006/main">
              <a:prstDash val="solid"/>
            </a:ln>
          </spPr>
          <cat>
            <numRef>
              <f>'Overview'!$AH$24:$AL$24</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Gulf International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c r="C6" s="5" t="n">
        <v>11585.2</v>
      </c>
      <c r="D6" s="5" t="n">
        <v>16936.1</v>
      </c>
      <c r="E6" s="5" t="n">
        <v>8481.1</v>
      </c>
      <c r="F6" s="5" t="n">
        <v>7822.2</v>
      </c>
      <c r="I6" t="inlineStr">
        <is>
          <t>Total assets</t>
        </is>
      </c>
      <c r="J6" t="n">
        <v>7822.2</v>
      </c>
      <c r="K6" t="n">
        <v>8481.1</v>
      </c>
      <c r="L6" t="n">
        <v>16936.1</v>
      </c>
      <c r="M6" t="n">
        <v>11585.2</v>
      </c>
      <c r="AO6" t="inlineStr">
        <is>
          <t>CET1 Ratio</t>
        </is>
      </c>
      <c r="AP6" t="n">
        <v>19.22</v>
      </c>
      <c r="AQ6" t="n">
        <v>23.65</v>
      </c>
      <c r="AR6" t="n">
        <v>22.74</v>
      </c>
      <c r="AS6" t="n">
        <v>22.18</v>
      </c>
    </row>
    <row r="7">
      <c r="A7" s="5" t="inlineStr">
        <is>
          <t>Placements with banks</t>
        </is>
      </c>
      <c r="B7" s="5" t="n"/>
      <c r="C7" s="5" t="n">
        <v>4528</v>
      </c>
      <c r="D7" s="5" t="n">
        <v>4155.2</v>
      </c>
      <c r="E7" s="5" t="n">
        <v>3026.5</v>
      </c>
      <c r="F7" s="5" t="n">
        <v>2814.7</v>
      </c>
      <c r="I7" t="inlineStr">
        <is>
          <t>Placements with banks</t>
        </is>
      </c>
      <c r="J7" t="n">
        <v>2814.7</v>
      </c>
      <c r="K7" t="n">
        <v>3026.5</v>
      </c>
      <c r="L7" t="n">
        <v>4155.2</v>
      </c>
      <c r="M7" t="n">
        <v>4528</v>
      </c>
      <c r="AO7" t="inlineStr">
        <is>
          <t>Tier 1 Ratio</t>
        </is>
      </c>
      <c r="AP7" t="n">
        <v>19.22</v>
      </c>
      <c r="AQ7" t="n">
        <v>23.65</v>
      </c>
      <c r="AR7" t="n">
        <v>22.74</v>
      </c>
      <c r="AS7" t="n">
        <v>22.18</v>
      </c>
    </row>
    <row r="8">
      <c r="A8" s="5" t="inlineStr">
        <is>
          <t>Deposits from customers</t>
        </is>
      </c>
      <c r="B8" s="5" t="n"/>
      <c r="C8" s="5" t="n">
        <v>10192.1</v>
      </c>
      <c r="D8" s="5" t="n">
        <v>16377.4</v>
      </c>
      <c r="E8" s="5" t="n">
        <v>7707.2</v>
      </c>
      <c r="F8" s="5" t="n">
        <v>7412.3</v>
      </c>
      <c r="I8" t="inlineStr">
        <is>
          <t>Deposits from customers</t>
        </is>
      </c>
      <c r="J8" t="n">
        <v>7412.3</v>
      </c>
      <c r="K8" t="n">
        <v>7707.2</v>
      </c>
      <c r="L8" t="n">
        <v>16377.4</v>
      </c>
      <c r="M8" t="n">
        <v>10192.1</v>
      </c>
      <c r="AO8" t="inlineStr">
        <is>
          <t>Total Capital Ratio</t>
        </is>
      </c>
      <c r="AP8" t="n">
        <v>19.22</v>
      </c>
      <c r="AQ8" t="n">
        <v>23.65</v>
      </c>
      <c r="AR8" t="n">
        <v>22.74</v>
      </c>
      <c r="AS8" t="n">
        <v>22.18</v>
      </c>
    </row>
    <row r="9">
      <c r="A9" s="5" t="inlineStr">
        <is>
          <t>Total equity</t>
        </is>
      </c>
      <c r="B9" s="5" t="n"/>
      <c r="C9" s="5" t="n">
        <v>367.4</v>
      </c>
      <c r="D9" s="5" t="n">
        <v>359.8</v>
      </c>
      <c r="E9" s="5" t="n">
        <v>346.1</v>
      </c>
      <c r="F9" s="5" t="n">
        <v>300.9</v>
      </c>
      <c r="I9" t="inlineStr">
        <is>
          <t>Total equity</t>
        </is>
      </c>
      <c r="J9" t="n">
        <v>300.9</v>
      </c>
      <c r="K9" t="n">
        <v>346.1</v>
      </c>
      <c r="L9" t="n">
        <v>359.8</v>
      </c>
      <c r="M9" t="n">
        <v>367.4</v>
      </c>
      <c r="AO9" t="inlineStr">
        <is>
          <t>Leverage Ratio</t>
        </is>
      </c>
      <c r="AP9" t="n">
        <v>3.52</v>
      </c>
      <c r="AQ9" t="n">
        <v>7.17</v>
      </c>
      <c r="AR9" t="n">
        <v>5.28</v>
      </c>
      <c r="AS9" t="n">
        <v>5.02</v>
      </c>
    </row>
    <row r="10">
      <c r="AO10" t="inlineStr">
        <is>
          <t>LCR</t>
        </is>
      </c>
      <c r="AP10" t="n">
        <v>480.13</v>
      </c>
      <c r="AQ10" t="n">
        <v>354.15</v>
      </c>
      <c r="AR10" t="n">
        <v>286.4</v>
      </c>
      <c r="AS10" t="n">
        <v>286.32</v>
      </c>
    </row>
    <row r="11">
      <c r="A11" s="3" t="inlineStr">
        <is>
          <t>Profit &amp; Loss Summary (£'000)</t>
        </is>
      </c>
      <c r="AO11" t="inlineStr">
        <is>
          <t>NSFR</t>
        </is>
      </c>
      <c r="AP11" t="n">
        <v>111.16</v>
      </c>
      <c r="AQ11" t="n">
        <v>416.49</v>
      </c>
      <c r="AR11" t="n">
        <v>252.78</v>
      </c>
      <c r="AS11" t="n">
        <v>230.91</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c r="C13" s="5" t="n">
        <v>58.1</v>
      </c>
      <c r="D13" s="5" t="n">
        <v>65</v>
      </c>
      <c r="E13" s="5" t="n">
        <v>31.2</v>
      </c>
      <c r="F13" s="5" t="n">
        <v>8.800000000000001</v>
      </c>
      <c r="Q13" t="inlineStr">
        <is>
          <t>Net interest income</t>
        </is>
      </c>
      <c r="R13" t="n">
        <v>8.800000000000001</v>
      </c>
      <c r="S13" t="n">
        <v>31.2</v>
      </c>
      <c r="T13" t="n">
        <v>65</v>
      </c>
      <c r="U13" t="n">
        <v>58.1</v>
      </c>
    </row>
    <row r="14">
      <c r="A14" s="5" t="inlineStr">
        <is>
          <t>Operating expenses</t>
        </is>
      </c>
      <c r="B14" s="5" t="n"/>
      <c r="C14" s="5" t="n">
        <v>-51.2</v>
      </c>
      <c r="D14" s="5" t="n">
        <v>-46.1</v>
      </c>
      <c r="E14" s="5" t="n">
        <v>-42.6</v>
      </c>
      <c r="F14" s="5" t="n">
        <v>-31.3</v>
      </c>
      <c r="Q14" t="inlineStr">
        <is>
          <t>Operating expenses</t>
        </is>
      </c>
      <c r="R14" t="n">
        <v>-31.3</v>
      </c>
      <c r="S14" t="n">
        <v>-42.6</v>
      </c>
      <c r="T14" t="n">
        <v>-46.1</v>
      </c>
      <c r="U14" t="n">
        <v>-51.2</v>
      </c>
    </row>
    <row r="15">
      <c r="A15" s="5" t="inlineStr">
        <is>
          <t>Profit/(loss) for the year</t>
        </is>
      </c>
      <c r="B15" s="5" t="n"/>
      <c r="C15" s="5" t="n">
        <v>18.8</v>
      </c>
      <c r="D15" s="5" t="n">
        <v>32.1</v>
      </c>
      <c r="E15" s="5" t="n">
        <v>5.8</v>
      </c>
      <c r="F15" s="5" t="n">
        <v>-5</v>
      </c>
      <c r="Q15" t="inlineStr">
        <is>
          <t>Profit/(loss) for the year</t>
        </is>
      </c>
      <c r="R15" t="n">
        <v>-5</v>
      </c>
      <c r="S15" t="n">
        <v>5.8</v>
      </c>
      <c r="T15" t="n">
        <v>32.1</v>
      </c>
      <c r="U15" t="n">
        <v>18.8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c r="C19" s="5" t="n">
        <v>359.8</v>
      </c>
      <c r="D19" s="5" t="n">
        <v>346.1</v>
      </c>
      <c r="E19" s="5" t="n">
        <v>300.9</v>
      </c>
      <c r="F19" s="5" t="n">
        <v>287.4</v>
      </c>
      <c r="Y19" t="inlineStr">
        <is>
          <t>Opening equity</t>
        </is>
      </c>
      <c r="Z19" t="n">
        <v>287.4</v>
      </c>
      <c r="AA19" t="n">
        <v>300.9</v>
      </c>
      <c r="AB19" t="n">
        <v>346.1</v>
      </c>
      <c r="AC19" t="n">
        <v>359.8</v>
      </c>
    </row>
    <row r="20">
      <c r="A20" s="5" t="inlineStr">
        <is>
          <t>Total comprehensive income/(loss) for the year</t>
        </is>
      </c>
      <c r="B20" s="5" t="n"/>
      <c r="C20" s="5" t="n">
        <v>1.4</v>
      </c>
      <c r="D20" s="5" t="n">
        <v>31.6</v>
      </c>
      <c r="E20" s="5" t="n">
        <v>9.6</v>
      </c>
      <c r="F20" s="5" t="n">
        <v>10.4</v>
      </c>
      <c r="Y20" t="inlineStr">
        <is>
          <t>Total comprehensive income/(loss) for the year</t>
        </is>
      </c>
      <c r="Z20" t="n">
        <v>10.4</v>
      </c>
      <c r="AA20" t="n">
        <v>9.6</v>
      </c>
      <c r="AB20" t="n">
        <v>31.6</v>
      </c>
      <c r="AC20" t="n">
        <v>1.4</v>
      </c>
    </row>
    <row r="21">
      <c r="A21" s="5" t="inlineStr">
        <is>
          <t>Closing equity</t>
        </is>
      </c>
      <c r="B21" s="5" t="n"/>
      <c r="C21" s="5" t="n">
        <v>367.4</v>
      </c>
      <c r="D21" s="5" t="n">
        <v>359.8</v>
      </c>
      <c r="E21" s="5" t="n">
        <v>346.1</v>
      </c>
      <c r="F21" s="5" t="n">
        <v>300.9</v>
      </c>
      <c r="Y21" t="inlineStr">
        <is>
          <t>Closing equity</t>
        </is>
      </c>
      <c r="Z21" t="n">
        <v>300.9</v>
      </c>
      <c r="AA21" t="n">
        <v>346.1</v>
      </c>
      <c r="AB21" t="n">
        <v>359.8</v>
      </c>
      <c r="AC21" t="n">
        <v>367.4</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AH24" t="inlineStr">
        <is>
          <t>FY2021</t>
        </is>
      </c>
      <c r="AI24" t="inlineStr">
        <is>
          <t>FY2022</t>
        </is>
      </c>
      <c r="AJ24" t="inlineStr">
        <is>
          <t>FY2023</t>
        </is>
      </c>
      <c r="AK24" t="inlineStr">
        <is>
          <t>FY2024</t>
        </is>
      </c>
      <c r="AL24" t="inlineStr">
        <is>
          <t>FY2025</t>
        </is>
      </c>
    </row>
    <row r="25">
      <c r="A25" s="5" t="inlineStr">
        <is>
          <t>Net cash (outflow)/inflow from operating activities</t>
        </is>
      </c>
      <c r="B25" s="5" t="n"/>
      <c r="C25" s="5" t="n">
        <v>-5792.9</v>
      </c>
      <c r="D25" s="5" t="n">
        <v>7492.2</v>
      </c>
      <c r="E25" s="5" t="n">
        <v>232.2</v>
      </c>
      <c r="F25" s="5" t="n">
        <v>252.6</v>
      </c>
      <c r="AG25" t="inlineStr">
        <is>
          <t>Net cash (outflow)/inflow from operating activities</t>
        </is>
      </c>
      <c r="AH25" t="n">
        <v>252.6</v>
      </c>
      <c r="AI25" t="n">
        <v>232.2</v>
      </c>
      <c r="AJ25" t="n">
        <v>7492.2</v>
      </c>
      <c r="AK25" t="n">
        <v>-5792.9</v>
      </c>
    </row>
    <row r="26">
      <c r="A26" s="5" t="inlineStr">
        <is>
          <t>Net cash used in investing activities</t>
        </is>
      </c>
      <c r="B26" s="5" t="n"/>
      <c r="C26" s="5" t="n">
        <v>-0.2</v>
      </c>
      <c r="D26" s="5" t="n">
        <v>-0.4</v>
      </c>
      <c r="E26" s="5" t="n">
        <v>-0</v>
      </c>
      <c r="F26" s="5" t="n">
        <v>-3.6</v>
      </c>
      <c r="AG26" t="inlineStr">
        <is>
          <t>Net cash used in investing activities</t>
        </is>
      </c>
      <c r="AH26" t="n">
        <v>-3.6</v>
      </c>
      <c r="AI26" t="n">
        <v>-0</v>
      </c>
      <c r="AJ26" t="n">
        <v>-0.4</v>
      </c>
      <c r="AK26" t="n">
        <v>-0.2</v>
      </c>
    </row>
    <row r="27">
      <c r="A27" s="5" t="inlineStr">
        <is>
          <t>Net cash used in financing activities</t>
        </is>
      </c>
      <c r="B27" s="5" t="n"/>
      <c r="C27" s="5" t="n">
        <v>-2.5</v>
      </c>
      <c r="D27" s="5" t="n">
        <v>-2.6</v>
      </c>
      <c r="E27" s="5" t="n">
        <v>-1.7</v>
      </c>
      <c r="F27" s="5" t="n">
        <v>-0.1</v>
      </c>
      <c r="AG27" t="inlineStr">
        <is>
          <t>Net cash used in financing activities</t>
        </is>
      </c>
      <c r="AH27" t="n">
        <v>-0.1</v>
      </c>
      <c r="AI27" t="n">
        <v>-1.7</v>
      </c>
      <c r="AJ27" t="n">
        <v>-2.6</v>
      </c>
      <c r="AK27" t="n">
        <v>-2.5</v>
      </c>
    </row>
    <row r="28">
      <c r="A28" s="5" t="inlineStr">
        <is>
          <t>Cash and cash equivalents at end of year</t>
        </is>
      </c>
      <c r="B28" s="5" t="n"/>
      <c r="C28" s="5" t="n">
        <v>5895.8</v>
      </c>
      <c r="D28" s="5" t="n">
        <v>11689.6</v>
      </c>
      <c r="E28" s="5" t="n">
        <v>4402.7</v>
      </c>
      <c r="F28" s="5" t="n">
        <v>4141.2</v>
      </c>
      <c r="AG28" t="inlineStr">
        <is>
          <t>Cash and cash equivalents at end of year</t>
        </is>
      </c>
      <c r="AH28" t="n">
        <v>4141.2</v>
      </c>
      <c r="AI28" t="n">
        <v>4402.7</v>
      </c>
      <c r="AJ28" t="n">
        <v>11689.6</v>
      </c>
      <c r="AK28" t="n">
        <v>5895.8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n"/>
      <c r="C32" s="6" t="inlineStr">
        <is>
          <t>22.18%</t>
        </is>
      </c>
      <c r="D32" s="6" t="inlineStr">
        <is>
          <t>22.74%</t>
        </is>
      </c>
      <c r="E32" s="6" t="inlineStr">
        <is>
          <t>23.65%</t>
        </is>
      </c>
      <c r="F32" s="6" t="inlineStr">
        <is>
          <t>19.22%</t>
        </is>
      </c>
    </row>
    <row r="33">
      <c r="A33" s="6" t="inlineStr">
        <is>
          <t>Tier 1 Ratio</t>
        </is>
      </c>
      <c r="B33" s="6" t="n"/>
      <c r="C33" s="6" t="inlineStr">
        <is>
          <t>22.18%</t>
        </is>
      </c>
      <c r="D33" s="6" t="inlineStr">
        <is>
          <t>22.74%</t>
        </is>
      </c>
      <c r="E33" s="6" t="inlineStr">
        <is>
          <t>23.65%</t>
        </is>
      </c>
      <c r="F33" s="6" t="inlineStr">
        <is>
          <t>19.22%</t>
        </is>
      </c>
    </row>
    <row r="34">
      <c r="A34" s="6" t="inlineStr">
        <is>
          <t>Total Capital Ratio</t>
        </is>
      </c>
      <c r="B34" s="6" t="n"/>
      <c r="C34" s="6" t="inlineStr">
        <is>
          <t>22.18%</t>
        </is>
      </c>
      <c r="D34" s="6" t="inlineStr">
        <is>
          <t>22.74%</t>
        </is>
      </c>
      <c r="E34" s="6" t="inlineStr">
        <is>
          <t>23.65%</t>
        </is>
      </c>
      <c r="F34" s="6" t="inlineStr">
        <is>
          <t>19.22%</t>
        </is>
      </c>
    </row>
    <row r="35">
      <c r="A35" s="6" t="inlineStr">
        <is>
          <t>Leverage Ratio</t>
        </is>
      </c>
      <c r="B35" s="6" t="n"/>
      <c r="C35" s="6" t="inlineStr">
        <is>
          <t>5.02%</t>
        </is>
      </c>
      <c r="D35" s="6" t="inlineStr">
        <is>
          <t>5.28%</t>
        </is>
      </c>
      <c r="E35" s="6" t="inlineStr">
        <is>
          <t>7.17%</t>
        </is>
      </c>
      <c r="F35" s="6" t="inlineStr">
        <is>
          <t>3.52%</t>
        </is>
      </c>
    </row>
    <row r="36">
      <c r="A36" s="6" t="inlineStr">
        <is>
          <t>LCR</t>
        </is>
      </c>
      <c r="B36" s="6" t="n"/>
      <c r="C36" s="6" t="inlineStr">
        <is>
          <t>286.32%</t>
        </is>
      </c>
      <c r="D36" s="6" t="inlineStr">
        <is>
          <t>286.40%</t>
        </is>
      </c>
      <c r="E36" s="6" t="inlineStr">
        <is>
          <t>354.15%</t>
        </is>
      </c>
      <c r="F36" s="6" t="inlineStr">
        <is>
          <t>480.13%</t>
        </is>
      </c>
    </row>
    <row r="37">
      <c r="A37" s="6" t="inlineStr">
        <is>
          <t>NSFR</t>
        </is>
      </c>
      <c r="B37" s="6" t="n"/>
      <c r="C37" s="6" t="inlineStr">
        <is>
          <t>230.91%</t>
        </is>
      </c>
      <c r="D37" s="6" t="inlineStr">
        <is>
          <t>252.78%</t>
        </is>
      </c>
      <c r="E37" s="6" t="inlineStr">
        <is>
          <t>416.49%</t>
        </is>
      </c>
      <c r="F37" s="6" t="inlineStr">
        <is>
          <t>111.16%</t>
        </is>
      </c>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Statement of Financial Position</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Assets</t>
        </is>
      </c>
      <c r="B4" s="6" t="n"/>
      <c r="C4" s="6" t="n"/>
      <c r="D4" s="6" t="n"/>
      <c r="E4" s="6" t="n"/>
      <c r="F4" s="6" t="n"/>
    </row>
    <row r="5">
      <c r="A5" s="6" t="inlineStr">
        <is>
          <t>Cash and cash equivalents</t>
        </is>
      </c>
      <c r="B5" s="6" t="n"/>
      <c r="C5" s="6" t="n">
        <v>5895.8</v>
      </c>
      <c r="D5" s="6" t="n">
        <v>11689.6</v>
      </c>
      <c r="E5" s="6" t="n">
        <v>4402.7</v>
      </c>
      <c r="F5" s="6" t="n">
        <v>4141.2</v>
      </c>
    </row>
    <row r="6">
      <c r="A6" s="6" t="inlineStr">
        <is>
          <t>Placements with banks</t>
        </is>
      </c>
      <c r="B6" s="6" t="n"/>
      <c r="C6" s="6" t="n">
        <v>4528</v>
      </c>
      <c r="D6" s="6" t="n">
        <v>4155.2</v>
      </c>
      <c r="E6" s="6" t="n">
        <v>3026.5</v>
      </c>
      <c r="F6" s="6" t="n">
        <v>2814.7</v>
      </c>
    </row>
    <row r="7">
      <c r="A7" s="6" t="inlineStr">
        <is>
          <t>Trading securities</t>
        </is>
      </c>
      <c r="B7" s="6" t="n"/>
      <c r="C7" s="6" t="n">
        <v>113.3</v>
      </c>
      <c r="D7" s="6" t="n">
        <v>87.8</v>
      </c>
      <c r="E7" s="6" t="n">
        <v>60.8</v>
      </c>
      <c r="F7" s="6" t="n">
        <v>41.8</v>
      </c>
    </row>
    <row r="8">
      <c r="A8" s="6" t="inlineStr">
        <is>
          <t>Derivative financial asset</t>
        </is>
      </c>
      <c r="B8" s="6" t="n"/>
      <c r="C8" s="6" t="n">
        <v>71.2</v>
      </c>
      <c r="D8" s="6" t="n">
        <v>57.9</v>
      </c>
      <c r="E8" s="6" t="n">
        <v>57.5</v>
      </c>
      <c r="F8" s="6" t="n">
        <v>16.6</v>
      </c>
    </row>
    <row r="9">
      <c r="A9" s="6" t="inlineStr">
        <is>
          <t>Debt securities at amortised cost</t>
        </is>
      </c>
      <c r="B9" s="6" t="n"/>
      <c r="C9" s="6" t="n">
        <v>811.4</v>
      </c>
      <c r="D9" s="6" t="n">
        <v>761.4</v>
      </c>
      <c r="E9" s="6" t="n">
        <v>812.7</v>
      </c>
      <c r="F9" s="6" t="n">
        <v>740.9</v>
      </c>
    </row>
    <row r="10">
      <c r="A10" s="6" t="inlineStr">
        <is>
          <t>Property, plant and equipment</t>
        </is>
      </c>
      <c r="B10" s="6" t="n"/>
      <c r="C10" s="6" t="n">
        <v>2.2</v>
      </c>
      <c r="D10" s="6" t="n">
        <v>2.6</v>
      </c>
      <c r="E10" s="6" t="n">
        <v>3.2</v>
      </c>
      <c r="F10" s="6" t="n">
        <v>3.8</v>
      </c>
    </row>
    <row r="11">
      <c r="A11" s="6" t="inlineStr">
        <is>
          <t>Right-of-use assets</t>
        </is>
      </c>
      <c r="B11" s="6" t="n"/>
      <c r="C11" s="6" t="n">
        <v>17.2</v>
      </c>
      <c r="D11" s="6" t="n">
        <v>18.7</v>
      </c>
      <c r="E11" s="6" t="n">
        <v>21.3</v>
      </c>
      <c r="F11" s="6" t="n">
        <v>20.9</v>
      </c>
    </row>
    <row r="12">
      <c r="A12" s="6" t="inlineStr">
        <is>
          <t>Other assets</t>
        </is>
      </c>
      <c r="B12" s="6" t="n"/>
      <c r="C12" s="6" t="n">
        <v>146</v>
      </c>
      <c r="D12" s="6" t="n">
        <v>162.8</v>
      </c>
      <c r="E12" s="6" t="n">
        <v>95.59999999999999</v>
      </c>
      <c r="F12" s="6" t="n">
        <v>41.6</v>
      </c>
    </row>
    <row r="13">
      <c r="A13" s="6" t="inlineStr">
        <is>
          <t>Current tax asset</t>
        </is>
      </c>
      <c r="B13" s="6" t="n"/>
      <c r="C13" s="6" t="n"/>
      <c r="D13" s="6" t="n"/>
      <c r="E13" s="6" t="n">
        <v>0.8</v>
      </c>
      <c r="F13" s="6" t="n">
        <v>0.8</v>
      </c>
    </row>
    <row r="14">
      <c r="A14" s="5" t="inlineStr">
        <is>
          <t>Total assets</t>
        </is>
      </c>
      <c r="B14" s="5" t="n"/>
      <c r="C14" s="5" t="n">
        <v>11585.2</v>
      </c>
      <c r="D14" s="5" t="n">
        <v>16936.1</v>
      </c>
      <c r="E14" s="5" t="n">
        <v>8481.1</v>
      </c>
      <c r="F14" s="5" t="n">
        <v>7822.2</v>
      </c>
    </row>
    <row r="15">
      <c r="A15" s="5" t="inlineStr">
        <is>
          <t>Liabilities</t>
        </is>
      </c>
      <c r="B15" s="6" t="n"/>
      <c r="C15" s="6" t="n"/>
      <c r="D15" s="6" t="n"/>
      <c r="E15" s="6" t="n"/>
      <c r="F15" s="6" t="n"/>
    </row>
    <row r="16">
      <c r="A16" s="6" t="inlineStr">
        <is>
          <t>Deposits from banks</t>
        </is>
      </c>
      <c r="B16" s="6" t="n"/>
      <c r="C16" s="6" t="n">
        <v>926.1</v>
      </c>
      <c r="D16" s="6" t="n">
        <v>60</v>
      </c>
      <c r="E16" s="6" t="n">
        <v>306.7</v>
      </c>
      <c r="F16" s="6" t="n">
        <v>26.2</v>
      </c>
    </row>
    <row r="17">
      <c r="A17" s="6" t="inlineStr">
        <is>
          <t>Deposits from customers</t>
        </is>
      </c>
      <c r="B17" s="6" t="n"/>
      <c r="C17" s="6" t="n">
        <v>10192.1</v>
      </c>
      <c r="D17" s="6" t="n">
        <v>16377.4</v>
      </c>
      <c r="E17" s="6" t="n">
        <v>7707.2</v>
      </c>
      <c r="F17" s="6" t="n">
        <v>7412.3</v>
      </c>
    </row>
    <row r="18">
      <c r="A18" s="6" t="inlineStr">
        <is>
          <t>Derivative financial liability</t>
        </is>
      </c>
      <c r="B18" s="6" t="n"/>
      <c r="C18" s="6" t="n">
        <v>6.2</v>
      </c>
      <c r="D18" s="6" t="n">
        <v>39.3</v>
      </c>
      <c r="E18" s="6" t="n">
        <v>36</v>
      </c>
      <c r="F18" s="6" t="n">
        <v>40.6</v>
      </c>
    </row>
    <row r="19">
      <c r="A19" s="6" t="inlineStr">
        <is>
          <t>Deferred tax liability</t>
        </is>
      </c>
      <c r="B19" s="6" t="n"/>
      <c r="C19" s="6" t="n">
        <v>5</v>
      </c>
      <c r="D19" s="6" t="n">
        <v>9.6</v>
      </c>
      <c r="E19" s="6" t="n">
        <v>4.2</v>
      </c>
      <c r="F19" s="6" t="n">
        <v>1.4</v>
      </c>
    </row>
    <row r="20">
      <c r="A20" s="6" t="inlineStr">
        <is>
          <t>Other liabilities</t>
        </is>
      </c>
      <c r="B20" s="6" t="n"/>
      <c r="C20" s="6" t="n">
        <v>87.2</v>
      </c>
      <c r="D20" s="6" t="n">
        <v>89.40000000000001</v>
      </c>
      <c r="E20" s="6" t="n">
        <v>80.90000000000001</v>
      </c>
      <c r="F20" s="6" t="n">
        <v>40.9</v>
      </c>
    </row>
    <row r="21">
      <c r="A21" s="6" t="inlineStr">
        <is>
          <t>Current tax liabilities</t>
        </is>
      </c>
      <c r="B21" s="6" t="n"/>
      <c r="C21" s="6" t="n">
        <v>1.2</v>
      </c>
      <c r="D21" s="6" t="n">
        <v>0.6</v>
      </c>
      <c r="E21" s="6" t="n"/>
      <c r="F21" s="6" t="n"/>
    </row>
    <row r="22">
      <c r="A22" s="5" t="inlineStr">
        <is>
          <t>Total liabilities</t>
        </is>
      </c>
      <c r="B22" s="5" t="n"/>
      <c r="C22" s="5" t="n">
        <v>11217.8</v>
      </c>
      <c r="D22" s="5" t="n">
        <v>16576.4</v>
      </c>
      <c r="E22" s="5" t="n">
        <v>8135</v>
      </c>
      <c r="F22" s="5" t="n">
        <v>7521.3</v>
      </c>
    </row>
    <row r="23">
      <c r="A23" s="5" t="inlineStr">
        <is>
          <t>Equity</t>
        </is>
      </c>
      <c r="B23" s="6" t="n"/>
      <c r="C23" s="6" t="n"/>
      <c r="D23" s="6" t="n"/>
      <c r="E23" s="6" t="n"/>
      <c r="F23" s="6" t="n"/>
    </row>
    <row r="24">
      <c r="A24" s="6" t="inlineStr">
        <is>
          <t>Share capital</t>
        </is>
      </c>
      <c r="B24" s="6" t="n"/>
      <c r="C24" s="6" t="n">
        <v>199.8</v>
      </c>
      <c r="D24" s="6" t="n">
        <v>196.4</v>
      </c>
      <c r="E24" s="6" t="n">
        <v>206.7</v>
      </c>
      <c r="F24" s="6" t="n">
        <v>184.9</v>
      </c>
    </row>
    <row r="25">
      <c r="A25" s="6" t="inlineStr">
        <is>
          <t>Capital contribution</t>
        </is>
      </c>
      <c r="B25" s="6" t="n"/>
      <c r="C25" s="6" t="n">
        <v>1.8</v>
      </c>
      <c r="D25" s="6" t="n">
        <v>1.8</v>
      </c>
      <c r="E25" s="6" t="n">
        <v>1.9</v>
      </c>
      <c r="F25" s="6" t="n">
        <v>1.7</v>
      </c>
    </row>
    <row r="26">
      <c r="A26" s="6" t="inlineStr">
        <is>
          <t>Cashflow hedge reserve</t>
        </is>
      </c>
      <c r="B26" s="6" t="n"/>
      <c r="C26" s="6" t="n">
        <v>1.5</v>
      </c>
      <c r="D26" s="6" t="n"/>
      <c r="E26" s="6" t="n"/>
      <c r="F26" s="6" t="n"/>
    </row>
    <row r="27">
      <c r="A27" s="6" t="inlineStr">
        <is>
          <t>Pension reserves</t>
        </is>
      </c>
      <c r="B27" s="6" t="n"/>
      <c r="C27" s="6" t="n">
        <v>7</v>
      </c>
      <c r="D27" s="6" t="n">
        <v>25.8</v>
      </c>
      <c r="E27" s="6" t="n">
        <v>27.6</v>
      </c>
      <c r="F27" s="6" t="n">
        <v>21.2</v>
      </c>
    </row>
    <row r="28">
      <c r="A28" s="6" t="inlineStr">
        <is>
          <t>Retained earnings</t>
        </is>
      </c>
      <c r="B28" s="6" t="n"/>
      <c r="C28" s="6" t="n">
        <v>157.3</v>
      </c>
      <c r="D28" s="6" t="n">
        <v>135.8</v>
      </c>
      <c r="E28" s="6" t="n">
        <v>110</v>
      </c>
      <c r="F28" s="6" t="n">
        <v>93.09999999999999</v>
      </c>
    </row>
    <row r="29">
      <c r="A29" s="5" t="inlineStr">
        <is>
          <t>Total equity</t>
        </is>
      </c>
      <c r="B29" s="5" t="n"/>
      <c r="C29" s="5" t="n">
        <v>367.4</v>
      </c>
      <c r="D29" s="5" t="n">
        <v>359.8</v>
      </c>
      <c r="E29" s="5" t="n">
        <v>346.1</v>
      </c>
      <c r="F29" s="5" t="n">
        <v>300.9</v>
      </c>
    </row>
    <row r="30">
      <c r="A30" s="5" t="inlineStr">
        <is>
          <t>Total liabilities and equity</t>
        </is>
      </c>
      <c r="B30" s="5" t="n"/>
      <c r="C30" s="5" t="n">
        <v>11585.2</v>
      </c>
      <c r="D30" s="5" t="n">
        <v>16936.1</v>
      </c>
      <c r="E30" s="5" t="n">
        <v>8481.1</v>
      </c>
      <c r="F30" s="5" t="n">
        <v>7822.2</v>
      </c>
    </row>
    <row r="32" ht="340" customHeight="1">
      <c r="A32" s="8" t="inlineStr">
        <is>
          <t>Sources - Gulf International Bank (UK) Limited's own Statement of Financial Position / Statement of Income (converted from USD to £, see FX conversion note below), transcribed from Companies House filings (FY2024/FY2023 text-native; FY2022/FY2021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2020 spot 1.3661 (FY2021 opening cash only);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Statement of Income</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Income</t>
        </is>
      </c>
      <c r="B4" s="6" t="n"/>
      <c r="C4" s="6" t="n"/>
      <c r="D4" s="6" t="n"/>
      <c r="E4" s="6" t="n"/>
      <c r="F4" s="6" t="n"/>
    </row>
    <row r="5">
      <c r="A5" s="6" t="inlineStr">
        <is>
          <t>Interest income from financial instruments at amortised cost</t>
        </is>
      </c>
      <c r="B5" s="6" t="n"/>
      <c r="C5" s="6" t="n">
        <v>806.4</v>
      </c>
      <c r="D5" s="6" t="n">
        <v>565.1</v>
      </c>
      <c r="E5" s="6" t="n">
        <v>180</v>
      </c>
      <c r="F5" s="6" t="n">
        <v>20.2</v>
      </c>
    </row>
    <row r="6">
      <c r="A6" s="6" t="inlineStr">
        <is>
          <t>Other interest income/(expense)</t>
        </is>
      </c>
      <c r="B6" s="6" t="n"/>
      <c r="C6" s="6" t="n">
        <v>24.2</v>
      </c>
      <c r="D6" s="6" t="n">
        <v>45.9</v>
      </c>
      <c r="E6" s="6" t="n">
        <v>0.3</v>
      </c>
      <c r="F6" s="6" t="n">
        <v>-4.8</v>
      </c>
    </row>
    <row r="7">
      <c r="A7" s="6" t="inlineStr">
        <is>
          <t>Interest expense from financial instruments at amortised cost</t>
        </is>
      </c>
      <c r="B7" s="6" t="n"/>
      <c r="C7" s="6" t="n">
        <v>-772.5</v>
      </c>
      <c r="D7" s="6" t="n">
        <v>-546</v>
      </c>
      <c r="E7" s="6" t="n">
        <v>-149.2</v>
      </c>
      <c r="F7" s="6" t="n">
        <v>-6.6</v>
      </c>
    </row>
    <row r="8">
      <c r="A8" s="5" t="inlineStr">
        <is>
          <t>Net interest income</t>
        </is>
      </c>
      <c r="B8" s="5" t="n"/>
      <c r="C8" s="5" t="n">
        <v>58.1</v>
      </c>
      <c r="D8" s="5" t="n">
        <v>65</v>
      </c>
      <c r="E8" s="5" t="n">
        <v>31.2</v>
      </c>
      <c r="F8" s="5" t="n">
        <v>8.800000000000001</v>
      </c>
    </row>
    <row r="9">
      <c r="A9" s="6" t="inlineStr">
        <is>
          <t>Net fee and commission income</t>
        </is>
      </c>
      <c r="B9" s="6" t="n"/>
      <c r="C9" s="6" t="n">
        <v>4.3</v>
      </c>
      <c r="D9" s="6" t="n">
        <v>2.7</v>
      </c>
      <c r="E9" s="6" t="n">
        <v>1.7</v>
      </c>
      <c r="F9" s="6" t="n">
        <v>2.9</v>
      </c>
    </row>
    <row r="10">
      <c r="A10" s="6" t="inlineStr">
        <is>
          <t>Net trading income/(loss)</t>
        </is>
      </c>
      <c r="B10" s="6" t="n"/>
      <c r="C10" s="6" t="n">
        <v>4.2</v>
      </c>
      <c r="D10" s="6" t="n">
        <v>5.9</v>
      </c>
      <c r="E10" s="6" t="n">
        <v>3.8</v>
      </c>
      <c r="F10" s="6" t="n">
        <v>2.5</v>
      </c>
    </row>
    <row r="11">
      <c r="A11" s="6" t="inlineStr">
        <is>
          <t>Foreign exchange income and revaluation of foreign currencies</t>
        </is>
      </c>
      <c r="B11" s="6" t="n"/>
      <c r="C11" s="6" t="n">
        <v>6.4</v>
      </c>
      <c r="D11" s="6" t="n">
        <v>12.5</v>
      </c>
      <c r="E11" s="6" t="n">
        <v>9.5</v>
      </c>
      <c r="F11" s="6" t="n">
        <v>7.9</v>
      </c>
    </row>
    <row r="12">
      <c r="A12" s="6" t="inlineStr">
        <is>
          <t>Expected credit loss charge/(release) on financial assets</t>
        </is>
      </c>
      <c r="B12" s="6" t="n"/>
      <c r="C12" s="6" t="n">
        <v>0.1</v>
      </c>
      <c r="D12" s="6" t="n">
        <v>-0.2</v>
      </c>
      <c r="E12" s="6" t="n">
        <v>-0.1</v>
      </c>
      <c r="F12" s="6" t="n">
        <v>-0.1</v>
      </c>
    </row>
    <row r="13">
      <c r="A13" s="6" t="inlineStr">
        <is>
          <t>Other operating income/(loss)</t>
        </is>
      </c>
      <c r="B13" s="6" t="n"/>
      <c r="C13" s="6" t="n">
        <v>3.2</v>
      </c>
      <c r="D13" s="6" t="n">
        <v>2.3</v>
      </c>
      <c r="E13" s="6" t="n">
        <v>3.9</v>
      </c>
      <c r="F13" s="6" t="n">
        <v>0.4</v>
      </c>
    </row>
    <row r="14">
      <c r="A14" s="6" t="inlineStr">
        <is>
          <t>Impairment of right-of-use asset</t>
        </is>
      </c>
      <c r="B14" s="6" t="n"/>
      <c r="C14" s="6" t="n"/>
      <c r="D14" s="6" t="n"/>
      <c r="E14" s="6" t="n"/>
      <c r="F14" s="6" t="n">
        <v>-0.9</v>
      </c>
    </row>
    <row r="15">
      <c r="A15" s="6" t="inlineStr">
        <is>
          <t>Operating expenses</t>
        </is>
      </c>
      <c r="B15" s="6" t="n"/>
      <c r="C15" s="6" t="n">
        <v>-51.2</v>
      </c>
      <c r="D15" s="6" t="n">
        <v>-46.1</v>
      </c>
      <c r="E15" s="6" t="n">
        <v>-42.6</v>
      </c>
      <c r="F15" s="6" t="n">
        <v>-31.3</v>
      </c>
    </row>
    <row r="16">
      <c r="A16" s="5" t="inlineStr">
        <is>
          <t>Profit/(loss) before tax</t>
        </is>
      </c>
      <c r="B16" s="5" t="n"/>
      <c r="C16" s="5" t="n">
        <v>25.1</v>
      </c>
      <c r="D16" s="5" t="n">
        <v>42.2</v>
      </c>
      <c r="E16" s="5" t="n">
        <v>7.4</v>
      </c>
      <c r="F16" s="5" t="n">
        <v>-9.9</v>
      </c>
    </row>
    <row r="17">
      <c r="A17" s="6" t="inlineStr">
        <is>
          <t>Income tax (expense)/credit</t>
        </is>
      </c>
      <c r="B17" s="6" t="n"/>
      <c r="C17" s="6" t="n">
        <v>-6.3</v>
      </c>
      <c r="D17" s="6" t="n">
        <v>-10.1</v>
      </c>
      <c r="E17" s="6" t="n">
        <v>-1.6</v>
      </c>
      <c r="F17" s="6" t="n">
        <v>4.8</v>
      </c>
    </row>
    <row r="18">
      <c r="A18" s="5" t="inlineStr">
        <is>
          <t>Profit/(loss) for the year</t>
        </is>
      </c>
      <c r="B18" s="5" t="n"/>
      <c r="C18" s="5" t="n">
        <v>18.8</v>
      </c>
      <c r="D18" s="5" t="n">
        <v>32.1</v>
      </c>
      <c r="E18" s="5" t="n">
        <v>5.8</v>
      </c>
      <c r="F18" s="5" t="n">
        <v>-5</v>
      </c>
    </row>
    <row r="19">
      <c r="A19" s="5" t="inlineStr">
        <is>
          <t>Other comprehensive income</t>
        </is>
      </c>
      <c r="B19" s="6" t="n"/>
      <c r="C19" s="6" t="n"/>
      <c r="D19" s="6" t="n"/>
      <c r="E19" s="6" t="n"/>
      <c r="F19" s="6" t="n"/>
    </row>
    <row r="20">
      <c r="A20" s="6" t="inlineStr">
        <is>
          <t>Net movement in cash flow hedge reserve</t>
        </is>
      </c>
      <c r="B20" s="6" t="n"/>
      <c r="C20" s="6" t="n">
        <v>2</v>
      </c>
      <c r="D20" s="6" t="n"/>
      <c r="E20" s="6" t="n"/>
      <c r="F20" s="6" t="n"/>
    </row>
    <row r="21">
      <c r="A21" s="6" t="inlineStr">
        <is>
          <t>Tax relating to cash flow hedge reserve</t>
        </is>
      </c>
      <c r="B21" s="6" t="n"/>
      <c r="C21" s="6" t="n">
        <v>-0.5</v>
      </c>
      <c r="D21" s="6" t="n"/>
      <c r="E21" s="6" t="n"/>
      <c r="F21" s="6" t="n"/>
    </row>
    <row r="22">
      <c r="A22" s="6" t="inlineStr">
        <is>
          <t>Remeasurement of defined benefit pension fund</t>
        </is>
      </c>
      <c r="B22" s="6" t="n"/>
      <c r="C22" s="6" t="n">
        <v>-25.2</v>
      </c>
      <c r="D22" s="6" t="n">
        <v>-0.3</v>
      </c>
      <c r="E22" s="6" t="n">
        <v>4.9</v>
      </c>
      <c r="F22" s="6" t="n">
        <v>20.9</v>
      </c>
    </row>
    <row r="23">
      <c r="A23" s="6" t="inlineStr">
        <is>
          <t>Tax relating to defined benefit pension</t>
        </is>
      </c>
      <c r="B23" s="6" t="n"/>
      <c r="C23" s="6" t="n">
        <v>6.3</v>
      </c>
      <c r="D23" s="6" t="n">
        <v>-0.1</v>
      </c>
      <c r="E23" s="6" t="n">
        <v>-1.1</v>
      </c>
      <c r="F23" s="6" t="n">
        <v>-5.4</v>
      </c>
    </row>
    <row r="24">
      <c r="A24" s="5" t="inlineStr">
        <is>
          <t>Other comprehensive income for the year, net of tax</t>
        </is>
      </c>
      <c r="B24" s="5" t="n"/>
      <c r="C24" s="5" t="n">
        <v>-17.4</v>
      </c>
      <c r="D24" s="5" t="n">
        <v>-0.4</v>
      </c>
      <c r="E24" s="5" t="n">
        <v>3.8</v>
      </c>
      <c r="F24" s="5" t="n">
        <v>15.4</v>
      </c>
    </row>
    <row r="25">
      <c r="A25" s="5" t="inlineStr">
        <is>
          <t>Total comprehensive income/(loss) for the year</t>
        </is>
      </c>
      <c r="B25" s="5" t="n"/>
      <c r="C25" s="5" t="n">
        <v>1.4</v>
      </c>
      <c r="D25" s="5" t="n">
        <v>31.6</v>
      </c>
      <c r="E25" s="5" t="n">
        <v>9.6</v>
      </c>
      <c r="F25" s="5" t="n">
        <v>10.4</v>
      </c>
    </row>
    <row r="27" ht="340" customHeight="1">
      <c r="A27" s="8" t="inlineStr">
        <is>
          <t>Sources - Gulf International Bank (UK) Limited's own Statement of Financial Position / Statement of Income (converted from USD to £, see FX conversion note below), transcribed from Companies House filings (FY2024/FY2023 text-native; FY2022/FY2021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2020 spot 1.3661 (FY2021 opening cash only);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27:F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Changes in Equity</t>
        </is>
      </c>
    </row>
    <row r="2">
      <c r="A2" s="2" t="inlineStr">
        <is>
          <t>£'000, converted from USD - chronological, oldest to newest. See source note for FX methodology.</t>
        </is>
      </c>
    </row>
    <row r="3">
      <c r="A3" s="4" t="inlineStr">
        <is>
          <t>Movement</t>
        </is>
      </c>
      <c r="B3" s="4" t="inlineStr">
        <is>
          <t>Share capital</t>
        </is>
      </c>
      <c r="C3" s="4" t="inlineStr">
        <is>
          <t>Capital contribution</t>
        </is>
      </c>
      <c r="D3" s="4" t="inlineStr">
        <is>
          <t>Pension reserve</t>
        </is>
      </c>
      <c r="E3" s="4" t="inlineStr">
        <is>
          <t>Cashflow hedge reserve</t>
        </is>
      </c>
      <c r="F3" s="4" t="inlineStr">
        <is>
          <t>Retained earnings</t>
        </is>
      </c>
      <c r="G3" s="4" t="inlineStr">
        <is>
          <t>Total equity</t>
        </is>
      </c>
    </row>
    <row r="4">
      <c r="A4" s="5" t="inlineStr">
        <is>
          <t>At 1 January 2021</t>
        </is>
      </c>
      <c r="B4" s="5" t="n">
        <v>183</v>
      </c>
      <c r="C4" s="5" t="n">
        <v>1.7</v>
      </c>
      <c r="D4" s="5" t="n">
        <v>5.5</v>
      </c>
      <c r="E4" s="5" t="n"/>
      <c r="F4" s="5" t="n">
        <v>97.2</v>
      </c>
      <c r="G4" s="5" t="n">
        <v>287.4</v>
      </c>
    </row>
    <row r="5">
      <c r="A5" s="6" t="inlineStr">
        <is>
          <t>Deferred tax liability on defined benefit pension (FY2021)</t>
        </is>
      </c>
      <c r="B5" s="6" t="n"/>
      <c r="C5" s="6" t="n"/>
      <c r="D5" s="6" t="n">
        <v>-5.4</v>
      </c>
      <c r="E5" s="6" t="n"/>
      <c r="F5" s="6" t="n"/>
      <c r="G5" s="6" t="n">
        <v>-5.4</v>
      </c>
    </row>
    <row r="6">
      <c r="A6" s="6" t="inlineStr">
        <is>
          <t>Pension reserves (FY2021)</t>
        </is>
      </c>
      <c r="B6" s="6" t="n"/>
      <c r="C6" s="6" t="n"/>
      <c r="D6" s="6" t="n">
        <v>20.9</v>
      </c>
      <c r="E6" s="6" t="n"/>
      <c r="F6" s="6" t="n"/>
      <c r="G6" s="6" t="n">
        <v>20.9</v>
      </c>
    </row>
    <row r="7">
      <c r="A7" s="5" t="inlineStr">
        <is>
          <t>Total other comprehensive income (FY2021)</t>
        </is>
      </c>
      <c r="B7" s="5" t="n"/>
      <c r="C7" s="5" t="n"/>
      <c r="D7" s="5" t="n">
        <v>15.4</v>
      </c>
      <c r="E7" s="5" t="n"/>
      <c r="F7" s="5" t="n"/>
      <c r="G7" s="5" t="n">
        <v>15.4</v>
      </c>
    </row>
    <row r="8">
      <c r="A8" s="6" t="inlineStr">
        <is>
          <t>Net loss for the year (FY2021)</t>
        </is>
      </c>
      <c r="B8" s="6" t="n"/>
      <c r="C8" s="6" t="n"/>
      <c r="D8" s="6" t="n"/>
      <c r="E8" s="6" t="n"/>
      <c r="F8" s="6" t="n">
        <v>-5</v>
      </c>
      <c r="G8" s="6" t="n">
        <v>-5</v>
      </c>
    </row>
    <row r="9">
      <c r="A9" s="5" t="inlineStr">
        <is>
          <t>Total comprehensive income for the year (FY2021)</t>
        </is>
      </c>
      <c r="B9" s="5" t="n"/>
      <c r="C9" s="5" t="n"/>
      <c r="D9" s="5" t="n">
        <v>15.4</v>
      </c>
      <c r="E9" s="5" t="n"/>
      <c r="F9" s="5" t="n">
        <v>-5</v>
      </c>
      <c r="G9" s="5" t="n">
        <v>10.4</v>
      </c>
    </row>
    <row r="10">
      <c r="A10" s="6" t="inlineStr">
        <is>
          <t>FX translation effect on equity, net (FY2021)</t>
        </is>
      </c>
      <c r="B10" s="6" t="n"/>
      <c r="C10" s="6" t="n"/>
      <c r="D10" s="6" t="n"/>
      <c r="E10" s="6" t="n"/>
      <c r="F10" s="6" t="n"/>
      <c r="G10" s="6" t="n">
        <v>3.1</v>
      </c>
    </row>
    <row r="11">
      <c r="A11" s="5" t="inlineStr">
        <is>
          <t>At 31 December 2021</t>
        </is>
      </c>
      <c r="B11" s="5" t="n">
        <v>184.9</v>
      </c>
      <c r="C11" s="5" t="n">
        <v>1.7</v>
      </c>
      <c r="D11" s="5" t="n">
        <v>21.2</v>
      </c>
      <c r="E11" s="5" t="n"/>
      <c r="F11" s="5" t="n">
        <v>93.09999999999999</v>
      </c>
      <c r="G11" s="5" t="n">
        <v>300.9</v>
      </c>
    </row>
    <row r="12">
      <c r="A12" s="6" t="inlineStr">
        <is>
          <t>Deferred tax liability on defined benefit pension (FY2022)</t>
        </is>
      </c>
      <c r="B12" s="6" t="n"/>
      <c r="C12" s="6" t="n"/>
      <c r="D12" s="6" t="n">
        <v>-1.1</v>
      </c>
      <c r="E12" s="6" t="n"/>
      <c r="F12" s="6" t="n"/>
      <c r="G12" s="6" t="n">
        <v>-1.1</v>
      </c>
    </row>
    <row r="13">
      <c r="A13" s="6" t="inlineStr">
        <is>
          <t>Pension reserves (FY2022)</t>
        </is>
      </c>
      <c r="B13" s="6" t="n"/>
      <c r="C13" s="6" t="n"/>
      <c r="D13" s="6" t="n">
        <v>4.9</v>
      </c>
      <c r="E13" s="6" t="n"/>
      <c r="F13" s="6" t="n"/>
      <c r="G13" s="6" t="n">
        <v>4.9</v>
      </c>
    </row>
    <row r="14">
      <c r="A14" s="5" t="inlineStr">
        <is>
          <t>Total other comprehensive income (FY2022)</t>
        </is>
      </c>
      <c r="B14" s="5" t="n"/>
      <c r="C14" s="5" t="n"/>
      <c r="D14" s="5" t="n">
        <v>3.8</v>
      </c>
      <c r="E14" s="5" t="n"/>
      <c r="F14" s="5" t="n"/>
      <c r="G14" s="5" t="n">
        <v>3.8</v>
      </c>
    </row>
    <row r="15">
      <c r="A15" s="6" t="inlineStr">
        <is>
          <t>Net profit for the year (FY2022)</t>
        </is>
      </c>
      <c r="B15" s="6" t="n"/>
      <c r="C15" s="6" t="n"/>
      <c r="D15" s="6" t="n"/>
      <c r="E15" s="6" t="n"/>
      <c r="F15" s="6" t="n">
        <v>5.8</v>
      </c>
      <c r="G15" s="6" t="n">
        <v>5.8</v>
      </c>
    </row>
    <row r="16">
      <c r="A16" s="5" t="inlineStr">
        <is>
          <t>Total comprehensive income for the year (FY2022)</t>
        </is>
      </c>
      <c r="B16" s="5" t="n"/>
      <c r="C16" s="5" t="n"/>
      <c r="D16" s="5" t="n">
        <v>3.8</v>
      </c>
      <c r="E16" s="5" t="n"/>
      <c r="F16" s="5" t="n">
        <v>5.8</v>
      </c>
      <c r="G16" s="5" t="n">
        <v>9.6</v>
      </c>
    </row>
    <row r="17">
      <c r="A17" s="6" t="inlineStr">
        <is>
          <t>FX translation effect on equity, net (FY2022)</t>
        </is>
      </c>
      <c r="B17" s="6" t="n"/>
      <c r="C17" s="6" t="n"/>
      <c r="D17" s="6" t="n"/>
      <c r="E17" s="6" t="n"/>
      <c r="F17" s="6" t="n"/>
      <c r="G17" s="6" t="n">
        <v>35.6</v>
      </c>
    </row>
    <row r="18">
      <c r="A18" s="5" t="inlineStr">
        <is>
          <t>At 31 December 2022</t>
        </is>
      </c>
      <c r="B18" s="5" t="n">
        <v>206.7</v>
      </c>
      <c r="C18" s="5" t="n">
        <v>1.9</v>
      </c>
      <c r="D18" s="5" t="n">
        <v>27.6</v>
      </c>
      <c r="E18" s="5" t="n"/>
      <c r="F18" s="5" t="n">
        <v>110</v>
      </c>
      <c r="G18" s="5" t="n">
        <v>346.1</v>
      </c>
    </row>
    <row r="19">
      <c r="A19" s="6" t="inlineStr">
        <is>
          <t>Deferred tax liability on defined benefit pension (FY2023)</t>
        </is>
      </c>
      <c r="B19" s="6" t="n"/>
      <c r="C19" s="6" t="n"/>
      <c r="D19" s="6" t="n">
        <v>-0.1</v>
      </c>
      <c r="E19" s="6" t="n"/>
      <c r="F19" s="6" t="n"/>
      <c r="G19" s="6" t="n">
        <v>-0.1</v>
      </c>
    </row>
    <row r="20">
      <c r="A20" s="6" t="inlineStr">
        <is>
          <t>Pension reserves (FY2023)</t>
        </is>
      </c>
      <c r="B20" s="6" t="n"/>
      <c r="C20" s="6" t="n"/>
      <c r="D20" s="6" t="n">
        <v>-0.3</v>
      </c>
      <c r="E20" s="6" t="n"/>
      <c r="F20" s="6" t="n"/>
      <c r="G20" s="6" t="n">
        <v>-0.3</v>
      </c>
    </row>
    <row r="21">
      <c r="A21" s="5" t="inlineStr">
        <is>
          <t>Total other comprehensive income (FY2023)</t>
        </is>
      </c>
      <c r="B21" s="5" t="n"/>
      <c r="C21" s="5" t="n"/>
      <c r="D21" s="5" t="n">
        <v>-0.4</v>
      </c>
      <c r="E21" s="5" t="n"/>
      <c r="F21" s="5" t="n"/>
      <c r="G21" s="5" t="n">
        <v>-0.4</v>
      </c>
    </row>
    <row r="22">
      <c r="A22" s="6" t="inlineStr">
        <is>
          <t>Net profit for the year (FY2023)</t>
        </is>
      </c>
      <c r="B22" s="6" t="n"/>
      <c r="C22" s="6" t="n"/>
      <c r="D22" s="6" t="n"/>
      <c r="E22" s="6" t="n"/>
      <c r="F22" s="6" t="n">
        <v>32.1</v>
      </c>
      <c r="G22" s="6" t="n">
        <v>32.1</v>
      </c>
    </row>
    <row r="23">
      <c r="A23" s="5" t="inlineStr">
        <is>
          <t>Total comprehensive income for the year (FY2023)</t>
        </is>
      </c>
      <c r="B23" s="5" t="n"/>
      <c r="C23" s="5" t="n"/>
      <c r="D23" s="5" t="n">
        <v>-0.4</v>
      </c>
      <c r="E23" s="5" t="n"/>
      <c r="F23" s="5" t="n">
        <v>32.1</v>
      </c>
      <c r="G23" s="5" t="n">
        <v>31.6</v>
      </c>
    </row>
    <row r="24">
      <c r="A24" s="6" t="inlineStr">
        <is>
          <t>FX translation effect on equity, net (FY2023)</t>
        </is>
      </c>
      <c r="B24" s="6" t="n"/>
      <c r="C24" s="6" t="n"/>
      <c r="D24" s="6" t="n"/>
      <c r="E24" s="6" t="n"/>
      <c r="F24" s="6" t="n"/>
      <c r="G24" s="6" t="n">
        <v>-17.9</v>
      </c>
    </row>
    <row r="25">
      <c r="A25" s="5" t="inlineStr">
        <is>
          <t>At 31 December 2023</t>
        </is>
      </c>
      <c r="B25" s="5" t="n">
        <v>196.4</v>
      </c>
      <c r="C25" s="5" t="n">
        <v>1.8</v>
      </c>
      <c r="D25" s="5" t="n">
        <v>25.8</v>
      </c>
      <c r="E25" s="5" t="n"/>
      <c r="F25" s="5" t="n">
        <v>135.8</v>
      </c>
      <c r="G25" s="5" t="n">
        <v>359.8</v>
      </c>
    </row>
    <row r="26">
      <c r="A26" s="6" t="inlineStr">
        <is>
          <t>Pension reserves (FY2024)</t>
        </is>
      </c>
      <c r="B26" s="6" t="n"/>
      <c r="C26" s="6" t="n"/>
      <c r="D26" s="6" t="n">
        <v>-25.2</v>
      </c>
      <c r="E26" s="6" t="n"/>
      <c r="F26" s="6" t="n"/>
      <c r="G26" s="6" t="n">
        <v>-25.2</v>
      </c>
    </row>
    <row r="27">
      <c r="A27" s="6" t="inlineStr">
        <is>
          <t>Deferred tax liability on defined benefit pension (FY2024)</t>
        </is>
      </c>
      <c r="B27" s="6" t="n"/>
      <c r="C27" s="6" t="n"/>
      <c r="D27" s="6" t="n">
        <v>6.3</v>
      </c>
      <c r="E27" s="6" t="n"/>
      <c r="F27" s="6" t="n"/>
      <c r="G27" s="6" t="n">
        <v>6.3</v>
      </c>
    </row>
    <row r="28">
      <c r="A28" s="6" t="inlineStr">
        <is>
          <t>Net movement in cash flow hedge reserve (FY2024)</t>
        </is>
      </c>
      <c r="B28" s="6" t="n"/>
      <c r="C28" s="6" t="n"/>
      <c r="D28" s="6" t="n"/>
      <c r="E28" s="6" t="n">
        <v>2</v>
      </c>
      <c r="F28" s="6" t="n"/>
      <c r="G28" s="6" t="n">
        <v>2</v>
      </c>
    </row>
    <row r="29">
      <c r="A29" s="6" t="inlineStr">
        <is>
          <t>Tax relating to cash flow hedge reserve (FY2024)</t>
        </is>
      </c>
      <c r="B29" s="6" t="n"/>
      <c r="C29" s="6" t="n"/>
      <c r="D29" s="6" t="n"/>
      <c r="E29" s="6" t="n">
        <v>-0.5</v>
      </c>
      <c r="F29" s="6" t="n"/>
      <c r="G29" s="6" t="n">
        <v>-0.5</v>
      </c>
    </row>
    <row r="30">
      <c r="A30" s="5" t="inlineStr">
        <is>
          <t>Total other comprehensive income (FY2024)</t>
        </is>
      </c>
      <c r="B30" s="5" t="n"/>
      <c r="C30" s="5" t="n"/>
      <c r="D30" s="5" t="n">
        <v>-18.9</v>
      </c>
      <c r="E30" s="5" t="n">
        <v>1.5</v>
      </c>
      <c r="F30" s="5" t="n"/>
      <c r="G30" s="5" t="n">
        <v>-17.4</v>
      </c>
    </row>
    <row r="31">
      <c r="A31" s="6" t="inlineStr">
        <is>
          <t>Net profit for the year (FY2024)</t>
        </is>
      </c>
      <c r="B31" s="6" t="n"/>
      <c r="C31" s="6" t="n"/>
      <c r="D31" s="6" t="n"/>
      <c r="E31" s="6" t="n"/>
      <c r="F31" s="6" t="n">
        <v>18.8</v>
      </c>
      <c r="G31" s="6" t="n">
        <v>18.8</v>
      </c>
    </row>
    <row r="32">
      <c r="A32" s="5" t="inlineStr">
        <is>
          <t>Total comprehensive income for the year (FY2024)</t>
        </is>
      </c>
      <c r="B32" s="5" t="n"/>
      <c r="C32" s="5" t="n"/>
      <c r="D32" s="5" t="n">
        <v>-18.9</v>
      </c>
      <c r="E32" s="5" t="n">
        <v>1.5</v>
      </c>
      <c r="F32" s="5" t="n">
        <v>18.8</v>
      </c>
      <c r="G32" s="5" t="n">
        <v>1.4</v>
      </c>
    </row>
    <row r="33">
      <c r="A33" s="6" t="inlineStr">
        <is>
          <t>FX translation effect on equity, net (FY2024)</t>
        </is>
      </c>
      <c r="B33" s="6" t="n"/>
      <c r="C33" s="6" t="n"/>
      <c r="D33" s="6" t="n"/>
      <c r="E33" s="6" t="n"/>
      <c r="F33" s="6" t="n"/>
      <c r="G33" s="6" t="n">
        <v>6.2</v>
      </c>
    </row>
    <row r="34">
      <c r="A34" s="5" t="inlineStr">
        <is>
          <t>At 31 December 2024</t>
        </is>
      </c>
      <c r="B34" s="5" t="n">
        <v>199.8</v>
      </c>
      <c r="C34" s="5" t="n">
        <v>1.8</v>
      </c>
      <c r="D34" s="5" t="n">
        <v>7</v>
      </c>
      <c r="E34" s="5" t="n">
        <v>1.5</v>
      </c>
      <c r="F34" s="5" t="n">
        <v>157.3</v>
      </c>
      <c r="G34" s="5" t="n">
        <v>367.4</v>
      </c>
    </row>
    <row r="36" ht="340" customHeight="1">
      <c r="A36" s="8" t="inlineStr">
        <is>
          <t>Sources - Gulf International Bank (UK) Limited's own Statement of Financial Position / Statement of Income (converted from USD to £, see FX conversion note below), transcribed from Companies House filings (FY2024/FY2023 text-native; FY2022/FY2021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2020 spot 1.3661 (FY2021 opening cash only);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
FX METHODOLOGY FOR THIS SHEET: opening/closing balances converted at that year-end's spot rate, movement lines at that year's average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 Zero plug rows were needed in USD terms - every year's own closing balance ties exactly to both the next year's own opening balance and that year's Balance Sheet Total equity.</t>
        </is>
      </c>
    </row>
  </sheetData>
  <mergeCells count="1">
    <mergeCell ref="A36:G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Statement of Cash Flow</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cash flows from operating activities</t>
        </is>
      </c>
      <c r="B4" s="6" t="n"/>
      <c r="C4" s="6" t="n"/>
      <c r="D4" s="6" t="n"/>
      <c r="E4" s="6" t="n"/>
      <c r="F4" s="6" t="n"/>
    </row>
    <row r="5">
      <c r="A5" s="6" t="inlineStr">
        <is>
          <t>Profit/(loss) before tax</t>
        </is>
      </c>
      <c r="B5" s="6" t="n"/>
      <c r="C5" s="6" t="n">
        <v>25.1</v>
      </c>
      <c r="D5" s="6" t="n">
        <v>42.2</v>
      </c>
      <c r="E5" s="6" t="n">
        <v>7.4</v>
      </c>
      <c r="F5" s="6" t="n">
        <v>-9.9</v>
      </c>
    </row>
    <row r="6">
      <c r="A6" s="6" t="inlineStr">
        <is>
          <t>Income tax (paid)/received</t>
        </is>
      </c>
      <c r="B6" s="6" t="n"/>
      <c r="C6" s="6" t="n">
        <v>-4.7</v>
      </c>
      <c r="D6" s="6" t="n">
        <v>-3.1</v>
      </c>
      <c r="E6" s="6" t="n">
        <v>0</v>
      </c>
      <c r="F6" s="6" t="n">
        <v>1.7</v>
      </c>
    </row>
    <row r="7">
      <c r="A7" s="6" t="inlineStr">
        <is>
          <t>Depreciation of property and equipment</t>
        </is>
      </c>
      <c r="B7" s="6" t="n"/>
      <c r="C7" s="6" t="n">
        <v>0.7</v>
      </c>
      <c r="D7" s="6" t="n">
        <v>0.9</v>
      </c>
      <c r="E7" s="6" t="n">
        <v>1</v>
      </c>
      <c r="F7" s="6" t="n">
        <v>0.9</v>
      </c>
    </row>
    <row r="8">
      <c r="A8" s="6" t="inlineStr">
        <is>
          <t>Depreciation of ROU assets</t>
        </is>
      </c>
      <c r="B8" s="6" t="n"/>
      <c r="C8" s="6" t="n">
        <v>1.8</v>
      </c>
      <c r="D8" s="6" t="n">
        <v>1.5</v>
      </c>
      <c r="E8" s="6" t="n">
        <v>2</v>
      </c>
      <c r="F8" s="6" t="n">
        <v>1.6</v>
      </c>
    </row>
    <row r="9">
      <c r="A9" s="6" t="inlineStr">
        <is>
          <t>Change in accrued interest receivable</t>
        </is>
      </c>
      <c r="B9" s="6" t="n"/>
      <c r="C9" s="6" t="n">
        <v>-3.2</v>
      </c>
      <c r="D9" s="6" t="n">
        <v>-72.7</v>
      </c>
      <c r="E9" s="6" t="n">
        <v>-38.2</v>
      </c>
      <c r="F9" s="6" t="n">
        <v>7.8</v>
      </c>
    </row>
    <row r="10">
      <c r="A10" s="6" t="inlineStr">
        <is>
          <t>Change in accrued interest payable</t>
        </is>
      </c>
      <c r="B10" s="6" t="n"/>
      <c r="C10" s="6" t="n">
        <v>-3.3</v>
      </c>
      <c r="D10" s="6" t="n">
        <v>5.6</v>
      </c>
      <c r="E10" s="6" t="n">
        <v>36.5</v>
      </c>
      <c r="F10" s="6" t="n">
        <v>-0.5</v>
      </c>
    </row>
    <row r="11">
      <c r="A11" s="6" t="inlineStr">
        <is>
          <t>Change in other net assets (incl. movements to pension reserve)</t>
        </is>
      </c>
      <c r="B11" s="6" t="n"/>
      <c r="C11" s="6" t="n"/>
      <c r="D11" s="6" t="n">
        <v>9.5</v>
      </c>
      <c r="E11" s="6" t="n">
        <v>-55.1</v>
      </c>
      <c r="F11" s="6" t="n">
        <v>-5.4</v>
      </c>
    </row>
    <row r="12">
      <c r="A12" s="6" t="inlineStr">
        <is>
          <t>Change in other operating assets and liabilities</t>
        </is>
      </c>
      <c r="B12" s="6" t="n"/>
      <c r="C12" s="6" t="n">
        <v>-44.5</v>
      </c>
      <c r="D12" s="6" t="n"/>
      <c r="E12" s="6" t="n"/>
      <c r="F12" s="6" t="n"/>
    </row>
    <row r="13">
      <c r="A13" s="6" t="inlineStr">
        <is>
          <t>Change in trading securities</t>
        </is>
      </c>
      <c r="B13" s="6" t="n"/>
      <c r="C13" s="6" t="n">
        <v>-23.5</v>
      </c>
      <c r="D13" s="6" t="n">
        <v>-30.8</v>
      </c>
      <c r="E13" s="6" t="n">
        <v>-13.8</v>
      </c>
      <c r="F13" s="6" t="n">
        <v>-16.8</v>
      </c>
    </row>
    <row r="14">
      <c r="A14" s="6" t="inlineStr">
        <is>
          <t>Change in placements with banks</t>
        </is>
      </c>
      <c r="B14" s="6" t="n"/>
      <c r="C14" s="6" t="n">
        <v>-294.4</v>
      </c>
      <c r="D14" s="6" t="n">
        <v>-1310.1</v>
      </c>
      <c r="E14" s="6" t="n">
        <v>116.9</v>
      </c>
      <c r="F14" s="6" t="n">
        <v>723.2</v>
      </c>
    </row>
    <row r="15">
      <c r="A15" s="6" t="inlineStr">
        <is>
          <t>Change in debt securities at amortised cost/investment securities net</t>
        </is>
      </c>
      <c r="B15" s="6" t="n"/>
      <c r="C15" s="6" t="n"/>
      <c r="D15" s="6" t="n">
        <v>11.2</v>
      </c>
      <c r="E15" s="6" t="n">
        <v>15</v>
      </c>
      <c r="F15" s="6" t="n">
        <v>-526.9</v>
      </c>
    </row>
    <row r="16">
      <c r="A16" s="6" t="inlineStr">
        <is>
          <t>Change in debt securities at amortised cost</t>
        </is>
      </c>
      <c r="B16" s="6" t="n"/>
      <c r="C16" s="6" t="n">
        <v>-36</v>
      </c>
      <c r="D16" s="6" t="n"/>
      <c r="E16" s="6" t="n"/>
      <c r="F16" s="6" t="n"/>
    </row>
    <row r="17">
      <c r="A17" s="6" t="inlineStr">
        <is>
          <t>Change in deposits from banks</t>
        </is>
      </c>
      <c r="B17" s="6" t="n"/>
      <c r="C17" s="6" t="n">
        <v>922.6</v>
      </c>
      <c r="D17" s="6" t="n">
        <v>-430.9</v>
      </c>
      <c r="E17" s="6" t="n">
        <v>723</v>
      </c>
      <c r="F17" s="6" t="n">
        <v>-105.2</v>
      </c>
    </row>
    <row r="18">
      <c r="A18" s="6" t="inlineStr">
        <is>
          <t>Change in deposits from customers</t>
        </is>
      </c>
      <c r="B18" s="6" t="n"/>
      <c r="C18" s="6" t="n">
        <v>-6334.1</v>
      </c>
      <c r="D18" s="6" t="n">
        <v>9267.799999999999</v>
      </c>
      <c r="E18" s="6" t="n">
        <v>-565.2</v>
      </c>
      <c r="F18" s="6" t="n">
        <v>180.2</v>
      </c>
    </row>
    <row r="19">
      <c r="A19" s="6" t="inlineStr">
        <is>
          <t>Finance costs (lease liability)</t>
        </is>
      </c>
      <c r="B19" s="6" t="n"/>
      <c r="C19" s="6" t="n">
        <v>0.8</v>
      </c>
      <c r="D19" s="6" t="n">
        <v>0.9</v>
      </c>
      <c r="E19" s="6" t="n">
        <v>0.9</v>
      </c>
      <c r="F19" s="6" t="n"/>
    </row>
    <row r="20">
      <c r="A20" s="6" t="inlineStr">
        <is>
          <t>Finance costs (lease liability) and FX loss on reval of lease liability</t>
        </is>
      </c>
      <c r="B20" s="6" t="n"/>
      <c r="C20" s="6" t="n"/>
      <c r="D20" s="6" t="n"/>
      <c r="E20" s="6" t="n"/>
      <c r="F20" s="6" t="n">
        <v>0.7</v>
      </c>
    </row>
    <row r="21">
      <c r="A21" s="6" t="inlineStr">
        <is>
          <t>Impairment</t>
        </is>
      </c>
      <c r="B21" s="6" t="n"/>
      <c r="C21" s="6" t="n">
        <v>-0.1</v>
      </c>
      <c r="D21" s="6" t="n">
        <v>0.2</v>
      </c>
      <c r="E21" s="6" t="n">
        <v>0.1</v>
      </c>
      <c r="F21" s="6" t="n">
        <v>0.9</v>
      </c>
    </row>
    <row r="22">
      <c r="A22" s="5" t="inlineStr">
        <is>
          <t>Net cash (outflow)/inflow from operating activities</t>
        </is>
      </c>
      <c r="B22" s="5" t="n"/>
      <c r="C22" s="5" t="n">
        <v>-5792.9</v>
      </c>
      <c r="D22" s="5" t="n">
        <v>7492.2</v>
      </c>
      <c r="E22" s="5" t="n">
        <v>232.2</v>
      </c>
      <c r="F22" s="5" t="n">
        <v>252.6</v>
      </c>
    </row>
    <row r="23">
      <c r="A23" s="5" t="inlineStr">
        <is>
          <t>Cash flows from investing activities</t>
        </is>
      </c>
      <c r="B23" s="6" t="n"/>
      <c r="C23" s="6" t="n"/>
      <c r="D23" s="6" t="n"/>
      <c r="E23" s="6" t="n"/>
      <c r="F23" s="6" t="n"/>
    </row>
    <row r="24">
      <c r="A24" s="6" t="inlineStr">
        <is>
          <t>Net purchase of property and equipment</t>
        </is>
      </c>
      <c r="B24" s="6" t="n"/>
      <c r="C24" s="6" t="n">
        <v>-0.2</v>
      </c>
      <c r="D24" s="6" t="n">
        <v>-0.4</v>
      </c>
      <c r="E24" s="6" t="n">
        <v>-0</v>
      </c>
      <c r="F24" s="6" t="n">
        <v>-3.6</v>
      </c>
    </row>
    <row r="25">
      <c r="A25" s="5" t="inlineStr">
        <is>
          <t>Net cash used in investing activities</t>
        </is>
      </c>
      <c r="B25" s="5" t="n"/>
      <c r="C25" s="5" t="n">
        <v>-0.2</v>
      </c>
      <c r="D25" s="5" t="n">
        <v>-0.4</v>
      </c>
      <c r="E25" s="5" t="n">
        <v>-0</v>
      </c>
      <c r="F25" s="5" t="n">
        <v>-3.6</v>
      </c>
    </row>
    <row r="26">
      <c r="A26" s="5" t="inlineStr">
        <is>
          <t>Cash flows from financing activities</t>
        </is>
      </c>
      <c r="B26" s="6" t="n"/>
      <c r="C26" s="6" t="n"/>
      <c r="D26" s="6" t="n"/>
      <c r="E26" s="6" t="n"/>
      <c r="F26" s="6" t="n"/>
    </row>
    <row r="27">
      <c r="A27" s="6" t="inlineStr">
        <is>
          <t>Payment of principal portion of lease liabilities</t>
        </is>
      </c>
      <c r="B27" s="6" t="n"/>
      <c r="C27" s="6" t="n">
        <v>-2.5</v>
      </c>
      <c r="D27" s="6" t="n">
        <v>-2.6</v>
      </c>
      <c r="E27" s="6" t="n">
        <v>-1.7</v>
      </c>
      <c r="F27" s="6" t="n">
        <v>-0.1</v>
      </c>
    </row>
    <row r="28">
      <c r="A28" s="5" t="inlineStr">
        <is>
          <t>Net cash used in financing activities</t>
        </is>
      </c>
      <c r="B28" s="5" t="n"/>
      <c r="C28" s="5" t="n">
        <v>-2.5</v>
      </c>
      <c r="D28" s="5" t="n">
        <v>-2.6</v>
      </c>
      <c r="E28" s="5" t="n">
        <v>-1.7</v>
      </c>
      <c r="F28" s="5" t="n">
        <v>-0.1</v>
      </c>
    </row>
    <row r="29">
      <c r="A29" s="5" t="inlineStr">
        <is>
          <t>Net (decrease)/increase in cash and cash equivalents</t>
        </is>
      </c>
      <c r="B29" s="5" t="n"/>
      <c r="C29" s="5" t="n">
        <v>-5795.6</v>
      </c>
      <c r="D29" s="5" t="n">
        <v>7489.1</v>
      </c>
      <c r="E29" s="5" t="n">
        <v>230.4</v>
      </c>
      <c r="F29" s="5" t="n">
        <v>248.9</v>
      </c>
    </row>
    <row r="30">
      <c r="A30" s="6" t="inlineStr">
        <is>
          <t>Net foreign exchange difference (as reported, USD)</t>
        </is>
      </c>
      <c r="B30" s="6" t="n"/>
      <c r="C30" s="6" t="n">
        <v>-75.59999999999999</v>
      </c>
      <c r="D30" s="6" t="n">
        <v>194.1</v>
      </c>
      <c r="E30" s="6" t="n">
        <v>-451.6</v>
      </c>
      <c r="F30" s="6" t="n"/>
    </row>
    <row r="31">
      <c r="A31" s="6" t="inlineStr">
        <is>
          <t>Effect of GBP/USD translation (£ conversion artefact - see FX note)</t>
        </is>
      </c>
      <c r="B31" s="6" t="n"/>
      <c r="C31" s="6" t="n">
        <v>77.40000000000001</v>
      </c>
      <c r="D31" s="6" t="n">
        <v>-396.3</v>
      </c>
      <c r="E31" s="6" t="n">
        <v>482.7</v>
      </c>
      <c r="F31" s="6" t="n">
        <v>44.1</v>
      </c>
    </row>
    <row r="32">
      <c r="A32" s="6" t="inlineStr">
        <is>
          <t>Cash and cash equivalents at beginning of year</t>
        </is>
      </c>
      <c r="B32" s="6" t="n"/>
      <c r="C32" s="6" t="n">
        <v>11689.6</v>
      </c>
      <c r="D32" s="6" t="n">
        <v>4402.7</v>
      </c>
      <c r="E32" s="6" t="n">
        <v>4141.2</v>
      </c>
      <c r="F32" s="6" t="n">
        <v>3848.2</v>
      </c>
    </row>
    <row r="33">
      <c r="A33" s="5" t="inlineStr">
        <is>
          <t>Cash and cash equivalents at end of year</t>
        </is>
      </c>
      <c r="B33" s="5" t="n"/>
      <c r="C33" s="5" t="n">
        <v>5895.8</v>
      </c>
      <c r="D33" s="5" t="n">
        <v>11689.6</v>
      </c>
      <c r="E33" s="5" t="n">
        <v>4402.7</v>
      </c>
      <c r="F33" s="5" t="n">
        <v>4141.2</v>
      </c>
    </row>
    <row r="35" ht="340" customHeight="1">
      <c r="A35" s="8" t="inlineStr">
        <is>
          <t>Sources - all figures are Gulf International Bank (UK) Limited's own Statement of Cash Flow (converted from USD to £, see FX conversion note below), transcribed from scanned/image-only Companies House filings (no text layer in any of the 4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4 years' opening-to-closing cash bridges reconcile exactly in USD as originally reported; the £ conversion is exact by construction (translation-effect line computed programmatically, see FX note). FY2021/FY2023/FY2024's operating-activities line items also sum exactly (in USD) to each year's own printed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2020 spot 1.3661 (FY2021 opening cash only);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35:F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Asset Quality</t>
        </is>
      </c>
    </row>
    <row r="2">
      <c r="A2" s="2" t="inlineStr">
        <is>
          <t>£'000, converted from USD - see source note. GIB UK does not lend to customers; credit risk sits in Placements with banks and Debt securities at amortised cost.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Placements with banks - gross carrying amount by IFRS 9 stage</t>
        </is>
      </c>
      <c r="B4" s="6" t="n"/>
      <c r="C4" s="6" t="n"/>
      <c r="D4" s="6" t="n"/>
      <c r="E4" s="6" t="n"/>
      <c r="F4" s="6" t="n"/>
    </row>
    <row r="5">
      <c r="A5" s="6" t="inlineStr">
        <is>
          <t>Stage 1 (Investment grade 1-4)</t>
        </is>
      </c>
      <c r="B5" s="6" t="n"/>
      <c r="C5" s="6" t="n">
        <v>4528.4</v>
      </c>
      <c r="D5" s="6" t="n">
        <v>4155.7</v>
      </c>
      <c r="E5" s="6" t="n">
        <v>3026.6</v>
      </c>
      <c r="F5" s="6" t="n">
        <v>2814.7</v>
      </c>
    </row>
    <row r="6">
      <c r="A6" s="6" t="inlineStr">
        <is>
          <t>Stage 2 (Sub-investment grade 5-7)</t>
        </is>
      </c>
      <c r="B6" s="6" t="n"/>
      <c r="C6" s="6" t="n"/>
      <c r="D6" s="6" t="n"/>
      <c r="E6" s="6" t="n"/>
      <c r="F6" s="6" t="n"/>
    </row>
    <row r="7">
      <c r="A7" s="6" t="inlineStr">
        <is>
          <t>Stage 3 (Classified 8-10)</t>
        </is>
      </c>
      <c r="B7" s="6" t="n"/>
      <c r="C7" s="6" t="n"/>
      <c r="D7" s="6" t="n"/>
      <c r="E7" s="6" t="n"/>
      <c r="F7" s="6" t="n"/>
    </row>
    <row r="8">
      <c r="A8" s="5" t="inlineStr">
        <is>
          <t>Total gross placements with banks</t>
        </is>
      </c>
      <c r="B8" s="5" t="n"/>
      <c r="C8" s="5" t="n">
        <v>4528.4</v>
      </c>
      <c r="D8" s="5" t="n">
        <v>4155.7</v>
      </c>
      <c r="E8" s="5" t="n">
        <v>3026.6</v>
      </c>
      <c r="F8" s="5" t="n">
        <v>2814.7</v>
      </c>
    </row>
    <row r="9">
      <c r="A9" s="6" t="inlineStr">
        <is>
          <t>Less: allowance for impairment losses</t>
        </is>
      </c>
      <c r="B9" s="6" t="n"/>
      <c r="C9" s="6" t="n">
        <v>-0.4</v>
      </c>
      <c r="D9" s="6" t="n">
        <v>-0.5</v>
      </c>
      <c r="E9" s="6" t="n">
        <v>-0.1</v>
      </c>
      <c r="F9" s="6" t="n">
        <v>-0.1</v>
      </c>
    </row>
    <row r="10">
      <c r="A10" s="5" t="inlineStr">
        <is>
          <t>Net placements with banks</t>
        </is>
      </c>
      <c r="B10" s="5" t="n"/>
      <c r="C10" s="5" t="n">
        <v>4528</v>
      </c>
      <c r="D10" s="5" t="n">
        <v>4155.2</v>
      </c>
      <c r="E10" s="5" t="n">
        <v>3026.5</v>
      </c>
      <c r="F10" s="5" t="n">
        <v>2814.7</v>
      </c>
    </row>
    <row r="11">
      <c r="A11" s="5" t="inlineStr">
        <is>
          <t>Debt securities at amortised cost - gross carrying amount by IFRS 9 stage</t>
        </is>
      </c>
      <c r="B11" s="6" t="n"/>
      <c r="C11" s="6" t="n"/>
      <c r="D11" s="6" t="n"/>
      <c r="E11" s="6" t="n"/>
      <c r="F11" s="6" t="n"/>
    </row>
    <row r="12">
      <c r="A12" s="6" t="inlineStr">
        <is>
          <t>Stage 1 (Investment grade 1-4)</t>
        </is>
      </c>
      <c r="B12" s="6" t="n"/>
      <c r="C12" s="6" t="n">
        <v>811.4</v>
      </c>
      <c r="D12" s="6" t="n">
        <v>761.4</v>
      </c>
      <c r="E12" s="6" t="n">
        <v>813.1</v>
      </c>
      <c r="F12" s="6" t="n">
        <v>741.2</v>
      </c>
    </row>
    <row r="13">
      <c r="A13" s="6" t="inlineStr">
        <is>
          <t>Stage 2 (Sub-investment grade 5-7)</t>
        </is>
      </c>
      <c r="B13" s="6" t="n"/>
      <c r="C13" s="6" t="n"/>
      <c r="D13" s="6" t="n"/>
      <c r="E13" s="6" t="n"/>
      <c r="F13" s="6" t="n"/>
    </row>
    <row r="14">
      <c r="A14" s="6" t="inlineStr">
        <is>
          <t>Stage 3 (Classified 8-10)</t>
        </is>
      </c>
      <c r="B14" s="6" t="n"/>
      <c r="C14" s="6" t="n"/>
      <c r="D14" s="6" t="n"/>
      <c r="E14" s="6" t="n"/>
      <c r="F14" s="6" t="n"/>
    </row>
    <row r="15">
      <c r="A15" s="5" t="inlineStr">
        <is>
          <t>Total gross debt securities at amortised cost</t>
        </is>
      </c>
      <c r="B15" s="5" t="n"/>
      <c r="C15" s="5" t="n">
        <v>811.4</v>
      </c>
      <c r="D15" s="5" t="n">
        <v>761.4</v>
      </c>
      <c r="E15" s="5" t="n">
        <v>813.1</v>
      </c>
      <c r="F15" s="5" t="n">
        <v>741.2</v>
      </c>
    </row>
    <row r="16">
      <c r="A16" s="6" t="inlineStr">
        <is>
          <t>Less: allowance for impairment losses</t>
        </is>
      </c>
      <c r="B16" s="6" t="n"/>
      <c r="C16" s="6" t="n">
        <v>-0</v>
      </c>
      <c r="D16" s="6" t="n">
        <v>-0.2</v>
      </c>
      <c r="E16" s="6" t="n">
        <v>-0.4</v>
      </c>
      <c r="F16" s="6" t="n">
        <v>-0.3</v>
      </c>
    </row>
    <row r="17">
      <c r="A17" s="5" t="inlineStr">
        <is>
          <t>Net debt securities at amortised cost</t>
        </is>
      </c>
      <c r="B17" s="5" t="n"/>
      <c r="C17" s="5" t="n">
        <v>811.4</v>
      </c>
      <c r="D17" s="5" t="n">
        <v>761.4</v>
      </c>
      <c r="E17" s="5" t="n">
        <v>812.7</v>
      </c>
      <c r="F17" s="5" t="n">
        <v>740.9</v>
      </c>
    </row>
    <row r="18">
      <c r="A18" s="6" t="inlineStr">
        <is>
          <t>Placements with banks - ECL coverage ratio</t>
        </is>
      </c>
      <c r="B18" s="6" t="n"/>
      <c r="C18" s="6" t="inlineStr">
        <is>
          <t>0.009%</t>
        </is>
      </c>
      <c r="D18" s="6" t="inlineStr">
        <is>
          <t>0.012%</t>
        </is>
      </c>
      <c r="E18" s="6" t="inlineStr">
        <is>
          <t>0.004%</t>
        </is>
      </c>
      <c r="F18" s="6" t="inlineStr">
        <is>
          <t>0.003%</t>
        </is>
      </c>
    </row>
    <row r="19">
      <c r="A19" s="6" t="inlineStr">
        <is>
          <t>Debt securities - ECL coverage ratio</t>
        </is>
      </c>
      <c r="B19" s="6" t="n"/>
      <c r="C19" s="6" t="inlineStr">
        <is>
          <t>0.002%</t>
        </is>
      </c>
      <c r="D19" s="6" t="inlineStr">
        <is>
          <t>0.031%</t>
        </is>
      </c>
      <c r="E19" s="6" t="inlineStr">
        <is>
          <t>0.050%</t>
        </is>
      </c>
      <c r="F19" s="6" t="inlineStr">
        <is>
          <t>0.037%</t>
        </is>
      </c>
    </row>
    <row r="21" ht="340" customHeight="1">
      <c r="A21" s="8" t="inlineStr">
        <is>
          <t>Sources - Gulf International Bank (UK) Limited's own Note 4 (Placements with banks) / Note 6 (Debt securities at amortised cost) IFRS 9 stage and internal-credit-rating tables, converted from USD to £ (see FX conversion note on the Cash Flow Statement sheet):
FY2024/FY2023: Annual Report and Financial Statements 2024, pp.124-128 (Notes 4, 4.1, 6, 6.1) - https://find-and-update.company-information.service.gov.uk/company/01223938/filing-history/MzQ2MTE4ODYxN2FkaXF6a2N4/document?format=pdf&amp;download=0
FY2022: Annual Report and Financial Statements 2023, pp.87-93 (Notes 4, 4.1, 6, 6.1, own FY2022 comparative) - https://find-and-update.company-information.service.gov.uk/company/01223938/filing-history/MzQxNzM5ODc0MWFkaXF6a2N4/document?format=pdf&amp;download=0
FY2021: Annual Report and Financial Statements 2021, pp.68-70 (Notes 4, 4.1, 6, 6.1) - https://find-and-update.company-information.service.gov.uk/company/01223938/filing-history/MzM1NTYyODEwMGFkaXF6a2N4/document?format=pdf&amp;download=0
GIB UK does not lend to customers - confirmed by reading: there is no 'Loans and advances to customers' line anywhere in the Balance Sheet across all 4 years reviewed. Its credit risk instead sits entirely in Placements with banks and Debt securities at amortised cost, each disclosed on the Bank's own internal credit rating scale (Investment grade 1-4 / Sub-investment grade 5-7 / Classified 8-10) cross-referenced to IFRS 9 stage. Every year, both asset classes are 100% Stage 1 / Investment grade 1-4, with no transfers to Stage 2 or 3 disclosed in any year - confirmed by reading each note in full, not assumed from the small ECL charge. ECL coverage ratios are correspondingly minimal (well under 0.1%).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t>
        </is>
      </c>
    </row>
  </sheetData>
  <mergeCells count="1">
    <mergeCell ref="A21:F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348</v>
      </c>
      <c r="D4" s="6" t="n">
        <v>323.3</v>
      </c>
      <c r="E4" s="6" t="n">
        <v>304.6</v>
      </c>
      <c r="F4" s="6" t="n">
        <v>275</v>
      </c>
    </row>
    <row r="5" ht="60" customHeight="1">
      <c r="A5" s="7" t="inlineStr">
        <is>
          <t>Note: GIB UK's regulatory capital consists entirely of CET1 (fully paid-up ordinary shares, capital contribution, and audited retained earnings/reserves) - no AT1 or Tier 2 instruments in any year.</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n"/>
      <c r="C4" s="6" t="inlineStr">
        <is>
          <t>22.18%</t>
        </is>
      </c>
      <c r="D4" s="6" t="inlineStr">
        <is>
          <t>22.74%</t>
        </is>
      </c>
      <c r="E4" s="6" t="inlineStr">
        <is>
          <t>23.65%</t>
        </is>
      </c>
      <c r="F4" s="6" t="inlineStr">
        <is>
          <t>19.22%</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348</v>
      </c>
      <c r="D4" s="6" t="n">
        <v>323.3</v>
      </c>
      <c r="E4" s="6" t="n">
        <v>304.6</v>
      </c>
      <c r="F4" s="6" t="n">
        <v>275</v>
      </c>
    </row>
    <row r="5" ht="60" customHeight="1">
      <c r="A5" s="7" t="inlineStr">
        <is>
          <t>Note: Equal to CET1 capital in every year - the Bank holds no Additional Tier 1 (AT1) instruments.</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22.18%</t>
        </is>
      </c>
      <c r="D4" s="6" t="inlineStr">
        <is>
          <t>22.74%</t>
        </is>
      </c>
      <c r="E4" s="6" t="inlineStr">
        <is>
          <t>23.65%</t>
        </is>
      </c>
      <c r="F4" s="6" t="inlineStr">
        <is>
          <t>19.22%</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348</v>
      </c>
      <c r="D4" s="6" t="n">
        <v>323.3</v>
      </c>
      <c r="E4" s="6" t="n">
        <v>304.6</v>
      </c>
      <c r="F4" s="6" t="n">
        <v>275</v>
      </c>
    </row>
    <row r="5" ht="60" customHeight="1">
      <c r="A5" s="7" t="inlineStr">
        <is>
          <t>Note: Equal to CET1/Tier 1 capital in every year - the Bank holds no AT1 or Tier 2 instruments.</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22.18%</t>
        </is>
      </c>
      <c r="D4" s="6" t="inlineStr">
        <is>
          <t>22.74%</t>
        </is>
      </c>
      <c r="E4" s="6" t="inlineStr">
        <is>
          <t>23.65%</t>
        </is>
      </c>
      <c r="F4" s="6" t="inlineStr">
        <is>
          <t>19.22%</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1569.1</v>
      </c>
      <c r="D4" s="6" t="n">
        <v>1421.6</v>
      </c>
      <c r="E4" s="6" t="n">
        <v>1287.6</v>
      </c>
      <c r="F4" s="6" t="n">
        <v>1429.1</v>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RWA Breakdown</t>
        </is>
      </c>
    </row>
    <row r="2">
      <c r="A2" s="2" t="inlineStr">
        <is>
          <t>£'000, converted from USD - see source note. UK OV1 template.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Credit risk</t>
        </is>
      </c>
      <c r="B4" s="6" t="n"/>
      <c r="C4" s="6" t="n"/>
      <c r="D4" s="6" t="n"/>
      <c r="E4" s="6" t="n"/>
      <c r="F4" s="6" t="n"/>
    </row>
    <row r="5">
      <c r="A5" s="6" t="inlineStr">
        <is>
          <t>Credit risk (excluding CCR) - standardised approach</t>
        </is>
      </c>
      <c r="B5" s="6" t="n"/>
      <c r="C5" s="6" t="n">
        <v>1361.7</v>
      </c>
      <c r="D5" s="6" t="n">
        <v>1247.9</v>
      </c>
      <c r="E5" s="6" t="n">
        <v>1179.5</v>
      </c>
      <c r="F5" s="6" t="n">
        <v>1208</v>
      </c>
    </row>
    <row r="6">
      <c r="A6" s="5" t="inlineStr">
        <is>
          <t>Counterparty credit risk</t>
        </is>
      </c>
      <c r="B6" s="6" t="n"/>
      <c r="C6" s="6" t="n"/>
      <c r="D6" s="6" t="n"/>
      <c r="E6" s="6" t="n"/>
      <c r="F6" s="6" t="n"/>
    </row>
    <row r="7">
      <c r="A7" s="6" t="inlineStr">
        <is>
          <t>Of which credit valuation adjustment (CVA)</t>
        </is>
      </c>
      <c r="B7" s="6" t="n"/>
      <c r="C7" s="6" t="n">
        <v>12</v>
      </c>
      <c r="D7" s="6" t="n">
        <v>16.5</v>
      </c>
      <c r="E7" s="6" t="n">
        <v>17</v>
      </c>
      <c r="F7" s="6" t="n">
        <v>9.300000000000001</v>
      </c>
    </row>
    <row r="8">
      <c r="A8" s="6" t="inlineStr">
        <is>
          <t>Of which other CCR</t>
        </is>
      </c>
      <c r="B8" s="6" t="n"/>
      <c r="C8" s="6" t="n">
        <v>36</v>
      </c>
      <c r="D8" s="6" t="n">
        <v>31.2</v>
      </c>
      <c r="E8" s="6" t="n">
        <v>18</v>
      </c>
      <c r="F8" s="6" t="n">
        <v>17.1</v>
      </c>
    </row>
    <row r="9">
      <c r="A9" s="5" t="inlineStr">
        <is>
          <t>Total counterparty credit risk - CCR</t>
        </is>
      </c>
      <c r="B9" s="5" t="n"/>
      <c r="C9" s="5" t="n">
        <v>48</v>
      </c>
      <c r="D9" s="5" t="n">
        <v>47.7</v>
      </c>
      <c r="E9" s="5" t="n">
        <v>35.1</v>
      </c>
      <c r="F9" s="5" t="n">
        <v>26.4</v>
      </c>
    </row>
    <row r="10">
      <c r="A10" s="5" t="inlineStr">
        <is>
          <t>Market risk</t>
        </is>
      </c>
      <c r="B10" s="6" t="n"/>
      <c r="C10" s="6" t="n"/>
      <c r="D10" s="6" t="n"/>
      <c r="E10" s="6" t="n"/>
      <c r="F10" s="6" t="n"/>
    </row>
    <row r="11">
      <c r="A11" s="6" t="inlineStr">
        <is>
          <t>Position, foreign exchange and commodities risks - standardised approach</t>
        </is>
      </c>
      <c r="B11" s="6" t="n"/>
      <c r="C11" s="6" t="n">
        <v>0.7</v>
      </c>
      <c r="D11" s="6" t="n">
        <v>8.800000000000001</v>
      </c>
      <c r="E11" s="6" t="n">
        <v>1.9</v>
      </c>
      <c r="F11" s="6" t="n">
        <v>123.1</v>
      </c>
    </row>
    <row r="12">
      <c r="A12" s="5" t="inlineStr">
        <is>
          <t>Operational risk</t>
        </is>
      </c>
      <c r="B12" s="6" t="n"/>
      <c r="C12" s="6" t="n"/>
      <c r="D12" s="6" t="n"/>
      <c r="E12" s="6" t="n"/>
      <c r="F12" s="6" t="n"/>
    </row>
    <row r="13">
      <c r="A13" s="6" t="inlineStr">
        <is>
          <t>Operational risk - standardised approach</t>
        </is>
      </c>
      <c r="B13" s="6" t="n"/>
      <c r="C13" s="6" t="n">
        <v>158.8</v>
      </c>
      <c r="D13" s="6" t="n">
        <v>117.2</v>
      </c>
      <c r="E13" s="6" t="n">
        <v>71.09999999999999</v>
      </c>
      <c r="F13" s="6" t="n">
        <v>71.7</v>
      </c>
    </row>
    <row r="14">
      <c r="A14" s="5" t="inlineStr">
        <is>
          <t>Total risk-weighted exposure amount</t>
        </is>
      </c>
      <c r="B14" s="5" t="n"/>
      <c r="C14" s="5" t="n">
        <v>1569.1</v>
      </c>
      <c r="D14" s="5" t="n">
        <v>1421.6</v>
      </c>
      <c r="E14" s="5" t="n">
        <v>1287.6</v>
      </c>
      <c r="F14" s="5" t="n">
        <v>1429.1</v>
      </c>
    </row>
    <row r="16" ht="280" customHeight="1">
      <c r="A16" s="8" t="inlineStr">
        <is>
          <t>Sources - Gulf International Bank (UK) Limited's own UK OV1 (Pillar 1 capital requirements) table, converted from USD to £ (see FX conversion note on the Cash Flow Statement sheet; the underlying $ RWA figures are unconverted regulatory exposure amounts, converted here at spot rate for consistency with the rest of this workbook):
FY2024/FY2023: Pillar 3 Disclosures as at 31 December 2024 (Board-approved), pp.27-28 (section 6.2, UK OV1) - https://gib-am.files.svdcdn.com/production/documents/2024-GIBUK-Pillar-3-disclosures-Board-approved.pdf
FY2022/FY2021: Pillar 3 Disclosures as at 31 December 2022, pp.26-27 (section 6.2, UK OV1) - FY2021 is that document's own T-4/prior-year comparative column - https://web.archive.org/web/20240223164517/https://gibam.com/assets/2022-GIBUK-Pillar-3-disclosures_VF.pdf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t>
        </is>
      </c>
    </row>
  </sheetData>
  <mergeCells count="1">
    <mergeCell ref="A16:F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t>
        </is>
      </c>
      <c r="B4" s="6" t="n"/>
      <c r="C4" s="6" t="n">
        <v>6937.5</v>
      </c>
      <c r="D4" s="6" t="n">
        <v>6122.9</v>
      </c>
      <c r="E4" s="6" t="n">
        <v>4246.3</v>
      </c>
      <c r="F4" s="6" t="n">
        <v>7819.8</v>
      </c>
    </row>
    <row r="5">
      <c r="A5" s="6" t="inlineStr">
        <is>
          <t>Leverage ratio (%)</t>
        </is>
      </c>
      <c r="B5" s="6" t="n"/>
      <c r="C5" s="6" t="inlineStr">
        <is>
          <t>5.02%</t>
        </is>
      </c>
      <c r="D5" s="6" t="inlineStr">
        <is>
          <t>5.28%</t>
        </is>
      </c>
      <c r="E5" s="6" t="inlineStr">
        <is>
          <t>7.17%</t>
        </is>
      </c>
      <c r="F5" s="6" t="inlineStr">
        <is>
          <t>3.52%</t>
        </is>
      </c>
    </row>
    <row r="6" ht="60" customHeight="1">
      <c r="A6" s="7" t="inlineStr">
        <is>
          <t>Note: Basis change: FY2022 onward reports 'Total exposure measure EXCLUDING claims on central banks' (the Bank's own FY2021 report states it was 'not, currently, in scope of the UK Leverage Framework' that introduced this exclusion, effective 1 January 2022); FY2021's figure is the single (unqualified) leverage ratio/exposure measure as originally reported that year, likely on an including-central-bank-claims basis. Each year's own as-reported figure is used rather than forcing a common basis.</t>
        </is>
      </c>
    </row>
    <row r="8" ht="140"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 average liquid assets buffer)</t>
        </is>
      </c>
      <c r="B4" s="6" t="n"/>
      <c r="C4" s="6" t="n">
        <v>6912.4</v>
      </c>
      <c r="D4" s="6" t="n">
        <v>12551.2</v>
      </c>
      <c r="E4" s="6" t="n">
        <v>7604.1</v>
      </c>
      <c r="F4" s="6" t="n">
        <v>4983.2</v>
      </c>
    </row>
    <row r="5">
      <c r="A5" s="6" t="inlineStr">
        <is>
          <t>Total net cash outflows, adjusted value</t>
        </is>
      </c>
      <c r="B5" s="6" t="n"/>
      <c r="C5" s="6" t="n">
        <v>2414.2</v>
      </c>
      <c r="D5" s="6" t="n">
        <v>4382.5</v>
      </c>
      <c r="E5" s="6" t="n">
        <v>2147.1</v>
      </c>
      <c r="F5" s="6" t="n"/>
    </row>
    <row r="6">
      <c r="A6" s="6" t="inlineStr">
        <is>
          <t>Liquidity Coverage Ratio (%)</t>
        </is>
      </c>
      <c r="B6" s="6" t="n"/>
      <c r="C6" s="6" t="inlineStr">
        <is>
          <t>286.32%</t>
        </is>
      </c>
      <c r="D6" s="6" t="inlineStr">
        <is>
          <t>286.40%</t>
        </is>
      </c>
      <c r="E6" s="6" t="inlineStr">
        <is>
          <t>354.15%</t>
        </is>
      </c>
      <c r="F6" s="6" t="inlineStr">
        <is>
          <t>480.13%</t>
        </is>
      </c>
    </row>
    <row r="7" ht="60" customHeight="1">
      <c r="A7" s="7" t="inlineStr">
        <is>
          <t>Note: Methodology differs for FY2021: that year's Pillar 3 report discloses LCR as a quarterly (not annual) average - Q4 2021 is used here as the closest analogue to later years' 12-month-average KM1 figure. FY2021's own 'Average net flows' figure is not directly comparable to later years' 'Total net cash outflows (adjusted value)' definition, so that cell is left blank for FY2021 rather than approximated; the ratio and HQLA-equivalent buffer are shown as reported.</t>
        </is>
      </c>
    </row>
    <row r="9" ht="140"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7:F7"/>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c r="C4" s="6" t="n">
        <v>4106.6</v>
      </c>
      <c r="D4" s="6" t="n">
        <v>3618.7</v>
      </c>
      <c r="E4" s="6" t="n">
        <v>3552.5</v>
      </c>
      <c r="F4" s="6" t="n">
        <v>7773.9</v>
      </c>
    </row>
    <row r="5">
      <c r="A5" s="6" t="inlineStr">
        <is>
          <t>Total required stable funding</t>
        </is>
      </c>
      <c r="B5" s="6" t="n"/>
      <c r="C5" s="6" t="n">
        <v>1778.4</v>
      </c>
      <c r="D5" s="6" t="n">
        <v>1431.6</v>
      </c>
      <c r="E5" s="6" t="n">
        <v>853.1</v>
      </c>
      <c r="F5" s="6" t="n">
        <v>6993.5</v>
      </c>
    </row>
    <row r="6">
      <c r="A6" s="6" t="inlineStr">
        <is>
          <t>Net Stable Funding Ratio (%)</t>
        </is>
      </c>
      <c r="B6" s="6" t="n"/>
      <c r="C6" s="6" t="inlineStr">
        <is>
          <t>230.91%</t>
        </is>
      </c>
      <c r="D6" s="6" t="inlineStr">
        <is>
          <t>252.78%</t>
        </is>
      </c>
      <c r="E6" s="6" t="inlineStr">
        <is>
          <t>416.49%</t>
        </is>
      </c>
      <c r="F6" s="6" t="inlineStr">
        <is>
          <t>111.16%</t>
        </is>
      </c>
    </row>
    <row r="7" ht="60" customHeight="1">
      <c r="A7" s="7" t="inlineStr">
        <is>
          <t>Note: FY2021 is that year's Q4 (year-end) quarterly figure, as originally disclosed in quarterly form; FY2022 onward is each year's single annual KM1 figure.</t>
        </is>
      </c>
    </row>
    <row r="9" ht="140"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separate MREL ratio or instruments disclosed in any year. The Bank's own FY2021 Pillar 3 report explains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t>
        </is>
      </c>
    </row>
    <row r="7" ht="15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FY2025: not yet published as at the time of this workbook's research.</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2026-09-03T09:21:38Z</dcterms:created>
  <dcterms:modified xmlns:dcterms="http://purl.org/dc/terms/" xmlns:xsi="http://www.w3.org/2001/XMLSchema-instance" xsi:type="dcterms:W3CDTF">2026-09-03T09:21:38Z</dcterms:modified>
</cp:coreProperties>
</file>