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8AD47"/>
        <bgColor rgb="0038AD4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'Overview'!AK25</f>
            </strRef>
          </tx>
          <spPr>
            <a:ln xmlns:a="http://schemas.openxmlformats.org/drawingml/2006/main">
              <a:prstDash val="solid"/>
            </a:ln>
          </spPr>
          <cat>
            <numRef>
              <f>'Overview'!$AL$24:$AQ$24</f>
            </numRef>
          </cat>
          <val>
            <numRef>
              <f>'Overview'!$AL$25:$AQ$25</f>
            </numRef>
          </val>
        </ser>
        <ser>
          <idx val="1"/>
          <order val="1"/>
          <tx>
            <strRef>
              <f>'Overview'!AK26</f>
            </strRef>
          </tx>
          <spPr>
            <a:ln xmlns:a="http://schemas.openxmlformats.org/drawingml/2006/main">
              <a:prstDash val="solid"/>
            </a:ln>
          </spPr>
          <cat>
            <numRef>
              <f>'Overview'!$AL$24:$AQ$24</f>
            </numRef>
          </cat>
          <val>
            <numRef>
              <f>'Overview'!$AL$26:$AQ$26</f>
            </numRef>
          </val>
        </ser>
        <ser>
          <idx val="2"/>
          <order val="2"/>
          <tx>
            <strRef>
              <f>'Overview'!AK27</f>
            </strRef>
          </tx>
          <spPr>
            <a:ln xmlns:a="http://schemas.openxmlformats.org/drawingml/2006/main">
              <a:prstDash val="solid"/>
            </a:ln>
          </spPr>
          <cat>
            <numRef>
              <f>'Overview'!$AL$24:$AQ$24</f>
            </numRef>
          </cat>
          <val>
            <numRef>
              <f>'Overview'!$AL$27:$AQ$27</f>
            </numRef>
          </val>
        </ser>
        <ser>
          <idx val="3"/>
          <order val="3"/>
          <tx>
            <strRef>
              <f>'Overview'!AK28</f>
            </strRef>
          </tx>
          <spPr>
            <a:ln xmlns:a="http://schemas.openxmlformats.org/drawingml/2006/main">
              <a:prstDash val="solid"/>
            </a:ln>
          </spPr>
          <cat>
            <numRef>
              <f>'Overview'!$AL$24:$AQ$24</f>
            </numRef>
          </cat>
          <val>
            <numRef>
              <f>'Overview'!$AL$28:$AQ$28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Gulf International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Gulf International Bank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c r="C6" s="5" t="n">
        <v>11585.2</v>
      </c>
      <c r="D6" s="5" t="n">
        <v>16936.1</v>
      </c>
      <c r="E6" s="5" t="n">
        <v>8481.1</v>
      </c>
      <c r="F6" s="5" t="n">
        <v>7822.2</v>
      </c>
      <c r="G6" s="5" t="n">
        <v>7658.8</v>
      </c>
      <c r="J6" t="inlineStr">
        <is>
          <t>Total assets</t>
        </is>
      </c>
      <c r="K6" t="n">
        <v>7658.8</v>
      </c>
      <c r="L6" t="n">
        <v>7822.2</v>
      </c>
      <c r="M6" t="n">
        <v>8481.1</v>
      </c>
      <c r="N6" t="n">
        <v>16936.1</v>
      </c>
      <c r="O6" t="n">
        <v>11585.2</v>
      </c>
      <c r="AT6" t="inlineStr">
        <is>
          <t>CET1 Ratio</t>
        </is>
      </c>
      <c r="AU6" t="n">
        <v>26.48</v>
      </c>
      <c r="AV6" t="n">
        <v>19.22</v>
      </c>
      <c r="AW6" t="n">
        <v>23.65</v>
      </c>
      <c r="AX6" t="n">
        <v>22.74</v>
      </c>
      <c r="AY6" t="n">
        <v>22.18</v>
      </c>
    </row>
    <row r="7">
      <c r="A7" s="5" t="inlineStr">
        <is>
          <t>Placements with banks</t>
        </is>
      </c>
      <c r="B7" s="5" t="n"/>
      <c r="C7" s="5" t="n">
        <v>4528</v>
      </c>
      <c r="D7" s="5" t="n">
        <v>4155.2</v>
      </c>
      <c r="E7" s="5" t="n">
        <v>3026.5</v>
      </c>
      <c r="F7" s="5" t="n">
        <v>2814.7</v>
      </c>
      <c r="G7" s="5" t="n">
        <v>3651.3</v>
      </c>
      <c r="J7" t="inlineStr">
        <is>
          <t>Placements with banks</t>
        </is>
      </c>
      <c r="K7" t="n">
        <v>3651.3</v>
      </c>
      <c r="L7" t="n">
        <v>2814.7</v>
      </c>
      <c r="M7" t="n">
        <v>3026.5</v>
      </c>
      <c r="N7" t="n">
        <v>4155.2</v>
      </c>
      <c r="O7" t="n">
        <v>4528</v>
      </c>
      <c r="AT7" t="inlineStr">
        <is>
          <t>Tier 1 Ratio</t>
        </is>
      </c>
      <c r="AU7" t="n">
        <v>26.48</v>
      </c>
      <c r="AV7" t="n">
        <v>19.22</v>
      </c>
      <c r="AW7" t="n">
        <v>23.65</v>
      </c>
      <c r="AX7" t="n">
        <v>22.74</v>
      </c>
      <c r="AY7" t="n">
        <v>22.18</v>
      </c>
    </row>
    <row r="8">
      <c r="A8" s="5" t="inlineStr">
        <is>
          <t>Deposits from customers</t>
        </is>
      </c>
      <c r="B8" s="5" t="n"/>
      <c r="C8" s="5" t="n">
        <v>10192.1</v>
      </c>
      <c r="D8" s="5" t="n">
        <v>16377.4</v>
      </c>
      <c r="E8" s="5" t="n">
        <v>7707.2</v>
      </c>
      <c r="F8" s="5" t="n">
        <v>7412.3</v>
      </c>
      <c r="G8" s="5" t="n">
        <v>7154.9</v>
      </c>
      <c r="J8" t="inlineStr">
        <is>
          <t>Deposits from customers</t>
        </is>
      </c>
      <c r="K8" t="n">
        <v>7154.9</v>
      </c>
      <c r="L8" t="n">
        <v>7412.3</v>
      </c>
      <c r="M8" t="n">
        <v>7707.2</v>
      </c>
      <c r="N8" t="n">
        <v>16377.4</v>
      </c>
      <c r="O8" t="n">
        <v>10192.1</v>
      </c>
      <c r="AT8" t="inlineStr">
        <is>
          <t>Total Capital Ratio</t>
        </is>
      </c>
      <c r="AU8" t="n">
        <v>26.48</v>
      </c>
      <c r="AV8" t="n">
        <v>19.22</v>
      </c>
      <c r="AW8" t="n">
        <v>23.65</v>
      </c>
      <c r="AX8" t="n">
        <v>22.74</v>
      </c>
      <c r="AY8" t="n">
        <v>22.18</v>
      </c>
    </row>
    <row r="9">
      <c r="A9" s="5" t="inlineStr">
        <is>
          <t>Total equity</t>
        </is>
      </c>
      <c r="B9" s="5" t="n"/>
      <c r="C9" s="5" t="n">
        <v>367.4</v>
      </c>
      <c r="D9" s="5" t="n">
        <v>359.8</v>
      </c>
      <c r="E9" s="5" t="n">
        <v>346.1</v>
      </c>
      <c r="F9" s="5" t="n">
        <v>300.9</v>
      </c>
      <c r="G9" s="5" t="n">
        <v>287.4</v>
      </c>
      <c r="J9" t="inlineStr">
        <is>
          <t>Total equity</t>
        </is>
      </c>
      <c r="K9" t="n">
        <v>287.4</v>
      </c>
      <c r="L9" t="n">
        <v>300.9</v>
      </c>
      <c r="M9" t="n">
        <v>346.1</v>
      </c>
      <c r="N9" t="n">
        <v>359.8</v>
      </c>
      <c r="O9" t="n">
        <v>367.4</v>
      </c>
      <c r="AT9" t="inlineStr">
        <is>
          <t>Leverage Ratio</t>
        </is>
      </c>
      <c r="AU9" t="n">
        <v>4.61</v>
      </c>
      <c r="AV9" t="n">
        <v>3.52</v>
      </c>
      <c r="AW9" t="n">
        <v>7.17</v>
      </c>
      <c r="AX9" t="n">
        <v>5.28</v>
      </c>
      <c r="AY9" t="n">
        <v>5.02</v>
      </c>
    </row>
    <row r="10">
      <c r="AT10" t="inlineStr">
        <is>
          <t>LCR</t>
        </is>
      </c>
      <c r="AU10" t="n">
        <v>290</v>
      </c>
      <c r="AV10" t="n">
        <v>480.13</v>
      </c>
      <c r="AW10" t="n">
        <v>354.15</v>
      </c>
      <c r="AX10" t="n">
        <v>286.4</v>
      </c>
      <c r="AY10" t="n">
        <v>286.32</v>
      </c>
    </row>
    <row r="11">
      <c r="A11" s="3" t="inlineStr">
        <is>
          <t>Profit &amp; Loss Summary (£'000)</t>
        </is>
      </c>
      <c r="AT11" t="inlineStr">
        <is>
          <t>NSFR</t>
        </is>
      </c>
      <c r="AV11" t="n">
        <v>111.16</v>
      </c>
      <c r="AW11" t="n">
        <v>416.49</v>
      </c>
      <c r="AX11" t="n">
        <v>252.78</v>
      </c>
      <c r="AY11" t="n">
        <v>230.91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Net interest income</t>
        </is>
      </c>
      <c r="B13" s="5" t="n"/>
      <c r="C13" s="5" t="n">
        <v>58.1</v>
      </c>
      <c r="D13" s="5" t="n">
        <v>65</v>
      </c>
      <c r="E13" s="5" t="n">
        <v>31.2</v>
      </c>
      <c r="F13" s="5" t="n">
        <v>8.800000000000001</v>
      </c>
      <c r="G13" s="5" t="n">
        <v>11.1</v>
      </c>
      <c r="S13" t="inlineStr">
        <is>
          <t>Net interest income</t>
        </is>
      </c>
      <c r="T13" t="n">
        <v>11.1</v>
      </c>
      <c r="U13" t="n">
        <v>8.800000000000001</v>
      </c>
      <c r="V13" t="n">
        <v>31.2</v>
      </c>
      <c r="W13" t="n">
        <v>65</v>
      </c>
      <c r="X13" t="n">
        <v>58.1</v>
      </c>
    </row>
    <row r="14">
      <c r="A14" s="5" t="inlineStr">
        <is>
          <t>Operating expenses</t>
        </is>
      </c>
      <c r="B14" s="5" t="n"/>
      <c r="C14" s="5" t="n">
        <v>-51.2</v>
      </c>
      <c r="D14" s="5" t="n">
        <v>-46.1</v>
      </c>
      <c r="E14" s="5" t="n">
        <v>-42.6</v>
      </c>
      <c r="F14" s="5" t="n">
        <v>-31.3</v>
      </c>
      <c r="G14" s="5" t="n">
        <v>-30.3</v>
      </c>
      <c r="S14" t="inlineStr">
        <is>
          <t>Operating expenses</t>
        </is>
      </c>
      <c r="T14" t="n">
        <v>-30.3</v>
      </c>
      <c r="U14" t="n">
        <v>-31.3</v>
      </c>
      <c r="V14" t="n">
        <v>-42.6</v>
      </c>
      <c r="W14" t="n">
        <v>-46.1</v>
      </c>
      <c r="X14" t="n">
        <v>-51.2</v>
      </c>
    </row>
    <row r="15">
      <c r="A15" s="5" t="inlineStr">
        <is>
          <t>Profit/(loss) for the year</t>
        </is>
      </c>
      <c r="B15" s="5" t="n"/>
      <c r="C15" s="5" t="n">
        <v>18.8</v>
      </c>
      <c r="D15" s="5" t="n">
        <v>32.1</v>
      </c>
      <c r="E15" s="5" t="n">
        <v>5.8</v>
      </c>
      <c r="F15" s="5" t="n">
        <v>-5</v>
      </c>
      <c r="G15" s="5" t="n">
        <v>-13.1</v>
      </c>
      <c r="S15" t="inlineStr">
        <is>
          <t>Profit/(loss) for the year</t>
        </is>
      </c>
      <c r="T15" t="n">
        <v>-13.1</v>
      </c>
      <c r="U15" t="n">
        <v>-5</v>
      </c>
      <c r="V15" t="n">
        <v>5.8</v>
      </c>
      <c r="W15" t="n">
        <v>32.1</v>
      </c>
      <c r="X15" t="n">
        <v>18.8</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c r="C19" s="5" t="n">
        <v>359.8</v>
      </c>
      <c r="D19" s="5" t="n">
        <v>346.1</v>
      </c>
      <c r="E19" s="5" t="n">
        <v>300.9</v>
      </c>
      <c r="F19" s="5" t="n">
        <v>287.4</v>
      </c>
      <c r="G19" s="5" t="n">
        <v>298.4</v>
      </c>
      <c r="AB19" t="inlineStr">
        <is>
          <t>Opening equity</t>
        </is>
      </c>
      <c r="AC19" t="n">
        <v>298.4</v>
      </c>
      <c r="AD19" t="n">
        <v>287.4</v>
      </c>
      <c r="AE19" t="n">
        <v>300.9</v>
      </c>
      <c r="AF19" t="n">
        <v>346.1</v>
      </c>
      <c r="AG19" t="n">
        <v>359.8</v>
      </c>
    </row>
    <row r="20">
      <c r="A20" s="5" t="inlineStr">
        <is>
          <t>Total comprehensive income/(loss) for the year</t>
        </is>
      </c>
      <c r="B20" s="5" t="n"/>
      <c r="C20" s="5" t="n">
        <v>1.4</v>
      </c>
      <c r="D20" s="5" t="n">
        <v>31.6</v>
      </c>
      <c r="E20" s="5" t="n">
        <v>9.6</v>
      </c>
      <c r="F20" s="5" t="n">
        <v>10.4</v>
      </c>
      <c r="G20" s="5" t="n">
        <v>-1.3</v>
      </c>
      <c r="AB20" t="inlineStr">
        <is>
          <t>Total comprehensive income/(loss) for the year</t>
        </is>
      </c>
      <c r="AC20" t="n">
        <v>-1.3</v>
      </c>
      <c r="AD20" t="n">
        <v>10.4</v>
      </c>
      <c r="AE20" t="n">
        <v>9.6</v>
      </c>
      <c r="AF20" t="n">
        <v>31.6</v>
      </c>
      <c r="AG20" t="n">
        <v>1.4</v>
      </c>
    </row>
    <row r="21">
      <c r="A21" s="5" t="inlineStr">
        <is>
          <t>Closing equity</t>
        </is>
      </c>
      <c r="B21" s="5" t="n"/>
      <c r="C21" s="5" t="n">
        <v>367.4</v>
      </c>
      <c r="D21" s="5" t="n">
        <v>359.8</v>
      </c>
      <c r="E21" s="5" t="n">
        <v>346.1</v>
      </c>
      <c r="F21" s="5" t="n">
        <v>300.9</v>
      </c>
      <c r="G21" s="5" t="n">
        <v>287.4</v>
      </c>
      <c r="AB21" t="inlineStr">
        <is>
          <t>Closing equity</t>
        </is>
      </c>
      <c r="AC21" t="n">
        <v>287.4</v>
      </c>
      <c r="AD21" t="n">
        <v>300.9</v>
      </c>
      <c r="AE21" t="n">
        <v>346.1</v>
      </c>
      <c r="AF21" t="n">
        <v>359.8</v>
      </c>
      <c r="AG21" t="n">
        <v>367.4</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AL24" t="inlineStr">
        <is>
          <t>FY2020</t>
        </is>
      </c>
      <c r="AM24" t="inlineStr">
        <is>
          <t>FY2021</t>
        </is>
      </c>
      <c r="AN24" t="inlineStr">
        <is>
          <t>FY2022</t>
        </is>
      </c>
      <c r="AO24" t="inlineStr">
        <is>
          <t>FY2023</t>
        </is>
      </c>
      <c r="AP24" t="inlineStr">
        <is>
          <t>FY2024</t>
        </is>
      </c>
      <c r="AQ24" t="inlineStr">
        <is>
          <t>FY2025</t>
        </is>
      </c>
    </row>
    <row r="25">
      <c r="A25" s="5" t="inlineStr">
        <is>
          <t>Net cash (outflow)/inflow from operating activities</t>
        </is>
      </c>
      <c r="B25" s="5" t="n"/>
      <c r="C25" s="5" t="n">
        <v>-5792.9</v>
      </c>
      <c r="D25" s="5" t="n">
        <v>7492.2</v>
      </c>
      <c r="E25" s="5" t="n">
        <v>232.2</v>
      </c>
      <c r="F25" s="5" t="n">
        <v>252.6</v>
      </c>
      <c r="G25" s="5" t="n">
        <v>-1249.6</v>
      </c>
      <c r="AK25" t="inlineStr">
        <is>
          <t>Net cash (outflow)/inflow from operating activities</t>
        </is>
      </c>
      <c r="AL25" t="n">
        <v>-1249.6</v>
      </c>
      <c r="AM25" t="n">
        <v>252.6</v>
      </c>
      <c r="AN25" t="n">
        <v>232.2</v>
      </c>
      <c r="AO25" t="n">
        <v>7492.2</v>
      </c>
      <c r="AP25" t="n">
        <v>-5792.9</v>
      </c>
    </row>
    <row r="26">
      <c r="A26" s="5" t="inlineStr">
        <is>
          <t>Net cash used in investing activities</t>
        </is>
      </c>
      <c r="B26" s="5" t="n"/>
      <c r="C26" s="5" t="n">
        <v>-0.2</v>
      </c>
      <c r="D26" s="5" t="n">
        <v>-0.4</v>
      </c>
      <c r="E26" s="5" t="n">
        <v>-0</v>
      </c>
      <c r="F26" s="5" t="n">
        <v>-3.6</v>
      </c>
      <c r="G26" s="5" t="n">
        <v>-0.6</v>
      </c>
      <c r="AK26" t="inlineStr">
        <is>
          <t>Net cash used in investing activities</t>
        </is>
      </c>
      <c r="AL26" t="n">
        <v>-0.6</v>
      </c>
      <c r="AM26" t="n">
        <v>-3.6</v>
      </c>
      <c r="AN26" t="n">
        <v>-0</v>
      </c>
      <c r="AO26" t="n">
        <v>-0.4</v>
      </c>
      <c r="AP26" t="n">
        <v>-0.2</v>
      </c>
    </row>
    <row r="27">
      <c r="A27" s="5" t="inlineStr">
        <is>
          <t>Net cash used in financing activities</t>
        </is>
      </c>
      <c r="B27" s="5" t="n"/>
      <c r="C27" s="5" t="n">
        <v>-2.5</v>
      </c>
      <c r="D27" s="5" t="n">
        <v>-2.6</v>
      </c>
      <c r="E27" s="5" t="n">
        <v>-1.7</v>
      </c>
      <c r="F27" s="5" t="n">
        <v>-0.1</v>
      </c>
      <c r="G27" s="5" t="n">
        <v>-0.6</v>
      </c>
      <c r="AK27" t="inlineStr">
        <is>
          <t>Net cash used in financing activities</t>
        </is>
      </c>
      <c r="AL27" t="n">
        <v>-0.6</v>
      </c>
      <c r="AM27" t="n">
        <v>-0.1</v>
      </c>
      <c r="AN27" t="n">
        <v>-1.7</v>
      </c>
      <c r="AO27" t="n">
        <v>-2.6</v>
      </c>
      <c r="AP27" t="n">
        <v>-2.5</v>
      </c>
    </row>
    <row r="28">
      <c r="A28" s="5" t="inlineStr">
        <is>
          <t>Cash and cash equivalents at end of year</t>
        </is>
      </c>
      <c r="B28" s="5" t="n"/>
      <c r="C28" s="5" t="n">
        <v>5895.8</v>
      </c>
      <c r="D28" s="5" t="n">
        <v>11689.6</v>
      </c>
      <c r="E28" s="5" t="n">
        <v>4402.7</v>
      </c>
      <c r="F28" s="5" t="n">
        <v>4141.2</v>
      </c>
      <c r="G28" s="5" t="n">
        <v>3848.2</v>
      </c>
      <c r="AK28" t="inlineStr">
        <is>
          <t>Cash and cash equivalents at end of year</t>
        </is>
      </c>
      <c r="AL28" t="n">
        <v>3848.2</v>
      </c>
      <c r="AM28" t="n">
        <v>4141.2</v>
      </c>
      <c r="AN28" t="n">
        <v>4402.7</v>
      </c>
      <c r="AO28" t="n">
        <v>11689.6</v>
      </c>
      <c r="AP28" t="n">
        <v>5895.8</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row>
    <row r="32">
      <c r="A32" s="6" t="inlineStr">
        <is>
          <t>CET1 Ratio</t>
        </is>
      </c>
      <c r="B32" s="6" t="n"/>
      <c r="C32" s="6" t="inlineStr">
        <is>
          <t>22.18%</t>
        </is>
      </c>
      <c r="D32" s="6" t="inlineStr">
        <is>
          <t>22.74%</t>
        </is>
      </c>
      <c r="E32" s="6" t="inlineStr">
        <is>
          <t>23.65%</t>
        </is>
      </c>
      <c r="F32" s="6" t="inlineStr">
        <is>
          <t>19.22%</t>
        </is>
      </c>
      <c r="G32" s="6" t="inlineStr">
        <is>
          <t>26.48%</t>
        </is>
      </c>
    </row>
    <row r="33">
      <c r="A33" s="6" t="inlineStr">
        <is>
          <t>Tier 1 Ratio</t>
        </is>
      </c>
      <c r="B33" s="6" t="n"/>
      <c r="C33" s="6" t="inlineStr">
        <is>
          <t>22.18%</t>
        </is>
      </c>
      <c r="D33" s="6" t="inlineStr">
        <is>
          <t>22.74%</t>
        </is>
      </c>
      <c r="E33" s="6" t="inlineStr">
        <is>
          <t>23.65%</t>
        </is>
      </c>
      <c r="F33" s="6" t="inlineStr">
        <is>
          <t>19.22%</t>
        </is>
      </c>
      <c r="G33" s="6" t="inlineStr">
        <is>
          <t>26.48%</t>
        </is>
      </c>
    </row>
    <row r="34">
      <c r="A34" s="6" t="inlineStr">
        <is>
          <t>Total Capital Ratio</t>
        </is>
      </c>
      <c r="B34" s="6" t="n"/>
      <c r="C34" s="6" t="inlineStr">
        <is>
          <t>22.18%</t>
        </is>
      </c>
      <c r="D34" s="6" t="inlineStr">
        <is>
          <t>22.74%</t>
        </is>
      </c>
      <c r="E34" s="6" t="inlineStr">
        <is>
          <t>23.65%</t>
        </is>
      </c>
      <c r="F34" s="6" t="inlineStr">
        <is>
          <t>19.22%</t>
        </is>
      </c>
      <c r="G34" s="6" t="inlineStr">
        <is>
          <t>26.48%</t>
        </is>
      </c>
    </row>
    <row r="35">
      <c r="A35" s="6" t="inlineStr">
        <is>
          <t>Leverage Ratio</t>
        </is>
      </c>
      <c r="B35" s="6" t="n"/>
      <c r="C35" s="6" t="inlineStr">
        <is>
          <t>5.02%</t>
        </is>
      </c>
      <c r="D35" s="6" t="inlineStr">
        <is>
          <t>5.28%</t>
        </is>
      </c>
      <c r="E35" s="6" t="inlineStr">
        <is>
          <t>7.17%</t>
        </is>
      </c>
      <c r="F35" s="6" t="inlineStr">
        <is>
          <t>3.52%</t>
        </is>
      </c>
      <c r="G35" s="6" t="inlineStr">
        <is>
          <t>4.61%</t>
        </is>
      </c>
    </row>
    <row r="36">
      <c r="A36" s="6" t="inlineStr">
        <is>
          <t>LCR</t>
        </is>
      </c>
      <c r="B36" s="6" t="n"/>
      <c r="C36" s="6" t="inlineStr">
        <is>
          <t>286.32%</t>
        </is>
      </c>
      <c r="D36" s="6" t="inlineStr">
        <is>
          <t>286.40%</t>
        </is>
      </c>
      <c r="E36" s="6" t="inlineStr">
        <is>
          <t>354.15%</t>
        </is>
      </c>
      <c r="F36" s="6" t="inlineStr">
        <is>
          <t>480.13%</t>
        </is>
      </c>
      <c r="G36" s="6" t="inlineStr">
        <is>
          <t>290%</t>
        </is>
      </c>
    </row>
    <row r="37">
      <c r="A37" s="6" t="inlineStr">
        <is>
          <t>NSFR</t>
        </is>
      </c>
      <c r="B37" s="6" t="n"/>
      <c r="C37" s="6" t="inlineStr">
        <is>
          <t>230.91%</t>
        </is>
      </c>
      <c r="D37" s="6" t="inlineStr">
        <is>
          <t>252.78%</t>
        </is>
      </c>
      <c r="E37" s="6" t="inlineStr">
        <is>
          <t>416.49%</t>
        </is>
      </c>
      <c r="F37" s="6" t="inlineStr">
        <is>
          <t>111.16%</t>
        </is>
      </c>
      <c r="G37" s="6" t="n"/>
    </row>
    <row r="39" ht="45" customHeight="1">
      <c r="A39" s="7" t="inlineStr">
        <is>
          <t>Note: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is blank throughout (no FY2025 Annual Report or Pillar 3 Disclosure published yet). FY2020's equity roll-forward row alone does not sum to the cent (Opening $394,183k + Total comprehensive income/(loss) -$1,730k = $392,453k, $143k short of the actual $392,596k closing balance) because of a one-off $143k retained-earnings reclassification adjustment disclosed that year (see the Statement of Changes in Equity sheet's own source note) - not an error.</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Financial Position</t>
        </is>
      </c>
    </row>
    <row r="2">
      <c r="A2" s="2" t="inlineStr">
        <is>
          <t>£'000, converted from USD - see source note at bottom for FX methodology and rates used. FY2025 blank (no FY2025 Annual Report filed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5" t="inlineStr">
        <is>
          <t>Assets</t>
        </is>
      </c>
      <c r="B4" s="6" t="n"/>
      <c r="C4" s="6" t="n"/>
      <c r="D4" s="6" t="n"/>
      <c r="E4" s="6" t="n"/>
      <c r="F4" s="6" t="n"/>
      <c r="G4" s="6" t="n"/>
    </row>
    <row r="5">
      <c r="A5" s="6" t="inlineStr">
        <is>
          <t>Cash and cash equivalents</t>
        </is>
      </c>
      <c r="B5" s="6" t="n"/>
      <c r="C5" s="6" t="n">
        <v>5895.8</v>
      </c>
      <c r="D5" s="6" t="n">
        <v>11689.6</v>
      </c>
      <c r="E5" s="6" t="n">
        <v>4402.7</v>
      </c>
      <c r="F5" s="6" t="n">
        <v>4141.2</v>
      </c>
      <c r="G5" s="6" t="n">
        <v>3710.8</v>
      </c>
    </row>
    <row r="6">
      <c r="A6" s="6" t="inlineStr">
        <is>
          <t>Placements with banks</t>
        </is>
      </c>
      <c r="B6" s="6" t="n"/>
      <c r="C6" s="6" t="n">
        <v>4528</v>
      </c>
      <c r="D6" s="6" t="n">
        <v>4155.2</v>
      </c>
      <c r="E6" s="6" t="n">
        <v>3026.5</v>
      </c>
      <c r="F6" s="6" t="n">
        <v>2814.7</v>
      </c>
      <c r="G6" s="6" t="n">
        <v>3651.3</v>
      </c>
    </row>
    <row r="7">
      <c r="A7" s="6" t="inlineStr">
        <is>
          <t>Investment in group entities</t>
        </is>
      </c>
      <c r="B7" s="6" t="n"/>
      <c r="C7" s="6" t="n"/>
      <c r="D7" s="6" t="n"/>
      <c r="E7" s="6" t="n"/>
      <c r="F7" s="6" t="n"/>
      <c r="G7" s="6" t="n">
        <v>0.2</v>
      </c>
    </row>
    <row r="8">
      <c r="A8" s="6" t="inlineStr">
        <is>
          <t>Trading securities</t>
        </is>
      </c>
      <c r="B8" s="6" t="n"/>
      <c r="C8" s="6" t="n">
        <v>113.3</v>
      </c>
      <c r="D8" s="6" t="n">
        <v>87.8</v>
      </c>
      <c r="E8" s="6" t="n">
        <v>60.8</v>
      </c>
      <c r="F8" s="6" t="n">
        <v>41.8</v>
      </c>
      <c r="G8" s="6" t="n">
        <v>24.5</v>
      </c>
    </row>
    <row r="9">
      <c r="A9" s="6" t="inlineStr">
        <is>
          <t>Derivative financial asset</t>
        </is>
      </c>
      <c r="B9" s="6" t="n"/>
      <c r="C9" s="6" t="n">
        <v>71.2</v>
      </c>
      <c r="D9" s="6" t="n">
        <v>57.9</v>
      </c>
      <c r="E9" s="6" t="n">
        <v>57.5</v>
      </c>
      <c r="F9" s="6" t="n">
        <v>16.6</v>
      </c>
      <c r="G9" s="6" t="n">
        <v>11.1</v>
      </c>
    </row>
    <row r="10">
      <c r="A10" s="6" t="inlineStr">
        <is>
          <t>Debt securities at amortised cost</t>
        </is>
      </c>
      <c r="B10" s="6" t="n"/>
      <c r="C10" s="6" t="n">
        <v>811.4</v>
      </c>
      <c r="D10" s="6" t="n">
        <v>761.4</v>
      </c>
      <c r="E10" s="6" t="n">
        <v>812.7</v>
      </c>
      <c r="F10" s="6" t="n">
        <v>740.9</v>
      </c>
      <c r="G10" s="6" t="n">
        <v>202.9</v>
      </c>
    </row>
    <row r="11">
      <c r="A11" s="6" t="inlineStr">
        <is>
          <t>Property, plant and equipment</t>
        </is>
      </c>
      <c r="B11" s="6" t="n"/>
      <c r="C11" s="6" t="n">
        <v>2.2</v>
      </c>
      <c r="D11" s="6" t="n">
        <v>2.6</v>
      </c>
      <c r="E11" s="6" t="n">
        <v>3.2</v>
      </c>
      <c r="F11" s="6" t="n">
        <v>3.8</v>
      </c>
      <c r="G11" s="6" t="n">
        <v>1</v>
      </c>
    </row>
    <row r="12">
      <c r="A12" s="6" t="inlineStr">
        <is>
          <t>Right-of-use assets</t>
        </is>
      </c>
      <c r="B12" s="6" t="n"/>
      <c r="C12" s="6" t="n">
        <v>17.2</v>
      </c>
      <c r="D12" s="6" t="n">
        <v>18.7</v>
      </c>
      <c r="E12" s="6" t="n">
        <v>21.3</v>
      </c>
      <c r="F12" s="6" t="n">
        <v>20.9</v>
      </c>
      <c r="G12" s="6" t="n">
        <v>23.2</v>
      </c>
    </row>
    <row r="13">
      <c r="A13" s="6" t="inlineStr">
        <is>
          <t>Other assets</t>
        </is>
      </c>
      <c r="B13" s="6" t="n"/>
      <c r="C13" s="6" t="n">
        <v>146</v>
      </c>
      <c r="D13" s="6" t="n">
        <v>162.8</v>
      </c>
      <c r="E13" s="6" t="n">
        <v>95.59999999999999</v>
      </c>
      <c r="F13" s="6" t="n">
        <v>41.6</v>
      </c>
      <c r="G13" s="6" t="n">
        <v>31.9</v>
      </c>
    </row>
    <row r="14">
      <c r="A14" s="6" t="inlineStr">
        <is>
          <t>Current tax asset</t>
        </is>
      </c>
      <c r="B14" s="6" t="n"/>
      <c r="C14" s="6" t="n"/>
      <c r="D14" s="6" t="n"/>
      <c r="E14" s="6" t="n">
        <v>0.8</v>
      </c>
      <c r="F14" s="6" t="n">
        <v>0.8</v>
      </c>
      <c r="G14" s="6" t="n">
        <v>1.8</v>
      </c>
    </row>
    <row r="15">
      <c r="A15" s="5" t="inlineStr">
        <is>
          <t>Total assets</t>
        </is>
      </c>
      <c r="B15" s="5" t="n"/>
      <c r="C15" s="5" t="n">
        <v>11585.2</v>
      </c>
      <c r="D15" s="5" t="n">
        <v>16936.1</v>
      </c>
      <c r="E15" s="5" t="n">
        <v>8481.1</v>
      </c>
      <c r="F15" s="5" t="n">
        <v>7822.2</v>
      </c>
      <c r="G15" s="5" t="n">
        <v>7658.8</v>
      </c>
    </row>
    <row r="16">
      <c r="A16" s="5" t="inlineStr">
        <is>
          <t>Liabilities</t>
        </is>
      </c>
      <c r="B16" s="6" t="n"/>
      <c r="C16" s="6" t="n"/>
      <c r="D16" s="6" t="n"/>
      <c r="E16" s="6" t="n"/>
      <c r="F16" s="6" t="n"/>
      <c r="G16" s="6" t="n"/>
    </row>
    <row r="17">
      <c r="A17" s="6" t="inlineStr">
        <is>
          <t>Deposits from banks</t>
        </is>
      </c>
      <c r="B17" s="6" t="n"/>
      <c r="C17" s="6" t="n">
        <v>926.1</v>
      </c>
      <c r="D17" s="6" t="n">
        <v>60</v>
      </c>
      <c r="E17" s="6" t="n">
        <v>306.7</v>
      </c>
      <c r="F17" s="6" t="n">
        <v>26.2</v>
      </c>
      <c r="G17" s="6" t="n">
        <v>131.8</v>
      </c>
    </row>
    <row r="18">
      <c r="A18" s="6" t="inlineStr">
        <is>
          <t>Deposits from customers</t>
        </is>
      </c>
      <c r="B18" s="6" t="n"/>
      <c r="C18" s="6" t="n">
        <v>10192.1</v>
      </c>
      <c r="D18" s="6" t="n">
        <v>16377.4</v>
      </c>
      <c r="E18" s="6" t="n">
        <v>7707.2</v>
      </c>
      <c r="F18" s="6" t="n">
        <v>7412.3</v>
      </c>
      <c r="G18" s="6" t="n">
        <v>7154.9</v>
      </c>
    </row>
    <row r="19">
      <c r="A19" s="6" t="inlineStr">
        <is>
          <t>Derivative financial liability</t>
        </is>
      </c>
      <c r="B19" s="6" t="n"/>
      <c r="C19" s="6" t="n">
        <v>6.2</v>
      </c>
      <c r="D19" s="6" t="n">
        <v>39.3</v>
      </c>
      <c r="E19" s="6" t="n">
        <v>36</v>
      </c>
      <c r="F19" s="6" t="n">
        <v>40.6</v>
      </c>
      <c r="G19" s="6" t="n">
        <v>48.3</v>
      </c>
    </row>
    <row r="20">
      <c r="A20" s="6" t="inlineStr">
        <is>
          <t>Deferred tax liability</t>
        </is>
      </c>
      <c r="B20" s="6" t="n"/>
      <c r="C20" s="6" t="n">
        <v>5</v>
      </c>
      <c r="D20" s="6" t="n">
        <v>9.6</v>
      </c>
      <c r="E20" s="6" t="n">
        <v>4.2</v>
      </c>
      <c r="F20" s="6" t="n">
        <v>1.4</v>
      </c>
      <c r="G20" s="6" t="n"/>
    </row>
    <row r="21">
      <c r="A21" s="6" t="inlineStr">
        <is>
          <t>Other liabilities</t>
        </is>
      </c>
      <c r="B21" s="6" t="n"/>
      <c r="C21" s="6" t="n">
        <v>87.2</v>
      </c>
      <c r="D21" s="6" t="n">
        <v>89.40000000000001</v>
      </c>
      <c r="E21" s="6" t="n">
        <v>80.90000000000001</v>
      </c>
      <c r="F21" s="6" t="n">
        <v>40.9</v>
      </c>
      <c r="G21" s="6" t="n">
        <v>36.4</v>
      </c>
    </row>
    <row r="22">
      <c r="A22" s="6" t="inlineStr">
        <is>
          <t>Current tax liabilities</t>
        </is>
      </c>
      <c r="B22" s="6" t="n"/>
      <c r="C22" s="6" t="n">
        <v>1.2</v>
      </c>
      <c r="D22" s="6" t="n">
        <v>0.6</v>
      </c>
      <c r="E22" s="6" t="n"/>
      <c r="F22" s="6" t="n"/>
      <c r="G22" s="6" t="n"/>
    </row>
    <row r="23">
      <c r="A23" s="5" t="inlineStr">
        <is>
          <t>Total liabilities</t>
        </is>
      </c>
      <c r="B23" s="5" t="n"/>
      <c r="C23" s="5" t="n">
        <v>11217.8</v>
      </c>
      <c r="D23" s="5" t="n">
        <v>16576.4</v>
      </c>
      <c r="E23" s="5" t="n">
        <v>8135</v>
      </c>
      <c r="F23" s="5" t="n">
        <v>7521.3</v>
      </c>
      <c r="G23" s="5" t="n">
        <v>7371.4</v>
      </c>
    </row>
    <row r="24">
      <c r="A24" s="5" t="inlineStr">
        <is>
          <t>Equity</t>
        </is>
      </c>
      <c r="B24" s="6" t="n"/>
      <c r="C24" s="6" t="n"/>
      <c r="D24" s="6" t="n"/>
      <c r="E24" s="6" t="n"/>
      <c r="F24" s="6" t="n"/>
      <c r="G24" s="6" t="n"/>
    </row>
    <row r="25">
      <c r="A25" s="6" t="inlineStr">
        <is>
          <t>Share capital</t>
        </is>
      </c>
      <c r="B25" s="6" t="n"/>
      <c r="C25" s="6" t="n">
        <v>199.8</v>
      </c>
      <c r="D25" s="6" t="n">
        <v>196.4</v>
      </c>
      <c r="E25" s="6" t="n">
        <v>206.7</v>
      </c>
      <c r="F25" s="6" t="n">
        <v>184.9</v>
      </c>
      <c r="G25" s="6" t="n">
        <v>183</v>
      </c>
    </row>
    <row r="26">
      <c r="A26" s="6" t="inlineStr">
        <is>
          <t>Capital contribution</t>
        </is>
      </c>
      <c r="B26" s="6" t="n"/>
      <c r="C26" s="6" t="n">
        <v>1.8</v>
      </c>
      <c r="D26" s="6" t="n">
        <v>1.8</v>
      </c>
      <c r="E26" s="6" t="n">
        <v>1.9</v>
      </c>
      <c r="F26" s="6" t="n">
        <v>1.7</v>
      </c>
      <c r="G26" s="6" t="n">
        <v>1.7</v>
      </c>
    </row>
    <row r="27">
      <c r="A27" s="6" t="inlineStr">
        <is>
          <t>Cashflow hedge reserve</t>
        </is>
      </c>
      <c r="B27" s="6" t="n"/>
      <c r="C27" s="6" t="n">
        <v>1.5</v>
      </c>
      <c r="D27" s="6" t="n"/>
      <c r="E27" s="6" t="n"/>
      <c r="F27" s="6" t="n"/>
      <c r="G27" s="6" t="n"/>
    </row>
    <row r="28">
      <c r="A28" s="6" t="inlineStr">
        <is>
          <t>Pension reserves</t>
        </is>
      </c>
      <c r="B28" s="6" t="n"/>
      <c r="C28" s="6" t="n">
        <v>7</v>
      </c>
      <c r="D28" s="6" t="n">
        <v>25.8</v>
      </c>
      <c r="E28" s="6" t="n">
        <v>27.6</v>
      </c>
      <c r="F28" s="6" t="n">
        <v>21.2</v>
      </c>
      <c r="G28" s="6" t="n">
        <v>5.5</v>
      </c>
    </row>
    <row r="29">
      <c r="A29" s="6" t="inlineStr">
        <is>
          <t>Retained earnings</t>
        </is>
      </c>
      <c r="B29" s="6" t="n"/>
      <c r="C29" s="6" t="n">
        <v>157.3</v>
      </c>
      <c r="D29" s="6" t="n">
        <v>135.8</v>
      </c>
      <c r="E29" s="6" t="n">
        <v>110</v>
      </c>
      <c r="F29" s="6" t="n">
        <v>93.09999999999999</v>
      </c>
      <c r="G29" s="6" t="n">
        <v>97.2</v>
      </c>
    </row>
    <row r="30">
      <c r="A30" s="5" t="inlineStr">
        <is>
          <t>Total equity</t>
        </is>
      </c>
      <c r="B30" s="5" t="n"/>
      <c r="C30" s="5" t="n">
        <v>367.4</v>
      </c>
      <c r="D30" s="5" t="n">
        <v>359.8</v>
      </c>
      <c r="E30" s="5" t="n">
        <v>346.1</v>
      </c>
      <c r="F30" s="5" t="n">
        <v>300.9</v>
      </c>
      <c r="G30" s="5" t="n">
        <v>287.4</v>
      </c>
    </row>
    <row r="31">
      <c r="A31" s="5" t="inlineStr">
        <is>
          <t>Total liabilities and equity</t>
        </is>
      </c>
      <c r="B31" s="5" t="n"/>
      <c r="C31" s="5" t="n">
        <v>11585.2</v>
      </c>
      <c r="D31" s="5" t="n">
        <v>16936.1</v>
      </c>
      <c r="E31" s="5" t="n">
        <v>8481.1</v>
      </c>
      <c r="F31" s="5" t="n">
        <v>7822.2</v>
      </c>
      <c r="G31" s="5" t="n">
        <v>7658.8</v>
      </c>
    </row>
    <row r="33" ht="340" customHeight="1">
      <c r="A33"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£'000 rather than the Bank's native US$'000 presentation is not what's wanted here.</t>
        </is>
      </c>
    </row>
  </sheetData>
  <mergeCells count="1">
    <mergeCell ref="A33:G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Income</t>
        </is>
      </c>
    </row>
    <row r="2">
      <c r="A2" s="2" t="inlineStr">
        <is>
          <t>£'000, converted from USD - see source note at bottom for FX methodology and rates used. FY2025 blank (no FY2025 Annual Report filed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5" t="inlineStr">
        <is>
          <t>Income</t>
        </is>
      </c>
      <c r="B4" s="6" t="n"/>
      <c r="C4" s="6" t="n"/>
      <c r="D4" s="6" t="n"/>
      <c r="E4" s="6" t="n"/>
      <c r="F4" s="6" t="n"/>
      <c r="G4" s="6" t="n"/>
    </row>
    <row r="5">
      <c r="A5" s="6" t="inlineStr">
        <is>
          <t>Interest income from financial instruments at amortised cost</t>
        </is>
      </c>
      <c r="B5" s="6" t="n"/>
      <c r="C5" s="6" t="n">
        <v>806.4</v>
      </c>
      <c r="D5" s="6" t="n">
        <v>565.1</v>
      </c>
      <c r="E5" s="6" t="n">
        <v>180</v>
      </c>
      <c r="F5" s="6" t="n">
        <v>20.2</v>
      </c>
      <c r="G5" s="6" t="n">
        <v>51.7</v>
      </c>
    </row>
    <row r="6">
      <c r="A6" s="6" t="inlineStr">
        <is>
          <t>Other interest income/(expense)</t>
        </is>
      </c>
      <c r="B6" s="6" t="n"/>
      <c r="C6" s="6" t="n">
        <v>24.2</v>
      </c>
      <c r="D6" s="6" t="n">
        <v>45.9</v>
      </c>
      <c r="E6" s="6" t="n">
        <v>0.3</v>
      </c>
      <c r="F6" s="6" t="n">
        <v>-4.8</v>
      </c>
      <c r="G6" s="6" t="n">
        <v>-9.800000000000001</v>
      </c>
    </row>
    <row r="7">
      <c r="A7" s="6" t="inlineStr">
        <is>
          <t>Interest expense from financial instruments at amortised cost</t>
        </is>
      </c>
      <c r="B7" s="6" t="n"/>
      <c r="C7" s="6" t="n">
        <v>-772.5</v>
      </c>
      <c r="D7" s="6" t="n">
        <v>-546</v>
      </c>
      <c r="E7" s="6" t="n">
        <v>-149.2</v>
      </c>
      <c r="F7" s="6" t="n">
        <v>-6.6</v>
      </c>
      <c r="G7" s="6" t="n">
        <v>-30.7</v>
      </c>
    </row>
    <row r="8">
      <c r="A8" s="5" t="inlineStr">
        <is>
          <t>Net interest income</t>
        </is>
      </c>
      <c r="B8" s="5" t="n"/>
      <c r="C8" s="5" t="n">
        <v>58.1</v>
      </c>
      <c r="D8" s="5" t="n">
        <v>65</v>
      </c>
      <c r="E8" s="5" t="n">
        <v>31.2</v>
      </c>
      <c r="F8" s="5" t="n">
        <v>8.800000000000001</v>
      </c>
      <c r="G8" s="5" t="n">
        <v>11.1</v>
      </c>
    </row>
    <row r="9">
      <c r="A9" s="6" t="inlineStr">
        <is>
          <t>Net fee and commission income</t>
        </is>
      </c>
      <c r="B9" s="6" t="n"/>
      <c r="C9" s="6" t="n">
        <v>4.3</v>
      </c>
      <c r="D9" s="6" t="n">
        <v>2.7</v>
      </c>
      <c r="E9" s="6" t="n">
        <v>1.7</v>
      </c>
      <c r="F9" s="6" t="n">
        <v>2.9</v>
      </c>
      <c r="G9" s="6" t="n">
        <v>4</v>
      </c>
    </row>
    <row r="10">
      <c r="A10" s="6" t="inlineStr">
        <is>
          <t>Net trading income/(loss)</t>
        </is>
      </c>
      <c r="B10" s="6" t="n"/>
      <c r="C10" s="6" t="n">
        <v>4.2</v>
      </c>
      <c r="D10" s="6" t="n">
        <v>5.9</v>
      </c>
      <c r="E10" s="6" t="n">
        <v>3.8</v>
      </c>
      <c r="F10" s="6" t="n">
        <v>2.5</v>
      </c>
      <c r="G10" s="6" t="n">
        <v>-3.2</v>
      </c>
    </row>
    <row r="11">
      <c r="A11" s="6" t="inlineStr">
        <is>
          <t>Foreign exchange income and revaluation of foreign currencies</t>
        </is>
      </c>
      <c r="B11" s="6" t="n"/>
      <c r="C11" s="6" t="n">
        <v>6.4</v>
      </c>
      <c r="D11" s="6" t="n">
        <v>12.5</v>
      </c>
      <c r="E11" s="6" t="n">
        <v>9.5</v>
      </c>
      <c r="F11" s="6" t="n">
        <v>7.9</v>
      </c>
      <c r="G11" s="6" t="n">
        <v>8</v>
      </c>
    </row>
    <row r="12">
      <c r="A12" s="6" t="inlineStr">
        <is>
          <t>Expected credit loss charge/(release) on financial assets</t>
        </is>
      </c>
      <c r="B12" s="6" t="n"/>
      <c r="C12" s="6" t="n">
        <v>0.1</v>
      </c>
      <c r="D12" s="6" t="n">
        <v>-0.2</v>
      </c>
      <c r="E12" s="6" t="n">
        <v>-0.1</v>
      </c>
      <c r="F12" s="6" t="n">
        <v>-0.1</v>
      </c>
      <c r="G12" s="6" t="n">
        <v>-0.1</v>
      </c>
    </row>
    <row r="13">
      <c r="A13" s="6" t="inlineStr">
        <is>
          <t>Other operating income/(loss)</t>
        </is>
      </c>
      <c r="B13" s="6" t="n"/>
      <c r="C13" s="6" t="n">
        <v>3.2</v>
      </c>
      <c r="D13" s="6" t="n">
        <v>2.3</v>
      </c>
      <c r="E13" s="6" t="n">
        <v>3.9</v>
      </c>
      <c r="F13" s="6" t="n">
        <v>0.4</v>
      </c>
      <c r="G13" s="6" t="n">
        <v>-4.5</v>
      </c>
    </row>
    <row r="14">
      <c r="A14" s="6" t="inlineStr">
        <is>
          <t>Impairment of right-of-use asset</t>
        </is>
      </c>
      <c r="B14" s="6" t="n"/>
      <c r="C14" s="6" t="n"/>
      <c r="D14" s="6" t="n"/>
      <c r="E14" s="6" t="n"/>
      <c r="F14" s="6" t="n">
        <v>-0.9</v>
      </c>
      <c r="G14" s="6" t="n"/>
    </row>
    <row r="15">
      <c r="A15" s="6" t="inlineStr">
        <is>
          <t>Operating expenses</t>
        </is>
      </c>
      <c r="B15" s="6" t="n"/>
      <c r="C15" s="6" t="n">
        <v>-51.2</v>
      </c>
      <c r="D15" s="6" t="n">
        <v>-46.1</v>
      </c>
      <c r="E15" s="6" t="n">
        <v>-42.6</v>
      </c>
      <c r="F15" s="6" t="n">
        <v>-31.3</v>
      </c>
      <c r="G15" s="6" t="n">
        <v>-30.3</v>
      </c>
    </row>
    <row r="16">
      <c r="A16" s="5" t="inlineStr">
        <is>
          <t>Profit/(loss) before tax</t>
        </is>
      </c>
      <c r="B16" s="5" t="n"/>
      <c r="C16" s="5" t="n">
        <v>25.1</v>
      </c>
      <c r="D16" s="5" t="n">
        <v>42.2</v>
      </c>
      <c r="E16" s="5" t="n">
        <v>7.4</v>
      </c>
      <c r="F16" s="5" t="n">
        <v>-9.9</v>
      </c>
      <c r="G16" s="5" t="n">
        <v>-15</v>
      </c>
    </row>
    <row r="17">
      <c r="A17" s="6" t="inlineStr">
        <is>
          <t>Income tax (expense)/credit</t>
        </is>
      </c>
      <c r="B17" s="6" t="n"/>
      <c r="C17" s="6" t="n">
        <v>-6.3</v>
      </c>
      <c r="D17" s="6" t="n">
        <v>-10.1</v>
      </c>
      <c r="E17" s="6" t="n">
        <v>-1.6</v>
      </c>
      <c r="F17" s="6" t="n">
        <v>4.8</v>
      </c>
      <c r="G17" s="6" t="n">
        <v>1.9</v>
      </c>
    </row>
    <row r="18">
      <c r="A18" s="5" t="inlineStr">
        <is>
          <t>Profit/(loss) for the year</t>
        </is>
      </c>
      <c r="B18" s="5" t="n"/>
      <c r="C18" s="5" t="n">
        <v>18.8</v>
      </c>
      <c r="D18" s="5" t="n">
        <v>32.1</v>
      </c>
      <c r="E18" s="5" t="n">
        <v>5.8</v>
      </c>
      <c r="F18" s="5" t="n">
        <v>-5</v>
      </c>
      <c r="G18" s="5" t="n">
        <v>-13.1</v>
      </c>
    </row>
    <row r="19">
      <c r="A19" s="5" t="inlineStr">
        <is>
          <t>Other comprehensive income</t>
        </is>
      </c>
      <c r="B19" s="6" t="n"/>
      <c r="C19" s="6" t="n"/>
      <c r="D19" s="6" t="n"/>
      <c r="E19" s="6" t="n"/>
      <c r="F19" s="6" t="n"/>
      <c r="G19" s="6" t="n"/>
    </row>
    <row r="20">
      <c r="A20" s="6" t="inlineStr">
        <is>
          <t>Net movement in cash flow hedge reserve</t>
        </is>
      </c>
      <c r="B20" s="6" t="n"/>
      <c r="C20" s="6" t="n">
        <v>2</v>
      </c>
      <c r="D20" s="6" t="n"/>
      <c r="E20" s="6" t="n"/>
      <c r="F20" s="6" t="n"/>
      <c r="G20" s="6" t="n"/>
    </row>
    <row r="21">
      <c r="A21" s="6" t="inlineStr">
        <is>
          <t>Tax relating to cash flow hedge reserve</t>
        </is>
      </c>
      <c r="B21" s="6" t="n"/>
      <c r="C21" s="6" t="n">
        <v>-0.5</v>
      </c>
      <c r="D21" s="6" t="n"/>
      <c r="E21" s="6" t="n"/>
      <c r="F21" s="6" t="n"/>
      <c r="G21" s="6" t="n"/>
    </row>
    <row r="22">
      <c r="A22" s="6" t="inlineStr">
        <is>
          <t>Remeasurement of defined benefit pension fund</t>
        </is>
      </c>
      <c r="B22" s="6" t="n"/>
      <c r="C22" s="6" t="n">
        <v>-25.2</v>
      </c>
      <c r="D22" s="6" t="n">
        <v>-0.3</v>
      </c>
      <c r="E22" s="6" t="n">
        <v>4.9</v>
      </c>
      <c r="F22" s="6" t="n">
        <v>20.9</v>
      </c>
      <c r="G22" s="6" t="n">
        <v>13.6</v>
      </c>
    </row>
    <row r="23">
      <c r="A23" s="6" t="inlineStr">
        <is>
          <t>Tax relating to defined benefit pension</t>
        </is>
      </c>
      <c r="B23" s="6" t="n"/>
      <c r="C23" s="6" t="n">
        <v>6.3</v>
      </c>
      <c r="D23" s="6" t="n">
        <v>-0.1</v>
      </c>
      <c r="E23" s="6" t="n">
        <v>-1.1</v>
      </c>
      <c r="F23" s="6" t="n">
        <v>-5.4</v>
      </c>
      <c r="G23" s="6" t="n">
        <v>-1.9</v>
      </c>
    </row>
    <row r="24">
      <c r="A24" s="5" t="inlineStr">
        <is>
          <t>Other comprehensive income for the year, net of tax</t>
        </is>
      </c>
      <c r="B24" s="5" t="n"/>
      <c r="C24" s="5" t="n">
        <v>-17.4</v>
      </c>
      <c r="D24" s="5" t="n">
        <v>-0.4</v>
      </c>
      <c r="E24" s="5" t="n">
        <v>3.8</v>
      </c>
      <c r="F24" s="5" t="n">
        <v>15.4</v>
      </c>
      <c r="G24" s="5" t="n">
        <v>11.7</v>
      </c>
    </row>
    <row r="25">
      <c r="A25" s="5" t="inlineStr">
        <is>
          <t>Total comprehensive income/(loss) for the year</t>
        </is>
      </c>
      <c r="B25" s="5" t="n"/>
      <c r="C25" s="5" t="n">
        <v>1.4</v>
      </c>
      <c r="D25" s="5" t="n">
        <v>31.6</v>
      </c>
      <c r="E25" s="5" t="n">
        <v>9.6</v>
      </c>
      <c r="F25" s="5" t="n">
        <v>10.4</v>
      </c>
      <c r="G25" s="5" t="n">
        <v>-1.3</v>
      </c>
    </row>
    <row r="27" ht="340" customHeight="1">
      <c r="A27"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£'000 rather than the Bank's native US$'000 presentation is not what's wanted here.</t>
        </is>
      </c>
    </row>
  </sheetData>
  <mergeCells count="1">
    <mergeCell ref="A27:G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Changes in Equity</t>
        </is>
      </c>
    </row>
    <row r="2">
      <c r="A2" s="2" t="inlineStr">
        <is>
          <t>£'000, converted from USD - chronological, oldest to newest. See source note for FX methodology.</t>
        </is>
      </c>
    </row>
    <row r="3">
      <c r="A3" s="4" t="inlineStr">
        <is>
          <t>Movement</t>
        </is>
      </c>
      <c r="B3" s="4" t="inlineStr">
        <is>
          <t>Share capital</t>
        </is>
      </c>
      <c r="C3" s="4" t="inlineStr">
        <is>
          <t>Capital contribution</t>
        </is>
      </c>
      <c r="D3" s="4" t="inlineStr">
        <is>
          <t>Pension reserve</t>
        </is>
      </c>
      <c r="E3" s="4" t="inlineStr">
        <is>
          <t>Cashflow hedge reserve</t>
        </is>
      </c>
      <c r="F3" s="4" t="inlineStr">
        <is>
          <t>Retained earnings</t>
        </is>
      </c>
      <c r="G3" s="4" t="inlineStr">
        <is>
          <t>Total equity</t>
        </is>
      </c>
    </row>
    <row r="4">
      <c r="A4" s="5" t="inlineStr">
        <is>
          <t>At 1 January 2020</t>
        </is>
      </c>
      <c r="B4" s="5" t="n">
        <v>189.3</v>
      </c>
      <c r="C4" s="5" t="n">
        <v>1.7</v>
      </c>
      <c r="D4" s="5" t="n">
        <v>-5.7</v>
      </c>
      <c r="E4" s="5" t="n"/>
      <c r="F4" s="5" t="n">
        <v>113.2</v>
      </c>
      <c r="G4" s="5" t="n">
        <v>298.4</v>
      </c>
    </row>
    <row r="5">
      <c r="A5" s="6" t="inlineStr">
        <is>
          <t>Opening adjustment - GIBUK/GIB AM income reclassification (FY2020)</t>
        </is>
      </c>
      <c r="B5" s="6" t="n"/>
      <c r="C5" s="6" t="n"/>
      <c r="D5" s="6" t="n"/>
      <c r="E5" s="6" t="n"/>
      <c r="F5" s="6" t="n">
        <v>0.1</v>
      </c>
      <c r="G5" s="6" t="n">
        <v>0.1</v>
      </c>
    </row>
    <row r="6">
      <c r="A6" s="6" t="inlineStr">
        <is>
          <t>Deferred tax liability on defined benefit pension (FY2020)</t>
        </is>
      </c>
      <c r="B6" s="6" t="n"/>
      <c r="C6" s="6" t="n"/>
      <c r="D6" s="6" t="n">
        <v>-1.9</v>
      </c>
      <c r="E6" s="6" t="n"/>
      <c r="F6" s="6" t="n"/>
      <c r="G6" s="6" t="n">
        <v>-1.9</v>
      </c>
    </row>
    <row r="7">
      <c r="A7" s="6" t="inlineStr">
        <is>
          <t>Pension reserves (FY2020)</t>
        </is>
      </c>
      <c r="B7" s="6" t="n"/>
      <c r="C7" s="6" t="n"/>
      <c r="D7" s="6" t="n">
        <v>13.6</v>
      </c>
      <c r="E7" s="6" t="n"/>
      <c r="F7" s="6" t="n"/>
      <c r="G7" s="6" t="n">
        <v>13.6</v>
      </c>
    </row>
    <row r="8">
      <c r="A8" s="5" t="inlineStr">
        <is>
          <t>Total other comprehensive income (FY2020)</t>
        </is>
      </c>
      <c r="B8" s="5" t="n"/>
      <c r="C8" s="5" t="n"/>
      <c r="D8" s="5" t="n">
        <v>11.7</v>
      </c>
      <c r="E8" s="5" t="n"/>
      <c r="F8" s="5" t="n"/>
      <c r="G8" s="5" t="n">
        <v>11.7</v>
      </c>
    </row>
    <row r="9">
      <c r="A9" s="6" t="inlineStr">
        <is>
          <t>Net loss for the year (FY2020)</t>
        </is>
      </c>
      <c r="B9" s="6" t="n"/>
      <c r="C9" s="6" t="n"/>
      <c r="D9" s="6" t="n"/>
      <c r="E9" s="6" t="n"/>
      <c r="F9" s="6" t="n">
        <v>-13.1</v>
      </c>
      <c r="G9" s="6" t="n">
        <v>-13.1</v>
      </c>
    </row>
    <row r="10">
      <c r="A10" s="5" t="inlineStr">
        <is>
          <t>Total comprehensive income for the year (FY2020)</t>
        </is>
      </c>
      <c r="B10" s="5" t="n"/>
      <c r="C10" s="5" t="n"/>
      <c r="D10" s="5" t="n">
        <v>11.7</v>
      </c>
      <c r="E10" s="5" t="n"/>
      <c r="F10" s="5" t="n">
        <v>-13.1</v>
      </c>
      <c r="G10" s="5" t="n">
        <v>-1.3</v>
      </c>
    </row>
    <row r="11">
      <c r="A11" s="6" t="inlineStr">
        <is>
          <t>FX translation effect on equity, net (FY2020)</t>
        </is>
      </c>
      <c r="B11" s="6" t="n"/>
      <c r="C11" s="6" t="n"/>
      <c r="D11" s="6" t="n"/>
      <c r="E11" s="6" t="n"/>
      <c r="F11" s="6" t="n"/>
      <c r="G11" s="6" t="n">
        <v>-9.800000000000001</v>
      </c>
    </row>
    <row r="12">
      <c r="A12" s="5" t="inlineStr">
        <is>
          <t>At 31 December 2020</t>
        </is>
      </c>
      <c r="B12" s="5" t="n">
        <v>183</v>
      </c>
      <c r="C12" s="5" t="n">
        <v>1.7</v>
      </c>
      <c r="D12" s="5" t="n">
        <v>5.5</v>
      </c>
      <c r="E12" s="5" t="n"/>
      <c r="F12" s="5" t="n">
        <v>97.2</v>
      </c>
      <c r="G12" s="5" t="n">
        <v>287.4</v>
      </c>
    </row>
    <row r="13">
      <c r="A13" s="6" t="inlineStr">
        <is>
          <t>Deferred tax liability on defined benefit pension (FY2021)</t>
        </is>
      </c>
      <c r="B13" s="6" t="n"/>
      <c r="C13" s="6" t="n"/>
      <c r="D13" s="6" t="n">
        <v>-5.4</v>
      </c>
      <c r="E13" s="6" t="n"/>
      <c r="F13" s="6" t="n"/>
      <c r="G13" s="6" t="n">
        <v>-5.4</v>
      </c>
    </row>
    <row r="14">
      <c r="A14" s="6" t="inlineStr">
        <is>
          <t>Pension reserves (FY2021)</t>
        </is>
      </c>
      <c r="B14" s="6" t="n"/>
      <c r="C14" s="6" t="n"/>
      <c r="D14" s="6" t="n">
        <v>20.9</v>
      </c>
      <c r="E14" s="6" t="n"/>
      <c r="F14" s="6" t="n"/>
      <c r="G14" s="6" t="n">
        <v>20.9</v>
      </c>
    </row>
    <row r="15">
      <c r="A15" s="5" t="inlineStr">
        <is>
          <t>Total other comprehensive income (FY2021)</t>
        </is>
      </c>
      <c r="B15" s="5" t="n"/>
      <c r="C15" s="5" t="n"/>
      <c r="D15" s="5" t="n">
        <v>15.4</v>
      </c>
      <c r="E15" s="5" t="n"/>
      <c r="F15" s="5" t="n"/>
      <c r="G15" s="5" t="n">
        <v>15.4</v>
      </c>
    </row>
    <row r="16">
      <c r="A16" s="6" t="inlineStr">
        <is>
          <t>Net loss for the year (FY2021)</t>
        </is>
      </c>
      <c r="B16" s="6" t="n"/>
      <c r="C16" s="6" t="n"/>
      <c r="D16" s="6" t="n"/>
      <c r="E16" s="6" t="n"/>
      <c r="F16" s="6" t="n">
        <v>-5</v>
      </c>
      <c r="G16" s="6" t="n">
        <v>-5</v>
      </c>
    </row>
    <row r="17">
      <c r="A17" s="5" t="inlineStr">
        <is>
          <t>Total comprehensive income for the year (FY2021)</t>
        </is>
      </c>
      <c r="B17" s="5" t="n"/>
      <c r="C17" s="5" t="n"/>
      <c r="D17" s="5" t="n">
        <v>15.4</v>
      </c>
      <c r="E17" s="5" t="n"/>
      <c r="F17" s="5" t="n">
        <v>-5</v>
      </c>
      <c r="G17" s="5" t="n">
        <v>10.4</v>
      </c>
    </row>
    <row r="18">
      <c r="A18" s="6" t="inlineStr">
        <is>
          <t>FX translation effect on equity, net (FY2021)</t>
        </is>
      </c>
      <c r="B18" s="6" t="n"/>
      <c r="C18" s="6" t="n"/>
      <c r="D18" s="6" t="n"/>
      <c r="E18" s="6" t="n"/>
      <c r="F18" s="6" t="n"/>
      <c r="G18" s="6" t="n">
        <v>3.1</v>
      </c>
    </row>
    <row r="19">
      <c r="A19" s="5" t="inlineStr">
        <is>
          <t>At 31 December 2021</t>
        </is>
      </c>
      <c r="B19" s="5" t="n">
        <v>184.9</v>
      </c>
      <c r="C19" s="5" t="n">
        <v>1.7</v>
      </c>
      <c r="D19" s="5" t="n">
        <v>21.2</v>
      </c>
      <c r="E19" s="5" t="n"/>
      <c r="F19" s="5" t="n">
        <v>93.09999999999999</v>
      </c>
      <c r="G19" s="5" t="n">
        <v>300.9</v>
      </c>
    </row>
    <row r="20">
      <c r="A20" s="6" t="inlineStr">
        <is>
          <t>Deferred tax liability on defined benefit pension (FY2022)</t>
        </is>
      </c>
      <c r="B20" s="6" t="n"/>
      <c r="C20" s="6" t="n"/>
      <c r="D20" s="6" t="n">
        <v>-1.1</v>
      </c>
      <c r="E20" s="6" t="n"/>
      <c r="F20" s="6" t="n"/>
      <c r="G20" s="6" t="n">
        <v>-1.1</v>
      </c>
    </row>
    <row r="21">
      <c r="A21" s="6" t="inlineStr">
        <is>
          <t>Pension reserves (FY2022)</t>
        </is>
      </c>
      <c r="B21" s="6" t="n"/>
      <c r="C21" s="6" t="n"/>
      <c r="D21" s="6" t="n">
        <v>4.9</v>
      </c>
      <c r="E21" s="6" t="n"/>
      <c r="F21" s="6" t="n"/>
      <c r="G21" s="6" t="n">
        <v>4.9</v>
      </c>
    </row>
    <row r="22">
      <c r="A22" s="5" t="inlineStr">
        <is>
          <t>Total other comprehensive income (FY2022)</t>
        </is>
      </c>
      <c r="B22" s="5" t="n"/>
      <c r="C22" s="5" t="n"/>
      <c r="D22" s="5" t="n">
        <v>3.8</v>
      </c>
      <c r="E22" s="5" t="n"/>
      <c r="F22" s="5" t="n"/>
      <c r="G22" s="5" t="n">
        <v>3.8</v>
      </c>
    </row>
    <row r="23">
      <c r="A23" s="6" t="inlineStr">
        <is>
          <t>Net profit for the year (FY2022)</t>
        </is>
      </c>
      <c r="B23" s="6" t="n"/>
      <c r="C23" s="6" t="n"/>
      <c r="D23" s="6" t="n"/>
      <c r="E23" s="6" t="n"/>
      <c r="F23" s="6" t="n">
        <v>5.8</v>
      </c>
      <c r="G23" s="6" t="n">
        <v>5.8</v>
      </c>
    </row>
    <row r="24">
      <c r="A24" s="5" t="inlineStr">
        <is>
          <t>Total comprehensive income for the year (FY2022)</t>
        </is>
      </c>
      <c r="B24" s="5" t="n"/>
      <c r="C24" s="5" t="n"/>
      <c r="D24" s="5" t="n">
        <v>3.8</v>
      </c>
      <c r="E24" s="5" t="n"/>
      <c r="F24" s="5" t="n">
        <v>5.8</v>
      </c>
      <c r="G24" s="5" t="n">
        <v>9.6</v>
      </c>
    </row>
    <row r="25">
      <c r="A25" s="6" t="inlineStr">
        <is>
          <t>FX translation effect on equity, net (FY2022)</t>
        </is>
      </c>
      <c r="B25" s="6" t="n"/>
      <c r="C25" s="6" t="n"/>
      <c r="D25" s="6" t="n"/>
      <c r="E25" s="6" t="n"/>
      <c r="F25" s="6" t="n"/>
      <c r="G25" s="6" t="n">
        <v>35.6</v>
      </c>
    </row>
    <row r="26">
      <c r="A26" s="5" t="inlineStr">
        <is>
          <t>At 31 December 2022</t>
        </is>
      </c>
      <c r="B26" s="5" t="n">
        <v>206.7</v>
      </c>
      <c r="C26" s="5" t="n">
        <v>1.9</v>
      </c>
      <c r="D26" s="5" t="n">
        <v>27.6</v>
      </c>
      <c r="E26" s="5" t="n"/>
      <c r="F26" s="5" t="n">
        <v>110</v>
      </c>
      <c r="G26" s="5" t="n">
        <v>346.1</v>
      </c>
    </row>
    <row r="27">
      <c r="A27" s="6" t="inlineStr">
        <is>
          <t>Deferred tax liability on defined benefit pension (FY2023)</t>
        </is>
      </c>
      <c r="B27" s="6" t="n"/>
      <c r="C27" s="6" t="n"/>
      <c r="D27" s="6" t="n">
        <v>-0.1</v>
      </c>
      <c r="E27" s="6" t="n"/>
      <c r="F27" s="6" t="n"/>
      <c r="G27" s="6" t="n">
        <v>-0.1</v>
      </c>
    </row>
    <row r="28">
      <c r="A28" s="6" t="inlineStr">
        <is>
          <t>Pension reserves (FY2023)</t>
        </is>
      </c>
      <c r="B28" s="6" t="n"/>
      <c r="C28" s="6" t="n"/>
      <c r="D28" s="6" t="n">
        <v>-0.3</v>
      </c>
      <c r="E28" s="6" t="n"/>
      <c r="F28" s="6" t="n"/>
      <c r="G28" s="6" t="n">
        <v>-0.3</v>
      </c>
    </row>
    <row r="29">
      <c r="A29" s="5" t="inlineStr">
        <is>
          <t>Total other comprehensive income (FY2023)</t>
        </is>
      </c>
      <c r="B29" s="5" t="n"/>
      <c r="C29" s="5" t="n"/>
      <c r="D29" s="5" t="n">
        <v>-0.4</v>
      </c>
      <c r="E29" s="5" t="n"/>
      <c r="F29" s="5" t="n"/>
      <c r="G29" s="5" t="n">
        <v>-0.4</v>
      </c>
    </row>
    <row r="30">
      <c r="A30" s="6" t="inlineStr">
        <is>
          <t>Net profit for the year (FY2023)</t>
        </is>
      </c>
      <c r="B30" s="6" t="n"/>
      <c r="C30" s="6" t="n"/>
      <c r="D30" s="6" t="n"/>
      <c r="E30" s="6" t="n"/>
      <c r="F30" s="6" t="n">
        <v>32.1</v>
      </c>
      <c r="G30" s="6" t="n">
        <v>32.1</v>
      </c>
    </row>
    <row r="31">
      <c r="A31" s="5" t="inlineStr">
        <is>
          <t>Total comprehensive income for the year (FY2023)</t>
        </is>
      </c>
      <c r="B31" s="5" t="n"/>
      <c r="C31" s="5" t="n"/>
      <c r="D31" s="5" t="n">
        <v>-0.4</v>
      </c>
      <c r="E31" s="5" t="n"/>
      <c r="F31" s="5" t="n">
        <v>32.1</v>
      </c>
      <c r="G31" s="5" t="n">
        <v>31.6</v>
      </c>
    </row>
    <row r="32">
      <c r="A32" s="6" t="inlineStr">
        <is>
          <t>FX translation effect on equity, net (FY2023)</t>
        </is>
      </c>
      <c r="B32" s="6" t="n"/>
      <c r="C32" s="6" t="n"/>
      <c r="D32" s="6" t="n"/>
      <c r="E32" s="6" t="n"/>
      <c r="F32" s="6" t="n"/>
      <c r="G32" s="6" t="n">
        <v>-17.9</v>
      </c>
    </row>
    <row r="33">
      <c r="A33" s="5" t="inlineStr">
        <is>
          <t>At 31 December 2023</t>
        </is>
      </c>
      <c r="B33" s="5" t="n">
        <v>196.4</v>
      </c>
      <c r="C33" s="5" t="n">
        <v>1.8</v>
      </c>
      <c r="D33" s="5" t="n">
        <v>25.8</v>
      </c>
      <c r="E33" s="5" t="n"/>
      <c r="F33" s="5" t="n">
        <v>135.8</v>
      </c>
      <c r="G33" s="5" t="n">
        <v>359.8</v>
      </c>
    </row>
    <row r="34">
      <c r="A34" s="6" t="inlineStr">
        <is>
          <t>Pension reserves (FY2024)</t>
        </is>
      </c>
      <c r="B34" s="6" t="n"/>
      <c r="C34" s="6" t="n"/>
      <c r="D34" s="6" t="n">
        <v>-25.2</v>
      </c>
      <c r="E34" s="6" t="n"/>
      <c r="F34" s="6" t="n"/>
      <c r="G34" s="6" t="n">
        <v>-25.2</v>
      </c>
    </row>
    <row r="35">
      <c r="A35" s="6" t="inlineStr">
        <is>
          <t>Deferred tax liability on defined benefit pension (FY2024)</t>
        </is>
      </c>
      <c r="B35" s="6" t="n"/>
      <c r="C35" s="6" t="n"/>
      <c r="D35" s="6" t="n">
        <v>6.3</v>
      </c>
      <c r="E35" s="6" t="n"/>
      <c r="F35" s="6" t="n"/>
      <c r="G35" s="6" t="n">
        <v>6.3</v>
      </c>
    </row>
    <row r="36">
      <c r="A36" s="6" t="inlineStr">
        <is>
          <t>Net movement in cash flow hedge reserve (FY2024)</t>
        </is>
      </c>
      <c r="B36" s="6" t="n"/>
      <c r="C36" s="6" t="n"/>
      <c r="D36" s="6" t="n"/>
      <c r="E36" s="6" t="n">
        <v>2</v>
      </c>
      <c r="F36" s="6" t="n"/>
      <c r="G36" s="6" t="n">
        <v>2</v>
      </c>
    </row>
    <row r="37">
      <c r="A37" s="6" t="inlineStr">
        <is>
          <t>Tax relating to cash flow hedge reserve (FY2024)</t>
        </is>
      </c>
      <c r="B37" s="6" t="n"/>
      <c r="C37" s="6" t="n"/>
      <c r="D37" s="6" t="n"/>
      <c r="E37" s="6" t="n">
        <v>-0.5</v>
      </c>
      <c r="F37" s="6" t="n"/>
      <c r="G37" s="6" t="n">
        <v>-0.5</v>
      </c>
    </row>
    <row r="38">
      <c r="A38" s="5" t="inlineStr">
        <is>
          <t>Total other comprehensive income (FY2024)</t>
        </is>
      </c>
      <c r="B38" s="5" t="n"/>
      <c r="C38" s="5" t="n"/>
      <c r="D38" s="5" t="n">
        <v>-18.9</v>
      </c>
      <c r="E38" s="5" t="n">
        <v>1.5</v>
      </c>
      <c r="F38" s="5" t="n"/>
      <c r="G38" s="5" t="n">
        <v>-17.4</v>
      </c>
    </row>
    <row r="39">
      <c r="A39" s="6" t="inlineStr">
        <is>
          <t>Net profit for the year (FY2024)</t>
        </is>
      </c>
      <c r="B39" s="6" t="n"/>
      <c r="C39" s="6" t="n"/>
      <c r="D39" s="6" t="n"/>
      <c r="E39" s="6" t="n"/>
      <c r="F39" s="6" t="n">
        <v>18.8</v>
      </c>
      <c r="G39" s="6" t="n">
        <v>18.8</v>
      </c>
    </row>
    <row r="40">
      <c r="A40" s="5" t="inlineStr">
        <is>
          <t>Total comprehensive income for the year (FY2024)</t>
        </is>
      </c>
      <c r="B40" s="5" t="n"/>
      <c r="C40" s="5" t="n"/>
      <c r="D40" s="5" t="n">
        <v>-18.9</v>
      </c>
      <c r="E40" s="5" t="n">
        <v>1.5</v>
      </c>
      <c r="F40" s="5" t="n">
        <v>18.8</v>
      </c>
      <c r="G40" s="5" t="n">
        <v>1.4</v>
      </c>
    </row>
    <row r="41">
      <c r="A41" s="6" t="inlineStr">
        <is>
          <t>FX translation effect on equity, net (FY2024)</t>
        </is>
      </c>
      <c r="B41" s="6" t="n"/>
      <c r="C41" s="6" t="n"/>
      <c r="D41" s="6" t="n"/>
      <c r="E41" s="6" t="n"/>
      <c r="F41" s="6" t="n"/>
      <c r="G41" s="6" t="n">
        <v>6.2</v>
      </c>
    </row>
    <row r="42">
      <c r="A42" s="5" t="inlineStr">
        <is>
          <t>At 31 December 2024</t>
        </is>
      </c>
      <c r="B42" s="5" t="n">
        <v>199.8</v>
      </c>
      <c r="C42" s="5" t="n">
        <v>1.8</v>
      </c>
      <c r="D42" s="5" t="n">
        <v>7</v>
      </c>
      <c r="E42" s="5" t="n">
        <v>1.5</v>
      </c>
      <c r="F42" s="5" t="n">
        <v>157.3</v>
      </c>
      <c r="G42" s="5" t="n">
        <v>367.4</v>
      </c>
    </row>
    <row r="44" ht="340" customHeight="1">
      <c r="A44" s="8" t="inlineStr">
        <is>
          <t>Sources - Gulf International Bank (UK) Limited's own Statement of Financial Position / Statement of Income (converted from USD to £, see FX conversion note below), transcribed from Companies House filings (FY2024/FY2023 text-native; FY2022/FY2021/FY2020 scanned/image-only, no text layer):
FY2024/FY2023: Annual Report and Financial Statements 2024, pp.105-108 (Statement of Financial Position, Statement of Income, Statement of Comprehensive Income, Statement of Changes in Equity) - https://find-and-update.company-information.service.gov.uk/company/01223938/filing-history/MzQ2MTE4ODYxN2FkaXF6a2N4/document?format=pdf&amp;download=0
FY2022: Annual Report and Financial Statements 2023, pp.67-70 (own FY2022 comparative column) - https://find-and-update.company-information.service.gov.uk/company/01223938/filing-history/MzQxNzM5ODc0MWFkaXF6a2N4/document?format=pdf&amp;download=0
FY2021: Annual Report and Financial Statements 2021, pp.48-51 - https://find-and-update.company-information.service.gov.uk/company/01223938/filing-history/MzM1NTYyODEwMGFkaXF6a2N4/document?format=pdf&amp;download=0
FY2020: Annual Report and Financial Statements 2020, pp.25-28 (Statement of Financial Position p.25, Income Statement p.26, Statement of Comprehensive Income p.27, Statement of Changes in Equity p.28) - https://find-and-update.company-information.service.gov.uk/company/01223938/filing-history/MzMxMzAyNDY0OGFkaXF6a2N4/document?format=pdf&amp;download=0
FY2025 is blank throughout: no FY2025 Annual Report has been filed with Companies House yet.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£'000 rather than the Bank's native US$'000 presentation is not what's wanted here.
FX METHODOLOGY FOR THIS SHEET: opening/closing balances converted at that year-end's spot rate, movement lines at that year's average rate - the same convention used throughout this workbook. Converting stocks and flows at different rates within one year means the roll-forward doesn't tie exactly in GBP even though it ties exactly in USD (independently verified against each year's own source table before conversion) - an explicit 'FX translation effect on equity, net' row (Total column only, computed as the balancing figure) is included each year, same treatment as this entity's own Cash Flow Statement's 'Effect of GBP/USD translation' line. Zero plug rows were needed in USD terms - every year's own closing balance ties exactly to both the next year's own opening balance and that year's Balance Sheet Total equity.
FY2020 has one additional wrinkle, disclosed in the Annual Report and Financial Statements 2020's own Statement of Changes in Equity footnote (p.28): a $143k 'Opening adjustment' to retained earnings, explained as 'in relation to the classification error whereby the 2019 GIBUK income had been classified as GIB AIM income. This had been corrected at the time of the preparation of prior year GIB AIM financial statements. Given these financial statements are prepared on a standalone basis, therefore it has been disclosed as an opening adjustment.' Included in this sheet as its own row (converted at FY2020's average rate, folded into the FX-plug movement calculation so it isn't mistaken for a currency-translation effect) - USD ties exactly: $394,183k (1 Jan 2020) + $143k (adjustment) + -$1,730k (total comprehensive loss) = $392,596k (31 Dec 2020), matching both the Balance Sheet's own Total equity and the FY2021 roll-forward's own opening balance.</t>
        </is>
      </c>
    </row>
  </sheetData>
  <mergeCells count="1">
    <mergeCell ref="A44:G4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Statement of Cash Flow</t>
        </is>
      </c>
    </row>
    <row r="2">
      <c r="A2" s="2" t="inlineStr">
        <is>
          <t>£'000, converted from USD - see source note at bottom for FX methodology and rates used. FY2025 blank (no FY2025 Annual Report filed yet).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5" t="inlineStr">
        <is>
          <t>Operating cash flows from operating activities</t>
        </is>
      </c>
      <c r="B4" s="6" t="n"/>
      <c r="C4" s="6" t="n"/>
      <c r="D4" s="6" t="n"/>
      <c r="E4" s="6" t="n"/>
      <c r="F4" s="6" t="n"/>
      <c r="G4" s="6" t="n"/>
    </row>
    <row r="5">
      <c r="A5" s="6" t="inlineStr">
        <is>
          <t>Profit/(loss) before tax</t>
        </is>
      </c>
      <c r="B5" s="6" t="n"/>
      <c r="C5" s="6" t="n">
        <v>25.1</v>
      </c>
      <c r="D5" s="6" t="n">
        <v>42.2</v>
      </c>
      <c r="E5" s="6" t="n">
        <v>7.4</v>
      </c>
      <c r="F5" s="6" t="n">
        <v>-9.9</v>
      </c>
      <c r="G5" s="6" t="n">
        <v>-15</v>
      </c>
    </row>
    <row r="6">
      <c r="A6" s="6" t="inlineStr">
        <is>
          <t>Income tax (paid)/received</t>
        </is>
      </c>
      <c r="B6" s="6" t="n"/>
      <c r="C6" s="6" t="n">
        <v>-4.7</v>
      </c>
      <c r="D6" s="6" t="n">
        <v>-3.1</v>
      </c>
      <c r="E6" s="6" t="n">
        <v>0</v>
      </c>
      <c r="F6" s="6" t="n">
        <v>1.7</v>
      </c>
      <c r="G6" s="6" t="n">
        <v>-0.8</v>
      </c>
    </row>
    <row r="7">
      <c r="A7" s="6" t="inlineStr">
        <is>
          <t>Depreciation of property and equipment</t>
        </is>
      </c>
      <c r="B7" s="6" t="n"/>
      <c r="C7" s="6" t="n">
        <v>0.7</v>
      </c>
      <c r="D7" s="6" t="n">
        <v>0.9</v>
      </c>
      <c r="E7" s="6" t="n">
        <v>1</v>
      </c>
      <c r="F7" s="6" t="n">
        <v>0.9</v>
      </c>
      <c r="G7" s="6" t="n">
        <v>1</v>
      </c>
    </row>
    <row r="8">
      <c r="A8" s="6" t="inlineStr">
        <is>
          <t>Depreciation of ROU assets</t>
        </is>
      </c>
      <c r="B8" s="6" t="n"/>
      <c r="C8" s="6" t="n">
        <v>1.8</v>
      </c>
      <c r="D8" s="6" t="n">
        <v>1.5</v>
      </c>
      <c r="E8" s="6" t="n">
        <v>2</v>
      </c>
      <c r="F8" s="6" t="n">
        <v>1.6</v>
      </c>
      <c r="G8" s="6" t="n">
        <v>1.7</v>
      </c>
    </row>
    <row r="9">
      <c r="A9" s="6" t="inlineStr">
        <is>
          <t>Change in accrued interest receivable</t>
        </is>
      </c>
      <c r="B9" s="6" t="n"/>
      <c r="C9" s="6" t="n">
        <v>-3.2</v>
      </c>
      <c r="D9" s="6" t="n">
        <v>-72.7</v>
      </c>
      <c r="E9" s="6" t="n">
        <v>-38.2</v>
      </c>
      <c r="F9" s="6" t="n">
        <v>7.8</v>
      </c>
      <c r="G9" s="6" t="n">
        <v>6.5</v>
      </c>
    </row>
    <row r="10">
      <c r="A10" s="6" t="inlineStr">
        <is>
          <t>Change in accrued interest payable</t>
        </is>
      </c>
      <c r="B10" s="6" t="n"/>
      <c r="C10" s="6" t="n">
        <v>-3.3</v>
      </c>
      <c r="D10" s="6" t="n">
        <v>5.6</v>
      </c>
      <c r="E10" s="6" t="n">
        <v>36.5</v>
      </c>
      <c r="F10" s="6" t="n">
        <v>-0.5</v>
      </c>
      <c r="G10" s="6" t="n">
        <v>-5.1</v>
      </c>
    </row>
    <row r="11">
      <c r="A11" s="6" t="inlineStr">
        <is>
          <t>Change in other net assets (incl. movements to pension reserve)</t>
        </is>
      </c>
      <c r="B11" s="6" t="n"/>
      <c r="C11" s="6" t="n"/>
      <c r="D11" s="6" t="n">
        <v>9.5</v>
      </c>
      <c r="E11" s="6" t="n">
        <v>-55.1</v>
      </c>
      <c r="F11" s="6" t="n">
        <v>-5.4</v>
      </c>
      <c r="G11" s="6" t="n">
        <v>29.7</v>
      </c>
    </row>
    <row r="12">
      <c r="A12" s="6" t="inlineStr">
        <is>
          <t>Change in other operating assets and liabilities</t>
        </is>
      </c>
      <c r="B12" s="6" t="n"/>
      <c r="C12" s="6" t="n">
        <v>-44.5</v>
      </c>
      <c r="D12" s="6" t="n"/>
      <c r="E12" s="6" t="n"/>
      <c r="F12" s="6" t="n"/>
      <c r="G12" s="6" t="n"/>
    </row>
    <row r="13">
      <c r="A13" s="6" t="inlineStr">
        <is>
          <t>Change in trading securities</t>
        </is>
      </c>
      <c r="B13" s="6" t="n"/>
      <c r="C13" s="6" t="n">
        <v>-23.5</v>
      </c>
      <c r="D13" s="6" t="n">
        <v>-30.8</v>
      </c>
      <c r="E13" s="6" t="n">
        <v>-13.8</v>
      </c>
      <c r="F13" s="6" t="n">
        <v>-16.8</v>
      </c>
      <c r="G13" s="6" t="n">
        <v>-4.6</v>
      </c>
    </row>
    <row r="14">
      <c r="A14" s="6" t="inlineStr">
        <is>
          <t>Change in placements with banks</t>
        </is>
      </c>
      <c r="B14" s="6" t="n"/>
      <c r="C14" s="6" t="n">
        <v>-294.4</v>
      </c>
      <c r="D14" s="6" t="n">
        <v>-1310.1</v>
      </c>
      <c r="E14" s="6" t="n">
        <v>116.9</v>
      </c>
      <c r="F14" s="6" t="n">
        <v>723.2</v>
      </c>
      <c r="G14" s="6" t="n">
        <v>-176.4</v>
      </c>
    </row>
    <row r="15">
      <c r="A15" s="6" t="inlineStr">
        <is>
          <t>Change in debt securities at amortised cost/investment securities net</t>
        </is>
      </c>
      <c r="B15" s="6" t="n"/>
      <c r="C15" s="6" t="n"/>
      <c r="D15" s="6" t="n">
        <v>11.2</v>
      </c>
      <c r="E15" s="6" t="n">
        <v>15</v>
      </c>
      <c r="F15" s="6" t="n">
        <v>-526.9</v>
      </c>
      <c r="G15" s="6" t="n">
        <v>-77.90000000000001</v>
      </c>
    </row>
    <row r="16">
      <c r="A16" s="6" t="inlineStr">
        <is>
          <t>Change in debt securities at amortised cost</t>
        </is>
      </c>
      <c r="B16" s="6" t="n"/>
      <c r="C16" s="6" t="n">
        <v>-36</v>
      </c>
      <c r="D16" s="6" t="n"/>
      <c r="E16" s="6" t="n"/>
      <c r="F16" s="6" t="n"/>
      <c r="G16" s="6" t="n"/>
    </row>
    <row r="17">
      <c r="A17" s="6" t="inlineStr">
        <is>
          <t>Change in deposits from banks</t>
        </is>
      </c>
      <c r="B17" s="6" t="n"/>
      <c r="C17" s="6" t="n">
        <v>922.6</v>
      </c>
      <c r="D17" s="6" t="n">
        <v>-430.9</v>
      </c>
      <c r="E17" s="6" t="n">
        <v>723</v>
      </c>
      <c r="F17" s="6" t="n">
        <v>-105.2</v>
      </c>
      <c r="G17" s="6" t="n">
        <v>-492.4</v>
      </c>
    </row>
    <row r="18">
      <c r="A18" s="6" t="inlineStr">
        <is>
          <t>Change in deposits from customers</t>
        </is>
      </c>
      <c r="B18" s="6" t="n"/>
      <c r="C18" s="6" t="n">
        <v>-6334.1</v>
      </c>
      <c r="D18" s="6" t="n">
        <v>9267.799999999999</v>
      </c>
      <c r="E18" s="6" t="n">
        <v>-565.2</v>
      </c>
      <c r="F18" s="6" t="n">
        <v>180.2</v>
      </c>
      <c r="G18" s="6" t="n">
        <v>-519.1</v>
      </c>
    </row>
    <row r="19">
      <c r="A19" s="6" t="inlineStr">
        <is>
          <t>Finance costs (lease liability)</t>
        </is>
      </c>
      <c r="B19" s="6" t="n"/>
      <c r="C19" s="6" t="n">
        <v>0.8</v>
      </c>
      <c r="D19" s="6" t="n">
        <v>0.9</v>
      </c>
      <c r="E19" s="6" t="n">
        <v>0.9</v>
      </c>
      <c r="F19" s="6" t="n"/>
      <c r="G19" s="6" t="n"/>
    </row>
    <row r="20">
      <c r="A20" s="6" t="inlineStr">
        <is>
          <t>Finance costs (lease liability) and FX loss on reval of lease liability</t>
        </is>
      </c>
      <c r="B20" s="6" t="n"/>
      <c r="C20" s="6" t="n"/>
      <c r="D20" s="6" t="n"/>
      <c r="E20" s="6" t="n"/>
      <c r="F20" s="6" t="n">
        <v>0.7</v>
      </c>
      <c r="G20" s="6" t="n">
        <v>2.7</v>
      </c>
    </row>
    <row r="21">
      <c r="A21" s="6" t="inlineStr">
        <is>
          <t>Impairment</t>
        </is>
      </c>
      <c r="B21" s="6" t="n"/>
      <c r="C21" s="6" t="n">
        <v>-0.1</v>
      </c>
      <c r="D21" s="6" t="n">
        <v>0.2</v>
      </c>
      <c r="E21" s="6" t="n">
        <v>0.1</v>
      </c>
      <c r="F21" s="6" t="n">
        <v>0.9</v>
      </c>
      <c r="G21" s="6" t="n"/>
    </row>
    <row r="22">
      <c r="A22" s="5" t="inlineStr">
        <is>
          <t>Net cash (outflow)/inflow from operating activities</t>
        </is>
      </c>
      <c r="B22" s="5" t="n"/>
      <c r="C22" s="5" t="n">
        <v>-5792.9</v>
      </c>
      <c r="D22" s="5" t="n">
        <v>7492.2</v>
      </c>
      <c r="E22" s="5" t="n">
        <v>232.2</v>
      </c>
      <c r="F22" s="5" t="n">
        <v>252.6</v>
      </c>
      <c r="G22" s="5" t="n">
        <v>-1249.6</v>
      </c>
    </row>
    <row r="23">
      <c r="A23" s="5" t="inlineStr">
        <is>
          <t>Cash flows from investing activities</t>
        </is>
      </c>
      <c r="B23" s="6" t="n"/>
      <c r="C23" s="6" t="n"/>
      <c r="D23" s="6" t="n"/>
      <c r="E23" s="6" t="n"/>
      <c r="F23" s="6" t="n"/>
      <c r="G23" s="6" t="n"/>
    </row>
    <row r="24">
      <c r="A24" s="6" t="inlineStr">
        <is>
          <t>Net purchase of property and equipment</t>
        </is>
      </c>
      <c r="B24" s="6" t="n"/>
      <c r="C24" s="6" t="n">
        <v>-0.2</v>
      </c>
      <c r="D24" s="6" t="n">
        <v>-0.4</v>
      </c>
      <c r="E24" s="6" t="n">
        <v>-0</v>
      </c>
      <c r="F24" s="6" t="n">
        <v>-3.6</v>
      </c>
      <c r="G24" s="6" t="n">
        <v>-0.6</v>
      </c>
    </row>
    <row r="25">
      <c r="A25" s="5" t="inlineStr">
        <is>
          <t>Net cash used in investing activities</t>
        </is>
      </c>
      <c r="B25" s="5" t="n"/>
      <c r="C25" s="5" t="n">
        <v>-0.2</v>
      </c>
      <c r="D25" s="5" t="n">
        <v>-0.4</v>
      </c>
      <c r="E25" s="5" t="n">
        <v>-0</v>
      </c>
      <c r="F25" s="5" t="n">
        <v>-3.6</v>
      </c>
      <c r="G25" s="5" t="n">
        <v>-0.6</v>
      </c>
    </row>
    <row r="26">
      <c r="A26" s="5" t="inlineStr">
        <is>
          <t>Cash flows from financing activities</t>
        </is>
      </c>
      <c r="B26" s="6" t="n"/>
      <c r="C26" s="6" t="n"/>
      <c r="D26" s="6" t="n"/>
      <c r="E26" s="6" t="n"/>
      <c r="F26" s="6" t="n"/>
      <c r="G26" s="6" t="n"/>
    </row>
    <row r="27">
      <c r="A27" s="6" t="inlineStr">
        <is>
          <t>Payment of principal portion of lease liabilities</t>
        </is>
      </c>
      <c r="B27" s="6" t="n"/>
      <c r="C27" s="6" t="n">
        <v>-2.5</v>
      </c>
      <c r="D27" s="6" t="n">
        <v>-2.6</v>
      </c>
      <c r="E27" s="6" t="n">
        <v>-1.7</v>
      </c>
      <c r="F27" s="6" t="n">
        <v>-0.1</v>
      </c>
      <c r="G27" s="6" t="n">
        <v>-0.6</v>
      </c>
    </row>
    <row r="28">
      <c r="A28" s="5" t="inlineStr">
        <is>
          <t>Net cash used in financing activities</t>
        </is>
      </c>
      <c r="B28" s="5" t="n"/>
      <c r="C28" s="5" t="n">
        <v>-2.5</v>
      </c>
      <c r="D28" s="5" t="n">
        <v>-2.6</v>
      </c>
      <c r="E28" s="5" t="n">
        <v>-1.7</v>
      </c>
      <c r="F28" s="5" t="n">
        <v>-0.1</v>
      </c>
      <c r="G28" s="5" t="n">
        <v>-0.6</v>
      </c>
    </row>
    <row r="29">
      <c r="A29" s="5" t="inlineStr">
        <is>
          <t>Net (decrease)/increase in cash and cash equivalents</t>
        </is>
      </c>
      <c r="B29" s="5" t="n"/>
      <c r="C29" s="5" t="n">
        <v>-5795.6</v>
      </c>
      <c r="D29" s="5" t="n">
        <v>7489.1</v>
      </c>
      <c r="E29" s="5" t="n">
        <v>230.4</v>
      </c>
      <c r="F29" s="5" t="n">
        <v>248.9</v>
      </c>
      <c r="G29" s="5" t="n">
        <v>-1250.9</v>
      </c>
    </row>
    <row r="30">
      <c r="A30" s="6" t="inlineStr">
        <is>
          <t>Net foreign exchange difference (as reported, USD)</t>
        </is>
      </c>
      <c r="B30" s="6" t="n"/>
      <c r="C30" s="6" t="n">
        <v>-75.59999999999999</v>
      </c>
      <c r="D30" s="6" t="n">
        <v>194.1</v>
      </c>
      <c r="E30" s="6" t="n">
        <v>-451.6</v>
      </c>
      <c r="F30" s="6" t="n"/>
      <c r="G30" s="6" t="n"/>
    </row>
    <row r="31">
      <c r="A31" s="6" t="inlineStr">
        <is>
          <t>Effect of GBP/USD translation (£ conversion artefact - see FX note)</t>
        </is>
      </c>
      <c r="B31" s="6" t="n"/>
      <c r="C31" s="6" t="n">
        <v>77.40000000000001</v>
      </c>
      <c r="D31" s="6" t="n">
        <v>-396.3</v>
      </c>
      <c r="E31" s="6" t="n">
        <v>482.7</v>
      </c>
      <c r="F31" s="6" t="n">
        <v>44.1</v>
      </c>
      <c r="G31" s="6" t="n">
        <v>-94.90000000000001</v>
      </c>
    </row>
    <row r="32">
      <c r="A32" s="6" t="inlineStr">
        <is>
          <t>Cash and cash equivalents at beginning of year</t>
        </is>
      </c>
      <c r="B32" s="6" t="n"/>
      <c r="C32" s="6" t="n">
        <v>11689.6</v>
      </c>
      <c r="D32" s="6" t="n">
        <v>4402.7</v>
      </c>
      <c r="E32" s="6" t="n">
        <v>4141.2</v>
      </c>
      <c r="F32" s="6" t="n">
        <v>3848.2</v>
      </c>
      <c r="G32" s="6" t="n">
        <v>5194</v>
      </c>
    </row>
    <row r="33">
      <c r="A33" s="5" t="inlineStr">
        <is>
          <t>Cash and cash equivalents at end of year</t>
        </is>
      </c>
      <c r="B33" s="5" t="n"/>
      <c r="C33" s="5" t="n">
        <v>5895.8</v>
      </c>
      <c r="D33" s="5" t="n">
        <v>11689.6</v>
      </c>
      <c r="E33" s="5" t="n">
        <v>4402.7</v>
      </c>
      <c r="F33" s="5" t="n">
        <v>4141.2</v>
      </c>
      <c r="G33" s="5" t="n">
        <v>3848.2</v>
      </c>
    </row>
    <row r="35" ht="340" customHeight="1">
      <c r="A35" s="8" t="inlineStr">
        <is>
          <t>Sources - all figures are Gulf International Bank (UK) Limited's own Statement of Cash Flow (converted from USD to £, see FX conversion note below), transcribed from scanned/image-only Companies House filings (no text layer in any of the 5 filings):
FY2024: Annual Report and Financial Statements 2024, p.109 (Statement of Cash Flow) - https://find-and-update.company-information.service.gov.uk/company/01223938/filing-history/MzQ2MTE4ODYxN2FkaXF6a2N4/document?format=pdf&amp;download=0
FY2023: Annual Report and Financial Statements 2023, p.71 (Statement of Cash Flow, incl. FY2022 comparative) - https://find-and-update.company-information.service.gov.uk/company/01223938/filing-history/MzQxNzM5ODc0MWFkaXF6a2N4/document?format=pdf&amp;download=0
FY2021: Annual Report and Financial Statements 2021, p.52 (Statement of Cash Flow) - https://find-and-update.company-information.service.gov.uk/company/01223938/filing-history/MzM1NTYyODEwMGFkaXF6a2N4/document?format=pdf&amp;download=0
FY2020: Annual Report and Financial Statements 2020, p.29 (Statement of Cash Flow) - https://find-and-update.company-information.service.gov.uk/company/01223938/filing-history/MzMxMzAyNDY0OGFkaXF6a2N4/document?format=pdf&amp;download=0
FY2022's own column is sourced from the FY2023 Annual Report's comparative column (p.71 above) rather than the FY2022 Annual Report directly - both would show the same figures for FY2022 (a bank's own prior-year comparative is not normally restated absent a disclosed reason, and none is disclosed here); the FY2022 filing itself is also fully scanned - see AR2022_URL for reference: https://find-and-update.company-information.service.gov.uk/company/01223938/filing-history/MzM3NTI0MDA2MmFkaXF6a2N4/document?format=pdf&amp;download=0.
FY2025 is blank: no FY2025 Annual Report has been filed with Companies House yet.
All 5 years' opening-to-closing cash bridges reconcile exactly in USD as originally reported; the £ conversion is exact by construction (translation-effect line computed programmatically, see FX note). FY2020/FY2021/FY2023/FY2024's operating-activities line items also sum exactly (in USD) to each year's own printed subtotal (FY2020: independently re-summed to -$1,602,673k, exactly matching the source's own printed 'Net cash (used)/from operating activities' subtotal). FY2022's do not: summing FY2022's own line items above gives $285,026k vs the source's own printed $287,025k subtotal - a $1,999k (~0.7%) gap within the source document's own comparative column, not traceable to a specific mis-cast line (each line was independently re-checked against the source image). Flagged rather than forced to reconcile, per this project's convention for unexplained source-side gaps. FY2020 has no reported 'Net foreign exchange difference' line at all (unlike FY2022-FY2024) - its own opening-to-closing USD bridge already ties exactly without one ($6,861,304k - $1,604,216k = $5,257,088k), so that cell is genuinely blank for FY2020 rather than estimated; the programmatic £ translation-effect line still applies since GBP conversion at differing spot/average rates still requires a plug even when the USD bridge itself needs none.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
FX CONVERSION NOTE: GIB UK reports in US Dollars (its functional and presentation currency per its own accounting policy note). This workbook converts every $ amount to £ for consistency with the rest of this series, following the same methodology established for Zenith Bank UK/Union Bank of India UK/Credit Suisse International: point-in-time/balance figures (capital, RWA, leverage exposure, HQLA/stable-funding amounts, cash balances) use the Bank of England GBP/USD SPOT rate as at that fiscal year-end; flow figures (every cash flow statement line item) use the AVERAGE of Bank of England rates over that calendar year. Rates used (£1 = $X, reused from this project's existing FX rate table): 31 Dec 2019 spot 1.3210 (FY2020 opening cash only); FY2020 spot 1.3661 / average 1.2825; FY2021 spot 1.3521 / average 1.3752; FY2022 spot 1.2097 / average 1.2362; FY2023 spot 1.2732 / average 1.2439; FY2024 spot 1.2515 / average 1.2782. All % ratios are shown exactly as reported in USD and were NOT converted - a ratio is dimensionless and currency-invariant. Because stocks and flows are converted at different rates, the cash flow statement includes an explicit 'Effect of GBP/USD translation' reconciling line, computed programmatically so it can never drift out of sync with the rates above, so that opening + all flows + this line = closing exactly in £ terms - this line is purely an artefact of £ translation and has no bearing on the Bank's underlying USD results. This conversion was not explicitly requested for this bank - applied for consistency with the rest of the series; flag if £'000 rather than the Bank's native US$'000 presentation is not what's wanted here.</t>
        </is>
      </c>
    </row>
  </sheetData>
  <mergeCells count="1">
    <mergeCell ref="A35:G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Asset Quality</t>
        </is>
      </c>
    </row>
    <row r="2">
      <c r="A2" s="2" t="inlineStr">
        <is>
          <t>£'000, converted from USD - see source note. GIB UK does not lend to customers; credit risk sits in Placements with banks and Debt securities at amortised cost.</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5" t="inlineStr">
        <is>
          <t>Placements with banks - gross carrying amount by IFRS 9 stage</t>
        </is>
      </c>
      <c r="B4" s="6" t="n"/>
      <c r="C4" s="6" t="n"/>
      <c r="D4" s="6" t="n"/>
      <c r="E4" s="6" t="n"/>
      <c r="F4" s="6" t="n"/>
      <c r="G4" s="6" t="n"/>
    </row>
    <row r="5">
      <c r="A5" s="6" t="inlineStr">
        <is>
          <t>Stage 1 (Investment grade 1-4)</t>
        </is>
      </c>
      <c r="B5" s="6" t="n"/>
      <c r="C5" s="6" t="n">
        <v>4528.4</v>
      </c>
      <c r="D5" s="6" t="n">
        <v>4155.7</v>
      </c>
      <c r="E5" s="6" t="n">
        <v>3026.6</v>
      </c>
      <c r="F5" s="6" t="n">
        <v>2814.7</v>
      </c>
      <c r="G5" s="6" t="n">
        <v>3651.4</v>
      </c>
    </row>
    <row r="6">
      <c r="A6" s="6" t="inlineStr">
        <is>
          <t>Stage 2 (Sub-investment grade 5-7)</t>
        </is>
      </c>
      <c r="B6" s="6" t="n"/>
      <c r="C6" s="6" t="n"/>
      <c r="D6" s="6" t="n"/>
      <c r="E6" s="6" t="n"/>
      <c r="F6" s="6" t="n"/>
      <c r="G6" s="6" t="n"/>
    </row>
    <row r="7">
      <c r="A7" s="6" t="inlineStr">
        <is>
          <t>Stage 3 (Classified 8-10)</t>
        </is>
      </c>
      <c r="B7" s="6" t="n"/>
      <c r="C7" s="6" t="n"/>
      <c r="D7" s="6" t="n"/>
      <c r="E7" s="6" t="n"/>
      <c r="F7" s="6" t="n"/>
      <c r="G7" s="6" t="n"/>
    </row>
    <row r="8">
      <c r="A8" s="5" t="inlineStr">
        <is>
          <t>Total gross placements with banks</t>
        </is>
      </c>
      <c r="B8" s="5" t="n"/>
      <c r="C8" s="5" t="n">
        <v>4528.4</v>
      </c>
      <c r="D8" s="5" t="n">
        <v>4155.7</v>
      </c>
      <c r="E8" s="5" t="n">
        <v>3026.6</v>
      </c>
      <c r="F8" s="5" t="n">
        <v>2814.7</v>
      </c>
      <c r="G8" s="5" t="n">
        <v>3651.4</v>
      </c>
    </row>
    <row r="9">
      <c r="A9" s="6" t="inlineStr">
        <is>
          <t>Less: allowance for impairment losses</t>
        </is>
      </c>
      <c r="B9" s="6" t="n"/>
      <c r="C9" s="6" t="n">
        <v>-0.4</v>
      </c>
      <c r="D9" s="6" t="n">
        <v>-0.5</v>
      </c>
      <c r="E9" s="6" t="n">
        <v>-0.1</v>
      </c>
      <c r="F9" s="6" t="n">
        <v>-0.1</v>
      </c>
      <c r="G9" s="6" t="n">
        <v>-0.1</v>
      </c>
    </row>
    <row r="10">
      <c r="A10" s="5" t="inlineStr">
        <is>
          <t>Net placements with banks</t>
        </is>
      </c>
      <c r="B10" s="5" t="n"/>
      <c r="C10" s="5" t="n">
        <v>4528</v>
      </c>
      <c r="D10" s="5" t="n">
        <v>4155.2</v>
      </c>
      <c r="E10" s="5" t="n">
        <v>3026.5</v>
      </c>
      <c r="F10" s="5" t="n">
        <v>2814.7</v>
      </c>
      <c r="G10" s="5" t="n">
        <v>3651.3</v>
      </c>
    </row>
    <row r="11">
      <c r="A11" s="5" t="inlineStr">
        <is>
          <t>Debt securities at amortised cost - gross carrying amount by IFRS 9 stage</t>
        </is>
      </c>
      <c r="B11" s="6" t="n"/>
      <c r="C11" s="6" t="n"/>
      <c r="D11" s="6" t="n"/>
      <c r="E11" s="6" t="n"/>
      <c r="F11" s="6" t="n"/>
      <c r="G11" s="6" t="n"/>
    </row>
    <row r="12">
      <c r="A12" s="6" t="inlineStr">
        <is>
          <t>Stage 1 (Investment grade 1-4)</t>
        </is>
      </c>
      <c r="B12" s="6" t="n"/>
      <c r="C12" s="6" t="n">
        <v>811.4</v>
      </c>
      <c r="D12" s="6" t="n">
        <v>761.4</v>
      </c>
      <c r="E12" s="6" t="n">
        <v>813.1</v>
      </c>
      <c r="F12" s="6" t="n">
        <v>741.2</v>
      </c>
      <c r="G12" s="6" t="n">
        <v>203.1</v>
      </c>
    </row>
    <row r="13">
      <c r="A13" s="6" t="inlineStr">
        <is>
          <t>Stage 2 (Sub-investment grade 5-7)</t>
        </is>
      </c>
      <c r="B13" s="6" t="n"/>
      <c r="C13" s="6" t="n"/>
      <c r="D13" s="6" t="n"/>
      <c r="E13" s="6" t="n"/>
      <c r="F13" s="6" t="n"/>
      <c r="G13" s="6" t="n"/>
    </row>
    <row r="14">
      <c r="A14" s="6" t="inlineStr">
        <is>
          <t>Stage 3 (Classified 8-10)</t>
        </is>
      </c>
      <c r="B14" s="6" t="n"/>
      <c r="C14" s="6" t="n"/>
      <c r="D14" s="6" t="n"/>
      <c r="E14" s="6" t="n"/>
      <c r="F14" s="6" t="n"/>
      <c r="G14" s="6" t="n"/>
    </row>
    <row r="15">
      <c r="A15" s="5" t="inlineStr">
        <is>
          <t>Total gross debt securities at amortised cost</t>
        </is>
      </c>
      <c r="B15" s="5" t="n"/>
      <c r="C15" s="5" t="n">
        <v>811.4</v>
      </c>
      <c r="D15" s="5" t="n">
        <v>761.4</v>
      </c>
      <c r="E15" s="5" t="n">
        <v>813.1</v>
      </c>
      <c r="F15" s="5" t="n">
        <v>741.2</v>
      </c>
      <c r="G15" s="5" t="n">
        <v>203.1</v>
      </c>
    </row>
    <row r="16">
      <c r="A16" s="6" t="inlineStr">
        <is>
          <t>Less: allowance for impairment losses</t>
        </is>
      </c>
      <c r="B16" s="6" t="n"/>
      <c r="C16" s="6" t="n">
        <v>-0</v>
      </c>
      <c r="D16" s="6" t="n">
        <v>-0.2</v>
      </c>
      <c r="E16" s="6" t="n">
        <v>-0.4</v>
      </c>
      <c r="F16" s="6" t="n">
        <v>-0.3</v>
      </c>
      <c r="G16" s="6" t="n">
        <v>-0.2</v>
      </c>
    </row>
    <row r="17">
      <c r="A17" s="5" t="inlineStr">
        <is>
          <t>Net debt securities at amortised cost</t>
        </is>
      </c>
      <c r="B17" s="5" t="n"/>
      <c r="C17" s="5" t="n">
        <v>811.4</v>
      </c>
      <c r="D17" s="5" t="n">
        <v>761.4</v>
      </c>
      <c r="E17" s="5" t="n">
        <v>812.7</v>
      </c>
      <c r="F17" s="5" t="n">
        <v>740.9</v>
      </c>
      <c r="G17" s="5" t="n">
        <v>202.9</v>
      </c>
    </row>
    <row r="18">
      <c r="A18" s="6" t="inlineStr">
        <is>
          <t>Placements with banks - ECL coverage ratio</t>
        </is>
      </c>
      <c r="B18" s="6" t="n"/>
      <c r="C18" s="6" t="inlineStr">
        <is>
          <t>0.009%</t>
        </is>
      </c>
      <c r="D18" s="6" t="inlineStr">
        <is>
          <t>0.012%</t>
        </is>
      </c>
      <c r="E18" s="6" t="inlineStr">
        <is>
          <t>0.004%</t>
        </is>
      </c>
      <c r="F18" s="6" t="inlineStr">
        <is>
          <t>0.003%</t>
        </is>
      </c>
      <c r="G18" s="6" t="inlineStr">
        <is>
          <t>0.002%</t>
        </is>
      </c>
    </row>
    <row r="19">
      <c r="A19" s="6" t="inlineStr">
        <is>
          <t>Debt securities - ECL coverage ratio</t>
        </is>
      </c>
      <c r="B19" s="6" t="n"/>
      <c r="C19" s="6" t="inlineStr">
        <is>
          <t>0.002%</t>
        </is>
      </c>
      <c r="D19" s="6" t="inlineStr">
        <is>
          <t>0.031%</t>
        </is>
      </c>
      <c r="E19" s="6" t="inlineStr">
        <is>
          <t>0.050%</t>
        </is>
      </c>
      <c r="F19" s="6" t="inlineStr">
        <is>
          <t>0.037%</t>
        </is>
      </c>
      <c r="G19" s="6" t="inlineStr">
        <is>
          <t>0.089%</t>
        </is>
      </c>
    </row>
    <row r="21" ht="340" customHeight="1">
      <c r="A21" s="8" t="inlineStr">
        <is>
          <t>Sources - Gulf International Bank (UK) Limited's own Note 4 (Placements with banks) / Note 6 (Debt securities at amortised cost) IFRS 9 stage and internal-credit-rating tables, converted from USD to £ (see FX conversion note on the Cash Flow Statement sheet):
FY2024/FY2023: Annual Report and Financial Statements 2024, pp.124-128 (Notes 4, 4.1, 6, 6.1) - https://find-and-update.company-information.service.gov.uk/company/01223938/filing-history/MzQ2MTE4ODYxN2FkaXF6a2N4/document?format=pdf&amp;download=0
FY2022: Annual Report and Financial Statements 2023, pp.87-93 (Notes 4, 4.1, 6, 6.1, own FY2022 comparative) - https://find-and-update.company-information.service.gov.uk/company/01223938/filing-history/MzQxNzM5ODc0MWFkaXF6a2N4/document?format=pdf&amp;download=0
FY2021: Annual Report and Financial Statements 2021, pp.68-70 (Notes 4, 4.1, 6, 6.1) - https://find-and-update.company-information.service.gov.uk/company/01223938/filing-history/MzM1NTYyODEwMGFkaXF6a2N4/document?format=pdf&amp;download=0
FY2020: Annual Report and Financial Statements 2020, pp.46-50 (Notes 4, 4.1 Placements with banks; Note 6, 6.1 'Financial investments other than those measured at FVTPL' - FY2020's own note numbering/title for what later years call 'Debt securities at amortised cost') - https://find-and-update.company-information.service.gov.uk/company/01223938/filing-history/MzMxMzAyNDY0OGFkaXF6a2N4/document?format=pdf&amp;download=0
GIB UK does not lend to customers - confirmed by reading: there is no 'Loans and advances to customers' line anywhere in the Balance Sheet across all 5 years reviewed. Its credit risk instead sits entirely in Placements with banks and Debt securities at amortised cost, each disclosed on the Bank's own internal credit rating scale (Investment grade 1-4 / Sub-investment grade 5-7 / Classified 8-10) cross-referenced to IFRS 9 stage. Every year, both asset classes are 100% Stage 1 / Investment grade 1-4, with no transfers to Stage 2 or 3 disclosed in any year - confirmed by reading each note in full, not assumed from the small ECL charge. ECL coverage ratios are correspondingly minimal (well under 0.1%).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t>
        </is>
      </c>
    </row>
  </sheetData>
  <mergeCells count="1">
    <mergeCell ref="A21:G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c r="C4" s="6" t="n">
        <v>348</v>
      </c>
      <c r="D4" s="6" t="n">
        <v>323.3</v>
      </c>
      <c r="E4" s="6" t="n">
        <v>304.6</v>
      </c>
      <c r="F4" s="6" t="n">
        <v>275</v>
      </c>
      <c r="G4" s="6" t="n">
        <v>287.7</v>
      </c>
    </row>
    <row r="5" ht="60" customHeight="1">
      <c r="A5" s="7" t="inlineStr">
        <is>
          <t>Note: GIB UK's regulatory capital consists entirely of CET1 (fully paid-up ordinary shares, capital contribution, and audited retained earnings/reserves) - no AT1 or Tier 2 instruments in any year. FY2020's Basel II-era Pillar 3 document calls this figure 'Total regulatory capital' (comprising Share Capital $250m + Retained Earnings $143m = $393m, Tier 1 only, no Tier 2) rather than 'CET1' by name, but is the same underlying capital base.</t>
        </is>
      </c>
    </row>
    <row r="7" ht="14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2">
    <mergeCell ref="A7:G7"/>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n"/>
      <c r="C4" s="6" t="inlineStr">
        <is>
          <t>22.18%</t>
        </is>
      </c>
      <c r="D4" s="6" t="inlineStr">
        <is>
          <t>22.74%</t>
        </is>
      </c>
      <c r="E4" s="6" t="inlineStr">
        <is>
          <t>23.65%</t>
        </is>
      </c>
      <c r="F4" s="6" t="inlineStr">
        <is>
          <t>19.22%</t>
        </is>
      </c>
      <c r="G4" s="6" t="inlineStr">
        <is>
          <t>26.48%</t>
        </is>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c r="C4" s="6" t="n">
        <v>348</v>
      </c>
      <c r="D4" s="6" t="n">
        <v>323.3</v>
      </c>
      <c r="E4" s="6" t="n">
        <v>304.6</v>
      </c>
      <c r="F4" s="6" t="n">
        <v>275</v>
      </c>
      <c r="G4" s="6" t="n">
        <v>287.7</v>
      </c>
    </row>
    <row r="5" ht="60" customHeight="1">
      <c r="A5" s="7" t="inlineStr">
        <is>
          <t>Note: Equal to CET1 capital in every year - the Bank holds no Additional Tier 1 (AT1) instruments.</t>
        </is>
      </c>
    </row>
    <row r="7" ht="14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n"/>
      <c r="C4" s="6" t="inlineStr">
        <is>
          <t>22.18%</t>
        </is>
      </c>
      <c r="D4" s="6" t="inlineStr">
        <is>
          <t>22.74%</t>
        </is>
      </c>
      <c r="E4" s="6" t="inlineStr">
        <is>
          <t>23.65%</t>
        </is>
      </c>
      <c r="F4" s="6" t="inlineStr">
        <is>
          <t>19.22%</t>
        </is>
      </c>
      <c r="G4" s="6" t="inlineStr">
        <is>
          <t>26.48%</t>
        </is>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c r="C4" s="6" t="n">
        <v>348</v>
      </c>
      <c r="D4" s="6" t="n">
        <v>323.3</v>
      </c>
      <c r="E4" s="6" t="n">
        <v>304.6</v>
      </c>
      <c r="F4" s="6" t="n">
        <v>275</v>
      </c>
      <c r="G4" s="6" t="n">
        <v>287.7</v>
      </c>
    </row>
    <row r="5" ht="60" customHeight="1">
      <c r="A5" s="7" t="inlineStr">
        <is>
          <t>Note: Equal to CET1/Tier 1 capital in every year - the Bank holds no AT1 or Tier 2 instruments.</t>
        </is>
      </c>
    </row>
    <row r="7" ht="14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n"/>
      <c r="C4" s="6" t="inlineStr">
        <is>
          <t>22.18%</t>
        </is>
      </c>
      <c r="D4" s="6" t="inlineStr">
        <is>
          <t>22.74%</t>
        </is>
      </c>
      <c r="E4" s="6" t="inlineStr">
        <is>
          <t>23.65%</t>
        </is>
      </c>
      <c r="F4" s="6" t="inlineStr">
        <is>
          <t>19.22%</t>
        </is>
      </c>
      <c r="G4" s="6" t="inlineStr">
        <is>
          <t>26.48%</t>
        </is>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c r="C4" s="6" t="n">
        <v>1569.1</v>
      </c>
      <c r="D4" s="6" t="n">
        <v>1421.6</v>
      </c>
      <c r="E4" s="6" t="n">
        <v>1287.6</v>
      </c>
      <c r="F4" s="6" t="n">
        <v>1429.1</v>
      </c>
      <c r="G4" s="6" t="n">
        <v>1084.8</v>
      </c>
    </row>
    <row r="6" ht="140" customHeight="1">
      <c r="A6"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RWA Breakdown</t>
        </is>
      </c>
    </row>
    <row r="2">
      <c r="A2" s="2" t="inlineStr">
        <is>
          <t>£'000, converted from USD - see source note. UK OV1 template.</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row>
    <row r="4">
      <c r="A4" s="5" t="inlineStr">
        <is>
          <t>Credit risk</t>
        </is>
      </c>
      <c r="B4" s="6" t="n"/>
      <c r="C4" s="6" t="n"/>
      <c r="D4" s="6" t="n"/>
      <c r="E4" s="6" t="n"/>
      <c r="F4" s="6" t="n"/>
      <c r="G4" s="6" t="n"/>
    </row>
    <row r="5">
      <c r="A5" s="6" t="inlineStr">
        <is>
          <t>Credit risk (excluding CCR) - standardised approach</t>
        </is>
      </c>
      <c r="B5" s="6" t="n"/>
      <c r="C5" s="6" t="n">
        <v>1361.7</v>
      </c>
      <c r="D5" s="6" t="n">
        <v>1247.9</v>
      </c>
      <c r="E5" s="6" t="n">
        <v>1179.5</v>
      </c>
      <c r="F5" s="6" t="n">
        <v>1208</v>
      </c>
      <c r="G5" s="6" t="n">
        <v>882.8</v>
      </c>
    </row>
    <row r="6">
      <c r="A6" s="5" t="inlineStr">
        <is>
          <t>Counterparty credit risk</t>
        </is>
      </c>
      <c r="B6" s="6" t="n"/>
      <c r="C6" s="6" t="n"/>
      <c r="D6" s="6" t="n"/>
      <c r="E6" s="6" t="n"/>
      <c r="F6" s="6" t="n"/>
      <c r="G6" s="6" t="n"/>
    </row>
    <row r="7">
      <c r="A7" s="6" t="inlineStr">
        <is>
          <t>Of which credit valuation adjustment (CVA)</t>
        </is>
      </c>
      <c r="B7" s="6" t="n"/>
      <c r="C7" s="6" t="n">
        <v>12</v>
      </c>
      <c r="D7" s="6" t="n">
        <v>16.5</v>
      </c>
      <c r="E7" s="6" t="n">
        <v>17</v>
      </c>
      <c r="F7" s="6" t="n">
        <v>9.300000000000001</v>
      </c>
      <c r="G7" s="6" t="n"/>
    </row>
    <row r="8">
      <c r="A8" s="6" t="inlineStr">
        <is>
          <t>Of which other CCR</t>
        </is>
      </c>
      <c r="B8" s="6" t="n"/>
      <c r="C8" s="6" t="n">
        <v>36</v>
      </c>
      <c r="D8" s="6" t="n">
        <v>31.2</v>
      </c>
      <c r="E8" s="6" t="n">
        <v>18</v>
      </c>
      <c r="F8" s="6" t="n">
        <v>17.1</v>
      </c>
      <c r="G8" s="6" t="n"/>
    </row>
    <row r="9">
      <c r="A9" s="5" t="inlineStr">
        <is>
          <t>Total counterparty credit risk - CCR</t>
        </is>
      </c>
      <c r="B9" s="5" t="n"/>
      <c r="C9" s="5" t="n">
        <v>48</v>
      </c>
      <c r="D9" s="5" t="n">
        <v>47.7</v>
      </c>
      <c r="E9" s="5" t="n">
        <v>35.1</v>
      </c>
      <c r="F9" s="5" t="n">
        <v>26.4</v>
      </c>
      <c r="G9" s="5" t="n"/>
    </row>
    <row r="10">
      <c r="A10" s="5" t="inlineStr">
        <is>
          <t>Market risk</t>
        </is>
      </c>
      <c r="B10" s="6" t="n"/>
      <c r="C10" s="6" t="n"/>
      <c r="D10" s="6" t="n"/>
      <c r="E10" s="6" t="n"/>
      <c r="F10" s="6" t="n"/>
      <c r="G10" s="6" t="n"/>
    </row>
    <row r="11">
      <c r="A11" s="6" t="inlineStr">
        <is>
          <t>Position, foreign exchange and commodities risks - standardised approach</t>
        </is>
      </c>
      <c r="B11" s="6" t="n"/>
      <c r="C11" s="6" t="n">
        <v>0.7</v>
      </c>
      <c r="D11" s="6" t="n">
        <v>8.800000000000001</v>
      </c>
      <c r="E11" s="6" t="n">
        <v>1.9</v>
      </c>
      <c r="F11" s="6" t="n">
        <v>123.1</v>
      </c>
      <c r="G11" s="6" t="n">
        <v>105.2</v>
      </c>
    </row>
    <row r="12">
      <c r="A12" s="5" t="inlineStr">
        <is>
          <t>Operational risk</t>
        </is>
      </c>
      <c r="B12" s="6" t="n"/>
      <c r="C12" s="6" t="n"/>
      <c r="D12" s="6" t="n"/>
      <c r="E12" s="6" t="n"/>
      <c r="F12" s="6" t="n"/>
      <c r="G12" s="6" t="n"/>
    </row>
    <row r="13">
      <c r="A13" s="6" t="inlineStr">
        <is>
          <t>Operational risk - standardised approach</t>
        </is>
      </c>
      <c r="B13" s="6" t="n"/>
      <c r="C13" s="6" t="n">
        <v>158.8</v>
      </c>
      <c r="D13" s="6" t="n">
        <v>117.2</v>
      </c>
      <c r="E13" s="6" t="n">
        <v>71.09999999999999</v>
      </c>
      <c r="F13" s="6" t="n">
        <v>71.7</v>
      </c>
      <c r="G13" s="6" t="n">
        <v>94.2</v>
      </c>
    </row>
    <row r="14">
      <c r="A14" s="5" t="inlineStr">
        <is>
          <t>Total risk-weighted exposure amount</t>
        </is>
      </c>
      <c r="B14" s="5" t="n"/>
      <c r="C14" s="5" t="n">
        <v>1569.1</v>
      </c>
      <c r="D14" s="5" t="n">
        <v>1421.6</v>
      </c>
      <c r="E14" s="5" t="n">
        <v>1287.6</v>
      </c>
      <c r="F14" s="5" t="n">
        <v>1429.1</v>
      </c>
      <c r="G14" s="5" t="n">
        <v>1084.8</v>
      </c>
    </row>
    <row r="16" ht="280" customHeight="1">
      <c r="A16" s="8" t="inlineStr">
        <is>
          <t>Sources - Gulf International Bank (UK) Limited's own UK OV1 (Pillar 1 capital requirements) table (FY2021 onward) / Basel II-style capital requirements tables (FY2020 - see note below), converted from USD to £ (see FX conversion note on the Cash Flow Statement sheet; the underlying $ RWA figures are unconverted regulatory exposure amounts, converted here at spot rate for consistency with the rest of this workbook):
FY2024/FY2023: Pillar 3 Disclosures as at 31 December 2024 (Board-approved), pp.27-28 (section 6.2, UK OV1) - https://gib-am.files.svdcdn.com/production/documents/2024-GIBUK-Pillar-3-disclosures-Board-approved.pdf
FY2022/FY2021: Pillar 3 Disclosures as at 31 December 2022, pp.26-27 (section 6.2, UK OV1) - FY2021 is that document's own T-4/prior-year comparative column - https://web.archive.org/web/20240223164517/https://gibam.com/assets/2022-GIBUK-Pillar-3-disclosures_VF.pdf
FY2020: 'Basel II Pillar 3 Disclosures as at 31 December 2020', pp.13-15 (sections 4.1 Credit risk RWA table, 4.2 Market risk RWA table, 4.3 Operational risk capital requirement) - https://web.archive.org/web/20220518000354/https://gibam.com/assets/2020-GIBUK-Pillar-3_Final.pdf. FY2020 predates the UK OV1 template and has no CCR/CVA breakout - the Operational risk RWA is derived (capital requirement x 12.5) rather than stated directly; the 3 derived FY2020 components sum to $3.5m (~0.24%) short of the document's own separately reported Total RWAs, an unexplained source-side gap flagged rather than forced to reconcile.
ENTITY NOTE: Gulf International Bank (UK) Limited ("GIB UK", FRN 124772, company 01223938) is a wholly owned subsidiary of Gulf International Bank B.S.C. (Bahrain, sovereign-backed by several Gulf Cooperation Council states), trading as "GIB Asset Management" (GIB AM) for its investment-management business, with a branch in New York. It prepares standalone (non-consolidated) financial statements under UK-adopted international accounting standards, exempt from producing group accounts under Companies Act 2006 s.401 and IFRS 10 (its parent's consolidated accounts are filed in Bahrain). No cash-flow exemption applies - a full Statement of Cash Flow is presented every year. FY2025 accounts had not yet been filed with Companies House and no FY2025 Pillar 3 disclosure had been published as at the time of this workbook's research (accounts for this entity have historically been filed 3-4 months after the 31 December year-end, so this is normal lag, not a gap).
HD-062 (2026-09-06) FY2020 EXTENSION: FY2020 accounts and Pillar 3 disclosure both genuinely exist and were obtained and read in full (re-verified directly against Companies House and a Wayback CDX domain scan of gibam.com rather than assumed from the ticket's nominal 'confirmed floor FY2020' signal) - no self-skip was needed for this bank. FY2020's Pillar 3 Disclosures document (a Basel II-era 38-page document, titled 'Basel II Pillar 3 Disclosures', predating the UK KM1/OV1 template rollout later years use) DOES disclose an LCR (section 5.3 'Liquidity and Funding Risk', reported as 'Liquidity Coverage ratio' with a 'Liquidity Buffer' and 'Total Net cash outflows' - functionally equivalent to later years' HQLA/net-cash-outflow KM1 fields, see the LCR sheet's own basis note for the two ratio variants disclosed). It genuinely has NO NSFR or MREL section anywhere in its own table of contents or body text (only a passing mention of the upcoming regulatory 'binding NSFR measure of 100%' requirement, not GIB UK's own NSFR ratio) - confirmed by reading the full document, not assumed from a missing keyword - so those two metric sheets are genuinely blank for FY2020 specifically, distinct from later years where a value exists (FY2021 onward). It also predates the UK OV1 RWA-breakdown template used from FY2021 onward: no separate counterparty-credit-risk (CCR) or CVA line is disclosed for FY2020, so the RWA Breakdown sheet's CCR/CVA rows are genuinely blank that year - see that sheet's own source note for how the credit/market/operational RWA figures were derived instead.</t>
        </is>
      </c>
    </row>
  </sheetData>
  <mergeCells count="1">
    <mergeCell ref="A16:G1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t>
        </is>
      </c>
      <c r="B4" s="6" t="n"/>
      <c r="C4" s="6" t="n">
        <v>6937.5</v>
      </c>
      <c r="D4" s="6" t="n">
        <v>6122.9</v>
      </c>
      <c r="E4" s="6" t="n">
        <v>4246.3</v>
      </c>
      <c r="F4" s="6" t="n">
        <v>7819.8</v>
      </c>
      <c r="G4" s="6" t="n">
        <v>6239.7</v>
      </c>
    </row>
    <row r="5">
      <c r="A5" s="6" t="inlineStr">
        <is>
          <t>Leverage ratio (%)</t>
        </is>
      </c>
      <c r="B5" s="6" t="n"/>
      <c r="C5" s="6" t="inlineStr">
        <is>
          <t>5.02%</t>
        </is>
      </c>
      <c r="D5" s="6" t="inlineStr">
        <is>
          <t>5.28%</t>
        </is>
      </c>
      <c r="E5" s="6" t="inlineStr">
        <is>
          <t>7.17%</t>
        </is>
      </c>
      <c r="F5" s="6" t="inlineStr">
        <is>
          <t>3.52%</t>
        </is>
      </c>
      <c r="G5" s="6" t="inlineStr">
        <is>
          <t>4.61%</t>
        </is>
      </c>
    </row>
    <row r="6" ht="60" customHeight="1">
      <c r="A6" s="7" t="inlineStr">
        <is>
          <t>Note: Basis change: FY2022 onward reports 'Total exposure measure EXCLUDING claims on central banks' (the Bank's own FY2021 report states it was 'not, currently, in scope of the UK Leverage Framework' that introduced this exclusion, effective 1 January 2022); FY2021/FY2020's figures are the single (unqualified) leverage ratio/exposure measure as originally reported those years, likely on an including-central-bank-claims basis. Each year's own as-reported figure is used rather than forcing a common basis. FY2020's own document reconciles this exposure measure directly from Total Assets per the Financial Statements ($10,463m) less securities-financing-transaction credit risk mitigation ($1,928m) plus derivative add-ons ($25m) and other adjustments (-$35m) = $8,524m.</t>
        </is>
      </c>
    </row>
    <row r="8" ht="140" customHeight="1">
      <c r="A8"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2">
    <mergeCell ref="A8:G8"/>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high-quality liquid assets (HQLA / average liquid assets buffer)</t>
        </is>
      </c>
      <c r="B4" s="6" t="n"/>
      <c r="C4" s="6" t="n">
        <v>6912.4</v>
      </c>
      <c r="D4" s="6" t="n">
        <v>12551.2</v>
      </c>
      <c r="E4" s="6" t="n">
        <v>7604.1</v>
      </c>
      <c r="F4" s="6" t="n">
        <v>4983.2</v>
      </c>
      <c r="G4" s="6" t="n">
        <v>4289.6</v>
      </c>
    </row>
    <row r="5">
      <c r="A5" s="6" t="inlineStr">
        <is>
          <t>Total net cash outflows, adjusted value</t>
        </is>
      </c>
      <c r="B5" s="6" t="n"/>
      <c r="C5" s="6" t="n">
        <v>2414.2</v>
      </c>
      <c r="D5" s="6" t="n">
        <v>4382.5</v>
      </c>
      <c r="E5" s="6" t="n">
        <v>2147.1</v>
      </c>
      <c r="F5" s="6" t="n"/>
      <c r="G5" s="6" t="n">
        <v>1477.9</v>
      </c>
    </row>
    <row r="6">
      <c r="A6" s="6" t="inlineStr">
        <is>
          <t>Liquidity Coverage Ratio (%)</t>
        </is>
      </c>
      <c r="B6" s="6" t="n"/>
      <c r="C6" s="6" t="inlineStr">
        <is>
          <t>286.32%</t>
        </is>
      </c>
      <c r="D6" s="6" t="inlineStr">
        <is>
          <t>286.40%</t>
        </is>
      </c>
      <c r="E6" s="6" t="inlineStr">
        <is>
          <t>354.15%</t>
        </is>
      </c>
      <c r="F6" s="6" t="inlineStr">
        <is>
          <t>480.13%</t>
        </is>
      </c>
      <c r="G6" s="6" t="inlineStr">
        <is>
          <t>290%</t>
        </is>
      </c>
    </row>
    <row r="7" ht="60" customHeight="1">
      <c r="A7" s="7" t="inlineStr">
        <is>
          <t>Note: Methodology differs for FY2021: that year's Pillar 3 report discloses LCR as a quarterly (not annual) average - Q4 2021 is used here as the closest analogue to later years' 12-month-average KM1 figure. FY2021's own 'Average net flows' figure is not directly comparable to later years' 'Total net cash outflows (adjusted value)' definition, so that cell is left blank for FY2021 rather than approximated; the ratio and HQLA-equivalent buffer are shown as reported. FY2020's document uses its own pre-KM1 terms 'Liquidity Buffer' (used here as the HQLA-equivalent figure) and 'Total Net cash outflows'; its own headline LCR of 290% is 'excluding PRA Scalar' (its own footnote), with a lower 153% figure disclosed as the alternative including a 5% PRA Scalar add-on - the as-reported headline (excl. PRA Scalar) figure is used here for consistency with how later years' single as-reported ratio is shown, but the alternative basis is flagged since it is not a like-for-like methodology across all years.</t>
        </is>
      </c>
    </row>
    <row r="9" ht="140" customHeight="1">
      <c r="A9"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available stable funding</t>
        </is>
      </c>
      <c r="B4" s="6" t="n"/>
      <c r="C4" s="6" t="n">
        <v>4106.6</v>
      </c>
      <c r="D4" s="6" t="n">
        <v>3618.7</v>
      </c>
      <c r="E4" s="6" t="n">
        <v>3552.5</v>
      </c>
      <c r="F4" s="6" t="n">
        <v>7773.9</v>
      </c>
      <c r="G4" s="6" t="n"/>
    </row>
    <row r="5">
      <c r="A5" s="6" t="inlineStr">
        <is>
          <t>Total required stable funding</t>
        </is>
      </c>
      <c r="B5" s="6" t="n"/>
      <c r="C5" s="6" t="n">
        <v>1778.4</v>
      </c>
      <c r="D5" s="6" t="n">
        <v>1431.6</v>
      </c>
      <c r="E5" s="6" t="n">
        <v>853.1</v>
      </c>
      <c r="F5" s="6" t="n">
        <v>6993.5</v>
      </c>
      <c r="G5" s="6" t="n"/>
    </row>
    <row r="6">
      <c r="A6" s="6" t="inlineStr">
        <is>
          <t>Net Stable Funding Ratio (%)</t>
        </is>
      </c>
      <c r="B6" s="6" t="n"/>
      <c r="C6" s="6" t="inlineStr">
        <is>
          <t>230.91%</t>
        </is>
      </c>
      <c r="D6" s="6" t="inlineStr">
        <is>
          <t>252.78%</t>
        </is>
      </c>
      <c r="E6" s="6" t="inlineStr">
        <is>
          <t>416.49%</t>
        </is>
      </c>
      <c r="F6" s="6" t="inlineStr">
        <is>
          <t>111.16%</t>
        </is>
      </c>
      <c r="G6" s="6" t="n"/>
    </row>
    <row r="7" ht="60" customHeight="1">
      <c r="A7" s="7" t="inlineStr">
        <is>
          <t>Note: FY2021 is that year's Q4 (year-end) quarterly figure, as originally disclosed in quarterly form; FY2022 onward is each year's single annual KM1 figure. FY2020 is genuinely blank: that year's Basel II-era Pillar 3 document only mentions the upcoming regulatory 'binding NSFR measure of 100%' requirement (not yet in force that year) in its CRD V/CRR II preview section - it discloses no NSFR ratio, available stable funding, or required stable funding figure of its own anywhere in the document - confirmed by reading the full document, not assumed from a missing keyword.</t>
        </is>
      </c>
    </row>
    <row r="9" ht="140" customHeight="1">
      <c r="A9"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Gulf International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 separate MREL ratio or instruments disclosed in any year, including FY2020 (its Basel II-era Pillar 3 document has no MREL section or mention at all - a different, and more basic, non-disclosure than later years' explained non-disclosure below). The Bank's own FY2021 Pillar 3 report is the first to explain why: following the Bank of England's 3 December 2021 Statement of Policy on MREL, 'GIB (UK)'s MREL requirement is equal to its CRD V requirement under Pillar 1 and Pillar 2A. Consequently, the Bank does not need to hold any MREL compliant instruments in addition to those needed to satisfy its CRD V requirement' - i.e. MREL is fully satisfied by ordinary capital, with no incremental MREL-specific ratio or instrument stock to disclose.</t>
        </is>
      </c>
    </row>
    <row r="7" ht="150" customHeight="1">
      <c r="A7" s="8" t="inlineStr">
        <is>
          <t>Sources - Gulf International Bank (UK) Limited Pillar 3 Disclosures (UK KM1 - Key Metrics table), converted from USD to £ where a $ amount (see FX conversion note on the Cash Flow Statement sheet; % ratios are unconverted):
FY2024: Pillar 3 Disclosures as at 31 December 2024 (Board-approved), p.6 (UK KM1) - https://gib-am.files.svdcdn.com/production/documents/2024-GIBUK-Pillar-3-disclosures-Board-approved.pdf
FY2023: Pillar 3 Disclosures as at 31 December 2023, p.6 (UK KM1) - https://gib-am.files.svdcdn.com/production/documents/Fund-sustainability-related-documents/2023-GIBUK-Pillar-3-disclosures.pdf
FY2022: sourced from the FY2023 Pillar 3 Disclosures' own T-4/prior-year comparative column (p.6 above), which matches the FY2022 Pillar 3 Disclosures document exactly where both are legible - https://web.archive.org/web/20240223164517/https://gibam.com/assets/2022-GIBUK-Pillar-3-disclosures_VF.pdf
FY2021: Pillar 3 Disclosures as at 31 December 2021, p.6 (Key ratios summary) and p.7 (Liquidity, Q4 2021 quarter-end figures) - https://web.archive.org/web/20230329132856/https://gibam.com/assets/2021-GIBUK-Pillar-3_Final.pdf
FY2020: 'Basel II Pillar 3 Disclosures as at 31 December 2020', p.15 (section 4.5 'Capital adequacy' - Total RWAs/Capital base/Tier 1 capital/Tier 1 ratio/Total Capital ratio table) and p.34 (section 7 'Leverage' - reconciliation table) - https://web.archive.org/web/20220518000354/https://gibam.com/assets/2020-GIBUK-Pillar-3_Final.pdf. This is the only surviving (non-404) Wayback capture of this document and is itself truncated by the Wayback Machine's own playback service at exactly 1,048,576 bytes; it was repaired with `qpdf --qdf --replace-input` (rebuilds the cross-reference table from the recoverable object streams) before reading - see the Cash Flow sheet's ENTITY NOTE for the full data-quality account of this repair.
FY2025: not yet published as at the time of this workbook's research.</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2026-09-06T08:23:18Z</dcterms:created>
  <dcterms:modified xmlns:dcterms="http://purl.org/dc/terms/" xmlns:xsi="http://www.w3.org/2001/XMLSchema-instance" xsi:type="dcterms:W3CDTF">2026-09-06T08:23:18Z</dcterms:modified>
</cp:coreProperties>
</file>