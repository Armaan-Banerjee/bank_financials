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11585.2</v>
      </c>
      <c r="D6" s="5" t="n">
        <v>16936.1</v>
      </c>
      <c r="E6" s="5" t="n">
        <v>8481.1</v>
      </c>
      <c r="F6" s="5" t="n">
        <v>7822.2</v>
      </c>
      <c r="G6" s="5" t="n">
        <v>7658.8</v>
      </c>
      <c r="J6" t="inlineStr">
        <is>
          <t>Total assets</t>
        </is>
      </c>
      <c r="K6" t="n">
        <v>7658.8</v>
      </c>
      <c r="L6" t="n">
        <v>7822.2</v>
      </c>
      <c r="M6" t="n">
        <v>8481.1</v>
      </c>
      <c r="N6" t="n">
        <v>16936.1</v>
      </c>
      <c r="O6" t="n">
        <v>11585.2</v>
      </c>
      <c r="AT6" t="inlineStr">
        <is>
          <t>CET1 Ratio</t>
        </is>
      </c>
      <c r="AU6" t="n">
        <v>26.48</v>
      </c>
      <c r="AV6" t="n">
        <v>19.22</v>
      </c>
      <c r="AW6" t="n">
        <v>23.65</v>
      </c>
      <c r="AX6" t="n">
        <v>22.74</v>
      </c>
      <c r="AY6" t="n">
        <v>22.18</v>
      </c>
    </row>
    <row r="7">
      <c r="A7" s="5" t="inlineStr">
        <is>
          <t>Placements with banks</t>
        </is>
      </c>
      <c r="B7" s="5" t="n"/>
      <c r="C7" s="5" t="n">
        <v>4528</v>
      </c>
      <c r="D7" s="5" t="n">
        <v>4155.2</v>
      </c>
      <c r="E7" s="5" t="n">
        <v>3026.5</v>
      </c>
      <c r="F7" s="5" t="n">
        <v>2814.7</v>
      </c>
      <c r="G7" s="5" t="n">
        <v>3651.3</v>
      </c>
      <c r="J7" t="inlineStr">
        <is>
          <t>Placements with banks</t>
        </is>
      </c>
      <c r="K7" t="n">
        <v>3651.3</v>
      </c>
      <c r="L7" t="n">
        <v>2814.7</v>
      </c>
      <c r="M7" t="n">
        <v>3026.5</v>
      </c>
      <c r="N7" t="n">
        <v>4155.2</v>
      </c>
      <c r="O7" t="n">
        <v>4528</v>
      </c>
      <c r="AT7" t="inlineStr">
        <is>
          <t>Tier 1 Ratio</t>
        </is>
      </c>
      <c r="AU7" t="n">
        <v>26.48</v>
      </c>
      <c r="AV7" t="n">
        <v>19.22</v>
      </c>
      <c r="AW7" t="n">
        <v>23.65</v>
      </c>
      <c r="AX7" t="n">
        <v>22.74</v>
      </c>
      <c r="AY7" t="n">
        <v>22.18</v>
      </c>
    </row>
    <row r="8">
      <c r="A8" s="5" t="inlineStr">
        <is>
          <t>Deposits from customers</t>
        </is>
      </c>
      <c r="B8" s="5" t="n"/>
      <c r="C8" s="5" t="n">
        <v>10192.1</v>
      </c>
      <c r="D8" s="5" t="n">
        <v>16377.4</v>
      </c>
      <c r="E8" s="5" t="n">
        <v>7707.2</v>
      </c>
      <c r="F8" s="5" t="n">
        <v>7412.3</v>
      </c>
      <c r="G8" s="5" t="n">
        <v>7154.9</v>
      </c>
      <c r="J8" t="inlineStr">
        <is>
          <t>Deposits from customers</t>
        </is>
      </c>
      <c r="K8" t="n">
        <v>7154.9</v>
      </c>
      <c r="L8" t="n">
        <v>7412.3</v>
      </c>
      <c r="M8" t="n">
        <v>7707.2</v>
      </c>
      <c r="N8" t="n">
        <v>16377.4</v>
      </c>
      <c r="O8" t="n">
        <v>10192.1</v>
      </c>
      <c r="AT8" t="inlineStr">
        <is>
          <t>Total Capital Ratio</t>
        </is>
      </c>
      <c r="AU8" t="n">
        <v>26.48</v>
      </c>
      <c r="AV8" t="n">
        <v>19.22</v>
      </c>
      <c r="AW8" t="n">
        <v>23.65</v>
      </c>
      <c r="AX8" t="n">
        <v>22.74</v>
      </c>
      <c r="AY8" t="n">
        <v>22.18</v>
      </c>
    </row>
    <row r="9">
      <c r="A9" s="5" t="inlineStr">
        <is>
          <t>Total equity</t>
        </is>
      </c>
      <c r="B9" s="5" t="n"/>
      <c r="C9" s="5" t="n">
        <v>367.4</v>
      </c>
      <c r="D9" s="5" t="n">
        <v>359.8</v>
      </c>
      <c r="E9" s="5" t="n">
        <v>346.1</v>
      </c>
      <c r="F9" s="5" t="n">
        <v>300.9</v>
      </c>
      <c r="G9" s="5" t="n">
        <v>287.4</v>
      </c>
      <c r="J9" t="inlineStr">
        <is>
          <t>Total equity</t>
        </is>
      </c>
      <c r="K9" t="n">
        <v>287.4</v>
      </c>
      <c r="L9" t="n">
        <v>300.9</v>
      </c>
      <c r="M9" t="n">
        <v>346.1</v>
      </c>
      <c r="N9" t="n">
        <v>359.8</v>
      </c>
      <c r="O9" t="n">
        <v>367.4</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(£m (conv. from USD))</t>
        </is>
      </c>
      <c r="AT11" t="inlineStr">
        <is>
          <t>NSFR</t>
        </is>
      </c>
      <c r="AU11" t="n">
        <v>103.23</v>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c r="C13" s="5" t="n">
        <v>58.1</v>
      </c>
      <c r="D13" s="5" t="n">
        <v>65</v>
      </c>
      <c r="E13" s="5" t="n">
        <v>31.2</v>
      </c>
      <c r="F13" s="5" t="n">
        <v>8.800000000000001</v>
      </c>
      <c r="G13" s="5" t="n">
        <v>11.1</v>
      </c>
      <c r="S13" t="inlineStr">
        <is>
          <t>Net interest income</t>
        </is>
      </c>
      <c r="T13" t="n">
        <v>11.1</v>
      </c>
      <c r="U13" t="n">
        <v>8.800000000000001</v>
      </c>
      <c r="V13" t="n">
        <v>31.2</v>
      </c>
      <c r="W13" t="n">
        <v>65</v>
      </c>
      <c r="X13" t="n">
        <v>58.1</v>
      </c>
    </row>
    <row r="14">
      <c r="A14" s="5" t="inlineStr">
        <is>
          <t>Operating expenses</t>
        </is>
      </c>
      <c r="B14" s="5" t="n"/>
      <c r="C14" s="5" t="n">
        <v>-51.2</v>
      </c>
      <c r="D14" s="5" t="n">
        <v>-46.1</v>
      </c>
      <c r="E14" s="5" t="n">
        <v>-42.6</v>
      </c>
      <c r="F14" s="5" t="n">
        <v>-31.3</v>
      </c>
      <c r="G14" s="5" t="n">
        <v>-30.3</v>
      </c>
      <c r="S14" t="inlineStr">
        <is>
          <t>Operating expenses</t>
        </is>
      </c>
      <c r="T14" t="n">
        <v>-30.3</v>
      </c>
      <c r="U14" t="n">
        <v>-31.3</v>
      </c>
      <c r="V14" t="n">
        <v>-42.6</v>
      </c>
      <c r="W14" t="n">
        <v>-46.1</v>
      </c>
      <c r="X14" t="n">
        <v>-51.2</v>
      </c>
    </row>
    <row r="15">
      <c r="A15" s="5" t="inlineStr">
        <is>
          <t>Profit/(loss) for the year</t>
        </is>
      </c>
      <c r="B15" s="5" t="n"/>
      <c r="C15" s="5" t="n">
        <v>18.8</v>
      </c>
      <c r="D15" s="5" t="n">
        <v>32.1</v>
      </c>
      <c r="E15" s="5" t="n">
        <v>5.8</v>
      </c>
      <c r="F15" s="5" t="n">
        <v>-5</v>
      </c>
      <c r="G15" s="5" t="n">
        <v>-13.1</v>
      </c>
      <c r="S15" t="inlineStr">
        <is>
          <t>Profit/(loss) for the year</t>
        </is>
      </c>
      <c r="T15" t="n">
        <v>-13.1</v>
      </c>
      <c r="U15" t="n">
        <v>-5</v>
      </c>
      <c r="V15" t="n">
        <v>5.8</v>
      </c>
      <c r="W15" t="n">
        <v>32.1</v>
      </c>
      <c r="X15" t="n">
        <v>18.8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(£m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row>
    <row r="26">
      <c r="A26" s="5" t="inlineStr">
        <is>
          <t>Net cash used in investing activities</t>
        </is>
      </c>
      <c r="B26" s="5" t="n"/>
      <c r="C26" s="5" t="n">
        <v>-0.2</v>
      </c>
      <c r="D26" s="5" t="n">
        <v>-0.4</v>
      </c>
      <c r="E26" s="5" t="n">
        <v>-0</v>
      </c>
      <c r="F26" s="5" t="n">
        <v>-3.6</v>
      </c>
      <c r="G26" s="5" t="n">
        <v>-0.6</v>
      </c>
      <c r="AK26" t="inlineStr">
        <is>
          <t>Net cash used in investing activities</t>
        </is>
      </c>
      <c r="AL26" t="n">
        <v>-0.6</v>
      </c>
      <c r="AM26" t="n">
        <v>-3.6</v>
      </c>
      <c r="AN26" t="n">
        <v>-0</v>
      </c>
      <c r="AO26" t="n">
        <v>-0.4</v>
      </c>
      <c r="AP26" t="n">
        <v>-0.2</v>
      </c>
    </row>
    <row r="27">
      <c r="A27" s="5" t="inlineStr">
        <is>
          <t>Net cash used in financing activities</t>
        </is>
      </c>
      <c r="B27" s="5" t="n"/>
      <c r="C27" s="5" t="n">
        <v>-2.5</v>
      </c>
      <c r="D27" s="5" t="n">
        <v>-2.6</v>
      </c>
      <c r="E27" s="5" t="n">
        <v>-1.7</v>
      </c>
      <c r="F27" s="5" t="n">
        <v>-0.1</v>
      </c>
      <c r="G27" s="5" t="n">
        <v>-0.6</v>
      </c>
      <c r="AK27" t="inlineStr">
        <is>
          <t>Net cash used in financing activities</t>
        </is>
      </c>
      <c r="AL27" t="n">
        <v>-0.6</v>
      </c>
      <c r="AM27" t="n">
        <v>-0.1</v>
      </c>
      <c r="AN27" t="n">
        <v>-1.7</v>
      </c>
      <c r="AO27" t="n">
        <v>-2.6</v>
      </c>
      <c r="AP27" t="n">
        <v>-2.5</v>
      </c>
    </row>
    <row r="28">
      <c r="A28" s="5" t="inlineStr">
        <is>
          <t>Cash and cash equivalents at end of year</t>
        </is>
      </c>
      <c r="B28" s="5" t="n"/>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n"/>
      <c r="C32" s="6" t="inlineStr">
        <is>
          <t>22.18%</t>
        </is>
      </c>
      <c r="D32" s="6" t="inlineStr">
        <is>
          <t>22.74%</t>
        </is>
      </c>
      <c r="E32" s="6" t="inlineStr">
        <is>
          <t>23.65%</t>
        </is>
      </c>
      <c r="F32" s="6" t="inlineStr">
        <is>
          <t>19.22%</t>
        </is>
      </c>
      <c r="G32" s="6" t="inlineStr">
        <is>
          <t>26.48%</t>
        </is>
      </c>
    </row>
    <row r="33">
      <c r="A33" s="6" t="inlineStr">
        <is>
          <t>Tier 1 Ratio</t>
        </is>
      </c>
      <c r="B33" s="6" t="n"/>
      <c r="C33" s="6" t="inlineStr">
        <is>
          <t>22.18%</t>
        </is>
      </c>
      <c r="D33" s="6" t="inlineStr">
        <is>
          <t>22.74%</t>
        </is>
      </c>
      <c r="E33" s="6" t="inlineStr">
        <is>
          <t>23.65%</t>
        </is>
      </c>
      <c r="F33" s="6" t="inlineStr">
        <is>
          <t>19.22%</t>
        </is>
      </c>
      <c r="G33" s="6" t="inlineStr">
        <is>
          <t>26.48%</t>
        </is>
      </c>
    </row>
    <row r="34">
      <c r="A34" s="6" t="inlineStr">
        <is>
          <t>Total Capital Ratio</t>
        </is>
      </c>
      <c r="B34" s="6" t="n"/>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inlineStr">
        <is>
          <t>103.23%</t>
        </is>
      </c>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
LEVERAGE RATIO - READ WITH CARE: the single Leverage Ratio row above is each year's own as-reported headline and is NOT a like-for-like series. FY2020 and FY2021 include claims on central banks in the exposure measure; FY2022 onward exclude them, following the UK Leverage Framework change effective 1 January 2022. The FY2022 Pillar 3 edition's own prior-year comparative column additionally restates FY2021 onto the excluding-central-banks basis at 7.06% (vs the 3.52% shown above), and the FY2023 edition additionally publishes FY2023 on the including-central-banks basis at 1.92% (vs the 5.28% shown above). Both alternative-basis figures are recorded in full on the Leverage Ratio detail sheet, which is where any leverage comparison across years should be made from; they are omitted here only because this sheet carries one row per metric. As of 2026-09-16 there is a THIRD basis in play: the FY2021 Pillar 3 edition's own 2020 comparative column restates FY2020's leverage at 3.63% on an exposure measure of $10,426,834k (vs the 4.61% and $8,524m shown above, which are the FY2020 edition's own Basel II-era figures). So the single row above mixes three bases, not two. It is also recorded in full on the Leverage Ratio detail sheet.
FY2020 CAPITAL AND CAPITAL RATIOS - READ WITH CARE (added 2026-09-16). The CET1/Tier 1/Total Capital Ratio rows above show 26.48% for FY2020, which is the FY2020 Pillar 3 edition's own as-reported figure on its Basel II-era basis, against a capital base of $393m and Total RWAs of $1,482m. The FY2021 edition's own 2020 comparative column restates the same year onto the CRR/CRD V basis at 26.04%, on CET1 of $378,549k (Total equity of $392,596k less the pension asset net of deferred tax, intangibles and the prudent valuation adjustment) and RWEA of $1,482,468k. Both are recorded on separate labelled rows on each capital and capital-ratio detail sheet; neither has been reconciled to the other or allowed to overwrite the other, and only the as-reported one is shown here because this sheet carries one row per metric. For a like-for-like trend across FY2020-FY2024, use the restated FY2020 row on the detail sheets, since FY2021 onward is already on the CRR basis.
NSFR FY2020 (added 2026-09-16): this row was previously blank for FY2020 and is now 103.23%. The FY2020 Pillar 3 edition discloses no NSFR at all; the figure comes from the FY2021 edition's quarterly liquidity table, Q4 2020 column, which is the same quarterly basis as the FY2021 figure beside it. See the NSFR detail sheet. The FY2020 LCR of 290% above remains the FY2020 edition's own point-in-time ratio as at 31 December 2020; the LCR detail sheet additionally carries FY2020 on the quarterly-averaging basis (291.28%), which is the basis the FY2021 figure above uses. A point-in-time LCR and an average LCR are different measures and are deliberately not merged.</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£m, converted from USD - see source note at bottom for FX methodology and rates used. FY2025 blank (no FY2025 Annual Report filed yet).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Assets</t>
        </is>
      </c>
      <c r="B4" s="6" t="n"/>
      <c r="C4" s="6" t="n"/>
      <c r="D4" s="6" t="n"/>
      <c r="E4" s="6" t="n"/>
      <c r="F4" s="6" t="n"/>
      <c r="G4" s="6" t="n"/>
    </row>
    <row r="5">
      <c r="A5" s="6" t="inlineStr">
        <is>
          <t>Cash and cash equivalents</t>
        </is>
      </c>
      <c r="B5" s="6" t="n"/>
      <c r="C5" s="6" t="n">
        <v>5895.8</v>
      </c>
      <c r="D5" s="6" t="n">
        <v>11689.6</v>
      </c>
      <c r="E5" s="6" t="n">
        <v>4402.7</v>
      </c>
      <c r="F5" s="6" t="n">
        <v>4141.2</v>
      </c>
      <c r="G5" s="6" t="n">
        <v>3710.8</v>
      </c>
    </row>
    <row r="6">
      <c r="A6" s="6" t="inlineStr">
        <is>
          <t>Placements with banks</t>
        </is>
      </c>
      <c r="B6" s="6" t="n"/>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c r="C8" s="6" t="n">
        <v>113.3</v>
      </c>
      <c r="D8" s="6" t="n">
        <v>87.8</v>
      </c>
      <c r="E8" s="6" t="n">
        <v>60.8</v>
      </c>
      <c r="F8" s="6" t="n">
        <v>41.8</v>
      </c>
      <c r="G8" s="6" t="n">
        <v>24.5</v>
      </c>
    </row>
    <row r="9">
      <c r="A9" s="6" t="inlineStr">
        <is>
          <t>Derivative financial asset</t>
        </is>
      </c>
      <c r="B9" s="6" t="n"/>
      <c r="C9" s="6" t="n">
        <v>71.2</v>
      </c>
      <c r="D9" s="6" t="n">
        <v>57.9</v>
      </c>
      <c r="E9" s="6" t="n">
        <v>57.5</v>
      </c>
      <c r="F9" s="6" t="n">
        <v>16.6</v>
      </c>
      <c r="G9" s="6" t="n">
        <v>11.1</v>
      </c>
    </row>
    <row r="10">
      <c r="A10" s="6" t="inlineStr">
        <is>
          <t>Debt securities at amortised cost</t>
        </is>
      </c>
      <c r="B10" s="6" t="n"/>
      <c r="C10" s="6" t="n">
        <v>811.4</v>
      </c>
      <c r="D10" s="6" t="n">
        <v>761.4</v>
      </c>
      <c r="E10" s="6" t="n">
        <v>812.7</v>
      </c>
      <c r="F10" s="6" t="n">
        <v>740.9</v>
      </c>
      <c r="G10" s="6" t="n">
        <v>202.9</v>
      </c>
    </row>
    <row r="11">
      <c r="A11" s="6" t="inlineStr">
        <is>
          <t>Property, plant and equipment</t>
        </is>
      </c>
      <c r="B11" s="6" t="n"/>
      <c r="C11" s="6" t="n">
        <v>2.2</v>
      </c>
      <c r="D11" s="6" t="n">
        <v>2.6</v>
      </c>
      <c r="E11" s="6" t="n">
        <v>3.2</v>
      </c>
      <c r="F11" s="6" t="n">
        <v>3.8</v>
      </c>
      <c r="G11" s="6" t="n">
        <v>1</v>
      </c>
    </row>
    <row r="12">
      <c r="A12" s="6" t="inlineStr">
        <is>
          <t>Right-of-use assets</t>
        </is>
      </c>
      <c r="B12" s="6" t="n"/>
      <c r="C12" s="6" t="n">
        <v>17.2</v>
      </c>
      <c r="D12" s="6" t="n">
        <v>18.7</v>
      </c>
      <c r="E12" s="6" t="n">
        <v>21.3</v>
      </c>
      <c r="F12" s="6" t="n">
        <v>20.9</v>
      </c>
      <c r="G12" s="6" t="n">
        <v>23.2</v>
      </c>
    </row>
    <row r="13">
      <c r="A13" s="6" t="inlineStr">
        <is>
          <t>Other assets</t>
        </is>
      </c>
      <c r="B13" s="6" t="n"/>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5" t="inlineStr">
        <is>
          <t>Total assets</t>
        </is>
      </c>
      <c r="B15" s="5" t="n"/>
      <c r="C15" s="5" t="n">
        <v>11585.2</v>
      </c>
      <c r="D15" s="5" t="n">
        <v>16936.1</v>
      </c>
      <c r="E15" s="5" t="n">
        <v>8481.1</v>
      </c>
      <c r="F15" s="5" t="n">
        <v>7822.2</v>
      </c>
      <c r="G15" s="5" t="n">
        <v>7658.8</v>
      </c>
    </row>
    <row r="16">
      <c r="A16" s="5" t="inlineStr">
        <is>
          <t>Liabilities</t>
        </is>
      </c>
      <c r="B16" s="6" t="n"/>
      <c r="C16" s="6" t="n"/>
      <c r="D16" s="6" t="n"/>
      <c r="E16" s="6" t="n"/>
      <c r="F16" s="6" t="n"/>
      <c r="G16" s="6" t="n"/>
    </row>
    <row r="17">
      <c r="A17" s="6" t="inlineStr">
        <is>
          <t>Deposits from banks</t>
        </is>
      </c>
      <c r="B17" s="6" t="n"/>
      <c r="C17" s="6" t="n">
        <v>926.1</v>
      </c>
      <c r="D17" s="6" t="n">
        <v>60</v>
      </c>
      <c r="E17" s="6" t="n">
        <v>306.7</v>
      </c>
      <c r="F17" s="6" t="n">
        <v>26.2</v>
      </c>
      <c r="G17" s="6" t="n">
        <v>131.8</v>
      </c>
    </row>
    <row r="18">
      <c r="A18" s="6" t="inlineStr">
        <is>
          <t>Deposits from customers</t>
        </is>
      </c>
      <c r="B18" s="6" t="n"/>
      <c r="C18" s="6" t="n">
        <v>10192.1</v>
      </c>
      <c r="D18" s="6" t="n">
        <v>16377.4</v>
      </c>
      <c r="E18" s="6" t="n">
        <v>7707.2</v>
      </c>
      <c r="F18" s="6" t="n">
        <v>7412.3</v>
      </c>
      <c r="G18" s="6" t="n">
        <v>7154.9</v>
      </c>
    </row>
    <row r="19">
      <c r="A19" s="6" t="inlineStr">
        <is>
          <t>Derivative financial liability</t>
        </is>
      </c>
      <c r="B19" s="6" t="n"/>
      <c r="C19" s="6" t="n">
        <v>6.2</v>
      </c>
      <c r="D19" s="6" t="n">
        <v>39.3</v>
      </c>
      <c r="E19" s="6" t="n">
        <v>36</v>
      </c>
      <c r="F19" s="6" t="n">
        <v>40.6</v>
      </c>
      <c r="G19" s="6" t="n">
        <v>48.3</v>
      </c>
    </row>
    <row r="20">
      <c r="A20" s="6" t="inlineStr">
        <is>
          <t>Deferred tax liability</t>
        </is>
      </c>
      <c r="B20" s="6" t="n"/>
      <c r="C20" s="6" t="n">
        <v>5</v>
      </c>
      <c r="D20" s="6" t="n">
        <v>9.6</v>
      </c>
      <c r="E20" s="6" t="n">
        <v>4.2</v>
      </c>
      <c r="F20" s="6" t="n">
        <v>1.4</v>
      </c>
      <c r="G20" s="6" t="n"/>
    </row>
    <row r="21">
      <c r="A21" s="6" t="inlineStr">
        <is>
          <t>Other liabilities</t>
        </is>
      </c>
      <c r="B21" s="6" t="n"/>
      <c r="C21" s="6" t="n">
        <v>87.2</v>
      </c>
      <c r="D21" s="6" t="n">
        <v>89.40000000000001</v>
      </c>
      <c r="E21" s="6" t="n">
        <v>80.90000000000001</v>
      </c>
      <c r="F21" s="6" t="n">
        <v>40.9</v>
      </c>
      <c r="G21" s="6" t="n">
        <v>36.4</v>
      </c>
    </row>
    <row r="22">
      <c r="A22" s="6" t="inlineStr">
        <is>
          <t>Current tax liabilities</t>
        </is>
      </c>
      <c r="B22" s="6" t="n"/>
      <c r="C22" s="6" t="n">
        <v>1.2</v>
      </c>
      <c r="D22" s="6" t="n">
        <v>0.6</v>
      </c>
      <c r="E22" s="6" t="n"/>
      <c r="F22" s="6" t="n"/>
      <c r="G22" s="6" t="n"/>
    </row>
    <row r="23">
      <c r="A23" s="5" t="inlineStr">
        <is>
          <t>Total liabilities</t>
        </is>
      </c>
      <c r="B23" s="5" t="n"/>
      <c r="C23" s="5" t="n">
        <v>11217.8</v>
      </c>
      <c r="D23" s="5" t="n">
        <v>16576.4</v>
      </c>
      <c r="E23" s="5" t="n">
        <v>8135</v>
      </c>
      <c r="F23" s="5" t="n">
        <v>7521.3</v>
      </c>
      <c r="G23" s="5" t="n">
        <v>7371.4</v>
      </c>
    </row>
    <row r="24">
      <c r="A24" s="5" t="inlineStr">
        <is>
          <t>Equity</t>
        </is>
      </c>
      <c r="B24" s="6" t="n"/>
      <c r="C24" s="6" t="n"/>
      <c r="D24" s="6" t="n"/>
      <c r="E24" s="6" t="n"/>
      <c r="F24" s="6" t="n"/>
      <c r="G24" s="6" t="n"/>
    </row>
    <row r="25">
      <c r="A25" s="6" t="inlineStr">
        <is>
          <t>Share capital</t>
        </is>
      </c>
      <c r="B25" s="6" t="n"/>
      <c r="C25" s="6" t="n">
        <v>199.8</v>
      </c>
      <c r="D25" s="6" t="n">
        <v>196.4</v>
      </c>
      <c r="E25" s="6" t="n">
        <v>206.7</v>
      </c>
      <c r="F25" s="6" t="n">
        <v>184.9</v>
      </c>
      <c r="G25" s="6" t="n">
        <v>183</v>
      </c>
    </row>
    <row r="26">
      <c r="A26" s="6" t="inlineStr">
        <is>
          <t>Capital contribution</t>
        </is>
      </c>
      <c r="B26" s="6" t="n"/>
      <c r="C26" s="6" t="n">
        <v>1.8</v>
      </c>
      <c r="D26" s="6" t="n">
        <v>1.8</v>
      </c>
      <c r="E26" s="6" t="n">
        <v>1.9</v>
      </c>
      <c r="F26" s="6" t="n">
        <v>1.7</v>
      </c>
      <c r="G26" s="6" t="n">
        <v>1.7</v>
      </c>
    </row>
    <row r="27">
      <c r="A27" s="6" t="inlineStr">
        <is>
          <t>Cashflow hedge reserve</t>
        </is>
      </c>
      <c r="B27" s="6" t="n"/>
      <c r="C27" s="6" t="n">
        <v>1.5</v>
      </c>
      <c r="D27" s="6" t="n"/>
      <c r="E27" s="6" t="n"/>
      <c r="F27" s="6" t="n"/>
      <c r="G27" s="6" t="n"/>
    </row>
    <row r="28">
      <c r="A28" s="6" t="inlineStr">
        <is>
          <t>Pension reserves</t>
        </is>
      </c>
      <c r="B28" s="6" t="n"/>
      <c r="C28" s="6" t="n">
        <v>7</v>
      </c>
      <c r="D28" s="6" t="n">
        <v>25.8</v>
      </c>
      <c r="E28" s="6" t="n">
        <v>27.6</v>
      </c>
      <c r="F28" s="6" t="n">
        <v>21.2</v>
      </c>
      <c r="G28" s="6" t="n">
        <v>5.5</v>
      </c>
    </row>
    <row r="29">
      <c r="A29" s="6" t="inlineStr">
        <is>
          <t>Retained earnings</t>
        </is>
      </c>
      <c r="B29" s="6" t="n"/>
      <c r="C29" s="6" t="n">
        <v>157.3</v>
      </c>
      <c r="D29" s="6" t="n">
        <v>135.8</v>
      </c>
      <c r="E29" s="6" t="n">
        <v>110</v>
      </c>
      <c r="F29" s="6" t="n">
        <v>93.09999999999999</v>
      </c>
      <c r="G29" s="6" t="n">
        <v>97.2</v>
      </c>
    </row>
    <row r="30">
      <c r="A30" s="5" t="inlineStr">
        <is>
          <t>Total equity</t>
        </is>
      </c>
      <c r="B30" s="5" t="n"/>
      <c r="C30" s="5" t="n">
        <v>367.4</v>
      </c>
      <c r="D30" s="5" t="n">
        <v>359.8</v>
      </c>
      <c r="E30" s="5" t="n">
        <v>346.1</v>
      </c>
      <c r="F30" s="5" t="n">
        <v>300.9</v>
      </c>
      <c r="G30" s="5" t="n">
        <v>287.4</v>
      </c>
    </row>
    <row r="31">
      <c r="A31" s="5" t="inlineStr">
        <is>
          <t>Total liabilities and equity</t>
        </is>
      </c>
      <c r="B31" s="5" t="n"/>
      <c r="C31" s="5" t="n">
        <v>11585.2</v>
      </c>
      <c r="D31" s="5" t="n">
        <v>16936.1</v>
      </c>
      <c r="E31" s="5" t="n">
        <v>8481.1</v>
      </c>
      <c r="F31" s="5" t="n">
        <v>7822.2</v>
      </c>
      <c r="G31" s="5" t="n">
        <v>7658.8</v>
      </c>
    </row>
    <row r="33" ht="409" customHeight="1">
      <c r="A3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3:G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£m, converted from USD - see source note at bottom for FX methodology and rates used. FY2025 blank (no FY2025 Annual Report filed yet).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Income</t>
        </is>
      </c>
      <c r="B4" s="6" t="n"/>
      <c r="C4" s="6" t="n"/>
      <c r="D4" s="6" t="n"/>
      <c r="E4" s="6" t="n"/>
      <c r="F4" s="6" t="n"/>
      <c r="G4" s="6" t="n"/>
    </row>
    <row r="5">
      <c r="A5" s="6" t="inlineStr">
        <is>
          <t>Interest income from financial instruments at amortised cost</t>
        </is>
      </c>
      <c r="B5" s="6" t="n"/>
      <c r="C5" s="6" t="n">
        <v>806.4</v>
      </c>
      <c r="D5" s="6" t="n">
        <v>565.1</v>
      </c>
      <c r="E5" s="6" t="n">
        <v>180</v>
      </c>
      <c r="F5" s="6" t="n">
        <v>20.2</v>
      </c>
      <c r="G5" s="6" t="n">
        <v>51.7</v>
      </c>
    </row>
    <row r="6">
      <c r="A6" s="6" t="inlineStr">
        <is>
          <t>Other interest income/(expense)</t>
        </is>
      </c>
      <c r="B6" s="6" t="n"/>
      <c r="C6" s="6" t="n">
        <v>24.2</v>
      </c>
      <c r="D6" s="6" t="n">
        <v>45.9</v>
      </c>
      <c r="E6" s="6" t="n">
        <v>0.3</v>
      </c>
      <c r="F6" s="6" t="n">
        <v>-4.8</v>
      </c>
      <c r="G6" s="6" t="n">
        <v>-9.800000000000001</v>
      </c>
    </row>
    <row r="7">
      <c r="A7" s="6" t="inlineStr">
        <is>
          <t>Interest expense from financial instruments at amortised cost</t>
        </is>
      </c>
      <c r="B7" s="6" t="n"/>
      <c r="C7" s="6" t="n">
        <v>-772.5</v>
      </c>
      <c r="D7" s="6" t="n">
        <v>-546</v>
      </c>
      <c r="E7" s="6" t="n">
        <v>-149.2</v>
      </c>
      <c r="F7" s="6" t="n">
        <v>-6.6</v>
      </c>
      <c r="G7" s="6" t="n">
        <v>-30.7</v>
      </c>
    </row>
    <row r="8">
      <c r="A8" s="5" t="inlineStr">
        <is>
          <t>Net interest income</t>
        </is>
      </c>
      <c r="B8" s="5" t="n"/>
      <c r="C8" s="5" t="n">
        <v>58.1</v>
      </c>
      <c r="D8" s="5" t="n">
        <v>65</v>
      </c>
      <c r="E8" s="5" t="n">
        <v>31.2</v>
      </c>
      <c r="F8" s="5" t="n">
        <v>8.800000000000001</v>
      </c>
      <c r="G8" s="5" t="n">
        <v>11.1</v>
      </c>
    </row>
    <row r="9">
      <c r="A9" s="6" t="inlineStr">
        <is>
          <t>Net fee and commission income</t>
        </is>
      </c>
      <c r="B9" s="6" t="n"/>
      <c r="C9" s="6" t="n">
        <v>4.3</v>
      </c>
      <c r="D9" s="6" t="n">
        <v>2.7</v>
      </c>
      <c r="E9" s="6" t="n">
        <v>1.7</v>
      </c>
      <c r="F9" s="6" t="n">
        <v>2.9</v>
      </c>
      <c r="G9" s="6" t="n">
        <v>4</v>
      </c>
    </row>
    <row r="10">
      <c r="A10" s="6" t="inlineStr">
        <is>
          <t>Net trading income/(loss)</t>
        </is>
      </c>
      <c r="B10" s="6" t="n"/>
      <c r="C10" s="6" t="n">
        <v>4.2</v>
      </c>
      <c r="D10" s="6" t="n">
        <v>5.9</v>
      </c>
      <c r="E10" s="6" t="n">
        <v>3.8</v>
      </c>
      <c r="F10" s="6" t="n">
        <v>2.5</v>
      </c>
      <c r="G10" s="6" t="n">
        <v>-3.2</v>
      </c>
    </row>
    <row r="11">
      <c r="A11" s="6" t="inlineStr">
        <is>
          <t>Foreign exchange income and revaluation of foreign currencies</t>
        </is>
      </c>
      <c r="B11" s="6" t="n"/>
      <c r="C11" s="6" t="n">
        <v>6.4</v>
      </c>
      <c r="D11" s="6" t="n">
        <v>12.5</v>
      </c>
      <c r="E11" s="6" t="n">
        <v>9.5</v>
      </c>
      <c r="F11" s="6" t="n">
        <v>7.9</v>
      </c>
      <c r="G11" s="6" t="n">
        <v>8</v>
      </c>
    </row>
    <row r="12">
      <c r="A12" s="6" t="inlineStr">
        <is>
          <t>Expected credit loss charge/(release) on financial assets</t>
        </is>
      </c>
      <c r="B12" s="6" t="n"/>
      <c r="C12" s="6" t="n">
        <v>0.1</v>
      </c>
      <c r="D12" s="6" t="n">
        <v>-0.2</v>
      </c>
      <c r="E12" s="6" t="n">
        <v>-0.1</v>
      </c>
      <c r="F12" s="6" t="n">
        <v>-0.1</v>
      </c>
      <c r="G12" s="6" t="n">
        <v>-0.1</v>
      </c>
    </row>
    <row r="13">
      <c r="A13" s="6" t="inlineStr">
        <is>
          <t>Other operating income/(loss)</t>
        </is>
      </c>
      <c r="B13" s="6" t="n"/>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c r="C15" s="6" t="n">
        <v>-51.2</v>
      </c>
      <c r="D15" s="6" t="n">
        <v>-46.1</v>
      </c>
      <c r="E15" s="6" t="n">
        <v>-42.6</v>
      </c>
      <c r="F15" s="6" t="n">
        <v>-31.3</v>
      </c>
      <c r="G15" s="6" t="n">
        <v>-30.3</v>
      </c>
    </row>
    <row r="16">
      <c r="A16" s="5" t="inlineStr">
        <is>
          <t>Profit/(loss) before tax</t>
        </is>
      </c>
      <c r="B16" s="5" t="n"/>
      <c r="C16" s="5" t="n">
        <v>25.1</v>
      </c>
      <c r="D16" s="5" t="n">
        <v>42.2</v>
      </c>
      <c r="E16" s="5" t="n">
        <v>7.4</v>
      </c>
      <c r="F16" s="5" t="n">
        <v>-9.9</v>
      </c>
      <c r="G16" s="5" t="n">
        <v>-15</v>
      </c>
    </row>
    <row r="17">
      <c r="A17" s="6" t="inlineStr">
        <is>
          <t>Income tax (expense)/credit</t>
        </is>
      </c>
      <c r="B17" s="6" t="n"/>
      <c r="C17" s="6" t="n">
        <v>-6.3</v>
      </c>
      <c r="D17" s="6" t="n">
        <v>-10.1</v>
      </c>
      <c r="E17" s="6" t="n">
        <v>-1.6</v>
      </c>
      <c r="F17" s="6" t="n">
        <v>4.8</v>
      </c>
      <c r="G17" s="6" t="n">
        <v>1.9</v>
      </c>
    </row>
    <row r="18">
      <c r="A18" s="5" t="inlineStr">
        <is>
          <t>Profit/(loss) for the year</t>
        </is>
      </c>
      <c r="B18" s="5" t="n"/>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c r="C20" s="6" t="n">
        <v>2</v>
      </c>
      <c r="D20" s="6" t="n"/>
      <c r="E20" s="6" t="n"/>
      <c r="F20" s="6" t="n"/>
      <c r="G20" s="6" t="n"/>
    </row>
    <row r="21">
      <c r="A21" s="6" t="inlineStr">
        <is>
          <t>Tax relating to cash flow hedge reserve</t>
        </is>
      </c>
      <c r="B21" s="6" t="n"/>
      <c r="C21" s="6" t="n">
        <v>-0.5</v>
      </c>
      <c r="D21" s="6" t="n"/>
      <c r="E21" s="6" t="n"/>
      <c r="F21" s="6" t="n"/>
      <c r="G21" s="6" t="n"/>
    </row>
    <row r="22">
      <c r="A22" s="6" t="inlineStr">
        <is>
          <t>Remeasurement of defined benefit pension fund</t>
        </is>
      </c>
      <c r="B22" s="6" t="n"/>
      <c r="C22" s="6" t="n">
        <v>-25.2</v>
      </c>
      <c r="D22" s="6" t="n">
        <v>-0.3</v>
      </c>
      <c r="E22" s="6" t="n">
        <v>4.9</v>
      </c>
      <c r="F22" s="6" t="n">
        <v>20.9</v>
      </c>
      <c r="G22" s="6" t="n">
        <v>13.6</v>
      </c>
    </row>
    <row r="23">
      <c r="A23" s="6" t="inlineStr">
        <is>
          <t>Tax relating to defined benefit pension</t>
        </is>
      </c>
      <c r="B23" s="6" t="n"/>
      <c r="C23" s="6" t="n">
        <v>6.3</v>
      </c>
      <c r="D23" s="6" t="n">
        <v>-0.1</v>
      </c>
      <c r="E23" s="6" t="n">
        <v>-1.1</v>
      </c>
      <c r="F23" s="6" t="n">
        <v>-5.4</v>
      </c>
      <c r="G23" s="6" t="n">
        <v>-1.9</v>
      </c>
    </row>
    <row r="24">
      <c r="A24" s="5" t="inlineStr">
        <is>
          <t>Other comprehensive income for the year, net of tax</t>
        </is>
      </c>
      <c r="B24" s="5" t="n"/>
      <c r="C24" s="5" t="n">
        <v>-17.4</v>
      </c>
      <c r="D24" s="5" t="n">
        <v>-0.4</v>
      </c>
      <c r="E24" s="5" t="n">
        <v>3.8</v>
      </c>
      <c r="F24" s="5" t="n">
        <v>15.4</v>
      </c>
      <c r="G24" s="5" t="n">
        <v>11.7</v>
      </c>
    </row>
    <row r="25">
      <c r="A25" s="5" t="inlineStr">
        <is>
          <t>Total comprehensive income/(loss) for the year</t>
        </is>
      </c>
      <c r="B25" s="5" t="n"/>
      <c r="C25" s="5" t="n">
        <v>1.4</v>
      </c>
      <c r="D25" s="5" t="n">
        <v>31.6</v>
      </c>
      <c r="E25" s="5" t="n">
        <v>9.6</v>
      </c>
      <c r="F25" s="5" t="n">
        <v>10.4</v>
      </c>
      <c r="G25" s="5" t="n">
        <v>-1.3</v>
      </c>
    </row>
    <row r="27" ht="409"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4" ht="409" customHeight="1">
      <c r="A4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44:G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£m, converted from USD - see source note at bottom for FX methodology and rates used. FY2025 blank (no FY2025 Annual Report filed yet).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Operating cash flows from operating activities</t>
        </is>
      </c>
      <c r="B4" s="6" t="n"/>
      <c r="C4" s="6" t="n"/>
      <c r="D4" s="6" t="n"/>
      <c r="E4" s="6" t="n"/>
      <c r="F4" s="6" t="n"/>
      <c r="G4" s="6" t="n"/>
    </row>
    <row r="5">
      <c r="A5" s="6" t="inlineStr">
        <is>
          <t>Profit/(loss) before tax</t>
        </is>
      </c>
      <c r="B5" s="6" t="n"/>
      <c r="C5" s="6" t="n">
        <v>25.1</v>
      </c>
      <c r="D5" s="6" t="n">
        <v>42.2</v>
      </c>
      <c r="E5" s="6" t="n">
        <v>7.4</v>
      </c>
      <c r="F5" s="6" t="n">
        <v>-9.9</v>
      </c>
      <c r="G5" s="6" t="n">
        <v>-15</v>
      </c>
    </row>
    <row r="6">
      <c r="A6" s="6" t="inlineStr">
        <is>
          <t>Income tax (paid)/received</t>
        </is>
      </c>
      <c r="B6" s="6" t="n"/>
      <c r="C6" s="6" t="n">
        <v>-4.7</v>
      </c>
      <c r="D6" s="6" t="n">
        <v>-3.1</v>
      </c>
      <c r="E6" s="6" t="n">
        <v>0</v>
      </c>
      <c r="F6" s="6" t="n">
        <v>1.7</v>
      </c>
      <c r="G6" s="6" t="n">
        <v>-0.8</v>
      </c>
    </row>
    <row r="7">
      <c r="A7" s="6" t="inlineStr">
        <is>
          <t>Depreciation of property and equipment</t>
        </is>
      </c>
      <c r="B7" s="6" t="n"/>
      <c r="C7" s="6" t="n">
        <v>0.7</v>
      </c>
      <c r="D7" s="6" t="n">
        <v>0.9</v>
      </c>
      <c r="E7" s="6" t="n">
        <v>1</v>
      </c>
      <c r="F7" s="6" t="n">
        <v>0.9</v>
      </c>
      <c r="G7" s="6" t="n">
        <v>1</v>
      </c>
    </row>
    <row r="8">
      <c r="A8" s="6" t="inlineStr">
        <is>
          <t>Depreciation of ROU assets</t>
        </is>
      </c>
      <c r="B8" s="6" t="n"/>
      <c r="C8" s="6" t="n">
        <v>1.8</v>
      </c>
      <c r="D8" s="6" t="n">
        <v>1.5</v>
      </c>
      <c r="E8" s="6" t="n">
        <v>2</v>
      </c>
      <c r="F8" s="6" t="n">
        <v>1.6</v>
      </c>
      <c r="G8" s="6" t="n">
        <v>1.7</v>
      </c>
    </row>
    <row r="9">
      <c r="A9" s="6" t="inlineStr">
        <is>
          <t>Change in accrued interest receivable</t>
        </is>
      </c>
      <c r="B9" s="6" t="n"/>
      <c r="C9" s="6" t="n">
        <v>-3.2</v>
      </c>
      <c r="D9" s="6" t="n">
        <v>-72.7</v>
      </c>
      <c r="E9" s="6" t="n">
        <v>-38.2</v>
      </c>
      <c r="F9" s="6" t="n">
        <v>7.8</v>
      </c>
      <c r="G9" s="6" t="n">
        <v>6.5</v>
      </c>
    </row>
    <row r="10">
      <c r="A10" s="6" t="inlineStr">
        <is>
          <t>Change in accrued interest payable</t>
        </is>
      </c>
      <c r="B10" s="6" t="n"/>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c r="C12" s="6" t="n">
        <v>-44.5</v>
      </c>
      <c r="D12" s="6" t="n"/>
      <c r="E12" s="6" t="n"/>
      <c r="F12" s="6" t="n"/>
      <c r="G12" s="6" t="n"/>
    </row>
    <row r="13">
      <c r="A13" s="6" t="inlineStr">
        <is>
          <t>Change in trading securities</t>
        </is>
      </c>
      <c r="B13" s="6" t="n"/>
      <c r="C13" s="6" t="n">
        <v>-23.5</v>
      </c>
      <c r="D13" s="6" t="n">
        <v>-30.8</v>
      </c>
      <c r="E13" s="6" t="n">
        <v>-13.8</v>
      </c>
      <c r="F13" s="6" t="n">
        <v>-16.8</v>
      </c>
      <c r="G13" s="6" t="n">
        <v>-4.6</v>
      </c>
    </row>
    <row r="14">
      <c r="A14" s="6" t="inlineStr">
        <is>
          <t>Change in placements with banks</t>
        </is>
      </c>
      <c r="B14" s="6" t="n"/>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c r="C17" s="6" t="n">
        <v>922.6</v>
      </c>
      <c r="D17" s="6" t="n">
        <v>-430.9</v>
      </c>
      <c r="E17" s="6" t="n">
        <v>723</v>
      </c>
      <c r="F17" s="6" t="n">
        <v>-105.2</v>
      </c>
      <c r="G17" s="6" t="n">
        <v>-492.4</v>
      </c>
    </row>
    <row r="18">
      <c r="A18" s="6" t="inlineStr">
        <is>
          <t>Change in deposits from customers</t>
        </is>
      </c>
      <c r="B18" s="6" t="n"/>
      <c r="C18" s="6" t="n">
        <v>-6334.1</v>
      </c>
      <c r="D18" s="6" t="n">
        <v>9267.799999999999</v>
      </c>
      <c r="E18" s="6" t="n">
        <v>-565.2</v>
      </c>
      <c r="F18" s="6" t="n">
        <v>180.2</v>
      </c>
      <c r="G18" s="6" t="n">
        <v>-519.1</v>
      </c>
    </row>
    <row r="19">
      <c r="A19" s="6" t="inlineStr">
        <is>
          <t>Finance costs (lease liability)</t>
        </is>
      </c>
      <c r="B19" s="6" t="n"/>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Impairment</t>
        </is>
      </c>
      <c r="B21" s="6" t="n"/>
      <c r="C21" s="6" t="n">
        <v>-0.1</v>
      </c>
      <c r="D21" s="6" t="n">
        <v>0.2</v>
      </c>
      <c r="E21" s="6" t="n">
        <v>0.1</v>
      </c>
      <c r="F21" s="6" t="n">
        <v>0.9</v>
      </c>
      <c r="G21" s="6" t="n"/>
    </row>
    <row r="22">
      <c r="A22" s="5" t="inlineStr">
        <is>
          <t>Net cash (outflow)/inflow from operating activities</t>
        </is>
      </c>
      <c r="B22" s="5" t="n"/>
      <c r="C22" s="5" t="n">
        <v>-5792.9</v>
      </c>
      <c r="D22" s="5" t="n">
        <v>7492.2</v>
      </c>
      <c r="E22" s="5" t="n">
        <v>232.2</v>
      </c>
      <c r="F22" s="5" t="n">
        <v>252.6</v>
      </c>
      <c r="G22" s="5" t="n">
        <v>-1249.6</v>
      </c>
    </row>
    <row r="23">
      <c r="A23" s="5" t="inlineStr">
        <is>
          <t>Cash flows from investing activities</t>
        </is>
      </c>
      <c r="B23" s="6" t="n"/>
      <c r="C23" s="6" t="n"/>
      <c r="D23" s="6" t="n"/>
      <c r="E23" s="6" t="n"/>
      <c r="F23" s="6" t="n"/>
      <c r="G23" s="6" t="n"/>
    </row>
    <row r="24">
      <c r="A24" s="6" t="inlineStr">
        <is>
          <t>Net purchase of property and equipment</t>
        </is>
      </c>
      <c r="B24" s="6" t="n"/>
      <c r="C24" s="6" t="n">
        <v>-0.2</v>
      </c>
      <c r="D24" s="6" t="n">
        <v>-0.4</v>
      </c>
      <c r="E24" s="6" t="n">
        <v>-0</v>
      </c>
      <c r="F24" s="6" t="n">
        <v>-3.6</v>
      </c>
      <c r="G24" s="6" t="n">
        <v>-0.6</v>
      </c>
    </row>
    <row r="25">
      <c r="A25" s="5" t="inlineStr">
        <is>
          <t>Net cash used in investing activities</t>
        </is>
      </c>
      <c r="B25" s="5" t="n"/>
      <c r="C25" s="5" t="n">
        <v>-0.2</v>
      </c>
      <c r="D25" s="5" t="n">
        <v>-0.4</v>
      </c>
      <c r="E25" s="5" t="n">
        <v>-0</v>
      </c>
      <c r="F25" s="5" t="n">
        <v>-3.6</v>
      </c>
      <c r="G25" s="5" t="n">
        <v>-0.6</v>
      </c>
    </row>
    <row r="26">
      <c r="A26" s="5" t="inlineStr">
        <is>
          <t>Cash flows from financing activities</t>
        </is>
      </c>
      <c r="B26" s="6" t="n"/>
      <c r="C26" s="6" t="n"/>
      <c r="D26" s="6" t="n"/>
      <c r="E26" s="6" t="n"/>
      <c r="F26" s="6" t="n"/>
      <c r="G26" s="6" t="n"/>
    </row>
    <row r="27">
      <c r="A27" s="6" t="inlineStr">
        <is>
          <t>Payment of principal portion of lease liabilities</t>
        </is>
      </c>
      <c r="B27" s="6" t="n"/>
      <c r="C27" s="6" t="n">
        <v>-2.5</v>
      </c>
      <c r="D27" s="6" t="n">
        <v>-2.6</v>
      </c>
      <c r="E27" s="6" t="n">
        <v>-1.7</v>
      </c>
      <c r="F27" s="6" t="n">
        <v>-0.1</v>
      </c>
      <c r="G27" s="6" t="n">
        <v>-0.6</v>
      </c>
    </row>
    <row r="28">
      <c r="A28" s="5" t="inlineStr">
        <is>
          <t>Net cash used in financing activities</t>
        </is>
      </c>
      <c r="B28" s="5" t="n"/>
      <c r="C28" s="5" t="n">
        <v>-2.5</v>
      </c>
      <c r="D28" s="5" t="n">
        <v>-2.6</v>
      </c>
      <c r="E28" s="5" t="n">
        <v>-1.7</v>
      </c>
      <c r="F28" s="5" t="n">
        <v>-0.1</v>
      </c>
      <c r="G28" s="5" t="n">
        <v>-0.6</v>
      </c>
    </row>
    <row r="29">
      <c r="A29" s="5" t="inlineStr">
        <is>
          <t>Net (decrease)/increase in cash and cash equivalents</t>
        </is>
      </c>
      <c r="B29" s="5" t="n"/>
      <c r="C29" s="5" t="n">
        <v>-5795.6</v>
      </c>
      <c r="D29" s="5" t="n">
        <v>7489.1</v>
      </c>
      <c r="E29" s="5" t="n">
        <v>230.4</v>
      </c>
      <c r="F29" s="5" t="n">
        <v>248.9</v>
      </c>
      <c r="G29" s="5" t="n">
        <v>-1250.9</v>
      </c>
    </row>
    <row r="30">
      <c r="A30" s="6" t="inlineStr">
        <is>
          <t>Net foreign exchange difference (as reported, USD)</t>
        </is>
      </c>
      <c r="B30" s="6" t="n"/>
      <c r="C30" s="6" t="n">
        <v>-75.59999999999999</v>
      </c>
      <c r="D30" s="6" t="n">
        <v>194.1</v>
      </c>
      <c r="E30" s="6" t="n">
        <v>-451.6</v>
      </c>
      <c r="F30" s="6" t="n"/>
      <c r="G30" s="6" t="n"/>
    </row>
    <row r="31">
      <c r="A31" s="6" t="inlineStr">
        <is>
          <t>Effect of GBP/USD translation (£ conversion artefact - see FX note)</t>
        </is>
      </c>
      <c r="B31" s="6" t="n"/>
      <c r="C31" s="6" t="n">
        <v>77.40000000000001</v>
      </c>
      <c r="D31" s="6" t="n">
        <v>-396.3</v>
      </c>
      <c r="E31" s="6" t="n">
        <v>482.7</v>
      </c>
      <c r="F31" s="6" t="n">
        <v>44.1</v>
      </c>
      <c r="G31" s="6" t="n">
        <v>-94.90000000000001</v>
      </c>
    </row>
    <row r="32">
      <c r="A32" s="6" t="inlineStr">
        <is>
          <t>Cash and cash equivalents at beginning of year</t>
        </is>
      </c>
      <c r="B32" s="6" t="n"/>
      <c r="C32" s="6" t="n">
        <v>11689.6</v>
      </c>
      <c r="D32" s="6" t="n">
        <v>4402.7</v>
      </c>
      <c r="E32" s="6" t="n">
        <v>4141.2</v>
      </c>
      <c r="F32" s="6" t="n">
        <v>3848.2</v>
      </c>
      <c r="G32" s="6" t="n">
        <v>5194</v>
      </c>
    </row>
    <row r="33">
      <c r="A33" s="5" t="inlineStr">
        <is>
          <t>Cash and cash equivalents at end of year</t>
        </is>
      </c>
      <c r="B33" s="5" t="n"/>
      <c r="C33" s="5" t="n">
        <v>5895.8</v>
      </c>
      <c r="D33" s="5" t="n">
        <v>11689.6</v>
      </c>
      <c r="E33" s="5" t="n">
        <v>4402.7</v>
      </c>
      <c r="F33" s="5" t="n">
        <v>4141.2</v>
      </c>
      <c r="G33" s="5" t="n">
        <v>3848.2</v>
      </c>
    </row>
    <row r="35" ht="409" customHeight="1">
      <c r="A35"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£m, converted from USD - see source note. GIB UK does not lend to customers; credit risk sits in Placements with banks and Debt securities at amortised cost.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Placements with banks - gross carrying amount by IFRS 9 stage</t>
        </is>
      </c>
      <c r="B4" s="6" t="n"/>
      <c r="C4" s="6" t="n"/>
      <c r="D4" s="6" t="n"/>
      <c r="E4" s="6" t="n"/>
      <c r="F4" s="6" t="n"/>
      <c r="G4" s="6" t="n"/>
    </row>
    <row r="5">
      <c r="A5" s="6" t="inlineStr">
        <is>
          <t>Stage 1 (Investment grade 1-4)</t>
        </is>
      </c>
      <c r="B5" s="6" t="n"/>
      <c r="C5" s="6" t="n">
        <v>4528.4</v>
      </c>
      <c r="D5" s="6" t="n">
        <v>4155.7</v>
      </c>
      <c r="E5" s="6" t="n">
        <v>3026.6</v>
      </c>
      <c r="F5" s="6" t="n">
        <v>2814.7</v>
      </c>
      <c r="G5" s="6" t="n">
        <v>3651.4</v>
      </c>
    </row>
    <row r="6">
      <c r="A6" s="6" t="inlineStr">
        <is>
          <t>Stage 2 (Sub-investment grade 5-7)</t>
        </is>
      </c>
      <c r="B6" s="6" t="n"/>
      <c r="C6" s="6" t="n"/>
      <c r="D6" s="6" t="n"/>
      <c r="E6" s="6" t="n"/>
      <c r="F6" s="6" t="n"/>
      <c r="G6" s="6" t="n"/>
    </row>
    <row r="7">
      <c r="A7" s="6" t="inlineStr">
        <is>
          <t>Stage 3 (Classified 8-10)</t>
        </is>
      </c>
      <c r="B7" s="6" t="n"/>
      <c r="C7" s="6" t="n"/>
      <c r="D7" s="6" t="n"/>
      <c r="E7" s="6" t="n"/>
      <c r="F7" s="6" t="n"/>
      <c r="G7" s="6" t="n"/>
    </row>
    <row r="8">
      <c r="A8" s="5" t="inlineStr">
        <is>
          <t>Total gross placements with banks</t>
        </is>
      </c>
      <c r="B8" s="5" t="n"/>
      <c r="C8" s="5" t="n">
        <v>4528.4</v>
      </c>
      <c r="D8" s="5" t="n">
        <v>4155.7</v>
      </c>
      <c r="E8" s="5" t="n">
        <v>3026.6</v>
      </c>
      <c r="F8" s="5" t="n">
        <v>2814.7</v>
      </c>
      <c r="G8" s="5" t="n">
        <v>3651.4</v>
      </c>
    </row>
    <row r="9">
      <c r="A9" s="6" t="inlineStr">
        <is>
          <t>Less: allowance for impairment losses</t>
        </is>
      </c>
      <c r="B9" s="6" t="n"/>
      <c r="C9" s="6" t="n">
        <v>-0.4</v>
      </c>
      <c r="D9" s="6" t="n">
        <v>-0.5</v>
      </c>
      <c r="E9" s="6" t="n">
        <v>-0.1</v>
      </c>
      <c r="F9" s="6" t="n">
        <v>-0.1</v>
      </c>
      <c r="G9" s="6" t="n">
        <v>-0.1</v>
      </c>
    </row>
    <row r="10">
      <c r="A10" s="5" t="inlineStr">
        <is>
          <t>Net placements with banks</t>
        </is>
      </c>
      <c r="B10" s="5" t="n"/>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c r="C12" s="6" t="n">
        <v>811.4</v>
      </c>
      <c r="D12" s="6" t="n">
        <v>761.4</v>
      </c>
      <c r="E12" s="6" t="n">
        <v>813.1</v>
      </c>
      <c r="F12" s="6" t="n">
        <v>741.2</v>
      </c>
      <c r="G12" s="6" t="n">
        <v>203.1</v>
      </c>
    </row>
    <row r="13">
      <c r="A13" s="6" t="inlineStr">
        <is>
          <t>Stage 2 (Sub-investment grade 5-7)</t>
        </is>
      </c>
      <c r="B13" s="6" t="n"/>
      <c r="C13" s="6" t="n"/>
      <c r="D13" s="6" t="n"/>
      <c r="E13" s="6" t="n"/>
      <c r="F13" s="6" t="n"/>
      <c r="G13" s="6" t="n"/>
    </row>
    <row r="14">
      <c r="A14" s="6" t="inlineStr">
        <is>
          <t>Stage 3 (Classified 8-10)</t>
        </is>
      </c>
      <c r="B14" s="6" t="n"/>
      <c r="C14" s="6" t="n"/>
      <c r="D14" s="6" t="n"/>
      <c r="E14" s="6" t="n"/>
      <c r="F14" s="6" t="n"/>
      <c r="G14" s="6" t="n"/>
    </row>
    <row r="15">
      <c r="A15" s="5" t="inlineStr">
        <is>
          <t>Total gross debt securities at amortised cost</t>
        </is>
      </c>
      <c r="B15" s="5" t="n"/>
      <c r="C15" s="5" t="n">
        <v>811.4</v>
      </c>
      <c r="D15" s="5" t="n">
        <v>761.4</v>
      </c>
      <c r="E15" s="5" t="n">
        <v>813.1</v>
      </c>
      <c r="F15" s="5" t="n">
        <v>741.2</v>
      </c>
      <c r="G15" s="5" t="n">
        <v>203.1</v>
      </c>
    </row>
    <row r="16">
      <c r="A16" s="6" t="inlineStr">
        <is>
          <t>Less: allowance for impairment losses</t>
        </is>
      </c>
      <c r="B16" s="6" t="n"/>
      <c r="C16" s="6" t="n">
        <v>-0</v>
      </c>
      <c r="D16" s="6" t="n">
        <v>-0.2</v>
      </c>
      <c r="E16" s="6" t="n">
        <v>-0.4</v>
      </c>
      <c r="F16" s="6" t="n">
        <v>-0.3</v>
      </c>
      <c r="G16" s="6" t="n">
        <v>-0.2</v>
      </c>
    </row>
    <row r="17">
      <c r="A17" s="5" t="inlineStr">
        <is>
          <t>Net debt securities at amortised cost</t>
        </is>
      </c>
      <c r="B17" s="5" t="n"/>
      <c r="C17" s="5" t="n">
        <v>811.4</v>
      </c>
      <c r="D17" s="5" t="n">
        <v>761.4</v>
      </c>
      <c r="E17" s="5" t="n">
        <v>812.7</v>
      </c>
      <c r="F17" s="5" t="n">
        <v>740.9</v>
      </c>
      <c r="G17" s="5" t="n">
        <v>202.9</v>
      </c>
    </row>
    <row r="18">
      <c r="A18" s="6" t="inlineStr">
        <is>
          <t>Placements with banks - ECL coverage ratio</t>
        </is>
      </c>
      <c r="B18" s="6" t="n"/>
      <c r="C18" s="6" t="inlineStr">
        <is>
          <t>0.009%</t>
        </is>
      </c>
      <c r="D18" s="6" t="inlineStr">
        <is>
          <t>0.012%</t>
        </is>
      </c>
      <c r="E18" s="6" t="inlineStr">
        <is>
          <t>0.004%</t>
        </is>
      </c>
      <c r="F18" s="6" t="inlineStr">
        <is>
          <t>0.003%</t>
        </is>
      </c>
      <c r="G18" s="6" t="inlineStr">
        <is>
          <t>0.002%</t>
        </is>
      </c>
    </row>
    <row r="19">
      <c r="A19" s="6" t="inlineStr">
        <is>
          <t>Debt securities - ECL coverage ratio</t>
        </is>
      </c>
      <c r="B19" s="6" t="n"/>
      <c r="C19" s="6" t="inlineStr">
        <is>
          <t>0.002%</t>
        </is>
      </c>
      <c r="D19" s="6" t="inlineStr">
        <is>
          <t>0.031%</t>
        </is>
      </c>
      <c r="E19" s="6" t="inlineStr">
        <is>
          <t>0.050%</t>
        </is>
      </c>
      <c r="F19" s="6" t="inlineStr">
        <is>
          <t>0.037%</t>
        </is>
      </c>
      <c r="G19" s="6" t="inlineStr">
        <is>
          <t>0.089%</t>
        </is>
      </c>
    </row>
    <row r="21" ht="409"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348</v>
      </c>
      <c r="D4" s="6" t="n">
        <v>323.3</v>
      </c>
      <c r="E4" s="6" t="n">
        <v>304.6</v>
      </c>
      <c r="F4" s="6" t="n">
        <v>275</v>
      </c>
      <c r="G4" s="6" t="n">
        <v>287.7</v>
      </c>
    </row>
    <row r="5">
      <c r="A5" s="6" t="inlineStr">
        <is>
          <t>CET1 capital after CRR regulatory adjustments (FY2020 as restated in the FY2021 edition's own 2020 comparative column, CRR basis)</t>
        </is>
      </c>
      <c r="B5" s="6" t="n"/>
      <c r="C5" s="6" t="n"/>
      <c r="D5" s="6" t="n"/>
      <c r="E5" s="6" t="n"/>
      <c r="F5" s="6" t="n"/>
      <c r="G5" s="6" t="n">
        <v>277.1</v>
      </c>
    </row>
    <row r="6" ht="200" customHeight="1">
      <c r="A6"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the word 'CET1' does not appear anywhere in that document.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22.18%</t>
        </is>
      </c>
      <c r="D4" s="6" t="inlineStr">
        <is>
          <t>22.74%</t>
        </is>
      </c>
      <c r="E4" s="6" t="inlineStr">
        <is>
          <t>23.65%</t>
        </is>
      </c>
      <c r="F4" s="6" t="inlineStr">
        <is>
          <t>19.22%</t>
        </is>
      </c>
      <c r="G4" s="6" t="inlineStr">
        <is>
          <t>26.48%</t>
        </is>
      </c>
    </row>
    <row r="5">
      <c r="A5" s="6" t="inlineStr">
        <is>
          <t>CET1 ratio (FY2020 as restated in the FY2021 edition's own 2020 comparative column, CRR basis)</t>
        </is>
      </c>
      <c r="B5" s="6" t="n"/>
      <c r="C5" s="6" t="n"/>
      <c r="D5" s="6" t="n"/>
      <c r="E5" s="6" t="n"/>
      <c r="F5" s="6" t="n"/>
      <c r="G5" s="6" t="inlineStr">
        <is>
          <t>26.04%</t>
        </is>
      </c>
    </row>
    <row r="6" ht="200" customHeight="1">
      <c r="A6" s="7" t="inlineStr">
        <is>
          <t>Note: FY2020's own edition prints no ratio called 'CET1 ratio' - it prints a Tier 1 ratio and a Total Capital ratio, both 26.48%, and that figure is used on all three ratio sheets for FY2020. The FY2021 edition's 2020 comparative column does name a CET1 ratio, 26.04%.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348</v>
      </c>
      <c r="D4" s="6" t="n">
        <v>323.3</v>
      </c>
      <c r="E4" s="6" t="n">
        <v>304.6</v>
      </c>
      <c r="F4" s="6" t="n">
        <v>275</v>
      </c>
      <c r="G4" s="6" t="n">
        <v>287.7</v>
      </c>
    </row>
    <row r="5">
      <c r="A5" s="6" t="inlineStr">
        <is>
          <t>Tier 1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 capital in every year - the Bank holds no Additional Tier 1 (AT1)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22.18%</t>
        </is>
      </c>
      <c r="D4" s="6" t="inlineStr">
        <is>
          <t>22.74%</t>
        </is>
      </c>
      <c r="E4" s="6" t="inlineStr">
        <is>
          <t>23.65%</t>
        </is>
      </c>
      <c r="F4" s="6" t="inlineStr">
        <is>
          <t>19.22%</t>
        </is>
      </c>
      <c r="G4" s="6" t="inlineStr">
        <is>
          <t>26.48%</t>
        </is>
      </c>
    </row>
    <row r="5">
      <c r="A5" s="6" t="inlineStr">
        <is>
          <t>Tier 1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348</v>
      </c>
      <c r="D4" s="6" t="n">
        <v>323.3</v>
      </c>
      <c r="E4" s="6" t="n">
        <v>304.6</v>
      </c>
      <c r="F4" s="6" t="n">
        <v>275</v>
      </c>
      <c r="G4" s="6" t="n">
        <v>287.7</v>
      </c>
    </row>
    <row r="5">
      <c r="A5" s="6" t="inlineStr">
        <is>
          <t>Total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CET1/Tier 1 capital in every year - the Bank holds no AT1 or Tier 2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inlineStr">
        <is>
          <t>22.18%</t>
        </is>
      </c>
      <c r="D4" s="6" t="inlineStr">
        <is>
          <t>22.74%</t>
        </is>
      </c>
      <c r="E4" s="6" t="inlineStr">
        <is>
          <t>23.65%</t>
        </is>
      </c>
      <c r="F4" s="6" t="inlineStr">
        <is>
          <t>19.22%</t>
        </is>
      </c>
      <c r="G4" s="6" t="inlineStr">
        <is>
          <t>26.48%</t>
        </is>
      </c>
    </row>
    <row r="5">
      <c r="A5" s="6" t="inlineStr">
        <is>
          <t>Total capital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c r="C4" s="6" t="n">
        <v>1569.1</v>
      </c>
      <c r="D4" s="6" t="n">
        <v>1421.6</v>
      </c>
      <c r="E4" s="6" t="n">
        <v>1287.6</v>
      </c>
      <c r="F4" s="6" t="n">
        <v>1429.1</v>
      </c>
      <c r="G4" s="6" t="n">
        <v>1084.8</v>
      </c>
    </row>
    <row r="5">
      <c r="A5" s="6" t="inlineStr">
        <is>
          <t>Total risk-weighted exposure amount (FY2020 as restated in the FY2021 edition's own 2020 comparative column, CRR basis)</t>
        </is>
      </c>
      <c r="B5" s="6" t="n"/>
      <c r="C5" s="6" t="n"/>
      <c r="D5" s="6" t="n"/>
      <c r="E5" s="6" t="n"/>
      <c r="F5" s="6" t="n"/>
      <c r="G5" s="6" t="n">
        <v>1085.2</v>
      </c>
    </row>
    <row r="6" ht="200" customHeight="1">
      <c r="A6" s="7" t="inlineStr">
        <is>
          <t>Note: FY2020's own edition prints its RWA total in $ millions ($1,482m); the FY2021 edition's 2020 comparative column prints the same total to $'000 ($1,482,468k), and it is that finer figure to which the FY2020 RWA Breakdown components sum exactly. Both are shown.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£m, converted from USD - see source note. UK OV1 template.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5">
      <c r="A15" s="5" t="inlineStr">
        <is>
          <t>FY2020 restated - FY2021 edition's own 2020 comparative column (CRR basis, section 5.2)</t>
        </is>
      </c>
      <c r="B15" s="6" t="n"/>
      <c r="C15" s="6" t="n"/>
      <c r="D15" s="6" t="n"/>
      <c r="E15" s="6" t="n"/>
      <c r="F15" s="6" t="n"/>
      <c r="G15" s="6" t="n"/>
    </row>
    <row r="16">
      <c r="A16" s="6" t="inlineStr">
        <is>
          <t>Credit and counterparty risk, combined as the FY2021 edition presents it (FY2020 restated)</t>
        </is>
      </c>
      <c r="B16" s="6" t="n"/>
      <c r="C16" s="6" t="n"/>
      <c r="D16" s="6" t="n"/>
      <c r="E16" s="6" t="n"/>
      <c r="F16" s="6" t="n"/>
      <c r="G16" s="6" t="n">
        <v>882.9</v>
      </c>
    </row>
    <row r="17">
      <c r="A17" s="6" t="inlineStr">
        <is>
          <t>CVA risk (FY2020 restated) - not broken out at all in the FY2020 edition</t>
        </is>
      </c>
      <c r="B17" s="6" t="n"/>
      <c r="C17" s="6" t="n"/>
      <c r="D17" s="6" t="n"/>
      <c r="E17" s="6" t="n"/>
      <c r="F17" s="6" t="n"/>
      <c r="G17" s="6" t="n">
        <v>3.6</v>
      </c>
    </row>
    <row r="18">
      <c r="A18" s="6" t="inlineStr">
        <is>
          <t>Market risk (FY2020 restated)</t>
        </is>
      </c>
      <c r="B18" s="6" t="n"/>
      <c r="C18" s="6" t="n"/>
      <c r="D18" s="6" t="n"/>
      <c r="E18" s="6" t="n"/>
      <c r="F18" s="6" t="n"/>
      <c r="G18" s="6" t="n">
        <v>104.6</v>
      </c>
    </row>
    <row r="19">
      <c r="A19" s="6" t="inlineStr">
        <is>
          <t>Operational risk (FY2020 restated) - stated directly, not derived</t>
        </is>
      </c>
      <c r="B19" s="6" t="n"/>
      <c r="C19" s="6" t="n"/>
      <c r="D19" s="6" t="n"/>
      <c r="E19" s="6" t="n"/>
      <c r="F19" s="6" t="n"/>
      <c r="G19" s="6" t="n">
        <v>94.09999999999999</v>
      </c>
    </row>
    <row r="20">
      <c r="A20" s="5" t="inlineStr">
        <is>
          <t>Total risk-weighted exposure amount (FY2020 restated) - the four rows above sum to this exactly</t>
        </is>
      </c>
      <c r="B20" s="5" t="n"/>
      <c r="C20" s="5" t="n"/>
      <c r="D20" s="5" t="n"/>
      <c r="E20" s="5" t="n"/>
      <c r="F20" s="5" t="n"/>
      <c r="G20" s="5" t="n">
        <v>1085.2</v>
      </c>
    </row>
    <row r="22" ht="409" customHeight="1">
      <c r="A22"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https://web.archive.org/web/20240223164517id_/https://gibam.com/assets/2022-GIBUK-Pillar-3-disclosures_VF.pdf
FY2020 (first block, the FY2020 edition's own Basel II-era figures): 'Basel II Pillar 3 Disclosures as at 31 December 2020', printed p.14 (section 4.1 credit risk RWA table, total 1,206; section 4.2 market risk RWA table, total 143.75) and printed p.15 (section 4.3 operational risk - capital requirement of $10.3m only) - https://web.archive.org/web/20220518000354id_/https://gibam.com/assets/2020-GIBUK-Pillar-3_Final.pdf. That edition predates the UK OV1 template and breaks out no CCR or CVA charge; its operational risk RWA is DERIVED here as capital requirement x 12.5, the same multiplier the document itself applies to market risk in its own section 4.2.
FY2020 (second block, restated): Pillar 3 Disclosures as at 31 December 2021, printed pp.24-25 (section 5.2 'Pillar 1 capital requirements'), 2020 comparative column - https://web.archive.org/web/20230329132856id_/https://gibam.com/assets/2021-GIBUK-Pillar-3_Final.pdf. Every figure in that block is STATED in that table, including the operational risk RWA (so it is no longer derived) and a CVA risk RWA of $4,913k that the FY2020 edition does not disclose at all.
THE PREVIOUSLY FLAGGED $3.5m FY2020 GAP IS NOW EXPLAINED AND CLOSED (2026-09-16). The three derivable FY2020-edition components sum to $1,478.5m against that edition's own separately reported Total RWAs of $1,482m. The restated block shows why: the missing piece is the CVA charge ($4,913k), which the Basel II-era edition does not break out, and the residual is $-million rounding. On the restated basis the four components sum to $1,482,468k exactly, with no gap. This is no longer an unexplained source-side discrepancy.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2:G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n"/>
      <c r="C5" s="6" t="inlineStr">
        <is>
          <t>5.02%</t>
        </is>
      </c>
      <c r="D5" s="6" t="inlineStr">
        <is>
          <t>5.28%</t>
        </is>
      </c>
      <c r="E5" s="6" t="inlineStr">
        <is>
          <t>7.17%</t>
        </is>
      </c>
      <c r="F5" s="6" t="inlineStr">
        <is>
          <t>3.52%</t>
        </is>
      </c>
      <c r="G5" s="6" t="inlineStr">
        <is>
          <t>4.61%</t>
        </is>
      </c>
    </row>
    <row r="6">
      <c r="A6" s="6" t="inlineStr">
        <is>
          <t>Total exposure measure excl. claims on central banks (FY2021 as restated in the FY2022 edition)</t>
        </is>
      </c>
      <c r="B6" s="6" t="n"/>
      <c r="C6" s="6" t="n"/>
      <c r="D6" s="6" t="n"/>
      <c r="E6" s="6" t="n"/>
      <c r="F6" s="6" t="n">
        <v>3896.4</v>
      </c>
      <c r="G6" s="6" t="n"/>
    </row>
    <row r="7">
      <c r="A7" s="6" t="inlineStr">
        <is>
          <t>Leverage ratio excl. claims on central banks (%) (FY2021 as restated in the FY2022 edition)</t>
        </is>
      </c>
      <c r="B7" s="6" t="n"/>
      <c r="C7" s="6" t="n"/>
      <c r="D7" s="6" t="n"/>
      <c r="E7" s="6" t="n"/>
      <c r="F7" s="6" t="inlineStr">
        <is>
          <t>7.06%</t>
        </is>
      </c>
      <c r="G7" s="6" t="n"/>
    </row>
    <row r="8">
      <c r="A8" s="6" t="inlineStr">
        <is>
          <t>Leverage ratio incl. claims on central banks (%) (additional disclosure, KM1 row 14b)</t>
        </is>
      </c>
      <c r="B8" s="6" t="n"/>
      <c r="C8" s="6" t="n"/>
      <c r="D8" s="6" t="inlineStr">
        <is>
          <t>1.92%</t>
        </is>
      </c>
      <c r="E8" s="6" t="n"/>
      <c r="F8" s="6" t="n"/>
      <c r="G8" s="6" t="n"/>
    </row>
    <row r="9">
      <c r="A9" s="6" t="inlineStr">
        <is>
          <t>Total exposure measure (FY2020 as restated in the FY2021 edition's own 2020 comparative column)</t>
        </is>
      </c>
      <c r="B9" s="6" t="n"/>
      <c r="C9" s="6" t="n"/>
      <c r="D9" s="6" t="n"/>
      <c r="E9" s="6" t="n"/>
      <c r="F9" s="6" t="n"/>
      <c r="G9" s="6" t="n">
        <v>7632.6</v>
      </c>
    </row>
    <row r="10">
      <c r="A10" s="6" t="inlineStr">
        <is>
          <t>Leverage ratio (%) (FY2020 as restated in the FY2021 edition's own 2020 comparative column)</t>
        </is>
      </c>
      <c r="B10" s="6" t="n"/>
      <c r="C10" s="6" t="n"/>
      <c r="D10" s="6" t="n"/>
      <c r="E10" s="6" t="n"/>
      <c r="F10" s="6" t="n"/>
      <c r="G10" s="6" t="inlineStr">
        <is>
          <t>3.63%</t>
        </is>
      </c>
    </row>
    <row r="11" ht="200" customHeight="1">
      <c r="A11"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on the first two rows are the single (unqualified) leverage ratio/exposure measure as originally reported those years,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
FY2021 RESTATEMENT BETWEEN EDITIONS (found 2026-09-16, both figures kept, deliberately NOT reconciled). FY2021's leverage is printed on two different bases by two different documents, and rows 3-4 above record the second one: (a) the FY2021 Pillar 3 edition, as originally reported, gives a total exposure measure of $10,573,209k and a ratio of 3.52% - rows 1-2 above; (b) the FY2022 Pillar 3 edition's own T-4/prior-year (31-Dec-21) comparative column, KM1 rows 13-14, restates the same year EXCLUDING claims on central banks at $5,268,295k and 7.06% - rows 3-4 above, sourced from the FOLLOWING year's edition rather than the FY2021 edition itself. Neither is miscast: both tie internally against the same FY2021 CET1 of $371,866k ($371,866k / $10,573,209k = 3.52%; $371,866k / $5,268,295k = 7.06%), and the difference between the two exposure measures ($5,304,914k) is of the same order as FY2021 cash and cash equivalents ($5,599,337k), consistent with central bank claims being the item removed. This is the FY2022 edition presenting FY2021 on the new UK Leverage Framework basis for comparability with its own current year, as its section 6.6 describes; it is a restatement of basis, not a correction of a figure, so both are shown rather than one being chosen. Consequence for reading the trend: rows 1-2 are NOT a like-for-like series across FY2020-FY2024 (FY2020/FY2021 include central bank claims, FY2022 onward exclude them); for a like-for-like excluding-central-banks comparison use row 3-4's FY2021 against FY2022-FY2024, and for a like-for-like including-central-banks comparison FY2023's 1.92% on row 5 is the only later year for which the Bank publishes that basis.
FY2020 RESTATEMENT BETWEEN EDITIONS (found 2026-09-16 on recovery of the FY2021 edition; the same two-bases pattern as FY2021, one year earlier; both figures kept, deliberately NOT reconciled). Rows 6-7 above record it. (a) The FY2020 edition, as originally reported, gives a total exposure measure of $8,524m and a ratio of 4.61% - rows 1-2 above - reconciled in its own section 7 table from Total Assets of $10,463m less SFT credit risk mitigation of $1,928m plus derivative add-ons of $25m and other adjustments of -$35m. (b) The FY2021 edition's own 2020 comparative column (printed p.6, key ratios) gives $10,426,834k and 3.63% - rows 6-7 above. Neither is miscast: the FY2020 edition's 4.61% ties against its own Tier 1 of $393m ($393m / $8,524m = 4.61%), and the FY2021 edition's 3.63% ties against its own restated FY2020 CET1 of $378,549k ($378,549k / $10,426,834k = 3.63%). The difference between the two exposure measures ($1,902,834k) is of the same order as the FY2020 edition's own SFT credit risk mitigation adjustment of $1,928m, consistent with the CRR basis not applying that netting - but that is an observation, not a reconciliation, and no figure here is derived from it. Consequence for reading the trend: rows 1-2 mix three bases across FY2020-FY2024 (FY2020 Basel II-era, FY2021 CRR including central bank claims, FY2022 onward CRR excluding them). Any leverage comparison should be made from this sheet, choosing rows on a single basis, rather than from the Overview sheet's single headline row.</t>
        </is>
      </c>
    </row>
    <row r="13" ht="409" customHeight="1">
      <c r="A13"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3:G13"/>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v>1037.9</v>
      </c>
      <c r="G5" s="6" t="n">
        <v>1477.9</v>
      </c>
    </row>
    <row r="6">
      <c r="A6" s="6" t="inlineStr">
        <is>
          <t>Liquidity Coverage Ratio (%)</t>
        </is>
      </c>
      <c r="B6" s="6" t="n"/>
      <c r="C6" s="6" t="inlineStr">
        <is>
          <t>286.32%</t>
        </is>
      </c>
      <c r="D6" s="6" t="inlineStr">
        <is>
          <t>286.40%</t>
        </is>
      </c>
      <c r="E6" s="6" t="inlineStr">
        <is>
          <t>354.15%</t>
        </is>
      </c>
      <c r="F6" s="6" t="inlineStr">
        <is>
          <t>480.13%</t>
        </is>
      </c>
      <c r="G6" s="6" t="inlineStr">
        <is>
          <t>290%</t>
        </is>
      </c>
    </row>
    <row r="7">
      <c r="A7" s="6" t="inlineStr">
        <is>
          <t>Average liquid assets buffer, Q4 2020 (quarterly-average basis, FY2021 edition)</t>
        </is>
      </c>
      <c r="B7" s="6" t="n"/>
      <c r="C7" s="6" t="n"/>
      <c r="D7" s="6" t="n"/>
      <c r="E7" s="6" t="n"/>
      <c r="F7" s="6" t="n"/>
      <c r="G7" s="6" t="n">
        <v>4565.6</v>
      </c>
    </row>
    <row r="8">
      <c r="A8" s="6" t="inlineStr">
        <is>
          <t>Average net flows, Q4 2020 (quarterly-average basis, FY2021 edition)</t>
        </is>
      </c>
      <c r="B8" s="6" t="n"/>
      <c r="C8" s="6" t="n"/>
      <c r="D8" s="6" t="n"/>
      <c r="E8" s="6" t="n"/>
      <c r="F8" s="6" t="n"/>
      <c r="G8" s="6" t="n">
        <v>1567.4</v>
      </c>
    </row>
    <row r="9">
      <c r="A9" s="6" t="inlineStr">
        <is>
          <t>Average liquidity coverage ratio, Q4 2020 (%) (quarterly-average basis, FY2021 edition)</t>
        </is>
      </c>
      <c r="B9" s="6" t="n"/>
      <c r="C9" s="6" t="n"/>
      <c r="D9" s="6" t="n"/>
      <c r="E9" s="6" t="n"/>
      <c r="F9" s="6" t="n"/>
      <c r="G9" s="6" t="inlineStr">
        <is>
          <t>291.28%</t>
        </is>
      </c>
    </row>
    <row r="10" ht="200" customHeight="1">
      <c r="A10" s="7" t="inlineStr">
        <is>
          <t>Note: Methodology differs for FY2021: that year's Pillar 3 report discloses LCR as a quarterly (not annual) average - Q4 2021 is used here as the closest analogue to later years' 12-month-average KM1 figure. FY2021 NET CASH OUTFLOWS, RE-SOURCED 2026-09-16: this cell was previously blank because the FY2021 edition's own 'Average net flows' caption is not the later KM1 'Total net cash outflows (adjusted value)' definition and was not approximated. It is now filled with $1,403,343k taken from the FY2022 Pillar 3 Disclosures' own T-4/prior-year (31-Dec-21) comparative column, KM1 row 16 - i.e. from the FOLLOWING year's edition, not the FY2021 edition itself - where the Bank restates FY2021 onto the exact KM1 definition used for FY2022 onward, making it directly comparable. Two cross-checks passed: (a) that same column's HQLA ($6,737,809k) and LCR (480.13%) are identical to the figures already transcribed here from the FY2021 edition, so the two documents are on the same basis rather than two different ones; and (b) $6,737,809k / $1,403,343k = 480.13%, exactly reproducing the printed ratio. The FY2022 edition also prints the gross components for FY2021 ($2,006,717k cash outflows and $603,374k cash inflows, total weighted value, KM1 rows UK 16a/16b); these are not rows on this sheet for any other year and were not added for FY2021 alone. THE HESITATION BEHIND THAT NOTE IS NOW RESOLVED (2026-09-16): when the FY2021 edition was recovered and its own quarterly liquidity table read directly, its Q4 2021 'Average net flows' turned out to be $1,403,343k - numerically IDENTICAL to the FY2022 edition's KM1 row 16 figure above - and its Q4 2021 average outflows and inflows ($2,006,717k and $603,374k) are likewise identical to that edition's KM1 rows UK 16a/16b. So the two differently-captioned figures are the same number reported twice, and the FY2021 figure on this row is now corroborated by the FY2021 edition itself, not only by the following year's.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
FY2020 IS ALSO CARRIED ON A SECOND, AVERAGING BASIS (rows 4-6 above, added 2026-09-16 on recovery of the FY2021 edition). This matters because the two are NOT the same measure and must not be merged. The FY2020 edition's own table (its section 5.3) is explicitly 'LCR as reported to the regulator AS AT 31 December 2020' - a point-in-time ratio - and that is what rows 1-3 carry for FY2020. The FY2021 edition's quarterly liquidity table (printed p.7) additionally reports FY2020 by quarter on an AVERAGING basis, and its Q4 2020 column gives an average liquidity coverage ratio of 291.28% on an average liquid assets buffer of $6,237,113k and average net flows of $2,141,287k. Two cross-checks passed: $6,237,113k / $2,141,287k = 291.28%, exactly reproducing the printed ratio; and that column's average net flows equal its own average outflows ($3,085,596k) less average inflows ($944,309k) exactly. This averaging basis is the SAME basis as the FY2021 figures already on rows 1-3 (which are that edition's Q4 2021 column), so rows 4-6 are what make FY2020 and FY2021 comparable to each other. Rows 1-3's FY2020 column is not comparable with its own FY2021 column, and neither FY2020 basis is identical to the 12-month-average KM1 figure used from FY2022 onward. Nothing was averaged, blended or back-solved here - every figure is printed in one of the two documents.</t>
        </is>
      </c>
    </row>
    <row r="12" ht="409" customHeight="1">
      <c r="A12"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0:G10"/>
    <mergeCell ref="A12:G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v>7659.6</v>
      </c>
    </row>
    <row r="5">
      <c r="A5" s="6" t="inlineStr">
        <is>
          <t>Total required stable funding</t>
        </is>
      </c>
      <c r="B5" s="6" t="n"/>
      <c r="C5" s="6" t="n">
        <v>1778.4</v>
      </c>
      <c r="D5" s="6" t="n">
        <v>1431.6</v>
      </c>
      <c r="E5" s="6" t="n">
        <v>853.1</v>
      </c>
      <c r="F5" s="6" t="n">
        <v>6993.5</v>
      </c>
      <c r="G5" s="6" t="n">
        <v>7420.1</v>
      </c>
    </row>
    <row r="6">
      <c r="A6" s="6" t="inlineStr">
        <is>
          <t>Net Stable Funding Ratio (%)</t>
        </is>
      </c>
      <c r="B6" s="6" t="n"/>
      <c r="C6" s="6" t="inlineStr">
        <is>
          <t>230.91%</t>
        </is>
      </c>
      <c r="D6" s="6" t="inlineStr">
        <is>
          <t>252.78%</t>
        </is>
      </c>
      <c r="E6" s="6" t="inlineStr">
        <is>
          <t>416.49%</t>
        </is>
      </c>
      <c r="F6" s="6" t="inlineStr">
        <is>
          <t>111.16%</t>
        </is>
      </c>
      <c r="G6" s="6" t="inlineStr">
        <is>
          <t>103.23%</t>
        </is>
      </c>
    </row>
    <row r="7" ht="200" customHeight="1">
      <c r="A7" s="7" t="inlineStr">
        <is>
          <t>Note: FY2021 is that year's Q4 (year-end) quarterly figure, as originally disclosed in quarterly form; FY2022 onward is each year's single annual KM1 figure.
FY2020 FILLED 2026-09-16 - THIS SHEET'S FY2020 COLUMN WAS PREVIOUSLY BLANK AND THE REASON GIVEN FOR THAT IS NOW SUPERSEDED. The old reason was correct as far as it went: the FY2020 Basel II-era Pillar 3 document genuinely discloses no NSFR ratio and no available/required stable funding figure of its own anywhere - its only mention of the concept is the upcoming regulatory 'binding NSFR measure of 100%' in its CRD V/CRR II preview section, which is not GIB UK's own ratio (re-confirmed by full-text search of the recovered document: 'NSFR' and 'stable funding' occur exactly once between them, in that preview). But the FY2021 edition, recovered on this date, carries a quarterly liquidity table (printed p.7) that reports BOTH 2021 and 2020 by quarter, and its Q4 2020 column states an NSFR of 103.23% on available stable funding of $10,463,760k and required stable funding of $10,136,594k. Those are the figures now in the FY2020 column. They are on the SAME Q4 quarterly basis as the FY2021 figures alongside them - which is why they occupy the same rows rather than separate labelled ones - and they are directly comparable with FY2021 but not strictly with the single annual KM1 figures from FY2022 onward. Cross-check passed: $10,463,760k / $10,136,594k = 103.23%, exactly reproducing the printed ratio. Nothing was derived: the ratio and both components are each printed in that table. FY2025 remains blank (no FY2025 edition published).</t>
        </is>
      </c>
    </row>
    <row r="9" ht="409"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t>
        </is>
      </c>
    </row>
    <row r="7" ht="409"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2026-09-16T00:54:33Z</dcterms:created>
  <dcterms:modified xmlns:dcterms="http://purl.org/dc/terms/" xmlns:xsi="http://www.w3.org/2001/XMLSchema-instance" xsi:type="dcterms:W3CDTF">2026-09-16T00:54:33Z</dcterms:modified>
</cp:coreProperties>
</file>