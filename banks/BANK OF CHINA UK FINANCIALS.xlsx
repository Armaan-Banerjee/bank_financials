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2274441</v>
      </c>
      <c r="C6" s="5" t="n">
        <v>2323319</v>
      </c>
      <c r="D6" s="5" t="n">
        <v>2079373</v>
      </c>
      <c r="E6" s="5" t="n">
        <v>2290593</v>
      </c>
      <c r="F6" s="5" t="n">
        <v>2151180</v>
      </c>
      <c r="I6" t="inlineStr">
        <is>
          <t>Total assets</t>
        </is>
      </c>
      <c r="J6" t="n">
        <v>2151180</v>
      </c>
      <c r="K6" t="n">
        <v>2290593</v>
      </c>
      <c r="L6" t="n">
        <v>2079373</v>
      </c>
      <c r="M6" t="n">
        <v>2323319</v>
      </c>
      <c r="N6" t="n">
        <v>2274441</v>
      </c>
      <c r="AO6" t="inlineStr">
        <is>
          <t>CET1 Ratio</t>
        </is>
      </c>
      <c r="AP6" t="n">
        <v>24.6</v>
      </c>
      <c r="AQ6" t="n">
        <v>23.4</v>
      </c>
      <c r="AR6" t="n">
        <v>26.8</v>
      </c>
      <c r="AS6" t="n">
        <v>24.8</v>
      </c>
      <c r="AT6" t="n">
        <v>27.2</v>
      </c>
    </row>
    <row r="7">
      <c r="A7" s="5" t="inlineStr">
        <is>
          <t>Loans and advances to customers</t>
        </is>
      </c>
      <c r="B7" s="5" t="n">
        <v>810985</v>
      </c>
      <c r="C7" s="5" t="n">
        <v>941507</v>
      </c>
      <c r="D7" s="5" t="n">
        <v>990763</v>
      </c>
      <c r="E7" s="5" t="n">
        <v>1122459</v>
      </c>
      <c r="F7" s="5" t="n">
        <v>1194653</v>
      </c>
      <c r="I7" t="inlineStr">
        <is>
          <t>Loans and advances to customers</t>
        </is>
      </c>
      <c r="J7" t="n">
        <v>1194653</v>
      </c>
      <c r="K7" t="n">
        <v>1122459</v>
      </c>
      <c r="L7" t="n">
        <v>990763</v>
      </c>
      <c r="M7" t="n">
        <v>941507</v>
      </c>
      <c r="N7" t="n">
        <v>810985</v>
      </c>
      <c r="AO7" t="inlineStr">
        <is>
          <t>Tier 1 Ratio</t>
        </is>
      </c>
      <c r="AP7" t="n">
        <v>24.6</v>
      </c>
      <c r="AQ7" t="n">
        <v>28.5</v>
      </c>
      <c r="AR7" t="n">
        <v>32.7</v>
      </c>
      <c r="AS7" t="n">
        <v>30.2</v>
      </c>
      <c r="AT7" t="n">
        <v>33.2</v>
      </c>
    </row>
    <row r="8">
      <c r="A8" s="5" t="inlineStr">
        <is>
          <t>Deposits from customers</t>
        </is>
      </c>
      <c r="B8" s="5" t="n">
        <v>1304816</v>
      </c>
      <c r="C8" s="5" t="n">
        <v>1355529</v>
      </c>
      <c r="D8" s="5" t="n">
        <v>1223068</v>
      </c>
      <c r="E8" s="5" t="n">
        <v>1291150</v>
      </c>
      <c r="F8" s="5" t="n">
        <v>1333523</v>
      </c>
      <c r="I8" t="inlineStr">
        <is>
          <t>Deposits from customers</t>
        </is>
      </c>
      <c r="J8" t="n">
        <v>1333523</v>
      </c>
      <c r="K8" t="n">
        <v>1291150</v>
      </c>
      <c r="L8" t="n">
        <v>1223068</v>
      </c>
      <c r="M8" t="n">
        <v>1355529</v>
      </c>
      <c r="N8" t="n">
        <v>1304816</v>
      </c>
      <c r="AO8" t="inlineStr">
        <is>
          <t>Total Capital Ratio</t>
        </is>
      </c>
      <c r="AP8" t="n">
        <v>29.9</v>
      </c>
      <c r="AQ8" t="n">
        <v>28.5</v>
      </c>
      <c r="AR8" t="n">
        <v>32.7</v>
      </c>
      <c r="AS8" t="n">
        <v>30.2</v>
      </c>
      <c r="AT8" t="n">
        <v>33.2</v>
      </c>
    </row>
    <row r="9">
      <c r="A9" s="5" t="inlineStr">
        <is>
          <t>Total shareholders' equity</t>
        </is>
      </c>
      <c r="B9" s="5" t="n">
        <v>399013</v>
      </c>
      <c r="C9" s="5" t="n">
        <v>413744</v>
      </c>
      <c r="D9" s="5" t="n">
        <v>433289</v>
      </c>
      <c r="E9" s="5" t="n">
        <v>401893</v>
      </c>
      <c r="F9" s="5" t="n">
        <v>306776</v>
      </c>
      <c r="I9" t="inlineStr">
        <is>
          <t>Total shareholders' equity</t>
        </is>
      </c>
      <c r="J9" t="n">
        <v>306776</v>
      </c>
      <c r="K9" t="n">
        <v>401893</v>
      </c>
      <c r="L9" t="n">
        <v>433289</v>
      </c>
      <c r="M9" t="n">
        <v>413744</v>
      </c>
      <c r="N9" t="n">
        <v>399013</v>
      </c>
      <c r="AO9" t="inlineStr">
        <is>
          <t>Leverage Ratio</t>
        </is>
      </c>
      <c r="AP9" t="n">
        <v>11.3</v>
      </c>
      <c r="AQ9" t="n">
        <v>18.5</v>
      </c>
      <c r="AR9" t="n">
        <v>22.7</v>
      </c>
      <c r="AS9" t="n">
        <v>22.9</v>
      </c>
      <c r="AT9" t="n">
        <v>24.4</v>
      </c>
    </row>
    <row r="10">
      <c r="AO10" t="inlineStr">
        <is>
          <t>LCR</t>
        </is>
      </c>
      <c r="AP10" t="n">
        <v>179</v>
      </c>
      <c r="AQ10" t="n">
        <v>182</v>
      </c>
      <c r="AR10" t="n">
        <v>387.3</v>
      </c>
      <c r="AS10" t="n">
        <v>372.5</v>
      </c>
      <c r="AT10" t="n">
        <v>324.1</v>
      </c>
    </row>
    <row r="11">
      <c r="A11" s="3" t="inlineStr">
        <is>
          <t>Profit &amp; Loss Summary (£'000)</t>
        </is>
      </c>
      <c r="AO11" t="inlineStr">
        <is>
          <t>NSFR</t>
        </is>
      </c>
      <c r="AP11" t="n">
        <v>151.3</v>
      </c>
      <c r="AQ11" t="n">
        <v>121</v>
      </c>
      <c r="AR11" t="n">
        <v>134.5</v>
      </c>
      <c r="AS11" t="n">
        <v>216.5</v>
      </c>
      <c r="AT11" t="n">
        <v>194.4</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188290</v>
      </c>
      <c r="C13" s="5" t="n">
        <v>187263</v>
      </c>
      <c r="D13" s="5" t="n">
        <v>206185</v>
      </c>
      <c r="E13" s="5" t="n">
        <v>150380</v>
      </c>
      <c r="F13" s="5" t="n">
        <v>124048</v>
      </c>
      <c r="Q13" t="inlineStr">
        <is>
          <t>Total income</t>
        </is>
      </c>
      <c r="R13" t="n">
        <v>124048</v>
      </c>
      <c r="S13" t="n">
        <v>150380</v>
      </c>
      <c r="T13" t="n">
        <v>206185</v>
      </c>
      <c r="U13" t="n">
        <v>187263</v>
      </c>
      <c r="V13" t="n">
        <v>188290</v>
      </c>
    </row>
    <row r="14">
      <c r="A14" s="5" t="inlineStr">
        <is>
          <t>Staff costs</t>
        </is>
      </c>
      <c r="B14" s="5" t="n">
        <v>-86079</v>
      </c>
      <c r="C14" s="5" t="n">
        <v>-72194</v>
      </c>
      <c r="D14" s="5" t="n">
        <v>-68058</v>
      </c>
      <c r="E14" s="5" t="n">
        <v>-59208</v>
      </c>
      <c r="F14" s="5" t="n">
        <v>-50154</v>
      </c>
      <c r="Q14" t="inlineStr">
        <is>
          <t>Staff costs</t>
        </is>
      </c>
      <c r="R14" t="n">
        <v>-50154</v>
      </c>
      <c r="S14" t="n">
        <v>-59208</v>
      </c>
      <c r="T14" t="n">
        <v>-68058</v>
      </c>
      <c r="U14" t="n">
        <v>-72194</v>
      </c>
      <c r="V14" t="n">
        <v>-86079</v>
      </c>
    </row>
    <row r="15">
      <c r="A15" s="5" t="inlineStr">
        <is>
          <t>Profit for the year</t>
        </is>
      </c>
      <c r="B15" s="5" t="n">
        <v>68931</v>
      </c>
      <c r="C15" s="5" t="n">
        <v>83917</v>
      </c>
      <c r="D15" s="5" t="n">
        <v>103213</v>
      </c>
      <c r="E15" s="5" t="n">
        <v>68564</v>
      </c>
      <c r="F15" s="5" t="n">
        <v>31478</v>
      </c>
      <c r="Q15" t="inlineStr">
        <is>
          <t>Profit for the year</t>
        </is>
      </c>
      <c r="R15" t="n">
        <v>31478</v>
      </c>
      <c r="S15" t="n">
        <v>68564</v>
      </c>
      <c r="T15" t="n">
        <v>103213</v>
      </c>
      <c r="U15" t="n">
        <v>83917</v>
      </c>
      <c r="V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413744</v>
      </c>
      <c r="C19" s="5" t="n">
        <v>433289</v>
      </c>
      <c r="D19" s="5" t="n">
        <v>401893</v>
      </c>
      <c r="E19" s="5" t="n">
        <v>306776</v>
      </c>
      <c r="F19" s="5" t="n">
        <v>342164</v>
      </c>
      <c r="Y19" t="inlineStr">
        <is>
          <t>Opening equity</t>
        </is>
      </c>
      <c r="Z19" t="n">
        <v>342164</v>
      </c>
      <c r="AA19" t="n">
        <v>306776</v>
      </c>
      <c r="AB19" t="n">
        <v>401893</v>
      </c>
      <c r="AC19" t="n">
        <v>433289</v>
      </c>
      <c r="AD19" t="n">
        <v>413744</v>
      </c>
    </row>
    <row r="20">
      <c r="A20" s="5" t="inlineStr">
        <is>
          <t>Total comprehensive income</t>
        </is>
      </c>
      <c r="B20" s="5" t="n">
        <v>69011</v>
      </c>
      <c r="C20" s="5" t="n">
        <v>83917</v>
      </c>
      <c r="D20" s="5" t="n">
        <v>103211</v>
      </c>
      <c r="E20" s="5" t="n">
        <v>68576</v>
      </c>
      <c r="F20" s="5" t="n">
        <v>31612</v>
      </c>
      <c r="Y20" t="inlineStr">
        <is>
          <t>Total comprehensive income</t>
        </is>
      </c>
      <c r="Z20" t="n">
        <v>31612</v>
      </c>
      <c r="AA20" t="n">
        <v>68576</v>
      </c>
      <c r="AB20" t="n">
        <v>103211</v>
      </c>
      <c r="AC20" t="n">
        <v>83917</v>
      </c>
      <c r="AD20" t="n">
        <v>69011</v>
      </c>
    </row>
    <row r="21">
      <c r="A21" s="5" t="inlineStr">
        <is>
          <t>Other movements, net (AT1 issued / dividends)</t>
        </is>
      </c>
      <c r="B21" s="5" t="n">
        <v>-83662</v>
      </c>
      <c r="C21" s="5" t="n">
        <v>-103462</v>
      </c>
      <c r="D21" s="5" t="n">
        <v>-71815</v>
      </c>
      <c r="E21" s="5" t="n">
        <v>26541</v>
      </c>
      <c r="F21" s="5" t="n">
        <v>-67000</v>
      </c>
      <c r="Y21" t="inlineStr">
        <is>
          <t>Other movements, net (AT1 issued / dividends)</t>
        </is>
      </c>
      <c r="Z21" t="n">
        <v>-67000</v>
      </c>
      <c r="AA21" t="n">
        <v>26541</v>
      </c>
      <c r="AB21" t="n">
        <v>-71815</v>
      </c>
      <c r="AC21" t="n">
        <v>-103462</v>
      </c>
      <c r="AD21" t="n">
        <v>-83662</v>
      </c>
    </row>
    <row r="22">
      <c r="A22" s="5" t="inlineStr">
        <is>
          <t>Closing equity</t>
        </is>
      </c>
      <c r="B22" s="5" t="n">
        <v>399013</v>
      </c>
      <c r="C22" s="5" t="n">
        <v>413744</v>
      </c>
      <c r="D22" s="5" t="n">
        <v>433289</v>
      </c>
      <c r="E22" s="5" t="n">
        <v>401893</v>
      </c>
      <c r="F22" s="5" t="n">
        <v>306776</v>
      </c>
      <c r="Y22" t="inlineStr">
        <is>
          <t>Closing equity</t>
        </is>
      </c>
      <c r="Z22" t="n">
        <v>306776</v>
      </c>
      <c r="AA22" t="n">
        <v>401893</v>
      </c>
      <c r="AB22" t="n">
        <v>433289</v>
      </c>
      <c r="AC22" t="n">
        <v>413744</v>
      </c>
      <c r="AD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111252</v>
      </c>
      <c r="C26" s="5" t="n">
        <v>405091</v>
      </c>
      <c r="D26" s="5" t="n">
        <v>233292</v>
      </c>
      <c r="E26" s="5" t="n">
        <v>22570</v>
      </c>
      <c r="F26" s="5" t="n">
        <v>304294</v>
      </c>
      <c r="AG26" t="inlineStr">
        <is>
          <t>Net cash generated from operating activities</t>
        </is>
      </c>
      <c r="AH26" t="n">
        <v>304294</v>
      </c>
      <c r="AI26" t="n">
        <v>22570</v>
      </c>
      <c r="AJ26" t="n">
        <v>233292</v>
      </c>
      <c r="AK26" t="n">
        <v>405091</v>
      </c>
      <c r="AL26" t="n">
        <v>111252</v>
      </c>
    </row>
    <row r="27">
      <c r="A27" s="5" t="inlineStr">
        <is>
          <t>Net cash from/(used in) investing activities</t>
        </is>
      </c>
      <c r="B27" s="5" t="n">
        <v>-2623</v>
      </c>
      <c r="C27" s="5" t="n">
        <v>-25826</v>
      </c>
      <c r="D27" s="5" t="n">
        <v>-74896</v>
      </c>
      <c r="E27" s="5" t="n">
        <v>-47511</v>
      </c>
      <c r="F27" s="5" t="n">
        <v>-1147</v>
      </c>
      <c r="AG27" t="inlineStr">
        <is>
          <t>Net cash from/(used in) investing activities</t>
        </is>
      </c>
      <c r="AH27" t="n">
        <v>-1147</v>
      </c>
      <c r="AI27" t="n">
        <v>-47511</v>
      </c>
      <c r="AJ27" t="n">
        <v>-74896</v>
      </c>
      <c r="AK27" t="n">
        <v>-25826</v>
      </c>
      <c r="AL27" t="n">
        <v>-2623</v>
      </c>
    </row>
    <row r="28">
      <c r="A28" s="5" t="inlineStr">
        <is>
          <t>Net cash used in financing activities</t>
        </is>
      </c>
      <c r="B28" s="5" t="n">
        <v>-84086</v>
      </c>
      <c r="C28" s="5" t="n">
        <v>-103953</v>
      </c>
      <c r="D28" s="5" t="n">
        <v>-71862</v>
      </c>
      <c r="E28" s="5" t="n">
        <v>-33536</v>
      </c>
      <c r="F28" s="5" t="n">
        <v>-68393</v>
      </c>
      <c r="AG28" t="inlineStr">
        <is>
          <t>Net cash used in financing activities</t>
        </is>
      </c>
      <c r="AH28" t="n">
        <v>-68393</v>
      </c>
      <c r="AI28" t="n">
        <v>-33536</v>
      </c>
      <c r="AJ28" t="n">
        <v>-71862</v>
      </c>
      <c r="AK28" t="n">
        <v>-103953</v>
      </c>
      <c r="AL28" t="n">
        <v>-84086</v>
      </c>
    </row>
    <row r="29">
      <c r="A29" s="5" t="inlineStr">
        <is>
          <t>Cash and cash equivalents at end of period</t>
        </is>
      </c>
      <c r="B29" s="5" t="n">
        <v>1073402</v>
      </c>
      <c r="C29" s="5" t="n">
        <v>1048859</v>
      </c>
      <c r="D29" s="5" t="n">
        <v>773547</v>
      </c>
      <c r="E29" s="5" t="n">
        <v>657656</v>
      </c>
      <c r="F29" s="5" t="n">
        <v>716133</v>
      </c>
      <c r="AG29" t="inlineStr">
        <is>
          <t>Cash and cash equivalents at end of period</t>
        </is>
      </c>
      <c r="AH29" t="n">
        <v>716133</v>
      </c>
      <c r="AI29" t="n">
        <v>657656</v>
      </c>
      <c r="AJ29" t="n">
        <v>773547</v>
      </c>
      <c r="AK29" t="n">
        <v>1048859</v>
      </c>
      <c r="AL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27.2%</t>
        </is>
      </c>
      <c r="C33" s="6" t="inlineStr">
        <is>
          <t>24.8%</t>
        </is>
      </c>
      <c r="D33" s="6" t="inlineStr">
        <is>
          <t>26.8%</t>
        </is>
      </c>
      <c r="E33" s="6" t="inlineStr">
        <is>
          <t>23.4%</t>
        </is>
      </c>
      <c r="F33" s="6" t="inlineStr">
        <is>
          <t>24.6%</t>
        </is>
      </c>
    </row>
    <row r="34">
      <c r="A34" s="6" t="inlineStr">
        <is>
          <t>Tier 1 Ratio</t>
        </is>
      </c>
      <c r="B34" s="6" t="inlineStr">
        <is>
          <t>33.2%</t>
        </is>
      </c>
      <c r="C34" s="6" t="inlineStr">
        <is>
          <t>30.2%</t>
        </is>
      </c>
      <c r="D34" s="6" t="inlineStr">
        <is>
          <t>32.7%</t>
        </is>
      </c>
      <c r="E34" s="6" t="inlineStr">
        <is>
          <t>28.5%</t>
        </is>
      </c>
      <c r="F34" s="6" t="inlineStr">
        <is>
          <t>24.6%</t>
        </is>
      </c>
    </row>
    <row r="35">
      <c r="A35" s="6" t="inlineStr">
        <is>
          <t>Total Capital Ratio</t>
        </is>
      </c>
      <c r="B35" s="6" t="inlineStr">
        <is>
          <t>33.2%</t>
        </is>
      </c>
      <c r="C35" s="6" t="inlineStr">
        <is>
          <t>30.2%</t>
        </is>
      </c>
      <c r="D35" s="6" t="inlineStr">
        <is>
          <t>32.7%</t>
        </is>
      </c>
      <c r="E35" s="6" t="inlineStr">
        <is>
          <t>28.5%</t>
        </is>
      </c>
      <c r="F35" s="6" t="inlineStr">
        <is>
          <t>29.9%</t>
        </is>
      </c>
    </row>
    <row r="36">
      <c r="A36" s="6" t="inlineStr">
        <is>
          <t>Leverage Ratio</t>
        </is>
      </c>
      <c r="B36" s="6" t="inlineStr">
        <is>
          <t>24.4%</t>
        </is>
      </c>
      <c r="C36" s="6" t="inlineStr">
        <is>
          <t>22.9%</t>
        </is>
      </c>
      <c r="D36" s="6" t="inlineStr">
        <is>
          <t>22.7%</t>
        </is>
      </c>
      <c r="E36" s="6" t="inlineStr">
        <is>
          <t>18.5%</t>
        </is>
      </c>
      <c r="F36" s="6" t="inlineStr">
        <is>
          <t>11.3%</t>
        </is>
      </c>
    </row>
    <row r="37">
      <c r="A37" s="6" t="inlineStr">
        <is>
          <t>LCR</t>
        </is>
      </c>
      <c r="B37" s="6" t="inlineStr">
        <is>
          <t>324.1%</t>
        </is>
      </c>
      <c r="C37" s="6" t="inlineStr">
        <is>
          <t>372.5%</t>
        </is>
      </c>
      <c r="D37" s="6" t="inlineStr">
        <is>
          <t>387.3%</t>
        </is>
      </c>
      <c r="E37" s="6" t="inlineStr">
        <is>
          <t>182.0%</t>
        </is>
      </c>
      <c r="F37" s="6" t="inlineStr">
        <is>
          <t>179.0%</t>
        </is>
      </c>
    </row>
    <row r="38">
      <c r="A38" s="6" t="inlineStr">
        <is>
          <t>NSFR</t>
        </is>
      </c>
      <c r="B38" s="6" t="inlineStr">
        <is>
          <t>194.4%</t>
        </is>
      </c>
      <c r="C38" s="6" t="inlineStr">
        <is>
          <t>216.5%</t>
        </is>
      </c>
      <c r="D38" s="6" t="inlineStr">
        <is>
          <t>134.5%</t>
        </is>
      </c>
      <c r="E38" s="6" t="inlineStr">
        <is>
          <t>121.0%</t>
        </is>
      </c>
      <c r="F38" s="6" t="inlineStr">
        <is>
          <t>151.3%</t>
        </is>
      </c>
    </row>
    <row r="40" ht="45"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982512</v>
      </c>
      <c r="C5" s="6" t="n">
        <v>975201</v>
      </c>
      <c r="D5" s="6" t="n">
        <v>687070</v>
      </c>
      <c r="E5" s="6" t="n">
        <v>657656</v>
      </c>
      <c r="F5" s="6" t="n">
        <v>716133</v>
      </c>
    </row>
    <row r="6">
      <c r="A6" s="6" t="inlineStr">
        <is>
          <t>Government bonds</t>
        </is>
      </c>
      <c r="B6" s="6" t="n">
        <v>142529</v>
      </c>
      <c r="C6" s="6" t="n">
        <v>144495</v>
      </c>
      <c r="D6" s="6" t="n">
        <v>118328</v>
      </c>
      <c r="E6" s="6" t="n">
        <v>44264</v>
      </c>
      <c r="F6" s="6" t="n"/>
    </row>
    <row r="7">
      <c r="A7" s="6" t="inlineStr">
        <is>
          <t>Loans and advances to banks</t>
        </is>
      </c>
      <c r="B7" s="6" t="n">
        <v>90733</v>
      </c>
      <c r="C7" s="6" t="n">
        <v>73658</v>
      </c>
      <c r="D7" s="6" t="n">
        <v>86477</v>
      </c>
      <c r="E7" s="6" t="n">
        <v>29357</v>
      </c>
      <c r="F7" s="6" t="n">
        <v>69065</v>
      </c>
    </row>
    <row r="8">
      <c r="A8" s="6" t="inlineStr">
        <is>
          <t>Loans and advances to customers</t>
        </is>
      </c>
      <c r="B8" s="6" t="n">
        <v>810985</v>
      </c>
      <c r="C8" s="6" t="n">
        <v>941507</v>
      </c>
      <c r="D8" s="6" t="n">
        <v>990763</v>
      </c>
      <c r="E8" s="6" t="n">
        <v>1122459</v>
      </c>
      <c r="F8" s="6" t="n">
        <v>1194653</v>
      </c>
    </row>
    <row r="9">
      <c r="A9" s="6" t="inlineStr">
        <is>
          <t>Derivative financial instruments</t>
        </is>
      </c>
      <c r="B9" s="6" t="n">
        <v>2504</v>
      </c>
      <c r="C9" s="6" t="n">
        <v>4667</v>
      </c>
      <c r="D9" s="6" t="n">
        <v>5506</v>
      </c>
      <c r="E9" s="6" t="n">
        <v>7702</v>
      </c>
      <c r="F9" s="6" t="n">
        <v>11</v>
      </c>
    </row>
    <row r="10">
      <c r="A10" s="6" t="inlineStr">
        <is>
          <t>Prepayments, accrued income and other assets</t>
        </is>
      </c>
      <c r="B10" s="6" t="n">
        <v>156554</v>
      </c>
      <c r="C10" s="6" t="n">
        <v>138246</v>
      </c>
      <c r="D10" s="6" t="n">
        <v>130581</v>
      </c>
      <c r="E10" s="6" t="n">
        <v>351967</v>
      </c>
      <c r="F10" s="6" t="n">
        <v>87868</v>
      </c>
    </row>
    <row r="11">
      <c r="A11" s="6" t="inlineStr">
        <is>
          <t>Financial assets at fair value through profit and loss</t>
        </is>
      </c>
      <c r="B11" s="6" t="n">
        <v>71293</v>
      </c>
      <c r="C11" s="6" t="n">
        <v>30150</v>
      </c>
      <c r="D11" s="6" t="n">
        <v>47445</v>
      </c>
      <c r="E11" s="6" t="n">
        <v>60514</v>
      </c>
      <c r="F11" s="6" t="n">
        <v>64659</v>
      </c>
    </row>
    <row r="12">
      <c r="A12" s="6" t="inlineStr">
        <is>
          <t>Current tax asset</t>
        </is>
      </c>
      <c r="B12" s="6" t="n">
        <v>4582</v>
      </c>
      <c r="C12" s="6" t="n">
        <v>2934</v>
      </c>
      <c r="D12" s="6" t="n">
        <v>637</v>
      </c>
      <c r="E12" s="6" t="n">
        <v>2351</v>
      </c>
      <c r="F12" s="6" t="n">
        <v>5979</v>
      </c>
    </row>
    <row r="13">
      <c r="A13" s="6" t="inlineStr">
        <is>
          <t>Deferred tax assets</t>
        </is>
      </c>
      <c r="B13" s="6" t="n">
        <v>289</v>
      </c>
      <c r="C13" s="6" t="n">
        <v>406</v>
      </c>
      <c r="D13" s="6" t="n">
        <v>359</v>
      </c>
      <c r="E13" s="6" t="n">
        <v>1280</v>
      </c>
      <c r="F13" s="6" t="n">
        <v>1283</v>
      </c>
    </row>
    <row r="14">
      <c r="A14" s="6" t="inlineStr">
        <is>
          <t>Property, plant and equipment</t>
        </is>
      </c>
      <c r="B14" s="6" t="n">
        <v>11573</v>
      </c>
      <c r="C14" s="6" t="n">
        <v>11419</v>
      </c>
      <c r="D14" s="6" t="n">
        <v>11902</v>
      </c>
      <c r="E14" s="6" t="n">
        <v>12769</v>
      </c>
      <c r="F14" s="6" t="n">
        <v>11167</v>
      </c>
    </row>
    <row r="15">
      <c r="A15" s="6" t="inlineStr">
        <is>
          <t>Intangible assets</t>
        </is>
      </c>
      <c r="B15" s="6" t="n">
        <v>887</v>
      </c>
      <c r="C15" s="6" t="n">
        <v>636</v>
      </c>
      <c r="D15" s="6" t="n">
        <v>305</v>
      </c>
      <c r="E15" s="6" t="n">
        <v>274</v>
      </c>
      <c r="F15" s="6" t="n">
        <v>362</v>
      </c>
    </row>
    <row r="16">
      <c r="A16" s="5" t="inlineStr">
        <is>
          <t>Total assets</t>
        </is>
      </c>
      <c r="B16" s="5" t="n">
        <v>2274441</v>
      </c>
      <c r="C16" s="5" t="n">
        <v>2323319</v>
      </c>
      <c r="D16" s="5" t="n">
        <v>2079373</v>
      </c>
      <c r="E16" s="5" t="n">
        <v>2290593</v>
      </c>
      <c r="F16" s="5" t="n">
        <v>2151180</v>
      </c>
    </row>
    <row r="17">
      <c r="A17" s="5" t="inlineStr">
        <is>
          <t>Liabilities</t>
        </is>
      </c>
      <c r="B17" s="6" t="n"/>
      <c r="C17" s="6" t="n"/>
      <c r="D17" s="6" t="n"/>
      <c r="E17" s="6" t="n"/>
      <c r="F17" s="6" t="n"/>
    </row>
    <row r="18">
      <c r="A18" s="6" t="inlineStr">
        <is>
          <t>Deposits from banks</t>
        </is>
      </c>
      <c r="B18" s="6" t="n">
        <v>511961</v>
      </c>
      <c r="C18" s="6" t="n">
        <v>493256</v>
      </c>
      <c r="D18" s="6" t="n">
        <v>369590</v>
      </c>
      <c r="E18" s="6" t="n">
        <v>539387</v>
      </c>
      <c r="F18" s="6" t="n">
        <v>396254</v>
      </c>
    </row>
    <row r="19">
      <c r="A19" s="6" t="inlineStr">
        <is>
          <t>Deposits from customers</t>
        </is>
      </c>
      <c r="B19" s="6" t="n">
        <v>1304816</v>
      </c>
      <c r="C19" s="6" t="n">
        <v>1355529</v>
      </c>
      <c r="D19" s="6" t="n">
        <v>1223068</v>
      </c>
      <c r="E19" s="6" t="n">
        <v>1291150</v>
      </c>
      <c r="F19" s="6" t="n">
        <v>1333523</v>
      </c>
    </row>
    <row r="20">
      <c r="A20" s="6" t="inlineStr">
        <is>
          <t>Derivative financial instruments</t>
        </is>
      </c>
      <c r="B20" s="6" t="n">
        <v>289</v>
      </c>
      <c r="C20" s="6" t="n">
        <v>2</v>
      </c>
      <c r="D20" s="6" t="n">
        <v>3</v>
      </c>
      <c r="E20" s="6" t="n">
        <v>13</v>
      </c>
      <c r="F20" s="6" t="n">
        <v>5280</v>
      </c>
    </row>
    <row r="21">
      <c r="A21" s="6" t="inlineStr">
        <is>
          <t>Other liabilities</t>
        </is>
      </c>
      <c r="B21" s="6" t="n">
        <v>39574</v>
      </c>
      <c r="C21" s="6" t="n">
        <v>37473</v>
      </c>
      <c r="D21" s="6" t="n">
        <v>38352</v>
      </c>
      <c r="E21" s="6" t="n">
        <v>50379</v>
      </c>
      <c r="F21" s="6" t="n">
        <v>43571</v>
      </c>
    </row>
    <row r="22">
      <c r="A22" s="6" t="inlineStr">
        <is>
          <t>Accruals and deferred income</t>
        </is>
      </c>
      <c r="B22" s="6" t="n">
        <v>18650</v>
      </c>
      <c r="C22" s="6" t="n">
        <v>23257</v>
      </c>
      <c r="D22" s="6" t="n">
        <v>15017</v>
      </c>
      <c r="E22" s="6" t="n">
        <v>7720</v>
      </c>
      <c r="F22" s="6" t="n">
        <v>5657</v>
      </c>
    </row>
    <row r="23">
      <c r="A23" s="6" t="inlineStr">
        <is>
          <t>Impairment provision on off balance sheet products</t>
        </is>
      </c>
      <c r="B23" s="6" t="n">
        <v>138</v>
      </c>
      <c r="C23" s="6" t="n">
        <v>58</v>
      </c>
      <c r="D23" s="6" t="n">
        <v>54</v>
      </c>
      <c r="E23" s="6" t="n">
        <v>51</v>
      </c>
      <c r="F23" s="6" t="n">
        <v>119</v>
      </c>
    </row>
    <row r="24">
      <c r="A24" s="6" t="inlineStr">
        <is>
          <t>Subordinated liabilities</t>
        </is>
      </c>
      <c r="B24" s="6" t="n"/>
      <c r="C24" s="6" t="n"/>
      <c r="D24" s="6" t="n"/>
      <c r="E24" s="6" t="n"/>
      <c r="F24" s="6" t="n">
        <v>60000</v>
      </c>
    </row>
    <row r="25">
      <c r="A25" s="5" t="inlineStr">
        <is>
          <t>Total liabilities</t>
        </is>
      </c>
      <c r="B25" s="5" t="n">
        <v>1875428</v>
      </c>
      <c r="C25" s="5" t="n">
        <v>1909575</v>
      </c>
      <c r="D25" s="5" t="n">
        <v>1646084</v>
      </c>
      <c r="E25" s="5" t="n">
        <v>1888700</v>
      </c>
      <c r="F25" s="5" t="n">
        <v>1844404</v>
      </c>
    </row>
    <row r="26">
      <c r="A26" s="5" t="inlineStr">
        <is>
          <t>Equity</t>
        </is>
      </c>
      <c r="B26" s="6" t="n"/>
      <c r="C26" s="6" t="n"/>
      <c r="D26" s="6" t="n"/>
      <c r="E26" s="6" t="n"/>
      <c r="F26" s="6" t="n"/>
    </row>
    <row r="27">
      <c r="A27" s="6" t="inlineStr">
        <is>
          <t>Authorised and called up share capital</t>
        </is>
      </c>
      <c r="B27" s="6" t="n">
        <v>250000</v>
      </c>
      <c r="C27" s="6" t="n">
        <v>250000</v>
      </c>
      <c r="D27" s="6" t="n">
        <v>250000</v>
      </c>
      <c r="E27" s="6" t="n">
        <v>250000</v>
      </c>
      <c r="F27" s="6" t="n">
        <v>250000</v>
      </c>
    </row>
    <row r="28">
      <c r="A28" s="6" t="inlineStr">
        <is>
          <t>Other equity instruments (Additional Tier 1)</t>
        </is>
      </c>
      <c r="B28" s="6" t="n">
        <v>60000</v>
      </c>
      <c r="C28" s="6" t="n">
        <v>60000</v>
      </c>
      <c r="D28" s="6" t="n">
        <v>60000</v>
      </c>
      <c r="E28" s="6" t="n">
        <v>60000</v>
      </c>
      <c r="F28" s="6" t="n"/>
    </row>
    <row r="29">
      <c r="A29" s="6" t="inlineStr">
        <is>
          <t>Retained earnings</t>
        </is>
      </c>
      <c r="B29" s="6" t="n">
        <v>89013</v>
      </c>
      <c r="C29" s="6" t="n">
        <v>103744</v>
      </c>
      <c r="D29" s="6" t="n">
        <v>123289</v>
      </c>
      <c r="E29" s="6" t="n">
        <v>91893</v>
      </c>
      <c r="F29" s="6" t="n">
        <v>56776</v>
      </c>
    </row>
    <row r="30">
      <c r="A30" s="5" t="inlineStr">
        <is>
          <t>Total shareholders' equity</t>
        </is>
      </c>
      <c r="B30" s="5" t="n">
        <v>399013</v>
      </c>
      <c r="C30" s="5" t="n">
        <v>413744</v>
      </c>
      <c r="D30" s="5" t="n">
        <v>433289</v>
      </c>
      <c r="E30" s="5" t="n">
        <v>401893</v>
      </c>
      <c r="F30" s="5" t="n">
        <v>306776</v>
      </c>
    </row>
    <row r="31">
      <c r="A31" s="5" t="inlineStr">
        <is>
          <t>Total liabilities and equity</t>
        </is>
      </c>
      <c r="B31" s="5" t="n">
        <v>2274441</v>
      </c>
      <c r="C31" s="5" t="n">
        <v>2323319</v>
      </c>
      <c r="D31" s="5" t="n">
        <v>2079373</v>
      </c>
      <c r="E31" s="5" t="n">
        <v>2290593</v>
      </c>
      <c r="F31" s="5" t="n">
        <v>2151180</v>
      </c>
    </row>
    <row r="33" ht="200" customHeight="1">
      <c r="A33"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Presentation notes: 'Government bonds' only appears as its own line from FY2022 onward (no separate line existed pre-2022 - blank for FY2021, not zero). 'Subordinated liabilities' (£60,000k, FY2021) was repaid and replaced by an equal £60,000k Additional Tier 1 instrument in June 2022 - both nil/blank in the years they don't apply. 'Investment in subsidiary companies' is nil every year and omitted as a row.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total equity ties out exactly either way (£306,776k).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110123</v>
      </c>
      <c r="C5" s="6" t="n">
        <v>128817</v>
      </c>
      <c r="D5" s="6" t="n">
        <v>121217</v>
      </c>
      <c r="E5" s="6" t="n">
        <v>62661</v>
      </c>
      <c r="F5" s="6" t="n">
        <v>36936</v>
      </c>
    </row>
    <row r="6">
      <c r="A6" s="6" t="inlineStr">
        <is>
          <t>Interest expense</t>
        </is>
      </c>
      <c r="B6" s="6" t="n">
        <v>-53024</v>
      </c>
      <c r="C6" s="6" t="n">
        <v>-57415</v>
      </c>
      <c r="D6" s="6" t="n">
        <v>-40422</v>
      </c>
      <c r="E6" s="6" t="n">
        <v>-13239</v>
      </c>
      <c r="F6" s="6" t="n">
        <v>-3650</v>
      </c>
    </row>
    <row r="7">
      <c r="A7" s="5" t="inlineStr">
        <is>
          <t>Net interest income</t>
        </is>
      </c>
      <c r="B7" s="5" t="n">
        <v>57099</v>
      </c>
      <c r="C7" s="5" t="n">
        <v>71402</v>
      </c>
      <c r="D7" s="5" t="n">
        <v>80795</v>
      </c>
      <c r="E7" s="5" t="n">
        <v>49422</v>
      </c>
      <c r="F7" s="5" t="n">
        <v>33286</v>
      </c>
    </row>
    <row r="8">
      <c r="A8" s="6" t="inlineStr">
        <is>
          <t>Fee and commission income</t>
        </is>
      </c>
      <c r="B8" s="6" t="n">
        <v>3399</v>
      </c>
      <c r="C8" s="6" t="n">
        <v>3228</v>
      </c>
      <c r="D8" s="6" t="n">
        <v>3378</v>
      </c>
      <c r="E8" s="6" t="n">
        <v>3955</v>
      </c>
      <c r="F8" s="6" t="n">
        <v>4294</v>
      </c>
    </row>
    <row r="9">
      <c r="A9" s="6" t="inlineStr">
        <is>
          <t>Fee and commission expense</t>
        </is>
      </c>
      <c r="B9" s="6" t="n">
        <v>-1462</v>
      </c>
      <c r="C9" s="6" t="n">
        <v>-1481</v>
      </c>
      <c r="D9" s="6" t="n">
        <v>-1692</v>
      </c>
      <c r="E9" s="6" t="n">
        <v>-1694</v>
      </c>
      <c r="F9" s="6" t="n">
        <v>-1319</v>
      </c>
    </row>
    <row r="10">
      <c r="A10" s="5" t="inlineStr">
        <is>
          <t>Net fee and commission income</t>
        </is>
      </c>
      <c r="B10" s="5" t="n">
        <v>1937</v>
      </c>
      <c r="C10" s="5" t="n">
        <v>1747</v>
      </c>
      <c r="D10" s="5" t="n">
        <v>1686</v>
      </c>
      <c r="E10" s="5" t="n">
        <v>2261</v>
      </c>
      <c r="F10" s="5" t="n">
        <v>2975</v>
      </c>
    </row>
    <row r="11">
      <c r="A11" s="6" t="inlineStr">
        <is>
          <t>Net fair value gain/(loss) on financial instruments</t>
        </is>
      </c>
      <c r="B11" s="6" t="n">
        <v>3431</v>
      </c>
      <c r="C11" s="6" t="n">
        <v>4711</v>
      </c>
      <c r="D11" s="6" t="n">
        <v>9119</v>
      </c>
      <c r="E11" s="6" t="n">
        <v>148</v>
      </c>
      <c r="F11" s="6" t="n">
        <v>1923</v>
      </c>
    </row>
    <row r="12">
      <c r="A12" s="6" t="inlineStr">
        <is>
          <t>Foreign exchange gain</t>
        </is>
      </c>
      <c r="B12" s="6" t="n">
        <v>2388</v>
      </c>
      <c r="C12" s="6" t="n">
        <v>2295</v>
      </c>
      <c r="D12" s="6" t="n">
        <v>386</v>
      </c>
      <c r="E12" s="6" t="n">
        <v>4916</v>
      </c>
      <c r="F12" s="6" t="n">
        <v>2590</v>
      </c>
    </row>
    <row r="13">
      <c r="A13" s="6" t="inlineStr">
        <is>
          <t>Net other operating income</t>
        </is>
      </c>
      <c r="B13" s="6" t="n">
        <v>123435</v>
      </c>
      <c r="C13" s="6" t="n">
        <v>107108</v>
      </c>
      <c r="D13" s="6" t="n">
        <v>114199</v>
      </c>
      <c r="E13" s="6" t="n">
        <v>93633</v>
      </c>
      <c r="F13" s="6" t="n">
        <v>83274</v>
      </c>
    </row>
    <row r="14">
      <c r="A14" s="5" t="inlineStr">
        <is>
          <t>Non-interest income</t>
        </is>
      </c>
      <c r="B14" s="5" t="n">
        <v>129254</v>
      </c>
      <c r="C14" s="5" t="n">
        <v>114114</v>
      </c>
      <c r="D14" s="5" t="n">
        <v>123704</v>
      </c>
      <c r="E14" s="5" t="n">
        <v>98697</v>
      </c>
      <c r="F14" s="5" t="n">
        <v>87787</v>
      </c>
    </row>
    <row r="15">
      <c r="A15" s="5" t="inlineStr">
        <is>
          <t>Total income</t>
        </is>
      </c>
      <c r="B15" s="5" t="n">
        <v>188290</v>
      </c>
      <c r="C15" s="5" t="n">
        <v>187263</v>
      </c>
      <c r="D15" s="5" t="n">
        <v>206185</v>
      </c>
      <c r="E15" s="5" t="n">
        <v>150380</v>
      </c>
      <c r="F15" s="5" t="n">
        <v>124048</v>
      </c>
    </row>
    <row r="16">
      <c r="A16" s="5" t="inlineStr">
        <is>
          <t>Expenses</t>
        </is>
      </c>
      <c r="B16" s="6" t="n"/>
      <c r="C16" s="6" t="n"/>
      <c r="D16" s="6" t="n"/>
      <c r="E16" s="6" t="n"/>
      <c r="F16" s="6" t="n"/>
    </row>
    <row r="17">
      <c r="A17" s="6" t="inlineStr">
        <is>
          <t>Staff costs</t>
        </is>
      </c>
      <c r="B17" s="6" t="n">
        <v>-86079</v>
      </c>
      <c r="C17" s="6" t="n">
        <v>-72194</v>
      </c>
      <c r="D17" s="6" t="n">
        <v>-68058</v>
      </c>
      <c r="E17" s="6" t="n">
        <v>-59208</v>
      </c>
      <c r="F17" s="6" t="n">
        <v>-50154</v>
      </c>
    </row>
    <row r="18">
      <c r="A18" s="6" t="inlineStr">
        <is>
          <t>Other expenses</t>
        </is>
      </c>
      <c r="B18" s="6" t="n">
        <v>-10029</v>
      </c>
      <c r="C18" s="6" t="n">
        <v>-9735</v>
      </c>
      <c r="D18" s="6" t="n">
        <v>-9543</v>
      </c>
      <c r="E18" s="6" t="n">
        <v>-9818</v>
      </c>
      <c r="F18" s="6" t="n">
        <v>-8924</v>
      </c>
    </row>
    <row r="19">
      <c r="A19" s="6" t="inlineStr">
        <is>
          <t>Depreciation of plant and equipment</t>
        </is>
      </c>
      <c r="B19" s="6" t="n">
        <v>-1870</v>
      </c>
      <c r="C19" s="6" t="n">
        <v>-1540</v>
      </c>
      <c r="D19" s="6" t="n">
        <v>-1572</v>
      </c>
      <c r="E19" s="6" t="n">
        <v>-1462</v>
      </c>
      <c r="F19" s="6" t="n">
        <v>-1802</v>
      </c>
    </row>
    <row r="20">
      <c r="A20" s="6" t="inlineStr">
        <is>
          <t>Amortisation of intangible assets</t>
        </is>
      </c>
      <c r="B20" s="6" t="n">
        <v>-161</v>
      </c>
      <c r="C20" s="6" t="n">
        <v>-104</v>
      </c>
      <c r="D20" s="6" t="n">
        <v>-52</v>
      </c>
      <c r="E20" s="6" t="n">
        <v>-271</v>
      </c>
      <c r="F20" s="6" t="n">
        <v>-237</v>
      </c>
    </row>
    <row r="21">
      <c r="A21" s="6" t="inlineStr">
        <is>
          <t>Credit/(provision) for expected credit losses</t>
        </is>
      </c>
      <c r="B21" s="6" t="n">
        <v>217</v>
      </c>
      <c r="C21" s="6" t="n">
        <v>3953</v>
      </c>
      <c r="D21" s="6" t="n">
        <v>11235</v>
      </c>
      <c r="E21" s="6" t="n">
        <v>11526</v>
      </c>
      <c r="F21" s="6" t="n">
        <v>-23665</v>
      </c>
    </row>
    <row r="22">
      <c r="A22" s="5" t="inlineStr">
        <is>
          <t>Profit before income tax</t>
        </is>
      </c>
      <c r="B22" s="5" t="n">
        <v>90368</v>
      </c>
      <c r="C22" s="5" t="n">
        <v>107643</v>
      </c>
      <c r="D22" s="5" t="n">
        <v>138195</v>
      </c>
      <c r="E22" s="5" t="n">
        <v>91147</v>
      </c>
      <c r="F22" s="5" t="n">
        <v>39266</v>
      </c>
    </row>
    <row r="23">
      <c r="A23" s="6" t="inlineStr">
        <is>
          <t>Income tax expense</t>
        </is>
      </c>
      <c r="B23" s="6" t="n">
        <v>-21437</v>
      </c>
      <c r="C23" s="6" t="n">
        <v>-23726</v>
      </c>
      <c r="D23" s="6" t="n">
        <v>-34982</v>
      </c>
      <c r="E23" s="6" t="n">
        <v>-22583</v>
      </c>
      <c r="F23" s="6" t="n">
        <v>-7788</v>
      </c>
    </row>
    <row r="24">
      <c r="A24" s="5" t="inlineStr">
        <is>
          <t>Profit for the year</t>
        </is>
      </c>
      <c r="B24" s="5" t="n">
        <v>68931</v>
      </c>
      <c r="C24" s="5" t="n">
        <v>83917</v>
      </c>
      <c r="D24" s="5" t="n">
        <v>103213</v>
      </c>
      <c r="E24" s="5" t="n">
        <v>68564</v>
      </c>
      <c r="F24" s="5" t="n">
        <v>31478</v>
      </c>
    </row>
    <row r="25">
      <c r="A25" s="5" t="inlineStr">
        <is>
          <t>Other comprehensive income</t>
        </is>
      </c>
      <c r="B25" s="6" t="n"/>
      <c r="C25" s="6" t="n"/>
      <c r="D25" s="6" t="n"/>
      <c r="E25" s="6" t="n"/>
      <c r="F25" s="6" t="n"/>
    </row>
    <row r="26">
      <c r="A26" s="6" t="inlineStr">
        <is>
          <t>Foreign currency translation</t>
        </is>
      </c>
      <c r="B26" s="6" t="n">
        <v>80</v>
      </c>
      <c r="C26" s="6" t="n"/>
      <c r="D26" s="6" t="n">
        <v>-2</v>
      </c>
      <c r="E26" s="6" t="n">
        <v>12</v>
      </c>
      <c r="F26" s="6" t="n">
        <v>134</v>
      </c>
    </row>
    <row r="27">
      <c r="A27" s="5" t="inlineStr">
        <is>
          <t>Other comprehensive income/(expense) for the year</t>
        </is>
      </c>
      <c r="B27" s="5" t="n">
        <v>80</v>
      </c>
      <c r="C27" s="5" t="n">
        <v>0</v>
      </c>
      <c r="D27" s="5" t="n">
        <v>-2</v>
      </c>
      <c r="E27" s="5" t="n">
        <v>12</v>
      </c>
      <c r="F27" s="5" t="n">
        <v>134</v>
      </c>
    </row>
    <row r="28">
      <c r="A28" s="5" t="inlineStr">
        <is>
          <t>Total comprehensive income for the year</t>
        </is>
      </c>
      <c r="B28" s="5" t="n">
        <v>69011</v>
      </c>
      <c r="C28" s="5" t="n">
        <v>83917</v>
      </c>
      <c r="D28" s="5" t="n">
        <v>103211</v>
      </c>
      <c r="E28" s="5" t="n">
        <v>68576</v>
      </c>
      <c r="F28" s="5" t="n">
        <v>31612</v>
      </c>
    </row>
    <row r="30" ht="180" customHeight="1">
      <c r="A30"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Profit before income tax ties exactly to the Cash Flow Statement's own 'Profit before income tax' row for every year, cross-checked as a reconciliation.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Foreign currency translation reserve</t>
        </is>
      </c>
      <c r="F3" s="4" t="inlineStr">
        <is>
          <t>Total</t>
        </is>
      </c>
    </row>
    <row r="4">
      <c r="A4" s="6" t="inlineStr">
        <is>
          <t>As at 1 January 2021</t>
        </is>
      </c>
      <c r="B4" s="6" t="n">
        <v>250000</v>
      </c>
      <c r="C4" s="6" t="n">
        <v>0</v>
      </c>
      <c r="D4" s="6" t="n">
        <v>92228</v>
      </c>
      <c r="E4" s="6" t="n">
        <v>-64</v>
      </c>
      <c r="F4" s="6" t="n">
        <v>342164</v>
      </c>
    </row>
    <row r="5">
      <c r="A5" s="6" t="inlineStr">
        <is>
          <t>Profit for the financial year</t>
        </is>
      </c>
      <c r="B5" s="6" t="n">
        <v>0</v>
      </c>
      <c r="C5" s="6" t="n">
        <v>0</v>
      </c>
      <c r="D5" s="6" t="n">
        <v>31478</v>
      </c>
      <c r="E5" s="6" t="n">
        <v>0</v>
      </c>
      <c r="F5" s="6" t="n">
        <v>31478</v>
      </c>
    </row>
    <row r="6">
      <c r="A6" s="6" t="inlineStr">
        <is>
          <t>Foreign exchange and other</t>
        </is>
      </c>
      <c r="B6" s="6" t="n">
        <v>0</v>
      </c>
      <c r="C6" s="6" t="n">
        <v>0</v>
      </c>
      <c r="D6" s="6" t="n">
        <v>0</v>
      </c>
      <c r="E6" s="6" t="n">
        <v>134</v>
      </c>
      <c r="F6" s="6" t="n">
        <v>134</v>
      </c>
    </row>
    <row r="7">
      <c r="A7" s="5" t="inlineStr">
        <is>
          <t>Total comprehensive income</t>
        </is>
      </c>
      <c r="B7" s="5" t="n">
        <v>0</v>
      </c>
      <c r="C7" s="5" t="n">
        <v>0</v>
      </c>
      <c r="D7" s="5" t="n">
        <v>31478</v>
      </c>
      <c r="E7" s="5" t="n">
        <v>134</v>
      </c>
      <c r="F7" s="5" t="n">
        <v>31612</v>
      </c>
    </row>
    <row r="8">
      <c r="A8" s="6" t="inlineStr">
        <is>
          <t>Dividend paid</t>
        </is>
      </c>
      <c r="B8" s="6" t="n">
        <v>0</v>
      </c>
      <c r="C8" s="6" t="n">
        <v>0</v>
      </c>
      <c r="D8" s="6" t="n">
        <v>-67000</v>
      </c>
      <c r="E8" s="6" t="n">
        <v>0</v>
      </c>
      <c r="F8" s="6" t="n">
        <v>-67000</v>
      </c>
    </row>
    <row r="9">
      <c r="A9" s="5" t="inlineStr">
        <is>
          <t>As at 31 December 2021</t>
        </is>
      </c>
      <c r="B9" s="5" t="n">
        <v>250000</v>
      </c>
      <c r="C9" s="5" t="n">
        <v>0</v>
      </c>
      <c r="D9" s="5" t="n">
        <v>56706</v>
      </c>
      <c r="E9" s="5" t="n">
        <v>70</v>
      </c>
      <c r="F9" s="5" t="n">
        <v>306776</v>
      </c>
    </row>
    <row r="10">
      <c r="A10" s="6" t="inlineStr">
        <is>
          <t>Additional Tier 1 capital issued</t>
        </is>
      </c>
      <c r="B10" s="6" t="n">
        <v>0</v>
      </c>
      <c r="C10" s="6" t="n">
        <v>60000</v>
      </c>
      <c r="D10" s="6" t="n">
        <v>0</v>
      </c>
      <c r="E10" s="6" t="n">
        <v>0</v>
      </c>
      <c r="F10" s="6" t="n">
        <v>60000</v>
      </c>
    </row>
    <row r="11">
      <c r="A11" s="6" t="inlineStr">
        <is>
          <t>Profit for the financial year</t>
        </is>
      </c>
      <c r="B11" s="6" t="n">
        <v>0</v>
      </c>
      <c r="C11" s="6" t="n">
        <v>0</v>
      </c>
      <c r="D11" s="6" t="n">
        <v>68564</v>
      </c>
      <c r="E11" s="6" t="n">
        <v>0</v>
      </c>
      <c r="F11" s="6" t="n">
        <v>68564</v>
      </c>
    </row>
    <row r="12">
      <c r="A12" s="6" t="inlineStr">
        <is>
          <t>Foreign exchange and other</t>
        </is>
      </c>
      <c r="B12" s="6" t="n">
        <v>0</v>
      </c>
      <c r="C12" s="6" t="n">
        <v>0</v>
      </c>
      <c r="D12" s="6" t="n">
        <v>0</v>
      </c>
      <c r="E12" s="6" t="n">
        <v>12</v>
      </c>
      <c r="F12" s="6" t="n">
        <v>12</v>
      </c>
    </row>
    <row r="13">
      <c r="A13" s="5" t="inlineStr">
        <is>
          <t>Total comprehensive income</t>
        </is>
      </c>
      <c r="B13" s="5" t="n">
        <v>0</v>
      </c>
      <c r="C13" s="5" t="n">
        <v>0</v>
      </c>
      <c r="D13" s="5" t="n">
        <v>68564</v>
      </c>
      <c r="E13" s="5" t="n">
        <v>12</v>
      </c>
      <c r="F13" s="5" t="n">
        <v>68576</v>
      </c>
    </row>
    <row r="14">
      <c r="A14" s="6" t="inlineStr">
        <is>
          <t>Dividend paid</t>
        </is>
      </c>
      <c r="B14" s="6" t="n">
        <v>0</v>
      </c>
      <c r="C14" s="6" t="n">
        <v>0</v>
      </c>
      <c r="D14" s="6" t="n">
        <v>-33459</v>
      </c>
      <c r="E14" s="6" t="n">
        <v>0</v>
      </c>
      <c r="F14" s="6" t="n">
        <v>-33459</v>
      </c>
    </row>
    <row r="15">
      <c r="A15" s="5" t="inlineStr">
        <is>
          <t>As at 31 December 2022</t>
        </is>
      </c>
      <c r="B15" s="5" t="n">
        <v>250000</v>
      </c>
      <c r="C15" s="5" t="n">
        <v>60000</v>
      </c>
      <c r="D15" s="5" t="n">
        <v>91811</v>
      </c>
      <c r="E15" s="5" t="n">
        <v>82</v>
      </c>
      <c r="F15" s="5" t="n">
        <v>401893</v>
      </c>
    </row>
    <row r="16">
      <c r="A16" s="6" t="inlineStr">
        <is>
          <t>Profit for the financial year</t>
        </is>
      </c>
      <c r="B16" s="6" t="n">
        <v>0</v>
      </c>
      <c r="C16" s="6" t="n">
        <v>0</v>
      </c>
      <c r="D16" s="6" t="n">
        <v>103213</v>
      </c>
      <c r="E16" s="6" t="n">
        <v>0</v>
      </c>
      <c r="F16" s="6" t="n">
        <v>103213</v>
      </c>
    </row>
    <row r="17">
      <c r="A17" s="6" t="inlineStr">
        <is>
          <t>Foreign exchange and other</t>
        </is>
      </c>
      <c r="B17" s="6" t="n">
        <v>0</v>
      </c>
      <c r="C17" s="6" t="n">
        <v>0</v>
      </c>
      <c r="D17" s="6" t="n">
        <v>0</v>
      </c>
      <c r="E17" s="6" t="n">
        <v>-2</v>
      </c>
      <c r="F17" s="6" t="n">
        <v>-2</v>
      </c>
    </row>
    <row r="18">
      <c r="A18" s="5" t="inlineStr">
        <is>
          <t>Total comprehensive income</t>
        </is>
      </c>
      <c r="B18" s="5" t="n">
        <v>0</v>
      </c>
      <c r="C18" s="5" t="n">
        <v>0</v>
      </c>
      <c r="D18" s="5" t="n">
        <v>103213</v>
      </c>
      <c r="E18" s="5" t="n">
        <v>-2</v>
      </c>
      <c r="F18" s="5" t="n">
        <v>103211</v>
      </c>
    </row>
    <row r="19">
      <c r="A19" s="6" t="inlineStr">
        <is>
          <t>Dividend paid</t>
        </is>
      </c>
      <c r="B19" s="6" t="n">
        <v>0</v>
      </c>
      <c r="C19" s="6" t="n">
        <v>0</v>
      </c>
      <c r="D19" s="6" t="n">
        <v>-71815</v>
      </c>
      <c r="E19" s="6" t="n">
        <v>0</v>
      </c>
      <c r="F19" s="6" t="n">
        <v>-71815</v>
      </c>
    </row>
    <row r="20">
      <c r="A20" s="5" t="inlineStr">
        <is>
          <t>As at 31 December 2023</t>
        </is>
      </c>
      <c r="B20" s="5" t="n">
        <v>250000</v>
      </c>
      <c r="C20" s="5" t="n">
        <v>60000</v>
      </c>
      <c r="D20" s="5" t="n">
        <v>123209</v>
      </c>
      <c r="E20" s="5" t="n">
        <v>80</v>
      </c>
      <c r="F20" s="5" t="n">
        <v>433289</v>
      </c>
    </row>
    <row r="21">
      <c r="A21" s="6" t="inlineStr">
        <is>
          <t>Profit for the financial year</t>
        </is>
      </c>
      <c r="B21" s="6" t="n">
        <v>0</v>
      </c>
      <c r="C21" s="6" t="n">
        <v>0</v>
      </c>
      <c r="D21" s="6" t="n">
        <v>83917</v>
      </c>
      <c r="E21" s="6" t="n">
        <v>0</v>
      </c>
      <c r="F21" s="6" t="n">
        <v>83917</v>
      </c>
    </row>
    <row r="22">
      <c r="A22" s="5" t="inlineStr">
        <is>
          <t>Total comprehensive income</t>
        </is>
      </c>
      <c r="B22" s="5" t="n">
        <v>0</v>
      </c>
      <c r="C22" s="5" t="n">
        <v>0</v>
      </c>
      <c r="D22" s="5" t="n">
        <v>83917</v>
      </c>
      <c r="E22" s="5" t="n">
        <v>0</v>
      </c>
      <c r="F22" s="5" t="n">
        <v>83917</v>
      </c>
    </row>
    <row r="23">
      <c r="A23" s="6" t="inlineStr">
        <is>
          <t>Dividend paid</t>
        </is>
      </c>
      <c r="B23" s="6" t="n">
        <v>0</v>
      </c>
      <c r="C23" s="6" t="n">
        <v>0</v>
      </c>
      <c r="D23" s="6" t="n">
        <v>-103462</v>
      </c>
      <c r="E23" s="6" t="n">
        <v>0</v>
      </c>
      <c r="F23" s="6" t="n">
        <v>-103462</v>
      </c>
    </row>
    <row r="24">
      <c r="A24" s="5" t="inlineStr">
        <is>
          <t>As at 31 December 2024</t>
        </is>
      </c>
      <c r="B24" s="5" t="n">
        <v>250000</v>
      </c>
      <c r="C24" s="5" t="n">
        <v>60000</v>
      </c>
      <c r="D24" s="5" t="n">
        <v>103664</v>
      </c>
      <c r="E24" s="5" t="n">
        <v>80</v>
      </c>
      <c r="F24" s="5" t="n">
        <v>413744</v>
      </c>
    </row>
    <row r="25">
      <c r="A25" s="6" t="inlineStr">
        <is>
          <t>Profit for the financial year</t>
        </is>
      </c>
      <c r="B25" s="6" t="n">
        <v>0</v>
      </c>
      <c r="C25" s="6" t="n">
        <v>0</v>
      </c>
      <c r="D25" s="6" t="n">
        <v>68931</v>
      </c>
      <c r="E25" s="6" t="n">
        <v>0</v>
      </c>
      <c r="F25" s="6" t="n">
        <v>68931</v>
      </c>
    </row>
    <row r="26">
      <c r="A26" s="6" t="inlineStr">
        <is>
          <t>Transfer</t>
        </is>
      </c>
      <c r="B26" s="6" t="n">
        <v>0</v>
      </c>
      <c r="C26" s="6" t="n">
        <v>0</v>
      </c>
      <c r="D26" s="6" t="n">
        <v>80</v>
      </c>
      <c r="E26" s="6" t="n">
        <v>-80</v>
      </c>
      <c r="F26" s="6" t="n">
        <v>0</v>
      </c>
    </row>
    <row r="27">
      <c r="A27" s="5" t="inlineStr">
        <is>
          <t>Total comprehensive income</t>
        </is>
      </c>
      <c r="B27" s="5" t="n">
        <v>0</v>
      </c>
      <c r="C27" s="5" t="n">
        <v>0</v>
      </c>
      <c r="D27" s="5" t="n">
        <v>69011</v>
      </c>
      <c r="E27" s="5" t="n">
        <v>0</v>
      </c>
      <c r="F27" s="5" t="n">
        <v>69011</v>
      </c>
    </row>
    <row r="28">
      <c r="A28" s="6" t="inlineStr">
        <is>
          <t>Dividend paid</t>
        </is>
      </c>
      <c r="B28" s="6" t="n">
        <v>0</v>
      </c>
      <c r="C28" s="6" t="n">
        <v>0</v>
      </c>
      <c r="D28" s="6" t="n">
        <v>-83662</v>
      </c>
      <c r="E28" s="6" t="n">
        <v>0</v>
      </c>
      <c r="F28" s="6" t="n">
        <v>-83662</v>
      </c>
    </row>
    <row r="29">
      <c r="A29" s="5" t="inlineStr">
        <is>
          <t>As at 31 December 2025</t>
        </is>
      </c>
      <c r="B29" s="5" t="n">
        <v>250000</v>
      </c>
      <c r="C29" s="5" t="n">
        <v>60000</v>
      </c>
      <c r="D29" s="5" t="n">
        <v>89013</v>
      </c>
      <c r="E29" s="5" t="n">
        <v>0</v>
      </c>
      <c r="F29" s="5" t="n">
        <v>399013</v>
      </c>
    </row>
    <row r="31" ht="190" customHeight="1">
      <c r="A31" s="8" t="inlineStr">
        <is>
          <t>Sources - Bank of China (UK) Limited's own Statement of Changes in Equity (Bank/solo basis), £'000, chronological roll-forward reconstructed from each year's own originally-published report: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1:F3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before income tax</t>
        </is>
      </c>
      <c r="B5" s="6" t="n">
        <v>90368</v>
      </c>
      <c r="C5" s="6" t="n">
        <v>107644</v>
      </c>
      <c r="D5" s="6" t="n">
        <v>138195</v>
      </c>
      <c r="E5" s="6" t="n">
        <v>91147</v>
      </c>
      <c r="F5" s="6" t="n">
        <v>39266</v>
      </c>
    </row>
    <row r="6">
      <c r="A6" s="6" t="inlineStr">
        <is>
          <t>Depreciation and amortisation of plant and equipment and intangible assets</t>
        </is>
      </c>
      <c r="B6" s="6" t="n">
        <v>2031</v>
      </c>
      <c r="C6" s="6" t="n">
        <v>1644</v>
      </c>
      <c r="D6" s="6" t="n">
        <v>1624</v>
      </c>
      <c r="E6" s="6" t="n">
        <v>1733</v>
      </c>
      <c r="F6" s="6" t="n">
        <v>2039</v>
      </c>
    </row>
    <row r="7">
      <c r="A7" s="6" t="inlineStr">
        <is>
          <t>Net (credit)/loss for expected credit losses</t>
        </is>
      </c>
      <c r="B7" s="6" t="n">
        <v>-297</v>
      </c>
      <c r="C7" s="6" t="n">
        <v>-3958</v>
      </c>
      <c r="D7" s="6" t="n">
        <v>-11237</v>
      </c>
      <c r="E7" s="6" t="n">
        <v>-11526</v>
      </c>
      <c r="F7" s="6" t="n">
        <v>23665</v>
      </c>
    </row>
    <row r="8">
      <c r="A8" s="6" t="inlineStr">
        <is>
          <t>Exchange rate movements on plant and equipment</t>
        </is>
      </c>
      <c r="B8" s="6" t="n"/>
      <c r="C8" s="6" t="n"/>
      <c r="D8" s="6" t="n"/>
      <c r="E8" s="6" t="n"/>
      <c r="F8" s="6" t="n">
        <v>-1</v>
      </c>
    </row>
    <row r="9">
      <c r="A9" s="6" t="inlineStr">
        <is>
          <t>Exchange rate movements on equity</t>
        </is>
      </c>
      <c r="B9" s="6" t="n"/>
      <c r="C9" s="6" t="n"/>
      <c r="D9" s="6" t="n">
        <v>-1</v>
      </c>
      <c r="E9" s="6" t="n">
        <v>12</v>
      </c>
      <c r="F9" s="6" t="n">
        <v>135</v>
      </c>
    </row>
    <row r="10">
      <c r="A10" s="6" t="inlineStr">
        <is>
          <t>Net fair value (gain)/loss on financial instruments</t>
        </is>
      </c>
      <c r="B10" s="6" t="n">
        <v>-1895</v>
      </c>
      <c r="C10" s="6" t="n">
        <v>-1310</v>
      </c>
      <c r="D10" s="6" t="n">
        <v>-7446</v>
      </c>
      <c r="E10" s="6" t="n">
        <v>10358</v>
      </c>
      <c r="F10" s="6" t="n">
        <v>2656</v>
      </c>
    </row>
    <row r="11">
      <c r="A11" s="5" t="inlineStr">
        <is>
          <t>Changes in operating assets and liabilities</t>
        </is>
      </c>
      <c r="B11" s="6" t="n"/>
      <c r="C11" s="6" t="n"/>
      <c r="D11" s="6" t="n"/>
      <c r="E11" s="6" t="n"/>
      <c r="F11" s="6" t="n"/>
    </row>
    <row r="12">
      <c r="A12" s="6" t="inlineStr">
        <is>
          <t>Change in derivative financial instruments assets</t>
        </is>
      </c>
      <c r="B12" s="6" t="n">
        <v>2163</v>
      </c>
      <c r="C12" s="6" t="n">
        <v>839</v>
      </c>
      <c r="D12" s="6" t="n">
        <v>2196</v>
      </c>
      <c r="E12" s="6" t="n">
        <v>-7691</v>
      </c>
      <c r="F12" s="6" t="n">
        <v>-8</v>
      </c>
    </row>
    <row r="13">
      <c r="A13" s="6" t="inlineStr">
        <is>
          <t>Change in loans and advances to banks</t>
        </is>
      </c>
      <c r="B13" s="6" t="n"/>
      <c r="C13" s="6" t="n"/>
      <c r="D13" s="6" t="n"/>
      <c r="E13" s="6" t="n">
        <v>39708</v>
      </c>
      <c r="F13" s="6" t="n">
        <v>41381</v>
      </c>
    </row>
    <row r="14">
      <c r="A14" s="6" t="inlineStr">
        <is>
          <t>Change in loans and advances to customers</t>
        </is>
      </c>
      <c r="B14" s="6" t="n">
        <v>130992</v>
      </c>
      <c r="C14" s="6" t="n">
        <v>53197</v>
      </c>
      <c r="D14" s="6" t="n">
        <v>142977</v>
      </c>
      <c r="E14" s="6" t="n">
        <v>83721</v>
      </c>
      <c r="F14" s="6" t="n">
        <v>-79736</v>
      </c>
    </row>
    <row r="15">
      <c r="A15" s="6" t="inlineStr">
        <is>
          <t>Change in financial assets at amortised cost/fair value</t>
        </is>
      </c>
      <c r="B15" s="6" t="n">
        <v>-39251</v>
      </c>
      <c r="C15" s="6" t="n">
        <v>16787</v>
      </c>
      <c r="D15" s="6" t="n">
        <v>20515</v>
      </c>
      <c r="E15" s="6" t="n">
        <v>-6213</v>
      </c>
      <c r="F15" s="6" t="n">
        <v>10167</v>
      </c>
    </row>
    <row r="16">
      <c r="A16" s="6" t="inlineStr">
        <is>
          <t>Change in financial assets at amortised cost - Government bonds</t>
        </is>
      </c>
      <c r="B16" s="6" t="n">
        <v>2147</v>
      </c>
      <c r="C16" s="6" t="n"/>
      <c r="D16" s="6" t="n"/>
      <c r="E16" s="6" t="n"/>
      <c r="F16" s="6" t="n"/>
    </row>
    <row r="17">
      <c r="A17" s="6" t="inlineStr">
        <is>
          <t>Change in other assets</t>
        </is>
      </c>
      <c r="B17" s="6" t="n">
        <v>-18315</v>
      </c>
      <c r="C17" s="6" t="n">
        <v>-7665</v>
      </c>
      <c r="D17" s="6" t="n">
        <v>221384</v>
      </c>
      <c r="E17" s="6" t="n">
        <v>-264099</v>
      </c>
      <c r="F17" s="6" t="n">
        <v>-9099</v>
      </c>
    </row>
    <row r="18">
      <c r="A18" s="6" t="inlineStr">
        <is>
          <t>Change in derivative financial instruments liabilities</t>
        </is>
      </c>
      <c r="B18" s="6" t="n">
        <v>287</v>
      </c>
      <c r="C18" s="6" t="n">
        <v>1</v>
      </c>
      <c r="D18" s="6" t="n">
        <v>-10</v>
      </c>
      <c r="E18" s="6" t="n">
        <v>-5267</v>
      </c>
      <c r="F18" s="6" t="n">
        <v>-3484</v>
      </c>
    </row>
    <row r="19">
      <c r="A19" s="6" t="inlineStr">
        <is>
          <t>Change in deposits from banks</t>
        </is>
      </c>
      <c r="B19" s="6" t="n">
        <v>18705</v>
      </c>
      <c r="C19" s="6" t="n">
        <v>123666</v>
      </c>
      <c r="D19" s="6" t="n">
        <v>-169797</v>
      </c>
      <c r="E19" s="6" t="n">
        <v>143133</v>
      </c>
      <c r="F19" s="6" t="n">
        <v>176876</v>
      </c>
    </row>
    <row r="20">
      <c r="A20" s="6" t="inlineStr">
        <is>
          <t>Change in deposits from customers</t>
        </is>
      </c>
      <c r="B20" s="6" t="n">
        <v>-50713</v>
      </c>
      <c r="C20" s="6" t="n">
        <v>132461</v>
      </c>
      <c r="D20" s="6" t="n">
        <v>-68081</v>
      </c>
      <c r="E20" s="6" t="n">
        <v>-42374</v>
      </c>
      <c r="F20" s="6" t="n">
        <v>117876</v>
      </c>
    </row>
    <row r="21">
      <c r="A21" s="6" t="inlineStr">
        <is>
          <t>Change in other liabilities and provisions</t>
        </is>
      </c>
      <c r="B21" s="6" t="n">
        <v>-2001</v>
      </c>
      <c r="C21" s="6" t="n">
        <v>7855</v>
      </c>
      <c r="D21" s="6" t="n">
        <v>-4681</v>
      </c>
      <c r="E21" s="6" t="n">
        <v>8883</v>
      </c>
      <c r="F21" s="6" t="n">
        <v>1456</v>
      </c>
    </row>
    <row r="22">
      <c r="A22" s="6" t="inlineStr">
        <is>
          <t>Income taxes paid</t>
        </is>
      </c>
      <c r="B22" s="6" t="n">
        <v>-22969</v>
      </c>
      <c r="C22" s="6" t="n">
        <v>-26070</v>
      </c>
      <c r="D22" s="6" t="n">
        <v>-32346</v>
      </c>
      <c r="E22" s="6" t="n">
        <v>-18955</v>
      </c>
      <c r="F22" s="6" t="n">
        <v>-18895</v>
      </c>
    </row>
    <row r="23">
      <c r="A23" s="5" t="inlineStr">
        <is>
          <t>Net cash generated from operating activities</t>
        </is>
      </c>
      <c r="B23" s="5" t="n">
        <v>111252</v>
      </c>
      <c r="C23" s="5" t="n">
        <v>405091</v>
      </c>
      <c r="D23" s="5" t="n">
        <v>233292</v>
      </c>
      <c r="E23" s="5" t="n">
        <v>22570</v>
      </c>
      <c r="F23" s="5" t="n">
        <v>304294</v>
      </c>
    </row>
    <row r="24">
      <c r="A24" s="5" t="inlineStr">
        <is>
          <t>Cash flows from investing activities</t>
        </is>
      </c>
      <c r="B24" s="6" t="n"/>
      <c r="C24" s="6" t="n"/>
      <c r="D24" s="6" t="n"/>
      <c r="E24" s="6" t="n"/>
      <c r="F24" s="6" t="n"/>
    </row>
    <row r="25">
      <c r="A25" s="6" t="inlineStr">
        <is>
          <t>Acquisition of government bonds</t>
        </is>
      </c>
      <c r="B25" s="6" t="n">
        <v>-78477</v>
      </c>
      <c r="C25" s="6" t="n">
        <v>-36107</v>
      </c>
      <c r="D25" s="6" t="n">
        <v>-74108</v>
      </c>
      <c r="E25" s="6" t="n">
        <v>-44264</v>
      </c>
      <c r="F25" s="6" t="n"/>
    </row>
    <row r="26">
      <c r="A26" s="6" t="inlineStr">
        <is>
          <t>Proceeds from government bonds</t>
        </is>
      </c>
      <c r="B26" s="6" t="n">
        <v>78289</v>
      </c>
      <c r="C26" s="6" t="n">
        <v>11775</v>
      </c>
      <c r="D26" s="6" t="n"/>
      <c r="E26" s="6" t="n"/>
      <c r="F26" s="6" t="n"/>
    </row>
    <row r="27">
      <c r="A27" s="6" t="inlineStr">
        <is>
          <t>Acquisition of property, plant and equipment</t>
        </is>
      </c>
      <c r="B27" s="6" t="n">
        <v>-2120</v>
      </c>
      <c r="C27" s="6" t="n">
        <v>-1086</v>
      </c>
      <c r="D27" s="6" t="n">
        <v>-745</v>
      </c>
      <c r="E27" s="6" t="n">
        <v>-3086</v>
      </c>
      <c r="F27" s="6" t="n">
        <v>-1349</v>
      </c>
    </row>
    <row r="28">
      <c r="A28" s="6" t="inlineStr">
        <is>
          <t>Acquisition of intangible assets</t>
        </is>
      </c>
      <c r="B28" s="6" t="n">
        <v>-412</v>
      </c>
      <c r="C28" s="6" t="n">
        <v>-435</v>
      </c>
      <c r="D28" s="6" t="n">
        <v>-83</v>
      </c>
      <c r="E28" s="6" t="n">
        <v>-183</v>
      </c>
      <c r="F28" s="6" t="n">
        <v>-86</v>
      </c>
    </row>
    <row r="29">
      <c r="A29" s="6" t="inlineStr">
        <is>
          <t>Proceeds from disposal of property, plant and equipment</t>
        </is>
      </c>
      <c r="B29" s="6" t="n">
        <v>97</v>
      </c>
      <c r="C29" s="6" t="n">
        <v>27</v>
      </c>
      <c r="D29" s="6" t="n">
        <v>40</v>
      </c>
      <c r="E29" s="6" t="n">
        <v>22</v>
      </c>
      <c r="F29" s="6" t="n">
        <v>272</v>
      </c>
    </row>
    <row r="30">
      <c r="A30" s="6" t="inlineStr">
        <is>
          <t>Proceeds from disposal of intangible assets</t>
        </is>
      </c>
      <c r="B30" s="6" t="n"/>
      <c r="C30" s="6" t="n"/>
      <c r="D30" s="6" t="n"/>
      <c r="E30" s="6" t="n"/>
      <c r="F30" s="6" t="n">
        <v>16</v>
      </c>
    </row>
    <row r="31">
      <c r="A31" s="5" t="inlineStr">
        <is>
          <t>Net cash from/(used in) investing activities</t>
        </is>
      </c>
      <c r="B31" s="5" t="n">
        <v>-2623</v>
      </c>
      <c r="C31" s="5" t="n">
        <v>-25826</v>
      </c>
      <c r="D31" s="5" t="n">
        <v>-74896</v>
      </c>
      <c r="E31" s="5" t="n">
        <v>-47511</v>
      </c>
      <c r="F31" s="5" t="n">
        <v>-1147</v>
      </c>
    </row>
    <row r="32">
      <c r="A32" s="5" t="inlineStr">
        <is>
          <t>Cash flows from financing activities</t>
        </is>
      </c>
      <c r="B32" s="6" t="n"/>
      <c r="C32" s="6" t="n"/>
      <c r="D32" s="6" t="n"/>
      <c r="E32" s="6" t="n"/>
      <c r="F32" s="6" t="n"/>
    </row>
    <row r="33">
      <c r="A33" s="6" t="inlineStr">
        <is>
          <t>Repayment of subordinated debt</t>
        </is>
      </c>
      <c r="B33" s="6" t="n"/>
      <c r="C33" s="6" t="n"/>
      <c r="D33" s="6" t="n"/>
      <c r="E33" s="6" t="n">
        <v>-60000</v>
      </c>
      <c r="F33" s="6" t="n"/>
    </row>
    <row r="34">
      <c r="A34" s="6" t="inlineStr">
        <is>
          <t>Issuance of Additional Tier 1 instrument</t>
        </is>
      </c>
      <c r="B34" s="6" t="n"/>
      <c r="C34" s="6" t="n"/>
      <c r="D34" s="6" t="n"/>
      <c r="E34" s="6" t="n">
        <v>60000</v>
      </c>
      <c r="F34" s="6" t="n"/>
    </row>
    <row r="35">
      <c r="A35" s="6" t="inlineStr">
        <is>
          <t>Dividend paid</t>
        </is>
      </c>
      <c r="B35" s="6" t="n">
        <v>-78700</v>
      </c>
      <c r="C35" s="6" t="n">
        <v>-98100</v>
      </c>
      <c r="D35" s="6" t="n">
        <v>-66800</v>
      </c>
      <c r="E35" s="6" t="n">
        <v>-33459</v>
      </c>
      <c r="F35" s="6" t="n">
        <v>-67000</v>
      </c>
    </row>
    <row r="36">
      <c r="A36" s="6" t="inlineStr">
        <is>
          <t>Interest paid on Additional Tier 1 instrument</t>
        </is>
      </c>
      <c r="B36" s="6" t="n">
        <v>-4962</v>
      </c>
      <c r="C36" s="6" t="n">
        <v>-5362</v>
      </c>
      <c r="D36" s="6" t="n">
        <v>-5015</v>
      </c>
      <c r="E36" s="6" t="n"/>
      <c r="F36" s="6" t="n"/>
    </row>
    <row r="37">
      <c r="A37" s="6" t="inlineStr">
        <is>
          <t>Repayment of principal portion of lease liabilities</t>
        </is>
      </c>
      <c r="B37" s="6" t="n">
        <v>-722</v>
      </c>
      <c r="C37" s="6" t="n">
        <v>-491</v>
      </c>
      <c r="D37" s="6" t="n">
        <v>-47</v>
      </c>
      <c r="E37" s="6" t="n">
        <v>-77</v>
      </c>
      <c r="F37" s="6" t="n">
        <v>-1393</v>
      </c>
    </row>
    <row r="38">
      <c r="A38" s="6" t="inlineStr">
        <is>
          <t>Repayment of interest portion of lease liabilities</t>
        </is>
      </c>
      <c r="B38" s="6" t="n">
        <v>298</v>
      </c>
      <c r="C38" s="6" t="n"/>
      <c r="D38" s="6" t="n"/>
      <c r="E38" s="6" t="n"/>
      <c r="F38" s="6" t="n"/>
    </row>
    <row r="39">
      <c r="A39" s="5" t="inlineStr">
        <is>
          <t>Net cash used in financing activities</t>
        </is>
      </c>
      <c r="B39" s="5" t="n">
        <v>-84086</v>
      </c>
      <c r="C39" s="5" t="n">
        <v>-103953</v>
      </c>
      <c r="D39" s="5" t="n">
        <v>-71862</v>
      </c>
      <c r="E39" s="5" t="n">
        <v>-33536</v>
      </c>
      <c r="F39" s="5" t="n">
        <v>-68393</v>
      </c>
    </row>
    <row r="40">
      <c r="A40" s="5" t="inlineStr">
        <is>
          <t>Net increase/(decrease) in cash and cash equivalents</t>
        </is>
      </c>
      <c r="B40" s="5" t="n">
        <v>24543</v>
      </c>
      <c r="C40" s="5" t="n">
        <v>275312</v>
      </c>
      <c r="D40" s="5" t="n">
        <v>86534</v>
      </c>
      <c r="E40" s="5" t="n">
        <v>-58477</v>
      </c>
      <c r="F40" s="5" t="n">
        <v>234754</v>
      </c>
    </row>
    <row r="41">
      <c r="A41" s="6" t="inlineStr">
        <is>
          <t>Cash and cash equivalents at beginning of period</t>
        </is>
      </c>
      <c r="B41" s="6" t="n">
        <v>1048859</v>
      </c>
      <c r="C41" s="6" t="n">
        <v>773547</v>
      </c>
      <c r="D41" s="6" t="n">
        <v>687013</v>
      </c>
      <c r="E41" s="6" t="n">
        <v>716133</v>
      </c>
      <c r="F41" s="6" t="n">
        <v>481379</v>
      </c>
    </row>
    <row r="42">
      <c r="A42" s="5" t="inlineStr">
        <is>
          <t>Cash and cash equivalents at end of period</t>
        </is>
      </c>
      <c r="B42" s="5" t="n">
        <v>1073402</v>
      </c>
      <c r="C42" s="5" t="n">
        <v>1048859</v>
      </c>
      <c r="D42" s="5" t="n">
        <v>773547</v>
      </c>
      <c r="E42" s="5" t="n">
        <v>657656</v>
      </c>
      <c r="F42" s="5" t="n">
        <v>716133</v>
      </c>
    </row>
    <row r="44" ht="210" customHeight="1">
      <c r="A44"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4:F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carrying amount by product</t>
        </is>
      </c>
      <c r="B4" s="6" t="n"/>
      <c r="C4" s="6" t="n"/>
      <c r="D4" s="6" t="n"/>
      <c r="E4" s="6" t="n"/>
      <c r="F4" s="6" t="n"/>
    </row>
    <row r="5">
      <c r="A5" s="6" t="inlineStr">
        <is>
          <t>Wholesale loans</t>
        </is>
      </c>
      <c r="B5" s="6" t="n">
        <v>2162</v>
      </c>
      <c r="C5" s="6" t="n">
        <v>2242</v>
      </c>
      <c r="D5" s="6" t="n">
        <v>2352</v>
      </c>
      <c r="E5" s="6" t="n">
        <v>2535</v>
      </c>
      <c r="F5" s="6" t="n">
        <v>4806</v>
      </c>
    </row>
    <row r="6">
      <c r="A6" s="6" t="inlineStr">
        <is>
          <t>Housing loans</t>
        </is>
      </c>
      <c r="B6" s="6" t="n">
        <v>895</v>
      </c>
      <c r="C6" s="6" t="n">
        <v>1117</v>
      </c>
      <c r="D6" s="6" t="n">
        <v>2279</v>
      </c>
      <c r="E6" s="6" t="n">
        <v>2417</v>
      </c>
      <c r="F6" s="6" t="n">
        <v>2607</v>
      </c>
    </row>
    <row r="7">
      <c r="A7" s="6" t="inlineStr">
        <is>
          <t>Syndicated loans</t>
        </is>
      </c>
      <c r="B7" s="6" t="n">
        <v>194775</v>
      </c>
      <c r="C7" s="6" t="n">
        <v>238983</v>
      </c>
      <c r="D7" s="6" t="n">
        <v>173584</v>
      </c>
      <c r="E7" s="6" t="n">
        <v>155931</v>
      </c>
      <c r="F7" s="6" t="n">
        <v>183604</v>
      </c>
    </row>
    <row r="8">
      <c r="A8" s="6" t="inlineStr">
        <is>
          <t>Factoring financing</t>
        </is>
      </c>
      <c r="B8" s="6" t="n">
        <v>1898</v>
      </c>
      <c r="C8" s="6" t="n">
        <v>2185</v>
      </c>
      <c r="D8" s="6" t="n">
        <v>4840</v>
      </c>
      <c r="E8" s="6" t="n">
        <v>4219</v>
      </c>
      <c r="F8" s="6" t="n">
        <v>7892</v>
      </c>
    </row>
    <row r="9">
      <c r="A9" s="6" t="inlineStr">
        <is>
          <t>Credit cards</t>
        </is>
      </c>
      <c r="B9" s="6" t="n">
        <v>343</v>
      </c>
      <c r="C9" s="6" t="n">
        <v>382</v>
      </c>
      <c r="D9" s="6" t="n">
        <v>501</v>
      </c>
      <c r="E9" s="6" t="n">
        <v>401</v>
      </c>
      <c r="F9" s="6" t="n">
        <v>449</v>
      </c>
    </row>
    <row r="10">
      <c r="A10" s="6" t="inlineStr">
        <is>
          <t>Mortgage loans</t>
        </is>
      </c>
      <c r="B10" s="6" t="n">
        <v>611782</v>
      </c>
      <c r="C10" s="6" t="n">
        <v>697619</v>
      </c>
      <c r="D10" s="6" t="n">
        <v>812348</v>
      </c>
      <c r="E10" s="6" t="n">
        <v>973424</v>
      </c>
      <c r="F10" s="6" t="n">
        <v>1035418</v>
      </c>
    </row>
    <row r="11">
      <c r="A11" s="6" t="inlineStr">
        <is>
          <t>Financing order</t>
        </is>
      </c>
      <c r="B11" s="6" t="n"/>
      <c r="C11" s="6" t="n">
        <v>319</v>
      </c>
      <c r="D11" s="6" t="n">
        <v>140</v>
      </c>
      <c r="E11" s="6" t="n">
        <v>92</v>
      </c>
      <c r="F11" s="6" t="n">
        <v>1960</v>
      </c>
    </row>
    <row r="12">
      <c r="A12" s="5" t="inlineStr">
        <is>
          <t>Total gross carrying amount</t>
        </is>
      </c>
      <c r="B12" s="5" t="n">
        <v>811855</v>
      </c>
      <c r="C12" s="5" t="n">
        <v>942847</v>
      </c>
      <c r="D12" s="5" t="n">
        <v>996044</v>
      </c>
      <c r="E12" s="5" t="n">
        <v>1139019</v>
      </c>
      <c r="F12" s="5" t="n">
        <v>1236736</v>
      </c>
    </row>
    <row r="13">
      <c r="A13" s="5" t="inlineStr">
        <is>
          <t>Gross carrying amount by IFRS 9 stage</t>
        </is>
      </c>
      <c r="B13" s="6" t="n"/>
      <c r="C13" s="6" t="n"/>
      <c r="D13" s="6" t="n"/>
      <c r="E13" s="6" t="n"/>
      <c r="F13" s="6" t="n"/>
    </row>
    <row r="14">
      <c r="A14" s="6" t="inlineStr">
        <is>
          <t>Stage 1: 12-month ECL</t>
        </is>
      </c>
      <c r="B14" s="6" t="n">
        <v>755256</v>
      </c>
      <c r="C14" s="6" t="n">
        <v>838850</v>
      </c>
      <c r="D14" s="6" t="n">
        <v>875144</v>
      </c>
      <c r="E14" s="6" t="n">
        <v>932381</v>
      </c>
      <c r="F14" s="6" t="n">
        <v>1161138</v>
      </c>
    </row>
    <row r="15">
      <c r="A15" s="6" t="inlineStr">
        <is>
          <t>Stage 2: Lifetime ECL, not credit-impaired</t>
        </is>
      </c>
      <c r="B15" s="6" t="n">
        <v>52230</v>
      </c>
      <c r="C15" s="6" t="n">
        <v>99518</v>
      </c>
      <c r="D15" s="6" t="n">
        <v>117365</v>
      </c>
      <c r="E15" s="6" t="n">
        <v>133805</v>
      </c>
      <c r="F15" s="6" t="n">
        <v>23529</v>
      </c>
    </row>
    <row r="16">
      <c r="A16" s="6" t="inlineStr">
        <is>
          <t>Stage 3: Lifetime ECL, credit-impaired</t>
        </is>
      </c>
      <c r="B16" s="6" t="n">
        <v>4369</v>
      </c>
      <c r="C16" s="6" t="n">
        <v>4479</v>
      </c>
      <c r="D16" s="6" t="n">
        <v>3535</v>
      </c>
      <c r="E16" s="6" t="n">
        <v>72833</v>
      </c>
      <c r="F16" s="6" t="n">
        <v>52069</v>
      </c>
    </row>
    <row r="17">
      <c r="A17" s="5" t="inlineStr">
        <is>
          <t>Total gross carrying amount (by stage)</t>
        </is>
      </c>
      <c r="B17" s="5" t="n">
        <v>811855</v>
      </c>
      <c r="C17" s="5" t="n">
        <v>942847</v>
      </c>
      <c r="D17" s="5" t="n">
        <v>996044</v>
      </c>
      <c r="E17" s="5" t="n">
        <v>1139019</v>
      </c>
      <c r="F17" s="5" t="n">
        <v>1236736</v>
      </c>
    </row>
    <row r="18">
      <c r="A18" s="5" t="inlineStr">
        <is>
          <t>Reconciliation to Balance Sheet</t>
        </is>
      </c>
      <c r="B18" s="6" t="n"/>
      <c r="C18" s="6" t="n"/>
      <c r="D18" s="6" t="n"/>
      <c r="E18" s="6" t="n"/>
      <c r="F18" s="6" t="n"/>
    </row>
    <row r="19">
      <c r="A19" s="6" t="inlineStr">
        <is>
          <t>Net carrying value (Balance Sheet's Loans and advances to customers)</t>
        </is>
      </c>
      <c r="B19" s="6" t="n">
        <v>810985</v>
      </c>
      <c r="C19" s="6" t="n">
        <v>941507</v>
      </c>
      <c r="D19" s="6" t="n">
        <v>990763</v>
      </c>
      <c r="E19" s="6" t="n">
        <v>1122459</v>
      </c>
      <c r="F19" s="6" t="n">
        <v>1194653</v>
      </c>
    </row>
    <row r="20">
      <c r="A20" s="6" t="inlineStr">
        <is>
          <t>Implied total ECL allowance (gross − net)</t>
        </is>
      </c>
      <c r="B20" s="6" t="n">
        <v>870</v>
      </c>
      <c r="C20" s="6" t="n">
        <v>1340</v>
      </c>
      <c r="D20" s="6" t="n">
        <v>5281</v>
      </c>
      <c r="E20" s="6" t="n">
        <v>16560</v>
      </c>
      <c r="F20" s="6" t="n">
        <v>42083</v>
      </c>
    </row>
    <row r="21">
      <c r="A21" s="5" t="inlineStr">
        <is>
          <t>Asset quality ratios</t>
        </is>
      </c>
      <c r="B21" s="6" t="n"/>
      <c r="C21" s="6" t="n"/>
      <c r="D21" s="6" t="n"/>
      <c r="E21" s="6" t="n"/>
      <c r="F21" s="6" t="n"/>
    </row>
    <row r="22">
      <c r="A22" s="6" t="inlineStr">
        <is>
          <t>ECL coverage ratio (implied allowance / gross carrying amount)</t>
        </is>
      </c>
      <c r="B22" s="6" t="inlineStr">
        <is>
          <t>0.11%</t>
        </is>
      </c>
      <c r="C22" s="6" t="inlineStr">
        <is>
          <t>0.14%</t>
        </is>
      </c>
      <c r="D22" s="6" t="inlineStr">
        <is>
          <t>0.53%</t>
        </is>
      </c>
      <c r="E22" s="6" t="inlineStr">
        <is>
          <t>1.45%</t>
        </is>
      </c>
      <c r="F22" s="6" t="inlineStr">
        <is>
          <t>3.40%</t>
        </is>
      </c>
    </row>
    <row r="23">
      <c r="A23" s="6" t="inlineStr">
        <is>
          <t>Stage 3 / NPL ratio (Stage 3 gross / total gross carrying amount)</t>
        </is>
      </c>
      <c r="B23" s="6" t="inlineStr">
        <is>
          <t>0.54%</t>
        </is>
      </c>
      <c r="C23" s="6" t="inlineStr">
        <is>
          <t>0.48%</t>
        </is>
      </c>
      <c r="D23" s="6" t="inlineStr">
        <is>
          <t>0.35%</t>
        </is>
      </c>
      <c r="E23" s="6" t="inlineStr">
        <is>
          <t>6.39%</t>
        </is>
      </c>
      <c r="F23" s="6" t="inlineStr">
        <is>
          <t>4.21%</t>
        </is>
      </c>
    </row>
    <row r="25" ht="270" customHeight="1">
      <c r="A25" s="8" t="inlineStr">
        <is>
          <t>Sources - Note 6(a) 'Analysis of risk concentration in the financial position' (Global/Europe/US/UK/UK Retail x Stage 1/2/3 geographic table), Bank/solo basis, £'000. By-product and by-stage figures here are summed from that table's 'Loans and advances to customers' product rows (Wholesale/Housing/Syndicated/Factoring/Credit Cards/Mortgage/Financing Order) across all geography columns - both groupings tie exactly to each other and to the same total for every year (verified):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'Implied total ECL allowance' is not separately disclosed by product/stage anywhere in these documents - it is the residual gap between this note's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25:F2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274521</v>
      </c>
      <c r="C4" s="6" t="n">
        <v>274294</v>
      </c>
      <c r="D4" s="6" t="n">
        <v>275056</v>
      </c>
      <c r="E4" s="6" t="n">
        <v>275000</v>
      </c>
      <c r="F4" s="6" t="n">
        <v>275164</v>
      </c>
    </row>
    <row r="6" ht="170" customHeight="1">
      <c r="A6"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27.2%</t>
        </is>
      </c>
      <c r="C4" s="6" t="inlineStr">
        <is>
          <t>24.8%</t>
        </is>
      </c>
      <c r="D4" s="6" t="inlineStr">
        <is>
          <t>26.8%</t>
        </is>
      </c>
      <c r="E4" s="6" t="inlineStr">
        <is>
          <t>23.4%</t>
        </is>
      </c>
      <c r="F4" s="6" t="inlineStr">
        <is>
          <t>24.6%</t>
        </is>
      </c>
    </row>
    <row r="6" ht="170" customHeight="1">
      <c r="A6"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334521</v>
      </c>
      <c r="C4" s="6" t="n">
        <v>334294</v>
      </c>
      <c r="D4" s="6" t="n">
        <v>335056</v>
      </c>
      <c r="E4" s="6" t="n">
        <v>335000</v>
      </c>
      <c r="F4" s="6" t="n">
        <v>275164</v>
      </c>
    </row>
    <row r="5" ht="60" customHeight="1">
      <c r="A5" s="7" t="inlineStr">
        <is>
          <t>Note: Equal to CET1 capital at FY2021 (no AT1 instruments in issue that year). A £60m Additional Tier 1 instrument was issued in June 2022, replacing an equal amount of Tier 2 subordinated debt.</t>
        </is>
      </c>
    </row>
    <row r="7" ht="170" customHeight="1">
      <c r="A7"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33.2%</t>
        </is>
      </c>
      <c r="C4" s="6" t="inlineStr">
        <is>
          <t>30.2%</t>
        </is>
      </c>
      <c r="D4" s="6" t="inlineStr">
        <is>
          <t>32.7%</t>
        </is>
      </c>
      <c r="E4" s="6" t="inlineStr">
        <is>
          <t>28.5%</t>
        </is>
      </c>
      <c r="F4" s="6" t="inlineStr">
        <is>
          <t>24.6%</t>
        </is>
      </c>
    </row>
    <row r="5" ht="60" customHeight="1">
      <c r="A5" s="7" t="inlineStr">
        <is>
          <t>Note: FY2021 not separately stated as a percentage in the source; numerically equal to the stated CET1 ratio since Tier 1 capital equalled CET1 capital exactly that year (no AT1 in issue).</t>
        </is>
      </c>
    </row>
    <row r="7" ht="170" customHeight="1">
      <c r="A7"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334521</v>
      </c>
      <c r="C4" s="6" t="n">
        <v>334294</v>
      </c>
      <c r="D4" s="6" t="n">
        <v>335056</v>
      </c>
      <c r="E4" s="6" t="n">
        <v>335000</v>
      </c>
      <c r="F4" s="6" t="n">
        <v>335164</v>
      </c>
    </row>
    <row r="6" ht="170" customHeight="1">
      <c r="A6"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33.2%</t>
        </is>
      </c>
      <c r="C4" s="6" t="inlineStr">
        <is>
          <t>30.2%</t>
        </is>
      </c>
      <c r="D4" s="6" t="inlineStr">
        <is>
          <t>32.7%</t>
        </is>
      </c>
      <c r="E4" s="6" t="inlineStr">
        <is>
          <t>28.5%</t>
        </is>
      </c>
      <c r="F4" s="6" t="inlineStr">
        <is>
          <t>29.9%</t>
        </is>
      </c>
    </row>
    <row r="6" ht="170" customHeight="1">
      <c r="A6"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(RWA)</t>
        </is>
      </c>
      <c r="B4" s="6" t="n">
        <v>1008110</v>
      </c>
      <c r="C4" s="6" t="n">
        <v>1106898</v>
      </c>
      <c r="D4" s="6" t="n">
        <v>1024452</v>
      </c>
      <c r="E4" s="6" t="n">
        <v>1176625</v>
      </c>
      <c r="F4" s="6" t="n">
        <v>1119380</v>
      </c>
    </row>
    <row r="6" ht="170" customHeight="1">
      <c r="A6"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 —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c r="A5" s="5" t="inlineStr">
        <is>
          <t>Total risk exposure amount</t>
        </is>
      </c>
      <c r="B5" s="5" t="n">
        <v>1008110</v>
      </c>
      <c r="C5" s="5" t="n">
        <v>1106898</v>
      </c>
      <c r="D5" s="5" t="n">
        <v>1024452</v>
      </c>
      <c r="E5" s="5" t="n">
        <v>1176625</v>
      </c>
      <c r="F5" s="5" t="n">
        <v>1119380</v>
      </c>
    </row>
    <row r="7" ht="170" customHeight="1">
      <c r="A7" s="8" t="inlineStr">
        <is>
          <t>Sources - Bank of China (UK) Limited's UK KM1 Key Metrics tables (same 5 Pillar 3 documents as the Total RWAs sheet):
FY2025 &amp; FY2024 comparative: Pillar 3 Disclosure 31 December 2025, p.15 - https://pic.bankofchina.com/bocappd/uk/202607/P020260716391457618567.pdf
FY2023-FY2021: see p3_sources() citations on the Total RWAs sheet.
NOT DISCLOSED (category breakdown): none of the 5 Pillar 3 documents contains a UK OV1 'Overview of risk weighted exposure amounts' table breaking RWA down by risk category (credit/market/operational/CVA) - confirmed by reading the FY2025 document's own table of contents and KM1 template in full. Only the single aggregate Total RWA figure exists for every year (see the Total RWAs sheet, which this sheet's Total row ties out to exactly).</t>
        </is>
      </c>
    </row>
  </sheetData>
  <mergeCells count="1">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Basel III leverage ratio exposure measure</t>
        </is>
      </c>
      <c r="B4" s="6" t="n">
        <v>1373968</v>
      </c>
      <c r="C4" s="6" t="n">
        <v>1462346</v>
      </c>
      <c r="D4" s="6" t="n">
        <v>1473437</v>
      </c>
      <c r="E4" s="6" t="n">
        <v>1814024</v>
      </c>
      <c r="F4" s="6" t="n">
        <v>2431869</v>
      </c>
    </row>
    <row r="5">
      <c r="A5" s="6" t="inlineStr">
        <is>
          <t>Basel III leverage ratio (%)</t>
        </is>
      </c>
      <c r="B5" s="6" t="inlineStr">
        <is>
          <t>24.4%</t>
        </is>
      </c>
      <c r="C5" s="6" t="inlineStr">
        <is>
          <t>22.9%</t>
        </is>
      </c>
      <c r="D5" s="6" t="inlineStr">
        <is>
          <t>22.7%</t>
        </is>
      </c>
      <c r="E5" s="6" t="inlineStr">
        <is>
          <t>18.5%</t>
        </is>
      </c>
      <c r="F5" s="6" t="inlineStr">
        <is>
          <t>11.3%</t>
        </is>
      </c>
    </row>
    <row r="6" ht="60" customHeight="1">
      <c r="A6" s="7" t="inlineStr">
        <is>
          <t>Note: FY2021's 11.3% is on an older/broader exposure-measure basis (pre-dates the KM1 'excluding claims on central banks' framework used from FY2022 onward) - not directly comparable to later years, kept on its own row per project convention.</t>
        </is>
      </c>
    </row>
    <row r="8" ht="170" customHeight="1">
      <c r="A8"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n">
        <v>1007375</v>
      </c>
      <c r="C4" s="6" t="n">
        <v>1014087</v>
      </c>
      <c r="D4" s="6" t="n">
        <v>677646</v>
      </c>
      <c r="E4" s="6" t="n">
        <v>545654</v>
      </c>
      <c r="F4" s="6" t="n">
        <v>527697</v>
      </c>
    </row>
    <row r="5">
      <c r="A5" s="6" t="inlineStr">
        <is>
          <t>Total net cash outflow</t>
        </is>
      </c>
      <c r="B5" s="6" t="n">
        <v>310866</v>
      </c>
      <c r="C5" s="6" t="n">
        <v>272240</v>
      </c>
      <c r="D5" s="6" t="n">
        <v>174967</v>
      </c>
      <c r="E5" s="6" t="n">
        <v>299877</v>
      </c>
      <c r="F5" s="6" t="n">
        <v>294774</v>
      </c>
    </row>
    <row r="6">
      <c r="A6" s="6" t="inlineStr">
        <is>
          <t>LCR ratio (%)</t>
        </is>
      </c>
      <c r="B6" s="6" t="inlineStr">
        <is>
          <t>324.1%</t>
        </is>
      </c>
      <c r="C6" s="6" t="inlineStr">
        <is>
          <t>372.5%</t>
        </is>
      </c>
      <c r="D6" s="6" t="inlineStr">
        <is>
          <t>387.3%</t>
        </is>
      </c>
      <c r="E6" s="6" t="inlineStr">
        <is>
          <t>182.0%</t>
        </is>
      </c>
      <c r="F6" s="6" t="inlineStr">
        <is>
          <t>179.0%</t>
        </is>
      </c>
    </row>
    <row r="8" ht="170" customHeight="1">
      <c r="A8"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8:F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1389486</v>
      </c>
      <c r="C4" s="6" t="n">
        <v>1630136</v>
      </c>
      <c r="D4" s="6" t="n">
        <v>1289845</v>
      </c>
      <c r="E4" s="6" t="n">
        <v>1463448</v>
      </c>
      <c r="F4" s="6" t="n">
        <v>1438026</v>
      </c>
    </row>
    <row r="5">
      <c r="A5" s="6" t="inlineStr">
        <is>
          <t>Total required stable funding</t>
        </is>
      </c>
      <c r="B5" s="6" t="n">
        <v>714820</v>
      </c>
      <c r="C5" s="6" t="n">
        <v>752941</v>
      </c>
      <c r="D5" s="6" t="n">
        <v>959234</v>
      </c>
      <c r="E5" s="6" t="n">
        <v>1209361</v>
      </c>
      <c r="F5" s="6" t="n">
        <v>950742</v>
      </c>
    </row>
    <row r="6">
      <c r="A6" s="6" t="inlineStr">
        <is>
          <t>NSFR ratio (%)</t>
        </is>
      </c>
      <c r="B6" s="6" t="inlineStr">
        <is>
          <t>194.4%</t>
        </is>
      </c>
      <c r="C6" s="6" t="inlineStr">
        <is>
          <t>216.5%</t>
        </is>
      </c>
      <c r="D6" s="6" t="inlineStr">
        <is>
          <t>134.5%</t>
        </is>
      </c>
      <c r="E6" s="6" t="inlineStr">
        <is>
          <t>121.0%</t>
        </is>
      </c>
      <c r="F6" s="6" t="inlineStr">
        <is>
          <t>151.3%</t>
        </is>
      </c>
    </row>
    <row r="7" ht="60"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t>
        </is>
      </c>
    </row>
    <row r="9" ht="170" customHeight="1">
      <c r="A9"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disclosed</t>
        </is>
      </c>
      <c r="C4" s="6" t="inlineStr">
        <is>
          <t>Not disclosed</t>
        </is>
      </c>
      <c r="D4" s="6" t="inlineStr">
        <is>
          <t>Not disclosed</t>
        </is>
      </c>
      <c r="E4" s="6" t="inlineStr">
        <is>
          <t>Not disclosed</t>
        </is>
      </c>
      <c r="F4" s="6" t="inlineStr">
        <is>
          <t>Not disclosed</t>
        </is>
      </c>
    </row>
    <row r="5" ht="60" customHeight="1">
      <c r="A5" s="7" t="inlineStr">
        <is>
          <t>Note: No MREL disclosure found in any of the 5 available Pillar 3 documents (FY2021-FY2025).</t>
        </is>
      </c>
    </row>
    <row r="7" ht="170" customHeight="1">
      <c r="A7" s="8" t="inlineStr">
        <is>
          <t>Sources - Bank of China (UK) Limited Pillar 3 disclosures (UK KM1 Key Metrics template from FY2022 onward; FY2021's own document is narrative/ratio-only and predates the KM1 template),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2026-09-02T18:09:49Z</dcterms:created>
  <dcterms:modified xmlns:dcterms="http://purl.org/dc/terms/" xmlns:xsi="http://www.w3.org/2001/XMLSchema-instance" xsi:type="dcterms:W3CDTF">2026-09-02T18:09:49Z</dcterms:modified>
</cp:coreProperties>
</file>