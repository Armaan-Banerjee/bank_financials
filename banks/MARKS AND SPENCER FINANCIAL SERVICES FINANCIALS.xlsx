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A50034"/>
        <bgColor rgb="00A5003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40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Marks and Spencer Financial Services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used in operating activities</t>
        </is>
      </c>
      <c r="B6" s="5" t="n">
        <v>-589339</v>
      </c>
      <c r="C6" s="5" t="n">
        <v>-294137</v>
      </c>
      <c r="D6" s="5" t="n">
        <v>-159514</v>
      </c>
      <c r="E6" s="5" t="n">
        <v>-484805</v>
      </c>
      <c r="F6" s="5" t="n">
        <v>-476509</v>
      </c>
      <c r="I6" t="inlineStr">
        <is>
          <t>Net cash used in operating activities</t>
        </is>
      </c>
      <c r="J6" t="n">
        <v>-476509</v>
      </c>
      <c r="K6" t="n">
        <v>-484805</v>
      </c>
      <c r="L6" t="n">
        <v>-159514</v>
      </c>
      <c r="M6" t="n">
        <v>-294137</v>
      </c>
      <c r="N6" t="n">
        <v>-589339</v>
      </c>
      <c r="Q6" t="inlineStr">
        <is>
          <t>CET1 ratio</t>
        </is>
      </c>
      <c r="R6" t="n">
        <v>16.6</v>
      </c>
      <c r="S6" t="n">
        <v>15.12</v>
      </c>
      <c r="T6" t="n">
        <v>14.28</v>
      </c>
      <c r="U6" t="n">
        <v>13.59</v>
      </c>
      <c r="V6" t="n">
        <v>13.86</v>
      </c>
    </row>
    <row r="7">
      <c r="A7" s="5" t="inlineStr">
        <is>
          <t>Net cash used in investing activities</t>
        </is>
      </c>
      <c r="B7" s="5" t="n">
        <v>-3937</v>
      </c>
      <c r="C7" s="5" t="n">
        <v>-4028</v>
      </c>
      <c r="D7" s="5" t="n">
        <v>-7596</v>
      </c>
      <c r="E7" s="5" t="n">
        <v>-10433</v>
      </c>
      <c r="F7" s="5" t="n">
        <v>-1482</v>
      </c>
      <c r="I7" t="inlineStr">
        <is>
          <t>Net cash used in investing activities</t>
        </is>
      </c>
      <c r="J7" t="n">
        <v>-1482</v>
      </c>
      <c r="K7" t="n">
        <v>-10433</v>
      </c>
      <c r="L7" t="n">
        <v>-7596</v>
      </c>
      <c r="M7" t="n">
        <v>-4028</v>
      </c>
      <c r="N7" t="n">
        <v>-3937</v>
      </c>
      <c r="Q7" t="inlineStr">
        <is>
          <t>Total capital ratio</t>
        </is>
      </c>
      <c r="R7" t="n">
        <v>24.05</v>
      </c>
      <c r="S7" t="n">
        <v>21.66</v>
      </c>
      <c r="T7" t="n">
        <v>20.52</v>
      </c>
      <c r="U7" t="n">
        <v>18.8</v>
      </c>
      <c r="V7" t="n">
        <v>18.42</v>
      </c>
    </row>
    <row r="8">
      <c r="A8" s="5" t="inlineStr">
        <is>
          <t>Net cash generated from financing activities</t>
        </is>
      </c>
      <c r="B8" s="5" t="n">
        <v>497612</v>
      </c>
      <c r="C8" s="5" t="n">
        <v>366754</v>
      </c>
      <c r="D8" s="5" t="n">
        <v>138997</v>
      </c>
      <c r="E8" s="5" t="n">
        <v>177997</v>
      </c>
      <c r="F8" s="5" t="n">
        <v>144964</v>
      </c>
      <c r="I8" t="inlineStr">
        <is>
          <t>Net cash generated from financing activities</t>
        </is>
      </c>
      <c r="J8" t="n">
        <v>144964</v>
      </c>
      <c r="K8" t="n">
        <v>177997</v>
      </c>
      <c r="L8" t="n">
        <v>138997</v>
      </c>
      <c r="M8" t="n">
        <v>366754</v>
      </c>
      <c r="N8" t="n">
        <v>497612</v>
      </c>
    </row>
    <row r="9">
      <c r="A9" s="5" t="inlineStr">
        <is>
          <t>Cash and cash equivalents carried forward</t>
        </is>
      </c>
      <c r="B9" s="5" t="n">
        <v>94562</v>
      </c>
      <c r="C9" s="5" t="n">
        <v>190223</v>
      </c>
      <c r="D9" s="5" t="n">
        <v>121634</v>
      </c>
      <c r="E9" s="5" t="n">
        <v>149747</v>
      </c>
      <c r="F9" s="5" t="n">
        <v>466988</v>
      </c>
      <c r="I9" t="inlineStr">
        <is>
          <t>Cash and cash equivalents carried forward</t>
        </is>
      </c>
      <c r="J9" t="n">
        <v>466988</v>
      </c>
      <c r="K9" t="n">
        <v>149747</v>
      </c>
      <c r="L9" t="n">
        <v>121634</v>
      </c>
      <c r="M9" t="n">
        <v>190223</v>
      </c>
      <c r="N9" t="n">
        <v>94562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n">
        <v>13.86</v>
      </c>
      <c r="C13" s="6" t="n">
        <v>13.59</v>
      </c>
      <c r="D13" s="6" t="n">
        <v>14.28</v>
      </c>
      <c r="E13" s="6" t="n">
        <v>15.12</v>
      </c>
      <c r="F13" s="6" t="n">
        <v>16.6</v>
      </c>
    </row>
    <row r="14">
      <c r="A14" s="6" t="inlineStr">
        <is>
          <t>Total capital ratio</t>
        </is>
      </c>
      <c r="B14" s="6" t="n">
        <v>18.42</v>
      </c>
      <c r="C14" s="6" t="n">
        <v>18.8</v>
      </c>
      <c r="D14" s="6" t="n">
        <v>20.52</v>
      </c>
      <c r="E14" s="6" t="n">
        <v>21.66</v>
      </c>
      <c r="F14" s="6" t="n">
        <v>24.05</v>
      </c>
    </row>
    <row r="16" ht="45" customHeight="1">
      <c r="A16" s="7" t="inlineStr">
        <is>
          <t>Note: Entity-only annual capital-management figures. Separate Pillar 3 disclosures are not required because the entity is included in HSBC UK Bank plc's consolidated Pillar 3 disclosures; group figures are not substituted here.</t>
        </is>
      </c>
    </row>
  </sheetData>
  <mergeCells count="1">
    <mergeCell ref="A16:F1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Statement of Cash Flows</t>
        </is>
      </c>
    </row>
    <row r="2">
      <c r="A2" s="2" t="inlineStr">
        <is>
          <t>Entity-only figures,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9608</v>
      </c>
      <c r="C5" s="6" t="n">
        <v>51896</v>
      </c>
      <c r="D5" s="6" t="n">
        <v>55021</v>
      </c>
      <c r="E5" s="6" t="n">
        <v>38013</v>
      </c>
      <c r="F5" s="6" t="n">
        <v>115795</v>
      </c>
    </row>
    <row r="6">
      <c r="A6" s="6" t="inlineStr">
        <is>
          <t>Non-cash items included in profit before tax</t>
        </is>
      </c>
      <c r="B6" s="6" t="n">
        <v>23182</v>
      </c>
      <c r="C6" s="6" t="n">
        <v>-19285</v>
      </c>
      <c r="D6" s="6" t="n">
        <v>-35967</v>
      </c>
      <c r="E6" s="6" t="n">
        <v>15787</v>
      </c>
      <c r="F6" s="6" t="n">
        <v>-175023</v>
      </c>
    </row>
    <row r="7">
      <c r="A7" s="6" t="inlineStr">
        <is>
          <t>Change in operating assets</t>
        </is>
      </c>
      <c r="B7" s="6" t="n">
        <v>-583961</v>
      </c>
      <c r="C7" s="6" t="n">
        <v>-274436</v>
      </c>
      <c r="D7" s="6" t="n">
        <v>-113098</v>
      </c>
      <c r="E7" s="6" t="n">
        <v>-354722</v>
      </c>
      <c r="F7" s="6" t="n">
        <v>664424</v>
      </c>
    </row>
    <row r="8">
      <c r="A8" s="6" t="inlineStr">
        <is>
          <t>Change in operating liabilities</t>
        </is>
      </c>
      <c r="B8" s="6" t="n">
        <v>-27505</v>
      </c>
      <c r="C8" s="6" t="n">
        <v>-42313</v>
      </c>
      <c r="D8" s="6" t="n">
        <v>-57669</v>
      </c>
      <c r="E8" s="6" t="n">
        <v>-170561</v>
      </c>
      <c r="F8" s="6" t="n">
        <v>-1082413</v>
      </c>
    </row>
    <row r="9">
      <c r="A9" s="6" t="inlineStr">
        <is>
          <t>Tax paid/(credit received)</t>
        </is>
      </c>
      <c r="B9" s="6" t="n">
        <v>-10663</v>
      </c>
      <c r="C9" s="6" t="n">
        <v>-9999</v>
      </c>
      <c r="D9" s="6" t="n">
        <v>-7801</v>
      </c>
      <c r="E9" s="6" t="n">
        <v>-13322</v>
      </c>
      <c r="F9" s="6" t="n">
        <v>708</v>
      </c>
    </row>
    <row r="10">
      <c r="A10" s="5" t="inlineStr">
        <is>
          <t>Net cash used in operating activities</t>
        </is>
      </c>
      <c r="B10" s="5" t="n">
        <v>-589339</v>
      </c>
      <c r="C10" s="5" t="n">
        <v>-294137</v>
      </c>
      <c r="D10" s="5" t="n">
        <v>-159514</v>
      </c>
      <c r="E10" s="5" t="n">
        <v>-484805</v>
      </c>
      <c r="F10" s="5" t="n">
        <v>-476509</v>
      </c>
    </row>
    <row r="11">
      <c r="A11" s="5" t="inlineStr">
        <is>
          <t>Cash flows from 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property, plant and equipment</t>
        </is>
      </c>
      <c r="B12" s="6" t="n">
        <v>0</v>
      </c>
      <c r="C12" s="6" t="n">
        <v>-71</v>
      </c>
      <c r="D12" s="6" t="n">
        <v>-253</v>
      </c>
      <c r="E12" s="6" t="n">
        <v>-204</v>
      </c>
      <c r="F12" s="6" t="n">
        <v>-176</v>
      </c>
    </row>
    <row r="13">
      <c r="A13" s="6" t="inlineStr">
        <is>
          <t>Purchase of intangible assets</t>
        </is>
      </c>
      <c r="B13" s="6" t="n">
        <v>-3937</v>
      </c>
      <c r="C13" s="6" t="n">
        <v>-4404</v>
      </c>
      <c r="D13" s="6" t="n">
        <v>-6115</v>
      </c>
      <c r="E13" s="6" t="n">
        <v>-7442</v>
      </c>
      <c r="F13" s="6" t="n">
        <v>-3443</v>
      </c>
    </row>
    <row r="14">
      <c r="A14" s="6" t="inlineStr">
        <is>
          <t>Proceeds from sale of property, plant and equipment</t>
        </is>
      </c>
      <c r="B14" s="6" t="n"/>
      <c r="C14" s="6" t="n">
        <v>447</v>
      </c>
      <c r="D14" s="6" t="n"/>
      <c r="E14" s="6" t="n"/>
      <c r="F14" s="6" t="n"/>
    </row>
    <row r="15">
      <c r="A15" s="6" t="inlineStr">
        <is>
          <t>Adjustment of leases</t>
        </is>
      </c>
      <c r="B15" s="6" t="n"/>
      <c r="C15" s="6" t="n">
        <v>0</v>
      </c>
      <c r="D15" s="6" t="n">
        <v>-1228</v>
      </c>
      <c r="E15" s="6" t="n">
        <v>-2787</v>
      </c>
      <c r="F15" s="6" t="n">
        <v>2137</v>
      </c>
    </row>
    <row r="16">
      <c r="A16" s="5" t="inlineStr">
        <is>
          <t>Net cash used in investing activities</t>
        </is>
      </c>
      <c r="B16" s="5" t="n">
        <v>-3937</v>
      </c>
      <c r="C16" s="5" t="n">
        <v>-4028</v>
      </c>
      <c r="D16" s="5" t="n">
        <v>-7596</v>
      </c>
      <c r="E16" s="5" t="n">
        <v>-10433</v>
      </c>
      <c r="F16" s="5" t="n">
        <v>-1482</v>
      </c>
    </row>
    <row r="17">
      <c r="A17" s="5" t="inlineStr">
        <is>
          <t>Cash flows from financing activities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Proceeds from borrowings</t>
        </is>
      </c>
      <c r="B18" s="6" t="n">
        <v>499000</v>
      </c>
      <c r="C18" s="6" t="n">
        <v>407000</v>
      </c>
      <c r="D18" s="6" t="n">
        <v>155000</v>
      </c>
      <c r="E18" s="6" t="n">
        <v>210000</v>
      </c>
      <c r="F18" s="6" t="n">
        <v>149967</v>
      </c>
    </row>
    <row r="19">
      <c r="A19" s="6" t="inlineStr">
        <is>
          <t>Issue of ordinary share capital</t>
        </is>
      </c>
      <c r="B19" s="6" t="n">
        <v>30000</v>
      </c>
      <c r="C19" s="6" t="n"/>
      <c r="D19" s="6" t="n"/>
      <c r="E19" s="6" t="n"/>
      <c r="F19" s="6" t="n"/>
    </row>
    <row r="20">
      <c r="A20" s="6" t="inlineStr">
        <is>
          <t>Repayment of other equity instruments</t>
        </is>
      </c>
      <c r="B20" s="6" t="n">
        <v>-49000</v>
      </c>
      <c r="C20" s="6" t="n"/>
      <c r="D20" s="6" t="n"/>
      <c r="E20" s="6" t="n"/>
      <c r="F20" s="6" t="n"/>
    </row>
    <row r="21">
      <c r="A21" s="6" t="inlineStr">
        <is>
          <t>Issue of other equity instruments</t>
        </is>
      </c>
      <c r="B21" s="6" t="n">
        <v>39547</v>
      </c>
      <c r="C21" s="6" t="n"/>
      <c r="D21" s="6" t="n"/>
      <c r="E21" s="6" t="n"/>
      <c r="F21" s="6" t="n"/>
    </row>
    <row r="22">
      <c r="A22" s="6" t="inlineStr">
        <is>
          <t>Subordinated liabilities repaid</t>
        </is>
      </c>
      <c r="B22" s="6" t="n"/>
      <c r="C22" s="6" t="n">
        <v>-16017</v>
      </c>
      <c r="D22" s="6" t="n"/>
      <c r="E22" s="6" t="n"/>
      <c r="F22" s="6" t="n"/>
    </row>
    <row r="23">
      <c r="A23" s="6" t="inlineStr">
        <is>
          <t>Dividends</t>
        </is>
      </c>
      <c r="B23" s="6" t="n">
        <v>-16932</v>
      </c>
      <c r="C23" s="6" t="n">
        <v>-19226</v>
      </c>
      <c r="D23" s="6" t="n">
        <v>-11000</v>
      </c>
      <c r="E23" s="6" t="n">
        <v>-27000</v>
      </c>
      <c r="F23" s="6" t="n"/>
    </row>
    <row r="24">
      <c r="A24" s="6" t="inlineStr">
        <is>
          <t>Distribution on other equity instruments (AT1)</t>
        </is>
      </c>
      <c r="B24" s="6" t="n">
        <v>-5003</v>
      </c>
      <c r="C24" s="6" t="n">
        <v>-5003</v>
      </c>
      <c r="D24" s="6" t="n">
        <v>-5003</v>
      </c>
      <c r="E24" s="6" t="n">
        <v>-5003</v>
      </c>
      <c r="F24" s="6" t="n">
        <v>-5003</v>
      </c>
    </row>
    <row r="25">
      <c r="A25" s="5" t="inlineStr">
        <is>
          <t>Net cash generated from financing activities</t>
        </is>
      </c>
      <c r="B25" s="5" t="n">
        <v>497612</v>
      </c>
      <c r="C25" s="5" t="n">
        <v>366754</v>
      </c>
      <c r="D25" s="5" t="n">
        <v>138997</v>
      </c>
      <c r="E25" s="5" t="n">
        <v>177997</v>
      </c>
      <c r="F25" s="5" t="n">
        <v>144964</v>
      </c>
    </row>
    <row r="26">
      <c r="A26" s="5" t="inlineStr">
        <is>
          <t>Net (decrease)/increase in cash and cash equivalents</t>
        </is>
      </c>
      <c r="B26" s="5" t="n">
        <v>-95661</v>
      </c>
      <c r="C26" s="5" t="n">
        <v>68589</v>
      </c>
      <c r="D26" s="5" t="n">
        <v>-28113</v>
      </c>
      <c r="E26" s="5" t="n">
        <v>-317241</v>
      </c>
      <c r="F26" s="5" t="n">
        <v>-333027</v>
      </c>
    </row>
    <row r="27">
      <c r="A27" s="6" t="inlineStr">
        <is>
          <t>Cash and cash equivalents brought forward</t>
        </is>
      </c>
      <c r="B27" s="6" t="n">
        <v>190223</v>
      </c>
      <c r="C27" s="6" t="n">
        <v>121634</v>
      </c>
      <c r="D27" s="6" t="n">
        <v>149747</v>
      </c>
      <c r="E27" s="6" t="n">
        <v>466988</v>
      </c>
      <c r="F27" s="6" t="n">
        <v>800015</v>
      </c>
    </row>
    <row r="28">
      <c r="A28" s="5" t="inlineStr">
        <is>
          <t>Cash and cash equivalents carried forward</t>
        </is>
      </c>
      <c r="B28" s="5" t="n">
        <v>94562</v>
      </c>
      <c r="C28" s="5" t="n">
        <v>190223</v>
      </c>
      <c r="D28" s="5" t="n">
        <v>121634</v>
      </c>
      <c r="E28" s="5" t="n">
        <v>149747</v>
      </c>
      <c r="F28" s="5" t="n">
        <v>466988</v>
      </c>
    </row>
    <row r="30" ht="190" customHeight="1">
      <c r="A30" s="8" t="inlineStr">
        <is>
          <t>Sources - Marks and Spencer Financial Services plc entity-only Statement of Cash Flows, £'000:
Marks and Spencer Financial Services plc Annual Report and Financial Statements FY2025, p.22, Statement of cash flows - https://find-and-update.company-information.service.gov.uk/company/01772585/filing-history/MzUyNzI0MDUzNGFkaXF6a2N4/document?format=pdf&amp;download=0
Marks and Spencer Financial Services plc Annual Report and Financial Statements FY2024, p.21, Statement of cash flows - https://find-and-update.company-information.service.gov.uk/company/01772585/filing-history/MzQ3MTYzOTk3NmFkaXF6a2N4/document?format=pdf&amp;download=0
Marks and Spencer Financial Services plc Annual Report and Financial Statements FY2023, p.20, Statement of cash flows - https://find-and-update.company-information.service.gov.uk/company/01772585/filing-history/MzQyNjY3NDIyNmFkaXF6a2N4/document?format=pdf&amp;download=0
Marks and Spencer Financial Services plc Annual Report and Financial Statements FY2022, p.20, Statement of cash flows - https://find-and-update.company-information.service.gov.uk/company/01772585/filing-history/MzM4NDYyNTMxMWFkaXF6a2N4/document?format=pdf&amp;download=0
Marks and Spencer Financial Services plc Annual Report and Financial Statements FY2021, p.21, Statement of cash flows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reports present changes in operating assets and liabilities as aggregate lines, so those lines are retained rather than reverse-engineering their underlying loan/deposit components.</t>
        </is>
      </c>
    </row>
  </sheetData>
  <mergeCells count="1">
    <mergeCell ref="A30:F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capital</t>
        </is>
      </c>
      <c r="B4" s="6" t="n">
        <v>443918</v>
      </c>
      <c r="C4" s="6" t="n">
        <v>402910</v>
      </c>
      <c r="D4" s="6" t="n">
        <v>395366</v>
      </c>
      <c r="E4" s="6" t="n">
        <v>396478</v>
      </c>
      <c r="F4" s="6" t="n">
        <v>389044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13.86%</t>
        </is>
      </c>
      <c r="C4" s="6" t="inlineStr">
        <is>
          <t>13.59%</t>
        </is>
      </c>
      <c r="D4" s="6" t="inlineStr">
        <is>
          <t>14.28%</t>
        </is>
      </c>
      <c r="E4" s="6" t="inlineStr">
        <is>
          <t>15.12%</t>
        </is>
      </c>
      <c r="F4" s="6" t="inlineStr">
        <is>
          <t>16.60%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503465</v>
      </c>
      <c r="C4" s="6" t="n">
        <v>471910</v>
      </c>
      <c r="D4" s="6" t="n">
        <v>464366</v>
      </c>
      <c r="E4" s="6" t="n">
        <v>465478</v>
      </c>
      <c r="F4" s="6" t="n">
        <v>458044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15.72%</t>
        </is>
      </c>
      <c r="C4" s="6" t="inlineStr">
        <is>
          <t>15.92%</t>
        </is>
      </c>
      <c r="D4" s="6" t="inlineStr">
        <is>
          <t>16.78%</t>
        </is>
      </c>
      <c r="E4" s="6" t="inlineStr">
        <is>
          <t>17.76%</t>
        </is>
      </c>
      <c r="F4" s="6" t="inlineStr">
        <is>
          <t>19.54%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>
        <v>589922</v>
      </c>
      <c r="C4" s="6" t="n">
        <v>557332</v>
      </c>
      <c r="D4" s="6" t="n">
        <v>568127</v>
      </c>
      <c r="E4" s="6" t="n">
        <v>567767</v>
      </c>
      <c r="F4" s="6" t="n">
        <v>563755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18.42%</t>
        </is>
      </c>
      <c r="C4" s="6" t="inlineStr">
        <is>
          <t>18.80%</t>
        </is>
      </c>
      <c r="D4" s="6" t="inlineStr">
        <is>
          <t>20.52%</t>
        </is>
      </c>
      <c r="E4" s="6" t="inlineStr">
        <is>
          <t>21.66%</t>
        </is>
      </c>
      <c r="F4" s="6" t="inlineStr">
        <is>
          <t>24.05%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n">
        <v>3202921</v>
      </c>
      <c r="C4" s="6" t="n">
        <v>2964326</v>
      </c>
      <c r="D4" s="6" t="n">
        <v>2768029</v>
      </c>
      <c r="E4" s="6" t="n">
        <v>2621405</v>
      </c>
      <c r="F4" s="6" t="n">
        <v>2343898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2026-08-29T12:16:42Z</dcterms:created>
  <dcterms:modified xmlns:dcterms="http://purl.org/dc/terms/" xmlns:xsi="http://www.w3.org/2001/XMLSchema-instance" xsi:type="dcterms:W3CDTF">2026-08-29T12:16:42Z</dcterms:modified>
</cp:coreProperties>
</file>