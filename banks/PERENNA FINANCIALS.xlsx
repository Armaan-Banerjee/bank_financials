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F5B78"/>
        <bgColor rgb="000F5B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Perenna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Perenna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40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Perenna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-62911585</v>
      </c>
      <c r="C6" s="5" t="n">
        <v>-51800587</v>
      </c>
      <c r="D6" s="5" t="n">
        <v>-12296282</v>
      </c>
      <c r="E6" s="5" t="n">
        <v>-9753988</v>
      </c>
      <c r="F6" s="5" t="n">
        <v>1515217</v>
      </c>
      <c r="I6" t="inlineStr">
        <is>
          <t>Net cash from/(used in) operating activities</t>
        </is>
      </c>
      <c r="J6" t="n">
        <v>1515217</v>
      </c>
      <c r="K6" t="n">
        <v>-9753988</v>
      </c>
      <c r="L6" t="n">
        <v>-12296282</v>
      </c>
      <c r="M6" t="n">
        <v>-51800587</v>
      </c>
      <c r="N6" t="n">
        <v>-62911585</v>
      </c>
      <c r="Q6" t="inlineStr">
        <is>
          <t>CET1 Ratio</t>
        </is>
      </c>
      <c r="S6" t="n">
        <v>101.66</v>
      </c>
      <c r="T6" t="n">
        <v>269</v>
      </c>
      <c r="U6" t="n">
        <v>133</v>
      </c>
      <c r="V6" t="n">
        <v>48</v>
      </c>
    </row>
    <row r="7">
      <c r="A7" s="5" t="inlineStr">
        <is>
          <t>Net cash from/(used in) investing activities</t>
        </is>
      </c>
      <c r="B7" s="5" t="n">
        <v>1588518</v>
      </c>
      <c r="C7" s="5" t="n">
        <v>26154585</v>
      </c>
      <c r="D7" s="5" t="n">
        <v>-19615868</v>
      </c>
      <c r="E7" s="5" t="n">
        <v>-13959276</v>
      </c>
      <c r="F7" s="5" t="n">
        <v>-1205590</v>
      </c>
      <c r="I7" t="inlineStr">
        <is>
          <t>Net cash from/(used in) investing activities</t>
        </is>
      </c>
      <c r="J7" t="n">
        <v>-1205590</v>
      </c>
      <c r="K7" t="n">
        <v>-13959276</v>
      </c>
      <c r="L7" t="n">
        <v>-19615868</v>
      </c>
      <c r="M7" t="n">
        <v>26154585</v>
      </c>
      <c r="N7" t="n">
        <v>1588518</v>
      </c>
      <c r="Q7" t="inlineStr">
        <is>
          <t>Leverage Ratio</t>
        </is>
      </c>
      <c r="S7" t="n">
        <v>91.05</v>
      </c>
      <c r="T7" t="n">
        <v>91.97</v>
      </c>
      <c r="U7" t="n">
        <v>46.38</v>
      </c>
      <c r="V7" t="n">
        <v>21.47</v>
      </c>
    </row>
    <row r="8">
      <c r="A8" s="5" t="inlineStr">
        <is>
          <t>Net cash from/(used in) financing activities</t>
        </is>
      </c>
      <c r="B8" s="5" t="n">
        <v>66130750</v>
      </c>
      <c r="C8" s="5" t="n">
        <v>24639093</v>
      </c>
      <c r="D8" s="5" t="n">
        <v>42655406</v>
      </c>
      <c r="E8" s="5" t="n">
        <v>24266670</v>
      </c>
      <c r="F8" s="5" t="n">
        <v>50000</v>
      </c>
      <c r="I8" t="inlineStr">
        <is>
          <t>Net cash from/(used in) financing activities</t>
        </is>
      </c>
      <c r="J8" t="n">
        <v>50000</v>
      </c>
      <c r="K8" t="n">
        <v>24266670</v>
      </c>
      <c r="L8" t="n">
        <v>42655406</v>
      </c>
      <c r="M8" t="n">
        <v>24639093</v>
      </c>
      <c r="N8" t="n">
        <v>66130750</v>
      </c>
    </row>
    <row r="9">
      <c r="A9" s="5" t="inlineStr">
        <is>
          <t>Cash and cash equivalents at end of year/period</t>
        </is>
      </c>
      <c r="B9" s="5" t="n">
        <v>15457063</v>
      </c>
      <c r="C9" s="5" t="n">
        <v>10649380</v>
      </c>
      <c r="D9" s="5" t="n">
        <v>11656289</v>
      </c>
      <c r="E9" s="5" t="n">
        <v>913033</v>
      </c>
      <c r="F9" s="5" t="n">
        <v>359627</v>
      </c>
      <c r="I9" t="inlineStr">
        <is>
          <t>Cash and cash equivalents at end of year/period</t>
        </is>
      </c>
      <c r="J9" t="n">
        <v>359627</v>
      </c>
      <c r="K9" t="n">
        <v>913033</v>
      </c>
      <c r="L9" t="n">
        <v>11656289</v>
      </c>
      <c r="M9" t="n">
        <v>10649380</v>
      </c>
      <c r="N9" t="n">
        <v>15457063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48%</t>
        </is>
      </c>
      <c r="C13" s="6" t="inlineStr">
        <is>
          <t>133%</t>
        </is>
      </c>
      <c r="D13" s="6" t="inlineStr">
        <is>
          <t>269%</t>
        </is>
      </c>
      <c r="E13" s="6" t="inlineStr">
        <is>
          <t>101.66%</t>
        </is>
      </c>
      <c r="F13" s="6" t="n"/>
    </row>
    <row r="14">
      <c r="A14" s="6" t="inlineStr">
        <is>
          <t>Leverage Ratio</t>
        </is>
      </c>
      <c r="B14" s="6" t="inlineStr">
        <is>
          <t>21.47%</t>
        </is>
      </c>
      <c r="C14" s="6" t="inlineStr">
        <is>
          <t>46.38%</t>
        </is>
      </c>
      <c r="D14" s="6" t="inlineStr">
        <is>
          <t>91.97%</t>
        </is>
      </c>
      <c r="E14" s="6" t="inlineStr">
        <is>
          <t>91.05%</t>
        </is>
      </c>
      <c r="F14" s="6" t="n"/>
    </row>
    <row r="16" ht="45" customHeight="1">
      <c r="A16" s="7" t="inlineStr">
        <is>
          <t>Note: The ratio figures are the Annual Reports' named Key Performance Indicators, not a substitute Pillar 3/KM1 dataset. No FY2021 ratio was disclosed; other fixed workbook metrics are explicitly not publicly disclosed.</t>
        </is>
      </c>
    </row>
  </sheetData>
  <mergeCells count="1">
    <mergeCell ref="A16:F1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Statement of Cash Flows</t>
        </is>
      </c>
    </row>
    <row r="2">
      <c r="A2" s="2" t="inlineStr">
        <is>
          <t>FY2021-FY2023 company-only; FY2024-FY2025 consolidated Group basis; £; see source and data-quality notes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Loss for the year/period</t>
        </is>
      </c>
      <c r="B5" s="6" t="n">
        <v>-18291515</v>
      </c>
      <c r="C5" s="6" t="n">
        <v>-18321432</v>
      </c>
      <c r="D5" s="6" t="n">
        <v>-15409172</v>
      </c>
      <c r="E5" s="6" t="n">
        <v>-10396474</v>
      </c>
      <c r="F5" s="6" t="n">
        <v>-5797708</v>
      </c>
    </row>
    <row r="6">
      <c r="A6" s="6" t="inlineStr">
        <is>
          <t>Depreciation of property, plant and equipment</t>
        </is>
      </c>
      <c r="B6" s="6" t="n">
        <v>55644</v>
      </c>
      <c r="C6" s="6" t="n">
        <v>82462</v>
      </c>
      <c r="D6" s="6" t="n">
        <v>64899</v>
      </c>
      <c r="E6" s="6" t="n">
        <v>43771</v>
      </c>
      <c r="F6" s="6" t="n">
        <v>14212</v>
      </c>
    </row>
    <row r="7">
      <c r="A7" s="6" t="inlineStr">
        <is>
          <t>Amortisation of intangible fixed assets</t>
        </is>
      </c>
      <c r="B7" s="6" t="n">
        <v>826967</v>
      </c>
      <c r="C7" s="6" t="n">
        <v>926543</v>
      </c>
      <c r="D7" s="6" t="n">
        <v>226638</v>
      </c>
      <c r="E7" s="6" t="n">
        <v>10946</v>
      </c>
      <c r="F7" s="6" t="n"/>
    </row>
    <row r="8">
      <c r="A8" s="6" t="inlineStr">
        <is>
          <t>Impairment losses on intangible assets</t>
        </is>
      </c>
      <c r="B8" s="6" t="n">
        <v>643093</v>
      </c>
      <c r="C8" s="6" t="n"/>
      <c r="D8" s="6" t="n">
        <v>18000</v>
      </c>
      <c r="E8" s="6" t="n"/>
      <c r="F8" s="6" t="n"/>
    </row>
    <row r="9">
      <c r="A9" s="6" t="inlineStr">
        <is>
          <t>Interest received</t>
        </is>
      </c>
      <c r="B9" s="6" t="n">
        <v>-555881</v>
      </c>
      <c r="C9" s="6" t="n">
        <v>-28237</v>
      </c>
      <c r="D9" s="6" t="n"/>
      <c r="E9" s="6" t="n"/>
      <c r="F9" s="6" t="n"/>
    </row>
    <row r="10">
      <c r="A10" s="6" t="inlineStr">
        <is>
          <t>Interest paid</t>
        </is>
      </c>
      <c r="B10" s="6" t="n">
        <v>2796060</v>
      </c>
      <c r="C10" s="6" t="n">
        <v>445826</v>
      </c>
      <c r="D10" s="6" t="n"/>
      <c r="E10" s="6" t="n"/>
      <c r="F10" s="6" t="n"/>
    </row>
    <row r="11">
      <c r="A11" s="6" t="inlineStr">
        <is>
          <t>Fair value losses/(gain)</t>
        </is>
      </c>
      <c r="B11" s="6" t="n">
        <v>1254779</v>
      </c>
      <c r="C11" s="6" t="n">
        <v>10467</v>
      </c>
      <c r="D11" s="6" t="n">
        <v>-7778</v>
      </c>
      <c r="E11" s="6" t="n">
        <v>13541</v>
      </c>
      <c r="F11" s="6" t="n"/>
    </row>
    <row r="12">
      <c r="A12" s="6" t="inlineStr">
        <is>
          <t>Investment income</t>
        </is>
      </c>
      <c r="B12" s="6" t="n">
        <v>-199630</v>
      </c>
      <c r="C12" s="6" t="n">
        <v>-618090</v>
      </c>
      <c r="D12" s="6" t="n">
        <v>-386793</v>
      </c>
      <c r="E12" s="6" t="n">
        <v>-93422</v>
      </c>
      <c r="F12" s="6" t="n"/>
    </row>
    <row r="13">
      <c r="A13" s="6" t="inlineStr">
        <is>
          <t>Investment income received</t>
        </is>
      </c>
      <c r="B13" s="6" t="n"/>
      <c r="C13" s="6" t="n"/>
      <c r="D13" s="6" t="n"/>
      <c r="E13" s="6" t="n">
        <v>20529</v>
      </c>
      <c r="F13" s="6" t="n"/>
    </row>
    <row r="14">
      <c r="A14" s="6" t="inlineStr">
        <is>
          <t>Share-based payment expense</t>
        </is>
      </c>
      <c r="B14" s="6" t="n"/>
      <c r="C14" s="6" t="n">
        <v>1291536</v>
      </c>
      <c r="D14" s="6" t="n">
        <v>2471965</v>
      </c>
      <c r="E14" s="6" t="n">
        <v>207333</v>
      </c>
      <c r="F14" s="6" t="n"/>
    </row>
    <row r="15">
      <c r="A15" s="6" t="inlineStr">
        <is>
          <t>Corporation tax charge</t>
        </is>
      </c>
      <c r="B15" s="6" t="n">
        <v>300</v>
      </c>
      <c r="C15" s="6" t="n">
        <v>175</v>
      </c>
      <c r="D15" s="6" t="n"/>
      <c r="E15" s="6" t="n"/>
      <c r="F15" s="6" t="n"/>
    </row>
    <row r="16">
      <c r="A16" s="6" t="inlineStr">
        <is>
          <t>Corporation tax paid</t>
        </is>
      </c>
      <c r="B16" s="6" t="n">
        <v>-175</v>
      </c>
      <c r="C16" s="6" t="n"/>
      <c r="D16" s="6" t="n"/>
      <c r="E16" s="6" t="n"/>
      <c r="F16" s="6" t="n"/>
    </row>
    <row r="17">
      <c r="A17" s="6" t="inlineStr">
        <is>
          <t>Impairment loss on loans and advances to customers</t>
        </is>
      </c>
      <c r="B17" s="6" t="n"/>
      <c r="C17" s="6" t="n">
        <v>29621</v>
      </c>
      <c r="D17" s="6" t="n">
        <v>108</v>
      </c>
      <c r="E17" s="6" t="n"/>
      <c r="F17" s="6" t="n"/>
    </row>
    <row r="18">
      <c r="A18" s="6" t="inlineStr">
        <is>
          <t>(Increase)/decrease in debtors</t>
        </is>
      </c>
      <c r="B18" s="6" t="n"/>
      <c r="C18" s="6" t="n"/>
      <c r="D18" s="6" t="n"/>
      <c r="E18" s="6" t="n"/>
      <c r="F18" s="6" t="n">
        <v>-136084</v>
      </c>
    </row>
    <row r="19">
      <c r="A19" s="6" t="inlineStr">
        <is>
          <t>Increase in creditors</t>
        </is>
      </c>
      <c r="B19" s="6" t="n"/>
      <c r="C19" s="6" t="n"/>
      <c r="D19" s="6" t="n"/>
      <c r="E19" s="6" t="n"/>
      <c r="F19" s="6" t="n">
        <v>581228</v>
      </c>
    </row>
    <row r="20">
      <c r="A20" s="6" t="inlineStr">
        <is>
          <t>Increase in amounts owed to group companies</t>
        </is>
      </c>
      <c r="B20" s="6" t="n"/>
      <c r="C20" s="6" t="n"/>
      <c r="D20" s="6" t="n"/>
      <c r="E20" s="6" t="n"/>
      <c r="F20" s="6" t="n">
        <v>6853569</v>
      </c>
    </row>
    <row r="21">
      <c r="A21" s="6" t="inlineStr">
        <is>
          <t>Increase in prepayments, accrued income and other assets</t>
        </is>
      </c>
      <c r="B21" s="6" t="n">
        <v>-268941</v>
      </c>
      <c r="C21" s="6" t="n">
        <v>-530597</v>
      </c>
      <c r="D21" s="6" t="n">
        <v>-401076</v>
      </c>
      <c r="E21" s="6" t="n"/>
      <c r="F21" s="6" t="n"/>
    </row>
    <row r="22">
      <c r="A22" s="6" t="inlineStr">
        <is>
          <t>Increase in trade and other payables</t>
        </is>
      </c>
      <c r="B22" s="6" t="n">
        <v>4535562</v>
      </c>
      <c r="C22" s="6" t="n">
        <v>105671</v>
      </c>
      <c r="D22" s="6" t="n">
        <v>1235718</v>
      </c>
      <c r="E22" s="6" t="n">
        <v>699493</v>
      </c>
      <c r="F22" s="6" t="n"/>
    </row>
    <row r="23">
      <c r="A23" s="6" t="inlineStr">
        <is>
          <t>Increase in loans and advances to customers</t>
        </is>
      </c>
      <c r="B23" s="6" t="n">
        <v>-50911788</v>
      </c>
      <c r="C23" s="6" t="n">
        <v>-34748706</v>
      </c>
      <c r="D23" s="6" t="n">
        <v>-108791</v>
      </c>
      <c r="E23" s="6" t="n"/>
      <c r="F23" s="6" t="n"/>
    </row>
    <row r="24">
      <c r="A24" s="6" t="inlineStr">
        <is>
          <t>Interest paid (cash flow movement)</t>
        </is>
      </c>
      <c r="B24" s="6" t="n">
        <v>-2796060</v>
      </c>
      <c r="C24" s="6" t="n">
        <v>-445826</v>
      </c>
      <c r="D24" s="6" t="n"/>
      <c r="E24" s="6" t="n"/>
      <c r="F24" s="6" t="n"/>
    </row>
    <row r="25">
      <c r="A25" s="6" t="inlineStr">
        <is>
          <t>Increase in trade and other receivables</t>
        </is>
      </c>
      <c r="B25" s="6" t="n"/>
      <c r="C25" s="6" t="n"/>
      <c r="D25" s="6" t="n"/>
      <c r="E25" s="6" t="n">
        <v>-259705</v>
      </c>
      <c r="F25" s="6" t="n"/>
    </row>
    <row r="26">
      <c r="A26" s="5" t="inlineStr">
        <is>
          <t>Net cash from/(used in) operating activities</t>
        </is>
      </c>
      <c r="B26" s="5" t="n">
        <v>-62911585</v>
      </c>
      <c r="C26" s="5" t="n">
        <v>-51800587</v>
      </c>
      <c r="D26" s="5" t="n">
        <v>-12296282</v>
      </c>
      <c r="E26" s="5" t="n">
        <v>-9753988</v>
      </c>
      <c r="F26" s="5" t="n">
        <v>1515217</v>
      </c>
    </row>
    <row r="27">
      <c r="A27" s="5" t="inlineStr">
        <is>
          <t>Investing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Purchases of property, plant and equipment</t>
        </is>
      </c>
      <c r="B28" s="6" t="n">
        <v>-15782</v>
      </c>
      <c r="C28" s="6" t="n">
        <v>-31732</v>
      </c>
      <c r="D28" s="6" t="n">
        <v>-93225</v>
      </c>
      <c r="E28" s="6" t="n">
        <v>-87449</v>
      </c>
      <c r="F28" s="6" t="n">
        <v>-84976</v>
      </c>
    </row>
    <row r="29">
      <c r="A29" s="6" t="inlineStr">
        <is>
          <t>Purchase of intangible assets</t>
        </is>
      </c>
      <c r="B29" s="6" t="n">
        <v>-128734</v>
      </c>
      <c r="C29" s="6" t="n">
        <v>-386881</v>
      </c>
      <c r="D29" s="6" t="n">
        <v>-428546</v>
      </c>
      <c r="E29" s="6" t="n">
        <v>-1044109</v>
      </c>
      <c r="F29" s="6" t="n">
        <v>-1120614</v>
      </c>
    </row>
    <row r="30">
      <c r="A30" s="6" t="inlineStr">
        <is>
          <t>Sale/(purchases) of available-for-sale financial assets</t>
        </is>
      </c>
      <c r="B30" s="6" t="n">
        <v>1177153</v>
      </c>
      <c r="C30" s="6" t="n">
        <v>26544961</v>
      </c>
      <c r="D30" s="6" t="n">
        <v>-19094097</v>
      </c>
      <c r="E30" s="6" t="n"/>
      <c r="F30" s="6" t="n"/>
    </row>
    <row r="31">
      <c r="A31" s="6" t="inlineStr">
        <is>
          <t>Purchases of FVTPL investments</t>
        </is>
      </c>
      <c r="B31" s="6" t="n"/>
      <c r="C31" s="6" t="n"/>
      <c r="D31" s="6" t="n"/>
      <c r="E31" s="6" t="n">
        <v>-12807189</v>
      </c>
      <c r="F31" s="6" t="n"/>
    </row>
    <row r="32">
      <c r="A32" s="6" t="inlineStr">
        <is>
          <t>Investment income cash flow on maturity</t>
        </is>
      </c>
      <c r="B32" s="6" t="n"/>
      <c r="C32" s="6" t="n"/>
      <c r="D32" s="6" t="n"/>
      <c r="E32" s="6" t="n">
        <v>-20529</v>
      </c>
      <c r="F32" s="6" t="n"/>
    </row>
    <row r="33">
      <c r="A33" s="6" t="inlineStr">
        <is>
          <t>Interest received</t>
        </is>
      </c>
      <c r="B33" s="6" t="n">
        <v>555881</v>
      </c>
      <c r="C33" s="6" t="n">
        <v>28237</v>
      </c>
      <c r="D33" s="6" t="n"/>
      <c r="E33" s="6" t="n"/>
      <c r="F33" s="6" t="n"/>
    </row>
    <row r="34">
      <c r="A34" s="5" t="inlineStr">
        <is>
          <t>Net cash from/(used in) investing activities</t>
        </is>
      </c>
      <c r="B34" s="5" t="n">
        <v>1588518</v>
      </c>
      <c r="C34" s="5" t="n">
        <v>26154585</v>
      </c>
      <c r="D34" s="5" t="n">
        <v>-19615868</v>
      </c>
      <c r="E34" s="5" t="n">
        <v>-13959276</v>
      </c>
      <c r="F34" s="5" t="n">
        <v>-1205590</v>
      </c>
    </row>
    <row r="35">
      <c r="A35" s="5" t="inlineStr">
        <is>
          <t>Financing activities</t>
        </is>
      </c>
      <c r="B35" s="6" t="n"/>
      <c r="C35" s="6" t="n"/>
      <c r="D35" s="6" t="n"/>
      <c r="E35" s="6" t="n"/>
      <c r="F35" s="6" t="n"/>
    </row>
    <row r="36">
      <c r="A36" s="6" t="inlineStr">
        <is>
          <t>Issue of ordinary shares</t>
        </is>
      </c>
      <c r="B36" s="6" t="n">
        <v>112430</v>
      </c>
      <c r="C36" s="6" t="n"/>
      <c r="D36" s="6" t="n">
        <v>19726</v>
      </c>
      <c r="E36" s="6" t="n">
        <v>20149</v>
      </c>
      <c r="F36" s="6" t="n">
        <v>50000</v>
      </c>
    </row>
    <row r="37">
      <c r="A37" s="6" t="inlineStr">
        <is>
          <t>Issue of ordinary shares at a premium</t>
        </is>
      </c>
      <c r="B37" s="6" t="n">
        <v>11130582</v>
      </c>
      <c r="C37" s="6" t="n"/>
      <c r="D37" s="6" t="n">
        <v>42830263</v>
      </c>
      <c r="E37" s="6" t="n">
        <v>24453854</v>
      </c>
      <c r="F37" s="6" t="n"/>
    </row>
    <row r="38">
      <c r="A38" s="6" t="inlineStr">
        <is>
          <t>Transaction cost for share issuance</t>
        </is>
      </c>
      <c r="B38" s="6" t="n">
        <v>-45262</v>
      </c>
      <c r="C38" s="6" t="n">
        <v>-10907</v>
      </c>
      <c r="D38" s="6" t="n">
        <v>-194583</v>
      </c>
      <c r="E38" s="6" t="n">
        <v>-207333</v>
      </c>
      <c r="F38" s="6" t="n"/>
    </row>
    <row r="39">
      <c r="A39" s="6" t="inlineStr">
        <is>
          <t>Proceeds from loans and borrowings</t>
        </is>
      </c>
      <c r="B39" s="6" t="n">
        <v>54933000</v>
      </c>
      <c r="C39" s="6" t="n">
        <v>24650000</v>
      </c>
      <c r="D39" s="6" t="n"/>
      <c r="E39" s="6" t="n"/>
      <c r="F39" s="6" t="n"/>
    </row>
    <row r="40">
      <c r="A40" s="5" t="inlineStr">
        <is>
          <t>Net cash from/(used in) financing activities</t>
        </is>
      </c>
      <c r="B40" s="5" t="n">
        <v>66130750</v>
      </c>
      <c r="C40" s="5" t="n">
        <v>24639093</v>
      </c>
      <c r="D40" s="5" t="n">
        <v>42655406</v>
      </c>
      <c r="E40" s="5" t="n">
        <v>24266670</v>
      </c>
      <c r="F40" s="5" t="n">
        <v>50000</v>
      </c>
    </row>
    <row r="41">
      <c r="A41" s="5" t="inlineStr">
        <is>
          <t>Net increase/(decrease) in cash and cash equivalents</t>
        </is>
      </c>
      <c r="B41" s="5" t="n">
        <v>4807683</v>
      </c>
      <c r="C41" s="5" t="n">
        <v>-1006909</v>
      </c>
      <c r="D41" s="5" t="n">
        <v>10743256</v>
      </c>
      <c r="E41" s="5" t="n">
        <v>553406</v>
      </c>
      <c r="F41" s="5" t="n">
        <v>359627</v>
      </c>
    </row>
    <row r="42">
      <c r="A42" s="6" t="inlineStr">
        <is>
          <t>Cash and cash equivalents at the beginning of year/period</t>
        </is>
      </c>
      <c r="B42" s="6" t="n">
        <v>10649380</v>
      </c>
      <c r="C42" s="6" t="n">
        <v>11656289</v>
      </c>
      <c r="D42" s="6" t="n">
        <v>913033</v>
      </c>
      <c r="E42" s="6" t="n">
        <v>359627</v>
      </c>
      <c r="F42" s="6" t="n"/>
    </row>
    <row r="43">
      <c r="A43" s="5" t="inlineStr">
        <is>
          <t>Cash and cash equivalents at the end of year/period</t>
        </is>
      </c>
      <c r="B43" s="5" t="n">
        <v>15457063</v>
      </c>
      <c r="C43" s="5" t="n">
        <v>10649380</v>
      </c>
      <c r="D43" s="5" t="n">
        <v>11656289</v>
      </c>
      <c r="E43" s="5" t="n">
        <v>913033</v>
      </c>
      <c r="F43" s="5" t="n">
        <v>359627</v>
      </c>
    </row>
    <row r="45" ht="250" customHeight="1">
      <c r="A45" s="8" t="inlineStr">
        <is>
          <t>Sources - FY2021-FY2023 are Perenna Bank PLC's own company-only Statement of Cash Flows; FY2024-FY2025 are the consolidated Group Statement of Cash Flows:
FY2025: Group Annual Report and Financial Statements 2025, p.29-30 (Consolidated Statement of Cash Flows) - https://find-and-update.company-information.service.gov.uk/company/13084174/filing-history/MzUyNTM5NTkxM2FkaXF6a2N4/document?format=pdf&amp;download=0
FY2024: Group Annual Report and Financial Statements 2024, p.32-33 (Consolidated Statement of Cash Flows) - https://find-and-update.company-information.service.gov.uk/company/13084174/filing-history/MzQ3MjEwNTk2M2FkaXF6a2N4/document?format=pdf&amp;download=0
FY2023: Annual Report and Financial Statements 2023, p.33-34 (Statement of Cash Flows) - https://find-and-update.company-information.service.gov.uk/company/13084174/filing-history/MzQyNTQzMzk4MGFkaXF6a2N4/document?format=pdf&amp;download=0
FY2022: Annual Report and Financial Statements 2022, p.30-31 (Statement of Cash Flows; 2021 comparative is restated) - https://find-and-update.company-information.service.gov.uk/company/13084174/filing-history/MzM4MjAzMDY1OWFkaXF6a2N4/document?format=pdf&amp;download=0
FY2021: Annual Report and Financial Statements 2021, p.14 (Statement of Cash Flows) - https://find-and-update.company-information.service.gov.uk/company/13084174/filing-history/MzM1MTg2MDczOWFkaXF6a2N4/document?format=pdf&amp;download=0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
DATA QUALITY NOTE: The FY2024 and FY2025 reports contain an internal presentation/arithmetic inconsistency in the intermediate operating-cash subtotal labelled 'Cash used in operations'. The final reported net operating cash totals do reconcile to the full preceding line-item chain, so the intermediate subtotal is omitted rather than double-counted; all underlying line items and the final reported totals are transcribed as printed. FY2024's final net operating total is (£51,800,587), while FY2025's is (£62,911,585).</t>
        </is>
      </c>
    </row>
  </sheetData>
  <mergeCells count="1">
    <mergeCell ref="A45:F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48%</t>
        </is>
      </c>
      <c r="C4" s="6" t="inlineStr">
        <is>
          <t>133%</t>
        </is>
      </c>
      <c r="D4" s="6" t="inlineStr">
        <is>
          <t>269%</t>
        </is>
      </c>
      <c r="E4" s="6" t="inlineStr">
        <is>
          <t>101.66%</t>
        </is>
      </c>
      <c r="F4" s="6" t="n"/>
    </row>
    <row r="5" ht="60" customHeight="1">
      <c r="A5" s="7" t="inlineStr">
        <is>
          <t>Note: The Annual Reports disclose this ratio as a Key Performance Indicator, but do not provide a separate Pillar 3/KM1 capital amount. No FY2021 ratio is disclosed.</t>
        </is>
      </c>
    </row>
    <row r="7" ht="170" customHeight="1">
      <c r="A7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21.47%</t>
        </is>
      </c>
      <c r="C4" s="6" t="inlineStr">
        <is>
          <t>46.38%</t>
        </is>
      </c>
      <c r="D4" s="6" t="inlineStr">
        <is>
          <t>91.97%</t>
        </is>
      </c>
      <c r="E4" s="6" t="inlineStr">
        <is>
          <t>91.05%</t>
        </is>
      </c>
      <c r="F4" s="6" t="n"/>
    </row>
    <row r="5" ht="60" customHeight="1">
      <c r="A5" s="7" t="inlineStr">
        <is>
          <t>Note: The Annual Reports disclose this ratio as a Key Performance Indicator. No FY2021 ratio is disclosed.</t>
        </is>
      </c>
    </row>
    <row r="7" ht="170" customHeight="1">
      <c r="A7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Perenna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6" ht="170" customHeight="1">
      <c r="A6" s="8" t="inlineStr">
        <is>
          <t>Sources - Perenna Bank PLC regulatory/key-metric disclosures:
FY2025 &amp; FY2024: Group Annual Report and Financial Statements 2025, p.1 (Key Performance Indicators; 2025 and 2024 comparative) - https://find-and-update.company-information.service.gov.uk/company/13084174/filing-history/MzUyNTM5NTkxM2FkaXF6a2N4/document?format=pdf&amp;download=0
FY2023 &amp; FY2022: Annual Report and Financial Statements 2023, p.3 (Key performance indicators; 2023 and 2022 comparative) - https://find-and-update.company-information.service.gov.uk/company/13084174/filing-history/MzQyNTQzMzk4MGFkaXF6a2N4/document?format=pdf&amp;download=0
No separate Perenna Pillar 3/KM1 disclosure was located on the Bank's website or in its Companies House filings. The Annual Reports disclose only CET1 ratio and leverage ratio as named key metrics; the other fixed workbook metrics are therefore left explicitly not publicly disclosed.
ENTITY NOTE: Perenna Bank PLC (Companies House 13084174; PRA FRN 956138) was incorporated as Perenna FFL PLC and changed its legal name on 30 September 2022. This is the same legal entity, not a substituted group or predecessor. It received a restricted banking licence in August 2022 and a full banking licence in 2023. FY2021-FY2023 are company-only accounts; FY2024-FY2025 also present consolidated Group accounts, and the consolidated cash-flow statement is used for those years. All figures below are in pounds (£), as reported.</t>
        </is>
      </c>
    </row>
  </sheetData>
  <mergeCells count="1"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2026-08-28T21:14:57Z</dcterms:created>
  <dcterms:modified xsi:type="dcterms:W3CDTF">2026-08-28T21:14:57Z</dcterms:modified>
</cp:coreProperties>
</file>