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Q6" t="n">
        <v>101.66</v>
      </c>
      <c r="AR6" t="n">
        <v>269</v>
      </c>
      <c r="AS6" t="n">
        <v>133</v>
      </c>
      <c r="AT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Q7" t="n">
        <v>91.05</v>
      </c>
      <c r="AR7" t="n">
        <v>91.97</v>
      </c>
      <c r="AS7" t="n">
        <v>46.38</v>
      </c>
      <c r="AT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48%</t>
        </is>
      </c>
      <c r="C34" s="6" t="inlineStr">
        <is>
          <t>133%</t>
        </is>
      </c>
      <c r="D34" s="6" t="inlineStr">
        <is>
          <t>269%</t>
        </is>
      </c>
      <c r="E34" s="6" t="inlineStr">
        <is>
          <t>101.66%</t>
        </is>
      </c>
      <c r="F34" s="6" t="n"/>
    </row>
    <row r="35">
      <c r="A35" s="6" t="inlineStr">
        <is>
          <t>Leverage Ratio</t>
        </is>
      </c>
      <c r="B35" s="6" t="inlineStr">
        <is>
          <t>21.47%</t>
        </is>
      </c>
      <c r="C35" s="6" t="inlineStr">
        <is>
          <t>46.38%</t>
        </is>
      </c>
      <c r="D35" s="6" t="inlineStr">
        <is>
          <t>91.97%</t>
        </is>
      </c>
      <c r="E35" s="6" t="inlineStr">
        <is>
          <t>91.05%</t>
        </is>
      </c>
      <c r="F35" s="6" t="n"/>
    </row>
    <row r="37" ht="45"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4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4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4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250"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 gross carrying amount by IFRS 9 stage</t>
        </is>
      </c>
      <c r="B4" s="6" t="n"/>
      <c r="C4" s="6" t="n"/>
      <c r="D4" s="6" t="n"/>
      <c r="E4" s="6" t="n"/>
      <c r="F4" s="6" t="n"/>
    </row>
    <row r="5">
      <c r="A5" s="6" t="inlineStr">
        <is>
          <t>Stage 1</t>
        </is>
      </c>
      <c r="B5" s="6" t="n">
        <v>83505753</v>
      </c>
      <c r="C5" s="6" t="n">
        <v>34857910</v>
      </c>
      <c r="D5" s="6" t="n"/>
      <c r="E5" s="6" t="n"/>
      <c r="F5" s="6" t="n"/>
    </row>
    <row r="6">
      <c r="A6" s="6" t="inlineStr">
        <is>
          <t>Stage 2</t>
        </is>
      </c>
      <c r="B6" s="6" t="n">
        <v>2262415</v>
      </c>
      <c r="C6" s="6" t="n"/>
      <c r="D6" s="6" t="n"/>
      <c r="E6" s="6" t="n"/>
      <c r="F6" s="6" t="n"/>
    </row>
    <row r="7">
      <c r="A7" s="6" t="inlineStr">
        <is>
          <t>Stage 3</t>
        </is>
      </c>
      <c r="B7" s="6" t="n">
        <v>41030</v>
      </c>
      <c r="C7" s="6" t="n"/>
      <c r="D7" s="6" t="n"/>
      <c r="E7" s="6" t="n"/>
      <c r="F7" s="6" t="n"/>
    </row>
    <row r="8">
      <c r="A8" s="5" t="inlineStr">
        <is>
          <t>Total gross carrying amount</t>
        </is>
      </c>
      <c r="B8" s="5" t="n">
        <v>85809197</v>
      </c>
      <c r="C8" s="5" t="n">
        <v>34857910</v>
      </c>
      <c r="D8" s="5" t="n">
        <v>108791</v>
      </c>
      <c r="E8" s="5" t="n"/>
      <c r="F8" s="5" t="n"/>
    </row>
    <row r="9">
      <c r="A9" s="5" t="inlineStr">
        <is>
          <t>Loss allowance (ECL) by IFRS 9 stage</t>
        </is>
      </c>
      <c r="B9" s="6" t="n"/>
      <c r="C9" s="6" t="n"/>
      <c r="D9" s="6" t="n"/>
      <c r="E9" s="6" t="n"/>
      <c r="F9" s="6" t="n"/>
    </row>
    <row r="10">
      <c r="A10" s="6" t="inlineStr">
        <is>
          <t>Stage 1 ECL</t>
        </is>
      </c>
      <c r="B10" s="6" t="n">
        <v>41978</v>
      </c>
      <c r="C10" s="6" t="n">
        <v>30126</v>
      </c>
      <c r="D10" s="6" t="n">
        <v>108</v>
      </c>
      <c r="E10" s="6" t="n"/>
      <c r="F10" s="6" t="n"/>
    </row>
    <row r="11">
      <c r="A11" s="6" t="inlineStr">
        <is>
          <t>Stage 2 ECL</t>
        </is>
      </c>
      <c r="B11" s="6" t="n">
        <v>26641</v>
      </c>
      <c r="C11" s="6" t="n"/>
      <c r="D11" s="6" t="n"/>
      <c r="E11" s="6" t="n"/>
      <c r="F11" s="6" t="n"/>
    </row>
    <row r="12">
      <c r="A12" s="6" t="inlineStr">
        <is>
          <t>Stage 3 ECL</t>
        </is>
      </c>
      <c r="B12" s="6" t="n">
        <v>1019</v>
      </c>
      <c r="C12" s="6" t="n"/>
      <c r="D12" s="6" t="n"/>
      <c r="E12" s="6" t="n"/>
      <c r="F12" s="6" t="n"/>
    </row>
    <row r="13">
      <c r="A13" s="5" t="inlineStr">
        <is>
          <t>Total loss allowance</t>
        </is>
      </c>
      <c r="B13" s="5" t="n">
        <v>69638</v>
      </c>
      <c r="C13" s="5" t="n">
        <v>30126</v>
      </c>
      <c r="D13" s="5" t="n">
        <v>108</v>
      </c>
      <c r="E13" s="5" t="n"/>
      <c r="F13" s="5" t="n"/>
    </row>
    <row r="14">
      <c r="A14" s="5" t="inlineStr">
        <is>
          <t>Net loans and advances to customers</t>
        </is>
      </c>
      <c r="B14" s="5" t="n">
        <v>85739558</v>
      </c>
      <c r="C14" s="5" t="n">
        <v>34827768</v>
      </c>
      <c r="D14" s="5" t="n">
        <v>108683</v>
      </c>
      <c r="E14" s="5" t="n"/>
      <c r="F14" s="5" t="n"/>
    </row>
    <row r="15">
      <c r="A15" s="6" t="inlineStr">
        <is>
          <t>ECL coverage ratio (loss allowance / gross carrying amount)</t>
        </is>
      </c>
      <c r="B15" s="6" t="inlineStr">
        <is>
          <t>0.08%</t>
        </is>
      </c>
      <c r="C15" s="6" t="inlineStr">
        <is>
          <t>0.09%</t>
        </is>
      </c>
      <c r="D15" s="6" t="inlineStr">
        <is>
          <t>0.10%</t>
        </is>
      </c>
      <c r="E15" s="6" t="n"/>
      <c r="F15" s="6" t="n"/>
    </row>
    <row r="16">
      <c r="A16" s="6" t="inlineStr">
        <is>
          <t>Stage 2 + Stage 3 as % of gross loans (early-warning/NPL proxy)</t>
        </is>
      </c>
      <c r="B16" s="6" t="inlineStr">
        <is>
          <t>2.68%</t>
        </is>
      </c>
      <c r="C16" s="6" t="inlineStr">
        <is>
          <t>0.00%</t>
        </is>
      </c>
      <c r="D16" s="6" t="n"/>
      <c r="E16" s="6" t="n"/>
      <c r="F16" s="6" t="n"/>
    </row>
    <row r="18" ht="280"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n"/>
    </row>
    <row r="5" ht="60" customHeight="1">
      <c r="A5" s="7" t="inlineStr">
        <is>
          <t>Note: The Annual Reports disclose this ratio as a Key Performance Indicator, but do not provide a separate Pillar 3/KM1 capital amount. No FY2021 ratio is disclosed.</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publicly disclosed.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n"/>
    </row>
    <row r="5" ht="60" customHeight="1">
      <c r="A5" s="7" t="inlineStr">
        <is>
          <t>Note: The Annual Reports disclose this ratio as a Key Performance Indicator. No FY2021 ratio is disclosed.</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2026-09-07T01:44:27Z</dcterms:created>
  <dcterms:modified xmlns:dcterms="http://purl.org/dc/terms/" xmlns:xsi="http://www.w3.org/2001/XMLSchema-instance" xsi:type="dcterms:W3CDTF">2026-09-07T01:44:27Z</dcterms:modified>
</cp:coreProperties>
</file>