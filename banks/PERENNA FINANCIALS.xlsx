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Perenna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Perenna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Perenna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Perenna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'Overview'!AG27</f>
            </strRef>
          </tx>
          <spPr>
            <a:ln xmlns:a="http://schemas.openxmlformats.org/drawingml/2006/main">
              <a:prstDash val="solid"/>
            </a:ln>
          </spPr>
          <cat>
            <numRef>
              <f>'Overview'!$AH$26:$AL$26</f>
            </numRef>
          </cat>
          <val>
            <numRef>
              <f>'Overview'!$AH$27:$AL$27</f>
            </numRef>
          </val>
        </ser>
        <ser>
          <idx val="1"/>
          <order val="1"/>
          <tx>
            <strRef>
              <f>'Overview'!AG28</f>
            </strRef>
          </tx>
          <spPr>
            <a:ln xmlns:a="http://schemas.openxmlformats.org/drawingml/2006/main">
              <a:prstDash val="solid"/>
            </a:ln>
          </spPr>
          <cat>
            <numRef>
              <f>'Overview'!$AH$26:$AL$26</f>
            </numRef>
          </cat>
          <val>
            <numRef>
              <f>'Overview'!$AH$28:$AL$28</f>
            </numRef>
          </val>
        </ser>
        <ser>
          <idx val="2"/>
          <order val="2"/>
          <tx>
            <strRef>
              <f>'Overview'!AG29</f>
            </strRef>
          </tx>
          <spPr>
            <a:ln xmlns:a="http://schemas.openxmlformats.org/drawingml/2006/main">
              <a:prstDash val="solid"/>
            </a:ln>
          </spPr>
          <cat>
            <numRef>
              <f>'Overview'!$AH$26:$AL$26</f>
            </numRef>
          </cat>
          <val>
            <numRef>
              <f>'Overview'!$AH$29:$AL$29</f>
            </numRef>
          </val>
        </ser>
        <ser>
          <idx val="3"/>
          <order val="3"/>
          <tx>
            <strRef>
              <f>'Overview'!AG30</f>
            </strRef>
          </tx>
          <spPr>
            <a:ln xmlns:a="http://schemas.openxmlformats.org/drawingml/2006/main">
              <a:prstDash val="solid"/>
            </a:ln>
          </spPr>
          <cat>
            <numRef>
              <f>'Overview'!$AH$26:$AL$26</f>
            </numRef>
          </cat>
          <val>
            <numRef>
              <f>'Overview'!$AH$30:$AL$30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Perenna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Perenna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110549436</v>
      </c>
      <c r="C6" s="5" t="n">
        <v>55514491</v>
      </c>
      <c r="D6" s="5" t="n">
        <v>47418028</v>
      </c>
      <c r="E6" s="5" t="n">
        <v>16464111</v>
      </c>
      <c r="F6" s="5" t="n">
        <v>1687089</v>
      </c>
      <c r="I6" t="inlineStr">
        <is>
          <t>Total assets</t>
        </is>
      </c>
      <c r="J6" t="n">
        <v>1687089</v>
      </c>
      <c r="K6" t="n">
        <v>16464111</v>
      </c>
      <c r="L6" t="n">
        <v>47418028</v>
      </c>
      <c r="M6" t="n">
        <v>55514491</v>
      </c>
      <c r="N6" t="n">
        <v>110549436</v>
      </c>
      <c r="AO6" t="inlineStr">
        <is>
          <t>CET1 Ratio</t>
        </is>
      </c>
      <c r="AQ6" t="n">
        <v>101.66</v>
      </c>
      <c r="AR6" t="n">
        <v>269</v>
      </c>
      <c r="AS6" t="n">
        <v>133</v>
      </c>
      <c r="AT6" t="n">
        <v>48</v>
      </c>
    </row>
    <row r="7">
      <c r="A7" s="5" t="inlineStr">
        <is>
          <t>Loans and advances to customers</t>
        </is>
      </c>
      <c r="B7" s="5" t="n">
        <v>85739558</v>
      </c>
      <c r="C7" s="5" t="n">
        <v>34827768</v>
      </c>
      <c r="D7" s="5" t="n">
        <v>108683</v>
      </c>
      <c r="E7" s="5" t="n"/>
      <c r="F7" s="5" t="n"/>
      <c r="I7" t="inlineStr">
        <is>
          <t>Loans and advances to customers</t>
        </is>
      </c>
      <c r="L7" t="n">
        <v>108683</v>
      </c>
      <c r="M7" t="n">
        <v>34827768</v>
      </c>
      <c r="N7" t="n">
        <v>85739558</v>
      </c>
      <c r="AO7" t="inlineStr">
        <is>
          <t>Leverage Ratio</t>
        </is>
      </c>
      <c r="AQ7" t="n">
        <v>91.05</v>
      </c>
      <c r="AR7" t="n">
        <v>91.97</v>
      </c>
      <c r="AS7" t="n">
        <v>46.38</v>
      </c>
      <c r="AT7" t="n">
        <v>21.47</v>
      </c>
    </row>
    <row r="8">
      <c r="A8" s="5" t="inlineStr">
        <is>
          <t>Total liabilities</t>
        </is>
      </c>
      <c r="B8" s="5" t="n">
        <v>89782415</v>
      </c>
      <c r="C8" s="5" t="n">
        <v>27653705</v>
      </c>
      <c r="D8" s="5" t="n">
        <v>2516439</v>
      </c>
      <c r="E8" s="5" t="n">
        <v>1280722</v>
      </c>
      <c r="F8" s="5" t="n">
        <v>7434797</v>
      </c>
      <c r="I8" t="inlineStr">
        <is>
          <t>Total liabilities</t>
        </is>
      </c>
      <c r="J8" t="n">
        <v>7434797</v>
      </c>
      <c r="K8" t="n">
        <v>1280722</v>
      </c>
      <c r="L8" t="n">
        <v>2516439</v>
      </c>
      <c r="M8" t="n">
        <v>27653705</v>
      </c>
      <c r="N8" t="n">
        <v>89782415</v>
      </c>
    </row>
    <row r="9">
      <c r="A9" s="5" t="inlineStr">
        <is>
          <t>Total equity</t>
        </is>
      </c>
      <c r="B9" s="5" t="n">
        <v>20767021</v>
      </c>
      <c r="C9" s="5" t="n">
        <v>27860786</v>
      </c>
      <c r="D9" s="5" t="n">
        <v>44901589</v>
      </c>
      <c r="E9" s="5" t="n">
        <v>15183389</v>
      </c>
      <c r="F9" s="5" t="n">
        <v>-5747708</v>
      </c>
      <c r="I9" t="inlineStr">
        <is>
          <t>Total equity</t>
        </is>
      </c>
      <c r="J9" t="n">
        <v>-5747708</v>
      </c>
      <c r="K9" t="n">
        <v>15183389</v>
      </c>
      <c r="L9" t="n">
        <v>44901589</v>
      </c>
      <c r="M9" t="n">
        <v>27860786</v>
      </c>
      <c r="N9" t="n">
        <v>20767021</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revenue/(loss)</t>
        </is>
      </c>
      <c r="B13" s="5" t="n">
        <v>-27157</v>
      </c>
      <c r="C13" s="5" t="n">
        <v>1651152</v>
      </c>
      <c r="D13" s="5" t="n"/>
      <c r="E13" s="5" t="n"/>
      <c r="F13" s="5" t="n"/>
      <c r="Q13" t="inlineStr">
        <is>
          <t>Net revenue/(loss)</t>
        </is>
      </c>
      <c r="U13" t="n">
        <v>1651152</v>
      </c>
      <c r="V13" t="n">
        <v>-27157</v>
      </c>
    </row>
    <row r="14">
      <c r="A14" s="5" t="inlineStr">
        <is>
          <t>Total operating/administrative expenses</t>
        </is>
      </c>
      <c r="B14" s="5" t="n">
        <v>-18264058</v>
      </c>
      <c r="C14" s="5" t="n">
        <v>-19972409</v>
      </c>
      <c r="D14" s="5" t="n">
        <v>-16474530</v>
      </c>
      <c r="E14" s="5" t="n">
        <v>-10476355</v>
      </c>
      <c r="F14" s="5" t="n">
        <v>-5797708</v>
      </c>
      <c r="Q14" t="inlineStr">
        <is>
          <t>Total operating/administrative expenses</t>
        </is>
      </c>
      <c r="R14" t="n">
        <v>-5797708</v>
      </c>
      <c r="S14" t="n">
        <v>-10476355</v>
      </c>
      <c r="T14" t="n">
        <v>-16474530</v>
      </c>
      <c r="U14" t="n">
        <v>-19972409</v>
      </c>
      <c r="V14" t="n">
        <v>-18264058</v>
      </c>
    </row>
    <row r="15">
      <c r="A15" s="5" t="inlineStr">
        <is>
          <t>Loss before tax</t>
        </is>
      </c>
      <c r="B15" s="5" t="n">
        <v>-18291215</v>
      </c>
      <c r="C15" s="5" t="n">
        <v>-18321257</v>
      </c>
      <c r="D15" s="5" t="n">
        <v>-15409172</v>
      </c>
      <c r="E15" s="5" t="n">
        <v>-10396474</v>
      </c>
      <c r="F15" s="5" t="n">
        <v>-5797708</v>
      </c>
      <c r="Q15" t="inlineStr">
        <is>
          <t>Loss before tax</t>
        </is>
      </c>
      <c r="R15" t="n">
        <v>-5797708</v>
      </c>
      <c r="S15" t="n">
        <v>-10396474</v>
      </c>
      <c r="T15" t="n">
        <v>-15409172</v>
      </c>
      <c r="U15" t="n">
        <v>-18321257</v>
      </c>
      <c r="V15" t="n">
        <v>-18291215</v>
      </c>
    </row>
    <row r="16">
      <c r="A16" s="5" t="inlineStr">
        <is>
          <t>Loss for the year/period</t>
        </is>
      </c>
      <c r="B16" s="5" t="n">
        <v>-18291515</v>
      </c>
      <c r="C16" s="5" t="n">
        <v>-18321432</v>
      </c>
      <c r="D16" s="5" t="n">
        <v>-15409172</v>
      </c>
      <c r="E16" s="5" t="n">
        <v>-10396474</v>
      </c>
      <c r="F16" s="5" t="n">
        <v>-5797708</v>
      </c>
      <c r="Q16" t="inlineStr">
        <is>
          <t>Loss for the year/period</t>
        </is>
      </c>
      <c r="R16" t="n">
        <v>-5797708</v>
      </c>
      <c r="S16" t="n">
        <v>-10396474</v>
      </c>
      <c r="T16" t="n">
        <v>-15409172</v>
      </c>
      <c r="U16" t="n">
        <v>-18321432</v>
      </c>
      <c r="V16" t="n">
        <v>-18291515</v>
      </c>
    </row>
    <row r="18">
      <c r="A18" s="3" t="inlineStr">
        <is>
          <t>Statement of Changes in Equity Summary (£)</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27860786</v>
      </c>
      <c r="C20" s="5" t="n">
        <v>44901589</v>
      </c>
      <c r="D20" s="5" t="n">
        <v>15183390</v>
      </c>
      <c r="E20" s="5" t="n">
        <v>-5747708</v>
      </c>
      <c r="F20" s="5" t="n"/>
      <c r="Y20" t="inlineStr">
        <is>
          <t>Opening equity</t>
        </is>
      </c>
      <c r="AA20" t="n">
        <v>-5747708</v>
      </c>
      <c r="AB20" t="n">
        <v>15183390</v>
      </c>
      <c r="AC20" t="n">
        <v>44901589</v>
      </c>
      <c r="AD20" t="n">
        <v>27860786</v>
      </c>
    </row>
    <row r="21">
      <c r="A21" s="5" t="inlineStr">
        <is>
          <t>Loss for the year/period</t>
        </is>
      </c>
      <c r="B21" s="5" t="n">
        <v>-18291515</v>
      </c>
      <c r="C21" s="5" t="n">
        <v>-18321432</v>
      </c>
      <c r="D21" s="5" t="n">
        <v>-15409172</v>
      </c>
      <c r="E21" s="5" t="n">
        <v>-10396474</v>
      </c>
      <c r="F21" s="5" t="n">
        <v>-5797708</v>
      </c>
      <c r="Y21" t="inlineStr">
        <is>
          <t>Loss for the year/period</t>
        </is>
      </c>
      <c r="Z21" t="n">
        <v>-5797708</v>
      </c>
      <c r="AA21" t="n">
        <v>-10396474</v>
      </c>
      <c r="AB21" t="n">
        <v>-15409172</v>
      </c>
      <c r="AC21" t="n">
        <v>-18321432</v>
      </c>
      <c r="AD21" t="n">
        <v>-18291515</v>
      </c>
    </row>
    <row r="22">
      <c r="A22" s="5" t="inlineStr">
        <is>
          <t>Other equity movements, net</t>
        </is>
      </c>
      <c r="B22" s="5" t="n">
        <v>11197750</v>
      </c>
      <c r="C22" s="5" t="n">
        <v>1280629</v>
      </c>
      <c r="D22" s="5" t="n">
        <v>45127371</v>
      </c>
      <c r="E22" s="5" t="n">
        <v>31327572</v>
      </c>
      <c r="F22" s="5" t="n">
        <v>50000</v>
      </c>
      <c r="Y22" t="inlineStr">
        <is>
          <t>Other equity movements, net</t>
        </is>
      </c>
      <c r="Z22" t="n">
        <v>50000</v>
      </c>
      <c r="AA22" t="n">
        <v>31327572</v>
      </c>
      <c r="AB22" t="n">
        <v>45127371</v>
      </c>
      <c r="AC22" t="n">
        <v>1280629</v>
      </c>
      <c r="AD22" t="n">
        <v>11197750</v>
      </c>
    </row>
    <row r="23">
      <c r="A23" s="5" t="inlineStr">
        <is>
          <t>Closing equity</t>
        </is>
      </c>
      <c r="B23" s="5" t="n">
        <v>20767021</v>
      </c>
      <c r="C23" s="5" t="n">
        <v>27860786</v>
      </c>
      <c r="D23" s="5" t="n">
        <v>44901589</v>
      </c>
      <c r="E23" s="5" t="n">
        <v>15183390</v>
      </c>
      <c r="F23" s="5" t="n">
        <v>-5747708</v>
      </c>
      <c r="Y23" t="inlineStr">
        <is>
          <t>Closing equity</t>
        </is>
      </c>
      <c r="Z23" t="n">
        <v>-5747708</v>
      </c>
      <c r="AA23" t="n">
        <v>15183390</v>
      </c>
      <c r="AB23" t="n">
        <v>44901589</v>
      </c>
      <c r="AC23" t="n">
        <v>27860786</v>
      </c>
      <c r="AD23" t="n">
        <v>20767021</v>
      </c>
    </row>
    <row r="25">
      <c r="A25" s="3" t="inlineStr">
        <is>
          <t>Cash Flow Summary (£)</t>
        </is>
      </c>
    </row>
    <row r="26">
      <c r="A26" s="4" t="inlineStr">
        <is>
          <t>Line item</t>
        </is>
      </c>
      <c r="B26" s="4" t="inlineStr">
        <is>
          <t>FY2025</t>
        </is>
      </c>
      <c r="C26" s="4" t="inlineStr">
        <is>
          <t>FY2024</t>
        </is>
      </c>
      <c r="D26" s="4" t="inlineStr">
        <is>
          <t>FY2023</t>
        </is>
      </c>
      <c r="E26" s="4" t="inlineStr">
        <is>
          <t>FY2022</t>
        </is>
      </c>
      <c r="F26" s="4" t="inlineStr">
        <is>
          <t>FY2021</t>
        </is>
      </c>
      <c r="AH26" t="inlineStr">
        <is>
          <t>FY2021</t>
        </is>
      </c>
      <c r="AI26" t="inlineStr">
        <is>
          <t>FY2022</t>
        </is>
      </c>
      <c r="AJ26" t="inlineStr">
        <is>
          <t>FY2023</t>
        </is>
      </c>
      <c r="AK26" t="inlineStr">
        <is>
          <t>FY2024</t>
        </is>
      </c>
      <c r="AL26" t="inlineStr">
        <is>
          <t>FY2025</t>
        </is>
      </c>
    </row>
    <row r="27">
      <c r="A27" s="5" t="inlineStr">
        <is>
          <t>Net cash from/(used in) operating activities</t>
        </is>
      </c>
      <c r="B27" s="5" t="n">
        <v>-62911585</v>
      </c>
      <c r="C27" s="5" t="n">
        <v>-51800587</v>
      </c>
      <c r="D27" s="5" t="n">
        <v>-12296282</v>
      </c>
      <c r="E27" s="5" t="n">
        <v>-9753988</v>
      </c>
      <c r="F27" s="5" t="n">
        <v>1515217</v>
      </c>
      <c r="AG27" t="inlineStr">
        <is>
          <t>Net cash from/(used in) operating activities</t>
        </is>
      </c>
      <c r="AH27" t="n">
        <v>1515217</v>
      </c>
      <c r="AI27" t="n">
        <v>-9753988</v>
      </c>
      <c r="AJ27" t="n">
        <v>-12296282</v>
      </c>
      <c r="AK27" t="n">
        <v>-51800587</v>
      </c>
      <c r="AL27" t="n">
        <v>-62911585</v>
      </c>
    </row>
    <row r="28">
      <c r="A28" s="5" t="inlineStr">
        <is>
          <t>Net cash from/(used in) investing activities</t>
        </is>
      </c>
      <c r="B28" s="5" t="n">
        <v>1588518</v>
      </c>
      <c r="C28" s="5" t="n">
        <v>26154585</v>
      </c>
      <c r="D28" s="5" t="n">
        <v>-19615868</v>
      </c>
      <c r="E28" s="5" t="n">
        <v>-13959276</v>
      </c>
      <c r="F28" s="5" t="n">
        <v>-1205590</v>
      </c>
      <c r="AG28" t="inlineStr">
        <is>
          <t>Net cash from/(used in) investing activities</t>
        </is>
      </c>
      <c r="AH28" t="n">
        <v>-1205590</v>
      </c>
      <c r="AI28" t="n">
        <v>-13959276</v>
      </c>
      <c r="AJ28" t="n">
        <v>-19615868</v>
      </c>
      <c r="AK28" t="n">
        <v>26154585</v>
      </c>
      <c r="AL28" t="n">
        <v>1588518</v>
      </c>
    </row>
    <row r="29">
      <c r="A29" s="5" t="inlineStr">
        <is>
          <t>Net cash from/(used in) financing activities</t>
        </is>
      </c>
      <c r="B29" s="5" t="n">
        <v>66130750</v>
      </c>
      <c r="C29" s="5" t="n">
        <v>24639093</v>
      </c>
      <c r="D29" s="5" t="n">
        <v>42655406</v>
      </c>
      <c r="E29" s="5" t="n">
        <v>24266670</v>
      </c>
      <c r="F29" s="5" t="n">
        <v>50000</v>
      </c>
      <c r="AG29" t="inlineStr">
        <is>
          <t>Net cash from/(used in) financing activities</t>
        </is>
      </c>
      <c r="AH29" t="n">
        <v>50000</v>
      </c>
      <c r="AI29" t="n">
        <v>24266670</v>
      </c>
      <c r="AJ29" t="n">
        <v>42655406</v>
      </c>
      <c r="AK29" t="n">
        <v>24639093</v>
      </c>
      <c r="AL29" t="n">
        <v>66130750</v>
      </c>
    </row>
    <row r="30">
      <c r="A30" s="5" t="inlineStr">
        <is>
          <t>Cash and cash equivalents at end of year/period</t>
        </is>
      </c>
      <c r="B30" s="5" t="n">
        <v>15457063</v>
      </c>
      <c r="C30" s="5" t="n">
        <v>10649380</v>
      </c>
      <c r="D30" s="5" t="n">
        <v>11656289</v>
      </c>
      <c r="E30" s="5" t="n">
        <v>913033</v>
      </c>
      <c r="F30" s="5" t="n">
        <v>359627</v>
      </c>
      <c r="AG30" t="inlineStr">
        <is>
          <t>Cash and cash equivalents at end of year/period</t>
        </is>
      </c>
      <c r="AH30" t="n">
        <v>359627</v>
      </c>
      <c r="AI30" t="n">
        <v>913033</v>
      </c>
      <c r="AJ30" t="n">
        <v>11656289</v>
      </c>
      <c r="AK30" t="n">
        <v>10649380</v>
      </c>
      <c r="AL30" t="n">
        <v>15457063</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row>
    <row r="34">
      <c r="A34" s="6" t="inlineStr">
        <is>
          <t>CET1 Ratio</t>
        </is>
      </c>
      <c r="B34" s="6" t="inlineStr">
        <is>
          <t>48%</t>
        </is>
      </c>
      <c r="C34" s="6" t="inlineStr">
        <is>
          <t>133%</t>
        </is>
      </c>
      <c r="D34" s="6" t="inlineStr">
        <is>
          <t>269%</t>
        </is>
      </c>
      <c r="E34" s="6" t="inlineStr">
        <is>
          <t>101.66%</t>
        </is>
      </c>
      <c r="F34" s="6" t="n"/>
    </row>
    <row r="35">
      <c r="A35" s="6" t="inlineStr">
        <is>
          <t>Leverage Ratio</t>
        </is>
      </c>
      <c r="B35" s="6" t="inlineStr">
        <is>
          <t>21.47%</t>
        </is>
      </c>
      <c r="C35" s="6" t="inlineStr">
        <is>
          <t>46.38%</t>
        </is>
      </c>
      <c r="D35" s="6" t="inlineStr">
        <is>
          <t>91.97%</t>
        </is>
      </c>
      <c r="E35" s="6" t="inlineStr">
        <is>
          <t>91.05%</t>
        </is>
      </c>
      <c r="F35" s="6" t="n"/>
    </row>
    <row r="37" ht="45" customHeight="1">
      <c r="A37" s="7" t="inlineStr">
        <is>
          <t>Note: The ratio figures are the Annual Reports' named Key Performance Indicators, not a substitute Pillar 3/KM1 dataset. No FY2021 ratio was disclosed; other fixed workbook metrics are explicitly not publicly disclosed. Balance Sheet/P&amp;L/Equity Changes summaries follow the same FY2021-FY2023 Company-only / FY2024-FY2025 consolidated Group basis split as those sheets themselves - see the Balance Sheet sheet's presentation note.</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Balance Sheet</t>
        </is>
      </c>
    </row>
    <row r="2">
      <c r="A2" s="2" t="inlineStr">
        <is>
          <t>FY2021-FY2023 Company-only basis; FY2024-FY2025 consolidated Group basis; £; see source and presentation notes. Blank cells indicate that year's report did not disclose that specific line.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 and cash equivalents</t>
        </is>
      </c>
      <c r="B5" s="6" t="n">
        <v>15457063</v>
      </c>
      <c r="C5" s="6" t="n">
        <v>10649380</v>
      </c>
      <c r="D5" s="6" t="n">
        <v>11656289</v>
      </c>
      <c r="E5" s="6" t="n">
        <v>913033</v>
      </c>
      <c r="F5" s="6" t="n">
        <v>359627</v>
      </c>
    </row>
    <row r="6">
      <c r="A6" s="6" t="inlineStr">
        <is>
          <t>Investments at FVTPL</t>
        </is>
      </c>
      <c r="B6" s="6" t="n">
        <v>4994700</v>
      </c>
      <c r="C6" s="6" t="n">
        <v>6438400</v>
      </c>
      <c r="D6" s="6" t="n">
        <v>32375738</v>
      </c>
      <c r="E6" s="6" t="n">
        <v>12887070</v>
      </c>
      <c r="F6" s="6" t="n"/>
    </row>
    <row r="7">
      <c r="A7" s="6" t="inlineStr">
        <is>
          <t>Derivative financial assets</t>
        </is>
      </c>
      <c r="B7" s="6" t="n">
        <v>2257365</v>
      </c>
      <c r="C7" s="6" t="n">
        <v>381420</v>
      </c>
      <c r="D7" s="6" t="n"/>
      <c r="E7" s="6" t="n"/>
      <c r="F7" s="6" t="n"/>
    </row>
    <row r="8">
      <c r="A8" s="6" t="inlineStr">
        <is>
          <t>Loans and advances to customers</t>
        </is>
      </c>
      <c r="B8" s="6" t="n">
        <v>85739558</v>
      </c>
      <c r="C8" s="6" t="n">
        <v>34827768</v>
      </c>
      <c r="D8" s="6" t="n">
        <v>108683</v>
      </c>
      <c r="E8" s="6" t="n"/>
      <c r="F8" s="6" t="n"/>
    </row>
    <row r="9">
      <c r="A9" s="6" t="inlineStr">
        <is>
          <t>Property, plant and equipment</t>
        </is>
      </c>
      <c r="B9" s="6" t="n">
        <v>52176</v>
      </c>
      <c r="C9" s="6" t="n">
        <v>92038</v>
      </c>
      <c r="D9" s="6" t="n">
        <v>142768</v>
      </c>
      <c r="E9" s="6" t="n">
        <v>114442</v>
      </c>
      <c r="F9" s="6" t="n">
        <v>70764</v>
      </c>
    </row>
    <row r="10">
      <c r="A10" s="6" t="inlineStr">
        <is>
          <t>Intangible assets</t>
        </is>
      </c>
      <c r="B10" s="6" t="n">
        <v>456697</v>
      </c>
      <c r="C10" s="6" t="n">
        <v>1798023</v>
      </c>
      <c r="D10" s="6" t="n">
        <v>2337685</v>
      </c>
      <c r="E10" s="6" t="n">
        <v>2153777</v>
      </c>
      <c r="F10" s="6" t="n">
        <v>1120614</v>
      </c>
    </row>
    <row r="11">
      <c r="A11" s="6" t="inlineStr">
        <is>
          <t>Prepayments, accrued income and other assets</t>
        </is>
      </c>
      <c r="B11" s="6" t="n">
        <v>1591877</v>
      </c>
      <c r="C11" s="6" t="n">
        <v>1327462</v>
      </c>
      <c r="D11" s="6" t="n">
        <v>796865</v>
      </c>
      <c r="E11" s="6" t="n">
        <v>395789</v>
      </c>
      <c r="F11" s="6" t="n">
        <v>136084</v>
      </c>
    </row>
    <row r="12">
      <c r="A12" s="5" t="inlineStr">
        <is>
          <t>Total assets</t>
        </is>
      </c>
      <c r="B12" s="5" t="n">
        <v>110549436</v>
      </c>
      <c r="C12" s="5" t="n">
        <v>55514491</v>
      </c>
      <c r="D12" s="5" t="n">
        <v>47418028</v>
      </c>
      <c r="E12" s="5" t="n">
        <v>16464111</v>
      </c>
      <c r="F12" s="5" t="n">
        <v>1687089</v>
      </c>
    </row>
    <row r="13">
      <c r="A13" s="5" t="inlineStr">
        <is>
          <t>Liabilities</t>
        </is>
      </c>
      <c r="B13" s="6" t="n"/>
      <c r="C13" s="6" t="n"/>
      <c r="D13" s="6" t="n"/>
      <c r="E13" s="6" t="n"/>
      <c r="F13" s="6" t="n"/>
    </row>
    <row r="14">
      <c r="A14" s="6" t="inlineStr">
        <is>
          <t>Trade and other payables</t>
        </is>
      </c>
      <c r="B14" s="6" t="n">
        <v>7153448</v>
      </c>
      <c r="C14" s="6" t="n">
        <v>2622285</v>
      </c>
      <c r="D14" s="6" t="n">
        <v>2516439</v>
      </c>
      <c r="E14" s="6" t="n">
        <v>1280722</v>
      </c>
      <c r="F14" s="6" t="n">
        <v>7434797</v>
      </c>
    </row>
    <row r="15">
      <c r="A15" s="6" t="inlineStr">
        <is>
          <t>Loans and borrowings</t>
        </is>
      </c>
      <c r="B15" s="6" t="n">
        <v>79583000</v>
      </c>
      <c r="C15" s="6" t="n">
        <v>24650000</v>
      </c>
      <c r="D15" s="6" t="n"/>
      <c r="E15" s="6" t="n"/>
      <c r="F15" s="6" t="n"/>
    </row>
    <row r="16">
      <c r="A16" s="6" t="inlineStr">
        <is>
          <t>Derivative financial liabilities</t>
        </is>
      </c>
      <c r="B16" s="6" t="n">
        <v>3045967</v>
      </c>
      <c r="C16" s="6" t="n">
        <v>381420</v>
      </c>
      <c r="D16" s="6" t="n"/>
      <c r="E16" s="6" t="n"/>
      <c r="F16" s="6" t="n"/>
    </row>
    <row r="17">
      <c r="A17" s="5" t="inlineStr">
        <is>
          <t>Total liabilities</t>
        </is>
      </c>
      <c r="B17" s="5" t="n">
        <v>89782415</v>
      </c>
      <c r="C17" s="5" t="n">
        <v>27653705</v>
      </c>
      <c r="D17" s="5" t="n">
        <v>2516439</v>
      </c>
      <c r="E17" s="5" t="n">
        <v>1280722</v>
      </c>
      <c r="F17" s="5" t="n">
        <v>7434797</v>
      </c>
    </row>
    <row r="18">
      <c r="A18" s="5" t="inlineStr">
        <is>
          <t>Equity</t>
        </is>
      </c>
      <c r="B18" s="6" t="n"/>
      <c r="C18" s="6" t="n"/>
      <c r="D18" s="6" t="n"/>
      <c r="E18" s="6" t="n"/>
      <c r="F18" s="6" t="n"/>
    </row>
    <row r="19">
      <c r="A19" s="6" t="inlineStr">
        <is>
          <t>Called up share capital</t>
        </is>
      </c>
      <c r="B19" s="6" t="n">
        <v>203989</v>
      </c>
      <c r="C19" s="6" t="n">
        <v>91559</v>
      </c>
      <c r="D19" s="6" t="n">
        <v>90981</v>
      </c>
      <c r="E19" s="6" t="n">
        <v>70149</v>
      </c>
      <c r="F19" s="6" t="n">
        <v>50000</v>
      </c>
    </row>
    <row r="20">
      <c r="A20" s="6" t="inlineStr">
        <is>
          <t>Share premium account</t>
        </is>
      </c>
      <c r="B20" s="6" t="n">
        <v>88779333</v>
      </c>
      <c r="C20" s="6" t="n">
        <v>77694013</v>
      </c>
      <c r="D20" s="6" t="n">
        <v>76413962</v>
      </c>
      <c r="E20" s="6" t="n">
        <v>31307423</v>
      </c>
      <c r="F20" s="6" t="n"/>
    </row>
    <row r="21">
      <c r="A21" s="6" t="inlineStr">
        <is>
          <t>Retained earnings/(accumulated losses)</t>
        </is>
      </c>
      <c r="B21" s="6" t="n">
        <v>-68216301</v>
      </c>
      <c r="C21" s="6" t="n">
        <v>-49924786</v>
      </c>
      <c r="D21" s="6" t="n">
        <v>-31603354</v>
      </c>
      <c r="E21" s="6" t="n">
        <v>-16194183</v>
      </c>
      <c r="F21" s="6" t="n">
        <v>-5797708</v>
      </c>
    </row>
    <row r="22">
      <c r="A22" s="5" t="inlineStr">
        <is>
          <t>Total equity</t>
        </is>
      </c>
      <c r="B22" s="5" t="n">
        <v>20767021</v>
      </c>
      <c r="C22" s="5" t="n">
        <v>27860786</v>
      </c>
      <c r="D22" s="5" t="n">
        <v>44901589</v>
      </c>
      <c r="E22" s="5" t="n">
        <v>15183389</v>
      </c>
      <c r="F22" s="5" t="n">
        <v>-5747708</v>
      </c>
    </row>
    <row r="23">
      <c r="A23" s="5" t="inlineStr">
        <is>
          <t>Total liabilities and equity</t>
        </is>
      </c>
      <c r="B23" s="5" t="n">
        <v>110549436</v>
      </c>
      <c r="C23" s="5" t="n">
        <v>55514491</v>
      </c>
      <c r="D23" s="5" t="n">
        <v>47418028</v>
      </c>
      <c r="E23" s="5" t="n">
        <v>16464111</v>
      </c>
      <c r="F23" s="5" t="n">
        <v>1687089</v>
      </c>
    </row>
    <row r="25" ht="340" customHeight="1">
      <c r="A25"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1">
    <mergeCell ref="A25:F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Profit &amp; Loss</t>
        </is>
      </c>
    </row>
    <row r="2">
      <c r="A2" s="2" t="inlineStr">
        <is>
          <t>FY2021-FY2023 Company-only basis (single aggregated 'Administrative expenses' line, no OCI); FY2024-FY2025 consolidated Group basis (expanded expense lines); £; see source and presentation notes. There was no other comprehensive income in any year - Loss for the year equals Total comprehensive income/(loss) for the year throughout.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Finance income</t>
        </is>
      </c>
      <c r="B5" s="6" t="n">
        <v>4106571</v>
      </c>
      <c r="C5" s="6" t="n">
        <v>1613480</v>
      </c>
      <c r="D5" s="6" t="n"/>
      <c r="E5" s="6" t="n"/>
      <c r="F5" s="6" t="n"/>
    </row>
    <row r="6">
      <c r="A6" s="6" t="inlineStr">
        <is>
          <t>Finance expense</t>
        </is>
      </c>
      <c r="B6" s="6" t="n">
        <v>-3078579</v>
      </c>
      <c r="C6" s="6" t="n">
        <v>-569951</v>
      </c>
      <c r="D6" s="6" t="n"/>
      <c r="E6" s="6" t="n"/>
      <c r="F6" s="6" t="n"/>
    </row>
    <row r="7">
      <c r="A7" s="6" t="inlineStr">
        <is>
          <t>Income from investment securities at amortised cost</t>
        </is>
      </c>
      <c r="B7" s="6" t="n">
        <v>199630</v>
      </c>
      <c r="C7" s="6" t="n">
        <v>618090</v>
      </c>
      <c r="D7" s="6" t="n"/>
      <c r="E7" s="6" t="n"/>
      <c r="F7" s="6" t="n"/>
    </row>
    <row r="8">
      <c r="A8" s="6" t="inlineStr">
        <is>
          <t>Net gains/(losses) from other financial instruments at FVTPL</t>
        </is>
      </c>
      <c r="B8" s="6" t="n">
        <v>-1254779</v>
      </c>
      <c r="C8" s="6" t="n">
        <v>-10467</v>
      </c>
      <c r="D8" s="6" t="n"/>
      <c r="E8" s="6" t="n"/>
      <c r="F8" s="6" t="n"/>
    </row>
    <row r="9">
      <c r="A9" s="6" t="inlineStr">
        <is>
          <t>Investment income</t>
        </is>
      </c>
      <c r="B9" s="6" t="n"/>
      <c r="C9" s="6" t="n"/>
      <c r="D9" s="6" t="n">
        <v>1038666</v>
      </c>
      <c r="E9" s="6" t="n">
        <v>93422</v>
      </c>
      <c r="F9" s="6" t="n"/>
    </row>
    <row r="10">
      <c r="A10" s="6" t="inlineStr">
        <is>
          <t>Fair value gains/(losses)</t>
        </is>
      </c>
      <c r="B10" s="6" t="n"/>
      <c r="C10" s="6" t="n"/>
      <c r="D10" s="6" t="n">
        <v>7778</v>
      </c>
      <c r="E10" s="6" t="n">
        <v>-13541</v>
      </c>
      <c r="F10" s="6" t="n"/>
    </row>
    <row r="11">
      <c r="A11" s="5" t="inlineStr">
        <is>
          <t>Net revenue/(loss)</t>
        </is>
      </c>
      <c r="B11" s="5" t="n">
        <v>-27157</v>
      </c>
      <c r="C11" s="5" t="n">
        <v>1651152</v>
      </c>
      <c r="D11" s="5" t="n"/>
      <c r="E11" s="5" t="n"/>
      <c r="F11" s="5" t="n"/>
    </row>
    <row r="12">
      <c r="A12" s="6" t="inlineStr">
        <is>
          <t>Administrative expenses</t>
        </is>
      </c>
      <c r="B12" s="6" t="n"/>
      <c r="C12" s="6" t="n"/>
      <c r="D12" s="6" t="n">
        <v>-16474530</v>
      </c>
      <c r="E12" s="6" t="n">
        <v>-10476355</v>
      </c>
      <c r="F12" s="6" t="n">
        <v>-5797708</v>
      </c>
    </row>
    <row r="13">
      <c r="A13" s="6" t="inlineStr">
        <is>
          <t>Personnel expenses</t>
        </is>
      </c>
      <c r="B13" s="6" t="n">
        <v>-9190338</v>
      </c>
      <c r="C13" s="6" t="n">
        <v>-11876208</v>
      </c>
      <c r="D13" s="6" t="n"/>
      <c r="E13" s="6" t="n"/>
      <c r="F13" s="6" t="n"/>
    </row>
    <row r="14">
      <c r="A14" s="6" t="inlineStr">
        <is>
          <t>Impairment losses on financial instruments</t>
        </is>
      </c>
      <c r="B14" s="6" t="n">
        <v>-28134</v>
      </c>
      <c r="C14" s="6" t="n">
        <v>-43769</v>
      </c>
      <c r="D14" s="6" t="n"/>
      <c r="E14" s="6" t="n"/>
      <c r="F14" s="6" t="n"/>
    </row>
    <row r="15">
      <c r="A15" s="6" t="inlineStr">
        <is>
          <t>Depreciation and amortisation</t>
        </is>
      </c>
      <c r="B15" s="6" t="n">
        <v>-1525703</v>
      </c>
      <c r="C15" s="6" t="n">
        <v>-1009005</v>
      </c>
      <c r="D15" s="6" t="n"/>
      <c r="E15" s="6" t="n"/>
      <c r="F15" s="6" t="n"/>
    </row>
    <row r="16">
      <c r="A16" s="6" t="inlineStr">
        <is>
          <t>Other expenses</t>
        </is>
      </c>
      <c r="B16" s="6" t="n">
        <v>-7519883</v>
      </c>
      <c r="C16" s="6" t="n">
        <v>-7043427</v>
      </c>
      <c r="D16" s="6" t="n"/>
      <c r="E16" s="6" t="n"/>
      <c r="F16" s="6" t="n"/>
    </row>
    <row r="17">
      <c r="A17" s="5" t="inlineStr">
        <is>
          <t>Loss before tax</t>
        </is>
      </c>
      <c r="B17" s="5" t="n">
        <v>-18291215</v>
      </c>
      <c r="C17" s="5" t="n">
        <v>-18321257</v>
      </c>
      <c r="D17" s="5" t="n">
        <v>-15409172</v>
      </c>
      <c r="E17" s="5" t="n">
        <v>-10396474</v>
      </c>
      <c r="F17" s="5" t="n">
        <v>-5797708</v>
      </c>
    </row>
    <row r="18">
      <c r="A18" s="6" t="inlineStr">
        <is>
          <t>Income tax (expense)/credit</t>
        </is>
      </c>
      <c r="B18" s="6" t="n">
        <v>-300</v>
      </c>
      <c r="C18" s="6" t="n">
        <v>-175</v>
      </c>
      <c r="D18" s="6" t="n">
        <v>0</v>
      </c>
      <c r="E18" s="6" t="n">
        <v>0</v>
      </c>
      <c r="F18" s="6" t="n">
        <v>0</v>
      </c>
    </row>
    <row r="19">
      <c r="A19" s="5" t="inlineStr">
        <is>
          <t>Loss for the year/period</t>
        </is>
      </c>
      <c r="B19" s="5" t="n">
        <v>-18291515</v>
      </c>
      <c r="C19" s="5" t="n">
        <v>-18321432</v>
      </c>
      <c r="D19" s="5" t="n">
        <v>-15409172</v>
      </c>
      <c r="E19" s="5" t="n">
        <v>-10396474</v>
      </c>
      <c r="F19" s="5" t="n">
        <v>-5797708</v>
      </c>
    </row>
    <row r="21" ht="340" customHeight="1">
      <c r="A21"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1">
    <mergeCell ref="A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Perenna Bank PLC — Statement of Changes in Equity</t>
        </is>
      </c>
    </row>
    <row r="2">
      <c r="A2" s="2" t="inlineStr">
        <is>
          <t>Chronological roll-forward, oldest to newest, £. FY2021-FY2023 Company-only basis; FY2024-FY2025 consolidated Group basis. Equity reconciliation ladder confirmed: every year's own closing balance ties exactly to both the next year's own opening balance and that year's own Profit &amp; Loss loss figure - zero undocumented plug rows across all 5 years. See the Balance Sheet sheet's data quality note for a £1 rounding difference between this sheet's FY2022 closing balance and the FY2022 Balance Sheet's own reported total.</t>
        </is>
      </c>
    </row>
    <row r="3">
      <c r="A3" s="4" t="inlineStr">
        <is>
          <t>Movement</t>
        </is>
      </c>
      <c r="B3" s="4" t="inlineStr">
        <is>
          <t>Share capital</t>
        </is>
      </c>
      <c r="C3" s="4" t="inlineStr">
        <is>
          <t>Share premium</t>
        </is>
      </c>
      <c r="D3" s="4" t="inlineStr">
        <is>
          <t>Retained earnings</t>
        </is>
      </c>
      <c r="E3" s="4" t="inlineStr">
        <is>
          <t>Total equity</t>
        </is>
      </c>
    </row>
    <row r="4">
      <c r="A4" s="6" t="inlineStr">
        <is>
          <t>Loss for the period (FY2021)</t>
        </is>
      </c>
      <c r="B4" s="6" t="n"/>
      <c r="C4" s="6" t="n"/>
      <c r="D4" s="6" t="n">
        <v>-5797708</v>
      </c>
      <c r="E4" s="6" t="n">
        <v>-5797708</v>
      </c>
    </row>
    <row r="5">
      <c r="A5" s="6" t="inlineStr">
        <is>
          <t>Shares issued during the period</t>
        </is>
      </c>
      <c r="B5" s="6" t="n">
        <v>50000</v>
      </c>
      <c r="C5" s="6" t="n"/>
      <c r="D5" s="6" t="n"/>
      <c r="E5" s="6" t="n">
        <v>50000</v>
      </c>
    </row>
    <row r="6">
      <c r="A6" s="5" t="inlineStr">
        <is>
          <t>At 31 December 2021 (FY2021 closing)</t>
        </is>
      </c>
      <c r="B6" s="5" t="n">
        <v>50000</v>
      </c>
      <c r="C6" s="5" t="n"/>
      <c r="D6" s="5" t="n">
        <v>-5797708</v>
      </c>
      <c r="E6" s="5" t="n">
        <v>-5747708</v>
      </c>
    </row>
    <row r="7">
      <c r="A7" s="6" t="inlineStr">
        <is>
          <t>Loss for the year (FY2022)</t>
        </is>
      </c>
      <c r="B7" s="6" t="n"/>
      <c r="C7" s="6" t="n"/>
      <c r="D7" s="6" t="n">
        <v>-10396474</v>
      </c>
      <c r="E7" s="6" t="n">
        <v>-10396474</v>
      </c>
    </row>
    <row r="8">
      <c r="A8" s="6" t="inlineStr">
        <is>
          <t>Issue of share capital (FY2022)</t>
        </is>
      </c>
      <c r="B8" s="6" t="n">
        <v>20149</v>
      </c>
      <c r="C8" s="6" t="n">
        <v>31307423</v>
      </c>
      <c r="D8" s="6" t="n"/>
      <c r="E8" s="6" t="n">
        <v>31327572</v>
      </c>
    </row>
    <row r="9">
      <c r="A9" s="5" t="inlineStr">
        <is>
          <t>At 31 December 2022 (FY2022 closing)</t>
        </is>
      </c>
      <c r="B9" s="5" t="n">
        <v>70149</v>
      </c>
      <c r="C9" s="5" t="n">
        <v>31307423</v>
      </c>
      <c r="D9" s="5" t="n">
        <v>-16194182</v>
      </c>
      <c r="E9" s="5" t="n">
        <v>15183390</v>
      </c>
    </row>
    <row r="10">
      <c r="A10" s="6" t="inlineStr">
        <is>
          <t>Loss for the year (FY2023)</t>
        </is>
      </c>
      <c r="B10" s="6" t="n"/>
      <c r="C10" s="6" t="n"/>
      <c r="D10" s="6" t="n">
        <v>-15409172</v>
      </c>
      <c r="E10" s="6" t="n">
        <v>-15409172</v>
      </c>
    </row>
    <row r="11">
      <c r="A11" s="6" t="inlineStr">
        <is>
          <t>Issue of share capital (note 19)</t>
        </is>
      </c>
      <c r="B11" s="6" t="n">
        <v>19726</v>
      </c>
      <c r="C11" s="6" t="n">
        <v>42830263</v>
      </c>
      <c r="D11" s="6" t="n"/>
      <c r="E11" s="6" t="n">
        <v>42849989</v>
      </c>
    </row>
    <row r="12">
      <c r="A12" s="6" t="inlineStr">
        <is>
          <t>Issue of share capital in relation to share options (note 19)</t>
        </is>
      </c>
      <c r="B12" s="6" t="n">
        <v>1106</v>
      </c>
      <c r="C12" s="6" t="n">
        <v>2470859</v>
      </c>
      <c r="D12" s="6" t="n"/>
      <c r="E12" s="6" t="n">
        <v>2471965</v>
      </c>
    </row>
    <row r="13">
      <c r="A13" s="6" t="inlineStr">
        <is>
          <t>Transaction cost for share issuance</t>
        </is>
      </c>
      <c r="B13" s="6" t="n"/>
      <c r="C13" s="6" t="n">
        <v>-194583</v>
      </c>
      <c r="D13" s="6" t="n"/>
      <c r="E13" s="6" t="n">
        <v>-194583</v>
      </c>
    </row>
    <row r="14">
      <c r="A14" s="5" t="inlineStr">
        <is>
          <t>At 31 December 2023 (FY2023 closing)</t>
        </is>
      </c>
      <c r="B14" s="5" t="n">
        <v>90981</v>
      </c>
      <c r="C14" s="5" t="n">
        <v>76413962</v>
      </c>
      <c r="D14" s="5" t="n">
        <v>-31603354</v>
      </c>
      <c r="E14" s="5" t="n">
        <v>44901589</v>
      </c>
    </row>
    <row r="15">
      <c r="A15" s="6" t="inlineStr">
        <is>
          <t>Loss for the year (FY2024)</t>
        </is>
      </c>
      <c r="B15" s="6" t="n"/>
      <c r="C15" s="6" t="n"/>
      <c r="D15" s="6" t="n">
        <v>-18321432</v>
      </c>
      <c r="E15" s="6" t="n">
        <v>-18321432</v>
      </c>
    </row>
    <row r="16">
      <c r="A16" s="6" t="inlineStr">
        <is>
          <t>Issue of share capital (note 23)</t>
        </is>
      </c>
      <c r="B16" s="6" t="n">
        <v>578</v>
      </c>
      <c r="C16" s="6" t="n">
        <v>1290958</v>
      </c>
      <c r="D16" s="6" t="n"/>
      <c r="E16" s="6" t="n">
        <v>1291536</v>
      </c>
    </row>
    <row r="17">
      <c r="A17" s="6" t="inlineStr">
        <is>
          <t>Transaction cost for share issuance</t>
        </is>
      </c>
      <c r="B17" s="6" t="n"/>
      <c r="C17" s="6" t="n">
        <v>-10907</v>
      </c>
      <c r="D17" s="6" t="n"/>
      <c r="E17" s="6" t="n">
        <v>-10907</v>
      </c>
    </row>
    <row r="18">
      <c r="A18" s="5" t="inlineStr">
        <is>
          <t>At 31 December 2024 (FY2024 closing)</t>
        </is>
      </c>
      <c r="B18" s="5" t="n">
        <v>91559</v>
      </c>
      <c r="C18" s="5" t="n">
        <v>77694013</v>
      </c>
      <c r="D18" s="5" t="n">
        <v>-49924786</v>
      </c>
      <c r="E18" s="5" t="n">
        <v>27860786</v>
      </c>
    </row>
    <row r="19">
      <c r="A19" s="6" t="inlineStr">
        <is>
          <t>Loss for the year (FY2025)</t>
        </is>
      </c>
      <c r="B19" s="6" t="n"/>
      <c r="C19" s="6" t="n"/>
      <c r="D19" s="6" t="n">
        <v>-18291515</v>
      </c>
      <c r="E19" s="6" t="n">
        <v>-18291515</v>
      </c>
    </row>
    <row r="20">
      <c r="A20" s="6" t="inlineStr">
        <is>
          <t>Issue of share capital (note 23)</t>
        </is>
      </c>
      <c r="B20" s="6" t="n">
        <v>112430</v>
      </c>
      <c r="C20" s="6" t="n">
        <v>11130582</v>
      </c>
      <c r="D20" s="6" t="n"/>
      <c r="E20" s="6" t="n">
        <v>11243012</v>
      </c>
    </row>
    <row r="21">
      <c r="A21" s="6" t="inlineStr">
        <is>
          <t>Transaction cost for share issuance</t>
        </is>
      </c>
      <c r="B21" s="6" t="n"/>
      <c r="C21" s="6" t="n">
        <v>-45262</v>
      </c>
      <c r="D21" s="6" t="n"/>
      <c r="E21" s="6" t="n">
        <v>-45262</v>
      </c>
    </row>
    <row r="22">
      <c r="A22" s="5" t="inlineStr">
        <is>
          <t>At 31 December 2025 (FY2025 closing)</t>
        </is>
      </c>
      <c r="B22" s="5" t="n">
        <v>203989</v>
      </c>
      <c r="C22" s="5" t="n">
        <v>88779333</v>
      </c>
      <c r="D22" s="5" t="n">
        <v>-68216301</v>
      </c>
      <c r="E22" s="5" t="n">
        <v>20767021</v>
      </c>
    </row>
    <row r="24" ht="340" customHeight="1">
      <c r="A24"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Statement of Cash Flows</t>
        </is>
      </c>
    </row>
    <row r="2">
      <c r="A2" s="2" t="inlineStr">
        <is>
          <t>FY2021-FY2023 company-only; FY2024-FY2025 consolidated Group basis; £; see source and data-quality notes</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6" t="n"/>
      <c r="C4" s="6" t="n"/>
      <c r="D4" s="6" t="n"/>
      <c r="E4" s="6" t="n"/>
      <c r="F4" s="6" t="n"/>
    </row>
    <row r="5">
      <c r="A5" s="6" t="inlineStr">
        <is>
          <t>Loss for the year/period</t>
        </is>
      </c>
      <c r="B5" s="6" t="n">
        <v>-18291515</v>
      </c>
      <c r="C5" s="6" t="n">
        <v>-18321432</v>
      </c>
      <c r="D5" s="6" t="n">
        <v>-15409172</v>
      </c>
      <c r="E5" s="6" t="n">
        <v>-10396474</v>
      </c>
      <c r="F5" s="6" t="n">
        <v>-5797708</v>
      </c>
    </row>
    <row r="6">
      <c r="A6" s="6" t="inlineStr">
        <is>
          <t>Depreciation of property, plant and equipment</t>
        </is>
      </c>
      <c r="B6" s="6" t="n">
        <v>55644</v>
      </c>
      <c r="C6" s="6" t="n">
        <v>82462</v>
      </c>
      <c r="D6" s="6" t="n">
        <v>64899</v>
      </c>
      <c r="E6" s="6" t="n">
        <v>43771</v>
      </c>
      <c r="F6" s="6" t="n">
        <v>14212</v>
      </c>
    </row>
    <row r="7">
      <c r="A7" s="6" t="inlineStr">
        <is>
          <t>Amortisation of intangible fixed assets</t>
        </is>
      </c>
      <c r="B7" s="6" t="n">
        <v>826967</v>
      </c>
      <c r="C7" s="6" t="n">
        <v>926543</v>
      </c>
      <c r="D7" s="6" t="n">
        <v>226638</v>
      </c>
      <c r="E7" s="6" t="n">
        <v>10946</v>
      </c>
      <c r="F7" s="6" t="n"/>
    </row>
    <row r="8">
      <c r="A8" s="6" t="inlineStr">
        <is>
          <t>Impairment losses on intangible assets</t>
        </is>
      </c>
      <c r="B8" s="6" t="n">
        <v>643093</v>
      </c>
      <c r="C8" s="6" t="n"/>
      <c r="D8" s="6" t="n">
        <v>18000</v>
      </c>
      <c r="E8" s="6" t="n"/>
      <c r="F8" s="6" t="n"/>
    </row>
    <row r="9">
      <c r="A9" s="6" t="inlineStr">
        <is>
          <t>Interest received</t>
        </is>
      </c>
      <c r="B9" s="6" t="n">
        <v>-555881</v>
      </c>
      <c r="C9" s="6" t="n">
        <v>-28237</v>
      </c>
      <c r="D9" s="6" t="n"/>
      <c r="E9" s="6" t="n"/>
      <c r="F9" s="6" t="n"/>
    </row>
    <row r="10">
      <c r="A10" s="6" t="inlineStr">
        <is>
          <t>Interest paid</t>
        </is>
      </c>
      <c r="B10" s="6" t="n">
        <v>2796060</v>
      </c>
      <c r="C10" s="6" t="n">
        <v>445826</v>
      </c>
      <c r="D10" s="6" t="n"/>
      <c r="E10" s="6" t="n"/>
      <c r="F10" s="6" t="n"/>
    </row>
    <row r="11">
      <c r="A11" s="6" t="inlineStr">
        <is>
          <t>Fair value losses/(gain)</t>
        </is>
      </c>
      <c r="B11" s="6" t="n">
        <v>1254779</v>
      </c>
      <c r="C11" s="6" t="n">
        <v>10467</v>
      </c>
      <c r="D11" s="6" t="n">
        <v>-7778</v>
      </c>
      <c r="E11" s="6" t="n">
        <v>13541</v>
      </c>
      <c r="F11" s="6" t="n"/>
    </row>
    <row r="12">
      <c r="A12" s="6" t="inlineStr">
        <is>
          <t>Investment income</t>
        </is>
      </c>
      <c r="B12" s="6" t="n">
        <v>-199630</v>
      </c>
      <c r="C12" s="6" t="n">
        <v>-618090</v>
      </c>
      <c r="D12" s="6" t="n">
        <v>-386793</v>
      </c>
      <c r="E12" s="6" t="n">
        <v>-93422</v>
      </c>
      <c r="F12" s="6" t="n"/>
    </row>
    <row r="13">
      <c r="A13" s="6" t="inlineStr">
        <is>
          <t>Investment income received</t>
        </is>
      </c>
      <c r="B13" s="6" t="n"/>
      <c r="C13" s="6" t="n"/>
      <c r="D13" s="6" t="n"/>
      <c r="E13" s="6" t="n">
        <v>20529</v>
      </c>
      <c r="F13" s="6" t="n"/>
    </row>
    <row r="14">
      <c r="A14" s="6" t="inlineStr">
        <is>
          <t>Share-based payment expense</t>
        </is>
      </c>
      <c r="B14" s="6" t="n"/>
      <c r="C14" s="6" t="n">
        <v>1291536</v>
      </c>
      <c r="D14" s="6" t="n">
        <v>2471965</v>
      </c>
      <c r="E14" s="6" t="n">
        <v>207333</v>
      </c>
      <c r="F14" s="6" t="n"/>
    </row>
    <row r="15">
      <c r="A15" s="6" t="inlineStr">
        <is>
          <t>Corporation tax charge</t>
        </is>
      </c>
      <c r="B15" s="6" t="n">
        <v>300</v>
      </c>
      <c r="C15" s="6" t="n">
        <v>175</v>
      </c>
      <c r="D15" s="6" t="n"/>
      <c r="E15" s="6" t="n"/>
      <c r="F15" s="6" t="n"/>
    </row>
    <row r="16">
      <c r="A16" s="6" t="inlineStr">
        <is>
          <t>Corporation tax paid</t>
        </is>
      </c>
      <c r="B16" s="6" t="n">
        <v>-175</v>
      </c>
      <c r="C16" s="6" t="n"/>
      <c r="D16" s="6" t="n"/>
      <c r="E16" s="6" t="n"/>
      <c r="F16" s="6" t="n"/>
    </row>
    <row r="17">
      <c r="A17" s="6" t="inlineStr">
        <is>
          <t>Impairment loss on loans and advances to customers</t>
        </is>
      </c>
      <c r="B17" s="6" t="n"/>
      <c r="C17" s="6" t="n">
        <v>29621</v>
      </c>
      <c r="D17" s="6" t="n">
        <v>108</v>
      </c>
      <c r="E17" s="6" t="n"/>
      <c r="F17" s="6" t="n"/>
    </row>
    <row r="18">
      <c r="A18" s="6" t="inlineStr">
        <is>
          <t>(Increase)/decrease in debtors</t>
        </is>
      </c>
      <c r="B18" s="6" t="n"/>
      <c r="C18" s="6" t="n"/>
      <c r="D18" s="6" t="n"/>
      <c r="E18" s="6" t="n"/>
      <c r="F18" s="6" t="n">
        <v>-136084</v>
      </c>
    </row>
    <row r="19">
      <c r="A19" s="6" t="inlineStr">
        <is>
          <t>Increase in creditors</t>
        </is>
      </c>
      <c r="B19" s="6" t="n"/>
      <c r="C19" s="6" t="n"/>
      <c r="D19" s="6" t="n"/>
      <c r="E19" s="6" t="n"/>
      <c r="F19" s="6" t="n">
        <v>581228</v>
      </c>
    </row>
    <row r="20">
      <c r="A20" s="6" t="inlineStr">
        <is>
          <t>Increase in amounts owed to group companies</t>
        </is>
      </c>
      <c r="B20" s="6" t="n"/>
      <c r="C20" s="6" t="n"/>
      <c r="D20" s="6" t="n"/>
      <c r="E20" s="6" t="n"/>
      <c r="F20" s="6" t="n">
        <v>6853569</v>
      </c>
    </row>
    <row r="21">
      <c r="A21" s="6" t="inlineStr">
        <is>
          <t>Increase in prepayments, accrued income and other assets</t>
        </is>
      </c>
      <c r="B21" s="6" t="n">
        <v>-268941</v>
      </c>
      <c r="C21" s="6" t="n">
        <v>-530597</v>
      </c>
      <c r="D21" s="6" t="n">
        <v>-401076</v>
      </c>
      <c r="E21" s="6" t="n"/>
      <c r="F21" s="6" t="n"/>
    </row>
    <row r="22">
      <c r="A22" s="6" t="inlineStr">
        <is>
          <t>Increase in trade and other payables</t>
        </is>
      </c>
      <c r="B22" s="6" t="n">
        <v>4535562</v>
      </c>
      <c r="C22" s="6" t="n">
        <v>105671</v>
      </c>
      <c r="D22" s="6" t="n">
        <v>1235718</v>
      </c>
      <c r="E22" s="6" t="n">
        <v>699493</v>
      </c>
      <c r="F22" s="6" t="n"/>
    </row>
    <row r="23">
      <c r="A23" s="6" t="inlineStr">
        <is>
          <t>Increase in loans and advances to customers</t>
        </is>
      </c>
      <c r="B23" s="6" t="n">
        <v>-50911788</v>
      </c>
      <c r="C23" s="6" t="n">
        <v>-34748706</v>
      </c>
      <c r="D23" s="6" t="n">
        <v>-108791</v>
      </c>
      <c r="E23" s="6" t="n"/>
      <c r="F23" s="6" t="n"/>
    </row>
    <row r="24">
      <c r="A24" s="6" t="inlineStr">
        <is>
          <t>Interest paid (cash flow movement)</t>
        </is>
      </c>
      <c r="B24" s="6" t="n">
        <v>-2796060</v>
      </c>
      <c r="C24" s="6" t="n">
        <v>-445826</v>
      </c>
      <c r="D24" s="6" t="n"/>
      <c r="E24" s="6" t="n"/>
      <c r="F24" s="6" t="n"/>
    </row>
    <row r="25">
      <c r="A25" s="6" t="inlineStr">
        <is>
          <t>Increase in trade and other receivables</t>
        </is>
      </c>
      <c r="B25" s="6" t="n"/>
      <c r="C25" s="6" t="n"/>
      <c r="D25" s="6" t="n"/>
      <c r="E25" s="6" t="n">
        <v>-259705</v>
      </c>
      <c r="F25" s="6" t="n"/>
    </row>
    <row r="26">
      <c r="A26" s="5" t="inlineStr">
        <is>
          <t>Net cash from/(used in) operating activities</t>
        </is>
      </c>
      <c r="B26" s="5" t="n">
        <v>-62911585</v>
      </c>
      <c r="C26" s="5" t="n">
        <v>-51800587</v>
      </c>
      <c r="D26" s="5" t="n">
        <v>-12296282</v>
      </c>
      <c r="E26" s="5" t="n">
        <v>-9753988</v>
      </c>
      <c r="F26" s="5" t="n">
        <v>1515217</v>
      </c>
    </row>
    <row r="27">
      <c r="A27" s="5" t="inlineStr">
        <is>
          <t>Investing activities</t>
        </is>
      </c>
      <c r="B27" s="6" t="n"/>
      <c r="C27" s="6" t="n"/>
      <c r="D27" s="6" t="n"/>
      <c r="E27" s="6" t="n"/>
      <c r="F27" s="6" t="n"/>
    </row>
    <row r="28">
      <c r="A28" s="6" t="inlineStr">
        <is>
          <t>Purchases of property, plant and equipment</t>
        </is>
      </c>
      <c r="B28" s="6" t="n">
        <v>-15782</v>
      </c>
      <c r="C28" s="6" t="n">
        <v>-31732</v>
      </c>
      <c r="D28" s="6" t="n">
        <v>-93225</v>
      </c>
      <c r="E28" s="6" t="n">
        <v>-87449</v>
      </c>
      <c r="F28" s="6" t="n">
        <v>-84976</v>
      </c>
    </row>
    <row r="29">
      <c r="A29" s="6" t="inlineStr">
        <is>
          <t>Purchase of intangible assets</t>
        </is>
      </c>
      <c r="B29" s="6" t="n">
        <v>-128734</v>
      </c>
      <c r="C29" s="6" t="n">
        <v>-386881</v>
      </c>
      <c r="D29" s="6" t="n">
        <v>-428546</v>
      </c>
      <c r="E29" s="6" t="n">
        <v>-1044109</v>
      </c>
      <c r="F29" s="6" t="n">
        <v>-1120614</v>
      </c>
    </row>
    <row r="30">
      <c r="A30" s="6" t="inlineStr">
        <is>
          <t>Sale/(purchases) of available-for-sale financial assets</t>
        </is>
      </c>
      <c r="B30" s="6" t="n">
        <v>1177153</v>
      </c>
      <c r="C30" s="6" t="n">
        <v>26544961</v>
      </c>
      <c r="D30" s="6" t="n">
        <v>-19094097</v>
      </c>
      <c r="E30" s="6" t="n"/>
      <c r="F30" s="6" t="n"/>
    </row>
    <row r="31">
      <c r="A31" s="6" t="inlineStr">
        <is>
          <t>Purchases of FVTPL investments</t>
        </is>
      </c>
      <c r="B31" s="6" t="n"/>
      <c r="C31" s="6" t="n"/>
      <c r="D31" s="6" t="n"/>
      <c r="E31" s="6" t="n">
        <v>-12807189</v>
      </c>
      <c r="F31" s="6" t="n"/>
    </row>
    <row r="32">
      <c r="A32" s="6" t="inlineStr">
        <is>
          <t>Investment income cash flow on maturity</t>
        </is>
      </c>
      <c r="B32" s="6" t="n"/>
      <c r="C32" s="6" t="n"/>
      <c r="D32" s="6" t="n"/>
      <c r="E32" s="6" t="n">
        <v>-20529</v>
      </c>
      <c r="F32" s="6" t="n"/>
    </row>
    <row r="33">
      <c r="A33" s="6" t="inlineStr">
        <is>
          <t>Interest received</t>
        </is>
      </c>
      <c r="B33" s="6" t="n">
        <v>555881</v>
      </c>
      <c r="C33" s="6" t="n">
        <v>28237</v>
      </c>
      <c r="D33" s="6" t="n"/>
      <c r="E33" s="6" t="n"/>
      <c r="F33" s="6" t="n"/>
    </row>
    <row r="34">
      <c r="A34" s="5" t="inlineStr">
        <is>
          <t>Net cash from/(used in) investing activities</t>
        </is>
      </c>
      <c r="B34" s="5" t="n">
        <v>1588518</v>
      </c>
      <c r="C34" s="5" t="n">
        <v>26154585</v>
      </c>
      <c r="D34" s="5" t="n">
        <v>-19615868</v>
      </c>
      <c r="E34" s="5" t="n">
        <v>-13959276</v>
      </c>
      <c r="F34" s="5" t="n">
        <v>-1205590</v>
      </c>
    </row>
    <row r="35">
      <c r="A35" s="5" t="inlineStr">
        <is>
          <t>Financing activities</t>
        </is>
      </c>
      <c r="B35" s="6" t="n"/>
      <c r="C35" s="6" t="n"/>
      <c r="D35" s="6" t="n"/>
      <c r="E35" s="6" t="n"/>
      <c r="F35" s="6" t="n"/>
    </row>
    <row r="36">
      <c r="A36" s="6" t="inlineStr">
        <is>
          <t>Issue of ordinary shares</t>
        </is>
      </c>
      <c r="B36" s="6" t="n">
        <v>112430</v>
      </c>
      <c r="C36" s="6" t="n"/>
      <c r="D36" s="6" t="n">
        <v>19726</v>
      </c>
      <c r="E36" s="6" t="n">
        <v>20149</v>
      </c>
      <c r="F36" s="6" t="n">
        <v>50000</v>
      </c>
    </row>
    <row r="37">
      <c r="A37" s="6" t="inlineStr">
        <is>
          <t>Issue of ordinary shares at a premium</t>
        </is>
      </c>
      <c r="B37" s="6" t="n">
        <v>11130582</v>
      </c>
      <c r="C37" s="6" t="n"/>
      <c r="D37" s="6" t="n">
        <v>42830263</v>
      </c>
      <c r="E37" s="6" t="n">
        <v>24453854</v>
      </c>
      <c r="F37" s="6" t="n"/>
    </row>
    <row r="38">
      <c r="A38" s="6" t="inlineStr">
        <is>
          <t>Transaction cost for share issuance</t>
        </is>
      </c>
      <c r="B38" s="6" t="n">
        <v>-45262</v>
      </c>
      <c r="C38" s="6" t="n">
        <v>-10907</v>
      </c>
      <c r="D38" s="6" t="n">
        <v>-194583</v>
      </c>
      <c r="E38" s="6" t="n">
        <v>-207333</v>
      </c>
      <c r="F38" s="6" t="n"/>
    </row>
    <row r="39">
      <c r="A39" s="6" t="inlineStr">
        <is>
          <t>Proceeds from loans and borrowings</t>
        </is>
      </c>
      <c r="B39" s="6" t="n">
        <v>54933000</v>
      </c>
      <c r="C39" s="6" t="n">
        <v>24650000</v>
      </c>
      <c r="D39" s="6" t="n"/>
      <c r="E39" s="6" t="n"/>
      <c r="F39" s="6" t="n"/>
    </row>
    <row r="40">
      <c r="A40" s="5" t="inlineStr">
        <is>
          <t>Net cash from/(used in) financing activities</t>
        </is>
      </c>
      <c r="B40" s="5" t="n">
        <v>66130750</v>
      </c>
      <c r="C40" s="5" t="n">
        <v>24639093</v>
      </c>
      <c r="D40" s="5" t="n">
        <v>42655406</v>
      </c>
      <c r="E40" s="5" t="n">
        <v>24266670</v>
      </c>
      <c r="F40" s="5" t="n">
        <v>50000</v>
      </c>
    </row>
    <row r="41">
      <c r="A41" s="5" t="inlineStr">
        <is>
          <t>Net increase/(decrease) in cash and cash equivalents</t>
        </is>
      </c>
      <c r="B41" s="5" t="n">
        <v>4807683</v>
      </c>
      <c r="C41" s="5" t="n">
        <v>-1006909</v>
      </c>
      <c r="D41" s="5" t="n">
        <v>10743256</v>
      </c>
      <c r="E41" s="5" t="n">
        <v>553406</v>
      </c>
      <c r="F41" s="5" t="n">
        <v>359627</v>
      </c>
    </row>
    <row r="42">
      <c r="A42" s="6" t="inlineStr">
        <is>
          <t>Cash and cash equivalents at the beginning of year/period</t>
        </is>
      </c>
      <c r="B42" s="6" t="n">
        <v>10649380</v>
      </c>
      <c r="C42" s="6" t="n">
        <v>11656289</v>
      </c>
      <c r="D42" s="6" t="n">
        <v>913033</v>
      </c>
      <c r="E42" s="6" t="n">
        <v>359627</v>
      </c>
      <c r="F42" s="6" t="n"/>
    </row>
    <row r="43">
      <c r="A43" s="5" t="inlineStr">
        <is>
          <t>Cash and cash equivalents at the end of year/period</t>
        </is>
      </c>
      <c r="B43" s="5" t="n">
        <v>15457063</v>
      </c>
      <c r="C43" s="5" t="n">
        <v>10649380</v>
      </c>
      <c r="D43" s="5" t="n">
        <v>11656289</v>
      </c>
      <c r="E43" s="5" t="n">
        <v>913033</v>
      </c>
      <c r="F43" s="5" t="n">
        <v>359627</v>
      </c>
    </row>
    <row r="45" ht="250" customHeight="1">
      <c r="A45" s="8" t="inlineStr">
        <is>
          <t>Sources - FY2021-FY2023 are Perenna Bank PLC's own company-only Statement of Cash Flows; FY2024-FY2025 are the consolidated Group Statement of Cash Flows:
FY2025: Group Annual Report and Financial Statements 2025, p.29-30 (Consolidated Statement of Cash Flows) - https://find-and-update.company-information.service.gov.uk/company/13084174/filing-history/MzUyNTM5NTkxM2FkaXF6a2N4/document?format=pdf&amp;download=0
FY2024: Group Annual Report and Financial Statements 2024, p.32-33 (Consolidated Statement of Cash Flows) - https://find-and-update.company-information.service.gov.uk/company/13084174/filing-history/MzQ3MjEwNTk2M2FkaXF6a2N4/document?format=pdf&amp;download=0
FY2023: Annual Report and Financial Statements 2023, p.33-34 (Statement of Cash Flows) - https://find-and-update.company-information.service.gov.uk/company/13084174/filing-history/MzQyNTQzMzk4MGFkaXF6a2N4/document?format=pdf&amp;download=0
FY2022: Annual Report and Financial Statements 2022, p.30-31 (Statement of Cash Flows; 2021 comparative is restated) - https://find-and-update.company-information.service.gov.uk/company/13084174/filing-history/MzM4MjAzMDY1OWFkaXF6a2N4/document?format=pdf&amp;download=0
FY2021: Annual Report and Financial Statements 2021, p.14 (Statement of Cash Flows)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DATA QUALITY NOTE: The FY2024 and FY2025 reports contain an internal presentation/arithmetic inconsistency in the intermediate operating-cash subtotal labelled 'Cash used in operations'. The final reported net operating cash totals do reconcile to the full preceding line-item chain, so the intermediate subtotal is omitted rather than double-counted; all underlying line items and the final reported totals are transcribed as printed. FY2024's final net operating total is (£51,800,587), while FY2025's is (£62,911,585).</t>
        </is>
      </c>
    </row>
  </sheetData>
  <mergeCells count="1">
    <mergeCell ref="A45:F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Perenna Bank PLC — Asset Quality</t>
        </is>
      </c>
    </row>
    <row r="2">
      <c r="A2" s="2" t="inlineStr">
        <is>
          <t>Group basis (mortgage lending only began under the Bank's full licence from FY2023). £. Blank cells indicate that year's report did not disclose that specific split; the Bank had no loan book at all in FY2021-FY2022.</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customers - gross carrying amount by IFRS 9 stage</t>
        </is>
      </c>
      <c r="B4" s="6" t="n"/>
      <c r="C4" s="6" t="n"/>
      <c r="D4" s="6" t="n"/>
      <c r="E4" s="6" t="n"/>
      <c r="F4" s="6" t="n"/>
    </row>
    <row r="5">
      <c r="A5" s="6" t="inlineStr">
        <is>
          <t>Stage 1</t>
        </is>
      </c>
      <c r="B5" s="6" t="n">
        <v>83505753</v>
      </c>
      <c r="C5" s="6" t="n">
        <v>34857910</v>
      </c>
      <c r="D5" s="6" t="n"/>
      <c r="E5" s="6" t="n"/>
      <c r="F5" s="6" t="n"/>
    </row>
    <row r="6">
      <c r="A6" s="6" t="inlineStr">
        <is>
          <t>Stage 2</t>
        </is>
      </c>
      <c r="B6" s="6" t="n">
        <v>2262415</v>
      </c>
      <c r="C6" s="6" t="n"/>
      <c r="D6" s="6" t="n"/>
      <c r="E6" s="6" t="n"/>
      <c r="F6" s="6" t="n"/>
    </row>
    <row r="7">
      <c r="A7" s="6" t="inlineStr">
        <is>
          <t>Stage 3</t>
        </is>
      </c>
      <c r="B7" s="6" t="n">
        <v>41030</v>
      </c>
      <c r="C7" s="6" t="n"/>
      <c r="D7" s="6" t="n"/>
      <c r="E7" s="6" t="n"/>
      <c r="F7" s="6" t="n"/>
    </row>
    <row r="8">
      <c r="A8" s="5" t="inlineStr">
        <is>
          <t>Total gross carrying amount</t>
        </is>
      </c>
      <c r="B8" s="5" t="n">
        <v>85809197</v>
      </c>
      <c r="C8" s="5" t="n">
        <v>34857910</v>
      </c>
      <c r="D8" s="5" t="n">
        <v>108791</v>
      </c>
      <c r="E8" s="5" t="n"/>
      <c r="F8" s="5" t="n"/>
    </row>
    <row r="9">
      <c r="A9" s="5" t="inlineStr">
        <is>
          <t>Loss allowance (ECL) by IFRS 9 stage</t>
        </is>
      </c>
      <c r="B9" s="6" t="n"/>
      <c r="C9" s="6" t="n"/>
      <c r="D9" s="6" t="n"/>
      <c r="E9" s="6" t="n"/>
      <c r="F9" s="6" t="n"/>
    </row>
    <row r="10">
      <c r="A10" s="6" t="inlineStr">
        <is>
          <t>Stage 1 ECL</t>
        </is>
      </c>
      <c r="B10" s="6" t="n">
        <v>41978</v>
      </c>
      <c r="C10" s="6" t="n">
        <v>30126</v>
      </c>
      <c r="D10" s="6" t="n">
        <v>108</v>
      </c>
      <c r="E10" s="6" t="n"/>
      <c r="F10" s="6" t="n"/>
    </row>
    <row r="11">
      <c r="A11" s="6" t="inlineStr">
        <is>
          <t>Stage 2 ECL</t>
        </is>
      </c>
      <c r="B11" s="6" t="n">
        <v>26641</v>
      </c>
      <c r="C11" s="6" t="n"/>
      <c r="D11" s="6" t="n"/>
      <c r="E11" s="6" t="n"/>
      <c r="F11" s="6" t="n"/>
    </row>
    <row r="12">
      <c r="A12" s="6" t="inlineStr">
        <is>
          <t>Stage 3 ECL</t>
        </is>
      </c>
      <c r="B12" s="6" t="n">
        <v>1019</v>
      </c>
      <c r="C12" s="6" t="n"/>
      <c r="D12" s="6" t="n"/>
      <c r="E12" s="6" t="n"/>
      <c r="F12" s="6" t="n"/>
    </row>
    <row r="13">
      <c r="A13" s="5" t="inlineStr">
        <is>
          <t>Total loss allowance</t>
        </is>
      </c>
      <c r="B13" s="5" t="n">
        <v>69638</v>
      </c>
      <c r="C13" s="5" t="n">
        <v>30126</v>
      </c>
      <c r="D13" s="5" t="n">
        <v>108</v>
      </c>
      <c r="E13" s="5" t="n"/>
      <c r="F13" s="5" t="n"/>
    </row>
    <row r="14">
      <c r="A14" s="5" t="inlineStr">
        <is>
          <t>Net loans and advances to customers</t>
        </is>
      </c>
      <c r="B14" s="5" t="n">
        <v>85739558</v>
      </c>
      <c r="C14" s="5" t="n">
        <v>34827768</v>
      </c>
      <c r="D14" s="5" t="n">
        <v>108683</v>
      </c>
      <c r="E14" s="5" t="n"/>
      <c r="F14" s="5" t="n"/>
    </row>
    <row r="15">
      <c r="A15" s="6" t="inlineStr">
        <is>
          <t>ECL coverage ratio (loss allowance / gross carrying amount)</t>
        </is>
      </c>
      <c r="B15" s="6" t="inlineStr">
        <is>
          <t>0.08%</t>
        </is>
      </c>
      <c r="C15" s="6" t="inlineStr">
        <is>
          <t>0.09%</t>
        </is>
      </c>
      <c r="D15" s="6" t="inlineStr">
        <is>
          <t>0.10%</t>
        </is>
      </c>
      <c r="E15" s="6" t="n"/>
      <c r="F15" s="6" t="n"/>
    </row>
    <row r="16">
      <c r="A16" s="6" t="inlineStr">
        <is>
          <t>Stage 2 + Stage 3 as % of gross loans (early-warning/NPL proxy)</t>
        </is>
      </c>
      <c r="B16" s="6" t="inlineStr">
        <is>
          <t>2.68%</t>
        </is>
      </c>
      <c r="C16" s="6" t="inlineStr">
        <is>
          <t>0.00%</t>
        </is>
      </c>
      <c r="D16" s="6" t="n"/>
      <c r="E16" s="6" t="n"/>
      <c r="F16" s="6" t="n"/>
    </row>
    <row r="18" ht="280" customHeight="1">
      <c r="A18" s="8" t="inlineStr">
        <is>
          <t>Sources - Perenna Bank PLC Loans and advances to customers, IFRS 9 credit quality:
FY2025: Group Annual Report and Financial Statements 2025, p.54 (Note 16, Loans and advances to customers), p.65-66 (Note 27.5, Credit quality analysis / overdue status / amounts arising from ECL) - https://find-and-update.company-information.service.gov.uk/company/13084174/filing-history/MzUyNTM5NTkxM2FkaXF6a2N4/document?format=pdf&amp;download=0
FY2024: Group Annual Report and Financial Statements 2024, p.62 (Note 16, Loans and advances to customers) - https://find-and-update.company-information.service.gov.uk/company/13084174/filing-history/MzQ3MjEwNTk2M2FkaXF6a2N4/document?format=pdf&amp;download=0
FY2023: Annual Report and Financial Statements 2023, p.30 (Statement of financial position, Loans and advances to customers) - https://find-and-update.company-information.service.gov.uk/company/13084174/filing-history/MzQyNTQzMzk4MGFkaXF6a2N4/document?format=pdf&amp;download=0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DATA QUALITY NOTE: FY2024's gross carrying amount is disclosed as £34,857,497 in Note 16 (loss allowance basis) but as £34,857,910 in the FY2025 report's own credit-quality-analysis/overdue-status tables (a £413 difference between two notes in different Annual Reports) - both figures are reproduced exactly as each source table shows them, not forced to match. No IFRS 9 stage split (Stage 1/2/3) is disclosed for FY2023, and no loan book existed at all in FY2021-FY2022 (the Bank's restricted licence period, before its first mortgage completions) - both are genuine absences, not access gaps.</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48%</t>
        </is>
      </c>
      <c r="C4" s="6" t="inlineStr">
        <is>
          <t>133%</t>
        </is>
      </c>
      <c r="D4" s="6" t="inlineStr">
        <is>
          <t>269%</t>
        </is>
      </c>
      <c r="E4" s="6" t="inlineStr">
        <is>
          <t>101.66%</t>
        </is>
      </c>
      <c r="F4" s="6" t="n"/>
    </row>
    <row r="5" ht="60" customHeight="1">
      <c r="A5" s="7" t="inlineStr">
        <is>
          <t>Note: The Annual Reports disclose this ratio as a Key Performance Indicator, but do not provide a separate Pillar 3/KM1 capital amount. No FY2021 ratio is disclosed.</t>
        </is>
      </c>
    </row>
    <row r="7" ht="170" customHeight="1">
      <c r="A7"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RWA Breakdown</t>
        </is>
      </c>
    </row>
    <row r="2">
      <c r="A2" s="2" t="inlineStr">
        <is>
          <t>Not publicly disclosed. £.</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RWA breakdown by risk category</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No separate Perenna Pillar 3/KM1 disclosure or category-level RWA breakdown was located on the Bank's website or in its Companies House filings (the full document was read through to its final note, including the credit risk, liquidity risk, and fair value measurement sections of Note 27, with no risk-weighted-asset figure of any kind disclosed) - confirmed as a genuine non-disclosure, not an access gap.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21.47%</t>
        </is>
      </c>
      <c r="C4" s="6" t="inlineStr">
        <is>
          <t>46.38%</t>
        </is>
      </c>
      <c r="D4" s="6" t="inlineStr">
        <is>
          <t>91.97%</t>
        </is>
      </c>
      <c r="E4" s="6" t="inlineStr">
        <is>
          <t>91.05%</t>
        </is>
      </c>
      <c r="F4" s="6" t="n"/>
    </row>
    <row r="5" ht="60" customHeight="1">
      <c r="A5" s="7" t="inlineStr">
        <is>
          <t>Note: The Annual Reports disclose this ratio as a Key Performance Indicator. No FY2021 ratio is disclosed.</t>
        </is>
      </c>
    </row>
    <row r="7" ht="170" customHeight="1">
      <c r="A7"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2026-09-03T19:04:04Z</dcterms:created>
  <dcterms:modified xmlns:dcterms="http://purl.org/dc/terms/" xmlns:xsi="http://www.w3.org/2001/XMLSchema-instance" xsi:type="dcterms:W3CDTF">2026-09-03T19:04:04Z</dcterms:modified>
</cp:coreProperties>
</file>