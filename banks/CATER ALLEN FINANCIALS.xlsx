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A5276"/>
        <bgColor rgb="001A527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5" fillId="0" borderId="0" applyAlignment="1" pivotButton="0" quotePrefix="0" xfId="0">
      <alignment horizontal="lef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Cater Allen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Cater Allen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Cater Allen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Cater Allen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Cater Allen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123</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Cater Allen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5374808</v>
      </c>
      <c r="C6" s="5" t="n">
        <v>5580546</v>
      </c>
      <c r="D6" s="5" t="n">
        <v>5429710</v>
      </c>
      <c r="E6" s="5" t="n">
        <v>5718014</v>
      </c>
      <c r="F6" s="5" t="n">
        <v>5167480</v>
      </c>
      <c r="I6" t="inlineStr">
        <is>
          <t>Total assets</t>
        </is>
      </c>
      <c r="J6" t="n">
        <v>5167480</v>
      </c>
      <c r="K6" t="n">
        <v>5718014</v>
      </c>
      <c r="L6" t="n">
        <v>5429710</v>
      </c>
      <c r="M6" t="n">
        <v>5580546</v>
      </c>
      <c r="N6" t="n">
        <v>5374808</v>
      </c>
      <c r="AO6" t="inlineStr">
        <is>
          <t>CET1 Ratio</t>
        </is>
      </c>
      <c r="AQ6" t="n">
        <v>246.5</v>
      </c>
      <c r="AR6" t="n">
        <v>122.8</v>
      </c>
      <c r="AS6" t="n">
        <v>98.73999999999999</v>
      </c>
      <c r="AT6" t="n">
        <v>78.2</v>
      </c>
    </row>
    <row r="7">
      <c r="A7" s="5" t="inlineStr">
        <is>
          <t>Loans and advances to banks</t>
        </is>
      </c>
      <c r="B7" s="5" t="n">
        <v>5297136</v>
      </c>
      <c r="C7" s="5" t="n">
        <v>5540507</v>
      </c>
      <c r="D7" s="5" t="n">
        <v>5383852</v>
      </c>
      <c r="E7" s="5" t="n">
        <v>5671848</v>
      </c>
      <c r="F7" s="5" t="n">
        <v>5128808</v>
      </c>
      <c r="I7" t="inlineStr">
        <is>
          <t>Loans and advances to banks</t>
        </is>
      </c>
      <c r="J7" t="n">
        <v>5128808</v>
      </c>
      <c r="K7" t="n">
        <v>5671848</v>
      </c>
      <c r="L7" t="n">
        <v>5383852</v>
      </c>
      <c r="M7" t="n">
        <v>5540507</v>
      </c>
      <c r="N7" t="n">
        <v>5297136</v>
      </c>
      <c r="AO7" t="inlineStr">
        <is>
          <t>Total Capital Ratio</t>
        </is>
      </c>
      <c r="AQ7" t="n">
        <v>246.5</v>
      </c>
      <c r="AR7" t="n">
        <v>122.8</v>
      </c>
      <c r="AS7" t="n">
        <v>98.73999999999999</v>
      </c>
      <c r="AT7" t="n">
        <v>78.2</v>
      </c>
    </row>
    <row r="8">
      <c r="A8" s="5" t="inlineStr">
        <is>
          <t>Customer accounts</t>
        </is>
      </c>
      <c r="B8" s="5" t="n">
        <v>4964597</v>
      </c>
      <c r="C8" s="5" t="n">
        <v>5112126</v>
      </c>
      <c r="D8" s="5" t="n">
        <v>4978130</v>
      </c>
      <c r="E8" s="5" t="n">
        <v>5326931</v>
      </c>
      <c r="F8" s="5" t="n">
        <v>4544224</v>
      </c>
      <c r="I8" t="inlineStr">
        <is>
          <t>Customer accounts</t>
        </is>
      </c>
      <c r="J8" t="n">
        <v>4544224</v>
      </c>
      <c r="K8" t="n">
        <v>5326931</v>
      </c>
      <c r="L8" t="n">
        <v>4978130</v>
      </c>
      <c r="M8" t="n">
        <v>5112126</v>
      </c>
      <c r="N8" t="n">
        <v>4964597</v>
      </c>
    </row>
    <row r="9">
      <c r="A9" s="5" t="inlineStr">
        <is>
          <t>Total equity</t>
        </is>
      </c>
      <c r="B9" s="5" t="n">
        <v>334783</v>
      </c>
      <c r="C9" s="5" t="n">
        <v>397249</v>
      </c>
      <c r="D9" s="5" t="n">
        <v>375661</v>
      </c>
      <c r="E9" s="5" t="n">
        <v>353176</v>
      </c>
      <c r="F9" s="5" t="n">
        <v>604045</v>
      </c>
      <c r="I9" t="inlineStr">
        <is>
          <t>Total equity</t>
        </is>
      </c>
      <c r="J9" t="n">
        <v>604045</v>
      </c>
      <c r="K9" t="n">
        <v>353176</v>
      </c>
      <c r="L9" t="n">
        <v>375661</v>
      </c>
      <c r="M9" t="n">
        <v>397249</v>
      </c>
      <c r="N9" t="n">
        <v>334783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146812</v>
      </c>
      <c r="C13" s="5" t="n">
        <v>195159</v>
      </c>
      <c r="D13" s="5" t="n">
        <v>193188</v>
      </c>
      <c r="E13" s="5" t="n">
        <v>89317</v>
      </c>
      <c r="F13" s="5" t="n">
        <v>55895</v>
      </c>
      <c r="Q13" t="inlineStr">
        <is>
          <t>Total income</t>
        </is>
      </c>
      <c r="R13" t="n">
        <v>55895</v>
      </c>
      <c r="S13" t="n">
        <v>89317</v>
      </c>
      <c r="T13" t="n">
        <v>193188</v>
      </c>
      <c r="U13" t="n">
        <v>195159</v>
      </c>
      <c r="V13" t="n">
        <v>146812</v>
      </c>
    </row>
    <row r="14">
      <c r="A14" s="5" t="inlineStr">
        <is>
          <t>Operating expenses</t>
        </is>
      </c>
      <c r="B14" s="5" t="n">
        <v>-25236</v>
      </c>
      <c r="C14" s="5" t="n">
        <v>-23506</v>
      </c>
      <c r="D14" s="5" t="n">
        <v>-20754</v>
      </c>
      <c r="E14" s="5" t="n">
        <v>-19105</v>
      </c>
      <c r="F14" s="5" t="n">
        <v>-13632</v>
      </c>
      <c r="Q14" t="inlineStr">
        <is>
          <t>Operating expenses</t>
        </is>
      </c>
      <c r="R14" t="n">
        <v>-13632</v>
      </c>
      <c r="S14" t="n">
        <v>-19105</v>
      </c>
      <c r="T14" t="n">
        <v>-20754</v>
      </c>
      <c r="U14" t="n">
        <v>-23506</v>
      </c>
      <c r="V14" t="n">
        <v>-25236</v>
      </c>
    </row>
    <row r="15">
      <c r="A15" s="5" t="inlineStr">
        <is>
          <t>Profit for the year after tax</t>
        </is>
      </c>
      <c r="B15" s="5" t="n">
        <v>87534</v>
      </c>
      <c r="C15" s="5" t="n">
        <v>121588</v>
      </c>
      <c r="D15" s="5" t="n">
        <v>122485</v>
      </c>
      <c r="E15" s="5" t="n">
        <v>49131</v>
      </c>
      <c r="F15" s="5" t="n">
        <v>28735</v>
      </c>
      <c r="Q15" t="inlineStr">
        <is>
          <t>Profit for the year after tax</t>
        </is>
      </c>
      <c r="R15" t="n">
        <v>28735</v>
      </c>
      <c r="S15" t="n">
        <v>49131</v>
      </c>
      <c r="T15" t="n">
        <v>122485</v>
      </c>
      <c r="U15" t="n">
        <v>121588</v>
      </c>
      <c r="V15" t="n">
        <v>87534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397249</v>
      </c>
      <c r="C19" s="5" t="n">
        <v>375661</v>
      </c>
      <c r="D19" s="5" t="n">
        <v>353176</v>
      </c>
      <c r="E19" s="5" t="n">
        <v>604045</v>
      </c>
      <c r="F19" s="5" t="n">
        <v>575310</v>
      </c>
      <c r="Y19" t="inlineStr">
        <is>
          <t>Opening equity</t>
        </is>
      </c>
      <c r="Z19" t="n">
        <v>575310</v>
      </c>
      <c r="AA19" t="n">
        <v>604045</v>
      </c>
      <c r="AB19" t="n">
        <v>353176</v>
      </c>
      <c r="AC19" t="n">
        <v>375661</v>
      </c>
      <c r="AD19" t="n">
        <v>397249</v>
      </c>
    </row>
    <row r="20">
      <c r="A20" s="5" t="inlineStr">
        <is>
          <t>Total comprehensive income for the year</t>
        </is>
      </c>
      <c r="B20" s="5" t="n">
        <v>87534</v>
      </c>
      <c r="C20" s="5" t="n">
        <v>121588</v>
      </c>
      <c r="D20" s="5" t="n">
        <v>122485</v>
      </c>
      <c r="E20" s="5" t="n">
        <v>49131</v>
      </c>
      <c r="F20" s="5" t="n">
        <v>28735</v>
      </c>
      <c r="Y20" t="inlineStr">
        <is>
          <t>Total comprehensive income for the year</t>
        </is>
      </c>
      <c r="Z20" t="n">
        <v>28735</v>
      </c>
      <c r="AA20" t="n">
        <v>49131</v>
      </c>
      <c r="AB20" t="n">
        <v>122485</v>
      </c>
      <c r="AC20" t="n">
        <v>121588</v>
      </c>
      <c r="AD20" t="n">
        <v>87534</v>
      </c>
    </row>
    <row r="21">
      <c r="A21" s="5" t="inlineStr">
        <is>
          <t>Other equity movements, net</t>
        </is>
      </c>
      <c r="B21" s="5" t="n">
        <v>-150000</v>
      </c>
      <c r="C21" s="5" t="n">
        <v>-100000</v>
      </c>
      <c r="D21" s="5" t="n">
        <v>-100000</v>
      </c>
      <c r="E21" s="5" t="n">
        <v>-300000</v>
      </c>
      <c r="F21" s="5" t="n"/>
      <c r="Y21" t="inlineStr">
        <is>
          <t>Other equity movements, net</t>
        </is>
      </c>
      <c r="AA21" t="n">
        <v>-300000</v>
      </c>
      <c r="AB21" t="n">
        <v>-100000</v>
      </c>
      <c r="AC21" t="n">
        <v>-100000</v>
      </c>
      <c r="AD21" t="n">
        <v>-150000</v>
      </c>
    </row>
    <row r="22">
      <c r="A22" s="5" t="inlineStr">
        <is>
          <t>Closing equity</t>
        </is>
      </c>
      <c r="B22" s="5" t="n">
        <v>334783</v>
      </c>
      <c r="C22" s="5" t="n">
        <v>397249</v>
      </c>
      <c r="D22" s="5" t="n">
        <v>375661</v>
      </c>
      <c r="E22" s="5" t="n">
        <v>353176</v>
      </c>
      <c r="F22" s="5" t="n">
        <v>604045</v>
      </c>
      <c r="Y22" t="inlineStr">
        <is>
          <t>Closing equity</t>
        </is>
      </c>
      <c r="Z22" t="n">
        <v>604045</v>
      </c>
      <c r="AA22" t="n">
        <v>353176</v>
      </c>
      <c r="AB22" t="n">
        <v>375661</v>
      </c>
      <c r="AC22" t="n">
        <v>397249</v>
      </c>
      <c r="AD22" t="n">
        <v>334783</v>
      </c>
    </row>
    <row r="24">
      <c r="A24" s="3" t="inlineStr">
        <is>
          <t>Cash Flow Summary (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in)/generated from operating activities</t>
        </is>
      </c>
      <c r="B26" s="5" t="n"/>
      <c r="C26" s="5" t="n">
        <v>258187</v>
      </c>
      <c r="D26" s="5" t="n">
        <v>-184058</v>
      </c>
      <c r="E26" s="5" t="n">
        <v>832547</v>
      </c>
      <c r="F26" s="5" t="n">
        <v>-200379</v>
      </c>
      <c r="AG26" t="inlineStr">
        <is>
          <t>Net cash (used in)/generated from operating activities</t>
        </is>
      </c>
      <c r="AH26" t="n">
        <v>-200379</v>
      </c>
      <c r="AI26" t="n">
        <v>832547</v>
      </c>
      <c r="AJ26" t="n">
        <v>-184058</v>
      </c>
      <c r="AK26" t="n">
        <v>258187</v>
      </c>
    </row>
    <row r="27">
      <c r="A27" s="5" t="inlineStr">
        <is>
          <t>Cash used in investing activities</t>
        </is>
      </c>
      <c r="B27" s="5" t="n"/>
      <c r="C27" s="5" t="n">
        <v>0</v>
      </c>
      <c r="D27" s="5" t="n">
        <v>-393</v>
      </c>
      <c r="E27" s="5" t="n">
        <v>0</v>
      </c>
      <c r="F27" s="5" t="n"/>
      <c r="AG27" t="inlineStr">
        <is>
          <t>Cash used in investing activities</t>
        </is>
      </c>
      <c r="AI27" t="n">
        <v>0</v>
      </c>
      <c r="AJ27" t="n">
        <v>-393</v>
      </c>
      <c r="AK27" t="n">
        <v>0</v>
      </c>
    </row>
    <row r="28">
      <c r="A28" s="5" t="inlineStr">
        <is>
          <t>Closing cash and cash equivalents</t>
        </is>
      </c>
      <c r="B28" s="5" t="n"/>
      <c r="C28" s="5" t="n">
        <v>5540507</v>
      </c>
      <c r="D28" s="5" t="n">
        <v>5383852</v>
      </c>
      <c r="E28" s="5" t="n">
        <v>5671848</v>
      </c>
      <c r="F28" s="5" t="n">
        <v>5128808</v>
      </c>
      <c r="AG28" t="inlineStr">
        <is>
          <t>Closing cash and cash equivalents</t>
        </is>
      </c>
      <c r="AH28" t="n">
        <v>5128808</v>
      </c>
      <c r="AI28" t="n">
        <v>5671848</v>
      </c>
      <c r="AJ28" t="n">
        <v>5383852</v>
      </c>
      <c r="AK28" t="n">
        <v>5540507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78.20%</t>
        </is>
      </c>
      <c r="C32" s="6" t="inlineStr">
        <is>
          <t>98.74%</t>
        </is>
      </c>
      <c r="D32" s="6" t="inlineStr">
        <is>
          <t>122.8%</t>
        </is>
      </c>
      <c r="E32" s="6" t="inlineStr">
        <is>
          <t>246.5%</t>
        </is>
      </c>
      <c r="F32" s="6" t="n"/>
    </row>
    <row r="33">
      <c r="A33" s="6" t="inlineStr">
        <is>
          <t>Total Capital Ratio</t>
        </is>
      </c>
      <c r="B33" s="6" t="inlineStr">
        <is>
          <t>78.20%</t>
        </is>
      </c>
      <c r="C33" s="6" t="inlineStr">
        <is>
          <t>98.74%</t>
        </is>
      </c>
      <c r="D33" s="6" t="inlineStr">
        <is>
          <t>122.8%</t>
        </is>
      </c>
      <c r="E33" s="6" t="inlineStr">
        <is>
          <t>246.5%</t>
        </is>
      </c>
      <c r="F33" s="6" t="n"/>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Balance Sheet</t>
        </is>
      </c>
    </row>
    <row r="2">
      <c r="A2" s="2" t="inlineStr">
        <is>
          <t>Entity basis, £'000. No customer loans in any year - see Asset Quality sheet.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other balances at central banks</t>
        </is>
      </c>
      <c r="B5" s="6" t="n">
        <v>39583</v>
      </c>
      <c r="C5" s="6" t="n"/>
      <c r="D5" s="6" t="n"/>
      <c r="E5" s="6" t="n"/>
      <c r="F5" s="6" t="n"/>
    </row>
    <row r="6">
      <c r="A6" s="6" t="inlineStr">
        <is>
          <t>Loans and advances to banks</t>
        </is>
      </c>
      <c r="B6" s="6" t="n">
        <v>5297136</v>
      </c>
      <c r="C6" s="6" t="n">
        <v>5540507</v>
      </c>
      <c r="D6" s="6" t="n">
        <v>5383852</v>
      </c>
      <c r="E6" s="6" t="n">
        <v>5671848</v>
      </c>
      <c r="F6" s="6" t="n">
        <v>5128808</v>
      </c>
    </row>
    <row r="7">
      <c r="A7" s="6" t="inlineStr">
        <is>
          <t>Loans and advances to customers</t>
        </is>
      </c>
      <c r="B7" s="6" t="n">
        <v>0</v>
      </c>
      <c r="C7" s="6" t="n">
        <v>0</v>
      </c>
      <c r="D7" s="6" t="n">
        <v>0</v>
      </c>
      <c r="E7" s="6" t="n">
        <v>0</v>
      </c>
      <c r="F7" s="6" t="n">
        <v>0</v>
      </c>
    </row>
    <row r="8">
      <c r="A8" s="6" t="inlineStr">
        <is>
          <t>Other assets</t>
        </is>
      </c>
      <c r="B8" s="6" t="n">
        <v>7920</v>
      </c>
      <c r="C8" s="6" t="n">
        <v>9737</v>
      </c>
      <c r="D8" s="6" t="n">
        <v>12783</v>
      </c>
      <c r="E8" s="6" t="n">
        <v>10576</v>
      </c>
      <c r="F8" s="6" t="n">
        <v>170</v>
      </c>
    </row>
    <row r="9">
      <c r="A9" s="6" t="inlineStr">
        <is>
          <t>Goodwill</t>
        </is>
      </c>
      <c r="B9" s="6" t="n">
        <v>30000</v>
      </c>
      <c r="C9" s="6" t="n">
        <v>30000</v>
      </c>
      <c r="D9" s="6" t="n">
        <v>30000</v>
      </c>
      <c r="E9" s="6" t="n">
        <v>30000</v>
      </c>
      <c r="F9" s="6" t="n">
        <v>30000</v>
      </c>
    </row>
    <row r="10">
      <c r="A10" s="6" t="inlineStr">
        <is>
          <t>Intangible assets</t>
        </is>
      </c>
      <c r="B10" s="6" t="n">
        <v>155</v>
      </c>
      <c r="C10" s="6" t="n">
        <v>286</v>
      </c>
      <c r="D10" s="6" t="n">
        <v>3057</v>
      </c>
      <c r="E10" s="6" t="n">
        <v>5569</v>
      </c>
      <c r="F10" s="6" t="n">
        <v>8474</v>
      </c>
    </row>
    <row r="11">
      <c r="A11" s="6" t="inlineStr">
        <is>
          <t>Deferred tax</t>
        </is>
      </c>
      <c r="B11" s="6" t="n">
        <v>8</v>
      </c>
      <c r="C11" s="6" t="n">
        <v>10</v>
      </c>
      <c r="D11" s="6" t="n">
        <v>12</v>
      </c>
      <c r="E11" s="6" t="n">
        <v>15</v>
      </c>
      <c r="F11" s="6" t="n">
        <v>22</v>
      </c>
    </row>
    <row r="12">
      <c r="A12" s="6" t="inlineStr">
        <is>
          <t>Property, plant and equipment</t>
        </is>
      </c>
      <c r="B12" s="6" t="n">
        <v>6</v>
      </c>
      <c r="C12" s="6" t="n">
        <v>6</v>
      </c>
      <c r="D12" s="6" t="n">
        <v>6</v>
      </c>
      <c r="E12" s="6" t="n">
        <v>6</v>
      </c>
      <c r="F12" s="6" t="n">
        <v>6</v>
      </c>
    </row>
    <row r="13">
      <c r="A13" s="5" t="inlineStr">
        <is>
          <t>Total assets</t>
        </is>
      </c>
      <c r="B13" s="5" t="n">
        <v>5374808</v>
      </c>
      <c r="C13" s="5" t="n">
        <v>5580546</v>
      </c>
      <c r="D13" s="5" t="n">
        <v>5429710</v>
      </c>
      <c r="E13" s="5" t="n">
        <v>5718014</v>
      </c>
      <c r="F13" s="5" t="n">
        <v>5167480</v>
      </c>
    </row>
    <row r="14">
      <c r="A14" s="5" t="inlineStr">
        <is>
          <t>Liabilities</t>
        </is>
      </c>
      <c r="B14" s="6" t="n"/>
      <c r="C14" s="6" t="n"/>
      <c r="D14" s="6" t="n"/>
      <c r="E14" s="6" t="n"/>
      <c r="F14" s="6" t="n"/>
    </row>
    <row r="15">
      <c r="A15" s="6" t="inlineStr">
        <is>
          <t>Deposits by banks</t>
        </is>
      </c>
      <c r="B15" s="6" t="n">
        <v>6652</v>
      </c>
      <c r="C15" s="6" t="n">
        <v>5902</v>
      </c>
      <c r="D15" s="6" t="n">
        <v>3082</v>
      </c>
      <c r="E15" s="6" t="n">
        <v>505</v>
      </c>
      <c r="F15" s="6" t="n">
        <v>2783</v>
      </c>
    </row>
    <row r="16">
      <c r="A16" s="6" t="inlineStr">
        <is>
          <t>Customer accounts</t>
        </is>
      </c>
      <c r="B16" s="6" t="n">
        <v>4964597</v>
      </c>
      <c r="C16" s="6" t="n">
        <v>5112126</v>
      </c>
      <c r="D16" s="6" t="n">
        <v>4978130</v>
      </c>
      <c r="E16" s="6" t="n">
        <v>5326931</v>
      </c>
      <c r="F16" s="6" t="n">
        <v>4544224</v>
      </c>
    </row>
    <row r="17">
      <c r="A17" s="6" t="inlineStr">
        <is>
          <t>Amounts due to group companies</t>
        </is>
      </c>
      <c r="B17" s="6" t="n">
        <v>14660</v>
      </c>
      <c r="C17" s="6" t="n">
        <v>10168</v>
      </c>
      <c r="D17" s="6" t="n">
        <v>8432</v>
      </c>
      <c r="E17" s="6" t="n">
        <v>6359</v>
      </c>
      <c r="F17" s="6" t="n">
        <v>1873</v>
      </c>
    </row>
    <row r="18">
      <c r="A18" s="6" t="inlineStr">
        <is>
          <t>Other liabilities</t>
        </is>
      </c>
      <c r="B18" s="6" t="n">
        <v>20076</v>
      </c>
      <c r="C18" s="6" t="n">
        <v>7816</v>
      </c>
      <c r="D18" s="6" t="n">
        <v>17363</v>
      </c>
      <c r="E18" s="6" t="n">
        <v>12873</v>
      </c>
      <c r="F18" s="6" t="n">
        <v>3932</v>
      </c>
    </row>
    <row r="19">
      <c r="A19" s="6" t="inlineStr">
        <is>
          <t>Current tax</t>
        </is>
      </c>
      <c r="B19" s="6" t="n">
        <v>34040</v>
      </c>
      <c r="C19" s="6" t="n">
        <v>47285</v>
      </c>
      <c r="D19" s="6" t="n">
        <v>47042</v>
      </c>
      <c r="E19" s="6" t="n">
        <v>18170</v>
      </c>
      <c r="F19" s="6" t="n">
        <v>10623</v>
      </c>
    </row>
    <row r="20">
      <c r="A20" s="5" t="inlineStr">
        <is>
          <t>Total liabilities</t>
        </is>
      </c>
      <c r="B20" s="5" t="n">
        <v>5040025</v>
      </c>
      <c r="C20" s="5" t="n">
        <v>5183297</v>
      </c>
      <c r="D20" s="5" t="n">
        <v>5054049</v>
      </c>
      <c r="E20" s="5" t="n">
        <v>5364838</v>
      </c>
      <c r="F20" s="5" t="n">
        <v>4563435</v>
      </c>
    </row>
    <row r="21">
      <c r="A21" s="5" t="inlineStr">
        <is>
          <t>Equity</t>
        </is>
      </c>
      <c r="B21" s="6" t="n"/>
      <c r="C21" s="6" t="n"/>
      <c r="D21" s="6" t="n"/>
      <c r="E21" s="6" t="n"/>
      <c r="F21" s="6" t="n"/>
    </row>
    <row r="22">
      <c r="A22" s="6" t="inlineStr">
        <is>
          <t>Share capital</t>
        </is>
      </c>
      <c r="B22" s="6" t="n">
        <v>100000</v>
      </c>
      <c r="C22" s="6" t="n">
        <v>100000</v>
      </c>
      <c r="D22" s="6" t="n">
        <v>100000</v>
      </c>
      <c r="E22" s="6" t="n">
        <v>100000</v>
      </c>
      <c r="F22" s="6" t="n">
        <v>100000</v>
      </c>
    </row>
    <row r="23">
      <c r="A23" s="6" t="inlineStr">
        <is>
          <t>Share premium</t>
        </is>
      </c>
      <c r="B23" s="6" t="n">
        <v>2950</v>
      </c>
      <c r="C23" s="6" t="n">
        <v>2950</v>
      </c>
      <c r="D23" s="6" t="n">
        <v>2950</v>
      </c>
      <c r="E23" s="6" t="n">
        <v>2950</v>
      </c>
      <c r="F23" s="6" t="n">
        <v>2950</v>
      </c>
    </row>
    <row r="24">
      <c r="A24" s="6" t="inlineStr">
        <is>
          <t>Retained earnings</t>
        </is>
      </c>
      <c r="B24" s="6" t="n">
        <v>231833</v>
      </c>
      <c r="C24" s="6" t="n">
        <v>294299</v>
      </c>
      <c r="D24" s="6" t="n">
        <v>272711</v>
      </c>
      <c r="E24" s="6" t="n">
        <v>250226</v>
      </c>
      <c r="F24" s="6" t="n">
        <v>501095</v>
      </c>
    </row>
    <row r="25">
      <c r="A25" s="5" t="inlineStr">
        <is>
          <t>Total equity</t>
        </is>
      </c>
      <c r="B25" s="5" t="n">
        <v>334783</v>
      </c>
      <c r="C25" s="5" t="n">
        <v>397249</v>
      </c>
      <c r="D25" s="5" t="n">
        <v>375661</v>
      </c>
      <c r="E25" s="5" t="n">
        <v>353176</v>
      </c>
      <c r="F25" s="5" t="n">
        <v>604045</v>
      </c>
    </row>
    <row r="26">
      <c r="A26" s="5" t="inlineStr">
        <is>
          <t>Total liabilities and equity</t>
        </is>
      </c>
      <c r="B26" s="5" t="n">
        <v>5374808</v>
      </c>
      <c r="C26" s="5" t="n">
        <v>5580546</v>
      </c>
      <c r="D26" s="5" t="n">
        <v>5429710</v>
      </c>
      <c r="E26" s="5" t="n">
        <v>5718014</v>
      </c>
      <c r="F26" s="5" t="n">
        <v>5167480</v>
      </c>
    </row>
    <row r="28" ht="340" customHeight="1">
      <c r="A28"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own filing discloses only a single aggregate operating cash flow figure (no trading-activities/working-capital breakdown, no investing/financing sections) - this is the source's own presentation for that year, not a gap. FY2022-FY2024 (sourced from the FY2023 and FY2024 filings, whose comparative/current columns cross-check exactly) use a fuller breakdown. Blank cells on the more granular rows for FY2021 reflect this genuine presentation difference; the year's one available total is placed on the 'Net cash (used in)/generated from operating activities' row.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Profit &amp; Loss</t>
        </is>
      </c>
    </row>
    <row r="2">
      <c r="A2" s="2" t="inlineStr">
        <is>
          <t>Entity basis, £'000. No OCI in any year - profit for the year equals total comprehensive income every year (per the Company's own disclosure).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236408</v>
      </c>
      <c r="C5" s="6" t="n">
        <v>291425</v>
      </c>
      <c r="D5" s="6" t="n">
        <v>259964</v>
      </c>
      <c r="E5" s="6" t="n">
        <v>102326</v>
      </c>
      <c r="F5" s="6" t="n">
        <v>57544</v>
      </c>
    </row>
    <row r="6">
      <c r="A6" s="6" t="inlineStr">
        <is>
          <t>Interest expense and similar charges</t>
        </is>
      </c>
      <c r="B6" s="6" t="n">
        <v>-87134</v>
      </c>
      <c r="C6" s="6" t="n">
        <v>-94933</v>
      </c>
      <c r="D6" s="6" t="n">
        <v>-66912</v>
      </c>
      <c r="E6" s="6" t="n">
        <v>-14546</v>
      </c>
      <c r="F6" s="6" t="n">
        <v>-3162</v>
      </c>
    </row>
    <row r="7">
      <c r="A7" s="5" t="inlineStr">
        <is>
          <t>Net interest income</t>
        </is>
      </c>
      <c r="B7" s="5" t="n">
        <v>149274</v>
      </c>
      <c r="C7" s="5" t="n">
        <v>196492</v>
      </c>
      <c r="D7" s="5" t="n">
        <v>193052</v>
      </c>
      <c r="E7" s="5" t="n">
        <v>87780</v>
      </c>
      <c r="F7" s="5" t="n">
        <v>54382</v>
      </c>
    </row>
    <row r="8">
      <c r="A8" s="6" t="inlineStr">
        <is>
          <t>Fee and commission income</t>
        </is>
      </c>
      <c r="B8" s="6" t="n">
        <v>2487</v>
      </c>
      <c r="C8" s="6" t="n">
        <v>3036</v>
      </c>
      <c r="D8" s="6" t="n">
        <v>2666</v>
      </c>
      <c r="E8" s="6" t="n">
        <v>3348</v>
      </c>
      <c r="F8" s="6" t="n">
        <v>3147</v>
      </c>
    </row>
    <row r="9">
      <c r="A9" s="6" t="inlineStr">
        <is>
          <t>Fee and commission expense</t>
        </is>
      </c>
      <c r="B9" s="6" t="n">
        <v>-4949</v>
      </c>
      <c r="C9" s="6" t="n">
        <v>-4369</v>
      </c>
      <c r="D9" s="6" t="n">
        <v>-2530</v>
      </c>
      <c r="E9" s="6" t="n">
        <v>-1811</v>
      </c>
      <c r="F9" s="6" t="n">
        <v>-2113</v>
      </c>
    </row>
    <row r="10">
      <c r="A10" s="5" t="inlineStr">
        <is>
          <t>Net fee and commission income/(expense)</t>
        </is>
      </c>
      <c r="B10" s="5" t="n">
        <v>-2462</v>
      </c>
      <c r="C10" s="5" t="n">
        <v>-1333</v>
      </c>
      <c r="D10" s="5" t="n">
        <v>136</v>
      </c>
      <c r="E10" s="5" t="n">
        <v>1537</v>
      </c>
      <c r="F10" s="5" t="n">
        <v>1034</v>
      </c>
    </row>
    <row r="11">
      <c r="A11" s="6" t="inlineStr">
        <is>
          <t>Other operating result</t>
        </is>
      </c>
      <c r="B11" s="6" t="n"/>
      <c r="C11" s="6" t="n"/>
      <c r="D11" s="6" t="n"/>
      <c r="E11" s="6" t="n"/>
      <c r="F11" s="6" t="n">
        <v>479</v>
      </c>
    </row>
    <row r="12">
      <c r="A12" s="5" t="inlineStr">
        <is>
          <t>Total income</t>
        </is>
      </c>
      <c r="B12" s="5" t="n">
        <v>146812</v>
      </c>
      <c r="C12" s="5" t="n">
        <v>195159</v>
      </c>
      <c r="D12" s="5" t="n">
        <v>193188</v>
      </c>
      <c r="E12" s="5" t="n">
        <v>89317</v>
      </c>
      <c r="F12" s="5" t="n">
        <v>55895</v>
      </c>
    </row>
    <row r="13">
      <c r="A13" s="5" t="inlineStr">
        <is>
          <t>Expenses</t>
        </is>
      </c>
      <c r="B13" s="6" t="n"/>
      <c r="C13" s="6" t="n"/>
      <c r="D13" s="6" t="n"/>
      <c r="E13" s="6" t="n"/>
      <c r="F13" s="6" t="n"/>
    </row>
    <row r="14">
      <c r="A14" s="6" t="inlineStr">
        <is>
          <t>Operating expenses</t>
        </is>
      </c>
      <c r="B14" s="6" t="n">
        <v>-25236</v>
      </c>
      <c r="C14" s="6" t="n">
        <v>-23506</v>
      </c>
      <c r="D14" s="6" t="n">
        <v>-20754</v>
      </c>
      <c r="E14" s="6" t="n">
        <v>-19105</v>
      </c>
      <c r="F14" s="6" t="n">
        <v>-13632</v>
      </c>
    </row>
    <row r="15">
      <c r="A15" s="6" t="inlineStr">
        <is>
          <t>Amortisation of intangible assets</t>
        </is>
      </c>
      <c r="B15" s="6" t="n"/>
      <c r="C15" s="6" t="n">
        <v>-2771</v>
      </c>
      <c r="D15" s="6" t="n">
        <v>-2905</v>
      </c>
      <c r="E15" s="6" t="n">
        <v>-2905</v>
      </c>
      <c r="F15" s="6" t="n">
        <v>-2905</v>
      </c>
    </row>
    <row r="16">
      <c r="A16" s="5" t="inlineStr">
        <is>
          <t>Profit before tax</t>
        </is>
      </c>
      <c r="B16" s="5" t="n">
        <v>121576</v>
      </c>
      <c r="C16" s="5" t="n">
        <v>168882</v>
      </c>
      <c r="D16" s="5" t="n">
        <v>169529</v>
      </c>
      <c r="E16" s="5" t="n">
        <v>67307</v>
      </c>
      <c r="F16" s="5" t="n">
        <v>39358</v>
      </c>
    </row>
    <row r="17">
      <c r="A17" s="6" t="inlineStr">
        <is>
          <t>Tax on profit</t>
        </is>
      </c>
      <c r="B17" s="6" t="n">
        <v>-34042</v>
      </c>
      <c r="C17" s="6" t="n">
        <v>-47294</v>
      </c>
      <c r="D17" s="6" t="n">
        <v>-47044</v>
      </c>
      <c r="E17" s="6" t="n">
        <v>-18176</v>
      </c>
      <c r="F17" s="6" t="n">
        <v>-10623</v>
      </c>
    </row>
    <row r="18">
      <c r="A18" s="5" t="inlineStr">
        <is>
          <t>Profit for the year after tax</t>
        </is>
      </c>
      <c r="B18" s="5" t="n">
        <v>87534</v>
      </c>
      <c r="C18" s="5" t="n">
        <v>121588</v>
      </c>
      <c r="D18" s="5" t="n">
        <v>122485</v>
      </c>
      <c r="E18" s="5" t="n">
        <v>49131</v>
      </c>
      <c r="F18" s="5" t="n">
        <v>28735</v>
      </c>
    </row>
    <row r="19">
      <c r="A19" s="5" t="inlineStr">
        <is>
          <t>Total comprehensive income for the year, net of tax</t>
        </is>
      </c>
      <c r="B19" s="5" t="n">
        <v>87534</v>
      </c>
      <c r="C19" s="5" t="n">
        <v>121588</v>
      </c>
      <c r="D19" s="5" t="n">
        <v>122485</v>
      </c>
      <c r="E19" s="5" t="n">
        <v>49131</v>
      </c>
      <c r="F19" s="5" t="n">
        <v>28735</v>
      </c>
    </row>
    <row r="21" ht="340" customHeight="1">
      <c r="A21"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own filing discloses only a single aggregate operating cash flow figure (no trading-activities/working-capital breakdown, no investing/financing sections) - this is the source's own presentation for that year, not a gap. FY2022-FY2024 (sourced from the FY2023 and FY2024 filings, whose comparative/current columns cross-check exactly) use a fuller breakdown. Blank cells on the more granular rows for FY2021 reflect this genuine presentation difference; the year's one available total is placed on the 'Net cash (used in)/generated from operating activities' row.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Cater Allen Limited — Statement of Changes in Equity</t>
        </is>
      </c>
    </row>
    <row r="2">
      <c r="A2" s="2" t="inlineStr">
        <is>
          <t>Entity basis, £'000, chronological (oldest to newest). See source note at bottom.</t>
        </is>
      </c>
    </row>
    <row r="3">
      <c r="A3" s="4" t="inlineStr">
        <is>
          <t>Movement</t>
        </is>
      </c>
      <c r="B3" s="4" t="inlineStr">
        <is>
          <t>Share capital</t>
        </is>
      </c>
      <c r="C3" s="4" t="inlineStr">
        <is>
          <t>Share premium</t>
        </is>
      </c>
      <c r="D3" s="4" t="inlineStr">
        <is>
          <t>Retained earnings</t>
        </is>
      </c>
      <c r="E3" s="4" t="inlineStr">
        <is>
          <t>Total</t>
        </is>
      </c>
    </row>
    <row r="4">
      <c r="A4" s="5" t="inlineStr">
        <is>
          <t>At 1 January 2021</t>
        </is>
      </c>
      <c r="B4" s="5" t="n">
        <v>100000</v>
      </c>
      <c r="C4" s="5" t="n">
        <v>2950</v>
      </c>
      <c r="D4" s="5" t="n">
        <v>472360</v>
      </c>
      <c r="E4" s="5" t="n">
        <v>575310</v>
      </c>
    </row>
    <row r="5">
      <c r="A5" s="6" t="inlineStr">
        <is>
          <t>Profit and total comprehensive income for the year</t>
        </is>
      </c>
      <c r="B5" s="6" t="n"/>
      <c r="C5" s="6" t="n"/>
      <c r="D5" s="6" t="n">
        <v>28735</v>
      </c>
      <c r="E5" s="6" t="n">
        <v>28735</v>
      </c>
    </row>
    <row r="6">
      <c r="A6" s="5" t="inlineStr">
        <is>
          <t>At 31 December 2021</t>
        </is>
      </c>
      <c r="B6" s="5" t="n">
        <v>100000</v>
      </c>
      <c r="C6" s="5" t="n">
        <v>2950</v>
      </c>
      <c r="D6" s="5" t="n">
        <v>501095</v>
      </c>
      <c r="E6" s="5" t="n">
        <v>604045</v>
      </c>
    </row>
    <row r="7">
      <c r="A7" s="6" t="inlineStr">
        <is>
          <t>Dividend paid</t>
        </is>
      </c>
      <c r="B7" s="6" t="n"/>
      <c r="C7" s="6" t="n"/>
      <c r="D7" s="6" t="n">
        <v>-300000</v>
      </c>
      <c r="E7" s="6" t="n">
        <v>-300000</v>
      </c>
    </row>
    <row r="8">
      <c r="A8" s="6" t="inlineStr">
        <is>
          <t>Profit and total comprehensive income for the year</t>
        </is>
      </c>
      <c r="B8" s="6" t="n"/>
      <c r="C8" s="6" t="n"/>
      <c r="D8" s="6" t="n">
        <v>49131</v>
      </c>
      <c r="E8" s="6" t="n">
        <v>49131</v>
      </c>
    </row>
    <row r="9">
      <c r="A9" s="5" t="inlineStr">
        <is>
          <t>At 31 December 2022</t>
        </is>
      </c>
      <c r="B9" s="5" t="n">
        <v>100000</v>
      </c>
      <c r="C9" s="5" t="n">
        <v>2950</v>
      </c>
      <c r="D9" s="5" t="n">
        <v>250226</v>
      </c>
      <c r="E9" s="5" t="n">
        <v>353176</v>
      </c>
    </row>
    <row r="10">
      <c r="A10" s="6" t="inlineStr">
        <is>
          <t>Dividend paid</t>
        </is>
      </c>
      <c r="B10" s="6" t="n"/>
      <c r="C10" s="6" t="n"/>
      <c r="D10" s="6" t="n">
        <v>-100000</v>
      </c>
      <c r="E10" s="6" t="n">
        <v>-100000</v>
      </c>
    </row>
    <row r="11">
      <c r="A11" s="6" t="inlineStr">
        <is>
          <t>Profit and total comprehensive income for the year</t>
        </is>
      </c>
      <c r="B11" s="6" t="n"/>
      <c r="C11" s="6" t="n"/>
      <c r="D11" s="6" t="n">
        <v>122485</v>
      </c>
      <c r="E11" s="6" t="n">
        <v>122485</v>
      </c>
    </row>
    <row r="12">
      <c r="A12" s="5" t="inlineStr">
        <is>
          <t>At 31 December 2023</t>
        </is>
      </c>
      <c r="B12" s="5" t="n">
        <v>100000</v>
      </c>
      <c r="C12" s="5" t="n">
        <v>2950</v>
      </c>
      <c r="D12" s="5" t="n">
        <v>272711</v>
      </c>
      <c r="E12" s="5" t="n">
        <v>375661</v>
      </c>
    </row>
    <row r="13">
      <c r="A13" s="6" t="inlineStr">
        <is>
          <t>Dividend paid</t>
        </is>
      </c>
      <c r="B13" s="6" t="n"/>
      <c r="C13" s="6" t="n"/>
      <c r="D13" s="6" t="n">
        <v>-100000</v>
      </c>
      <c r="E13" s="6" t="n">
        <v>-100000</v>
      </c>
    </row>
    <row r="14">
      <c r="A14" s="6" t="inlineStr">
        <is>
          <t>Profit and total comprehensive income for the year</t>
        </is>
      </c>
      <c r="B14" s="6" t="n"/>
      <c r="C14" s="6" t="n"/>
      <c r="D14" s="6" t="n">
        <v>121588</v>
      </c>
      <c r="E14" s="6" t="n">
        <v>121588</v>
      </c>
    </row>
    <row r="15">
      <c r="A15" s="5" t="inlineStr">
        <is>
          <t>At 31 December 2024</t>
        </is>
      </c>
      <c r="B15" s="5" t="n">
        <v>100000</v>
      </c>
      <c r="C15" s="5" t="n">
        <v>2950</v>
      </c>
      <c r="D15" s="5" t="n">
        <v>294299</v>
      </c>
      <c r="E15" s="5" t="n">
        <v>397249</v>
      </c>
    </row>
    <row r="16">
      <c r="A16" s="6" t="inlineStr">
        <is>
          <t>Dividend paid</t>
        </is>
      </c>
      <c r="B16" s="6" t="n"/>
      <c r="C16" s="6" t="n"/>
      <c r="D16" s="6" t="n">
        <v>-150000</v>
      </c>
      <c r="E16" s="6" t="n">
        <v>-150000</v>
      </c>
    </row>
    <row r="17">
      <c r="A17" s="6" t="inlineStr">
        <is>
          <t>Profit and total comprehensive income for the year</t>
        </is>
      </c>
      <c r="B17" s="6" t="n"/>
      <c r="C17" s="6" t="n"/>
      <c r="D17" s="6" t="n">
        <v>87534</v>
      </c>
      <c r="E17" s="6" t="n">
        <v>87534</v>
      </c>
    </row>
    <row r="18">
      <c r="A18" s="5" t="inlineStr">
        <is>
          <t>At 31 December 2025</t>
        </is>
      </c>
      <c r="B18" s="5" t="n">
        <v>100000</v>
      </c>
      <c r="C18" s="5" t="n">
        <v>2950</v>
      </c>
      <c r="D18" s="5" t="n">
        <v>231833</v>
      </c>
      <c r="E18" s="5" t="n">
        <v>334783</v>
      </c>
    </row>
    <row r="20" ht="340" customHeight="1">
      <c r="A20"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own filing discloses only a single aggregate operating cash flow figure (no trading-activities/working-capital breakdown, no investing/financing sections) - this is the source's own presentation for that year, not a gap. FY2022-FY2024 (sourced from the FY2023 and FY2024 filings, whose comparative/current columns cross-check exactly) use a fuller breakdown. Blank cells on the more granular rows for FY2021 reflect this genuine presentation difference; the year's one available total is placed on the 'Net cash (used in)/generated from operating activities' row.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0:E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Cater Allen Limited — Cash Flow Statement</t>
        </is>
      </c>
    </row>
    <row r="2">
      <c r="A2" s="2" t="inlineStr">
        <is>
          <t>Entity basis, £'000. FY2025 not applicable — FRS 101 cash-flow exemption newly taken. See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 before tax</t>
        </is>
      </c>
      <c r="B5" s="6" t="n"/>
      <c r="C5" s="6" t="n">
        <v>168882</v>
      </c>
      <c r="D5" s="6" t="n">
        <v>169529</v>
      </c>
      <c r="E5" s="6" t="n">
        <v>67307</v>
      </c>
      <c r="F5" s="6" t="n"/>
    </row>
    <row r="6">
      <c r="A6" s="6" t="inlineStr">
        <is>
          <t>Effect of foreign exchange rates on loans and advances to banks</t>
        </is>
      </c>
      <c r="B6" s="6" t="n"/>
      <c r="C6" s="6" t="n">
        <v>-81</v>
      </c>
      <c r="D6" s="6" t="n">
        <v>3545</v>
      </c>
      <c r="E6" s="6" t="n">
        <v>-10493</v>
      </c>
      <c r="F6" s="6" t="n"/>
    </row>
    <row r="7">
      <c r="A7" s="6" t="inlineStr">
        <is>
          <t>Amortisation of intangible assets</t>
        </is>
      </c>
      <c r="B7" s="6" t="n"/>
      <c r="C7" s="6" t="n">
        <v>2771</v>
      </c>
      <c r="D7" s="6" t="n">
        <v>2905</v>
      </c>
      <c r="E7" s="6" t="n">
        <v>2905</v>
      </c>
      <c r="F7" s="6" t="n"/>
    </row>
    <row r="8">
      <c r="A8" s="6" t="inlineStr">
        <is>
          <t>Impairment reversal</t>
        </is>
      </c>
      <c r="B8" s="6" t="n"/>
      <c r="C8" s="6" t="n"/>
      <c r="D8" s="6" t="n"/>
      <c r="E8" s="6" t="n">
        <v>-35</v>
      </c>
      <c r="F8" s="6" t="n"/>
    </row>
    <row r="9">
      <c r="A9" s="5" t="inlineStr">
        <is>
          <t>Net cash flow from trading activities</t>
        </is>
      </c>
      <c r="B9" s="5" t="n"/>
      <c r="C9" s="5" t="n">
        <v>171572</v>
      </c>
      <c r="D9" s="5" t="n">
        <v>175979</v>
      </c>
      <c r="E9" s="5" t="n">
        <v>59684</v>
      </c>
      <c r="F9" s="5" t="n"/>
    </row>
    <row r="10">
      <c r="A10" s="6" t="inlineStr">
        <is>
          <t>Decrease in loans and advances to customers</t>
        </is>
      </c>
      <c r="B10" s="6" t="n"/>
      <c r="C10" s="6" t="n"/>
      <c r="D10" s="6" t="n"/>
      <c r="E10" s="6" t="n">
        <v>35</v>
      </c>
      <c r="F10" s="6" t="n"/>
    </row>
    <row r="11">
      <c r="A11" s="6" t="inlineStr">
        <is>
          <t>Decrease/(increase) in other assets</t>
        </is>
      </c>
      <c r="B11" s="6" t="n"/>
      <c r="C11" s="6" t="n">
        <v>3044</v>
      </c>
      <c r="D11" s="6" t="n">
        <v>-2207</v>
      </c>
      <c r="E11" s="6" t="n">
        <v>-10406</v>
      </c>
      <c r="F11" s="6" t="n"/>
    </row>
    <row r="12">
      <c r="A12" s="6" t="inlineStr">
        <is>
          <t>Increase/(decrease) in customer accounts</t>
        </is>
      </c>
      <c r="B12" s="6" t="n"/>
      <c r="C12" s="6" t="n">
        <v>135483</v>
      </c>
      <c r="D12" s="6" t="n">
        <v>-348801</v>
      </c>
      <c r="E12" s="6" t="n">
        <v>782202</v>
      </c>
      <c r="F12" s="6" t="n"/>
    </row>
    <row r="13">
      <c r="A13" s="6" t="inlineStr">
        <is>
          <t>Increase/(decrease) in deposits by banks</t>
        </is>
      </c>
      <c r="B13" s="6" t="n"/>
      <c r="C13" s="6" t="n">
        <v>2820</v>
      </c>
      <c r="D13" s="6" t="n">
        <v>2577</v>
      </c>
      <c r="E13" s="6" t="n">
        <v>-1348</v>
      </c>
      <c r="F13" s="6" t="n"/>
    </row>
    <row r="14">
      <c r="A14" s="6" t="inlineStr">
        <is>
          <t>Increase in amounts due to other group companies</t>
        </is>
      </c>
      <c r="B14" s="6" t="n"/>
      <c r="C14" s="6" t="n">
        <v>1736</v>
      </c>
      <c r="D14" s="6" t="n">
        <v>2073</v>
      </c>
      <c r="E14" s="6" t="n">
        <v>4061</v>
      </c>
      <c r="F14" s="6" t="n"/>
    </row>
    <row r="15">
      <c r="A15" s="6" t="inlineStr">
        <is>
          <t>(Decrease)/increase in other liabilities</t>
        </is>
      </c>
      <c r="B15" s="6" t="n"/>
      <c r="C15" s="6" t="n">
        <v>-9420</v>
      </c>
      <c r="D15" s="6" t="n">
        <v>4491</v>
      </c>
      <c r="E15" s="6" t="n">
        <v>8942</v>
      </c>
      <c r="F15" s="6" t="n"/>
    </row>
    <row r="16">
      <c r="A16" s="6" t="inlineStr">
        <is>
          <t>Settlement to Santander UK plc in respect of Corporation Tax</t>
        </is>
      </c>
      <c r="B16" s="6" t="n"/>
      <c r="C16" s="6" t="n">
        <v>-47048</v>
      </c>
      <c r="D16" s="6" t="n">
        <v>-18170</v>
      </c>
      <c r="E16" s="6" t="n">
        <v>-10623</v>
      </c>
      <c r="F16" s="6" t="n"/>
    </row>
    <row r="17">
      <c r="A17" s="5" t="inlineStr">
        <is>
          <t>Net cash (used in)/generated from operating activities</t>
        </is>
      </c>
      <c r="B17" s="5" t="n"/>
      <c r="C17" s="5" t="n">
        <v>258187</v>
      </c>
      <c r="D17" s="5" t="n">
        <v>-184058</v>
      </c>
      <c r="E17" s="5" t="n">
        <v>832547</v>
      </c>
      <c r="F17" s="5" t="n">
        <v>-200379</v>
      </c>
    </row>
    <row r="18">
      <c r="A18" s="5" t="inlineStr">
        <is>
          <t>Investing activities</t>
        </is>
      </c>
      <c r="B18" s="6" t="n"/>
      <c r="C18" s="6" t="n"/>
      <c r="D18" s="6" t="n"/>
      <c r="E18" s="6" t="n"/>
      <c r="F18" s="6" t="n"/>
    </row>
    <row r="19">
      <c r="A19" s="6" t="inlineStr">
        <is>
          <t>Intangible asset work in progress</t>
        </is>
      </c>
      <c r="B19" s="6" t="n"/>
      <c r="C19" s="6" t="n"/>
      <c r="D19" s="6" t="n">
        <v>-393</v>
      </c>
      <c r="E19" s="6" t="n"/>
      <c r="F19" s="6" t="n"/>
    </row>
    <row r="20">
      <c r="A20" s="5" t="inlineStr">
        <is>
          <t>Cash used in investing activities</t>
        </is>
      </c>
      <c r="B20" s="5" t="n"/>
      <c r="C20" s="5" t="n">
        <v>0</v>
      </c>
      <c r="D20" s="5" t="n">
        <v>-393</v>
      </c>
      <c r="E20" s="5" t="n">
        <v>0</v>
      </c>
      <c r="F20" s="5" t="n"/>
    </row>
    <row r="21">
      <c r="A21" s="5" t="inlineStr">
        <is>
          <t>Financing activities</t>
        </is>
      </c>
      <c r="B21" s="6" t="n"/>
      <c r="C21" s="6" t="n"/>
      <c r="D21" s="6" t="n"/>
      <c r="E21" s="6" t="n"/>
      <c r="F21" s="6" t="n"/>
    </row>
    <row r="22">
      <c r="A22" s="6" t="inlineStr">
        <is>
          <t>Dividend paid</t>
        </is>
      </c>
      <c r="B22" s="6" t="n"/>
      <c r="C22" s="6" t="n">
        <v>-100000</v>
      </c>
      <c r="D22" s="6" t="n">
        <v>-100000</v>
      </c>
      <c r="E22" s="6" t="n">
        <v>-300000</v>
      </c>
      <c r="F22" s="6" t="n"/>
    </row>
    <row r="23">
      <c r="A23" s="5" t="inlineStr">
        <is>
          <t>Cash used in financing activities</t>
        </is>
      </c>
      <c r="B23" s="5" t="n"/>
      <c r="C23" s="5" t="n">
        <v>-100000</v>
      </c>
      <c r="D23" s="5" t="n">
        <v>-100000</v>
      </c>
      <c r="E23" s="5" t="n">
        <v>-300000</v>
      </c>
      <c r="F23" s="5" t="n"/>
    </row>
    <row r="24">
      <c r="A24" s="5" t="inlineStr">
        <is>
          <t>Net increase/(decrease) in cash and cash equivalents</t>
        </is>
      </c>
      <c r="B24" s="5" t="n"/>
      <c r="C24" s="5" t="n">
        <v>158187</v>
      </c>
      <c r="D24" s="5" t="n">
        <v>-284451</v>
      </c>
      <c r="E24" s="5" t="n">
        <v>532547</v>
      </c>
      <c r="F24" s="5" t="n">
        <v>-200379</v>
      </c>
    </row>
    <row r="25">
      <c r="A25" s="6" t="inlineStr">
        <is>
          <t>Effect of foreign exchange rates</t>
        </is>
      </c>
      <c r="B25" s="6" t="n"/>
      <c r="C25" s="6" t="n">
        <v>-1532</v>
      </c>
      <c r="D25" s="6" t="n">
        <v>-3545</v>
      </c>
      <c r="E25" s="6" t="n">
        <v>10493</v>
      </c>
      <c r="F25" s="6" t="n"/>
    </row>
    <row r="26">
      <c r="A26" s="6" t="inlineStr">
        <is>
          <t>Opening cash and cash equivalents</t>
        </is>
      </c>
      <c r="B26" s="6" t="n"/>
      <c r="C26" s="6" t="n">
        <v>5383852</v>
      </c>
      <c r="D26" s="6" t="n">
        <v>5671848</v>
      </c>
      <c r="E26" s="6" t="n">
        <v>5128808</v>
      </c>
      <c r="F26" s="6" t="n">
        <v>5329187</v>
      </c>
    </row>
    <row r="27">
      <c r="A27" s="5" t="inlineStr">
        <is>
          <t>Closing cash and cash equivalents</t>
        </is>
      </c>
      <c r="B27" s="5" t="n"/>
      <c r="C27" s="5" t="n">
        <v>5540507</v>
      </c>
      <c r="D27" s="5" t="n">
        <v>5383852</v>
      </c>
      <c r="E27" s="5" t="n">
        <v>5671848</v>
      </c>
      <c r="F27" s="5" t="n">
        <v>5128808</v>
      </c>
    </row>
    <row r="29" ht="320" customHeight="1">
      <c r="A29" s="7" t="inlineStr">
        <is>
          <t>Sources - all figures are Cater Allen Limited's own Cash Flow Statement, GBP'000:
FY2021: Annual Report and Financial Statements 2021, p.14 (Cash Flow Statement) and p.35 (Note 24, reconciliation) - https://find-and-update.company-information.service.gov.uk/company/00383032/filing-history/MzMzODQ2NDUzMWFkaXF6a2N4/document?format=pdf&amp;download=0
FY2022 (restated comparative, used as primary column per project convention): Annual Report and Financial Statements 2023, p.26 (Cash Flow Statement, 2022 restated column) - https://find-and-update.company-information.service.gov.uk/company/00383032/filing-history/MzQyMDI4MDMwNWFkaXF6a2N4/document?format=pdf&amp;download=0
FY2023: Annual Report and Financial Statements 2023, p.26 (Cash Flow Statement) - https://find-and-update.company-information.service.gov.uk/company/00383032/filing-history/MzQyMDI4MDMwNWFkaXF6a2N4/document?format=pdf&amp;download=0
FY2024: Annual Report and Financial Statements 2024, p.27 (Cash Flow Statement) - https://find-and-update.company-information.service.gov.uk/company/00383032/filing-history/MzQ2NDYzNjU4OGFkaXF6a2N4/document?format=pdf&amp;download=0
FY2025: Not applicable - FRS 101 cash-flow exemption newly taken this year. Annual Report and Financial Statements 2025, p.29 (Note 1, Basis of preparation) - https://find-and-update.company-information.service.gov.uk/company/00383032/filing-history/MzUxODk5NjMzM2FkaXF6a2N4/document?format=pdf&amp;download=0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own filing discloses only a single aggregate operating cash flow figure (no trading-activities/working-capital breakdown, no investing/financing sections) - this is the source's own presentation for that year, not a gap. FY2022-FY2024 (sourced from the FY2023 and FY2024 filings, whose comparative/current columns cross-check exactly) use a fuller breakdown. Blank cells on the more granular rows for FY2021 reflect this genuine presentation difference; the year's one available total is placed on the 'Net cash (used in)/generated from operating activities' row.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t>
        </is>
      </c>
    </row>
  </sheetData>
  <mergeCells count="1">
    <mergeCell ref="A29:F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Asset Quality</t>
        </is>
      </c>
    </row>
    <row r="2">
      <c r="A2" s="2" t="inlineStr">
        <is>
          <t>Entity basis, £'000. No loan book; ECL nil in all years.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Loans and advances to customers</t>
        </is>
      </c>
      <c r="B4" s="6" t="n">
        <v>0</v>
      </c>
      <c r="C4" s="6" t="n">
        <v>0</v>
      </c>
      <c r="D4" s="6" t="n">
        <v>0</v>
      </c>
      <c r="E4" s="6" t="n">
        <v>0</v>
      </c>
      <c r="F4" s="6" t="n">
        <v>0</v>
      </c>
    </row>
    <row r="5">
      <c r="A5" s="6" t="inlineStr">
        <is>
          <t>Expected credit loss (ECL) allowance on financial assets at amortised cost</t>
        </is>
      </c>
      <c r="B5" s="6" t="n">
        <v>0</v>
      </c>
      <c r="C5" s="6" t="n">
        <v>0</v>
      </c>
      <c r="D5" s="6" t="n">
        <v>0</v>
      </c>
      <c r="E5" s="6" t="n">
        <v>0</v>
      </c>
      <c r="F5" s="6" t="n">
        <v>0</v>
      </c>
    </row>
    <row r="6">
      <c r="A6" s="6" t="inlineStr">
        <is>
          <t>Write-offs during the year</t>
        </is>
      </c>
      <c r="B6" s="6" t="n">
        <v>0</v>
      </c>
      <c r="C6" s="6" t="n">
        <v>0</v>
      </c>
      <c r="D6" s="6" t="n">
        <v>0</v>
      </c>
      <c r="E6" s="6" t="n">
        <v>0</v>
      </c>
      <c r="F6" s="6" t="n">
        <v>0</v>
      </c>
    </row>
    <row r="8" ht="280" customHeight="1">
      <c r="A8"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own filing discloses only a single aggregate operating cash flow figure (no trading-activities/working-capital breakdown, no investing/financing sections) - this is the source's own presentation for that year, not a gap. FY2022-FY2024 (sourced from the FY2023 and FY2024 filings, whose comparative/current columns cross-check exactly) use a fuller breakdown. Blank cells on the more granular rows for FY2021 reflect this genuine presentation difference; the year's one available total is placed on the 'Net cash (used in)/generated from operating activities' row.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
ASSET QUALITY NOTE: Cater Allen Limited holds no loans and advances to customers in any year (see Balance Sheet - 'Loans and advances to customers' is nil every year 2021-2025). Its financial assets are entirely intercompany placements with, and cash held in accounts operated by, Santander UK plc. Per the Company's own Note 1 'Impairment of financial assets' (confirmed identically worded in the FY2025, FY2024 and FY2023 filings), expected credit losses are assessed on these balances using Santander UK plc's own net asset value and credit ratings, and 'because of these and given the intercompany nature, any probability of default and loss given default is deemed to be nil and thus no ECL is recognised over these balances' - with no write-offs in any year reviewed. This is a genuine structural feature of a deposit-taking bank with no lending book, not a disclosure gap.</t>
        </is>
      </c>
    </row>
  </sheetData>
  <mergeCells count="1">
    <mergeCell ref="A8:F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 (= CET1 Capital)</t>
        </is>
      </c>
      <c r="B4" s="6" t="n">
        <v>217373</v>
      </c>
      <c r="C4" s="6" t="n">
        <v>246095</v>
      </c>
      <c r="D4" s="6" t="n">
        <v>220848</v>
      </c>
      <c r="E4" s="6" t="n">
        <v>268414</v>
      </c>
      <c r="F4" s="6" t="n"/>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 is genuinely not disclosed - the FY2021 Annual Report's KPI table and financial-statement notes predate this project's window's capital-ratio disclosure format and contain no capital-adequacy figures of any kind.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78.20%</t>
        </is>
      </c>
      <c r="C4" s="6" t="inlineStr">
        <is>
          <t>98.74%</t>
        </is>
      </c>
      <c r="D4" s="6" t="inlineStr">
        <is>
          <t>122.8%</t>
        </is>
      </c>
      <c r="E4" s="6" t="inlineStr">
        <is>
          <t>246.5%</t>
        </is>
      </c>
      <c r="F4" s="6" t="n"/>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 is genuinely not disclosed - the FY2021 Annual Report's KPI table and financial-statement notes predate this project's window's capital-ratio disclosure format and contain no capital-adequacy figures of any kind.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Resources</t>
        </is>
      </c>
      <c r="B4" s="6" t="n">
        <v>217373</v>
      </c>
      <c r="C4" s="6" t="n">
        <v>246095</v>
      </c>
      <c r="D4" s="6" t="n">
        <v>220848</v>
      </c>
      <c r="E4" s="6" t="n">
        <v>268414</v>
      </c>
      <c r="F4" s="6" t="n"/>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 is genuinely not disclosed - the FY2021 Annual Report's KPI table and financial-statement notes predate this project's window's capital-ratio disclosure format and contain no capital-adequacy figures of any kind.</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 (= Tier 1 Ratio; no AT1 instruments)</t>
        </is>
      </c>
      <c r="B4" s="6" t="inlineStr">
        <is>
          <t>78.20%</t>
        </is>
      </c>
      <c r="C4" s="6" t="inlineStr">
        <is>
          <t>98.74%</t>
        </is>
      </c>
      <c r="D4" s="6" t="inlineStr">
        <is>
          <t>122.8%</t>
        </is>
      </c>
      <c r="E4" s="6" t="inlineStr">
        <is>
          <t>246.5%</t>
        </is>
      </c>
      <c r="F4" s="6" t="n"/>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 is genuinely not disclosed - the FY2021 Annual Report's KPI table and financial-statement notes predate this project's window's capital-ratio disclosure format and contain no capital-adequacy figures of any kind.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Capital</t>
        </is>
      </c>
    </row>
    <row r="2">
      <c r="A2" s="2" t="inlineStr">
        <is>
          <t>£'000 (= CET1 Capital; no Tier 2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217373</v>
      </c>
      <c r="C4" s="6" t="n">
        <v>246095</v>
      </c>
      <c r="D4" s="6" t="n">
        <v>220848</v>
      </c>
      <c r="E4" s="6" t="n">
        <v>268414</v>
      </c>
      <c r="F4" s="6" t="n"/>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 is genuinely not disclosed - the FY2021 Annual Report's KPI table and financial-statement notes predate this project's window's capital-ratio disclosure format and contain no capital-adequacy figures of any kind.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 (= Total Capital Ratio; no AT1/Tier 2 instruments)</t>
        </is>
      </c>
      <c r="B4" s="6" t="inlineStr">
        <is>
          <t>78.20%</t>
        </is>
      </c>
      <c r="C4" s="6" t="inlineStr">
        <is>
          <t>98.74%</t>
        </is>
      </c>
      <c r="D4" s="6" t="inlineStr">
        <is>
          <t>122.8%</t>
        </is>
      </c>
      <c r="E4" s="6" t="inlineStr">
        <is>
          <t>246.5%</t>
        </is>
      </c>
      <c r="F4" s="6" t="n"/>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 is genuinely not disclosed - the FY2021 Annual Report's KPI table and financial-statement notes predate this project's window's capital-ratio disclosure format and contain no capital-adequacy figures of any kind.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277971</v>
      </c>
      <c r="C4" s="6" t="n">
        <v>249235</v>
      </c>
      <c r="D4" s="6" t="n">
        <v>179844</v>
      </c>
      <c r="E4" s="6" t="n">
        <v>108890</v>
      </c>
      <c r="F4" s="6" t="n"/>
    </row>
    <row r="5" ht="60" customHeight="1">
      <c r="A5" s="8" t="inlineStr">
        <is>
          <t>Note: CALCULATED, not directly disclosed - derived as Total Capital Resources ÷ CET1 capital ratio for each year. No RWA figure appears in any source reviewed.</t>
        </is>
      </c>
    </row>
    <row r="7" ht="22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 is genuinely not disclosed - the FY2021 Annual Report's KPI table and financial-statement notes predate this project's window's capital-ratio disclosure format and contain no capital-adequacy figures of any kind.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Cater Allen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t>
        </is>
      </c>
      <c r="B4" s="6" t="n"/>
      <c r="C4" s="6" t="n"/>
      <c r="D4" s="6" t="n"/>
      <c r="E4" s="6" t="n"/>
      <c r="F4" s="6" t="n"/>
    </row>
    <row r="6" ht="28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 is genuinely not disclosed - the FY2021 Annual Report's KPI table and financial-statement notes predate this project's window's capital-ratio disclosure format and contain no capital-adequacy figures of any kind.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4 years reviewed. No standalone Pillar 3 document exists; liquidity/capital management is described only narratively (managed centrally with Santander UK plc as part of the RFB Domestic Liquidity Sub-Group and the RFB Sub-Group Capital Support Deed).</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4 years reviewed. No standalone Pillar 3 document exists; liquidity/capital management is described only narratively (managed centrally with Santander UK plc as part of the RFB Domestic Liquidity Sub-Group and the RFB Sub-Group Capital Support Deed).</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 is genuinely not disclosed - the FY2021 Annual Report's KPI table and financial-statement notes predate this project's window's capital-ratio disclosure format and contain no capital-adequacy figures of any kind.</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4 years reviewed. No standalone Pillar 3 document exists; liquidity/capital management is described only narratively (managed centrally with Santander UK plc as part of the RFB Domestic Liquidity Sub-Group and the RFB Sub-Group Capital Support Deed).</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 is genuinely not disclosed - the FY2021 Annual Report's KPI table and financial-statement notes predate this project's window's capital-ratio disclosure format and contain no capital-adequacy figures of any kind.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4 years reviewed. No standalone Pillar 3 document exists; liquidity/capital management is described only narratively (managed centrally with Santander UK plc as part of the RFB Domestic Liquidity Sub-Group and the RFB Sub-Group Capital Support Deed).</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 is genuinely not disclosed - the FY2021 Annual Report's KPI table and financial-statement notes predate this project's window's capital-ratio disclosure format and contain no capital-adequacy figures of any kind.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4 years reviewed. No standalone Pillar 3 document exists; liquidity/capital management is described only narratively (managed centrally with Santander UK plc as part of the RFB Domestic Liquidity Sub-Group and the RFB Sub-Group Capital Support Deed).</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 is genuinely not disclosed - the FY2021 Annual Report's KPI table and financial-statement notes predate this project's window's capital-ratio disclosure format and contain no capital-adequacy figures of any kind.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2026-09-02T20:04:47Z</dcterms:created>
  <dcterms:modified xmlns:dcterms="http://purl.org/dc/terms/" xmlns:xsi="http://www.w3.org/2001/XMLSchema-instance" xsi:type="dcterms:W3CDTF">2026-09-02T20:04:47Z</dcterms:modified>
</cp:coreProperties>
</file>