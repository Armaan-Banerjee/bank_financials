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Q6" t="n">
        <v>246.5</v>
      </c>
      <c r="AR6" t="n">
        <v>122.8</v>
      </c>
      <c r="AS6" t="n">
        <v>98.73999999999999</v>
      </c>
      <c r="AT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Q7" t="n">
        <v>246.5</v>
      </c>
      <c r="AR7" t="n">
        <v>122.8</v>
      </c>
      <c r="AS7" t="n">
        <v>98.73999999999999</v>
      </c>
      <c r="AT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78.20%</t>
        </is>
      </c>
      <c r="C32" s="6" t="inlineStr">
        <is>
          <t>98.74%</t>
        </is>
      </c>
      <c r="D32" s="6" t="inlineStr">
        <is>
          <t>122.8%</t>
        </is>
      </c>
      <c r="E32" s="6" t="inlineStr">
        <is>
          <t>246.5%</t>
        </is>
      </c>
      <c r="F32" s="6" t="n"/>
    </row>
    <row r="33">
      <c r="A33" s="6" t="inlineStr">
        <is>
          <t>Total Capital Ratio</t>
        </is>
      </c>
      <c r="B33" s="6" t="inlineStr">
        <is>
          <t>78.20%</t>
        </is>
      </c>
      <c r="C33" s="6" t="inlineStr">
        <is>
          <t>98.74%</t>
        </is>
      </c>
      <c r="D33" s="6" t="inlineStr">
        <is>
          <t>122.8%</t>
        </is>
      </c>
      <c r="E33" s="6" t="inlineStr">
        <is>
          <t>246.5%</t>
        </is>
      </c>
      <c r="F33"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4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4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c r="C5" s="6" t="n">
        <v>168882</v>
      </c>
      <c r="D5" s="6" t="n">
        <v>169529</v>
      </c>
      <c r="E5" s="6" t="n">
        <v>67307</v>
      </c>
      <c r="F5" s="6" t="n">
        <v>39358</v>
      </c>
    </row>
    <row r="6">
      <c r="A6" s="6" t="inlineStr">
        <is>
          <t>Effect of foreign exchange rates on loans and advances to banks</t>
        </is>
      </c>
      <c r="B6" s="6" t="n"/>
      <c r="C6" s="6" t="n">
        <v>-81</v>
      </c>
      <c r="D6" s="6" t="n">
        <v>3545</v>
      </c>
      <c r="E6" s="6" t="n">
        <v>-10493</v>
      </c>
      <c r="F6" s="6" t="n"/>
    </row>
    <row r="7">
      <c r="A7" s="6" t="inlineStr">
        <is>
          <t>Amortisation of intangible assets</t>
        </is>
      </c>
      <c r="B7" s="6" t="n"/>
      <c r="C7" s="6" t="n">
        <v>2771</v>
      </c>
      <c r="D7" s="6" t="n">
        <v>2905</v>
      </c>
      <c r="E7" s="6" t="n">
        <v>2905</v>
      </c>
      <c r="F7" s="6" t="n">
        <v>2905</v>
      </c>
    </row>
    <row r="8">
      <c r="A8" s="6" t="inlineStr">
        <is>
          <t>Impairment reversal</t>
        </is>
      </c>
      <c r="B8" s="6" t="n"/>
      <c r="C8" s="6" t="n"/>
      <c r="D8" s="6" t="n"/>
      <c r="E8" s="6" t="n">
        <v>-35</v>
      </c>
      <c r="F8" s="6" t="n">
        <v>-10</v>
      </c>
    </row>
    <row r="9">
      <c r="A9" s="6" t="inlineStr">
        <is>
          <t>Finance write-backs</t>
        </is>
      </c>
      <c r="B9" s="6" t="n"/>
      <c r="C9" s="6" t="n"/>
      <c r="D9" s="6" t="n"/>
      <c r="E9" s="6" t="n"/>
      <c r="F9" s="6" t="n">
        <v>-479</v>
      </c>
    </row>
    <row r="10">
      <c r="A10" s="5" t="inlineStr">
        <is>
          <t>Net cash flow from trading activities</t>
        </is>
      </c>
      <c r="B10" s="5" t="n"/>
      <c r="C10" s="5" t="n">
        <v>171572</v>
      </c>
      <c r="D10" s="5" t="n">
        <v>175979</v>
      </c>
      <c r="E10" s="5" t="n">
        <v>59684</v>
      </c>
      <c r="F10" s="5" t="n">
        <v>41774</v>
      </c>
    </row>
    <row r="11">
      <c r="A11" s="6" t="inlineStr">
        <is>
          <t>Increase in items in course of transmission by other banks</t>
        </is>
      </c>
      <c r="B11" s="6" t="n"/>
      <c r="C11" s="6" t="n"/>
      <c r="D11" s="6" t="n"/>
      <c r="E11" s="6" t="n"/>
      <c r="F11" s="6" t="n">
        <v>1907</v>
      </c>
    </row>
    <row r="12">
      <c r="A12" s="6" t="inlineStr">
        <is>
          <t>Decrease in loans and advances to customers</t>
        </is>
      </c>
      <c r="B12" s="6" t="n"/>
      <c r="C12" s="6" t="n"/>
      <c r="D12" s="6" t="n"/>
      <c r="E12" s="6" t="n">
        <v>35</v>
      </c>
      <c r="F12" s="6" t="n">
        <v>10</v>
      </c>
    </row>
    <row r="13">
      <c r="A13" s="6" t="inlineStr">
        <is>
          <t>Decrease/(increase) in other assets</t>
        </is>
      </c>
      <c r="B13" s="6" t="n"/>
      <c r="C13" s="6" t="n">
        <v>3044</v>
      </c>
      <c r="D13" s="6" t="n">
        <v>-2207</v>
      </c>
      <c r="E13" s="6" t="n">
        <v>-10406</v>
      </c>
      <c r="F13" s="6" t="n">
        <v>-76</v>
      </c>
    </row>
    <row r="14">
      <c r="A14" s="6" t="inlineStr">
        <is>
          <t>Decrease in derivative financial liabilities</t>
        </is>
      </c>
      <c r="B14" s="6" t="n"/>
      <c r="C14" s="6" t="n"/>
      <c r="D14" s="6" t="n"/>
      <c r="E14" s="6" t="n"/>
      <c r="F14" s="6" t="n">
        <v>-10</v>
      </c>
    </row>
    <row r="15">
      <c r="A15" s="6" t="inlineStr">
        <is>
          <t>Decrease in financial assets at fair value through profit or loss</t>
        </is>
      </c>
      <c r="B15" s="6" t="n"/>
      <c r="C15" s="6" t="n"/>
      <c r="D15" s="6" t="n"/>
      <c r="E15" s="6" t="n"/>
      <c r="F15" s="6" t="n">
        <v>2572</v>
      </c>
    </row>
    <row r="16">
      <c r="A16" s="6" t="inlineStr">
        <is>
          <t>Increase/(decrease) in customer accounts</t>
        </is>
      </c>
      <c r="B16" s="6" t="n"/>
      <c r="C16" s="6" t="n">
        <v>135483</v>
      </c>
      <c r="D16" s="6" t="n">
        <v>-348801</v>
      </c>
      <c r="E16" s="6" t="n">
        <v>782202</v>
      </c>
      <c r="F16" s="6" t="n">
        <v>-232334</v>
      </c>
    </row>
    <row r="17">
      <c r="A17" s="6" t="inlineStr">
        <is>
          <t>Increase/(decrease) in deposits by banks</t>
        </is>
      </c>
      <c r="B17" s="6" t="n"/>
      <c r="C17" s="6" t="n">
        <v>2820</v>
      </c>
      <c r="D17" s="6" t="n">
        <v>2577</v>
      </c>
      <c r="E17" s="6" t="n">
        <v>-1348</v>
      </c>
      <c r="F17" s="6" t="n">
        <v>-2347</v>
      </c>
    </row>
    <row r="18">
      <c r="A18" s="6" t="inlineStr">
        <is>
          <t>Increase/(decrease) in amounts due to other group companies</t>
        </is>
      </c>
      <c r="B18" s="6" t="n"/>
      <c r="C18" s="6" t="n">
        <v>1736</v>
      </c>
      <c r="D18" s="6" t="n">
        <v>2073</v>
      </c>
      <c r="E18" s="6" t="n">
        <v>4061</v>
      </c>
      <c r="F18" s="6" t="n">
        <v>-1140</v>
      </c>
    </row>
    <row r="19">
      <c r="A19" s="6" t="inlineStr">
        <is>
          <t>(Decrease)/increase in other liabilities</t>
        </is>
      </c>
      <c r="B19" s="6" t="n"/>
      <c r="C19" s="6" t="n">
        <v>-9420</v>
      </c>
      <c r="D19" s="6" t="n">
        <v>4491</v>
      </c>
      <c r="E19" s="6" t="n">
        <v>8942</v>
      </c>
      <c r="F19" s="6" t="n">
        <v>475</v>
      </c>
    </row>
    <row r="20">
      <c r="A20" s="6" t="inlineStr">
        <is>
          <t>Settlement to Santander UK plc in respect of Corporation Tax</t>
        </is>
      </c>
      <c r="B20" s="6" t="n"/>
      <c r="C20" s="6" t="n">
        <v>-47048</v>
      </c>
      <c r="D20" s="6" t="n">
        <v>-18170</v>
      </c>
      <c r="E20" s="6" t="n">
        <v>-10623</v>
      </c>
      <c r="F20" s="6" t="n">
        <v>-11210</v>
      </c>
    </row>
    <row r="21">
      <c r="A21" s="5" t="inlineStr">
        <is>
          <t>Net cash (used in)/generated from operating activities</t>
        </is>
      </c>
      <c r="B21" s="5" t="n"/>
      <c r="C21" s="5" t="n">
        <v>258187</v>
      </c>
      <c r="D21" s="5" t="n">
        <v>-184058</v>
      </c>
      <c r="E21" s="5" t="n">
        <v>832547</v>
      </c>
      <c r="F21" s="5" t="n">
        <v>-200379</v>
      </c>
    </row>
    <row r="22">
      <c r="A22" s="5" t="inlineStr">
        <is>
          <t>Investing activities</t>
        </is>
      </c>
      <c r="B22" s="6" t="n"/>
      <c r="C22" s="6" t="n"/>
      <c r="D22" s="6" t="n"/>
      <c r="E22" s="6" t="n"/>
      <c r="F22" s="6" t="n"/>
    </row>
    <row r="23">
      <c r="A23" s="6" t="inlineStr">
        <is>
          <t>Intangible asset work in progress</t>
        </is>
      </c>
      <c r="B23" s="6" t="n"/>
      <c r="C23" s="6" t="n"/>
      <c r="D23" s="6" t="n">
        <v>-393</v>
      </c>
      <c r="E23" s="6" t="n"/>
      <c r="F23" s="6" t="n"/>
    </row>
    <row r="24">
      <c r="A24" s="5" t="inlineStr">
        <is>
          <t>Cash used in investing activities</t>
        </is>
      </c>
      <c r="B24" s="5" t="n"/>
      <c r="C24" s="5" t="n">
        <v>0</v>
      </c>
      <c r="D24" s="5" t="n">
        <v>-393</v>
      </c>
      <c r="E24" s="5" t="n">
        <v>0</v>
      </c>
      <c r="F24" s="5" t="n"/>
    </row>
    <row r="25">
      <c r="A25" s="5" t="inlineStr">
        <is>
          <t>Financing activities</t>
        </is>
      </c>
      <c r="B25" s="6" t="n"/>
      <c r="C25" s="6" t="n"/>
      <c r="D25" s="6" t="n"/>
      <c r="E25" s="6" t="n"/>
      <c r="F25" s="6" t="n"/>
    </row>
    <row r="26">
      <c r="A26" s="6" t="inlineStr">
        <is>
          <t>Dividend paid</t>
        </is>
      </c>
      <c r="B26" s="6" t="n"/>
      <c r="C26" s="6" t="n">
        <v>-100000</v>
      </c>
      <c r="D26" s="6" t="n">
        <v>-100000</v>
      </c>
      <c r="E26" s="6" t="n">
        <v>-300000</v>
      </c>
      <c r="F26" s="6" t="n"/>
    </row>
    <row r="27">
      <c r="A27" s="5" t="inlineStr">
        <is>
          <t>Cash used in financing activities</t>
        </is>
      </c>
      <c r="B27" s="5" t="n"/>
      <c r="C27" s="5" t="n">
        <v>-100000</v>
      </c>
      <c r="D27" s="5" t="n">
        <v>-100000</v>
      </c>
      <c r="E27" s="5" t="n">
        <v>-300000</v>
      </c>
      <c r="F27" s="5" t="n"/>
    </row>
    <row r="28">
      <c r="A28" s="5" t="inlineStr">
        <is>
          <t>Net increase/(decrease) in cash and cash equivalents</t>
        </is>
      </c>
      <c r="B28" s="5" t="n"/>
      <c r="C28" s="5" t="n">
        <v>158187</v>
      </c>
      <c r="D28" s="5" t="n">
        <v>-284451</v>
      </c>
      <c r="E28" s="5" t="n">
        <v>532547</v>
      </c>
      <c r="F28" s="5" t="n">
        <v>-200379</v>
      </c>
    </row>
    <row r="29">
      <c r="A29" s="6" t="inlineStr">
        <is>
          <t>Effect of foreign exchange rates</t>
        </is>
      </c>
      <c r="B29" s="6" t="n"/>
      <c r="C29" s="6" t="n">
        <v>-1532</v>
      </c>
      <c r="D29" s="6" t="n">
        <v>-3545</v>
      </c>
      <c r="E29" s="6" t="n">
        <v>10493</v>
      </c>
      <c r="F29" s="6" t="n"/>
    </row>
    <row r="30">
      <c r="A30" s="6" t="inlineStr">
        <is>
          <t>Opening cash and cash equivalents</t>
        </is>
      </c>
      <c r="B30" s="6" t="n"/>
      <c r="C30" s="6" t="n">
        <v>5383852</v>
      </c>
      <c r="D30" s="6" t="n">
        <v>5671848</v>
      </c>
      <c r="E30" s="6" t="n">
        <v>5128808</v>
      </c>
      <c r="F30" s="6" t="n">
        <v>5329187</v>
      </c>
    </row>
    <row r="31">
      <c r="A31" s="5" t="inlineStr">
        <is>
          <t>Closing cash and cash equivalents</t>
        </is>
      </c>
      <c r="B31" s="5" t="n"/>
      <c r="C31" s="5" t="n">
        <v>5540507</v>
      </c>
      <c r="D31" s="5" t="n">
        <v>5383852</v>
      </c>
      <c r="E31" s="5" t="n">
        <v>5671848</v>
      </c>
      <c r="F31" s="5" t="n">
        <v>5128808</v>
      </c>
    </row>
    <row r="33" ht="320" customHeight="1">
      <c r="A33"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Not applicable - FRS 101 cash-flow exemption newly taken this year. Annual Report and Financial Statements 2025, p.29 (Note 1, Basis of preparation)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1">
    <mergeCell ref="A33:F3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28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1">
    <mergeCell ref="A8:F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Tier 1 Ratio; no AT1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Total Capital Ratio; no AT1/Tier 2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 Limited does not publish a risk-weighted-assets figure - aggregate or by risk category - in any source reviewed, for any year. Confirmed against the text-layer FY2022, FY2023 and FY2024 Annual Reports, whose Capital adequacy tables carry only the Tier 1 build-up (Total Tier 1 Capital, Deductions, Total Capital Resources).
WITHDRAWAL RECORD (2026-09-16). This sheet previously carried four populated values - FY2025 277,971; FY2024 249,235; FY2023 179,844; FY2022 108,890 - which were NOT disclosed data. Each was back-solved as Total Capital Resources divided by that year's CET1 ratio (e.g. FY2025 217,373/0.7820). They were withdrawn on the project owner's decision because deriving RWAs from capital divided by a ratio breaches this project's rule against presenting a computed figure as a disclosure - the same pattern already withdrawn from Bank Mandiri (Europe) and Alpha Bank London on 2026-09-15.
Two properties of the withdrawn series show why it could not be relied on: it was only as precise as the rounded ratio it divided by (the FY2023 ratio is published to four significant figures, 122.8%, giving the implied RWA a roughly +/-0.05% band), and it moved in the OPPOSITE direction to capital in three of the four years purely as an artefact of that division. The arithmetic is preserved in this build script as RWA_CALC_WITHDRAWN so the removal stays auditable.</t>
        </is>
      </c>
    </row>
    <row r="7" ht="22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2026-09-16T09:33:19Z</dcterms:created>
  <dcterms:modified xmlns:dcterms="http://purl.org/dc/terms/" xmlns:xsi="http://www.w3.org/2001/XMLSchema-instance" xsi:type="dcterms:W3CDTF">2026-09-16T09:33:20Z</dcterms:modified>
</cp:coreProperties>
</file>