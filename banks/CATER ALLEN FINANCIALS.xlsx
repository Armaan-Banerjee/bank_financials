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v>39358</v>
      </c>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v>2905</v>
      </c>
    </row>
    <row r="8">
      <c r="A8" s="6" t="inlineStr">
        <is>
          <t>Impairment reversal</t>
        </is>
      </c>
      <c r="B8" s="6" t="n"/>
      <c r="C8" s="6" t="n"/>
      <c r="D8" s="6" t="n"/>
      <c r="E8" s="6" t="n">
        <v>-35</v>
      </c>
      <c r="F8" s="6" t="n">
        <v>-10</v>
      </c>
    </row>
    <row r="9">
      <c r="A9" s="6" t="inlineStr">
        <is>
          <t>Finance write-backs</t>
        </is>
      </c>
      <c r="B9" s="6" t="n"/>
      <c r="C9" s="6" t="n"/>
      <c r="D9" s="6" t="n"/>
      <c r="E9" s="6" t="n"/>
      <c r="F9" s="6" t="n">
        <v>-479</v>
      </c>
    </row>
    <row r="10">
      <c r="A10" s="5" t="inlineStr">
        <is>
          <t>Net cash flow from trading activities</t>
        </is>
      </c>
      <c r="B10" s="5" t="n"/>
      <c r="C10" s="5" t="n">
        <v>171572</v>
      </c>
      <c r="D10" s="5" t="n">
        <v>175979</v>
      </c>
      <c r="E10" s="5" t="n">
        <v>59684</v>
      </c>
      <c r="F10" s="5" t="n">
        <v>41774</v>
      </c>
    </row>
    <row r="11">
      <c r="A11" s="6" t="inlineStr">
        <is>
          <t>Increase in items in course of transmission by other banks</t>
        </is>
      </c>
      <c r="B11" s="6" t="n"/>
      <c r="C11" s="6" t="n"/>
      <c r="D11" s="6" t="n"/>
      <c r="E11" s="6" t="n"/>
      <c r="F11" s="6" t="n">
        <v>1907</v>
      </c>
    </row>
    <row r="12">
      <c r="A12" s="6" t="inlineStr">
        <is>
          <t>Decrease in loans and advances to customers</t>
        </is>
      </c>
      <c r="B12" s="6" t="n"/>
      <c r="C12" s="6" t="n"/>
      <c r="D12" s="6" t="n"/>
      <c r="E12" s="6" t="n">
        <v>35</v>
      </c>
      <c r="F12" s="6" t="n">
        <v>10</v>
      </c>
    </row>
    <row r="13">
      <c r="A13" s="6" t="inlineStr">
        <is>
          <t>Decrease/(increase) in other assets</t>
        </is>
      </c>
      <c r="B13" s="6" t="n"/>
      <c r="C13" s="6" t="n">
        <v>3044</v>
      </c>
      <c r="D13" s="6" t="n">
        <v>-2207</v>
      </c>
      <c r="E13" s="6" t="n">
        <v>-10406</v>
      </c>
      <c r="F13" s="6" t="n">
        <v>-76</v>
      </c>
    </row>
    <row r="14">
      <c r="A14" s="6" t="inlineStr">
        <is>
          <t>Decrease in derivative financial liabilities</t>
        </is>
      </c>
      <c r="B14" s="6" t="n"/>
      <c r="C14" s="6" t="n"/>
      <c r="D14" s="6" t="n"/>
      <c r="E14" s="6" t="n"/>
      <c r="F14" s="6" t="n">
        <v>-10</v>
      </c>
    </row>
    <row r="15">
      <c r="A15" s="6" t="inlineStr">
        <is>
          <t>Decrease in financial assets at fair value through profit or loss</t>
        </is>
      </c>
      <c r="B15" s="6" t="n"/>
      <c r="C15" s="6" t="n"/>
      <c r="D15" s="6" t="n"/>
      <c r="E15" s="6" t="n"/>
      <c r="F15" s="6" t="n">
        <v>2572</v>
      </c>
    </row>
    <row r="16">
      <c r="A16" s="6" t="inlineStr">
        <is>
          <t>Increase/(decrease) in customer accounts</t>
        </is>
      </c>
      <c r="B16" s="6" t="n"/>
      <c r="C16" s="6" t="n">
        <v>135483</v>
      </c>
      <c r="D16" s="6" t="n">
        <v>-348801</v>
      </c>
      <c r="E16" s="6" t="n">
        <v>782202</v>
      </c>
      <c r="F16" s="6" t="n">
        <v>-232334</v>
      </c>
    </row>
    <row r="17">
      <c r="A17" s="6" t="inlineStr">
        <is>
          <t>Increase/(decrease) in deposits by banks</t>
        </is>
      </c>
      <c r="B17" s="6" t="n"/>
      <c r="C17" s="6" t="n">
        <v>2820</v>
      </c>
      <c r="D17" s="6" t="n">
        <v>2577</v>
      </c>
      <c r="E17" s="6" t="n">
        <v>-1348</v>
      </c>
      <c r="F17" s="6" t="n">
        <v>-2347</v>
      </c>
    </row>
    <row r="18">
      <c r="A18" s="6" t="inlineStr">
        <is>
          <t>Increase/(decrease) in amounts due to other group companies</t>
        </is>
      </c>
      <c r="B18" s="6" t="n"/>
      <c r="C18" s="6" t="n">
        <v>1736</v>
      </c>
      <c r="D18" s="6" t="n">
        <v>2073</v>
      </c>
      <c r="E18" s="6" t="n">
        <v>4061</v>
      </c>
      <c r="F18" s="6" t="n">
        <v>-1140</v>
      </c>
    </row>
    <row r="19">
      <c r="A19" s="6" t="inlineStr">
        <is>
          <t>(Decrease)/increase in other liabilities</t>
        </is>
      </c>
      <c r="B19" s="6" t="n"/>
      <c r="C19" s="6" t="n">
        <v>-9420</v>
      </c>
      <c r="D19" s="6" t="n">
        <v>4491</v>
      </c>
      <c r="E19" s="6" t="n">
        <v>8942</v>
      </c>
      <c r="F19" s="6" t="n">
        <v>475</v>
      </c>
    </row>
    <row r="20">
      <c r="A20" s="6" t="inlineStr">
        <is>
          <t>Settlement to Santander UK plc in respect of Corporation Tax</t>
        </is>
      </c>
      <c r="B20" s="6" t="n"/>
      <c r="C20" s="6" t="n">
        <v>-47048</v>
      </c>
      <c r="D20" s="6" t="n">
        <v>-18170</v>
      </c>
      <c r="E20" s="6" t="n">
        <v>-10623</v>
      </c>
      <c r="F20" s="6" t="n">
        <v>-11210</v>
      </c>
    </row>
    <row r="21">
      <c r="A21" s="5" t="inlineStr">
        <is>
          <t>Net cash (used in)/generated from operating activities</t>
        </is>
      </c>
      <c r="B21" s="5" t="n"/>
      <c r="C21" s="5" t="n">
        <v>258187</v>
      </c>
      <c r="D21" s="5" t="n">
        <v>-184058</v>
      </c>
      <c r="E21" s="5" t="n">
        <v>832547</v>
      </c>
      <c r="F21" s="5" t="n">
        <v>-200379</v>
      </c>
    </row>
    <row r="22">
      <c r="A22" s="5" t="inlineStr">
        <is>
          <t>Investing activities</t>
        </is>
      </c>
      <c r="B22" s="6" t="n"/>
      <c r="C22" s="6" t="n"/>
      <c r="D22" s="6" t="n"/>
      <c r="E22" s="6" t="n"/>
      <c r="F22" s="6" t="n"/>
    </row>
    <row r="23">
      <c r="A23" s="6" t="inlineStr">
        <is>
          <t>Intangible asset work in progress</t>
        </is>
      </c>
      <c r="B23" s="6" t="n"/>
      <c r="C23" s="6" t="n"/>
      <c r="D23" s="6" t="n">
        <v>-393</v>
      </c>
      <c r="E23" s="6" t="n"/>
      <c r="F23" s="6" t="n"/>
    </row>
    <row r="24">
      <c r="A24" s="5" t="inlineStr">
        <is>
          <t>Cash used in investing activities</t>
        </is>
      </c>
      <c r="B24" s="5" t="n"/>
      <c r="C24" s="5" t="n">
        <v>0</v>
      </c>
      <c r="D24" s="5" t="n">
        <v>-393</v>
      </c>
      <c r="E24" s="5" t="n">
        <v>0</v>
      </c>
      <c r="F24" s="5" t="n"/>
    </row>
    <row r="25">
      <c r="A25" s="5" t="inlineStr">
        <is>
          <t>Financing activities</t>
        </is>
      </c>
      <c r="B25" s="6" t="n"/>
      <c r="C25" s="6" t="n"/>
      <c r="D25" s="6" t="n"/>
      <c r="E25" s="6" t="n"/>
      <c r="F25" s="6" t="n"/>
    </row>
    <row r="26">
      <c r="A26" s="6" t="inlineStr">
        <is>
          <t>Dividend paid</t>
        </is>
      </c>
      <c r="B26" s="6" t="n"/>
      <c r="C26" s="6" t="n">
        <v>-100000</v>
      </c>
      <c r="D26" s="6" t="n">
        <v>-100000</v>
      </c>
      <c r="E26" s="6" t="n">
        <v>-300000</v>
      </c>
      <c r="F26" s="6" t="n"/>
    </row>
    <row r="27">
      <c r="A27" s="5" t="inlineStr">
        <is>
          <t>Cash used in financing activities</t>
        </is>
      </c>
      <c r="B27" s="5" t="n"/>
      <c r="C27" s="5" t="n">
        <v>-100000</v>
      </c>
      <c r="D27" s="5" t="n">
        <v>-100000</v>
      </c>
      <c r="E27" s="5" t="n">
        <v>-300000</v>
      </c>
      <c r="F27" s="5" t="n"/>
    </row>
    <row r="28">
      <c r="A28" s="5" t="inlineStr">
        <is>
          <t>Net increase/(decrease) in cash and cash equivalents</t>
        </is>
      </c>
      <c r="B28" s="5" t="n"/>
      <c r="C28" s="5" t="n">
        <v>158187</v>
      </c>
      <c r="D28" s="5" t="n">
        <v>-284451</v>
      </c>
      <c r="E28" s="5" t="n">
        <v>532547</v>
      </c>
      <c r="F28" s="5" t="n">
        <v>-200379</v>
      </c>
    </row>
    <row r="29">
      <c r="A29" s="6" t="inlineStr">
        <is>
          <t>Effect of foreign exchange rates</t>
        </is>
      </c>
      <c r="B29" s="6" t="n"/>
      <c r="C29" s="6" t="n">
        <v>-1532</v>
      </c>
      <c r="D29" s="6" t="n">
        <v>-3545</v>
      </c>
      <c r="E29" s="6" t="n">
        <v>10493</v>
      </c>
      <c r="F29" s="6" t="n"/>
    </row>
    <row r="30">
      <c r="A30" s="6" t="inlineStr">
        <is>
          <t>Opening cash and cash equivalents</t>
        </is>
      </c>
      <c r="B30" s="6" t="n"/>
      <c r="C30" s="6" t="n">
        <v>5383852</v>
      </c>
      <c r="D30" s="6" t="n">
        <v>5671848</v>
      </c>
      <c r="E30" s="6" t="n">
        <v>5128808</v>
      </c>
      <c r="F30" s="6" t="n">
        <v>5329187</v>
      </c>
    </row>
    <row r="31">
      <c r="A31" s="5" t="inlineStr">
        <is>
          <t>Closing cash and cash equivalents</t>
        </is>
      </c>
      <c r="B31" s="5" t="n"/>
      <c r="C31" s="5" t="n">
        <v>5540507</v>
      </c>
      <c r="D31" s="5" t="n">
        <v>5383852</v>
      </c>
      <c r="E31" s="5" t="n">
        <v>5671848</v>
      </c>
      <c r="F31" s="5" t="n">
        <v>5128808</v>
      </c>
    </row>
    <row r="33" ht="320" customHeight="1">
      <c r="A33"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3:F3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277971</v>
      </c>
      <c r="C4" s="6" t="n">
        <v>249235</v>
      </c>
      <c r="D4" s="6" t="n">
        <v>179844</v>
      </c>
      <c r="E4" s="6" t="n">
        <v>108890</v>
      </c>
      <c r="F4" s="6" t="n"/>
    </row>
    <row r="5" ht="60" customHeight="1">
      <c r="A5" s="8" t="inlineStr">
        <is>
          <t>Note: *** BACK-SOLVED FIGURES - NOT DISCLOSED DATA. FLAGGED 2026-09-15 FOR WITHDRAWAL. ***
Every value on this sheet is CALCULATED, not disclosed: each is Total Capital Resources DIVIDED BY the CET1 capital ratio for that year (FY2025 217,373/0.7820 = 277,971; FY2024 246,095/0.9874 = 249,235; FY2023 220,848/1.2280 = 179,844; FY2022 268,414/2.4650 = 108,890). No risk-weighted-assets figure, aggregate or by category, appears in any source reviewed for any year - re-confirmed 2026-09-15 against the text-layer FY2022, FY2023 and FY2024 Annual Reports, whose Capital adequacy tables carry only the Tier 1 build-up (Total Tier 1 Capital, Deductions, Total Capital Resources).
This is the same back-solving pattern that was withdrawn from Bank Mandiri (Europe) and Alpha Bank London on 2026-09-15, and it breaches the project rule against deriving RWA from capital divided by a ratio. The figures are retained here pending a project-level decision because removing populated data is not a per-bank call; they should be treated as unreliable and should not be used in cross-bank analysis. Note also that the derived series is only as precise as the rounded ratio it divides by - the FY2023 ratio is published to four significant figures (122.8%), so the implied RWA carries roughly a +/-0.05% rounding band, and the figures move in the opposite direction to capital in three of the four years purely as an artefact of that division.</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2026-09-15T16:49:48Z</dcterms:created>
  <dcterms:modified xmlns:dcterms="http://purl.org/dc/terms/" xmlns:xsi="http://www.w3.org/2001/XMLSchema-instance" xsi:type="dcterms:W3CDTF">2026-09-15T16:49:48Z</dcterms:modified>
</cp:coreProperties>
</file>