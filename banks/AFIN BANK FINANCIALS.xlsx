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ser>
          <idx val="1"/>
          <order val="1"/>
          <tx>
            <strRef>
              <f>'Overview'!V18</f>
            </strRef>
          </tx>
          <spPr>
            <a:ln xmlns:a="http://schemas.openxmlformats.org/drawingml/2006/main">
              <a:prstDash val="solid"/>
            </a:ln>
          </spPr>
          <cat>
            <numRef>
              <f>'Overview'!$W$16:$Z$16</f>
            </numRef>
          </cat>
          <val>
            <numRef>
              <f>'Overview'!$W$18:$Z$18</f>
            </numRef>
          </val>
        </ser>
        <ser>
          <idx val="2"/>
          <order val="2"/>
          <tx>
            <strRef>
              <f>'Overview'!V19</f>
            </strRef>
          </tx>
          <spPr>
            <a:ln xmlns:a="http://schemas.openxmlformats.org/drawingml/2006/main">
              <a:prstDash val="solid"/>
            </a:ln>
          </spPr>
          <cat>
            <numRef>
              <f>'Overview'!$W$16:$Z$16</f>
            </numRef>
          </cat>
          <val>
            <numRef>
              <f>'Overview'!$W$19:$Z$19</f>
            </numRef>
          </val>
        </ser>
        <ser>
          <idx val="3"/>
          <order val="3"/>
          <tx>
            <strRef>
              <f>'Overview'!V20</f>
            </strRef>
          </tx>
          <spPr>
            <a:ln xmlns:a="http://schemas.openxmlformats.org/drawingml/2006/main">
              <a:prstDash val="solid"/>
            </a:ln>
          </spPr>
          <cat>
            <numRef>
              <f>'Overview'!$W$16:$Z$16</f>
            </numRef>
          </cat>
          <val>
            <numRef>
              <f>'Overview'!$W$20:$Z$20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'Overview'!AC24</f>
            </strRef>
          </tx>
          <spPr>
            <a:ln xmlns:a="http://schemas.openxmlformats.org/drawingml/2006/main">
              <a:prstDash val="solid"/>
            </a:ln>
          </spPr>
          <cat>
            <numRef>
              <f>'Overview'!$AD$23:$AG$23</f>
            </numRef>
          </cat>
          <val>
            <numRef>
              <f>'Overview'!$AD$24:$AG$24</f>
            </numRef>
          </val>
        </ser>
        <ser>
          <idx val="1"/>
          <order val="1"/>
          <tx>
            <strRef>
              <f>'Overview'!AC25</f>
            </strRef>
          </tx>
          <spPr>
            <a:ln xmlns:a="http://schemas.openxmlformats.org/drawingml/2006/main">
              <a:prstDash val="solid"/>
            </a:ln>
          </spPr>
          <cat>
            <numRef>
              <f>'Overview'!$AD$23:$AG$23</f>
            </numRef>
          </cat>
          <val>
            <numRef>
              <f>'Overview'!$AD$25:$AG$25</f>
            </numRef>
          </val>
        </ser>
        <ser>
          <idx val="2"/>
          <order val="2"/>
          <tx>
            <strRef>
              <f>'Overview'!AC26</f>
            </strRef>
          </tx>
          <spPr>
            <a:ln xmlns:a="http://schemas.openxmlformats.org/drawingml/2006/main">
              <a:prstDash val="solid"/>
            </a:ln>
          </spPr>
          <cat>
            <numRef>
              <f>'Overview'!$AD$23:$AG$23</f>
            </numRef>
          </cat>
          <val>
            <numRef>
              <f>'Overview'!$AD$26:$AG$26</f>
            </numRef>
          </val>
        </ser>
        <ser>
          <idx val="3"/>
          <order val="3"/>
          <tx>
            <strRef>
              <f>'Overview'!AC27</f>
            </strRef>
          </tx>
          <spPr>
            <a:ln xmlns:a="http://schemas.openxmlformats.org/drawingml/2006/main">
              <a:prstDash val="solid"/>
            </a:ln>
          </spPr>
          <cat>
            <numRef>
              <f>'Overview'!$AD$23:$AG$23</f>
            </numRef>
          </cat>
          <val>
            <numRef>
              <f>'Overview'!$AD$27:$AG$27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17427943</v>
      </c>
      <c r="C6" s="5" t="n">
        <v>1352794</v>
      </c>
      <c r="D6" s="5" t="n">
        <v>14552</v>
      </c>
      <c r="E6" s="5" t="n">
        <v>106367</v>
      </c>
      <c r="H6" t="inlineStr">
        <is>
          <t>Total assets</t>
        </is>
      </c>
      <c r="I6" t="n">
        <v>106367</v>
      </c>
      <c r="J6" t="n">
        <v>14552</v>
      </c>
      <c r="K6" t="n">
        <v>1352794</v>
      </c>
      <c r="L6" t="n">
        <v>17427943</v>
      </c>
      <c r="AJ6" t="inlineStr">
        <is>
          <t>CET1 Ratio</t>
        </is>
      </c>
      <c r="AN6" t="n">
        <v>418.5</v>
      </c>
    </row>
    <row r="7">
      <c r="A7" s="5" t="inlineStr">
        <is>
          <t>Trade and other payables</t>
        </is>
      </c>
      <c r="B7" s="5" t="n">
        <v>1102894</v>
      </c>
      <c r="C7" s="5" t="n">
        <v>260524</v>
      </c>
      <c r="D7" s="5" t="n">
        <v>50338</v>
      </c>
      <c r="E7" s="5" t="n">
        <v>59537</v>
      </c>
      <c r="H7" t="inlineStr">
        <is>
          <t>Trade and other payables</t>
        </is>
      </c>
      <c r="I7" t="n">
        <v>59537</v>
      </c>
      <c r="J7" t="n">
        <v>50338</v>
      </c>
      <c r="K7" t="n">
        <v>260524</v>
      </c>
      <c r="L7" t="n">
        <v>1102894</v>
      </c>
      <c r="AJ7" t="inlineStr">
        <is>
          <t>Tier 1 Ratio</t>
        </is>
      </c>
      <c r="AN7" t="n">
        <v>418.5</v>
      </c>
    </row>
    <row r="8">
      <c r="A8" s="5" t="inlineStr">
        <is>
          <t>Total equity</t>
        </is>
      </c>
      <c r="B8" s="5" t="n">
        <v>15359865</v>
      </c>
      <c r="C8" s="5" t="n">
        <v>962179</v>
      </c>
      <c r="D8" s="5" t="n">
        <v>-35786</v>
      </c>
      <c r="E8" s="5" t="n">
        <v>46830</v>
      </c>
      <c r="H8" t="inlineStr">
        <is>
          <t>Total equity</t>
        </is>
      </c>
      <c r="I8" t="n">
        <v>46830</v>
      </c>
      <c r="J8" t="n">
        <v>-35786</v>
      </c>
      <c r="K8" t="n">
        <v>962179</v>
      </c>
      <c r="L8" t="n">
        <v>15359865</v>
      </c>
      <c r="AJ8" t="inlineStr">
        <is>
          <t>Total Capital Ratio</t>
        </is>
      </c>
      <c r="AN8" t="n">
        <v>418.5</v>
      </c>
    </row>
    <row r="9">
      <c r="AJ9" t="inlineStr">
        <is>
          <t>Leverage Ratio</t>
        </is>
      </c>
      <c r="AN9" t="n">
        <v>87.40000000000001</v>
      </c>
    </row>
    <row r="10">
      <c r="A10" s="3" t="inlineStr">
        <is>
          <t>Profit &amp; Loss Summary (£)</t>
        </is>
      </c>
      <c r="AJ10" t="inlineStr">
        <is>
          <t>LCR</t>
        </is>
      </c>
      <c r="AN10" t="n">
        <v>999999</v>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c r="AJ11" t="inlineStr">
        <is>
          <t>NSFR</t>
        </is>
      </c>
      <c r="AN11" t="n">
        <v>492.2</v>
      </c>
    </row>
    <row r="12">
      <c r="A12" s="5" t="inlineStr">
        <is>
          <t>Total operating expenses</t>
        </is>
      </c>
      <c r="B12" s="5" t="n">
        <v>-6256733</v>
      </c>
      <c r="C12" s="5" t="n">
        <v>-1767933</v>
      </c>
      <c r="D12" s="5" t="n">
        <v>-406751</v>
      </c>
      <c r="E12" s="5" t="n"/>
      <c r="O12" t="inlineStr">
        <is>
          <t>Total operating expenses</t>
        </is>
      </c>
      <c r="Q12" t="n">
        <v>-406751</v>
      </c>
      <c r="R12" t="n">
        <v>-1767933</v>
      </c>
      <c r="S12" t="n">
        <v>-6256733</v>
      </c>
    </row>
    <row r="13">
      <c r="A13" s="5" t="inlineStr">
        <is>
          <t>Loss for the year</t>
        </is>
      </c>
      <c r="B13" s="5" t="n">
        <v>-6193551</v>
      </c>
      <c r="C13" s="5" t="n">
        <v>-1769188</v>
      </c>
      <c r="D13" s="5" t="n">
        <v>-406520</v>
      </c>
      <c r="E13" s="5" t="n"/>
      <c r="O13" t="inlineStr">
        <is>
          <t>Loss for the year</t>
        </is>
      </c>
      <c r="Q13" t="n">
        <v>-406520</v>
      </c>
      <c r="R13" t="n">
        <v>-1769188</v>
      </c>
      <c r="S13" t="n">
        <v>-6193551</v>
      </c>
    </row>
    <row r="15">
      <c r="A15" s="3" t="inlineStr">
        <is>
          <t>Statement of Changes in Equity Summary (£)</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Opening equity</t>
        </is>
      </c>
      <c r="B17" s="5" t="n">
        <v>962179</v>
      </c>
      <c r="C17" s="5" t="n">
        <v>-35786</v>
      </c>
      <c r="D17" s="5" t="n">
        <v>46830</v>
      </c>
      <c r="E17" s="5" t="n">
        <v>0</v>
      </c>
      <c r="V17" t="inlineStr">
        <is>
          <t>Opening equity</t>
        </is>
      </c>
      <c r="W17" t="n">
        <v>0</v>
      </c>
      <c r="X17" t="n">
        <v>46830</v>
      </c>
      <c r="Y17" t="n">
        <v>-35786</v>
      </c>
      <c r="Z17" t="n">
        <v>962179</v>
      </c>
    </row>
    <row r="18">
      <c r="A18" s="5" t="inlineStr">
        <is>
          <t>Total comprehensive income</t>
        </is>
      </c>
      <c r="B18" s="5" t="n">
        <v>-6126169</v>
      </c>
      <c r="C18" s="5" t="n">
        <v>-1769188</v>
      </c>
      <c r="D18" s="5" t="n">
        <v>-406520</v>
      </c>
      <c r="E18" s="5" t="n">
        <v>-219920</v>
      </c>
      <c r="V18" t="inlineStr">
        <is>
          <t>Total comprehensive income</t>
        </is>
      </c>
      <c r="W18" t="n">
        <v>-219920</v>
      </c>
      <c r="X18" t="n">
        <v>-406520</v>
      </c>
      <c r="Y18" t="n">
        <v>-1769188</v>
      </c>
      <c r="Z18" t="n">
        <v>-6126169</v>
      </c>
    </row>
    <row r="19">
      <c r="A19" s="5" t="inlineStr">
        <is>
          <t>Other movements, net</t>
        </is>
      </c>
      <c r="B19" s="5" t="n">
        <v>20523855</v>
      </c>
      <c r="C19" s="5" t="n">
        <v>2767153</v>
      </c>
      <c r="D19" s="5" t="n">
        <v>323904</v>
      </c>
      <c r="E19" s="5" t="n">
        <v>266750</v>
      </c>
      <c r="V19" t="inlineStr">
        <is>
          <t>Other movements, net</t>
        </is>
      </c>
      <c r="W19" t="n">
        <v>266750</v>
      </c>
      <c r="X19" t="n">
        <v>323904</v>
      </c>
      <c r="Y19" t="n">
        <v>2767153</v>
      </c>
      <c r="Z19" t="n">
        <v>20523855</v>
      </c>
    </row>
    <row r="20">
      <c r="A20" s="5" t="inlineStr">
        <is>
          <t>Closing equity</t>
        </is>
      </c>
      <c r="B20" s="5" t="n">
        <v>15359865</v>
      </c>
      <c r="C20" s="5" t="n">
        <v>962179</v>
      </c>
      <c r="D20" s="5" t="n">
        <v>-35786</v>
      </c>
      <c r="E20" s="5" t="n">
        <v>46830</v>
      </c>
      <c r="V20" t="inlineStr">
        <is>
          <t>Closing equity</t>
        </is>
      </c>
      <c r="W20" t="n">
        <v>46830</v>
      </c>
      <c r="X20" t="n">
        <v>-35786</v>
      </c>
      <c r="Y20" t="n">
        <v>962179</v>
      </c>
      <c r="Z20" t="n">
        <v>15359865</v>
      </c>
    </row>
    <row r="22">
      <c r="A22" s="3" t="inlineStr">
        <is>
          <t>Cash Flow Summary (£)</t>
        </is>
      </c>
    </row>
    <row r="23">
      <c r="A23" s="4" t="inlineStr">
        <is>
          <t>Line item</t>
        </is>
      </c>
      <c r="B23" s="4" t="inlineStr">
        <is>
          <t>FY2024</t>
        </is>
      </c>
      <c r="C23" s="4" t="inlineStr">
        <is>
          <t>FY2023</t>
        </is>
      </c>
      <c r="D23" s="4" t="inlineStr">
        <is>
          <t>FY2022</t>
        </is>
      </c>
      <c r="E23" s="4" t="inlineStr">
        <is>
          <t>FY2021</t>
        </is>
      </c>
      <c r="AD23" t="inlineStr">
        <is>
          <t>FY2021</t>
        </is>
      </c>
      <c r="AE23" t="inlineStr">
        <is>
          <t>FY2022</t>
        </is>
      </c>
      <c r="AF23" t="inlineStr">
        <is>
          <t>FY2023</t>
        </is>
      </c>
      <c r="AG23" t="inlineStr">
        <is>
          <t>FY2024</t>
        </is>
      </c>
    </row>
    <row r="24">
      <c r="A24" s="5" t="inlineStr">
        <is>
          <t>Net cash outflow from operating activities</t>
        </is>
      </c>
      <c r="B24" s="5" t="n">
        <v>-5854403</v>
      </c>
      <c r="C24" s="5" t="n">
        <v>-1747582</v>
      </c>
      <c r="D24" s="5" t="n">
        <v>-402889</v>
      </c>
      <c r="E24" s="5" t="n"/>
      <c r="AC24" t="inlineStr">
        <is>
          <t>Net cash outflow from operating activities</t>
        </is>
      </c>
      <c r="AE24" t="n">
        <v>-402889</v>
      </c>
      <c r="AF24" t="n">
        <v>-1747582</v>
      </c>
      <c r="AG24" t="n">
        <v>-5854403</v>
      </c>
    </row>
    <row r="25">
      <c r="A25" s="5" t="inlineStr">
        <is>
          <t>Net cash used in investing activities</t>
        </is>
      </c>
      <c r="B25" s="5" t="n">
        <v>-12345649</v>
      </c>
      <c r="C25" s="5" t="n">
        <v>-31717</v>
      </c>
      <c r="D25" s="5" t="n">
        <v>0</v>
      </c>
      <c r="E25" s="5" t="n"/>
      <c r="AC25" t="inlineStr">
        <is>
          <t>Net cash used in investing activities</t>
        </is>
      </c>
      <c r="AE25" t="n">
        <v>0</v>
      </c>
      <c r="AF25" t="n">
        <v>-31717</v>
      </c>
      <c r="AG25" t="n">
        <v>-12345649</v>
      </c>
    </row>
    <row r="26">
      <c r="A26" s="5" t="inlineStr">
        <is>
          <t>Net cash generated from financing activities</t>
        </is>
      </c>
      <c r="B26" s="5" t="n">
        <v>20384295</v>
      </c>
      <c r="C26" s="5" t="n">
        <v>2743644</v>
      </c>
      <c r="D26" s="5" t="n">
        <v>323904</v>
      </c>
      <c r="E26" s="5" t="n"/>
      <c r="AC26" t="inlineStr">
        <is>
          <t>Net cash generated from financing activities</t>
        </is>
      </c>
      <c r="AE26" t="n">
        <v>323904</v>
      </c>
      <c r="AF26" t="n">
        <v>2743644</v>
      </c>
      <c r="AG26" t="n">
        <v>20384295</v>
      </c>
    </row>
    <row r="27">
      <c r="A27" s="5" t="inlineStr">
        <is>
          <t>Cash and cash equivalents at end of year</t>
        </is>
      </c>
      <c r="B27" s="5" t="n">
        <v>3155921</v>
      </c>
      <c r="C27" s="5" t="n">
        <v>971678</v>
      </c>
      <c r="D27" s="5" t="n">
        <v>7333</v>
      </c>
      <c r="E27" s="5" t="n">
        <v>86318</v>
      </c>
      <c r="AC27" t="inlineStr">
        <is>
          <t>Cash and cash equivalents at end of year</t>
        </is>
      </c>
      <c r="AD27" t="n">
        <v>86318</v>
      </c>
      <c r="AE27" t="n">
        <v>7333</v>
      </c>
      <c r="AF27" t="n">
        <v>971678</v>
      </c>
      <c r="AG27" t="n">
        <v>3155921</v>
      </c>
    </row>
    <row r="29">
      <c r="A29" s="3" t="inlineStr">
        <is>
          <t>Pillar 3 Key Metrics</t>
        </is>
      </c>
    </row>
    <row r="30">
      <c r="A30" s="4" t="inlineStr">
        <is>
          <t>Line item</t>
        </is>
      </c>
      <c r="B30" s="4" t="inlineStr">
        <is>
          <t>FY2024</t>
        </is>
      </c>
      <c r="C30" s="4" t="inlineStr">
        <is>
          <t>FY2023</t>
        </is>
      </c>
      <c r="D30" s="4" t="inlineStr">
        <is>
          <t>FY2022</t>
        </is>
      </c>
      <c r="E30" s="4" t="inlineStr">
        <is>
          <t>FY2021</t>
        </is>
      </c>
    </row>
    <row r="31">
      <c r="A31" s="6" t="inlineStr">
        <is>
          <t>CET1 Ratio</t>
        </is>
      </c>
      <c r="B31" s="6" t="inlineStr">
        <is>
          <t>418.5%</t>
        </is>
      </c>
      <c r="C31" s="6" t="inlineStr">
        <is>
          <t>Not applicable</t>
        </is>
      </c>
      <c r="D31" s="6" t="inlineStr">
        <is>
          <t>Not applicable</t>
        </is>
      </c>
      <c r="E31" s="6" t="inlineStr">
        <is>
          <t>Not applicable</t>
        </is>
      </c>
    </row>
    <row r="32">
      <c r="A32" s="6" t="inlineStr">
        <is>
          <t>Tier 1 Ratio</t>
        </is>
      </c>
      <c r="B32" s="6" t="inlineStr">
        <is>
          <t>418.5%</t>
        </is>
      </c>
      <c r="C32" s="6" t="inlineStr">
        <is>
          <t>Not applicable</t>
        </is>
      </c>
      <c r="D32" s="6" t="inlineStr">
        <is>
          <t>Not applicable</t>
        </is>
      </c>
      <c r="E32" s="6" t="inlineStr">
        <is>
          <t>Not applicable</t>
        </is>
      </c>
    </row>
    <row r="33">
      <c r="A33" s="6" t="inlineStr">
        <is>
          <t>Total Capital Ratio</t>
        </is>
      </c>
      <c r="B33" s="6" t="inlineStr">
        <is>
          <t>418.5%</t>
        </is>
      </c>
      <c r="C33" s="6" t="inlineStr">
        <is>
          <t>Not applicable</t>
        </is>
      </c>
      <c r="D33" s="6" t="inlineStr">
        <is>
          <t>Not applicable</t>
        </is>
      </c>
      <c r="E33" s="6" t="inlineStr">
        <is>
          <t>Not applicable</t>
        </is>
      </c>
    </row>
    <row r="34">
      <c r="A34" s="6" t="inlineStr">
        <is>
          <t>Leverage Ratio</t>
        </is>
      </c>
      <c r="B34" s="6" t="inlineStr">
        <is>
          <t>87.4%</t>
        </is>
      </c>
      <c r="C34" s="6" t="inlineStr">
        <is>
          <t>Not applicable</t>
        </is>
      </c>
      <c r="D34" s="6" t="inlineStr">
        <is>
          <t>Not applicable</t>
        </is>
      </c>
      <c r="E34" s="6" t="inlineStr">
        <is>
          <t>Not applicable</t>
        </is>
      </c>
    </row>
    <row r="35">
      <c r="A35" s="6" t="inlineStr">
        <is>
          <t>LCR</t>
        </is>
      </c>
      <c r="B35" s="6" t="inlineStr">
        <is>
          <t>999999%</t>
        </is>
      </c>
      <c r="C35" s="6" t="inlineStr">
        <is>
          <t>Not applicable</t>
        </is>
      </c>
      <c r="D35" s="6" t="inlineStr">
        <is>
          <t>Not applicable</t>
        </is>
      </c>
      <c r="E35" s="6" t="inlineStr">
        <is>
          <t>Not applicable</t>
        </is>
      </c>
    </row>
    <row r="36">
      <c r="A36" s="6" t="inlineStr">
        <is>
          <t>NSFR</t>
        </is>
      </c>
      <c r="B36" s="6" t="inlineStr">
        <is>
          <t>492.2%</t>
        </is>
      </c>
      <c r="C36" s="6" t="inlineStr">
        <is>
          <t>Not applicable</t>
        </is>
      </c>
      <c r="D36" s="6" t="inlineStr">
        <is>
          <t>Not applicable</t>
        </is>
      </c>
      <c r="E36" s="6" t="inlineStr">
        <is>
          <t>Not applicable</t>
        </is>
      </c>
    </row>
    <row r="38" ht="45" customHeight="1">
      <c r="A38" s="7" t="inlineStr">
        <is>
          <t>Note: EXTENDED HISTORY: this workbook now covers FY2021-FY2024 (four years), extended back from an original FY2024-only Pillar-3-only build. Afin Bank Limited was named All Africa Capital Limited and was not yet a PRA-authorised bank until October 2024, so FY2021-FY2023's Balance Sheet/P&amp;L/Equity/Cash Flow figures are that same continuous legal entity's own pre-bank Companies House statutory accounts, while all 11 Pillar 3 metric sheets plus Asset Quality and RWA Breakdown are genuinely 'Not applicable' for those three years (no disclosure obligation existed) - only FY2024 carries real Pillar 3 figures. FY2020 is self-skipped in full: the company was incorporated 18 December 2020 and its first statutory accounts cover the period from incorporation to 31 December 2021 - no discrete FY2020 period was ever filed, because none exists for this entity (confirmed by reading the complete Companies House filing history, not assumed from the entity-creation-date signal alone). FY2021's Profit &amp; Loss and Cash Flow Statement are themselves NOT DISCLOSED (small-companies filing exemptions - no P&amp;L account or cash flow statement was ever filed for that period); only its Balance Sheet and the equity roll-forward derived from it are available. Genuine structural findings, all documented on their own sheets: FY2023 is the first year with intangible assets, a lease/right-of-use asset, and an audit (FY2021-FY2022 were unaudited small-company filings); the FY2023 report's own 2022 comparative column is itself unaudited per its auditor's report. Every closing cash and equity balance ties exactly into the next year's own opening balance across all four years, including into the pre-existing FY2024 figures unchanged from the original build.</t>
        </is>
      </c>
    </row>
  </sheetData>
  <mergeCells count="1">
    <mergeCell ref="A38:E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Financial Position</t>
        </is>
      </c>
    </row>
    <row r="2">
      <c r="A2" s="2" t="inlineStr">
        <is>
          <t>Afin Bank Limited (All Africa Capital Limited pre-October 2024) audited/unaudited statement of financial position; amounts in £. FY2021 covers the first accounting period, 18 Dec 2020-31 Dec 2021 (FY2020 does not exist as a discrete period -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cash equivalents</t>
        </is>
      </c>
      <c r="B5" s="6" t="n">
        <v>3155921</v>
      </c>
      <c r="C5" s="6" t="n">
        <v>971678</v>
      </c>
      <c r="D5" s="6" t="n">
        <v>7333</v>
      </c>
      <c r="E5" s="6" t="n">
        <v>86318</v>
      </c>
    </row>
    <row r="6">
      <c r="A6" s="6" t="inlineStr">
        <is>
          <t>Treasury assets - UK Government gilts &amp; Treasury bills, at FVOCI</t>
        </is>
      </c>
      <c r="B6" s="6" t="n">
        <v>9767797</v>
      </c>
      <c r="C6" s="6" t="n"/>
      <c r="D6" s="6" t="n"/>
      <c r="E6" s="6" t="n"/>
    </row>
    <row r="7">
      <c r="A7" s="6" t="inlineStr">
        <is>
          <t>Receivables</t>
        </is>
      </c>
      <c r="B7" s="6" t="n">
        <v>450628</v>
      </c>
      <c r="C7" s="6" t="n">
        <v>166804</v>
      </c>
      <c r="D7" s="6" t="n">
        <v>6859</v>
      </c>
      <c r="E7" s="6" t="n">
        <v>19562</v>
      </c>
    </row>
    <row r="8">
      <c r="A8" s="6" t="inlineStr">
        <is>
          <t>Prepayments</t>
        </is>
      </c>
      <c r="B8" s="6" t="n">
        <v>372022</v>
      </c>
      <c r="C8" s="6" t="n">
        <v>50123</v>
      </c>
      <c r="D8" s="6" t="n">
        <v>0</v>
      </c>
      <c r="E8" s="6" t="n"/>
    </row>
    <row r="9">
      <c r="A9" s="6" t="inlineStr">
        <is>
          <t>Property, plant and equipment</t>
        </is>
      </c>
      <c r="B9" s="6" t="n">
        <v>57172</v>
      </c>
      <c r="C9" s="6" t="n">
        <v>152189</v>
      </c>
      <c r="D9" s="6" t="n">
        <v>360</v>
      </c>
      <c r="E9" s="6" t="n">
        <v>487</v>
      </c>
    </row>
    <row r="10">
      <c r="A10" s="6" t="inlineStr">
        <is>
          <t>Right-of-use assets</t>
        </is>
      </c>
      <c r="B10" s="6" t="n">
        <v>967204</v>
      </c>
      <c r="C10" s="6" t="n"/>
      <c r="D10" s="6" t="n"/>
      <c r="E10" s="6" t="n"/>
    </row>
    <row r="11">
      <c r="A11" s="6" t="inlineStr">
        <is>
          <t>Intangible assets</t>
        </is>
      </c>
      <c r="B11" s="6" t="n">
        <v>2657199</v>
      </c>
      <c r="C11" s="6" t="n">
        <v>12000</v>
      </c>
      <c r="D11" s="6" t="n"/>
      <c r="E11" s="6" t="n"/>
    </row>
    <row r="12">
      <c r="A12" s="5" t="inlineStr">
        <is>
          <t>Total assets</t>
        </is>
      </c>
      <c r="B12" s="5" t="n">
        <v>17427943</v>
      </c>
      <c r="C12" s="5" t="n">
        <v>1352794</v>
      </c>
      <c r="D12" s="5" t="n">
        <v>14552</v>
      </c>
      <c r="E12" s="5" t="n">
        <v>106367</v>
      </c>
    </row>
    <row r="13">
      <c r="A13" s="5" t="inlineStr">
        <is>
          <t>Liabilities</t>
        </is>
      </c>
      <c r="B13" s="6" t="n"/>
      <c r="C13" s="6" t="n"/>
      <c r="D13" s="6" t="n"/>
      <c r="E13" s="6" t="n"/>
    </row>
    <row r="14">
      <c r="A14" s="6" t="inlineStr">
        <is>
          <t>Trade and other payables</t>
        </is>
      </c>
      <c r="B14" s="6" t="n">
        <v>1102894</v>
      </c>
      <c r="C14" s="6" t="n">
        <v>260524</v>
      </c>
      <c r="D14" s="6" t="n">
        <v>50338</v>
      </c>
      <c r="E14" s="6" t="n">
        <v>59537</v>
      </c>
    </row>
    <row r="15">
      <c r="A15" s="6" t="inlineStr">
        <is>
          <t>Lease liabilities</t>
        </is>
      </c>
      <c r="B15" s="6" t="n">
        <v>965184</v>
      </c>
      <c r="C15" s="6" t="n">
        <v>130091</v>
      </c>
      <c r="D15" s="6" t="n">
        <v>0</v>
      </c>
      <c r="E15" s="6" t="n"/>
    </row>
    <row r="16">
      <c r="A16" s="5" t="inlineStr">
        <is>
          <t>Total liabilities</t>
        </is>
      </c>
      <c r="B16" s="5" t="n">
        <v>2068078</v>
      </c>
      <c r="C16" s="5" t="n">
        <v>390615</v>
      </c>
      <c r="D16" s="5" t="n">
        <v>50338</v>
      </c>
      <c r="E16" s="5" t="n">
        <v>59537</v>
      </c>
    </row>
    <row r="17">
      <c r="A17" s="5" t="inlineStr">
        <is>
          <t>Net assets</t>
        </is>
      </c>
      <c r="B17" s="5" t="n">
        <v>15359865</v>
      </c>
      <c r="C17" s="5" t="n">
        <v>962179</v>
      </c>
      <c r="D17" s="5" t="n">
        <v>-35786</v>
      </c>
      <c r="E17" s="5" t="n">
        <v>46830</v>
      </c>
    </row>
    <row r="18">
      <c r="A18" s="5" t="inlineStr">
        <is>
          <t>Equity</t>
        </is>
      </c>
      <c r="B18" s="6" t="n"/>
      <c r="C18" s="6" t="n"/>
      <c r="D18" s="6" t="n"/>
      <c r="E18" s="6" t="n"/>
    </row>
    <row r="19">
      <c r="A19" s="6" t="inlineStr">
        <is>
          <t>Called up share capital</t>
        </is>
      </c>
      <c r="B19" s="6" t="n">
        <v>23614036</v>
      </c>
      <c r="C19" s="6" t="n">
        <v>3357807</v>
      </c>
      <c r="D19" s="6" t="n">
        <v>590654</v>
      </c>
      <c r="E19" s="6" t="n">
        <v>266750</v>
      </c>
    </row>
    <row r="20">
      <c r="A20" s="6" t="inlineStr">
        <is>
          <t>Revaluation reserve</t>
        </is>
      </c>
      <c r="B20" s="6" t="n">
        <v>67382</v>
      </c>
      <c r="C20" s="6" t="n"/>
      <c r="D20" s="6" t="n"/>
      <c r="E20" s="6" t="n"/>
    </row>
    <row r="21">
      <c r="A21" s="6" t="inlineStr">
        <is>
          <t>Share based payment reserve</t>
        </is>
      </c>
      <c r="B21" s="6" t="n">
        <v>267626</v>
      </c>
      <c r="C21" s="6" t="n"/>
      <c r="D21" s="6" t="n"/>
      <c r="E21" s="6" t="n"/>
    </row>
    <row r="22">
      <c r="A22" s="6" t="inlineStr">
        <is>
          <t>Retained earnings</t>
        </is>
      </c>
      <c r="B22" s="6" t="n">
        <v>-8589179</v>
      </c>
      <c r="C22" s="6" t="n">
        <v>-2395628</v>
      </c>
      <c r="D22" s="6" t="n">
        <v>-626440</v>
      </c>
      <c r="E22" s="6" t="n">
        <v>-219920</v>
      </c>
    </row>
    <row r="23">
      <c r="A23" s="5" t="inlineStr">
        <is>
          <t>Total equity</t>
        </is>
      </c>
      <c r="B23" s="5" t="n">
        <v>15359865</v>
      </c>
      <c r="C23" s="5" t="n">
        <v>962179</v>
      </c>
      <c r="D23" s="5" t="n">
        <v>-35786</v>
      </c>
      <c r="E23" s="5" t="n">
        <v>46830</v>
      </c>
    </row>
    <row r="25" ht="210" customHeight="1">
      <c r="A25" s="8" t="inlineStr">
        <is>
          <t>Sources - FY2024: Afin Bank Limited audited annual report and financial statements for the year ended 31 December 2024, statement of financial position, printed p. 34 - https://afinbank.com/wp-content/uploads/2025/09/Afin-Bank-Ltd-Year-End-Accounts-FV24-FINAL-SIGNED.pdf
FY2023: All Africa Capital Limited audited annual report and financial statements for the year ended 31 December 2023, statement of financial position, p. 7 (2023 column; 2022 comparative column) - https://find-and-update.company-information.service.gov.uk/company/13090556/filing-history/MzQyNDA1MjMwOGFkaXF6a2N4/document?format=pdf&amp;download=0
FY2022: All Africa Capital Limited unaudited financial statements for the year ended 31 December 2022, balance sheet, p. 1 (cross-checked against the FY2023 report's own 2022 comparative - ties exactly) - https://find-and-update.company-information.service.gov.uk/company/13090556/filing-history/MzM5MzI3MzYzNmFkaXF6a2N4/document?format=pdf&amp;download=0
FY2021: All Africa Capital Limited unaudited financial statements for the period ended 31 December 2021 (first accounting period, from incorporation 18 December 2020), balance sheet, p. 1 -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NOTES: (1) 'Treasury assets', 'Right-of-use assets', 'Revaluation reserve' and 'Share based payment reserve' are all genuinely new line items that first appear on the FY2024 face statement (post-banking-authorisation) - left blank, not zero, for FY2021-FY2023, where the underlying asset/liability class simply did not exist on the company's books. (2) FY2023's face statement combines right-of-use assets into the single 'Property, plant and equipment' line (its own note 10 breaks out Computer equipment £22,098 + Right of use asset £130,091 = £152,189); FY2022/FY2021 predate IFRS 16 entirely (no leases). (3) FY2021's 'Debtors' £19,562 is a single undifferentiated line (no prepayments split existed yet) - reproduced under 'Receivables' with FY2021's own 'Prepayments' cell left blank rather than zero. (4) 'Receivables' for FY2023 combines the current £147,604 and non-current £19,200 other-receivables notes into one face-equivalent figure, consistent with how FY2024's own single 'Receivables' row is presented. (5) 'Treasury assets' note 10 (Listed investments, non-current, printed p. 44) discloses only the single lump £9,767,797 figure with no further split - the note's narrative and the accounting policy note (note 1.7 'Financial asset investments under IFRS 9', printed p. 38) both state these are UK government securities (gilts and Treasury bills) classified as debt instruments measured at fair value through other comprehensive income (FVOCI). Note 1.7's own fair-value disclosure (p. 38) further splits the £9,767,797 total by instrument as UK Gilts £5,813,980 + Treasury Bills £3,953,817 (reconciles exactly), but since both instruments share the same issuer type (UK government) and the same measurement basis (FVOCI), there is no real split by either dimension - the row is labelled in place rather than broken into sub-rows - https://afinbank.com/wp-content/uploads/2025/09/Afin-Bank-Ltd-Year-End-Accounts-FV24-FINAL-SIGNED.pdf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Afin Bank Limited — Consolidated Statement of Comprehensive Income</t>
        </is>
      </c>
    </row>
    <row r="2">
      <c r="A2" s="2" t="inlineStr">
        <is>
          <t>Afin Bank Limited (All Africa Capital Limited pre-October 2024) audited/unaudited statement of comprehensive income;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Operating income and expenses</t>
        </is>
      </c>
      <c r="B4" s="6" t="n"/>
      <c r="C4" s="6" t="n"/>
      <c r="D4" s="6" t="n"/>
      <c r="E4" s="6" t="n"/>
    </row>
    <row r="5">
      <c r="A5" s="6" t="inlineStr">
        <is>
          <t>Other operating income</t>
        </is>
      </c>
      <c r="B5" s="6" t="n"/>
      <c r="C5" s="6" t="n">
        <v>0</v>
      </c>
      <c r="D5" s="6" t="n">
        <v>231</v>
      </c>
      <c r="E5" s="6" t="n"/>
    </row>
    <row r="6">
      <c r="A6" s="6" t="inlineStr">
        <is>
          <t>Staff costs</t>
        </is>
      </c>
      <c r="B6" s="6" t="n">
        <v>-3941455</v>
      </c>
      <c r="C6" s="6" t="n">
        <v>-1088800</v>
      </c>
      <c r="D6" s="6" t="n">
        <v>-224067</v>
      </c>
      <c r="E6" s="6" t="n"/>
    </row>
    <row r="7">
      <c r="A7" s="6" t="inlineStr">
        <is>
          <t>Computer running costs</t>
        </is>
      </c>
      <c r="B7" s="6" t="n"/>
      <c r="C7" s="6" t="n">
        <v>-45103</v>
      </c>
      <c r="D7" s="6" t="n">
        <v>-3026</v>
      </c>
      <c r="E7" s="6" t="n"/>
    </row>
    <row r="8">
      <c r="A8" s="6" t="inlineStr">
        <is>
          <t>Legal and professional fees</t>
        </is>
      </c>
      <c r="B8" s="6" t="n"/>
      <c r="C8" s="6" t="n">
        <v>-166504</v>
      </c>
      <c r="D8" s="6" t="n">
        <v>-42042</v>
      </c>
      <c r="E8" s="6" t="n"/>
    </row>
    <row r="9">
      <c r="A9" s="6" t="inlineStr">
        <is>
          <t>Consultancy fees</t>
        </is>
      </c>
      <c r="B9" s="6" t="n"/>
      <c r="C9" s="6" t="n">
        <v>-276803</v>
      </c>
      <c r="D9" s="6" t="n">
        <v>-123016</v>
      </c>
      <c r="E9" s="6" t="n"/>
    </row>
    <row r="10">
      <c r="A10" s="6" t="inlineStr">
        <is>
          <t>Audit fees</t>
        </is>
      </c>
      <c r="B10" s="6" t="n"/>
      <c r="C10" s="6" t="n">
        <v>-8760</v>
      </c>
      <c r="D10" s="6" t="n">
        <v>0</v>
      </c>
      <c r="E10" s="6" t="n"/>
    </row>
    <row r="11">
      <c r="A11" s="6" t="inlineStr">
        <is>
          <t>Depreciation</t>
        </is>
      </c>
      <c r="B11" s="6" t="n">
        <v>-142504</v>
      </c>
      <c r="C11" s="6" t="n">
        <v>-21488</v>
      </c>
      <c r="D11" s="6" t="n">
        <v>-127</v>
      </c>
      <c r="E11" s="6" t="n"/>
    </row>
    <row r="12">
      <c r="A12" s="6" t="inlineStr">
        <is>
          <t>Amortisation of intangibles</t>
        </is>
      </c>
      <c r="B12" s="6" t="n">
        <v>-23179</v>
      </c>
      <c r="C12" s="6" t="n">
        <v>0</v>
      </c>
      <c r="D12" s="6" t="n"/>
      <c r="E12" s="6" t="n"/>
    </row>
    <row r="13">
      <c r="A13" s="6" t="inlineStr">
        <is>
          <t>Other operating costs</t>
        </is>
      </c>
      <c r="B13" s="6" t="n">
        <v>-2149595</v>
      </c>
      <c r="C13" s="6" t="n"/>
      <c r="D13" s="6" t="n"/>
      <c r="E13" s="6" t="n"/>
    </row>
    <row r="14">
      <c r="A14" s="5" t="inlineStr">
        <is>
          <t>Total operating expenses</t>
        </is>
      </c>
      <c r="B14" s="5" t="n">
        <v>-6256733</v>
      </c>
      <c r="C14" s="5" t="n">
        <v>-1767933</v>
      </c>
      <c r="D14" s="5" t="n">
        <v>-406751</v>
      </c>
      <c r="E14" s="5" t="n"/>
    </row>
    <row r="15">
      <c r="A15" s="5" t="inlineStr">
        <is>
          <t>Operating loss</t>
        </is>
      </c>
      <c r="B15" s="5" t="n">
        <v>-6256733</v>
      </c>
      <c r="C15" s="5" t="n">
        <v>-1767933</v>
      </c>
      <c r="D15" s="5" t="n">
        <v>-406520</v>
      </c>
      <c r="E15" s="5" t="n"/>
    </row>
    <row r="16">
      <c r="A16" s="6" t="inlineStr">
        <is>
          <t>Finance income</t>
        </is>
      </c>
      <c r="B16" s="6" t="n">
        <v>75152</v>
      </c>
      <c r="C16" s="6" t="n">
        <v>8</v>
      </c>
      <c r="D16" s="6" t="n"/>
      <c r="E16" s="6" t="n"/>
    </row>
    <row r="17">
      <c r="A17" s="6" t="inlineStr">
        <is>
          <t>Finance costs</t>
        </is>
      </c>
      <c r="B17" s="6" t="n">
        <v>-11970</v>
      </c>
      <c r="C17" s="6" t="n">
        <v>-1263</v>
      </c>
      <c r="D17" s="6" t="n"/>
      <c r="E17" s="6" t="n"/>
    </row>
    <row r="18">
      <c r="A18" s="5" t="inlineStr">
        <is>
          <t>Loss before taxation</t>
        </is>
      </c>
      <c r="B18" s="5" t="n">
        <v>-6193551</v>
      </c>
      <c r="C18" s="5" t="n">
        <v>-1769188</v>
      </c>
      <c r="D18" s="5" t="n">
        <v>-406520</v>
      </c>
      <c r="E18" s="5" t="n"/>
    </row>
    <row r="19">
      <c r="A19" s="6" t="inlineStr">
        <is>
          <t>Income tax expense</t>
        </is>
      </c>
      <c r="B19" s="6" t="n">
        <v>0</v>
      </c>
      <c r="C19" s="6" t="n">
        <v>0</v>
      </c>
      <c r="D19" s="6" t="n">
        <v>0</v>
      </c>
      <c r="E19" s="6" t="n"/>
    </row>
    <row r="20">
      <c r="A20" s="5" t="inlineStr">
        <is>
          <t>Loss for the year</t>
        </is>
      </c>
      <c r="B20" s="5" t="n">
        <v>-6193551</v>
      </c>
      <c r="C20" s="5" t="n">
        <v>-1769188</v>
      </c>
      <c r="D20" s="5" t="n">
        <v>-406520</v>
      </c>
      <c r="E20" s="5" t="n"/>
    </row>
    <row r="21">
      <c r="A21" s="5" t="inlineStr">
        <is>
          <t>Other comprehensive income</t>
        </is>
      </c>
      <c r="B21" s="6" t="n"/>
      <c r="C21" s="6" t="n"/>
      <c r="D21" s="6" t="n"/>
      <c r="E21" s="6" t="n"/>
    </row>
    <row r="22">
      <c r="A22" s="6" t="inlineStr">
        <is>
          <t>Treasury asset revaluation</t>
        </is>
      </c>
      <c r="B22" s="6" t="n">
        <v>67382</v>
      </c>
      <c r="C22" s="6" t="n">
        <v>0</v>
      </c>
      <c r="D22" s="6" t="n">
        <v>0</v>
      </c>
      <c r="E22" s="6" t="n"/>
    </row>
    <row r="23">
      <c r="A23" s="5" t="inlineStr">
        <is>
          <t>Total other comprehensive income for the year</t>
        </is>
      </c>
      <c r="B23" s="5" t="n">
        <v>67382</v>
      </c>
      <c r="C23" s="5" t="n">
        <v>0</v>
      </c>
      <c r="D23" s="5" t="n">
        <v>0</v>
      </c>
      <c r="E23" s="5" t="n"/>
    </row>
    <row r="24">
      <c r="A24" s="5" t="inlineStr">
        <is>
          <t>Total comprehensive income for the year</t>
        </is>
      </c>
      <c r="B24" s="5" t="n">
        <v>-6126169</v>
      </c>
      <c r="C24" s="5" t="n">
        <v>-1769188</v>
      </c>
      <c r="D24" s="5" t="n">
        <v>-406520</v>
      </c>
      <c r="E24" s="5" t="n"/>
    </row>
    <row r="26" ht="210" customHeight="1">
      <c r="A26" s="8" t="inlineStr">
        <is>
          <t>Sources - FY2024: Afin Bank Limited audited annual report and financial statements for the year ended 31 December 2024, statement of comprehensive income, printed p. 33 - https://afinbank.com/wp-content/uploads/2025/09/Afin-Bank-Ltd-Year-End-Accounts-FV24-FINAL-SIGNED.pdf
FY2023: All Africa Capital Limited audited annual report and financial statements for the year ended 31 December 2023, statement of comprehensive income p. 6 and operating loss note 5 p. 14 (2023 column; 2022 comparative column, itself unaudited) - https://find-and-update.company-information.service.gov.uk/company/13090556/filing-history/MzQyNDA1MjMwOGFkaXF6a2N4/document?format=pdf&amp;download=0
FY2022: as above (FY2023 report's own 2022 comparative and note 5 breakdown - the standalone FY2022 filing states the directors elected not to include a P&amp;L account within the filed financial statements) - https://find-and-update.company-information.service.gov.uk/company/13090556/filing-history/MzM5MzI3MzYzNmFkaXF6a2N4/document?format=pdf&amp;download=0
FY2021: NOT DISCLOSED - the directors of All Africa Capital Limited elected not to include a copy of the profit and loss account within the filed financial statements for the period ended 31 December 2021 (a small-companies filing exemption); no P&amp;L breakdown exists in any source reviewed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STRUCTURAL NOTE: FY2023/FY2022's own administrative-expenses note (note 5) splits costs as Staff costs / Computer running costs / Legal and professional fees / Consultancy fees / Audit fees / Depreciation / Other costs and separately discloses 'Other operating income' (£231 in FY2022, £nil in FY2023) - reproduced as its own set of rows rather than force-mapped onto FY2024's differently-labelled 'Other operating costs' bucket. Both years' figures were verified to foot exactly to the reported Administrative expenses total.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Afin Bank Limited — Statement of Changes in Equity</t>
        </is>
      </c>
    </row>
    <row r="2">
      <c r="A2" s="2" t="inlineStr">
        <is>
          <t>Afin Bank Limited (All Africa Capital Limited pre-October 2024) statement of changes in equity, 18 December 2020 (incorporation) to 31 December 2024; amounts in £.</t>
        </is>
      </c>
    </row>
    <row r="3">
      <c r="A3" s="4" t="inlineStr">
        <is>
          <t>Movement</t>
        </is>
      </c>
      <c r="B3" s="4" t="inlineStr">
        <is>
          <t>Share capital</t>
        </is>
      </c>
      <c r="C3" s="4" t="inlineStr">
        <is>
          <t>Revaluation reserve</t>
        </is>
      </c>
      <c r="D3" s="4" t="inlineStr">
        <is>
          <t>Share based payment</t>
        </is>
      </c>
      <c r="E3" s="4" t="inlineStr">
        <is>
          <t>Retained earnings</t>
        </is>
      </c>
      <c r="F3" s="4" t="inlineStr">
        <is>
          <t>Total equity</t>
        </is>
      </c>
    </row>
    <row r="4">
      <c r="A4" s="5" t="inlineStr">
        <is>
          <t>Balance at 18 December 2020 (date of incorporation)</t>
        </is>
      </c>
      <c r="B4" s="5" t="n">
        <v>0</v>
      </c>
      <c r="C4" s="5" t="n"/>
      <c r="D4" s="5" t="n"/>
      <c r="E4" s="5" t="n">
        <v>0</v>
      </c>
      <c r="F4" s="5" t="n">
        <v>0</v>
      </c>
    </row>
    <row r="5">
      <c r="A5" s="6" t="inlineStr">
        <is>
          <t>Total comprehensive income for the period (18 Dec 2020 to 31 Dec 2021)</t>
        </is>
      </c>
      <c r="B5" s="6" t="n"/>
      <c r="C5" s="6" t="n"/>
      <c r="D5" s="6" t="n"/>
      <c r="E5" s="6" t="n">
        <v>-219920</v>
      </c>
      <c r="F5" s="6" t="n">
        <v>-219920</v>
      </c>
    </row>
    <row r="6">
      <c r="A6" s="6" t="inlineStr">
        <is>
          <t>Issue of share capital (2021)</t>
        </is>
      </c>
      <c r="B6" s="6" t="n">
        <v>266750</v>
      </c>
      <c r="C6" s="6" t="n"/>
      <c r="D6" s="6" t="n"/>
      <c r="E6" s="6" t="n"/>
      <c r="F6" s="6" t="n">
        <v>266750</v>
      </c>
    </row>
    <row r="7">
      <c r="A7" s="5" t="inlineStr">
        <is>
          <t>Balance at 31 December 2021</t>
        </is>
      </c>
      <c r="B7" s="5" t="n">
        <v>266750</v>
      </c>
      <c r="C7" s="5" t="n">
        <v>0</v>
      </c>
      <c r="D7" s="5" t="n">
        <v>0</v>
      </c>
      <c r="E7" s="5" t="n">
        <v>-219920</v>
      </c>
      <c r="F7" s="5" t="n">
        <v>46830</v>
      </c>
    </row>
    <row r="8">
      <c r="A8" s="6" t="inlineStr">
        <is>
          <t>Total comprehensive income for the year (2022)</t>
        </is>
      </c>
      <c r="B8" s="6" t="n"/>
      <c r="C8" s="6" t="n"/>
      <c r="D8" s="6" t="n"/>
      <c r="E8" s="6" t="n">
        <v>-406520</v>
      </c>
      <c r="F8" s="6" t="n">
        <v>-406520</v>
      </c>
    </row>
    <row r="9">
      <c r="A9" s="6" t="inlineStr">
        <is>
          <t>Issue of share capital (2022)</t>
        </is>
      </c>
      <c r="B9" s="6" t="n">
        <v>323904</v>
      </c>
      <c r="C9" s="6" t="n"/>
      <c r="D9" s="6" t="n"/>
      <c r="E9" s="6" t="n"/>
      <c r="F9" s="6" t="n">
        <v>323904</v>
      </c>
    </row>
    <row r="10">
      <c r="A10" s="5" t="inlineStr">
        <is>
          <t>Balance at 1 January 2023</t>
        </is>
      </c>
      <c r="B10" s="5" t="n">
        <v>590654</v>
      </c>
      <c r="C10" s="5" t="n"/>
      <c r="D10" s="5" t="n"/>
      <c r="E10" s="5" t="n">
        <v>-626440</v>
      </c>
      <c r="F10" s="5" t="n">
        <v>-35786</v>
      </c>
    </row>
    <row r="11">
      <c r="A11" s="6" t="inlineStr">
        <is>
          <t>Total comprehensive income for the year (2023)</t>
        </is>
      </c>
      <c r="B11" s="6" t="n"/>
      <c r="C11" s="6" t="n"/>
      <c r="D11" s="6" t="n"/>
      <c r="E11" s="6" t="n">
        <v>-1769188</v>
      </c>
      <c r="F11" s="6" t="n">
        <v>-1769188</v>
      </c>
    </row>
    <row r="12">
      <c r="A12" s="6" t="inlineStr">
        <is>
          <t>Issue of share capital (2023)</t>
        </is>
      </c>
      <c r="B12" s="6" t="n">
        <v>2767153</v>
      </c>
      <c r="C12" s="6" t="n"/>
      <c r="D12" s="6" t="n"/>
      <c r="E12" s="6" t="n"/>
      <c r="F12" s="6" t="n">
        <v>2767153</v>
      </c>
    </row>
    <row r="13">
      <c r="A13" s="5" t="inlineStr">
        <is>
          <t>Balance at 31 December 2023</t>
        </is>
      </c>
      <c r="B13" s="5" t="n">
        <v>3357807</v>
      </c>
      <c r="C13" s="5" t="n">
        <v>0</v>
      </c>
      <c r="D13" s="5" t="n">
        <v>0</v>
      </c>
      <c r="E13" s="5" t="n">
        <v>-2395628</v>
      </c>
      <c r="F13" s="5" t="n">
        <v>962179</v>
      </c>
    </row>
    <row r="14">
      <c r="A14" s="6" t="inlineStr">
        <is>
          <t>Loss for the year (2024)</t>
        </is>
      </c>
      <c r="B14" s="6" t="n"/>
      <c r="C14" s="6" t="n"/>
      <c r="D14" s="6" t="n"/>
      <c r="E14" s="6" t="n">
        <v>-6193551</v>
      </c>
      <c r="F14" s="6" t="n">
        <v>-6193551</v>
      </c>
    </row>
    <row r="15">
      <c r="A15" s="6" t="inlineStr">
        <is>
          <t>Other comprehensive income - Treasury asset revaluation (2024)</t>
        </is>
      </c>
      <c r="B15" s="6" t="n"/>
      <c r="C15" s="6" t="n">
        <v>67382</v>
      </c>
      <c r="D15" s="6" t="n"/>
      <c r="E15" s="6" t="n"/>
      <c r="F15" s="6" t="n">
        <v>67382</v>
      </c>
    </row>
    <row r="16">
      <c r="A16" s="5" t="inlineStr">
        <is>
          <t>Total comprehensive income for the year (2024)</t>
        </is>
      </c>
      <c r="B16" s="5" t="n"/>
      <c r="C16" s="5" t="n">
        <v>67382</v>
      </c>
      <c r="D16" s="5" t="n"/>
      <c r="E16" s="5" t="n">
        <v>-6193551</v>
      </c>
      <c r="F16" s="5" t="n">
        <v>-6126169</v>
      </c>
    </row>
    <row r="17">
      <c r="A17" s="6" t="inlineStr">
        <is>
          <t>Issue of share capital (2024)</t>
        </is>
      </c>
      <c r="B17" s="6" t="n">
        <v>20256229</v>
      </c>
      <c r="C17" s="6" t="n"/>
      <c r="D17" s="6" t="n"/>
      <c r="E17" s="6" t="n"/>
      <c r="F17" s="6" t="n">
        <v>20256229</v>
      </c>
    </row>
    <row r="18">
      <c r="A18" s="6" t="inlineStr">
        <is>
          <t>Share based payment (2024)</t>
        </is>
      </c>
      <c r="B18" s="6" t="n"/>
      <c r="C18" s="6" t="n"/>
      <c r="D18" s="6" t="n">
        <v>267626</v>
      </c>
      <c r="E18" s="6" t="n"/>
      <c r="F18" s="6" t="n">
        <v>267626</v>
      </c>
    </row>
    <row r="19">
      <c r="A19" s="5" t="inlineStr">
        <is>
          <t>Balance at 31 December 2024</t>
        </is>
      </c>
      <c r="B19" s="5" t="n">
        <v>23614036</v>
      </c>
      <c r="C19" s="5" t="n">
        <v>67382</v>
      </c>
      <c r="D19" s="5" t="n">
        <v>267626</v>
      </c>
      <c r="E19" s="5" t="n">
        <v>-8589179</v>
      </c>
      <c r="F19" s="5" t="n">
        <v>15359865</v>
      </c>
    </row>
    <row r="21" ht="210" customHeight="1">
      <c r="A21" s="8" t="inlineStr">
        <is>
          <t>Sources - FY2024: Afin Bank Limited audited annual report and financial statements for the year ended 31 December 2024, statement of changes in equity, p. 35, covering 1 January 2023 to 31 December 2024 - https://afinbank.com/wp-content/uploads/2025/09/Afin-Bank-Ltd-Year-End-Accounts-FV24-FINAL-SIGNED.pdf
FY2021-FY2023: All Africa Capital Limited's own statement of changes in equity (FY2023 report, p. 8, covering 1 January 2022 to 31 December 2023) - https://find-and-update.company-information.service.gov.uk/company/13090556/filing-history/MzQyNDA1MjMwOGFkaXF6a2N4/document?format=pdf&amp;download=0 - plus the FY2021 first-period balance sheet (opening/closing bridge derived from its own reported balances) - https://find-and-update.company-information.service.gov.uk/company/13090556/filing-history/MzM2MjY4Mzc2MGFkaXF6a2N4/document?format=pdf&amp;download=0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This sheet now runs chronologically from incorporation (18 December 2020) through 31 December 2024, the one sheet in the workbook not self-skipping FY2020: even though no discrete FY2020 accounts exist (see FY2020_SKIP_NOTE), the equity roll-forward correctly shows the company's true opening position at incorporation (£0) as its own row, with the first accounting period's entire movement (18 December 2020 to 31 December 2021) shown as a single aggregate line - the small-companies filing exemption from including a P&amp;L account means no finer split of that movement is available from any source.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1:F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s>
  <sheetData>
    <row r="1">
      <c r="A1" s="1" t="inlineStr">
        <is>
          <t>Afin Bank Limited — Cash Flow Statement</t>
        </is>
      </c>
    </row>
    <row r="2">
      <c r="A2" s="2" t="inlineStr">
        <is>
          <t>Afin Bank Limited (All Africa Capital Limited pre-October 2024) audited/unaudited statement of cash flows; amounts in £. FY2021 NOT DISCLOSED (small-companies exemption - see source note).</t>
        </is>
      </c>
    </row>
    <row r="3">
      <c r="A3" s="4" t="inlineStr">
        <is>
          <t>Line item</t>
        </is>
      </c>
      <c r="B3" s="4" t="inlineStr">
        <is>
          <t>FY2024 (£)</t>
        </is>
      </c>
      <c r="C3" s="4" t="inlineStr">
        <is>
          <t>FY2023 (£)</t>
        </is>
      </c>
      <c r="D3" s="4" t="inlineStr">
        <is>
          <t>FY2022 (£)</t>
        </is>
      </c>
      <c r="E3" s="4" t="inlineStr">
        <is>
          <t>FY2021 (£)</t>
        </is>
      </c>
    </row>
    <row r="4">
      <c r="A4" s="5" t="inlineStr">
        <is>
          <t>Cash flows from operating activities</t>
        </is>
      </c>
      <c r="B4" s="6" t="n"/>
      <c r="C4" s="6" t="n"/>
      <c r="D4" s="6" t="n"/>
      <c r="E4" s="6" t="n"/>
    </row>
    <row r="5">
      <c r="A5" s="6" t="inlineStr">
        <is>
          <t>Cash absorbed by operations</t>
        </is>
      </c>
      <c r="B5" s="6" t="n">
        <v>-5854403</v>
      </c>
      <c r="C5" s="6" t="n">
        <v>-1746327</v>
      </c>
      <c r="D5" s="6" t="n">
        <v>-402889</v>
      </c>
      <c r="E5" s="6" t="n"/>
    </row>
    <row r="6">
      <c r="A6" s="6" t="inlineStr">
        <is>
          <t>Interest received</t>
        </is>
      </c>
      <c r="B6" s="6" t="n"/>
      <c r="C6" s="6" t="n">
        <v>8</v>
      </c>
      <c r="D6" s="6" t="n">
        <v>0</v>
      </c>
      <c r="E6" s="6" t="n"/>
    </row>
    <row r="7">
      <c r="A7" s="6" t="inlineStr">
        <is>
          <t>Interest paid</t>
        </is>
      </c>
      <c r="B7" s="6" t="n"/>
      <c r="C7" s="6" t="n">
        <v>-1263</v>
      </c>
      <c r="D7" s="6" t="n">
        <v>0</v>
      </c>
      <c r="E7" s="6" t="n"/>
    </row>
    <row r="8">
      <c r="A8" s="5" t="inlineStr">
        <is>
          <t>Net cash outflow from operating activities</t>
        </is>
      </c>
      <c r="B8" s="5" t="n">
        <v>-5854403</v>
      </c>
      <c r="C8" s="5" t="n">
        <v>-1747582</v>
      </c>
      <c r="D8" s="5" t="n">
        <v>-402889</v>
      </c>
      <c r="E8" s="5" t="n"/>
    </row>
    <row r="9">
      <c r="A9" s="5" t="inlineStr">
        <is>
          <t>Investing activities</t>
        </is>
      </c>
      <c r="B9" s="6" t="n"/>
      <c r="C9" s="6" t="n"/>
      <c r="D9" s="6" t="n"/>
      <c r="E9" s="6" t="n"/>
    </row>
    <row r="10">
      <c r="A10" s="6" t="inlineStr">
        <is>
          <t>Purchase of intangible assets</t>
        </is>
      </c>
      <c r="B10" s="6" t="n">
        <v>-2668378</v>
      </c>
      <c r="C10" s="6" t="n">
        <v>-12000</v>
      </c>
      <c r="D10" s="6" t="n">
        <v>0</v>
      </c>
      <c r="E10" s="6" t="n"/>
    </row>
    <row r="11">
      <c r="A11" s="6" t="inlineStr">
        <is>
          <t>Purchase of property, plant and equipment</t>
        </is>
      </c>
      <c r="B11" s="6" t="n">
        <v>-52008</v>
      </c>
      <c r="C11" s="6" t="n">
        <v>-19717</v>
      </c>
      <c r="D11" s="6" t="n">
        <v>0</v>
      </c>
      <c r="E11" s="6" t="n"/>
    </row>
    <row r="12">
      <c r="A12" s="6" t="inlineStr">
        <is>
          <t>Purchase of investments</t>
        </is>
      </c>
      <c r="B12" s="6" t="n">
        <v>-9700415</v>
      </c>
      <c r="C12" s="6" t="n"/>
      <c r="D12" s="6" t="n"/>
      <c r="E12" s="6" t="n"/>
    </row>
    <row r="13">
      <c r="A13" s="6" t="inlineStr">
        <is>
          <t>Finance income</t>
        </is>
      </c>
      <c r="B13" s="6" t="n">
        <v>75152</v>
      </c>
      <c r="C13" s="6" t="n"/>
      <c r="D13" s="6" t="n"/>
      <c r="E13" s="6" t="n"/>
    </row>
    <row r="14">
      <c r="A14" s="5" t="inlineStr">
        <is>
          <t>Net cash used in investing activities</t>
        </is>
      </c>
      <c r="B14" s="5" t="n">
        <v>-12345649</v>
      </c>
      <c r="C14" s="5" t="n">
        <v>-31717</v>
      </c>
      <c r="D14" s="5" t="n">
        <v>0</v>
      </c>
      <c r="E14" s="5" t="n"/>
    </row>
    <row r="15">
      <c r="A15" s="5" t="inlineStr">
        <is>
          <t>Financing activities</t>
        </is>
      </c>
      <c r="B15" s="6" t="n"/>
      <c r="C15" s="6" t="n"/>
      <c r="D15" s="6" t="n"/>
      <c r="E15" s="6" t="n"/>
    </row>
    <row r="16">
      <c r="A16" s="6" t="inlineStr">
        <is>
          <t>Proceeds from issue of shares</t>
        </is>
      </c>
      <c r="B16" s="6" t="n">
        <v>20523855</v>
      </c>
      <c r="C16" s="6" t="n">
        <v>2767153</v>
      </c>
      <c r="D16" s="6" t="n">
        <v>323904</v>
      </c>
      <c r="E16" s="6" t="n"/>
    </row>
    <row r="17">
      <c r="A17" s="6" t="inlineStr">
        <is>
          <t>Payment of lease liabilities</t>
        </is>
      </c>
      <c r="B17" s="6" t="n">
        <v>-134783</v>
      </c>
      <c r="C17" s="6" t="n">
        <v>-23509</v>
      </c>
      <c r="D17" s="6" t="n">
        <v>0</v>
      </c>
      <c r="E17" s="6" t="n"/>
    </row>
    <row r="18">
      <c r="A18" s="6" t="inlineStr">
        <is>
          <t>Finance cost</t>
        </is>
      </c>
      <c r="B18" s="6" t="n">
        <v>-4777</v>
      </c>
      <c r="C18" s="6" t="n"/>
      <c r="D18" s="6" t="n"/>
      <c r="E18" s="6" t="n"/>
    </row>
    <row r="19">
      <c r="A19" s="5" t="inlineStr">
        <is>
          <t>Net cash generated from financing activities</t>
        </is>
      </c>
      <c r="B19" s="5" t="n">
        <v>20384295</v>
      </c>
      <c r="C19" s="5" t="n">
        <v>2743644</v>
      </c>
      <c r="D19" s="5" t="n">
        <v>323904</v>
      </c>
      <c r="E19" s="5" t="n"/>
    </row>
    <row r="20">
      <c r="A20" s="5" t="inlineStr">
        <is>
          <t>Net increase in cash and cash equivalents</t>
        </is>
      </c>
      <c r="B20" s="5" t="n">
        <v>2184243</v>
      </c>
      <c r="C20" s="5" t="n">
        <v>964345</v>
      </c>
      <c r="D20" s="5" t="n">
        <v>-78985</v>
      </c>
      <c r="E20" s="5" t="n"/>
    </row>
    <row r="21">
      <c r="A21" s="6" t="inlineStr">
        <is>
          <t>Cash and cash equivalents at the beginning of the year</t>
        </is>
      </c>
      <c r="B21" s="6" t="n">
        <v>971678</v>
      </c>
      <c r="C21" s="6" t="n">
        <v>7333</v>
      </c>
      <c r="D21" s="6" t="n">
        <v>86318</v>
      </c>
      <c r="E21" s="6" t="n"/>
    </row>
    <row r="22">
      <c r="A22" s="5" t="inlineStr">
        <is>
          <t>Cash and cash equivalents at the end of the year</t>
        </is>
      </c>
      <c r="B22" s="5" t="n">
        <v>3155921</v>
      </c>
      <c r="C22" s="5" t="n">
        <v>971678</v>
      </c>
      <c r="D22" s="5" t="n">
        <v>7333</v>
      </c>
      <c r="E22" s="5" t="n">
        <v>86318</v>
      </c>
    </row>
    <row r="24" ht="225" customHeight="1">
      <c r="A24" s="8" t="inlineStr">
        <is>
          <t>Sources - FY2024: Afin Bank Limited audited annual report and financial statements for the year ended 31 December 2024, statement of cash flows, printed p. 36 - https://afinbank.com/wp-content/uploads/2025/09/Afin-Bank-Ltd-Year-End-Accounts-FV24-FINAL-SIGNED.pdf
FY2023: All Africa Capital Limited audited annual report and financial statements for the year ended 31 December 2023, statement of cash flows, p. 9 (2023 column; 2022 comparative column, itself unaudited per the auditor's report on p. 4) - https://find-and-update.company-information.service.gov.uk/company/13090556/filing-history/MzQyNDA1MjMwOGFkaXF6a2N4/document?format=pdf&amp;download=0
FY2022: as above (FY2023 report's own 2022 comparative column - the standalone FY2022 filing is a balance-sheet-only unaudited filing with no cash flow statement) - https://find-and-update.company-information.service.gov.uk/company/13090556/filing-history/MzM5MzI3MzYzNmFkaXF6a2N4/document?format=pdf&amp;download=0
FY2021: NOT DISCLOSED - All Africa Capital Limited's first accounts (period ended 31 December 2021) take the small companies' exemption from preparing a cash flow statement (FRS 102 Section 1A); no cash flow statement exists for this period in any source reviewed - https://find-and-update.company-information.service.gov.uk/company/13090556/filing-history/MzM2MjY4Mzc2MGFkaXF6a2N4/document?format=pdf&amp;download=0
Companies House filing history - https://find-and-update.company-information.service.gov.uk/company/13090556/filing-history
STRUCTURAL NOTE: FY2023/FY2022 route net interest through two new 'Interest received'/'Interest paid' rows under Operating activities (per those years' own statement); FY2024 instead reports 'Finance income' under Investing and 'Finance cost' under Financing (per that year's own statement) - both are reproduced exactly as each year's own source presents them, not forced into a single common layout.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FY2020 SELF-SKIPPED IN FULL: the company was incorporated 18 December 2020, so no financial year beginning 1 January 2020 exists for this entity, and no such period was ever filed at Companies House. Its first statutory accounts (filed 16 December 2022) cover the period from incorporation (18 December 2020) to 31 December 2021 - a single ~13.5-month first accounting period, not a discrete FY2020 followed by a discrete FY2021. This was confirmed by reading the full Companies House filing history for company 13090556 (all 4 pages, back to incorporation), not assumed from the entity-creation-date signal alone - https://find-and-update.company-information.service.gov.uk/company/13090556/filing-history</t>
        </is>
      </c>
    </row>
  </sheetData>
  <mergeCells count="1">
    <mergeCell ref="A24:E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Asset Quality / Credit Risk Disclosures</t>
        </is>
      </c>
    </row>
    <row r="2">
      <c r="A2" s="2" t="inlineStr">
        <is>
          <t>Afin Bank Limited loan book / credit risk disclosures; amounts in £.</t>
        </is>
      </c>
    </row>
    <row r="3">
      <c r="A3" s="4" t="inlineStr">
        <is>
          <t>Line item</t>
        </is>
      </c>
      <c r="B3" s="4" t="inlineStr">
        <is>
          <t>FY2024 (£)</t>
        </is>
      </c>
      <c r="C3" s="4" t="inlineStr">
        <is>
          <t>FY2023 (£)</t>
        </is>
      </c>
      <c r="D3" s="4" t="inlineStr">
        <is>
          <t>FY2022 (£)</t>
        </is>
      </c>
      <c r="E3" s="4" t="inlineStr">
        <is>
          <t>FY2021 (£)</t>
        </is>
      </c>
    </row>
    <row r="4">
      <c r="A4" s="6" t="inlineStr">
        <is>
          <t>Not publicly disclosed / Not applicable</t>
        </is>
      </c>
      <c r="B4" s="6" t="inlineStr">
        <is>
          <t>Not publicly disclosed</t>
        </is>
      </c>
      <c r="C4" s="6" t="inlineStr">
        <is>
          <t>Not applicable</t>
        </is>
      </c>
      <c r="D4" s="6" t="inlineStr">
        <is>
          <t>Not applicable</t>
        </is>
      </c>
      <c r="E4" s="6" t="inlineStr">
        <is>
          <t>Not applicable</t>
        </is>
      </c>
    </row>
    <row r="6" ht="180" customHeight="1">
      <c r="A6" s="8" t="inlineStr">
        <is>
          <t>Sources - Afin Bank Limited 2024 Annual Report and Pillar 3 Disclosures:
https://afinbank.com/wp-content/uploads/2025/09/Afin-Bank-Ltd-Year-End-Accounts-FV24-FINAL-SIGNED.pdf
https://afinbank.com/wp-content/uploads/2025/09/Afin-Bank-2024-Pillar-3-Disclosures-FINAL.pdf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DISCLOSED (FY2024): Afin Bank's balance sheet has no lending product line (assets are Cash, Treasury assets, Receivables, Prepayments, PP&amp;E and intangibles only) and neither the 2024 Annual Report nor the 2024 Pillar 3 disclosure (a small non-complex institution under CRR Article 433b) contains a loan book / IFRS 9 stage / credit risk exposure breakdown.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CET1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Tier 1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12922</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418.5%</t>
        </is>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3087</v>
      </c>
      <c r="C4" s="6" t="inlineStr">
        <is>
          <t>Not applicable</t>
        </is>
      </c>
      <c r="D4" s="6" t="inlineStr">
        <is>
          <t>Not applicable</t>
        </is>
      </c>
      <c r="E4" s="6" t="inlineStr">
        <is>
          <t>Not applicable</t>
        </is>
      </c>
    </row>
    <row r="6" ht="180" customHeight="1">
      <c r="A6"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Afin Bank Limited — RWA Breakdown</t>
        </is>
      </c>
    </row>
    <row r="2">
      <c r="A2" s="2" t="inlineStr">
        <is>
          <t>Afin Bank Limited risk-weighted exposure amount breakdown; amounts in £'000. FY2024 per the Pillar 3 UK OV1 template; FY2023-FY2021 not applicable (entity not yet a PRA-authorised bank).</t>
        </is>
      </c>
    </row>
    <row r="3">
      <c r="A3" s="4" t="inlineStr">
        <is>
          <t>Line item</t>
        </is>
      </c>
      <c r="B3" s="4" t="inlineStr">
        <is>
          <t>FY2024 (£'000)</t>
        </is>
      </c>
      <c r="C3" s="4" t="inlineStr">
        <is>
          <t>FY2023 (£'000)</t>
        </is>
      </c>
      <c r="D3" s="4" t="inlineStr">
        <is>
          <t>FY2022 (£'000)</t>
        </is>
      </c>
      <c r="E3" s="4" t="inlineStr">
        <is>
          <t>FY2021 (£'000)</t>
        </is>
      </c>
    </row>
    <row r="4">
      <c r="A4" s="5" t="inlineStr">
        <is>
          <t>UK OV1 — Overview of risk weighted exposure amounts</t>
        </is>
      </c>
      <c r="B4" s="6" t="n"/>
      <c r="C4" s="6" t="n"/>
      <c r="D4" s="6" t="n"/>
      <c r="E4" s="6" t="n"/>
    </row>
    <row r="5">
      <c r="A5" s="6" t="inlineStr">
        <is>
          <t>Credit risk (excluding CCR)</t>
        </is>
      </c>
      <c r="B5" s="6" t="n">
        <v>2489</v>
      </c>
      <c r="C5" s="6" t="n"/>
      <c r="D5" s="6" t="n"/>
      <c r="E5" s="6" t="n"/>
    </row>
    <row r="6">
      <c r="A6" s="6" t="inlineStr">
        <is>
          <t>Operational risk</t>
        </is>
      </c>
      <c r="B6" s="6" t="n">
        <v>598</v>
      </c>
      <c r="C6" s="6" t="n"/>
      <c r="D6" s="6" t="n"/>
      <c r="E6" s="6" t="n"/>
    </row>
    <row r="7">
      <c r="A7" s="5" t="inlineStr">
        <is>
          <t>Total risk weighted exposure amount</t>
        </is>
      </c>
      <c r="B7" s="5" t="n">
        <v>3087</v>
      </c>
      <c r="C7" s="5" t="n"/>
      <c r="D7" s="5" t="n"/>
      <c r="E7" s="5" t="n"/>
    </row>
    <row r="8">
      <c r="A8" s="5" t="inlineStr">
        <is>
          <t>Not applicable</t>
        </is>
      </c>
      <c r="B8" s="6" t="n"/>
      <c r="C8" s="6" t="n"/>
      <c r="D8" s="6" t="n"/>
      <c r="E8" s="6" t="n"/>
    </row>
    <row r="9">
      <c r="A9" s="6" t="inlineStr">
        <is>
          <t>Not publicly disclosed / Not applicable</t>
        </is>
      </c>
      <c r="B9" s="6" t="n"/>
      <c r="C9" s="6" t="inlineStr">
        <is>
          <t>Not applicable</t>
        </is>
      </c>
      <c r="D9" s="6" t="inlineStr">
        <is>
          <t>Not applicable</t>
        </is>
      </c>
      <c r="E9" s="6" t="inlineStr">
        <is>
          <t>Not applicable</t>
        </is>
      </c>
    </row>
    <row r="11" ht="180" customHeight="1">
      <c r="A11" s="8" t="inlineStr">
        <is>
          <t>Sources - Afin Bank Limited standalone Pillar 3 Disclosures for the year ended 31 December 2024:
FY2024: UK OV1 - Overview of risk weighted exposure amounts (Table 2), printed p. 5 - https://afinbank.com/wp-content/uploads/2025/09/Afin-Bank-2024-Pillar-3-Disclosures-FINAL.pdf
FY2024 figures are directly disclosed (not derived): Credit risk (excluding CCR) £2,489k + Operational risk £598k = £3,087k, which reconciles exactly to the Total RWAs sheet's own FY2024 figure of £3,087k (UK KM1, row 4). No counterparty credit risk, securitisation or market risk rows are shown in Afin Bank's own OV1 table (rows 2-22 and 24-28 of the standard OV1 template are blank/not populated), consistent with a small, newly-authorised institution with no trading book or derivatives exposure - not a gap in transcription.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 NOT DISCLOSED (FY2023-FY2021): as above (see NOT_APPLICABLE_P3_NOTE) - the entity had no Pillar 3 disclosure obligation for these years.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11:E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Leverage Ratio</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exposure measure excluding claims on central banks</t>
        </is>
      </c>
      <c r="B4" s="6" t="n">
        <v>14782</v>
      </c>
      <c r="C4" s="6" t="inlineStr">
        <is>
          <t>Not applicable</t>
        </is>
      </c>
      <c r="D4" s="6" t="inlineStr">
        <is>
          <t>Not applicable</t>
        </is>
      </c>
      <c r="E4" s="6" t="inlineStr">
        <is>
          <t>Not applicable</t>
        </is>
      </c>
    </row>
    <row r="5">
      <c r="A5" s="6" t="inlineStr">
        <is>
          <t>Leverage ratio excluding claims on central banks</t>
        </is>
      </c>
      <c r="B5" s="6" t="inlineStr">
        <is>
          <t>87.4%</t>
        </is>
      </c>
      <c r="C5" s="6" t="inlineStr">
        <is>
          <t>Not applicable</t>
        </is>
      </c>
      <c r="D5" s="6" t="inlineStr">
        <is>
          <t>Not applicable</t>
        </is>
      </c>
      <c r="E5" s="6" t="inlineStr">
        <is>
          <t>Not applicable</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LCR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high-quality liquid assets (HQLA) (weighted value - average)</t>
        </is>
      </c>
      <c r="B4" s="6" t="n">
        <v>8909</v>
      </c>
      <c r="C4" s="6" t="inlineStr">
        <is>
          <t>Not applicable</t>
        </is>
      </c>
      <c r="D4" s="6" t="inlineStr">
        <is>
          <t>Not applicable</t>
        </is>
      </c>
      <c r="E4" s="6" t="inlineStr">
        <is>
          <t>Not applicable</t>
        </is>
      </c>
    </row>
    <row r="5">
      <c r="A5" s="6" t="inlineStr">
        <is>
          <t>Cash outflows - total weighted value</t>
        </is>
      </c>
      <c r="B5" s="6" t="n">
        <v>0</v>
      </c>
      <c r="C5" s="6" t="inlineStr">
        <is>
          <t>Not applicable</t>
        </is>
      </c>
      <c r="D5" s="6" t="inlineStr">
        <is>
          <t>Not applicable</t>
        </is>
      </c>
      <c r="E5" s="6" t="inlineStr">
        <is>
          <t>Not applicable</t>
        </is>
      </c>
    </row>
    <row r="6">
      <c r="A6" s="6" t="inlineStr">
        <is>
          <t>Cash inflows - total weighted value</t>
        </is>
      </c>
      <c r="B6" s="6" t="n">
        <v>3971</v>
      </c>
      <c r="C6" s="6" t="inlineStr">
        <is>
          <t>Not applicable</t>
        </is>
      </c>
      <c r="D6" s="6" t="inlineStr">
        <is>
          <t>Not applicable</t>
        </is>
      </c>
      <c r="E6" s="6" t="inlineStr">
        <is>
          <t>Not applicable</t>
        </is>
      </c>
    </row>
    <row r="7">
      <c r="A7" s="6" t="inlineStr">
        <is>
          <t>Total net cash outflows (adjusted value)</t>
        </is>
      </c>
      <c r="B7" s="6" t="n">
        <v>0</v>
      </c>
      <c r="C7" s="6" t="inlineStr">
        <is>
          <t>Not applicable</t>
        </is>
      </c>
      <c r="D7" s="6" t="inlineStr">
        <is>
          <t>Not applicable</t>
        </is>
      </c>
      <c r="E7" s="6" t="inlineStr">
        <is>
          <t>Not applicable</t>
        </is>
      </c>
    </row>
    <row r="8">
      <c r="A8" s="6" t="inlineStr">
        <is>
          <t>Liquidity coverage ratio</t>
        </is>
      </c>
      <c r="B8" s="6" t="inlineStr">
        <is>
          <t>999999%</t>
        </is>
      </c>
      <c r="C8" s="6" t="inlineStr">
        <is>
          <t>Not applicable</t>
        </is>
      </c>
      <c r="D8" s="6" t="inlineStr">
        <is>
          <t>Not applicable</t>
        </is>
      </c>
      <c r="E8" s="6" t="inlineStr">
        <is>
          <t>Not applicable</t>
        </is>
      </c>
    </row>
    <row r="9" ht="60" customHeight="1">
      <c r="A9" s="7" t="inlineStr">
        <is>
          <t>Note: Afin states that it had no qualifying cash outflows at 31 December 2024; the source therefore reports the LCR as 999999%. This is reproduced as reported and is not interpreted as a conventional finite ratio. FY2021-FY2023 predate Afin's banking authorisation - no LCR obligation existed.</t>
        </is>
      </c>
    </row>
    <row r="11" ht="180" customHeight="1">
      <c r="A11"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11:E11"/>
    <mergeCell ref="A9:E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NSFR</t>
        </is>
      </c>
    </row>
    <row r="2">
      <c r="A2" s="2" t="inlineStr">
        <is>
          <t>£'000 / %</t>
        </is>
      </c>
    </row>
    <row r="3">
      <c r="A3" s="4" t="inlineStr">
        <is>
          <t>Metric</t>
        </is>
      </c>
      <c r="B3" s="4" t="inlineStr">
        <is>
          <t>FY2024</t>
        </is>
      </c>
      <c r="C3" s="4" t="inlineStr">
        <is>
          <t>FY2023</t>
        </is>
      </c>
      <c r="D3" s="4" t="inlineStr">
        <is>
          <t>FY2022</t>
        </is>
      </c>
      <c r="E3" s="4" t="inlineStr">
        <is>
          <t>FY2021</t>
        </is>
      </c>
    </row>
    <row r="4">
      <c r="A4" s="6" t="inlineStr">
        <is>
          <t>Total available stable funding</t>
        </is>
      </c>
      <c r="B4" s="6" t="n">
        <v>21486</v>
      </c>
      <c r="C4" s="6" t="inlineStr">
        <is>
          <t>Not applicable</t>
        </is>
      </c>
      <c r="D4" s="6" t="inlineStr">
        <is>
          <t>Not applicable</t>
        </is>
      </c>
      <c r="E4" s="6" t="inlineStr">
        <is>
          <t>Not applicable</t>
        </is>
      </c>
    </row>
    <row r="5">
      <c r="A5" s="6" t="inlineStr">
        <is>
          <t>Total required stable funding</t>
        </is>
      </c>
      <c r="B5" s="6" t="n">
        <v>4365</v>
      </c>
      <c r="C5" s="6" t="inlineStr">
        <is>
          <t>Not applicable</t>
        </is>
      </c>
      <c r="D5" s="6" t="inlineStr">
        <is>
          <t>Not applicable</t>
        </is>
      </c>
      <c r="E5" s="6" t="inlineStr">
        <is>
          <t>Not applicable</t>
        </is>
      </c>
    </row>
    <row r="6">
      <c r="A6" s="6" t="inlineStr">
        <is>
          <t>NSFR ratio</t>
        </is>
      </c>
      <c r="B6" s="6" t="inlineStr">
        <is>
          <t>492.2%</t>
        </is>
      </c>
      <c r="C6" s="6" t="inlineStr">
        <is>
          <t>Not applicable</t>
        </is>
      </c>
      <c r="D6" s="6" t="inlineStr">
        <is>
          <t>Not applicable</t>
        </is>
      </c>
      <c r="E6" s="6" t="inlineStr">
        <is>
          <t>Not applicable</t>
        </is>
      </c>
    </row>
    <row r="8" ht="180" customHeight="1">
      <c r="A8"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1">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Afin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applicable</t>
        </is>
      </c>
      <c r="D4" s="6" t="inlineStr">
        <is>
          <t>Not applicable</t>
        </is>
      </c>
      <c r="E4" s="6" t="inlineStr">
        <is>
          <t>Not applicable</t>
        </is>
      </c>
    </row>
    <row r="5" ht="60" customHeight="1">
      <c r="A5" s="7" t="inlineStr">
        <is>
          <t>Note: No numeric MREL ratio is disclosed in the 2024 Pillar 3 report or the audited annual accounts for FY2024. FY2021-FY2023 predate Afin's banking authorisation (October 2024), so no MREL obligation existed for those years.</t>
        </is>
      </c>
    </row>
    <row r="7" ht="180" customHeight="1">
      <c r="A7" s="8" t="inlineStr">
        <is>
          <t>Sources - Afin Bank Limited standalone Pillar 3 Disclosures for the year ended 31 December 2024:
FY2024: UK KM1 Key Metrics, printed pp. 4-5, and UK OV1, printed p. 5 - https://afinbank.com/wp-content/uploads/2025/09/Afin-Bank-2024-Pillar-3-Disclosures-FINAL.pdf
Afin Bank annual reports and disclosures page - https://afinbank.com/about/annual-reports-and-disclosures/
ENTITY NOTE: Afin Bank Limited (company 13090556, FRN 1004742) is the UK legal entity covered here. The 2024 Pillar 3 report says the disclosure scope applies to Afin Bank Limited only; it is a majority-owned subsidiary of WAICA Reinsurance Corporation PLC, but no parent-level figures are substituted. The company was incorporated 18 December 2020 as All Africa Capital Limited, traded under that name through FY2021-FY2023, and changed its name to Afin Bank Limited after receiving banking authorisation with restrictions in October 2024. FY2021-FY2023 figures below are therefore All Africa Capital Limited's own pre-bank statutory accounts for the same continuous legal entity, sourced from Companies House (not from afinbank.com, which only hosts the FY2024 bank-era documents).
NOT APPLICABLE for FY2021-FY2023: All Africa Capital Limited (this entity's name before October 2024) was not a PRA-authorised bank during FY2021-FY2023 and had no Pillar 3 disclosure obligation - its own filed accounts for those years contain no capital/liquidity/leverage/RWA figures of any kind. This is a genuine 'not applicable' (no obligation existed), distinct from 'not publicly disclosed' (an obligated but unpublished figure), which is how FY2024's own non-disclosures are marked.
RE-VERIFIED 2026-09-12 (disclosure audit): confirmed independently against the Companies House register - company 13090556 was incorporated 18 December 2020 and was named 'ALL AFRICA CAPITAL LIMITED' from 18 Dec 2020 until 22 October 2024, when it was renamed Afin Bank Limited on receiving banking authorisation with restrictions. FY2021-FY2023 therefore sit wholly inside the pre-authorisation period and the blanks are structural. Also confirmed the workbook's FY2024 endpoint is still current: the latest accounts on the register are made up to 31 December 2024, with FY2025 accounts not yet filed (due 30 September 2026).</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2026-09-12T18:33:40Z</dcterms:created>
  <dcterms:modified xmlns:dcterms="http://purl.org/dc/terms/" xmlns:xsi="http://www.w3.org/2001/XMLSchema-instance" xsi:type="dcterms:W3CDTF">2026-09-12T18:33:40Z</dcterms:modified>
</cp:coreProperties>
</file>