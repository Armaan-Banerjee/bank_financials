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ser>
          <idx val="1"/>
          <order val="1"/>
          <tx>
            <strRef>
              <f>'Overview'!V18</f>
            </strRef>
          </tx>
          <spPr>
            <a:ln xmlns:a="http://schemas.openxmlformats.org/drawingml/2006/main">
              <a:prstDash val="solid"/>
            </a:ln>
          </spPr>
          <cat>
            <numRef>
              <f>'Overview'!$W$16:$Z$16</f>
            </numRef>
          </cat>
          <val>
            <numRef>
              <f>'Overview'!$W$18:$Z$18</f>
            </numRef>
          </val>
        </ser>
        <ser>
          <idx val="2"/>
          <order val="2"/>
          <tx>
            <strRef>
              <f>'Overview'!V19</f>
            </strRef>
          </tx>
          <spPr>
            <a:ln xmlns:a="http://schemas.openxmlformats.org/drawingml/2006/main">
              <a:prstDash val="solid"/>
            </a:ln>
          </spPr>
          <cat>
            <numRef>
              <f>'Overview'!$W$16:$Z$16</f>
            </numRef>
          </cat>
          <val>
            <numRef>
              <f>'Overview'!$W$19:$Z$19</f>
            </numRef>
          </val>
        </ser>
        <ser>
          <idx val="3"/>
          <order val="3"/>
          <tx>
            <strRef>
              <f>'Overview'!V20</f>
            </strRef>
          </tx>
          <spPr>
            <a:ln xmlns:a="http://schemas.openxmlformats.org/drawingml/2006/main">
              <a:prstDash val="solid"/>
            </a:ln>
          </spPr>
          <cat>
            <numRef>
              <f>'Overview'!$W$16:$Z$16</f>
            </numRef>
          </cat>
          <val>
            <numRef>
              <f>'Overview'!$W$20:$Z$20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'Overview'!AC24</f>
            </strRef>
          </tx>
          <spPr>
            <a:ln xmlns:a="http://schemas.openxmlformats.org/drawingml/2006/main">
              <a:prstDash val="solid"/>
            </a:ln>
          </spPr>
          <cat>
            <numRef>
              <f>'Overview'!$AD$23:$AG$23</f>
            </numRef>
          </cat>
          <val>
            <numRef>
              <f>'Overview'!$AD$24:$AG$24</f>
            </numRef>
          </val>
        </ser>
        <ser>
          <idx val="1"/>
          <order val="1"/>
          <tx>
            <strRef>
              <f>'Overview'!AC25</f>
            </strRef>
          </tx>
          <spPr>
            <a:ln xmlns:a="http://schemas.openxmlformats.org/drawingml/2006/main">
              <a:prstDash val="solid"/>
            </a:ln>
          </spPr>
          <cat>
            <numRef>
              <f>'Overview'!$AD$23:$AG$23</f>
            </numRef>
          </cat>
          <val>
            <numRef>
              <f>'Overview'!$AD$25:$AG$25</f>
            </numRef>
          </val>
        </ser>
        <ser>
          <idx val="2"/>
          <order val="2"/>
          <tx>
            <strRef>
              <f>'Overview'!AC26</f>
            </strRef>
          </tx>
          <spPr>
            <a:ln xmlns:a="http://schemas.openxmlformats.org/drawingml/2006/main">
              <a:prstDash val="solid"/>
            </a:ln>
          </spPr>
          <cat>
            <numRef>
              <f>'Overview'!$AD$23:$AG$23</f>
            </numRef>
          </cat>
          <val>
            <numRef>
              <f>'Overview'!$AD$26:$AG$26</f>
            </numRef>
          </val>
        </ser>
        <ser>
          <idx val="3"/>
          <order val="3"/>
          <tx>
            <strRef>
              <f>'Overview'!AC27</f>
            </strRef>
          </tx>
          <spPr>
            <a:ln xmlns:a="http://schemas.openxmlformats.org/drawingml/2006/main">
              <a:prstDash val="solid"/>
            </a:ln>
          </spPr>
          <cat>
            <numRef>
              <f>'Overview'!$AD$23:$AG$23</f>
            </numRef>
          </cat>
          <val>
            <numRef>
              <f>'Overview'!$AD$27:$AG$27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17427943</v>
      </c>
      <c r="C6" s="5" t="n">
        <v>1352794</v>
      </c>
      <c r="D6" s="5" t="n">
        <v>14552</v>
      </c>
      <c r="E6" s="5" t="n">
        <v>106367</v>
      </c>
      <c r="H6" t="inlineStr">
        <is>
          <t>Total assets</t>
        </is>
      </c>
      <c r="I6" t="n">
        <v>106367</v>
      </c>
      <c r="J6" t="n">
        <v>14552</v>
      </c>
      <c r="K6" t="n">
        <v>1352794</v>
      </c>
      <c r="L6" t="n">
        <v>17427943</v>
      </c>
      <c r="AJ6" t="inlineStr">
        <is>
          <t>CET1 Ratio</t>
        </is>
      </c>
      <c r="AN6" t="n">
        <v>418.5</v>
      </c>
    </row>
    <row r="7">
      <c r="A7" s="5" t="inlineStr">
        <is>
          <t>Trade and other payables</t>
        </is>
      </c>
      <c r="B7" s="5" t="n">
        <v>1102894</v>
      </c>
      <c r="C7" s="5" t="n">
        <v>260524</v>
      </c>
      <c r="D7" s="5" t="n">
        <v>50338</v>
      </c>
      <c r="E7" s="5" t="n">
        <v>59537</v>
      </c>
      <c r="H7" t="inlineStr">
        <is>
          <t>Trade and other payables</t>
        </is>
      </c>
      <c r="I7" t="n">
        <v>59537</v>
      </c>
      <c r="J7" t="n">
        <v>50338</v>
      </c>
      <c r="K7" t="n">
        <v>260524</v>
      </c>
      <c r="L7" t="n">
        <v>1102894</v>
      </c>
      <c r="AJ7" t="inlineStr">
        <is>
          <t>Tier 1 Ratio</t>
        </is>
      </c>
      <c r="AN7" t="n">
        <v>418.5</v>
      </c>
    </row>
    <row r="8">
      <c r="A8" s="5" t="inlineStr">
        <is>
          <t>Total equity</t>
        </is>
      </c>
      <c r="B8" s="5" t="n">
        <v>15359865</v>
      </c>
      <c r="C8" s="5" t="n">
        <v>962179</v>
      </c>
      <c r="D8" s="5" t="n">
        <v>-35786</v>
      </c>
      <c r="E8" s="5" t="n">
        <v>46830</v>
      </c>
      <c r="H8" t="inlineStr">
        <is>
          <t>Total equity</t>
        </is>
      </c>
      <c r="I8" t="n">
        <v>46830</v>
      </c>
      <c r="J8" t="n">
        <v>-35786</v>
      </c>
      <c r="K8" t="n">
        <v>962179</v>
      </c>
      <c r="L8" t="n">
        <v>15359865</v>
      </c>
      <c r="AJ8" t="inlineStr">
        <is>
          <t>Total Capital Ratio</t>
        </is>
      </c>
      <c r="AN8" t="n">
        <v>418.5</v>
      </c>
    </row>
    <row r="9">
      <c r="AJ9" t="inlineStr">
        <is>
          <t>Leverage Ratio</t>
        </is>
      </c>
      <c r="AN9" t="n">
        <v>87.40000000000001</v>
      </c>
    </row>
    <row r="10">
      <c r="A10" s="3" t="inlineStr">
        <is>
          <t>Profit &amp; Loss Summary (£)</t>
        </is>
      </c>
      <c r="AJ10" t="inlineStr">
        <is>
          <t>LCR</t>
        </is>
      </c>
      <c r="AN10" t="n">
        <v>999999</v>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c r="AJ11" t="inlineStr">
        <is>
          <t>NSFR</t>
        </is>
      </c>
      <c r="AN11" t="n">
        <v>492.2</v>
      </c>
    </row>
    <row r="12">
      <c r="A12" s="5" t="inlineStr">
        <is>
          <t>Total operating expenses</t>
        </is>
      </c>
      <c r="B12" s="5" t="n">
        <v>-6256733</v>
      </c>
      <c r="C12" s="5" t="n">
        <v>-1767933</v>
      </c>
      <c r="D12" s="5" t="n">
        <v>-406751</v>
      </c>
      <c r="E12" s="5" t="n"/>
      <c r="O12" t="inlineStr">
        <is>
          <t>Total operating expenses</t>
        </is>
      </c>
      <c r="Q12" t="n">
        <v>-406751</v>
      </c>
      <c r="R12" t="n">
        <v>-1767933</v>
      </c>
      <c r="S12" t="n">
        <v>-6256733</v>
      </c>
    </row>
    <row r="13">
      <c r="A13" s="5" t="inlineStr">
        <is>
          <t>Loss for the year</t>
        </is>
      </c>
      <c r="B13" s="5" t="n">
        <v>-6193551</v>
      </c>
      <c r="C13" s="5" t="n">
        <v>-1769188</v>
      </c>
      <c r="D13" s="5" t="n">
        <v>-406520</v>
      </c>
      <c r="E13" s="5" t="n"/>
      <c r="O13" t="inlineStr">
        <is>
          <t>Loss for the year</t>
        </is>
      </c>
      <c r="Q13" t="n">
        <v>-406520</v>
      </c>
      <c r="R13" t="n">
        <v>-1769188</v>
      </c>
      <c r="S13" t="n">
        <v>-6193551</v>
      </c>
    </row>
    <row r="15">
      <c r="A15" s="3" t="inlineStr">
        <is>
          <t>Statement of Changes in Equity Summary (£)</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Opening equity</t>
        </is>
      </c>
      <c r="B17" s="5" t="n">
        <v>962179</v>
      </c>
      <c r="C17" s="5" t="n">
        <v>-35786</v>
      </c>
      <c r="D17" s="5" t="n">
        <v>46830</v>
      </c>
      <c r="E17" s="5" t="n">
        <v>0</v>
      </c>
      <c r="V17" t="inlineStr">
        <is>
          <t>Opening equity</t>
        </is>
      </c>
      <c r="W17" t="n">
        <v>0</v>
      </c>
      <c r="X17" t="n">
        <v>46830</v>
      </c>
      <c r="Y17" t="n">
        <v>-35786</v>
      </c>
      <c r="Z17" t="n">
        <v>962179</v>
      </c>
    </row>
    <row r="18">
      <c r="A18" s="5" t="inlineStr">
        <is>
          <t>Total comprehensive income</t>
        </is>
      </c>
      <c r="B18" s="5" t="n">
        <v>-6126169</v>
      </c>
      <c r="C18" s="5" t="n">
        <v>-1769188</v>
      </c>
      <c r="D18" s="5" t="n">
        <v>-406520</v>
      </c>
      <c r="E18" s="5" t="n">
        <v>-219920</v>
      </c>
      <c r="V18" t="inlineStr">
        <is>
          <t>Total comprehensive income</t>
        </is>
      </c>
      <c r="W18" t="n">
        <v>-219920</v>
      </c>
      <c r="X18" t="n">
        <v>-406520</v>
      </c>
      <c r="Y18" t="n">
        <v>-1769188</v>
      </c>
      <c r="Z18" t="n">
        <v>-6126169</v>
      </c>
    </row>
    <row r="19">
      <c r="A19" s="5" t="inlineStr">
        <is>
          <t>Other movements, net</t>
        </is>
      </c>
      <c r="B19" s="5" t="n">
        <v>20523855</v>
      </c>
      <c r="C19" s="5" t="n">
        <v>2767153</v>
      </c>
      <c r="D19" s="5" t="n">
        <v>323904</v>
      </c>
      <c r="E19" s="5" t="n">
        <v>266750</v>
      </c>
      <c r="V19" t="inlineStr">
        <is>
          <t>Other movements, net</t>
        </is>
      </c>
      <c r="W19" t="n">
        <v>266750</v>
      </c>
      <c r="X19" t="n">
        <v>323904</v>
      </c>
      <c r="Y19" t="n">
        <v>2767153</v>
      </c>
      <c r="Z19" t="n">
        <v>20523855</v>
      </c>
    </row>
    <row r="20">
      <c r="A20" s="5" t="inlineStr">
        <is>
          <t>Closing equity</t>
        </is>
      </c>
      <c r="B20" s="5" t="n">
        <v>15359865</v>
      </c>
      <c r="C20" s="5" t="n">
        <v>962179</v>
      </c>
      <c r="D20" s="5" t="n">
        <v>-35786</v>
      </c>
      <c r="E20" s="5" t="n">
        <v>46830</v>
      </c>
      <c r="V20" t="inlineStr">
        <is>
          <t>Closing equity</t>
        </is>
      </c>
      <c r="W20" t="n">
        <v>46830</v>
      </c>
      <c r="X20" t="n">
        <v>-35786</v>
      </c>
      <c r="Y20" t="n">
        <v>962179</v>
      </c>
      <c r="Z20" t="n">
        <v>15359865</v>
      </c>
    </row>
    <row r="22">
      <c r="A22" s="3" t="inlineStr">
        <is>
          <t>Cash Flow Summary (£)</t>
        </is>
      </c>
    </row>
    <row r="23">
      <c r="A23" s="4" t="inlineStr">
        <is>
          <t>Line item</t>
        </is>
      </c>
      <c r="B23" s="4" t="inlineStr">
        <is>
          <t>FY2024</t>
        </is>
      </c>
      <c r="C23" s="4" t="inlineStr">
        <is>
          <t>FY2023</t>
        </is>
      </c>
      <c r="D23" s="4" t="inlineStr">
        <is>
          <t>FY2022</t>
        </is>
      </c>
      <c r="E23" s="4" t="inlineStr">
        <is>
          <t>FY2021</t>
        </is>
      </c>
      <c r="AD23" t="inlineStr">
        <is>
          <t>FY2021</t>
        </is>
      </c>
      <c r="AE23" t="inlineStr">
        <is>
          <t>FY2022</t>
        </is>
      </c>
      <c r="AF23" t="inlineStr">
        <is>
          <t>FY2023</t>
        </is>
      </c>
      <c r="AG23" t="inlineStr">
        <is>
          <t>FY2024</t>
        </is>
      </c>
    </row>
    <row r="24">
      <c r="A24" s="5" t="inlineStr">
        <is>
          <t>Net cash outflow from operating activities</t>
        </is>
      </c>
      <c r="B24" s="5" t="n">
        <v>-5854403</v>
      </c>
      <c r="C24" s="5" t="n">
        <v>-1747582</v>
      </c>
      <c r="D24" s="5" t="n">
        <v>-402889</v>
      </c>
      <c r="E24" s="5" t="n"/>
      <c r="AC24" t="inlineStr">
        <is>
          <t>Net cash outflow from operating activities</t>
        </is>
      </c>
      <c r="AE24" t="n">
        <v>-402889</v>
      </c>
      <c r="AF24" t="n">
        <v>-1747582</v>
      </c>
      <c r="AG24" t="n">
        <v>-5854403</v>
      </c>
    </row>
    <row r="25">
      <c r="A25" s="5" t="inlineStr">
        <is>
          <t>Net cash used in investing activities</t>
        </is>
      </c>
      <c r="B25" s="5" t="n">
        <v>-12345649</v>
      </c>
      <c r="C25" s="5" t="n">
        <v>-31717</v>
      </c>
      <c r="D25" s="5" t="n">
        <v>0</v>
      </c>
      <c r="E25" s="5" t="n"/>
      <c r="AC25" t="inlineStr">
        <is>
          <t>Net cash used in investing activities</t>
        </is>
      </c>
      <c r="AE25" t="n">
        <v>0</v>
      </c>
      <c r="AF25" t="n">
        <v>-31717</v>
      </c>
      <c r="AG25" t="n">
        <v>-12345649</v>
      </c>
    </row>
    <row r="26">
      <c r="A26" s="5" t="inlineStr">
        <is>
          <t>Net cash generated from financing activities</t>
        </is>
      </c>
      <c r="B26" s="5" t="n">
        <v>20384295</v>
      </c>
      <c r="C26" s="5" t="n">
        <v>2743644</v>
      </c>
      <c r="D26" s="5" t="n">
        <v>323904</v>
      </c>
      <c r="E26" s="5" t="n"/>
      <c r="AC26" t="inlineStr">
        <is>
          <t>Net cash generated from financing activities</t>
        </is>
      </c>
      <c r="AE26" t="n">
        <v>323904</v>
      </c>
      <c r="AF26" t="n">
        <v>2743644</v>
      </c>
      <c r="AG26" t="n">
        <v>20384295</v>
      </c>
    </row>
    <row r="27">
      <c r="A27" s="5" t="inlineStr">
        <is>
          <t>Cash and cash equivalents at end of year</t>
        </is>
      </c>
      <c r="B27" s="5" t="n">
        <v>3155921</v>
      </c>
      <c r="C27" s="5" t="n">
        <v>971678</v>
      </c>
      <c r="D27" s="5" t="n">
        <v>7333</v>
      </c>
      <c r="E27" s="5" t="n">
        <v>86318</v>
      </c>
      <c r="AC27" t="inlineStr">
        <is>
          <t>Cash and cash equivalents at end of year</t>
        </is>
      </c>
      <c r="AD27" t="n">
        <v>86318</v>
      </c>
      <c r="AE27" t="n">
        <v>7333</v>
      </c>
      <c r="AF27" t="n">
        <v>971678</v>
      </c>
      <c r="AG27" t="n">
        <v>3155921</v>
      </c>
    </row>
    <row r="29">
      <c r="A29" s="3" t="inlineStr">
        <is>
          <t>Pillar 3 Key Metrics</t>
        </is>
      </c>
    </row>
    <row r="30">
      <c r="A30" s="4" t="inlineStr">
        <is>
          <t>Line item</t>
        </is>
      </c>
      <c r="B30" s="4" t="inlineStr">
        <is>
          <t>FY2024</t>
        </is>
      </c>
      <c r="C30" s="4" t="inlineStr">
        <is>
          <t>FY2023</t>
        </is>
      </c>
      <c r="D30" s="4" t="inlineStr">
        <is>
          <t>FY2022</t>
        </is>
      </c>
      <c r="E30" s="4" t="inlineStr">
        <is>
          <t>FY2021</t>
        </is>
      </c>
    </row>
    <row r="31">
      <c r="A31" s="6" t="inlineStr">
        <is>
          <t>CET1 Ratio</t>
        </is>
      </c>
      <c r="B31" s="6" t="inlineStr">
        <is>
          <t>418.5%</t>
        </is>
      </c>
      <c r="C31" s="6" t="inlineStr">
        <is>
          <t>Not applicable</t>
        </is>
      </c>
      <c r="D31" s="6" t="inlineStr">
        <is>
          <t>Not applicable</t>
        </is>
      </c>
      <c r="E31" s="6" t="inlineStr">
        <is>
          <t>Not applicable</t>
        </is>
      </c>
    </row>
    <row r="32">
      <c r="A32" s="6" t="inlineStr">
        <is>
          <t>Tier 1 Ratio</t>
        </is>
      </c>
      <c r="B32" s="6" t="inlineStr">
        <is>
          <t>418.5%</t>
        </is>
      </c>
      <c r="C32" s="6" t="inlineStr">
        <is>
          <t>Not applicable</t>
        </is>
      </c>
      <c r="D32" s="6" t="inlineStr">
        <is>
          <t>Not applicable</t>
        </is>
      </c>
      <c r="E32" s="6" t="inlineStr">
        <is>
          <t>Not applicable</t>
        </is>
      </c>
    </row>
    <row r="33">
      <c r="A33" s="6" t="inlineStr">
        <is>
          <t>Total Capital Ratio</t>
        </is>
      </c>
      <c r="B33" s="6" t="inlineStr">
        <is>
          <t>418.5%</t>
        </is>
      </c>
      <c r="C33" s="6" t="inlineStr">
        <is>
          <t>Not applicable</t>
        </is>
      </c>
      <c r="D33" s="6" t="inlineStr">
        <is>
          <t>Not applicable</t>
        </is>
      </c>
      <c r="E33" s="6" t="inlineStr">
        <is>
          <t>Not applicable</t>
        </is>
      </c>
    </row>
    <row r="34">
      <c r="A34" s="6" t="inlineStr">
        <is>
          <t>Leverage Ratio</t>
        </is>
      </c>
      <c r="B34" s="6" t="inlineStr">
        <is>
          <t>87.4%</t>
        </is>
      </c>
      <c r="C34" s="6" t="inlineStr">
        <is>
          <t>Not applicable</t>
        </is>
      </c>
      <c r="D34" s="6" t="inlineStr">
        <is>
          <t>Not applicable</t>
        </is>
      </c>
      <c r="E34" s="6" t="inlineStr">
        <is>
          <t>Not applicable</t>
        </is>
      </c>
    </row>
    <row r="35">
      <c r="A35" s="6" t="inlineStr">
        <is>
          <t>LCR</t>
        </is>
      </c>
      <c r="B35" s="6" t="inlineStr">
        <is>
          <t>999999%</t>
        </is>
      </c>
      <c r="C35" s="6" t="inlineStr">
        <is>
          <t>Not applicable</t>
        </is>
      </c>
      <c r="D35" s="6" t="inlineStr">
        <is>
          <t>Not applicable</t>
        </is>
      </c>
      <c r="E35" s="6" t="inlineStr">
        <is>
          <t>Not applicable</t>
        </is>
      </c>
    </row>
    <row r="36">
      <c r="A36" s="6" t="inlineStr">
        <is>
          <t>NSFR</t>
        </is>
      </c>
      <c r="B36" s="6" t="inlineStr">
        <is>
          <t>492.2%</t>
        </is>
      </c>
      <c r="C36" s="6" t="inlineStr">
        <is>
          <t>Not applicable</t>
        </is>
      </c>
      <c r="D36" s="6" t="inlineStr">
        <is>
          <t>Not applicable</t>
        </is>
      </c>
      <c r="E36" s="6" t="inlineStr">
        <is>
          <t>Not applicable</t>
        </is>
      </c>
    </row>
    <row r="38" ht="45" customHeight="1">
      <c r="A38" s="7" t="inlineStr">
        <is>
          <t>Note: EXTENDED HISTORY: this workbook now covers FY2021-FY2024 (four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four years, including into the pre-existing FY2024 figures unchanged from the original build.</t>
        </is>
      </c>
    </row>
  </sheetData>
  <mergeCells count="1">
    <mergeCell ref="A38:E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cash equivalents</t>
        </is>
      </c>
      <c r="B5" s="6" t="n">
        <v>3155921</v>
      </c>
      <c r="C5" s="6" t="n">
        <v>971678</v>
      </c>
      <c r="D5" s="6" t="n">
        <v>7333</v>
      </c>
      <c r="E5" s="6" t="n">
        <v>86318</v>
      </c>
    </row>
    <row r="6">
      <c r="A6" s="6" t="inlineStr">
        <is>
          <t>Treasury assets - UK Government gilts &amp; Treasury bills, at FVOCI</t>
        </is>
      </c>
      <c r="B6" s="6" t="n">
        <v>9767797</v>
      </c>
      <c r="C6" s="6" t="n"/>
      <c r="D6" s="6" t="n"/>
      <c r="E6" s="6" t="n"/>
    </row>
    <row r="7">
      <c r="A7" s="6" t="inlineStr">
        <is>
          <t>Receivables</t>
        </is>
      </c>
      <c r="B7" s="6" t="n">
        <v>450628</v>
      </c>
      <c r="C7" s="6" t="n">
        <v>166804</v>
      </c>
      <c r="D7" s="6" t="n">
        <v>6859</v>
      </c>
      <c r="E7" s="6" t="n">
        <v>19562</v>
      </c>
    </row>
    <row r="8">
      <c r="A8" s="6" t="inlineStr">
        <is>
          <t>Prepayments</t>
        </is>
      </c>
      <c r="B8" s="6" t="n">
        <v>372022</v>
      </c>
      <c r="C8" s="6" t="n">
        <v>50123</v>
      </c>
      <c r="D8" s="6" t="n">
        <v>0</v>
      </c>
      <c r="E8" s="6" t="n"/>
    </row>
    <row r="9">
      <c r="A9" s="6" t="inlineStr">
        <is>
          <t>Property, plant and equipment</t>
        </is>
      </c>
      <c r="B9" s="6" t="n">
        <v>57172</v>
      </c>
      <c r="C9" s="6" t="n">
        <v>152189</v>
      </c>
      <c r="D9" s="6" t="n">
        <v>360</v>
      </c>
      <c r="E9" s="6" t="n">
        <v>487</v>
      </c>
    </row>
    <row r="10">
      <c r="A10" s="6" t="inlineStr">
        <is>
          <t>Right-of-use assets</t>
        </is>
      </c>
      <c r="B10" s="6" t="n">
        <v>967204</v>
      </c>
      <c r="C10" s="6" t="n"/>
      <c r="D10" s="6" t="n"/>
      <c r="E10" s="6" t="n"/>
    </row>
    <row r="11">
      <c r="A11" s="6" t="inlineStr">
        <is>
          <t>Intangible assets</t>
        </is>
      </c>
      <c r="B11" s="6" t="n">
        <v>2657199</v>
      </c>
      <c r="C11" s="6" t="n">
        <v>12000</v>
      </c>
      <c r="D11" s="6" t="n"/>
      <c r="E11" s="6" t="n"/>
    </row>
    <row r="12">
      <c r="A12" s="5" t="inlineStr">
        <is>
          <t>Total assets</t>
        </is>
      </c>
      <c r="B12" s="5" t="n">
        <v>17427943</v>
      </c>
      <c r="C12" s="5" t="n">
        <v>1352794</v>
      </c>
      <c r="D12" s="5" t="n">
        <v>14552</v>
      </c>
      <c r="E12" s="5" t="n">
        <v>106367</v>
      </c>
    </row>
    <row r="13">
      <c r="A13" s="5" t="inlineStr">
        <is>
          <t>Liabilities</t>
        </is>
      </c>
      <c r="B13" s="6" t="n"/>
      <c r="C13" s="6" t="n"/>
      <c r="D13" s="6" t="n"/>
      <c r="E13" s="6" t="n"/>
    </row>
    <row r="14">
      <c r="A14" s="6" t="inlineStr">
        <is>
          <t>Trade and other payables</t>
        </is>
      </c>
      <c r="B14" s="6" t="n">
        <v>1102894</v>
      </c>
      <c r="C14" s="6" t="n">
        <v>260524</v>
      </c>
      <c r="D14" s="6" t="n">
        <v>50338</v>
      </c>
      <c r="E14" s="6" t="n">
        <v>59537</v>
      </c>
    </row>
    <row r="15">
      <c r="A15" s="6" t="inlineStr">
        <is>
          <t>Lease liabilities</t>
        </is>
      </c>
      <c r="B15" s="6" t="n">
        <v>965184</v>
      </c>
      <c r="C15" s="6" t="n">
        <v>130091</v>
      </c>
      <c r="D15" s="6" t="n">
        <v>0</v>
      </c>
      <c r="E15" s="6" t="n"/>
    </row>
    <row r="16">
      <c r="A16" s="5" t="inlineStr">
        <is>
          <t>Total liabilities</t>
        </is>
      </c>
      <c r="B16" s="5" t="n">
        <v>2068078</v>
      </c>
      <c r="C16" s="5" t="n">
        <v>390615</v>
      </c>
      <c r="D16" s="5" t="n">
        <v>50338</v>
      </c>
      <c r="E16" s="5" t="n">
        <v>59537</v>
      </c>
    </row>
    <row r="17">
      <c r="A17" s="5" t="inlineStr">
        <is>
          <t>Net assets</t>
        </is>
      </c>
      <c r="B17" s="5" t="n">
        <v>15359865</v>
      </c>
      <c r="C17" s="5" t="n">
        <v>962179</v>
      </c>
      <c r="D17" s="5" t="n">
        <v>-35786</v>
      </c>
      <c r="E17" s="5" t="n">
        <v>46830</v>
      </c>
    </row>
    <row r="18">
      <c r="A18" s="5" t="inlineStr">
        <is>
          <t>Equity</t>
        </is>
      </c>
      <c r="B18" s="6" t="n"/>
      <c r="C18" s="6" t="n"/>
      <c r="D18" s="6" t="n"/>
      <c r="E18" s="6" t="n"/>
    </row>
    <row r="19">
      <c r="A19" s="6" t="inlineStr">
        <is>
          <t>Called up share capital</t>
        </is>
      </c>
      <c r="B19" s="6" t="n">
        <v>23614036</v>
      </c>
      <c r="C19" s="6" t="n">
        <v>3357807</v>
      </c>
      <c r="D19" s="6" t="n">
        <v>590654</v>
      </c>
      <c r="E19" s="6" t="n">
        <v>266750</v>
      </c>
    </row>
    <row r="20">
      <c r="A20" s="6" t="inlineStr">
        <is>
          <t>Revaluation reserve</t>
        </is>
      </c>
      <c r="B20" s="6" t="n">
        <v>67382</v>
      </c>
      <c r="C20" s="6" t="n"/>
      <c r="D20" s="6" t="n"/>
      <c r="E20" s="6" t="n"/>
    </row>
    <row r="21">
      <c r="A21" s="6" t="inlineStr">
        <is>
          <t>Share based payment reserve</t>
        </is>
      </c>
      <c r="B21" s="6" t="n">
        <v>267626</v>
      </c>
      <c r="C21" s="6" t="n"/>
      <c r="D21" s="6" t="n"/>
      <c r="E21" s="6" t="n"/>
    </row>
    <row r="22">
      <c r="A22" s="6" t="inlineStr">
        <is>
          <t>Retained earnings</t>
        </is>
      </c>
      <c r="B22" s="6" t="n">
        <v>-8589179</v>
      </c>
      <c r="C22" s="6" t="n">
        <v>-2395628</v>
      </c>
      <c r="D22" s="6" t="n">
        <v>-626440</v>
      </c>
      <c r="E22" s="6" t="n">
        <v>-219920</v>
      </c>
    </row>
    <row r="23">
      <c r="A23" s="5" t="inlineStr">
        <is>
          <t>Total equity</t>
        </is>
      </c>
      <c r="B23" s="5" t="n">
        <v>15359865</v>
      </c>
      <c r="C23" s="5" t="n">
        <v>962179</v>
      </c>
      <c r="D23" s="5" t="n">
        <v>-35786</v>
      </c>
      <c r="E23" s="5" t="n">
        <v>46830</v>
      </c>
    </row>
    <row r="25" ht="210" customHeight="1">
      <c r="A25" s="8" t="inlineStr">
        <is>
          <t>Sources -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t>
        </is>
      </c>
    </row>
    <row r="3">
      <c r="A3" s="4" t="inlineStr">
        <is>
          <t>Line item</t>
        </is>
      </c>
      <c r="B3" s="4" t="inlineStr">
        <is>
          <t>FY2024 (£)</t>
        </is>
      </c>
      <c r="C3" s="4" t="inlineStr">
        <is>
          <t>FY2023 (£)</t>
        </is>
      </c>
      <c r="D3" s="4" t="inlineStr">
        <is>
          <t>FY2022 (£)</t>
        </is>
      </c>
    </row>
    <row r="4">
      <c r="A4" s="5" t="inlineStr">
        <is>
          <t>Operating income and expenses</t>
        </is>
      </c>
      <c r="B4" s="6" t="n"/>
      <c r="C4" s="6" t="n"/>
      <c r="D4" s="6" t="n"/>
    </row>
    <row r="5">
      <c r="A5" s="6" t="inlineStr">
        <is>
          <t>Other operating income</t>
        </is>
      </c>
      <c r="B5" s="6" t="n"/>
      <c r="C5" s="6" t="n">
        <v>0</v>
      </c>
      <c r="D5" s="6" t="n">
        <v>231</v>
      </c>
    </row>
    <row r="6">
      <c r="A6" s="6" t="inlineStr">
        <is>
          <t>Staff costs</t>
        </is>
      </c>
      <c r="B6" s="6" t="n">
        <v>-3941455</v>
      </c>
      <c r="C6" s="6" t="n">
        <v>-1088800</v>
      </c>
      <c r="D6" s="6" t="n">
        <v>-224067</v>
      </c>
    </row>
    <row r="7">
      <c r="A7" s="6" t="inlineStr">
        <is>
          <t>Computer running costs</t>
        </is>
      </c>
      <c r="B7" s="6" t="n"/>
      <c r="C7" s="6" t="n">
        <v>-45103</v>
      </c>
      <c r="D7" s="6" t="n">
        <v>-3026</v>
      </c>
    </row>
    <row r="8">
      <c r="A8" s="6" t="inlineStr">
        <is>
          <t>Legal and professional fees</t>
        </is>
      </c>
      <c r="B8" s="6" t="n"/>
      <c r="C8" s="6" t="n">
        <v>-166504</v>
      </c>
      <c r="D8" s="6" t="n">
        <v>-42042</v>
      </c>
    </row>
    <row r="9">
      <c r="A9" s="6" t="inlineStr">
        <is>
          <t>Consultancy fees</t>
        </is>
      </c>
      <c r="B9" s="6" t="n"/>
      <c r="C9" s="6" t="n">
        <v>-276803</v>
      </c>
      <c r="D9" s="6" t="n">
        <v>-123016</v>
      </c>
    </row>
    <row r="10">
      <c r="A10" s="6" t="inlineStr">
        <is>
          <t>Audit fees</t>
        </is>
      </c>
      <c r="B10" s="6" t="n"/>
      <c r="C10" s="6" t="n">
        <v>-8760</v>
      </c>
      <c r="D10" s="6" t="n">
        <v>0</v>
      </c>
    </row>
    <row r="11">
      <c r="A11" s="6" t="inlineStr">
        <is>
          <t>Depreciation</t>
        </is>
      </c>
      <c r="B11" s="6" t="n">
        <v>-142504</v>
      </c>
      <c r="C11" s="6" t="n">
        <v>-21488</v>
      </c>
      <c r="D11" s="6" t="n">
        <v>-127</v>
      </c>
    </row>
    <row r="12">
      <c r="A12" s="6" t="inlineStr">
        <is>
          <t>Amortisation of intangibles</t>
        </is>
      </c>
      <c r="B12" s="6" t="n">
        <v>-23179</v>
      </c>
      <c r="C12" s="6" t="n">
        <v>0</v>
      </c>
      <c r="D12" s="6" t="n"/>
    </row>
    <row r="13">
      <c r="A13" s="6" t="inlineStr">
        <is>
          <t>Other operating costs</t>
        </is>
      </c>
      <c r="B13" s="6" t="n">
        <v>-2149595</v>
      </c>
      <c r="C13" s="6" t="n"/>
      <c r="D13" s="6" t="n"/>
    </row>
    <row r="14">
      <c r="A14" s="5" t="inlineStr">
        <is>
          <t>Total operating expenses</t>
        </is>
      </c>
      <c r="B14" s="5" t="n">
        <v>-6256733</v>
      </c>
      <c r="C14" s="5" t="n">
        <v>-1767933</v>
      </c>
      <c r="D14" s="5" t="n">
        <v>-406751</v>
      </c>
    </row>
    <row r="15">
      <c r="A15" s="5" t="inlineStr">
        <is>
          <t>Operating loss</t>
        </is>
      </c>
      <c r="B15" s="5" t="n">
        <v>-6256733</v>
      </c>
      <c r="C15" s="5" t="n">
        <v>-1767933</v>
      </c>
      <c r="D15" s="5" t="n">
        <v>-406520</v>
      </c>
    </row>
    <row r="16">
      <c r="A16" s="6" t="inlineStr">
        <is>
          <t>Finance income</t>
        </is>
      </c>
      <c r="B16" s="6" t="n">
        <v>75152</v>
      </c>
      <c r="C16" s="6" t="n">
        <v>8</v>
      </c>
      <c r="D16" s="6" t="n"/>
    </row>
    <row r="17">
      <c r="A17" s="6" t="inlineStr">
        <is>
          <t>Finance costs</t>
        </is>
      </c>
      <c r="B17" s="6" t="n">
        <v>-11970</v>
      </c>
      <c r="C17" s="6" t="n">
        <v>-1263</v>
      </c>
      <c r="D17" s="6" t="n"/>
    </row>
    <row r="18">
      <c r="A18" s="5" t="inlineStr">
        <is>
          <t>Loss before taxation</t>
        </is>
      </c>
      <c r="B18" s="5" t="n">
        <v>-6193551</v>
      </c>
      <c r="C18" s="5" t="n">
        <v>-1769188</v>
      </c>
      <c r="D18" s="5" t="n">
        <v>-406520</v>
      </c>
    </row>
    <row r="19">
      <c r="A19" s="6" t="inlineStr">
        <is>
          <t>Income tax expense</t>
        </is>
      </c>
      <c r="B19" s="6" t="n">
        <v>0</v>
      </c>
      <c r="C19" s="6" t="n">
        <v>0</v>
      </c>
      <c r="D19" s="6" t="n">
        <v>0</v>
      </c>
    </row>
    <row r="20">
      <c r="A20" s="5" t="inlineStr">
        <is>
          <t>Loss for the year</t>
        </is>
      </c>
      <c r="B20" s="5" t="n">
        <v>-6193551</v>
      </c>
      <c r="C20" s="5" t="n">
        <v>-1769188</v>
      </c>
      <c r="D20" s="5" t="n">
        <v>-406520</v>
      </c>
    </row>
    <row r="21">
      <c r="A21" s="5" t="inlineStr">
        <is>
          <t>Other comprehensive income</t>
        </is>
      </c>
      <c r="B21" s="6" t="n"/>
      <c r="C21" s="6" t="n"/>
      <c r="D21" s="6" t="n"/>
    </row>
    <row r="22">
      <c r="A22" s="6" t="inlineStr">
        <is>
          <t>Treasury asset revaluation</t>
        </is>
      </c>
      <c r="B22" s="6" t="n">
        <v>67382</v>
      </c>
      <c r="C22" s="6" t="n">
        <v>0</v>
      </c>
      <c r="D22" s="6" t="n">
        <v>0</v>
      </c>
    </row>
    <row r="23">
      <c r="A23" s="5" t="inlineStr">
        <is>
          <t>Total other comprehensive income for the year</t>
        </is>
      </c>
      <c r="B23" s="5" t="n">
        <v>67382</v>
      </c>
      <c r="C23" s="5" t="n">
        <v>0</v>
      </c>
      <c r="D23" s="5" t="n">
        <v>0</v>
      </c>
    </row>
    <row r="24">
      <c r="A24" s="5" t="inlineStr">
        <is>
          <t>Total comprehensive income for the year</t>
        </is>
      </c>
      <c r="B24" s="5" t="n">
        <v>-6126169</v>
      </c>
      <c r="C24" s="5" t="n">
        <v>-1769188</v>
      </c>
      <c r="D24" s="5" t="n">
        <v>-406520</v>
      </c>
    </row>
    <row r="26" ht="210" customHeight="1">
      <c r="A26" s="8" t="inlineStr">
        <is>
          <t>Sources -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D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2024; amounts in £.</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1" ht="210" customHeight="1">
      <c r="A21" s="8" t="inlineStr">
        <is>
          <t>Sources -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1:F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Cash flows from operating activities</t>
        </is>
      </c>
      <c r="B4" s="6" t="n"/>
      <c r="C4" s="6" t="n"/>
      <c r="D4" s="6" t="n"/>
      <c r="E4" s="6" t="n"/>
    </row>
    <row r="5">
      <c r="A5" s="6" t="inlineStr">
        <is>
          <t>Cash absorbed by operations</t>
        </is>
      </c>
      <c r="B5" s="6" t="n">
        <v>-5854403</v>
      </c>
      <c r="C5" s="6" t="n">
        <v>-1746327</v>
      </c>
      <c r="D5" s="6" t="n">
        <v>-402889</v>
      </c>
      <c r="E5" s="6" t="n"/>
    </row>
    <row r="6">
      <c r="A6" s="6" t="inlineStr">
        <is>
          <t>Interest received</t>
        </is>
      </c>
      <c r="B6" s="6" t="n"/>
      <c r="C6" s="6" t="n">
        <v>8</v>
      </c>
      <c r="D6" s="6" t="n">
        <v>0</v>
      </c>
      <c r="E6" s="6" t="n"/>
    </row>
    <row r="7">
      <c r="A7" s="6" t="inlineStr">
        <is>
          <t>Interest paid</t>
        </is>
      </c>
      <c r="B7" s="6" t="n"/>
      <c r="C7" s="6" t="n">
        <v>-1263</v>
      </c>
      <c r="D7" s="6" t="n">
        <v>0</v>
      </c>
      <c r="E7" s="6" t="n"/>
    </row>
    <row r="8">
      <c r="A8" s="5" t="inlineStr">
        <is>
          <t>Net cash outflow from operating activities</t>
        </is>
      </c>
      <c r="B8" s="5" t="n">
        <v>-5854403</v>
      </c>
      <c r="C8" s="5" t="n">
        <v>-1747582</v>
      </c>
      <c r="D8" s="5" t="n">
        <v>-402889</v>
      </c>
      <c r="E8" s="5" t="n"/>
    </row>
    <row r="9">
      <c r="A9" s="5" t="inlineStr">
        <is>
          <t>Investing activities</t>
        </is>
      </c>
      <c r="B9" s="6" t="n"/>
      <c r="C9" s="6" t="n"/>
      <c r="D9" s="6" t="n"/>
      <c r="E9" s="6" t="n"/>
    </row>
    <row r="10">
      <c r="A10" s="6" t="inlineStr">
        <is>
          <t>Purchase of intangible assets</t>
        </is>
      </c>
      <c r="B10" s="6" t="n">
        <v>-2668378</v>
      </c>
      <c r="C10" s="6" t="n">
        <v>-12000</v>
      </c>
      <c r="D10" s="6" t="n">
        <v>0</v>
      </c>
      <c r="E10" s="6" t="n"/>
    </row>
    <row r="11">
      <c r="A11" s="6" t="inlineStr">
        <is>
          <t>Purchase of property, plant and equipment</t>
        </is>
      </c>
      <c r="B11" s="6" t="n">
        <v>-52008</v>
      </c>
      <c r="C11" s="6" t="n">
        <v>-19717</v>
      </c>
      <c r="D11" s="6" t="n">
        <v>0</v>
      </c>
      <c r="E11" s="6" t="n"/>
    </row>
    <row r="12">
      <c r="A12" s="6" t="inlineStr">
        <is>
          <t>Purchase of investments</t>
        </is>
      </c>
      <c r="B12" s="6" t="n">
        <v>-9700415</v>
      </c>
      <c r="C12" s="6" t="n"/>
      <c r="D12" s="6" t="n"/>
      <c r="E12" s="6" t="n"/>
    </row>
    <row r="13">
      <c r="A13" s="6" t="inlineStr">
        <is>
          <t>Finance income</t>
        </is>
      </c>
      <c r="B13" s="6" t="n">
        <v>75152</v>
      </c>
      <c r="C13" s="6" t="n"/>
      <c r="D13" s="6" t="n"/>
      <c r="E13" s="6" t="n"/>
    </row>
    <row r="14">
      <c r="A14" s="5" t="inlineStr">
        <is>
          <t>Net cash used in investing activities</t>
        </is>
      </c>
      <c r="B14" s="5" t="n">
        <v>-12345649</v>
      </c>
      <c r="C14" s="5" t="n">
        <v>-31717</v>
      </c>
      <c r="D14" s="5" t="n">
        <v>0</v>
      </c>
      <c r="E14" s="5" t="n"/>
    </row>
    <row r="15">
      <c r="A15" s="5" t="inlineStr">
        <is>
          <t>Financing activities</t>
        </is>
      </c>
      <c r="B15" s="6" t="n"/>
      <c r="C15" s="6" t="n"/>
      <c r="D15" s="6" t="n"/>
      <c r="E15" s="6" t="n"/>
    </row>
    <row r="16">
      <c r="A16" s="6" t="inlineStr">
        <is>
          <t>Proceeds from issue of shares</t>
        </is>
      </c>
      <c r="B16" s="6" t="n">
        <v>20523855</v>
      </c>
      <c r="C16" s="6" t="n">
        <v>2767153</v>
      </c>
      <c r="D16" s="6" t="n">
        <v>323904</v>
      </c>
      <c r="E16" s="6" t="n"/>
    </row>
    <row r="17">
      <c r="A17" s="6" t="inlineStr">
        <is>
          <t>Payment of lease liabilities</t>
        </is>
      </c>
      <c r="B17" s="6" t="n">
        <v>-134783</v>
      </c>
      <c r="C17" s="6" t="n">
        <v>-23509</v>
      </c>
      <c r="D17" s="6" t="n">
        <v>0</v>
      </c>
      <c r="E17" s="6" t="n"/>
    </row>
    <row r="18">
      <c r="A18" s="6" t="inlineStr">
        <is>
          <t>Finance cost</t>
        </is>
      </c>
      <c r="B18" s="6" t="n">
        <v>-4777</v>
      </c>
      <c r="C18" s="6" t="n"/>
      <c r="D18" s="6" t="n"/>
      <c r="E18" s="6" t="n"/>
    </row>
    <row r="19">
      <c r="A19" s="5" t="inlineStr">
        <is>
          <t>Net cash generated from financing activities</t>
        </is>
      </c>
      <c r="B19" s="5" t="n">
        <v>20384295</v>
      </c>
      <c r="C19" s="5" t="n">
        <v>2743644</v>
      </c>
      <c r="D19" s="5" t="n">
        <v>323904</v>
      </c>
      <c r="E19" s="5" t="n"/>
    </row>
    <row r="20">
      <c r="A20" s="5" t="inlineStr">
        <is>
          <t>Net increase in cash and cash equivalents</t>
        </is>
      </c>
      <c r="B20" s="5" t="n">
        <v>2184243</v>
      </c>
      <c r="C20" s="5" t="n">
        <v>964345</v>
      </c>
      <c r="D20" s="5" t="n">
        <v>-78985</v>
      </c>
      <c r="E20" s="5" t="n"/>
    </row>
    <row r="21">
      <c r="A21" s="6" t="inlineStr">
        <is>
          <t>Cash and cash equivalents at the beginning of the year</t>
        </is>
      </c>
      <c r="B21" s="6" t="n">
        <v>971678</v>
      </c>
      <c r="C21" s="6" t="n">
        <v>7333</v>
      </c>
      <c r="D21" s="6" t="n">
        <v>86318</v>
      </c>
      <c r="E21" s="6" t="n"/>
    </row>
    <row r="22">
      <c r="A22" s="5" t="inlineStr">
        <is>
          <t>Cash and cash equivalents at the end of the year</t>
        </is>
      </c>
      <c r="B22" s="5" t="n">
        <v>3155921</v>
      </c>
      <c r="C22" s="5" t="n">
        <v>971678</v>
      </c>
      <c r="D22" s="5" t="n">
        <v>7333</v>
      </c>
      <c r="E22" s="5" t="n">
        <v>86318</v>
      </c>
    </row>
    <row r="24" ht="225" customHeight="1">
      <c r="A24" s="8" t="inlineStr">
        <is>
          <t>Sources -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4:E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Asset Quality / Credit Risk Disclosures</t>
        </is>
      </c>
    </row>
    <row r="2">
      <c r="A2" s="2" t="inlineStr">
        <is>
          <t>Afin Bank Limited loan book / credit risk disclosures; amounts in £.</t>
        </is>
      </c>
    </row>
    <row r="3">
      <c r="A3" s="4" t="inlineStr">
        <is>
          <t>Line item</t>
        </is>
      </c>
      <c r="B3" s="4" t="inlineStr">
        <is>
          <t>FY2024 (£)</t>
        </is>
      </c>
      <c r="C3" s="4" t="inlineStr">
        <is>
          <t>FY2023 (£)</t>
        </is>
      </c>
      <c r="D3" s="4" t="inlineStr">
        <is>
          <t>FY2022 (£)</t>
        </is>
      </c>
      <c r="E3" s="4" t="inlineStr">
        <is>
          <t>FY2021 (£)</t>
        </is>
      </c>
    </row>
    <row r="4">
      <c r="A4" s="6" t="inlineStr">
        <is>
          <t>Not publicly disclosed / Not applicable</t>
        </is>
      </c>
      <c r="B4" s="6" t="inlineStr">
        <is>
          <t>Not applicable – no loan book at 31 Dec 2024: FY2024 annual report, strategic report credit risk, printed p.6, says the Bank 'holds no loans or receivables from customers'</t>
        </is>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2024 Annual Report and Pillar 3 Disclosures:
https://afinbank.com/wp-content/uploads/2025/09/Afin-Bank-Ltd-Year-End-Accounts-FV24-FINAL-SIGNED.pdf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DISCLOSED (FY2024): Afin Bank's balance sheet has no lending product line (assets are Cash, Treasury assets, Receivables, Prepayments, PP&amp;E and intangibles only) and neither the 2024 Annual Report nor the 2024 Pillar 3 disclosure (a small non-complex institution under CRR Article 433b) contains a loan book / IFRS 9 stage / credit risk exposure breakdown.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s>
  <sheetData>
    <row r="1">
      <c r="A1" s="1" t="inlineStr">
        <is>
          <t>Afin Bank Limited - KM1 Key Metrics</t>
        </is>
      </c>
    </row>
    <row r="2">
      <c r="A2" s="2" t="inlineStr">
        <is>
          <t>Afin Bank's own published UK KM1 template, in its own row order, row numbers, labels and precision. Amounts in £'000; ratios as printed. FY2024 is the only column because the bank was authorised (with restrictions) in October 2024 and states it provides no prior-period comparatives. Dashed rows carry the dash Afin printed; the zeroes in UK 16a and row 16 are the bank's own. Row 17 is published as 999999% - see the sources note.</t>
        </is>
      </c>
    </row>
    <row r="3">
      <c r="A3" s="4" t="inlineStr">
        <is>
          <t>Line item</t>
        </is>
      </c>
      <c r="B3" s="4" t="inlineStr">
        <is>
          <t>FY2024</t>
        </is>
      </c>
    </row>
    <row r="4">
      <c r="A4" s="5" t="inlineStr">
        <is>
          <t>Available own funds (amounts)</t>
        </is>
      </c>
      <c r="B4" s="6" t="n"/>
    </row>
    <row r="5">
      <c r="A5" s="6" t="inlineStr">
        <is>
          <t>1  Common Equity Tier 1 (CET1) capital (£'000)</t>
        </is>
      </c>
      <c r="B5" s="6" t="n">
        <v>12922</v>
      </c>
    </row>
    <row r="6">
      <c r="A6" s="6" t="inlineStr">
        <is>
          <t>2  Tier 1 capital (£'000)</t>
        </is>
      </c>
      <c r="B6" s="6" t="n">
        <v>12922</v>
      </c>
    </row>
    <row r="7">
      <c r="A7" s="6" t="inlineStr">
        <is>
          <t>3  Total capital (£'000)</t>
        </is>
      </c>
      <c r="B7" s="6" t="n">
        <v>12922</v>
      </c>
    </row>
    <row r="8">
      <c r="A8" s="5" t="inlineStr">
        <is>
          <t>Risk-weighted exposure amounts</t>
        </is>
      </c>
      <c r="B8" s="6" t="n"/>
    </row>
    <row r="9">
      <c r="A9" s="6" t="inlineStr">
        <is>
          <t>4  Total risk-weighted exposure amount (£'000)</t>
        </is>
      </c>
      <c r="B9" s="6" t="n">
        <v>3087</v>
      </c>
    </row>
    <row r="10">
      <c r="A10" s="5" t="inlineStr">
        <is>
          <t>Capital ratios (as a percentage of risk-weighted exposure amount)</t>
        </is>
      </c>
      <c r="B10" s="6" t="n"/>
    </row>
    <row r="11">
      <c r="A11" s="6" t="inlineStr">
        <is>
          <t>5  Common Equity Tier 1 ratio (%)</t>
        </is>
      </c>
      <c r="B11" s="6" t="inlineStr">
        <is>
          <t>418.5%</t>
        </is>
      </c>
    </row>
    <row r="12">
      <c r="A12" s="6" t="inlineStr">
        <is>
          <t>6  Tier 1 ratio (%)</t>
        </is>
      </c>
      <c r="B12" s="6" t="inlineStr">
        <is>
          <t>418.5%</t>
        </is>
      </c>
    </row>
    <row r="13">
      <c r="A13" s="6" t="inlineStr">
        <is>
          <t>7  Total capital ratio (%)</t>
        </is>
      </c>
      <c r="B13" s="6" t="inlineStr">
        <is>
          <t>418.5%</t>
        </is>
      </c>
    </row>
    <row r="14">
      <c r="A14" s="5" t="inlineStr">
        <is>
          <t>Additional own funds requirements based on SREP (as a percentage of risk-weighted exposure amount)</t>
        </is>
      </c>
      <c r="B14" s="6" t="n"/>
    </row>
    <row r="15">
      <c r="A15" s="6" t="inlineStr">
        <is>
          <t>UK 7a  Additional CET1 SREP requirements (%)</t>
        </is>
      </c>
      <c r="B15" s="6" t="inlineStr">
        <is>
          <t>75.7%</t>
        </is>
      </c>
    </row>
    <row r="16">
      <c r="A16" s="6" t="inlineStr">
        <is>
          <t>UK 7b  Additional AT1 SREP requirements (%)</t>
        </is>
      </c>
      <c r="B16" s="6" t="inlineStr">
        <is>
          <t>25.2%</t>
        </is>
      </c>
    </row>
    <row r="17">
      <c r="A17" s="6" t="inlineStr">
        <is>
          <t>UK 7c  Additional T2 SREP requirements (%)</t>
        </is>
      </c>
      <c r="B17" s="6" t="inlineStr">
        <is>
          <t>33.6%</t>
        </is>
      </c>
    </row>
    <row r="18">
      <c r="A18" s="6" t="inlineStr">
        <is>
          <t>UK 7d  Total SREP own funds requirements (%)</t>
        </is>
      </c>
      <c r="B18" s="6" t="inlineStr">
        <is>
          <t>142.5%</t>
        </is>
      </c>
    </row>
    <row r="19">
      <c r="A19" s="5" t="inlineStr">
        <is>
          <t>Combined buffer requirement (as a percentage of risk-weighted exposure amount)</t>
        </is>
      </c>
      <c r="B19" s="6" t="n"/>
    </row>
    <row r="20">
      <c r="A20" s="6" t="inlineStr">
        <is>
          <t>8  Capital conservation buffer (%)</t>
        </is>
      </c>
      <c r="B20" s="6" t="inlineStr">
        <is>
          <t>2.5%</t>
        </is>
      </c>
    </row>
    <row r="21">
      <c r="A21" s="6" t="inlineStr">
        <is>
          <t>UK 8a  Conservation buffer due to macro-prudential or systemic risk identified at the level of a Member State (%)</t>
        </is>
      </c>
      <c r="B21" s="6" t="inlineStr">
        <is>
          <t>-</t>
        </is>
      </c>
    </row>
    <row r="22">
      <c r="A22" s="6" t="inlineStr">
        <is>
          <t>9  Institution specific countercyclical capital buffer (%)</t>
        </is>
      </c>
      <c r="B22" s="6" t="inlineStr">
        <is>
          <t>2%</t>
        </is>
      </c>
    </row>
    <row r="23">
      <c r="A23" s="6" t="inlineStr">
        <is>
          <t>UK 9a  Systemic risk buffer (%)</t>
        </is>
      </c>
      <c r="B23" s="6" t="inlineStr">
        <is>
          <t>-</t>
        </is>
      </c>
    </row>
    <row r="24">
      <c r="A24" s="6" t="inlineStr">
        <is>
          <t>10  Global Systemically Important Institution buffer (%)</t>
        </is>
      </c>
      <c r="B24" s="6" t="inlineStr">
        <is>
          <t>-</t>
        </is>
      </c>
    </row>
    <row r="25">
      <c r="A25" s="6" t="inlineStr">
        <is>
          <t>UK 10a  Other Systemically Important Institution buffer</t>
        </is>
      </c>
      <c r="B25" s="6" t="inlineStr">
        <is>
          <t>-</t>
        </is>
      </c>
    </row>
    <row r="26">
      <c r="A26" s="6" t="inlineStr">
        <is>
          <t>11  Combined buffer requirement (%)</t>
        </is>
      </c>
      <c r="B26" s="6" t="inlineStr">
        <is>
          <t>4.5%</t>
        </is>
      </c>
    </row>
    <row r="27">
      <c r="A27" s="6" t="inlineStr">
        <is>
          <t>UK 11a  Overall capital requirements (%)</t>
        </is>
      </c>
      <c r="B27" s="6" t="inlineStr">
        <is>
          <t>147%</t>
        </is>
      </c>
    </row>
    <row r="28">
      <c r="A28" s="6" t="inlineStr">
        <is>
          <t>12  CET1 available after meeting the total SREP own funds requirements (%)</t>
        </is>
      </c>
      <c r="B28" s="6" t="inlineStr">
        <is>
          <t>276%</t>
        </is>
      </c>
    </row>
    <row r="29">
      <c r="A29" s="5" t="inlineStr">
        <is>
          <t>Leverage ratio</t>
        </is>
      </c>
      <c r="B29" s="6" t="n"/>
    </row>
    <row r="30">
      <c r="A30" s="6" t="inlineStr">
        <is>
          <t>13  Total exposure measure excluding claims on central banks (£'000)</t>
        </is>
      </c>
      <c r="B30" s="6" t="n">
        <v>14782</v>
      </c>
    </row>
    <row r="31">
      <c r="A31" s="6" t="inlineStr">
        <is>
          <t>14  Leverage ratio excluding claims on central banks (%)</t>
        </is>
      </c>
      <c r="B31" s="6" t="inlineStr">
        <is>
          <t>87.4%</t>
        </is>
      </c>
    </row>
    <row r="32">
      <c r="A32" s="5" t="inlineStr">
        <is>
          <t>Liquidity Coverage Ratio</t>
        </is>
      </c>
      <c r="B32" s="6" t="n"/>
    </row>
    <row r="33">
      <c r="A33" s="6" t="inlineStr">
        <is>
          <t>15  Total high-quality liquid assets (HQLA) (Weighted value - average) (£'000)</t>
        </is>
      </c>
      <c r="B33" s="6" t="n">
        <v>8909</v>
      </c>
    </row>
    <row r="34">
      <c r="A34" s="6" t="inlineStr">
        <is>
          <t>UK 16a  Cash outflows - Total weighted value (£'000)</t>
        </is>
      </c>
      <c r="B34" s="6" t="n">
        <v>0</v>
      </c>
    </row>
    <row r="35">
      <c r="A35" s="6" t="inlineStr">
        <is>
          <t>UK 16b  Cash inflows - Total weighted value (£'000)</t>
        </is>
      </c>
      <c r="B35" s="6" t="n">
        <v>3971</v>
      </c>
    </row>
    <row r="36">
      <c r="A36" s="6" t="inlineStr">
        <is>
          <t>16  Total net cash outflows (adjusted value) (£'000)</t>
        </is>
      </c>
      <c r="B36" s="6" t="n">
        <v>0</v>
      </c>
    </row>
    <row r="37">
      <c r="A37" s="6" t="inlineStr">
        <is>
          <t>17  Liquidity coverage ratio (%)</t>
        </is>
      </c>
      <c r="B37" s="6" t="inlineStr">
        <is>
          <t>999999%</t>
        </is>
      </c>
    </row>
    <row r="38">
      <c r="A38" s="5" t="inlineStr">
        <is>
          <t>Net Stable Funding Ratio</t>
        </is>
      </c>
      <c r="B38" s="6" t="n"/>
    </row>
    <row r="39">
      <c r="A39" s="6" t="inlineStr">
        <is>
          <t>18  Total available stable funding (£'000)</t>
        </is>
      </c>
      <c r="B39" s="6" t="n">
        <v>21486</v>
      </c>
    </row>
    <row r="40">
      <c r="A40" s="6" t="inlineStr">
        <is>
          <t>19  Total required stable funding (£'000)</t>
        </is>
      </c>
      <c r="B40" s="6" t="n">
        <v>4365</v>
      </c>
    </row>
    <row r="41">
      <c r="A41" s="6" t="inlineStr">
        <is>
          <t>20  NSFR ratio (%)</t>
        </is>
      </c>
      <c r="B41" s="6" t="inlineStr">
        <is>
          <t>492.2%</t>
        </is>
      </c>
    </row>
    <row r="43" ht="320" customHeight="1">
      <c r="A43" s="8" t="inlineStr">
        <is>
          <t>Sources - Afin Bank Limited's own published UK KM1 template, reproduced in its own row order, row numbers, labels and precision. Amounts in £'000 as published.
FY2024: Afin Bank 2024 Pillar 3 Disclosures, pp.4-5, 'Table 1 UK KM1 - Key Metrics', column 31/12/2024 - https://afinbank.com/wp-content/uploads/2025/09/Afin-Bank-2024-Pillar-3-Disclosures-FINAL.pdf
The table BREAKS ACROSS A PAGE: rows 1-14 and the 'Liquidity Coverage Ratio' heading on p.4, rows 15-20 and both of the bank's footnotes on p.5. A citation naming only p.4 would send a checker to a page that does not contain the liquidity rows.
ENTITY: Afin Bank Limited (company 13090556) only. The document states the template 'has been disclosed in accordance with Annex I and Annex II of the Disclosure (CRR) Part of the PRA Rulebook'.
WHY THERE IS ONLY ONE COLUMN - THE BANK STATES IT.
Footnote to the column header: "*We were authorised as a bank by the PRA (with restrictions) in Oct 2024. Therefore we do not provide comparative information for the prior periods." FY2023, FY2022 and FY2021 are blank because Afin was not an authorised bank and published no KM1 for those years - a declared exclusion, not a document we failed to find, and not a figure to be back-filled from the statutory accounts, which are a different basis.
TWO MISSING-VALUE GLYPHS APPEAR IN THIS ONE COLUMN AND THEY MEAN DIFFERENT THINGS.
Rows UK 8a, UK 9a, 10 and UK 10a are printed as a DASH and are therefore left BLANK here (map rule 2): the bank disclosed no figure, which is not the same as disclosing nil. Rows UK 16a and 16 are printed as '0' and are recorded as genuine zeroes. Both glyphs sit in the same column of the same table, so normalising either one would misstate what Afin published.
ROW 17 IS PUBLISHED AS '999999%' AND IS REPRODUCED, NOT CORRECTED (rule 7).
Afin's own footnote: "(1) We are currently authorised as a bank by the PRA (with restrictions). At present we do not have any qualifying cash outflows. Therefore our LCR is reported as 999999%." It is a sentinel standing for an undefined ratio - row 16, the denominator, is a printed zero - and it is carried exactly as disclosed. It is not a conventional finite ratio and should not be charted or compared as one.
THE FIGURES ARE SMALL AND THE RATIOS EXTREME, AND THAT IS CORRECT AS PUBLISHED. Total risk-weighted exposures of £3,087k against CET1 of £12,922k give the printed 418.5% capital ratios, and the SREP requirement is correspondingly high (UK 7d 142.5%). This is what a bank authorised with restrictions in October 2024, two months before its year-end, actually looks like; none of it is derived here.
PRECISION IS THE BANK'S OWN (rule 3): row 8 prints '2.5%' while row 9 prints '2%', and UK 11a and row 12 print '147%' and '276%' without decimals, in the same column as '418.5%' and '142.5%'.
SDDT STATUS - INTENT, NOT A WAIVER. The report's section 3.4 says that under the proposals in CP 7/24 Afin 'would meet the definition of a Small Domestic Deposit Taker (SDDT) and intends to become an SDDT, if this proposed regulatory change is implemented', in which case it 'would therefore no longer be required to make Pillar 3 disclosures under CRR Article 433b'. That is a stated future intention contingent on a consultation, NOT a PRA Rulebook Rule 3.1 election, and it removes no disclosure duty for FY2024 - which is why a full KM1 exists for this year.
LATEST-EDITION CHECK, RE-RUN 18 SEPTEMBER 2026 - NONE NEWER, ON POSITIVE EVIDENCE. Afin's own index at https://afinbank.com/about/annual-reports-and-disclosures/ reads successfully (HTTP 200, unblocked) and lists exactly three PDFs: this 2024 Pillar 3 document, the FY2024 signed year-end accounts, and an interest-rate history. The 2024 edition is the newest Pillar 3 published. This check went further than the 2026-09-16 one: the site's WordPress media REST API is open and was searched across the whole library (search=pillar / annual / accounts / disclosure / financial), which returns those same two FY2024 report documents and nothing else, against dozens of product and rate PDFs dated through August 2026 - so the library is live and the negative is about the bank's publishing, not about the index page. Companies House agrees: the newest accounts filing for company 13090556 is 'Full accounts made up to 31 December 2024', filed 29 September 2025. See the entity note for the publication lag and when to look again.</t>
        </is>
      </c>
    </row>
  </sheetData>
  <mergeCells count="1">
    <mergeCell ref="A43:B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12922</v>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418.5%</t>
        </is>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12922</v>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418.5%</t>
        </is>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12922</v>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418.5%</t>
        </is>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3087</v>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RWA Breakdown</t>
        </is>
      </c>
    </row>
    <row r="2">
      <c r="A2" s="2" t="inlineStr">
        <is>
          <t>Afin Bank Limited risk-weighted exposure amount breakdown; amounts in £'000. FY2024 per the Pillar 3 UK OV1 template; FY2023-FY2021 not applicable (entity not yet a PRA-authorised bank).</t>
        </is>
      </c>
    </row>
    <row r="3">
      <c r="A3" s="4" t="inlineStr">
        <is>
          <t>Line item</t>
        </is>
      </c>
      <c r="B3" s="4" t="inlineStr">
        <is>
          <t>FY2024 (£'000)</t>
        </is>
      </c>
      <c r="C3" s="4" t="inlineStr">
        <is>
          <t>FY2023 (£'000)</t>
        </is>
      </c>
      <c r="D3" s="4" t="inlineStr">
        <is>
          <t>FY2022 (£'000)</t>
        </is>
      </c>
      <c r="E3" s="4" t="inlineStr">
        <is>
          <t>FY2021 (£'000)</t>
        </is>
      </c>
    </row>
    <row r="4">
      <c r="A4" s="5" t="inlineStr">
        <is>
          <t>UK OV1 — Overview of risk weighted exposure amounts</t>
        </is>
      </c>
      <c r="B4" s="6" t="n"/>
      <c r="C4" s="6" t="n"/>
      <c r="D4" s="6" t="n"/>
      <c r="E4" s="6" t="n"/>
    </row>
    <row r="5">
      <c r="A5" s="6" t="inlineStr">
        <is>
          <t>Credit risk (excluding CCR)</t>
        </is>
      </c>
      <c r="B5" s="6" t="n">
        <v>2489</v>
      </c>
      <c r="C5" s="6" t="n"/>
      <c r="D5" s="6" t="n"/>
      <c r="E5" s="6" t="n"/>
    </row>
    <row r="6">
      <c r="A6" s="6" t="inlineStr">
        <is>
          <t>Operational risk</t>
        </is>
      </c>
      <c r="B6" s="6" t="n">
        <v>598</v>
      </c>
      <c r="C6" s="6" t="n"/>
      <c r="D6" s="6" t="n"/>
      <c r="E6" s="6" t="n"/>
    </row>
    <row r="7">
      <c r="A7" s="5" t="inlineStr">
        <is>
          <t>Total risk weighted exposure amount</t>
        </is>
      </c>
      <c r="B7" s="5" t="n">
        <v>3087</v>
      </c>
      <c r="C7" s="5" t="n"/>
      <c r="D7" s="5" t="n"/>
      <c r="E7" s="5" t="n"/>
    </row>
    <row r="8">
      <c r="A8" s="5" t="inlineStr">
        <is>
          <t>Not applicable</t>
        </is>
      </c>
      <c r="B8" s="6" t="n"/>
      <c r="C8" s="6" t="n"/>
      <c r="D8" s="6" t="n"/>
      <c r="E8" s="6" t="n"/>
    </row>
    <row r="9">
      <c r="A9" s="6" t="inlineStr">
        <is>
          <t>Not publicly disclosed / Not applicable</t>
        </is>
      </c>
      <c r="B9" s="6" t="n"/>
      <c r="C9" s="6" t="inlineStr">
        <is>
          <t>Not applicable – not a PRA-authorised bank until 18 Oct 2024 (FY2024 Pillar 3 s.1 p.2, KM1 footnote p.5; Companies House 13090556); no Pillar 3 duty for FY2021-FY2023</t>
        </is>
      </c>
      <c r="D9" s="6" t="inlineStr">
        <is>
          <t>Not applicable – not a PRA-authorised bank until 18 Oct 2024 (FY2024 Pillar 3 s.1 p.2, KM1 footnote p.5; Companies House 13090556); no Pillar 3 duty for FY2021-FY2023</t>
        </is>
      </c>
      <c r="E9" s="6" t="inlineStr">
        <is>
          <t>Not applicable – not a PRA-authorised bank until 18 Oct 2024 (FY2024 Pillar 3 s.1 p.2, KM1 footnote p.5; Companies House 13090556); no Pillar 3 duty for FY2021-FY2023</t>
        </is>
      </c>
    </row>
    <row r="11" ht="180" customHeight="1">
      <c r="A11" s="8" t="inlineStr">
        <is>
          <t>Sources - Afin Bank Limited standalone Pillar 3 Disclosures for the year ended 31 December 2024:
FY2024: UK OV1 - Overview of risk weighted exposure amounts (Table 2), printed p. 5 - https://afinbank.com/wp-content/uploads/2025/09/Afin-Bank-2024-Pillar-3-Disclosures-FINAL.pdf
FY2024 figures are directly disclosed (not derived): Credit risk (excluding CCR) £2,489k + Operational risk £598k = £3,087k, which reconciles exactly to the Total RWAs sheet's own FY2024 figure of £3,087k (UK KM1, row 4). No counterparty credit risk, securitisation or market risk rows are shown in Afin Bank's own OV1 table (rows 2-22 and 24-28 of the standard OV1 template are blank/not populated), consistent with a small, newly-authorised institution with no trading book or derivatives exposure - not a gap in transcription.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 NOT DISCLOSED (FY2023-FY2021): as above (see NOT_APPLICABLE_P3_NOTE) - the entity had no Pillar 3 disclosure obligation for these years.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11:E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Leverage Ratio</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14782</v>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5">
      <c r="A5" s="6" t="inlineStr">
        <is>
          <t>Leverage ratio excluding claims on central banks</t>
        </is>
      </c>
      <c r="B5" s="6" t="inlineStr">
        <is>
          <t>87.4%</t>
        </is>
      </c>
      <c r="C5" s="6" t="inlineStr">
        <is>
          <t>Not applicable – not a PRA-authorised bank until 18 Oct 2024 (FY2024 Pillar 3 s.1 p.2, KM1 footnote p.5; Companies House 13090556); no Pillar 3 duty for FY2021-FY2023</t>
        </is>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LCR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 average)</t>
        </is>
      </c>
      <c r="B4" s="6" t="n">
        <v>8909</v>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5">
      <c r="A5" s="6" t="inlineStr">
        <is>
          <t>Cash outflows - total weighted value</t>
        </is>
      </c>
      <c r="B5" s="6" t="n">
        <v>0</v>
      </c>
      <c r="C5" s="6" t="inlineStr">
        <is>
          <t>Not applicable – not a PRA-authorised bank until 18 Oct 2024 (FY2024 Pillar 3 s.1 p.2, KM1 footnote p.5; Companies House 13090556); no Pillar 3 duty for FY2021-FY2023</t>
        </is>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row>
    <row r="6">
      <c r="A6" s="6" t="inlineStr">
        <is>
          <t>Cash inflows - total weighted value</t>
        </is>
      </c>
      <c r="B6" s="6" t="n">
        <v>3971</v>
      </c>
      <c r="C6" s="6" t="inlineStr">
        <is>
          <t>Not applicable – not a PRA-authorised bank until 18 Oct 2024 (FY2024 Pillar 3 s.1 p.2, KM1 footnote p.5; Companies House 13090556); no Pillar 3 duty for FY2021-FY2023</t>
        </is>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row>
    <row r="7">
      <c r="A7" s="6" t="inlineStr">
        <is>
          <t>Total net cash outflows (adjusted value)</t>
        </is>
      </c>
      <c r="B7" s="6" t="n">
        <v>0</v>
      </c>
      <c r="C7" s="6" t="inlineStr">
        <is>
          <t>Not applicable – not a PRA-authorised bank until 18 Oct 2024 (FY2024 Pillar 3 s.1 p.2, KM1 footnote p.5; Companies House 13090556); no Pillar 3 duty for FY2021-FY2023</t>
        </is>
      </c>
      <c r="D7" s="6" t="inlineStr">
        <is>
          <t>Not applicable – not a PRA-authorised bank until 18 Oct 2024 (FY2024 Pillar 3 s.1 p.2, KM1 footnote p.5; Companies House 13090556); no Pillar 3 duty for FY2021-FY2023</t>
        </is>
      </c>
      <c r="E7" s="6" t="inlineStr">
        <is>
          <t>Not applicable – not a PRA-authorised bank until 18 Oct 2024 (FY2024 Pillar 3 s.1 p.2, KM1 footnote p.5; Companies House 13090556); no Pillar 3 duty for FY2021-FY2023</t>
        </is>
      </c>
    </row>
    <row r="8">
      <c r="A8" s="6" t="inlineStr">
        <is>
          <t>Liquidity coverage ratio</t>
        </is>
      </c>
      <c r="B8" s="6" t="inlineStr">
        <is>
          <t>999999%</t>
        </is>
      </c>
      <c r="C8" s="6" t="inlineStr">
        <is>
          <t>Not applicable – not a PRA-authorised bank until 18 Oct 2024 (FY2024 Pillar 3 s.1 p.2, KM1 footnote p.5; Companies House 13090556); no Pillar 3 duty for FY2021-FY2023</t>
        </is>
      </c>
      <c r="D8" s="6" t="inlineStr">
        <is>
          <t>Not applicable – not a PRA-authorised bank until 18 Oct 2024 (FY2024 Pillar 3 s.1 p.2, KM1 footnote p.5; Companies House 13090556); no Pillar 3 duty for FY2021-FY2023</t>
        </is>
      </c>
      <c r="E8" s="6" t="inlineStr">
        <is>
          <t>Not applicable – not a PRA-authorised bank until 18 Oct 2024 (FY2024 Pillar 3 s.1 p.2, KM1 footnote p.5; Companies House 13090556); no Pillar 3 duty for FY2021-FY2023</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11:E11"/>
    <mergeCell ref="A9:E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NSFR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21486</v>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5">
      <c r="A5" s="6" t="inlineStr">
        <is>
          <t>Total required stable funding</t>
        </is>
      </c>
      <c r="B5" s="6" t="n">
        <v>4365</v>
      </c>
      <c r="C5" s="6" t="inlineStr">
        <is>
          <t>Not applicable – not a PRA-authorised bank until 18 Oct 2024 (FY2024 Pillar 3 s.1 p.2, KM1 footnote p.5; Companies House 13090556); no Pillar 3 duty for FY2021-FY2023</t>
        </is>
      </c>
      <c r="D5" s="6" t="inlineStr">
        <is>
          <t>Not applicable – not a PRA-authorised bank until 18 Oct 2024 (FY2024 Pillar 3 s.1 p.2, KM1 footnote p.5; Companies House 13090556); no Pillar 3 duty for FY2021-FY2023</t>
        </is>
      </c>
      <c r="E5" s="6" t="inlineStr">
        <is>
          <t>Not applicable – not a PRA-authorised bank until 18 Oct 2024 (FY2024 Pillar 3 s.1 p.2, KM1 footnote p.5; Companies House 13090556); no Pillar 3 duty for FY2021-FY2023</t>
        </is>
      </c>
    </row>
    <row r="6">
      <c r="A6" s="6" t="inlineStr">
        <is>
          <t>NSFR ratio</t>
        </is>
      </c>
      <c r="B6" s="6" t="inlineStr">
        <is>
          <t>492.2%</t>
        </is>
      </c>
      <c r="C6" s="6" t="inlineStr">
        <is>
          <t>Not applicable – not a PRA-authorised bank until 18 Oct 2024 (FY2024 Pillar 3 s.1 p.2, KM1 footnote p.5; Companies House 13090556); no Pillar 3 duty for FY2021-FY2023</t>
        </is>
      </c>
      <c r="D6" s="6" t="inlineStr">
        <is>
          <t>Not applicable – not a PRA-authorised bank until 18 Oct 2024 (FY2024 Pillar 3 s.1 p.2, KM1 footnote p.5; Companies House 13090556); no Pillar 3 duty for FY2021-FY2023</t>
        </is>
      </c>
      <c r="E6" s="6" t="inlineStr">
        <is>
          <t>Not applicable – not a PRA-authorised bank until 18 Oct 2024 (FY2024 Pillar 3 s.1 p.2, KM1 footnote p.5; Companies House 13090556); no Pillar 3 duty for FY2021-FY2023</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8:E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published – FY2024 Pillar 3 (7pp; KM1 pp.4-5, OV1 p.5) and FY2024 annual report contain no MREL figure or reference (checked 2026-09-19)</t>
        </is>
      </c>
      <c r="C4" s="6" t="inlineStr">
        <is>
          <t>Not applicable – not a PRA-authorised bank until 18 Oct 2024 (FY2024 Pillar 3 s.1 p.2, KM1 footnote p.5; Companies House 13090556); no Pillar 3 duty for FY2021-FY2023</t>
        </is>
      </c>
      <c r="D4" s="6" t="inlineStr">
        <is>
          <t>Not applicable – not a PRA-authorised bank until 18 Oct 2024 (FY2024 Pillar 3 s.1 p.2, KM1 footnote p.5; Companies House 13090556); no Pillar 3 duty for FY2021-FY2023</t>
        </is>
      </c>
      <c r="E4" s="6" t="inlineStr">
        <is>
          <t>Not applicable – not a PRA-authorised bank until 18 Oct 2024 (FY2024 Pillar 3 s.1 p.2, KM1 footnote p.5; Companies House 13090556); no Pillar 3 duty for FY2021-FY2023</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WHY THIS WORKBOOK STOPS AT FY2024 - CHECKED 18 SEPTEMBER 2026, AND FY2025 DOES NOT EXIST YET. Three independent routes, all positive readings rather than failed fetches. (1) The bank's own index at https://afinbank.com/about/annual-reports-and-disclosures/ returns HTTP 200 unblocked and links exactly three PDFs: the FY2024 Pillar 3, the FY2024 signed year-end accounts, and an interest-rate history. (2) The site's WordPress media REST API is open and was searched across the WHOLE library, not just the page - search=pillar, annual, accounts, disclosure, financial - and returns exactly two report documents, both FY2024, both uploaded 24 September 2025. The same API returns dozens of hits for product and rate documents dated through August 2026, so the library is live and current and the two-document result is a fact about what the bank has published, not about the query. (3) Companies House filing history for company 13090556 shows the newest accounts filing is 'AA - Full accounts made up to 31 December 2024', filed 29 September 2025; no FY2025 accounts had been filed as at 18 September 2026.
WHEN TO LOOK AGAIN: very soon. This company files at the statutory deadline - FY2024 accounts were filed 29 September 2025 (the deadline for a 31 December 2024 year-end is 30 September 2025) and posted to the website on 24 September 2025; FY2023 was filed 3 June 2024. The FY2025 filing deadline is 30 SEPTEMBER 2026, twelve days after this check, and the FY2024 pattern suggests the Pillar 3 and the website upload land in the same week. A re-check in October 2026 should find both.
RE-CHECKED 19 SEPTEMBER 2026 (GA-020) - STILL NO FY2025 DOCUMENT OF EITHER KIND. (1) Companies House filing history for 13090556, read UNFILTERED on page 1: the newest rows are an ANNOTATION (9 Sep 2026), RESOLUTIONS (25 Aug 2026) and SH01/SH19/SH20/CAP-SS capital filings (Jul 2026); the newest AA is still 'Full accounts made up to 31 December 2024', filed 29 Sep 2025. The company profile still reads 'Next accounts made up to 31 December 2025 due by 30 September 2026'. (2) The bank's index page (HTTP 200) still links only the FY2024 Pillar 3, the FY2024 accounts and an interest-rate history dated 2026/08; the WordPress media API (search=pillar, annual, accounts, disclosure, financial, 2025, FY25) returns the same two FY2024 reports only, while its newest item is dated 9 Sep 2026, so the library is current. Direct probes of /wp-content/uploads/2026/08/ and /2026/09/ for 'Afin-Bank-2025-Pillar-3-Disclosures-FINAL.pdf' and 'Afin-Bank-Ltd-Year-End-Accounts-FV25-FINAL-SIGNED.pdf' (and the FY25 spelling) all return a genuine 404, against a 200/application/pdf/%PDF control on the FY2024 Pillar 3 URL. (3) Wayback CDX for afinbank.com from 2026 onward: 54 PDF captures, none an FY2025 report. Look again after 30 September 2026.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2026-09-19T13:56:50Z</dcterms:created>
  <dcterms:modified xmlns:dcterms="http://purl.org/dc/terms/" xmlns:xsi="http://www.w3.org/2001/XMLSchema-instance" xsi:type="dcterms:W3CDTF">2026-09-19T13:56:50Z</dcterms:modified>
</cp:coreProperties>
</file>