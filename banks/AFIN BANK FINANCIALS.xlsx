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4A1E4D"/>
        <bgColor rgb="004A1E4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Afin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'Overview'!$F$5</f>
            </numRef>
          </cat>
          <val>
            <numRef>
              <f>'Overview'!$F$6</f>
            </numRef>
          </val>
        </ser>
        <ser>
          <idx val="1"/>
          <order val="1"/>
          <tx>
            <strRef>
              <f>'Overview'!E7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'Overview'!$F$5</f>
            </numRef>
          </cat>
          <val>
            <numRef>
              <f>'Overview'!$F$7</f>
            </numRef>
          </val>
        </ser>
        <ser>
          <idx val="2"/>
          <order val="2"/>
          <tx>
            <strRef>
              <f>'Overview'!E8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'Overview'!$F$5</f>
            </numRef>
          </cat>
          <val>
            <numRef>
              <f>'Overview'!$F$8</f>
            </numRef>
          </val>
        </ser>
        <ser>
          <idx val="3"/>
          <order val="3"/>
          <tx>
            <strRef>
              <f>'Overview'!E9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'Overview'!$F$5</f>
            </numRef>
          </cat>
          <val>
            <numRef>
              <f>'Overview'!$F$9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Afin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'Overview'!$J$5</f>
            </numRef>
          </cat>
          <val>
            <numRef>
              <f>'Overview'!$J$6</f>
            </numRef>
          </val>
          <smooth val="0"/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'Overview'!$J$5</f>
            </numRef>
          </cat>
          <val>
            <numRef>
              <f>'Overview'!$J$7</f>
            </numRef>
          </val>
          <smooth val="0"/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'Overview'!$J$5</f>
            </numRef>
          </cat>
          <val>
            <numRef>
              <f>'Overview'!$J$8</f>
            </numRef>
          </val>
          <smooth val="0"/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'Overview'!$J$5</f>
            </numRef>
          </cat>
          <val>
            <numRef>
              <f>'Overview'!$J$9</f>
            </numRef>
          </val>
          <smooth val="0"/>
        </ser>
        <ser>
          <idx val="4"/>
          <order val="4"/>
          <tx>
            <strRef>
              <f>'Overview'!I10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'Overview'!$J$5</f>
            </numRef>
          </cat>
          <val>
            <numRef>
              <f>'Overview'!$J$10</f>
            </numRef>
          </val>
          <smooth val="0"/>
        </ser>
        <ser>
          <idx val="5"/>
          <order val="5"/>
          <tx>
            <strRef>
              <f>'Overview'!I11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'Overview'!$J$5</f>
            </numRef>
          </cat>
          <val>
            <numRef>
              <f>'Overview'!$J$11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" t="inlineStr">
        <is>
          <t>Afin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(£)</t>
        </is>
      </c>
    </row>
    <row r="5">
      <c r="A5" s="4" t="inlineStr">
        <is>
          <t>Line item</t>
        </is>
      </c>
      <c r="B5" s="4" t="inlineStr">
        <is>
          <t>FY2024</t>
        </is>
      </c>
      <c r="F5" t="inlineStr">
        <is>
          <t>FY2024</t>
        </is>
      </c>
      <c r="J5" t="inlineStr">
        <is>
          <t>FY2024</t>
        </is>
      </c>
    </row>
    <row r="6">
      <c r="A6" s="5" t="inlineStr">
        <is>
          <t>Net cash outflow from operating activities</t>
        </is>
      </c>
      <c r="B6" s="5" t="n">
        <v>-5854403</v>
      </c>
      <c r="E6" t="inlineStr">
        <is>
          <t>Net cash outflow from operating activities</t>
        </is>
      </c>
      <c r="F6" t="n">
        <v>-5854403</v>
      </c>
      <c r="I6" t="inlineStr">
        <is>
          <t>CET1 Ratio</t>
        </is>
      </c>
      <c r="J6" t="n">
        <v>418.5</v>
      </c>
    </row>
    <row r="7">
      <c r="A7" s="5" t="inlineStr">
        <is>
          <t>Net cash used in investing activities</t>
        </is>
      </c>
      <c r="B7" s="5" t="n">
        <v>-12345649</v>
      </c>
      <c r="E7" t="inlineStr">
        <is>
          <t>Net cash used in investing activities</t>
        </is>
      </c>
      <c r="F7" t="n">
        <v>-12345649</v>
      </c>
      <c r="I7" t="inlineStr">
        <is>
          <t>Tier 1 Ratio</t>
        </is>
      </c>
      <c r="J7" t="n">
        <v>418.5</v>
      </c>
    </row>
    <row r="8">
      <c r="A8" s="5" t="inlineStr">
        <is>
          <t>Net cash generated from financing activities</t>
        </is>
      </c>
      <c r="B8" s="5" t="n">
        <v>20384295</v>
      </c>
      <c r="E8" t="inlineStr">
        <is>
          <t>Net cash generated from financing activities</t>
        </is>
      </c>
      <c r="F8" t="n">
        <v>20384295</v>
      </c>
      <c r="I8" t="inlineStr">
        <is>
          <t>Total Capital Ratio</t>
        </is>
      </c>
      <c r="J8" t="n">
        <v>418.5</v>
      </c>
    </row>
    <row r="9">
      <c r="A9" s="5" t="inlineStr">
        <is>
          <t>Cash and cash equivalents at end of year</t>
        </is>
      </c>
      <c r="B9" s="5" t="n">
        <v>3155921</v>
      </c>
      <c r="E9" t="inlineStr">
        <is>
          <t>Cash and cash equivalents at end of year</t>
        </is>
      </c>
      <c r="F9" t="n">
        <v>3155921</v>
      </c>
      <c r="I9" t="inlineStr">
        <is>
          <t>Leverage Ratio</t>
        </is>
      </c>
      <c r="J9" t="n">
        <v>87.40000000000001</v>
      </c>
    </row>
    <row r="10">
      <c r="I10" t="inlineStr">
        <is>
          <t>LCR</t>
        </is>
      </c>
      <c r="J10" t="n">
        <v>999999</v>
      </c>
    </row>
    <row r="11">
      <c r="A11" s="3" t="inlineStr">
        <is>
          <t>Pillar 3 Key Metrics</t>
        </is>
      </c>
      <c r="I11" t="inlineStr">
        <is>
          <t>NSFR</t>
        </is>
      </c>
      <c r="J11" t="n">
        <v>492.2</v>
      </c>
    </row>
    <row r="12">
      <c r="A12" s="4" t="inlineStr">
        <is>
          <t>Line item</t>
        </is>
      </c>
      <c r="B12" s="4" t="inlineStr">
        <is>
          <t>FY2024</t>
        </is>
      </c>
    </row>
    <row r="13">
      <c r="A13" s="6" t="inlineStr">
        <is>
          <t>CET1 Ratio</t>
        </is>
      </c>
      <c r="B13" s="6" t="inlineStr">
        <is>
          <t>418.5%</t>
        </is>
      </c>
    </row>
    <row r="14">
      <c r="A14" s="6" t="inlineStr">
        <is>
          <t>Tier 1 Ratio</t>
        </is>
      </c>
      <c r="B14" s="6" t="inlineStr">
        <is>
          <t>418.5%</t>
        </is>
      </c>
    </row>
    <row r="15">
      <c r="A15" s="6" t="inlineStr">
        <is>
          <t>Total Capital Ratio</t>
        </is>
      </c>
      <c r="B15" s="6" t="inlineStr">
        <is>
          <t>418.5%</t>
        </is>
      </c>
    </row>
    <row r="16">
      <c r="A16" s="6" t="inlineStr">
        <is>
          <t>Leverage Ratio</t>
        </is>
      </c>
      <c r="B16" s="6" t="inlineStr">
        <is>
          <t>87.4%</t>
        </is>
      </c>
    </row>
    <row r="17">
      <c r="A17" s="6" t="inlineStr">
        <is>
          <t>LCR</t>
        </is>
      </c>
      <c r="B17" s="6" t="inlineStr">
        <is>
          <t>999999%</t>
        </is>
      </c>
    </row>
    <row r="18">
      <c r="A18" s="6" t="inlineStr">
        <is>
          <t>NSFR</t>
        </is>
      </c>
      <c r="B18" s="6" t="inlineStr">
        <is>
          <t>492.2%</t>
        </is>
      </c>
    </row>
    <row r="20" ht="45" customHeight="1">
      <c r="A20" s="7" t="inlineStr">
        <is>
          <t>Note: SHORT PERIOD: This workbook intentionally covers FY2024 only. Afin's first Pillar 3 report states that it was authorised as a bank with restrictions in October 2024 and does not provide prior-period comparatives. The Pillar 3 metrics are standalone Afin Bank Limited disclosures; the cash-flow statement is from the audited annual accounts. See each detail sheet for the source citation.</t>
        </is>
      </c>
    </row>
  </sheetData>
  <mergeCells count="1">
    <mergeCell ref="A20:B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</cols>
  <sheetData>
    <row r="1">
      <c r="A1" s="1" t="inlineStr">
        <is>
          <t>Afin Bank Limited — Cash Flow Statement</t>
        </is>
      </c>
    </row>
    <row r="2">
      <c r="A2" s="2" t="inlineStr">
        <is>
          <t>Afin Bank Limited audited standalone statement of cash flows; amounts in £.</t>
        </is>
      </c>
    </row>
    <row r="3">
      <c r="A3" s="4" t="inlineStr">
        <is>
          <t>Line item</t>
        </is>
      </c>
      <c r="B3" s="4" t="inlineStr">
        <is>
          <t>FY2024 (£)</t>
        </is>
      </c>
    </row>
    <row r="4">
      <c r="A4" s="5" t="inlineStr">
        <is>
          <t>Cash flows from operating activities</t>
        </is>
      </c>
      <c r="B4" s="6" t="n"/>
    </row>
    <row r="5">
      <c r="A5" s="6" t="inlineStr">
        <is>
          <t>Cash absorbed by operations</t>
        </is>
      </c>
      <c r="B5" s="6" t="n">
        <v>-5854403</v>
      </c>
    </row>
    <row r="6">
      <c r="A6" s="5" t="inlineStr">
        <is>
          <t>Net cash outflow from operating activities</t>
        </is>
      </c>
      <c r="B6" s="5" t="n">
        <v>-5854403</v>
      </c>
    </row>
    <row r="7">
      <c r="A7" s="5" t="inlineStr">
        <is>
          <t>Investing activities</t>
        </is>
      </c>
      <c r="B7" s="6" t="n"/>
    </row>
    <row r="8">
      <c r="A8" s="6" t="inlineStr">
        <is>
          <t>Purchase of intangible assets</t>
        </is>
      </c>
      <c r="B8" s="6" t="n">
        <v>-2668378</v>
      </c>
    </row>
    <row r="9">
      <c r="A9" s="6" t="inlineStr">
        <is>
          <t>Purchase of property, plant and equipment</t>
        </is>
      </c>
      <c r="B9" s="6" t="n">
        <v>-52008</v>
      </c>
    </row>
    <row r="10">
      <c r="A10" s="6" t="inlineStr">
        <is>
          <t>Purchase of investments</t>
        </is>
      </c>
      <c r="B10" s="6" t="n">
        <v>-9700415</v>
      </c>
    </row>
    <row r="11">
      <c r="A11" s="6" t="inlineStr">
        <is>
          <t>Finance income</t>
        </is>
      </c>
      <c r="B11" s="6" t="n">
        <v>75152</v>
      </c>
    </row>
    <row r="12">
      <c r="A12" s="5" t="inlineStr">
        <is>
          <t>Net cash used in investing activities</t>
        </is>
      </c>
      <c r="B12" s="5" t="n">
        <v>-12345649</v>
      </c>
    </row>
    <row r="13">
      <c r="A13" s="5" t="inlineStr">
        <is>
          <t>Financing activities</t>
        </is>
      </c>
      <c r="B13" s="6" t="n"/>
    </row>
    <row r="14">
      <c r="A14" s="6" t="inlineStr">
        <is>
          <t>Proceeds from issue of shares</t>
        </is>
      </c>
      <c r="B14" s="6" t="n">
        <v>20523855</v>
      </c>
    </row>
    <row r="15">
      <c r="A15" s="6" t="inlineStr">
        <is>
          <t>Payment of lease liabilities</t>
        </is>
      </c>
      <c r="B15" s="6" t="n">
        <v>-134783</v>
      </c>
    </row>
    <row r="16">
      <c r="A16" s="6" t="inlineStr">
        <is>
          <t>Finance cost</t>
        </is>
      </c>
      <c r="B16" s="6" t="n">
        <v>-4777</v>
      </c>
    </row>
    <row r="17">
      <c r="A17" s="5" t="inlineStr">
        <is>
          <t>Net cash generated from financing activities</t>
        </is>
      </c>
      <c r="B17" s="5" t="n">
        <v>20384295</v>
      </c>
    </row>
    <row r="18">
      <c r="A18" s="5" t="inlineStr">
        <is>
          <t>Net increase in cash and cash equivalents</t>
        </is>
      </c>
      <c r="B18" s="5" t="n">
        <v>2184243</v>
      </c>
    </row>
    <row r="19">
      <c r="A19" s="6" t="inlineStr">
        <is>
          <t>Cash and cash equivalents at the beginning of the year</t>
        </is>
      </c>
      <c r="B19" s="6" t="n">
        <v>971678</v>
      </c>
    </row>
    <row r="20">
      <c r="A20" s="5" t="inlineStr">
        <is>
          <t>Cash and cash equivalents at the end of the year</t>
        </is>
      </c>
      <c r="B20" s="5" t="n">
        <v>3155921</v>
      </c>
    </row>
    <row r="22" ht="165" customHeight="1">
      <c r="A22" s="8" t="inlineStr">
        <is>
          <t>Sources - Afin Bank Limited audited annual report and financial statements for the year ended 31 December 2024:
FY2024: Statement of cash flows, printed p. 36 - https://afinbank.com/wp-content/uploads/2025/09/Afin-Bank-Ltd-Year-End-Accounts-FV24-FINAL-SIGNED.pdf
Companies House 2024 accounts filing (filed 29 September 2025) - https://find-and-update.company-information.service.gov.uk/company/13090556/filing-history/MzQ4MjgwOTc2M2FkaXF6a2N4/document?download=0&amp;format=pdf
Companies House filing history - https://find-and-update.company-information.service.gov.uk/company/13090556/filing-history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Common Equity Tier 1 (CET1) capital</t>
        </is>
      </c>
      <c r="B4" s="6" t="n">
        <v>12922</v>
      </c>
    </row>
    <row r="6" ht="145" customHeight="1">
      <c r="A6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6:B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Common Equity Tier 1 (CET1) ratio</t>
        </is>
      </c>
      <c r="B4" s="6" t="inlineStr">
        <is>
          <t>418.5%</t>
        </is>
      </c>
    </row>
    <row r="6" ht="145" customHeight="1">
      <c r="A6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Tier 1 capital</t>
        </is>
      </c>
      <c r="B4" s="6" t="n">
        <v>12922</v>
      </c>
    </row>
    <row r="6" ht="145" customHeight="1">
      <c r="A6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6:B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Tier 1 ratio</t>
        </is>
      </c>
      <c r="B4" s="6" t="inlineStr">
        <is>
          <t>418.5%</t>
        </is>
      </c>
    </row>
    <row r="6" ht="145" customHeight="1">
      <c r="A6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Total capital</t>
        </is>
      </c>
      <c r="B4" s="6" t="n">
        <v>12922</v>
      </c>
    </row>
    <row r="6" ht="145" customHeight="1">
      <c r="A6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Total capital ratio</t>
        </is>
      </c>
      <c r="B4" s="6" t="inlineStr">
        <is>
          <t>418.5%</t>
        </is>
      </c>
    </row>
    <row r="6" ht="145" customHeight="1">
      <c r="A6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6:B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Total risk-weighted exposure amount</t>
        </is>
      </c>
      <c r="B4" s="6" t="n">
        <v>3087</v>
      </c>
    </row>
    <row r="6" ht="145" customHeight="1">
      <c r="A6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6:B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Leverage Ratio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Total exposure measure excluding claims on central banks</t>
        </is>
      </c>
      <c r="B4" s="6" t="n">
        <v>14782</v>
      </c>
    </row>
    <row r="5">
      <c r="A5" s="6" t="inlineStr">
        <is>
          <t>Leverage ratio excluding claims on central banks</t>
        </is>
      </c>
      <c r="B5" s="6" t="inlineStr">
        <is>
          <t>87.4%</t>
        </is>
      </c>
    </row>
    <row r="7" ht="145" customHeight="1">
      <c r="A7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7:B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LCR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Total high-quality liquid assets (HQLA) (weighted value - average)</t>
        </is>
      </c>
      <c r="B4" s="6" t="n">
        <v>8909</v>
      </c>
    </row>
    <row r="5">
      <c r="A5" s="6" t="inlineStr">
        <is>
          <t>Cash outflows - total weighted value</t>
        </is>
      </c>
      <c r="B5" s="6" t="n">
        <v>0</v>
      </c>
    </row>
    <row r="6">
      <c r="A6" s="6" t="inlineStr">
        <is>
          <t>Cash inflows - total weighted value</t>
        </is>
      </c>
      <c r="B6" s="6" t="n">
        <v>3971</v>
      </c>
    </row>
    <row r="7">
      <c r="A7" s="6" t="inlineStr">
        <is>
          <t>Total net cash outflows (adjusted value)</t>
        </is>
      </c>
      <c r="B7" s="6" t="n">
        <v>0</v>
      </c>
    </row>
    <row r="8">
      <c r="A8" s="6" t="inlineStr">
        <is>
          <t>Liquidity coverage ratio</t>
        </is>
      </c>
      <c r="B8" s="6" t="inlineStr">
        <is>
          <t>999999%</t>
        </is>
      </c>
    </row>
    <row r="9" ht="60" customHeight="1">
      <c r="A9" s="7" t="inlineStr">
        <is>
          <t>Note: Afin states that it had no qualifying cash outflows at 31 December 2024; the source therefore reports the LCR as 999999%. This is reproduced as reported and is not interpreted as a conventional finite ratio.</t>
        </is>
      </c>
    </row>
    <row r="11" ht="145" customHeight="1">
      <c r="A11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2">
    <mergeCell ref="A9:B9"/>
    <mergeCell ref="A11:B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</cols>
  <sheetData>
    <row r="1">
      <c r="A1" s="1" t="inlineStr">
        <is>
          <t>Afin Bank Limited — NSFR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Total available stable funding</t>
        </is>
      </c>
      <c r="B4" s="6" t="n">
        <v>21486</v>
      </c>
    </row>
    <row r="5">
      <c r="A5" s="6" t="inlineStr">
        <is>
          <t>Total required stable funding</t>
        </is>
      </c>
      <c r="B5" s="6" t="n">
        <v>4365</v>
      </c>
    </row>
    <row r="6">
      <c r="A6" s="6" t="inlineStr">
        <is>
          <t>NSFR ratio</t>
        </is>
      </c>
      <c r="B6" s="6" t="inlineStr">
        <is>
          <t>492.2%</t>
        </is>
      </c>
    </row>
    <row r="8" ht="145" customHeight="1">
      <c r="A8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1">
    <mergeCell ref="A8:B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</cols>
  <sheetData>
    <row r="1">
      <c r="A1" s="1" t="inlineStr">
        <is>
          <t>Afin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FY2024</t>
        </is>
      </c>
    </row>
    <row r="4">
      <c r="A4" s="6" t="inlineStr">
        <is>
          <t>MREL Ratio</t>
        </is>
      </c>
      <c r="B4" s="6" t="inlineStr">
        <is>
          <t>Not publicly disclosed</t>
        </is>
      </c>
    </row>
    <row r="5" ht="60" customHeight="1">
      <c r="A5" s="7" t="inlineStr">
        <is>
          <t>Note: No numeric MREL ratio is disclosed in the 2024 Pillar 3 report or the audited annual accounts.</t>
        </is>
      </c>
    </row>
    <row r="7" ht="150" customHeight="1">
      <c r="A7" s="8" t="inlineStr">
        <is>
          <t>Sources - Afin Bank Limited standalone Pillar 3 Disclosures for the year ended 31 December 2024:
FY2024: UK KM1 Key Metrics, printed pp. 4-5, and UK OV1, printed p. 5 - https://afinbank.com/wp-content/uploads/2025/09/Afin-Bank-2024-Pillar-3-Disclosures-FINAL.pdf
Afin Bank annual reports and disclosures page - https://afinbank.com/about/annual-reports-and-disclosures/
ENTITY NOTE: Afin Bank Limited (company 13090556, FRN 1004742) is the UK legal entity covered here. The 2024 Pillar 3 report says the disclosure scope applies to Afin Bank Limited only; it is a majority-owned subsidiary of WAICA Reinsurance Corporation PLC, but no parent-level figures are substituted. The company was formerly named All Africa Capital Limited and changed its name after receiving banking authorisation with restrictions in October 2024.</t>
        </is>
      </c>
    </row>
  </sheetData>
  <mergeCells count="2">
    <mergeCell ref="A7:B7"/>
    <mergeCell ref="A5: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2026-08-29T11:43:22Z</dcterms:created>
  <dcterms:modified xmlns:dcterms="http://purl.org/dc/terms/" xmlns:xsi="http://www.w3.org/2001/XMLSchema-instance" xsi:type="dcterms:W3CDTF">2026-08-29T11:43:22Z</dcterms:modified>
</cp:coreProperties>
</file>