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Profit &amp; Loss" sheetId="3" state="visible" r:id="rId3"/>
    <sheet xmlns:r="http://schemas.openxmlformats.org/officeDocument/2006/relationships" name="Statement of Changes in Equity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Asset Quality" sheetId="6" state="visible" r:id="rId6"/>
    <sheet xmlns:r="http://schemas.openxmlformats.org/officeDocument/2006/relationships" name="CET1 Capital" sheetId="7" state="visible" r:id="rId7"/>
    <sheet xmlns:r="http://schemas.openxmlformats.org/officeDocument/2006/relationships" name="CET1 Ratio" sheetId="8" state="visible" r:id="rId8"/>
    <sheet xmlns:r="http://schemas.openxmlformats.org/officeDocument/2006/relationships" name="Tier 1 Capital" sheetId="9" state="visible" r:id="rId9"/>
    <sheet xmlns:r="http://schemas.openxmlformats.org/officeDocument/2006/relationships" name="Tier 1 Ratio" sheetId="10" state="visible" r:id="rId10"/>
    <sheet xmlns:r="http://schemas.openxmlformats.org/officeDocument/2006/relationships" name="Total Capital" sheetId="11" state="visible" r:id="rId11"/>
    <sheet xmlns:r="http://schemas.openxmlformats.org/officeDocument/2006/relationships" name="Total Capital Ratio" sheetId="12" state="visible" r:id="rId12"/>
    <sheet xmlns:r="http://schemas.openxmlformats.org/officeDocument/2006/relationships" name="Total RWAs" sheetId="13" state="visible" r:id="rId13"/>
    <sheet xmlns:r="http://schemas.openxmlformats.org/officeDocument/2006/relationships" name="RWA Breakdown" sheetId="14" state="visible" r:id="rId14"/>
    <sheet xmlns:r="http://schemas.openxmlformats.org/officeDocument/2006/relationships" name="Leverage Ratio" sheetId="15" state="visible" r:id="rId15"/>
    <sheet xmlns:r="http://schemas.openxmlformats.org/officeDocument/2006/relationships" name="LCR" sheetId="16" state="visible" r:id="rId16"/>
    <sheet xmlns:r="http://schemas.openxmlformats.org/officeDocument/2006/relationships" name="NSFR" sheetId="17" state="visible" r:id="rId17"/>
    <sheet xmlns:r="http://schemas.openxmlformats.org/officeDocument/2006/relationships" name="MREL Ratio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003D6B"/>
        <bgColor rgb="00003D6B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Handelsbanken plc — Balance Sheet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Handelsbanken plc — Profit &amp; Loss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'Overview'!Q13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'Overview'!$R$13:$V$13</f>
            </numRef>
          </val>
        </ser>
        <ser>
          <idx val="1"/>
          <order val="1"/>
          <tx>
            <strRef>
              <f>'Overview'!Q14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'Overview'!$R$14:$V$14</f>
            </numRef>
          </val>
        </ser>
        <ser>
          <idx val="2"/>
          <order val="2"/>
          <tx>
            <strRef>
              <f>'Overview'!Q15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'Overview'!$R$15:$V$15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Handelsbanken plc — Statement of Changes in Equity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'Overview'!Y19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'Overview'!$Z$19:$AD$19</f>
            </numRef>
          </val>
        </ser>
        <ser>
          <idx val="1"/>
          <order val="1"/>
          <tx>
            <strRef>
              <f>'Overview'!Y20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'Overview'!$Z$20:$AD$20</f>
            </numRef>
          </val>
        </ser>
        <ser>
          <idx val="2"/>
          <order val="2"/>
          <tx>
            <strRef>
              <f>'Overview'!Y21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'Overview'!$Z$21:$AD$21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Handelsbanken plc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'Overview'!AG25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'Overview'!$AH$24:$AL$24</f>
            </numRef>
          </cat>
          <val>
            <numRef>
              <f>'Overview'!$AH$25:$AL$25</f>
            </numRef>
          </val>
        </ser>
        <ser>
          <idx val="1"/>
          <order val="1"/>
          <tx>
            <strRef>
              <f>'Overview'!AG26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'Overview'!$AH$24:$AL$24</f>
            </numRef>
          </cat>
          <val>
            <numRef>
              <f>'Overview'!$AH$26:$AL$26</f>
            </numRef>
          </val>
        </ser>
        <ser>
          <idx val="2"/>
          <order val="2"/>
          <tx>
            <strRef>
              <f>'Overview'!AG27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'Overview'!$AH$24:$AL$24</f>
            </numRef>
          </cat>
          <val>
            <numRef>
              <f>'Overview'!$AH$27:$AL$27</f>
            </numRef>
          </val>
        </ser>
        <ser>
          <idx val="3"/>
          <order val="3"/>
          <tx>
            <strRef>
              <f>'Overview'!AG28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'Overview'!$AH$24:$AL$24</f>
            </numRef>
          </cat>
          <val>
            <numRef>
              <f>'Overview'!$AH$28:$AL$28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Handelsbanken plc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'Overview'!AO6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'Overview'!$AP$6:$AT$6</f>
            </numRef>
          </val>
          <smooth val="0"/>
        </ser>
        <ser>
          <idx val="1"/>
          <order val="1"/>
          <tx>
            <strRef>
              <f>'Overview'!AO7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'Overview'!$AP$7:$AT$7</f>
            </numRef>
          </val>
          <smooth val="0"/>
        </ser>
        <ser>
          <idx val="2"/>
          <order val="2"/>
          <tx>
            <strRef>
              <f>'Overview'!AO8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'Overview'!$AP$8:$AT$8</f>
            </numRef>
          </val>
          <smooth val="0"/>
        </ser>
        <ser>
          <idx val="3"/>
          <order val="3"/>
          <tx>
            <strRef>
              <f>'Overview'!AO9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'Overview'!$AP$9:$AT$9</f>
            </numRef>
          </val>
          <smooth val="0"/>
        </ser>
        <ser>
          <idx val="4"/>
          <order val="4"/>
          <tx>
            <strRef>
              <f>'Overview'!AO10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'Overview'!$AP$10:$AT$10</f>
            </numRef>
          </val>
          <smooth val="0"/>
        </ser>
        <ser>
          <idx val="5"/>
          <order val="5"/>
          <tx>
            <strRef>
              <f>'Overview'!AO11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'Overview'!$AP$11:$AT$11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41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63</row>
      <rowOff>0</rowOff>
    </from>
    <ext cx="864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85</row>
      <rowOff>0</rowOff>
    </from>
    <ext cx="864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107</row>
      <rowOff>0</rowOff>
    </from>
    <ext cx="8640000" cy="46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129</row>
      <rowOff>0</rowOff>
    </from>
    <ext cx="8640000" cy="57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39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</cols>
  <sheetData>
    <row r="1">
      <c r="A1" s="1" t="inlineStr">
        <is>
          <t>Handelsbanken plc — Overview</t>
        </is>
      </c>
    </row>
    <row r="2">
      <c r="A2" s="2" t="inlineStr">
        <is>
          <t>Headline balance sheet, profit &amp; loss, cash flow and Pillar 3 figures across all years covered in this workbook - how the bank is using its money and the risk it is taking with it</t>
        </is>
      </c>
    </row>
    <row r="4">
      <c r="A4" s="3" t="inlineStr">
        <is>
          <t>Balance Sheet Summary (£'000)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AP5" t="inlineStr">
        <is>
          <t>FY2021</t>
        </is>
      </c>
      <c r="AQ5" t="inlineStr">
        <is>
          <t>FY2022</t>
        </is>
      </c>
      <c r="AR5" t="inlineStr">
        <is>
          <t>FY2023</t>
        </is>
      </c>
      <c r="AS5" t="inlineStr">
        <is>
          <t>FY2024</t>
        </is>
      </c>
      <c r="AT5" t="inlineStr">
        <is>
          <t>FY2025</t>
        </is>
      </c>
    </row>
    <row r="6">
      <c r="A6" s="5" t="inlineStr">
        <is>
          <t>Total assets</t>
        </is>
      </c>
      <c r="B6" s="5" t="n">
        <v>29804612</v>
      </c>
      <c r="C6" s="5" t="n">
        <v>30713857</v>
      </c>
      <c r="D6" s="5" t="n">
        <v>32367941</v>
      </c>
      <c r="E6" s="5" t="n">
        <v>32764625</v>
      </c>
      <c r="F6" s="5" t="n">
        <v>32658251</v>
      </c>
      <c r="I6" t="inlineStr">
        <is>
          <t>Total assets</t>
        </is>
      </c>
      <c r="J6" t="n">
        <v>32658251</v>
      </c>
      <c r="K6" t="n">
        <v>32764625</v>
      </c>
      <c r="L6" t="n">
        <v>32367941</v>
      </c>
      <c r="M6" t="n">
        <v>30713857</v>
      </c>
      <c r="N6" t="n">
        <v>29804612</v>
      </c>
      <c r="AO6" t="inlineStr">
        <is>
          <t>CET1 Ratio</t>
        </is>
      </c>
      <c r="AP6" t="n">
        <v>20.2</v>
      </c>
      <c r="AQ6" t="n">
        <v>21.3</v>
      </c>
      <c r="AR6" t="n">
        <v>20</v>
      </c>
      <c r="AS6" t="n">
        <v>18</v>
      </c>
      <c r="AT6" t="n">
        <v>17.5</v>
      </c>
    </row>
    <row r="7">
      <c r="A7" s="5" t="inlineStr">
        <is>
          <t>Loans to the public</t>
        </is>
      </c>
      <c r="B7" s="5" t="n">
        <v>18414143</v>
      </c>
      <c r="C7" s="5" t="n">
        <v>17826369</v>
      </c>
      <c r="D7" s="5" t="n">
        <v>18023996</v>
      </c>
      <c r="E7" s="5" t="n">
        <v>19028715</v>
      </c>
      <c r="F7" s="5" t="n">
        <v>20177506</v>
      </c>
      <c r="I7" t="inlineStr">
        <is>
          <t>Loans to the public</t>
        </is>
      </c>
      <c r="J7" t="n">
        <v>20177506</v>
      </c>
      <c r="K7" t="n">
        <v>19028715</v>
      </c>
      <c r="L7" t="n">
        <v>18023996</v>
      </c>
      <c r="M7" t="n">
        <v>17826369</v>
      </c>
      <c r="N7" t="n">
        <v>18414143</v>
      </c>
      <c r="AO7" t="inlineStr">
        <is>
          <t>Tier 1 Ratio</t>
        </is>
      </c>
      <c r="AP7" t="n">
        <v>20.2</v>
      </c>
      <c r="AQ7" t="n">
        <v>21.3</v>
      </c>
      <c r="AR7" t="n">
        <v>20</v>
      </c>
      <c r="AS7" t="n">
        <v>18</v>
      </c>
      <c r="AT7" t="n">
        <v>17.5</v>
      </c>
    </row>
    <row r="8">
      <c r="A8" s="5" t="inlineStr">
        <is>
          <t>Deposits from the public</t>
        </is>
      </c>
      <c r="B8" s="5" t="n">
        <v>21467902</v>
      </c>
      <c r="C8" s="5" t="n">
        <v>20880491</v>
      </c>
      <c r="D8" s="5" t="n">
        <v>20359402</v>
      </c>
      <c r="E8" s="5" t="n">
        <v>20486618</v>
      </c>
      <c r="F8" s="5" t="n">
        <v>19201850</v>
      </c>
      <c r="I8" t="inlineStr">
        <is>
          <t>Deposits from the public</t>
        </is>
      </c>
      <c r="J8" t="n">
        <v>19201850</v>
      </c>
      <c r="K8" t="n">
        <v>20486618</v>
      </c>
      <c r="L8" t="n">
        <v>20359402</v>
      </c>
      <c r="M8" t="n">
        <v>20880491</v>
      </c>
      <c r="N8" t="n">
        <v>21467902</v>
      </c>
      <c r="AO8" t="inlineStr">
        <is>
          <t>Total Capital Ratio</t>
        </is>
      </c>
      <c r="AP8" t="n">
        <v>23.5</v>
      </c>
      <c r="AQ8" t="n">
        <v>24.8</v>
      </c>
      <c r="AR8" t="n">
        <v>23.6</v>
      </c>
      <c r="AS8" t="n">
        <v>20.6</v>
      </c>
      <c r="AT8" t="n">
        <v>20</v>
      </c>
    </row>
    <row r="9">
      <c r="A9" s="5" t="inlineStr">
        <is>
          <t>Total equity</t>
        </is>
      </c>
      <c r="B9" s="5" t="n">
        <v>2442808</v>
      </c>
      <c r="C9" s="5" t="n">
        <v>2623634</v>
      </c>
      <c r="D9" s="5" t="n">
        <v>2889685</v>
      </c>
      <c r="E9" s="5" t="n">
        <v>2739461</v>
      </c>
      <c r="F9" s="5" t="n">
        <v>2486829</v>
      </c>
      <c r="I9" t="inlineStr">
        <is>
          <t>Total equity</t>
        </is>
      </c>
      <c r="J9" t="n">
        <v>2486829</v>
      </c>
      <c r="K9" t="n">
        <v>2739461</v>
      </c>
      <c r="L9" t="n">
        <v>2889685</v>
      </c>
      <c r="M9" t="n">
        <v>2623634</v>
      </c>
      <c r="N9" t="n">
        <v>2442808</v>
      </c>
      <c r="AO9" t="inlineStr">
        <is>
          <t>Leverage Ratio</t>
        </is>
      </c>
      <c r="AP9" t="n">
        <v>7.3</v>
      </c>
      <c r="AQ9" t="n">
        <v>9.4</v>
      </c>
      <c r="AR9" t="n">
        <v>9.1</v>
      </c>
      <c r="AS9" t="n">
        <v>9.300000000000001</v>
      </c>
      <c r="AT9" t="n">
        <v>9.4</v>
      </c>
    </row>
    <row r="10">
      <c r="AO10" t="inlineStr">
        <is>
          <t>LCR</t>
        </is>
      </c>
      <c r="AQ10" t="n">
        <v>147</v>
      </c>
      <c r="AR10" t="n">
        <v>153</v>
      </c>
      <c r="AS10" t="n">
        <v>165</v>
      </c>
      <c r="AT10" t="n">
        <v>180</v>
      </c>
    </row>
    <row r="11">
      <c r="A11" s="3" t="inlineStr">
        <is>
          <t>Profit &amp; Loss Summary (£'000)</t>
        </is>
      </c>
      <c r="AO11" t="inlineStr">
        <is>
          <t>NSFR</t>
        </is>
      </c>
      <c r="AQ11" t="n">
        <v>130</v>
      </c>
      <c r="AR11" t="n">
        <v>131</v>
      </c>
      <c r="AS11" t="n">
        <v>136</v>
      </c>
      <c r="AT11" t="n">
        <v>130</v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  <c r="R12" t="inlineStr">
        <is>
          <t>FY2021</t>
        </is>
      </c>
      <c r="S12" t="inlineStr">
        <is>
          <t>FY2022</t>
        </is>
      </c>
      <c r="T12" t="inlineStr">
        <is>
          <t>FY2023</t>
        </is>
      </c>
      <c r="U12" t="inlineStr">
        <is>
          <t>FY2024</t>
        </is>
      </c>
      <c r="V12" t="inlineStr">
        <is>
          <t>FY2025</t>
        </is>
      </c>
    </row>
    <row r="13">
      <c r="A13" s="5" t="inlineStr">
        <is>
          <t>Total income</t>
        </is>
      </c>
      <c r="B13" s="5" t="n">
        <v>871569</v>
      </c>
      <c r="C13" s="5" t="n">
        <v>942176</v>
      </c>
      <c r="D13" s="5" t="n">
        <v>1006356</v>
      </c>
      <c r="E13" s="5" t="n">
        <v>733894</v>
      </c>
      <c r="F13" s="5" t="n">
        <v>532853</v>
      </c>
      <c r="Q13" t="inlineStr">
        <is>
          <t>Total income</t>
        </is>
      </c>
      <c r="R13" t="n">
        <v>532853</v>
      </c>
      <c r="S13" t="n">
        <v>733894</v>
      </c>
      <c r="T13" t="n">
        <v>1006356</v>
      </c>
      <c r="U13" t="n">
        <v>942176</v>
      </c>
      <c r="V13" t="n">
        <v>871569</v>
      </c>
    </row>
    <row r="14">
      <c r="A14" s="5" t="inlineStr">
        <is>
          <t>Total expenses</t>
        </is>
      </c>
      <c r="B14" s="5" t="n">
        <v>-456798</v>
      </c>
      <c r="C14" s="5" t="n">
        <v>-454305</v>
      </c>
      <c r="D14" s="5" t="n">
        <v>-427739</v>
      </c>
      <c r="E14" s="5" t="n">
        <v>-386381</v>
      </c>
      <c r="F14" s="5" t="n">
        <v>-406207</v>
      </c>
      <c r="Q14" t="inlineStr">
        <is>
          <t>Total expenses</t>
        </is>
      </c>
      <c r="R14" t="n">
        <v>-406207</v>
      </c>
      <c r="S14" t="n">
        <v>-386381</v>
      </c>
      <c r="T14" t="n">
        <v>-427739</v>
      </c>
      <c r="U14" t="n">
        <v>-454305</v>
      </c>
      <c r="V14" t="n">
        <v>-456798</v>
      </c>
    </row>
    <row r="15">
      <c r="A15" s="5" t="inlineStr">
        <is>
          <t>Profit for the year</t>
        </is>
      </c>
      <c r="B15" s="5" t="n">
        <v>303861</v>
      </c>
      <c r="C15" s="5" t="n">
        <v>359290</v>
      </c>
      <c r="D15" s="5" t="n">
        <v>415740</v>
      </c>
      <c r="E15" s="5" t="n">
        <v>252632</v>
      </c>
      <c r="F15" s="5" t="n">
        <v>99113</v>
      </c>
      <c r="Q15" t="inlineStr">
        <is>
          <t>Profit for the year</t>
        </is>
      </c>
      <c r="R15" t="n">
        <v>99113</v>
      </c>
      <c r="S15" t="n">
        <v>252632</v>
      </c>
      <c r="T15" t="n">
        <v>415740</v>
      </c>
      <c r="U15" t="n">
        <v>359290</v>
      </c>
      <c r="V15" t="n">
        <v>303861</v>
      </c>
    </row>
    <row r="17">
      <c r="A17" s="3" t="inlineStr">
        <is>
          <t>Statement of Changes in Equity Summary (£'000)</t>
        </is>
      </c>
    </row>
    <row r="18">
      <c r="A18" s="4" t="inlineStr">
        <is>
          <t>Line item</t>
        </is>
      </c>
      <c r="B18" s="4" t="inlineStr">
        <is>
          <t>FY2025</t>
        </is>
      </c>
      <c r="C18" s="4" t="inlineStr">
        <is>
          <t>FY2024</t>
        </is>
      </c>
      <c r="D18" s="4" t="inlineStr">
        <is>
          <t>FY2023</t>
        </is>
      </c>
      <c r="E18" s="4" t="inlineStr">
        <is>
          <t>FY2022</t>
        </is>
      </c>
      <c r="F18" s="4" t="inlineStr">
        <is>
          <t>FY2021</t>
        </is>
      </c>
      <c r="Z18" t="inlineStr">
        <is>
          <t>FY2021</t>
        </is>
      </c>
      <c r="AA18" t="inlineStr">
        <is>
          <t>FY2022</t>
        </is>
      </c>
      <c r="AB18" t="inlineStr">
        <is>
          <t>FY2023</t>
        </is>
      </c>
      <c r="AC18" t="inlineStr">
        <is>
          <t>FY2024</t>
        </is>
      </c>
      <c r="AD18" t="inlineStr">
        <is>
          <t>FY2025</t>
        </is>
      </c>
    </row>
    <row r="19">
      <c r="A19" s="5" t="inlineStr">
        <is>
          <t>Dividend paid</t>
        </is>
      </c>
      <c r="B19" s="5" t="n">
        <v>-484687</v>
      </c>
      <c r="C19" s="5" t="n">
        <v>-625341</v>
      </c>
      <c r="D19" s="5" t="n">
        <v>-265516</v>
      </c>
      <c r="E19" s="5" t="n">
        <v>0</v>
      </c>
      <c r="F19" s="5" t="n">
        <v>0</v>
      </c>
      <c r="Y19" t="inlineStr">
        <is>
          <t>Dividend paid</t>
        </is>
      </c>
      <c r="Z19" t="n">
        <v>0</v>
      </c>
      <c r="AA19" t="n">
        <v>0</v>
      </c>
      <c r="AB19" t="n">
        <v>-265516</v>
      </c>
      <c r="AC19" t="n">
        <v>-625341</v>
      </c>
      <c r="AD19" t="n">
        <v>-484687</v>
      </c>
    </row>
    <row r="20">
      <c r="A20" s="5" t="inlineStr">
        <is>
          <t>Total comprehensive income for the year</t>
        </is>
      </c>
      <c r="B20" s="5" t="n">
        <v>303861</v>
      </c>
      <c r="C20" s="5" t="n">
        <v>359290</v>
      </c>
      <c r="D20" s="5" t="n">
        <v>415740</v>
      </c>
      <c r="E20" s="5" t="n">
        <v>252632</v>
      </c>
      <c r="F20" s="5" t="n">
        <v>99113</v>
      </c>
      <c r="Y20" t="inlineStr">
        <is>
          <t>Total comprehensive income for the year</t>
        </is>
      </c>
      <c r="Z20" t="n">
        <v>99113</v>
      </c>
      <c r="AA20" t="n">
        <v>252632</v>
      </c>
      <c r="AB20" t="n">
        <v>415740</v>
      </c>
      <c r="AC20" t="n">
        <v>359290</v>
      </c>
      <c r="AD20" t="n">
        <v>303861</v>
      </c>
    </row>
    <row r="21">
      <c r="A21" s="5" t="inlineStr">
        <is>
          <t>Closing Total equity</t>
        </is>
      </c>
      <c r="B21" s="5" t="n">
        <v>2442808</v>
      </c>
      <c r="C21" s="5" t="n">
        <v>2623634</v>
      </c>
      <c r="D21" s="5" t="n">
        <v>2889685</v>
      </c>
      <c r="E21" s="5" t="n">
        <v>2739461</v>
      </c>
      <c r="F21" s="5" t="n">
        <v>2486829</v>
      </c>
      <c r="Y21" t="inlineStr">
        <is>
          <t>Closing Total equity</t>
        </is>
      </c>
      <c r="Z21" t="n">
        <v>2486829</v>
      </c>
      <c r="AA21" t="n">
        <v>2739461</v>
      </c>
      <c r="AB21" t="n">
        <v>2889685</v>
      </c>
      <c r="AC21" t="n">
        <v>2623634</v>
      </c>
      <c r="AD21" t="n">
        <v>2442808</v>
      </c>
    </row>
    <row r="23">
      <c r="A23" s="3" t="inlineStr">
        <is>
          <t>Cash Flow Summary (£'000)</t>
        </is>
      </c>
    </row>
    <row r="24">
      <c r="A24" s="4" t="inlineStr">
        <is>
          <t>Line item</t>
        </is>
      </c>
      <c r="B24" s="4" t="inlineStr">
        <is>
          <t>FY2025</t>
        </is>
      </c>
      <c r="C24" s="4" t="inlineStr">
        <is>
          <t>FY2024</t>
        </is>
      </c>
      <c r="D24" s="4" t="inlineStr">
        <is>
          <t>FY2023</t>
        </is>
      </c>
      <c r="E24" s="4" t="inlineStr">
        <is>
          <t>FY2022</t>
        </is>
      </c>
      <c r="F24" s="4" t="inlineStr">
        <is>
          <t>FY2021</t>
        </is>
      </c>
      <c r="AH24" t="inlineStr">
        <is>
          <t>FY2021</t>
        </is>
      </c>
      <c r="AI24" t="inlineStr">
        <is>
          <t>FY2022</t>
        </is>
      </c>
      <c r="AJ24" t="inlineStr">
        <is>
          <t>FY2023</t>
        </is>
      </c>
      <c r="AK24" t="inlineStr">
        <is>
          <t>FY2024</t>
        </is>
      </c>
      <c r="AL24" t="inlineStr">
        <is>
          <t>FY2025</t>
        </is>
      </c>
    </row>
    <row r="25">
      <c r="A25" s="5" t="inlineStr">
        <is>
          <t>Net cash from/(used in) operating activities</t>
        </is>
      </c>
      <c r="B25" s="5" t="n">
        <v>-819277</v>
      </c>
      <c r="C25" s="5" t="n">
        <v>836309</v>
      </c>
      <c r="D25" s="5" t="n">
        <v>1215640</v>
      </c>
      <c r="E25" s="5" t="n">
        <v>-351346</v>
      </c>
      <c r="F25" s="5" t="n">
        <v>-670515</v>
      </c>
      <c r="AG25" t="inlineStr">
        <is>
          <t>Net cash from/(used in) operating activities</t>
        </is>
      </c>
      <c r="AH25" t="n">
        <v>-670515</v>
      </c>
      <c r="AI25" t="n">
        <v>-351346</v>
      </c>
      <c r="AJ25" t="n">
        <v>1215640</v>
      </c>
      <c r="AK25" t="n">
        <v>836309</v>
      </c>
      <c r="AL25" t="n">
        <v>-819277</v>
      </c>
    </row>
    <row r="26">
      <c r="A26" s="5" t="inlineStr">
        <is>
          <t>Net cash from/(used in) investing activities</t>
        </is>
      </c>
      <c r="B26" s="5" t="n">
        <v>-19811</v>
      </c>
      <c r="C26" s="5" t="n">
        <v>-18114</v>
      </c>
      <c r="D26" s="5" t="n">
        <v>-17972</v>
      </c>
      <c r="E26" s="5" t="n">
        <v>-9170</v>
      </c>
      <c r="F26" s="5" t="n">
        <v>-5725</v>
      </c>
      <c r="AG26" t="inlineStr">
        <is>
          <t>Net cash from/(used in) investing activities</t>
        </is>
      </c>
      <c r="AH26" t="n">
        <v>-5725</v>
      </c>
      <c r="AI26" t="n">
        <v>-9170</v>
      </c>
      <c r="AJ26" t="n">
        <v>-17972</v>
      </c>
      <c r="AK26" t="n">
        <v>-18114</v>
      </c>
      <c r="AL26" t="n">
        <v>-19811</v>
      </c>
    </row>
    <row r="27">
      <c r="A27" s="5" t="inlineStr">
        <is>
          <t>Net cash from/(used in) financing activities</t>
        </is>
      </c>
      <c r="B27" s="5" t="n">
        <v>-496588</v>
      </c>
      <c r="C27" s="5" t="n">
        <v>-637225</v>
      </c>
      <c r="D27" s="5" t="n">
        <v>-277940</v>
      </c>
      <c r="E27" s="5" t="n">
        <v>-12141</v>
      </c>
      <c r="F27" s="5" t="n">
        <v>-13551</v>
      </c>
      <c r="AG27" t="inlineStr">
        <is>
          <t>Net cash from/(used in) financing activities</t>
        </is>
      </c>
      <c r="AH27" t="n">
        <v>-13551</v>
      </c>
      <c r="AI27" t="n">
        <v>-12141</v>
      </c>
      <c r="AJ27" t="n">
        <v>-277940</v>
      </c>
      <c r="AK27" t="n">
        <v>-637225</v>
      </c>
      <c r="AL27" t="n">
        <v>-496588</v>
      </c>
    </row>
    <row r="28">
      <c r="A28" s="5" t="inlineStr">
        <is>
          <t>Cash balance at end of year</t>
        </is>
      </c>
      <c r="B28" s="5" t="n">
        <v>7761527</v>
      </c>
      <c r="C28" s="5" t="n">
        <v>9097190</v>
      </c>
      <c r="D28" s="5" t="n">
        <v>8916214</v>
      </c>
      <c r="E28" s="5" t="n">
        <v>7996622</v>
      </c>
      <c r="F28" s="5" t="n">
        <v>8368955</v>
      </c>
      <c r="AG28" t="inlineStr">
        <is>
          <t>Cash balance at end of year</t>
        </is>
      </c>
      <c r="AH28" t="n">
        <v>8368955</v>
      </c>
      <c r="AI28" t="n">
        <v>7996622</v>
      </c>
      <c r="AJ28" t="n">
        <v>8916214</v>
      </c>
      <c r="AK28" t="n">
        <v>9097190</v>
      </c>
      <c r="AL28" t="n">
        <v>7761527</v>
      </c>
    </row>
    <row r="30">
      <c r="A30" s="3" t="inlineStr">
        <is>
          <t>Pillar 3 Key Metrics</t>
        </is>
      </c>
    </row>
    <row r="31">
      <c r="A31" s="4" t="inlineStr">
        <is>
          <t>Line item</t>
        </is>
      </c>
      <c r="B31" s="4" t="inlineStr">
        <is>
          <t>FY2025</t>
        </is>
      </c>
      <c r="C31" s="4" t="inlineStr">
        <is>
          <t>FY2024</t>
        </is>
      </c>
      <c r="D31" s="4" t="inlineStr">
        <is>
          <t>FY2023</t>
        </is>
      </c>
      <c r="E31" s="4" t="inlineStr">
        <is>
          <t>FY2022</t>
        </is>
      </c>
      <c r="F31" s="4" t="inlineStr">
        <is>
          <t>FY2021</t>
        </is>
      </c>
    </row>
    <row r="32">
      <c r="A32" s="6" t="inlineStr">
        <is>
          <t>CET1 Ratio</t>
        </is>
      </c>
      <c r="B32" s="6" t="inlineStr">
        <is>
          <t>17.5%</t>
        </is>
      </c>
      <c r="C32" s="6" t="inlineStr">
        <is>
          <t>18.0%</t>
        </is>
      </c>
      <c r="D32" s="6" t="inlineStr">
        <is>
          <t>20.0%</t>
        </is>
      </c>
      <c r="E32" s="6" t="inlineStr">
        <is>
          <t>21.3%</t>
        </is>
      </c>
      <c r="F32" s="6" t="inlineStr">
        <is>
          <t>20.2%</t>
        </is>
      </c>
    </row>
    <row r="33">
      <c r="A33" s="6" t="inlineStr">
        <is>
          <t>Tier 1 Ratio</t>
        </is>
      </c>
      <c r="B33" s="6" t="inlineStr">
        <is>
          <t>17.5%</t>
        </is>
      </c>
      <c r="C33" s="6" t="inlineStr">
        <is>
          <t>18.0%</t>
        </is>
      </c>
      <c r="D33" s="6" t="inlineStr">
        <is>
          <t>20.0%</t>
        </is>
      </c>
      <c r="E33" s="6" t="inlineStr">
        <is>
          <t>21.3%</t>
        </is>
      </c>
      <c r="F33" s="6" t="inlineStr">
        <is>
          <t>20.2%</t>
        </is>
      </c>
    </row>
    <row r="34">
      <c r="A34" s="6" t="inlineStr">
        <is>
          <t>Total Capital Ratio</t>
        </is>
      </c>
      <c r="B34" s="6" t="inlineStr">
        <is>
          <t>20.0%</t>
        </is>
      </c>
      <c r="C34" s="6" t="inlineStr">
        <is>
          <t>20.6%</t>
        </is>
      </c>
      <c r="D34" s="6" t="inlineStr">
        <is>
          <t>23.6%</t>
        </is>
      </c>
      <c r="E34" s="6" t="inlineStr">
        <is>
          <t>24.8%</t>
        </is>
      </c>
      <c r="F34" s="6" t="inlineStr">
        <is>
          <t>23.5%</t>
        </is>
      </c>
    </row>
    <row r="35">
      <c r="A35" s="6" t="inlineStr">
        <is>
          <t>Leverage Ratio</t>
        </is>
      </c>
      <c r="B35" s="6" t="inlineStr">
        <is>
          <t>9.4%</t>
        </is>
      </c>
      <c r="C35" s="6" t="inlineStr">
        <is>
          <t>9.3%</t>
        </is>
      </c>
      <c r="D35" s="6" t="inlineStr">
        <is>
          <t>9.1%</t>
        </is>
      </c>
      <c r="E35" s="6" t="inlineStr">
        <is>
          <t>9.4%</t>
        </is>
      </c>
      <c r="F35" s="6" t="inlineStr">
        <is>
          <t>7.3%</t>
        </is>
      </c>
    </row>
    <row r="36">
      <c r="A36" s="6" t="inlineStr">
        <is>
          <t>LCR</t>
        </is>
      </c>
      <c r="B36" s="6" t="inlineStr">
        <is>
          <t>180%</t>
        </is>
      </c>
      <c r="C36" s="6" t="inlineStr">
        <is>
          <t>165%</t>
        </is>
      </c>
      <c r="D36" s="6" t="inlineStr">
        <is>
          <t>153%</t>
        </is>
      </c>
      <c r="E36" s="6" t="inlineStr">
        <is>
          <t>147%</t>
        </is>
      </c>
      <c r="F36" s="6" t="n"/>
    </row>
    <row r="37">
      <c r="A37" s="6" t="inlineStr">
        <is>
          <t>NSFR</t>
        </is>
      </c>
      <c r="B37" s="6" t="inlineStr">
        <is>
          <t>130%</t>
        </is>
      </c>
      <c r="C37" s="6" t="inlineStr">
        <is>
          <t>136%</t>
        </is>
      </c>
      <c r="D37" s="6" t="inlineStr">
        <is>
          <t>131%</t>
        </is>
      </c>
      <c r="E37" s="6" t="inlineStr">
        <is>
          <t>130%</t>
        </is>
      </c>
      <c r="F37" s="6" t="n"/>
    </row>
    <row r="39" ht="45" customHeight="1">
      <c r="A39" s="7" t="inlineStr">
        <is>
          <t>Note: Figures are duplicated from the detail sheets for at-a-glance trend viewing; see each sheet's own source citation for the underlying document/page. Handelsbanken plc is a young UK-incorporated entity (2018) - FY2021 pre-dates its Group/Bank consolidated-reporting split and its first formal Pillar 3/KM1 disclosure (first published for FY2022), so FY2021's leverage ratio uses a different, non-comparable methodology (see Leverage Ratio sheet) and has no LCR/NSFR figure at all.</t>
        </is>
      </c>
    </row>
  </sheetData>
  <mergeCells count="1">
    <mergeCell ref="A39:F3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Handelsbanken plc — Consolidated Balance Sheet</t>
        </is>
      </c>
    </row>
    <row r="2">
      <c r="A2" s="2" t="inlineStr">
        <is>
          <t>Handelsbanken plc UK Group (consolidated basis), £'000 unless stated. See source note at bottom.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Assets</t>
        </is>
      </c>
      <c r="B4" s="6" t="n"/>
      <c r="C4" s="6" t="n"/>
      <c r="D4" s="6" t="n"/>
      <c r="E4" s="6" t="n"/>
      <c r="F4" s="6" t="n"/>
    </row>
    <row r="5">
      <c r="A5" s="6" t="inlineStr">
        <is>
          <t>Cash and balances with central banks</t>
        </is>
      </c>
      <c r="B5" s="6" t="n">
        <v>7743225</v>
      </c>
      <c r="C5" s="6" t="n">
        <v>9084816</v>
      </c>
      <c r="D5" s="6" t="n">
        <v>8878735</v>
      </c>
      <c r="E5" s="6" t="n">
        <v>7944713</v>
      </c>
      <c r="F5" s="6" t="n">
        <v>8284357</v>
      </c>
    </row>
    <row r="6">
      <c r="A6" s="6" t="inlineStr">
        <is>
          <t>Other loans to central banks</t>
        </is>
      </c>
      <c r="B6" s="6" t="n"/>
      <c r="C6" s="6" t="n"/>
      <c r="D6" s="6" t="n">
        <v>88371</v>
      </c>
      <c r="E6" s="6" t="n">
        <v>99900</v>
      </c>
      <c r="F6" s="6" t="n">
        <v>102779</v>
      </c>
    </row>
    <row r="7">
      <c r="A7" s="6" t="inlineStr">
        <is>
          <t>Loans to other credit institutions</t>
        </is>
      </c>
      <c r="B7" s="6" t="n">
        <v>3476885</v>
      </c>
      <c r="C7" s="6" t="n">
        <v>3562720</v>
      </c>
      <c r="D7" s="6" t="n">
        <v>5230310</v>
      </c>
      <c r="E7" s="6" t="n">
        <v>5523785</v>
      </c>
      <c r="F7" s="6" t="n">
        <v>3944381</v>
      </c>
    </row>
    <row r="8">
      <c r="A8" s="6" t="inlineStr">
        <is>
          <t>Loans to the public</t>
        </is>
      </c>
      <c r="B8" s="6" t="n">
        <v>18414143</v>
      </c>
      <c r="C8" s="6" t="n">
        <v>17826369</v>
      </c>
      <c r="D8" s="6" t="n">
        <v>18023996</v>
      </c>
      <c r="E8" s="6" t="n">
        <v>19028715</v>
      </c>
      <c r="F8" s="6" t="n">
        <v>20177506</v>
      </c>
    </row>
    <row r="9">
      <c r="A9" s="6" t="inlineStr">
        <is>
          <t>Intangible assets</t>
        </is>
      </c>
      <c r="B9" s="6" t="n">
        <v>41802</v>
      </c>
      <c r="C9" s="6" t="n">
        <v>50057</v>
      </c>
      <c r="D9" s="6" t="n">
        <v>51005</v>
      </c>
      <c r="E9" s="6" t="n">
        <v>47844</v>
      </c>
      <c r="F9" s="6" t="n">
        <v>49420</v>
      </c>
    </row>
    <row r="10">
      <c r="A10" s="6" t="inlineStr">
        <is>
          <t>Property and equipment</t>
        </is>
      </c>
      <c r="B10" s="6" t="n">
        <v>26817</v>
      </c>
      <c r="C10" s="6" t="n">
        <v>21635</v>
      </c>
      <c r="D10" s="6" t="n">
        <v>19892</v>
      </c>
      <c r="E10" s="6" t="n">
        <v>18435</v>
      </c>
      <c r="F10" s="6" t="n">
        <v>18917</v>
      </c>
    </row>
    <row r="11">
      <c r="A11" s="6" t="inlineStr">
        <is>
          <t>Right-of-use assets</t>
        </is>
      </c>
      <c r="B11" s="6" t="n">
        <v>74181</v>
      </c>
      <c r="C11" s="6" t="n">
        <v>50509</v>
      </c>
      <c r="D11" s="6" t="n">
        <v>50720</v>
      </c>
      <c r="E11" s="6" t="n">
        <v>51454</v>
      </c>
      <c r="F11" s="6" t="n">
        <v>58053</v>
      </c>
    </row>
    <row r="12">
      <c r="A12" s="6" t="inlineStr">
        <is>
          <t>Current tax assets</t>
        </is>
      </c>
      <c r="B12" s="6" t="n">
        <v>3581</v>
      </c>
      <c r="C12" s="6" t="n">
        <v>2431</v>
      </c>
      <c r="D12" s="6" t="n">
        <v>396</v>
      </c>
      <c r="E12" s="6" t="n"/>
      <c r="F12" s="6" t="n"/>
    </row>
    <row r="13">
      <c r="A13" s="6" t="inlineStr">
        <is>
          <t>Deferred tax assets</t>
        </is>
      </c>
      <c r="B13" s="6" t="n">
        <v>801</v>
      </c>
      <c r="C13" s="6" t="n">
        <v>1071</v>
      </c>
      <c r="D13" s="6" t="n">
        <v>2098</v>
      </c>
      <c r="E13" s="6" t="n">
        <v>3869</v>
      </c>
      <c r="F13" s="6" t="n">
        <v>2150</v>
      </c>
    </row>
    <row r="14">
      <c r="A14" s="6" t="inlineStr">
        <is>
          <t>Assets held for sale</t>
        </is>
      </c>
      <c r="B14" s="6" t="n"/>
      <c r="C14" s="6" t="n"/>
      <c r="D14" s="6" t="n"/>
      <c r="E14" s="6" t="n">
        <v>0</v>
      </c>
      <c r="F14" s="6" t="n">
        <v>145</v>
      </c>
    </row>
    <row r="15">
      <c r="A15" s="6" t="inlineStr">
        <is>
          <t>Prepaid expenses and accrued income</t>
        </is>
      </c>
      <c r="B15" s="6" t="n">
        <v>18669</v>
      </c>
      <c r="C15" s="6" t="n">
        <v>18641</v>
      </c>
      <c r="D15" s="6" t="n">
        <v>16385</v>
      </c>
      <c r="E15" s="6" t="n">
        <v>14187</v>
      </c>
      <c r="F15" s="6" t="n">
        <v>14112</v>
      </c>
    </row>
    <row r="16">
      <c r="A16" s="6" t="inlineStr">
        <is>
          <t>Other assets</t>
        </is>
      </c>
      <c r="B16" s="6" t="n">
        <v>4508</v>
      </c>
      <c r="C16" s="6" t="n">
        <v>95608</v>
      </c>
      <c r="D16" s="6" t="n">
        <v>6033</v>
      </c>
      <c r="E16" s="6" t="n">
        <v>31723</v>
      </c>
      <c r="F16" s="6" t="n">
        <v>6431</v>
      </c>
    </row>
    <row r="17">
      <c r="A17" s="5" t="inlineStr">
        <is>
          <t>Total assets</t>
        </is>
      </c>
      <c r="B17" s="5" t="n">
        <v>29804612</v>
      </c>
      <c r="C17" s="5" t="n">
        <v>30713857</v>
      </c>
      <c r="D17" s="5" t="n">
        <v>32367941</v>
      </c>
      <c r="E17" s="5" t="n">
        <v>32764625</v>
      </c>
      <c r="F17" s="5" t="n">
        <v>32658251</v>
      </c>
    </row>
    <row r="18">
      <c r="A18" s="5" t="inlineStr">
        <is>
          <t>Liabilities</t>
        </is>
      </c>
      <c r="B18" s="6" t="n"/>
      <c r="C18" s="6" t="n"/>
      <c r="D18" s="6" t="n"/>
      <c r="E18" s="6" t="n"/>
      <c r="F18" s="6" t="n"/>
    </row>
    <row r="19">
      <c r="A19" s="6" t="inlineStr">
        <is>
          <t>Due to credit institutions</t>
        </is>
      </c>
      <c r="B19" s="6" t="n">
        <v>4015067</v>
      </c>
      <c r="C19" s="6" t="n">
        <v>4979153</v>
      </c>
      <c r="D19" s="6" t="n">
        <v>6886954</v>
      </c>
      <c r="E19" s="6" t="n">
        <v>7239434</v>
      </c>
      <c r="F19" s="6" t="n">
        <v>7875770</v>
      </c>
    </row>
    <row r="20">
      <c r="A20" s="6" t="inlineStr">
        <is>
          <t>Deposits from the public</t>
        </is>
      </c>
      <c r="B20" s="6" t="n">
        <v>21467902</v>
      </c>
      <c r="C20" s="6" t="n">
        <v>20880491</v>
      </c>
      <c r="D20" s="6" t="n">
        <v>20359402</v>
      </c>
      <c r="E20" s="6" t="n">
        <v>20486618</v>
      </c>
      <c r="F20" s="6" t="n">
        <v>19201850</v>
      </c>
    </row>
    <row r="21">
      <c r="A21" s="6" t="inlineStr">
        <is>
          <t>Issued securities</t>
        </is>
      </c>
      <c r="B21" s="6" t="n">
        <v>1753210</v>
      </c>
      <c r="C21" s="6" t="n">
        <v>2136439</v>
      </c>
      <c r="D21" s="6" t="n">
        <v>2134871</v>
      </c>
      <c r="E21" s="6" t="n">
        <v>2190225</v>
      </c>
      <c r="F21" s="6" t="n">
        <v>2976981</v>
      </c>
    </row>
    <row r="22">
      <c r="A22" s="6" t="inlineStr">
        <is>
          <t>Current tax liabilities</t>
        </is>
      </c>
      <c r="B22" s="6" t="n"/>
      <c r="C22" s="6" t="n"/>
      <c r="D22" s="6" t="n">
        <v>108</v>
      </c>
      <c r="E22" s="6" t="n">
        <v>3916</v>
      </c>
      <c r="F22" s="6" t="n">
        <v>1514</v>
      </c>
    </row>
    <row r="23">
      <c r="A23" s="6" t="inlineStr">
        <is>
          <t>Deferred tax liabilities</t>
        </is>
      </c>
      <c r="B23" s="6" t="n">
        <v>1920</v>
      </c>
      <c r="C23" s="6" t="n">
        <v>2179</v>
      </c>
      <c r="D23" s="6" t="n">
        <v>2730</v>
      </c>
      <c r="E23" s="6" t="n">
        <v>3020</v>
      </c>
      <c r="F23" s="6" t="n">
        <v>2719</v>
      </c>
    </row>
    <row r="24">
      <c r="A24" s="6" t="inlineStr">
        <is>
          <t>Provisions</t>
        </is>
      </c>
      <c r="B24" s="6" t="n">
        <v>14275</v>
      </c>
      <c r="C24" s="6" t="n">
        <v>14350</v>
      </c>
      <c r="D24" s="6" t="n">
        <v>16731</v>
      </c>
      <c r="E24" s="6" t="n">
        <v>22843</v>
      </c>
      <c r="F24" s="6" t="n">
        <v>18189</v>
      </c>
    </row>
    <row r="25">
      <c r="A25" s="6" t="inlineStr">
        <is>
          <t>Lease liabilities</t>
        </is>
      </c>
      <c r="B25" s="6" t="n">
        <v>78993</v>
      </c>
      <c r="C25" s="6" t="n">
        <v>52397</v>
      </c>
      <c r="D25" s="6" t="n">
        <v>51290</v>
      </c>
      <c r="E25" s="6" t="n">
        <v>52611</v>
      </c>
      <c r="F25" s="6" t="n">
        <v>61633</v>
      </c>
    </row>
    <row r="26">
      <c r="A26" s="6" t="inlineStr">
        <is>
          <t>Accrued expenses and deferred income</t>
        </is>
      </c>
      <c r="B26" s="6" t="n">
        <v>10381</v>
      </c>
      <c r="C26" s="6" t="n">
        <v>9686</v>
      </c>
      <c r="D26" s="6" t="n">
        <v>11300</v>
      </c>
      <c r="E26" s="6" t="n">
        <v>10203</v>
      </c>
      <c r="F26" s="6" t="n">
        <v>13436</v>
      </c>
    </row>
    <row r="27">
      <c r="A27" s="6" t="inlineStr">
        <is>
          <t>Other liabilities</t>
        </is>
      </c>
      <c r="B27" s="6" t="n">
        <v>20056</v>
      </c>
      <c r="C27" s="6" t="n">
        <v>15528</v>
      </c>
      <c r="D27" s="6" t="n">
        <v>14870</v>
      </c>
      <c r="E27" s="6" t="n">
        <v>16294</v>
      </c>
      <c r="F27" s="6" t="n">
        <v>19330</v>
      </c>
    </row>
    <row r="28">
      <c r="A28" s="5" t="inlineStr">
        <is>
          <t>Total liabilities</t>
        </is>
      </c>
      <c r="B28" s="5" t="n">
        <v>27361804</v>
      </c>
      <c r="C28" s="5" t="n">
        <v>28090223</v>
      </c>
      <c r="D28" s="5" t="n">
        <v>29478256</v>
      </c>
      <c r="E28" s="5" t="n">
        <v>30025164</v>
      </c>
      <c r="F28" s="5" t="n">
        <v>30171422</v>
      </c>
    </row>
    <row r="29">
      <c r="A29" s="5" t="inlineStr">
        <is>
          <t>Equity</t>
        </is>
      </c>
      <c r="B29" s="6" t="n"/>
      <c r="C29" s="6" t="n"/>
      <c r="D29" s="6" t="n"/>
      <c r="E29" s="6" t="n"/>
      <c r="F29" s="6" t="n"/>
    </row>
    <row r="30">
      <c r="A30" s="6" t="inlineStr">
        <is>
          <t>Share capital</t>
        </is>
      </c>
      <c r="B30" s="6" t="n">
        <v>5050</v>
      </c>
      <c r="C30" s="6" t="n">
        <v>5050</v>
      </c>
      <c r="D30" s="6" t="n">
        <v>5050</v>
      </c>
      <c r="E30" s="6" t="n">
        <v>5050</v>
      </c>
      <c r="F30" s="6" t="n">
        <v>5050</v>
      </c>
    </row>
    <row r="31">
      <c r="A31" s="6" t="inlineStr">
        <is>
          <t>Share premium</t>
        </is>
      </c>
      <c r="B31" s="6" t="n">
        <v>2070619</v>
      </c>
      <c r="C31" s="6" t="n">
        <v>2070619</v>
      </c>
      <c r="D31" s="6" t="n">
        <v>2070619</v>
      </c>
      <c r="E31" s="6" t="n">
        <v>2070619</v>
      </c>
      <c r="F31" s="6" t="n">
        <v>2070619</v>
      </c>
    </row>
    <row r="32">
      <c r="A32" s="6" t="inlineStr">
        <is>
          <t>Retained earnings</t>
        </is>
      </c>
      <c r="B32" s="6" t="n">
        <v>367139</v>
      </c>
      <c r="C32" s="6" t="n">
        <v>547965</v>
      </c>
      <c r="D32" s="6" t="n">
        <v>814016</v>
      </c>
      <c r="E32" s="6" t="n">
        <v>663792</v>
      </c>
      <c r="F32" s="6" t="n">
        <v>411160</v>
      </c>
    </row>
    <row r="33">
      <c r="A33" s="5" t="inlineStr">
        <is>
          <t>Total equity</t>
        </is>
      </c>
      <c r="B33" s="5" t="n">
        <v>2442808</v>
      </c>
      <c r="C33" s="5" t="n">
        <v>2623634</v>
      </c>
      <c r="D33" s="5" t="n">
        <v>2889685</v>
      </c>
      <c r="E33" s="5" t="n">
        <v>2739461</v>
      </c>
      <c r="F33" s="5" t="n">
        <v>2486829</v>
      </c>
    </row>
    <row r="34">
      <c r="A34" s="5" t="inlineStr">
        <is>
          <t>Total liabilities and equity</t>
        </is>
      </c>
      <c r="B34" s="5" t="n">
        <v>29804612</v>
      </c>
      <c r="C34" s="5" t="n">
        <v>30713857</v>
      </c>
      <c r="D34" s="5" t="n">
        <v>32367941</v>
      </c>
      <c r="E34" s="5" t="n">
        <v>32764625</v>
      </c>
      <c r="F34" s="5" t="n">
        <v>32658251</v>
      </c>
    </row>
    <row r="36" ht="200" customHeight="1">
      <c r="A36" s="8" t="inlineStr">
        <is>
          <t>Sources - Handelsbanken plc UK Group consolidated balance sheet, £'000:
FY2025 &amp; FY2024: Annual Report and Financial Statements 2025, p.81 (Consolidated balance sheet, UK Group) - https://www.handelsbanken.co.uk/tron/gbpu/info/contents/v1/document/52-278301
FY2023 &amp; FY2022: Annual Report 2023, p.85 (Balance sheet, UK Group) - https://www.handelsbanken.co.uk/tron/gbpu/info/contents/v1/document/52-223741
FY2021: Annual Report 2022, p.89 (2021 comparative column, Consolidated balance sheet, UK Group) - https://www.handelsbanken.co.uk/tron/gbpu/info/contents/v1/document/52-175531
ENTITY NOTE: Handelsbanken plc (company number 11305395, FRN 806852) was incorporated 11 April 2018 as the UK-incorporated subsidiary that Handelsbanken's (Svenska Handelsbanken AB) UK business restructured into from a branch. Because of that youth, FY2021 (its third full year) is the earliest year for which the annual report distinguishes a consolidated 'UK Group' cash flow statement from the standalone parent-only 'Bank' one - the FY2021 Annual Report itself presents only a single, undifferentiated 'Cash Flow Statement' (i.e. Bank and Group were not yet reported separately). To keep this sheet on a consistent Group/consolidated basis throughout, FY2021 cash flow figures below are the Group-restated comparative column as re-presented in the FY2022 Annual Report (which differs modestly, line by line, from the FY2021 report's own originally-reported figures - net cash flow totals below are internally consistent with this restated basis).
PRESENTATION NOTE: 'Other loans to central banks' is shown as its own balance sheet line FY2021-FY2023 but is absorbed elsewhere (not separately disclosed) from FY2024 onward - blank where not shown that year. 'Retained earnings' is shown as a single combined line FY2025/FY2024, but the FY2023 Annual Report's own balance sheet splits 'Retained earnings' and 'Profit for the year' as two separate equity lines for its FY2023/FY2022 columns (and the FY2022 Annual Report's FY2021 comparative does the same) - these are combined into one 'Retained earnings' figure below for consistency across all 5 years (e.g. FY2023: £398,276k + £415,740k = £814,016k), which ties to the Statement of Changes in Equity sheet's own 'Retained earnings' column. All Total assets / Total liabilities / Total equity / Total liabilities and equity rows reconcile exactly in every year shown.</t>
        </is>
      </c>
    </row>
  </sheetData>
  <mergeCells count="1">
    <mergeCell ref="A36:F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Handelsbanken plc — Consolidated Statement of Profit or Loss and Other Comprehensive Income</t>
        </is>
      </c>
    </row>
    <row r="2">
      <c r="A2" s="2" t="inlineStr">
        <is>
          <t>Handelsbanken plc UK Group (consolidated basis), £'000 unless stated. See source note at bottom.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Income</t>
        </is>
      </c>
      <c r="B4" s="6" t="n"/>
      <c r="C4" s="6" t="n"/>
      <c r="D4" s="6" t="n"/>
      <c r="E4" s="6" t="n"/>
      <c r="F4" s="6" t="n"/>
    </row>
    <row r="5">
      <c r="A5" s="6" t="inlineStr">
        <is>
          <t>Interest income</t>
        </is>
      </c>
      <c r="B5" s="6" t="n">
        <v>1574025</v>
      </c>
      <c r="C5" s="6" t="n">
        <v>1866849</v>
      </c>
      <c r="D5" s="6" t="n">
        <v>1802094</v>
      </c>
      <c r="E5" s="6" t="n">
        <v>912438</v>
      </c>
      <c r="F5" s="6" t="n">
        <v>571072</v>
      </c>
    </row>
    <row r="6">
      <c r="A6" s="6" t="inlineStr">
        <is>
          <t>Interest expense</t>
        </is>
      </c>
      <c r="B6" s="6" t="n">
        <v>-784441</v>
      </c>
      <c r="C6" s="6" t="n">
        <v>-1005107</v>
      </c>
      <c r="D6" s="6" t="n">
        <v>-875598</v>
      </c>
      <c r="E6" s="6" t="n">
        <v>-271326</v>
      </c>
      <c r="F6" s="6" t="n">
        <v>-128033</v>
      </c>
    </row>
    <row r="7">
      <c r="A7" s="5" t="inlineStr">
        <is>
          <t>Net interest income</t>
        </is>
      </c>
      <c r="B7" s="5" t="n">
        <v>789584</v>
      </c>
      <c r="C7" s="5" t="n">
        <v>861742</v>
      </c>
      <c r="D7" s="5" t="n">
        <v>926496</v>
      </c>
      <c r="E7" s="5" t="n">
        <v>641112</v>
      </c>
      <c r="F7" s="5" t="n">
        <v>443039</v>
      </c>
    </row>
    <row r="8">
      <c r="A8" s="6" t="inlineStr">
        <is>
          <t>Fee and commission income</t>
        </is>
      </c>
      <c r="B8" s="6" t="n">
        <v>72570</v>
      </c>
      <c r="C8" s="6" t="n">
        <v>71197</v>
      </c>
      <c r="D8" s="6" t="n">
        <v>71497</v>
      </c>
      <c r="E8" s="6" t="n">
        <v>72357</v>
      </c>
      <c r="F8" s="6" t="n">
        <v>71651</v>
      </c>
    </row>
    <row r="9">
      <c r="A9" s="6" t="inlineStr">
        <is>
          <t>Fee and commission expense</t>
        </is>
      </c>
      <c r="B9" s="6" t="n">
        <v>-2912</v>
      </c>
      <c r="C9" s="6" t="n">
        <v>-3074</v>
      </c>
      <c r="D9" s="6" t="n">
        <v>-3624</v>
      </c>
      <c r="E9" s="6" t="n">
        <v>-3656</v>
      </c>
      <c r="F9" s="6" t="n">
        <v>-3301</v>
      </c>
    </row>
    <row r="10">
      <c r="A10" s="5" t="inlineStr">
        <is>
          <t>Net fee and commission income</t>
        </is>
      </c>
      <c r="B10" s="5" t="n">
        <v>69658</v>
      </c>
      <c r="C10" s="5" t="n">
        <v>68123</v>
      </c>
      <c r="D10" s="5" t="n">
        <v>67873</v>
      </c>
      <c r="E10" s="5" t="n">
        <v>68701</v>
      </c>
      <c r="F10" s="5" t="n">
        <v>68350</v>
      </c>
    </row>
    <row r="11">
      <c r="A11" s="6" t="inlineStr">
        <is>
          <t>Net gains on financial transactions and other income</t>
        </is>
      </c>
      <c r="B11" s="6" t="n">
        <v>12327</v>
      </c>
      <c r="C11" s="6" t="n">
        <v>12311</v>
      </c>
      <c r="D11" s="6" t="n">
        <v>11987</v>
      </c>
      <c r="E11" s="6" t="n">
        <v>24081</v>
      </c>
      <c r="F11" s="6" t="n">
        <v>21464</v>
      </c>
    </row>
    <row r="12">
      <c r="A12" s="5" t="inlineStr">
        <is>
          <t>Total income</t>
        </is>
      </c>
      <c r="B12" s="5" t="n">
        <v>871569</v>
      </c>
      <c r="C12" s="5" t="n">
        <v>942176</v>
      </c>
      <c r="D12" s="5" t="n">
        <v>1006356</v>
      </c>
      <c r="E12" s="5" t="n">
        <v>733894</v>
      </c>
      <c r="F12" s="5" t="n">
        <v>532853</v>
      </c>
    </row>
    <row r="13">
      <c r="A13" s="5" t="inlineStr">
        <is>
          <t>Expenses</t>
        </is>
      </c>
      <c r="B13" s="6" t="n"/>
      <c r="C13" s="6" t="n"/>
      <c r="D13" s="6" t="n"/>
      <c r="E13" s="6" t="n"/>
      <c r="F13" s="6" t="n"/>
    </row>
    <row r="14">
      <c r="A14" s="6" t="inlineStr">
        <is>
          <t>Personnel costs</t>
        </is>
      </c>
      <c r="B14" s="6" t="n">
        <v>-298247</v>
      </c>
      <c r="C14" s="6" t="n">
        <v>-296153</v>
      </c>
      <c r="D14" s="6" t="n">
        <v>-262399</v>
      </c>
      <c r="E14" s="6" t="n">
        <v>-240280</v>
      </c>
      <c r="F14" s="6" t="n">
        <v>-232331</v>
      </c>
    </row>
    <row r="15">
      <c r="A15" s="6" t="inlineStr">
        <is>
          <t>Depreciation, amortisation and impairment</t>
        </is>
      </c>
      <c r="B15" s="6" t="n">
        <v>-36386</v>
      </c>
      <c r="C15" s="6" t="n">
        <v>-28159</v>
      </c>
      <c r="D15" s="6" t="n">
        <v>-25183</v>
      </c>
      <c r="E15" s="6" t="n">
        <v>-23420</v>
      </c>
      <c r="F15" s="6" t="n">
        <v>-32815</v>
      </c>
    </row>
    <row r="16">
      <c r="A16" s="6" t="inlineStr">
        <is>
          <t>Other operating expenses</t>
        </is>
      </c>
      <c r="B16" s="6" t="n">
        <v>-122165</v>
      </c>
      <c r="C16" s="6" t="n">
        <v>-129993</v>
      </c>
      <c r="D16" s="6" t="n">
        <v>-140157</v>
      </c>
      <c r="E16" s="6" t="n">
        <v>-122681</v>
      </c>
      <c r="F16" s="6" t="n">
        <v>-141061</v>
      </c>
    </row>
    <row r="17">
      <c r="A17" s="5" t="inlineStr">
        <is>
          <t>Total expenses</t>
        </is>
      </c>
      <c r="B17" s="5" t="n">
        <v>-456798</v>
      </c>
      <c r="C17" s="5" t="n">
        <v>-454305</v>
      </c>
      <c r="D17" s="5" t="n">
        <v>-427739</v>
      </c>
      <c r="E17" s="5" t="n">
        <v>-386381</v>
      </c>
      <c r="F17" s="5" t="n">
        <v>-406207</v>
      </c>
    </row>
    <row r="18">
      <c r="A18" s="6" t="inlineStr">
        <is>
          <t>Profit before credit gains/(losses) and net losses/(gains) from disposal</t>
        </is>
      </c>
      <c r="B18" s="6" t="n">
        <v>414771</v>
      </c>
      <c r="C18" s="6" t="n">
        <v>487871</v>
      </c>
      <c r="D18" s="6" t="n">
        <v>578617</v>
      </c>
      <c r="E18" s="6" t="n">
        <v>347513</v>
      </c>
      <c r="F18" s="6" t="n">
        <v>126646</v>
      </c>
    </row>
    <row r="19">
      <c r="A19" s="6" t="inlineStr">
        <is>
          <t>Net credit gains/(losses)</t>
        </is>
      </c>
      <c r="B19" s="6" t="n">
        <v>7162</v>
      </c>
      <c r="C19" s="6" t="n">
        <v>10164</v>
      </c>
      <c r="D19" s="6" t="n">
        <v>-3788</v>
      </c>
      <c r="E19" s="6" t="n">
        <v>-4415</v>
      </c>
      <c r="F19" s="6" t="n">
        <v>7945</v>
      </c>
    </row>
    <row r="20">
      <c r="A20" s="6" t="inlineStr">
        <is>
          <t>Net (losses)/gains on disposal of property, equipment and intangible assets</t>
        </is>
      </c>
      <c r="B20" s="6" t="n">
        <v>-101</v>
      </c>
      <c r="C20" s="6" t="n">
        <v>-13</v>
      </c>
      <c r="D20" s="6" t="n">
        <v>-65</v>
      </c>
      <c r="E20" s="6" t="n">
        <v>818</v>
      </c>
      <c r="F20" s="6" t="n">
        <v>775</v>
      </c>
    </row>
    <row r="21">
      <c r="A21" s="5" t="inlineStr">
        <is>
          <t>Profit before tax</t>
        </is>
      </c>
      <c r="B21" s="5" t="n">
        <v>421832</v>
      </c>
      <c r="C21" s="5" t="n">
        <v>498022</v>
      </c>
      <c r="D21" s="5" t="n">
        <v>574764</v>
      </c>
      <c r="E21" s="5" t="n">
        <v>343916</v>
      </c>
      <c r="F21" s="5" t="n">
        <v>135366</v>
      </c>
    </row>
    <row r="22">
      <c r="A22" s="6" t="inlineStr">
        <is>
          <t>Taxes</t>
        </is>
      </c>
      <c r="B22" s="6" t="n">
        <v>-117971</v>
      </c>
      <c r="C22" s="6" t="n">
        <v>-138732</v>
      </c>
      <c r="D22" s="6" t="n">
        <v>-159024</v>
      </c>
      <c r="E22" s="6" t="n">
        <v>-91284</v>
      </c>
      <c r="F22" s="6" t="n">
        <v>-36253</v>
      </c>
    </row>
    <row r="23">
      <c r="A23" s="5" t="inlineStr">
        <is>
          <t>Profit for the year</t>
        </is>
      </c>
      <c r="B23" s="5" t="n">
        <v>303861</v>
      </c>
      <c r="C23" s="5" t="n">
        <v>359290</v>
      </c>
      <c r="D23" s="5" t="n">
        <v>415740</v>
      </c>
      <c r="E23" s="5" t="n">
        <v>252632</v>
      </c>
      <c r="F23" s="5" t="n">
        <v>99113</v>
      </c>
    </row>
    <row r="24">
      <c r="A24" s="5" t="inlineStr">
        <is>
          <t>Other comprehensive income</t>
        </is>
      </c>
      <c r="B24" s="6" t="n"/>
      <c r="C24" s="6" t="n"/>
      <c r="D24" s="6" t="n"/>
      <c r="E24" s="6" t="n"/>
      <c r="F24" s="6" t="n"/>
    </row>
    <row r="25">
      <c r="A25" s="6" t="inlineStr">
        <is>
          <t>Other comprehensive income, net of tax</t>
        </is>
      </c>
      <c r="B25" s="6" t="n">
        <v>0</v>
      </c>
      <c r="C25" s="6" t="n">
        <v>0</v>
      </c>
      <c r="D25" s="6" t="n">
        <v>0</v>
      </c>
      <c r="E25" s="6" t="n">
        <v>0</v>
      </c>
      <c r="F25" s="6" t="n">
        <v>0</v>
      </c>
    </row>
    <row r="26">
      <c r="A26" s="5" t="inlineStr">
        <is>
          <t>Total comprehensive income for the year</t>
        </is>
      </c>
      <c r="B26" s="5" t="n">
        <v>303861</v>
      </c>
      <c r="C26" s="5" t="n">
        <v>359290</v>
      </c>
      <c r="D26" s="5" t="n">
        <v>415740</v>
      </c>
      <c r="E26" s="5" t="n">
        <v>252632</v>
      </c>
      <c r="F26" s="5" t="n">
        <v>99113</v>
      </c>
    </row>
    <row r="28" ht="220" customHeight="1">
      <c r="A28" s="8" t="inlineStr">
        <is>
          <t>Sources - Handelsbanken plc UK Group consolidated statement of profit or loss, £'000:
FY2025 &amp; FY2024: Annual Report and Financial Statements 2025, p.80 (Consolidated statement of profit or loss and other comprehensive income, UK Group) - https://www.handelsbanken.co.uk/tron/gbpu/info/contents/v1/document/52-278301
FY2023: Annual Report 2023, p.84 (Consolidated statement of profit and loss and comprehensive income, UK Group) - https://www.handelsbanken.co.uk/tron/gbpu/info/contents/v1/document/52-223741
FY2022 &amp; FY2021: Annual Report 2022, p.88 (each year's own originally-published figures, UK Group) - https://www.handelsbanken.co.uk/tron/gbpu/info/contents/v1/document/52-175531
ENTITY NOTE: Handelsbanken plc (company number 11305395, FRN 806852) was incorporated 11 April 2018 as the UK-incorporated subsidiary that Handelsbanken's (Svenska Handelsbanken AB) UK business restructured into from a branch. Because of that youth, FY2021 (its third full year) is the earliest year for which the annual report distinguishes a consolidated 'UK Group' cash flow statement from the standalone parent-only 'Bank' one - the FY2021 Annual Report itself presents only a single, undifferentiated 'Cash Flow Statement' (i.e. Bank and Group were not yet reported separately). To keep this sheet on a consistent Group/consolidated basis throughout, FY2021 cash flow figures below are the Group-restated comparative column as re-presented in the FY2022 Annual Report (which differs modestly, line by line, from the FY2021 report's own originally-reported figures - net cash flow totals below are internally consistent with this restated basis).
PRESENTATION NOTE: in 2023, breakage fees previously reported under 'Net gains on financial transactions and other income' began to be presented within 'Interest income' - the FY2023 Annual Report's own restated 2022 comparative column shows Interest income £923,790k (vs FY2022's own originally-published £912,438k) and Net gains on financial transactions and other income £12,729k (vs FY2022's own originally-published £24,081k), a difference of £11,352k (~£11m) in both directions - matching the disclosed reclassification exactly. FY2022 figures below use FY2022's own originally-published presentation (per project convention), not the later restated comparative. No other comprehensive income was recognised in any year shown. Total income / Total expenses / Profit before tax / Profit for the year / Total comprehensive income rows all reconcile exactly and tie to the Cash Flow Statement sheet's own 'Profit before tax' row in every year.</t>
        </is>
      </c>
    </row>
  </sheetData>
  <mergeCells count="1">
    <mergeCell ref="A28:F2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Handelsbanken plc — Consolidated Statement of Changes in Equity</t>
        </is>
      </c>
    </row>
    <row r="2">
      <c r="A2" s="2" t="inlineStr">
        <is>
          <t>Handelsbanken plc UK Group (consolidated basis), £'000, chronological (oldest to newest). See source note at bottom.</t>
        </is>
      </c>
    </row>
    <row r="3">
      <c r="A3" s="4" t="inlineStr">
        <is>
          <t>Movement</t>
        </is>
      </c>
      <c r="B3" s="4" t="inlineStr">
        <is>
          <t>Share capital</t>
        </is>
      </c>
      <c r="C3" s="4" t="inlineStr">
        <is>
          <t>Share premium</t>
        </is>
      </c>
      <c r="D3" s="4" t="inlineStr">
        <is>
          <t>Retained earnings</t>
        </is>
      </c>
      <c r="E3" s="4" t="inlineStr">
        <is>
          <t>Total equity</t>
        </is>
      </c>
    </row>
    <row r="4">
      <c r="A4" s="5" t="inlineStr">
        <is>
          <t>At 1 January 2021</t>
        </is>
      </c>
      <c r="B4" s="5" t="n">
        <v>5050</v>
      </c>
      <c r="C4" s="5" t="n">
        <v>2070619</v>
      </c>
      <c r="D4" s="5" t="n">
        <v>312047</v>
      </c>
      <c r="E4" s="5" t="n">
        <v>2387716</v>
      </c>
    </row>
    <row r="5">
      <c r="A5" s="6" t="inlineStr">
        <is>
          <t>Total comprehensive income for the year</t>
        </is>
      </c>
      <c r="B5" s="6" t="n"/>
      <c r="C5" s="6" t="n"/>
      <c r="D5" s="6" t="n">
        <v>99113</v>
      </c>
      <c r="E5" s="6" t="n">
        <v>99113</v>
      </c>
    </row>
    <row r="6">
      <c r="A6" s="5" t="inlineStr">
        <is>
          <t>At 31 December 2021 / At 1 January 2022</t>
        </is>
      </c>
      <c r="B6" s="5" t="n">
        <v>5050</v>
      </c>
      <c r="C6" s="5" t="n">
        <v>2070619</v>
      </c>
      <c r="D6" s="5" t="n">
        <v>411160</v>
      </c>
      <c r="E6" s="5" t="n">
        <v>2486829</v>
      </c>
    </row>
    <row r="7">
      <c r="A7" s="6" t="inlineStr">
        <is>
          <t>Total comprehensive income for the year</t>
        </is>
      </c>
      <c r="B7" s="6" t="n"/>
      <c r="C7" s="6" t="n"/>
      <c r="D7" s="6" t="n">
        <v>252632</v>
      </c>
      <c r="E7" s="6" t="n">
        <v>252632</v>
      </c>
    </row>
    <row r="8">
      <c r="A8" s="5" t="inlineStr">
        <is>
          <t>At 31 December 2022 / At 1 January 2023</t>
        </is>
      </c>
      <c r="B8" s="5" t="n">
        <v>5050</v>
      </c>
      <c r="C8" s="5" t="n">
        <v>2070619</v>
      </c>
      <c r="D8" s="5" t="n">
        <v>663792</v>
      </c>
      <c r="E8" s="5" t="n">
        <v>2739461</v>
      </c>
    </row>
    <row r="9">
      <c r="A9" s="6" t="inlineStr">
        <is>
          <t>Dividend paid</t>
        </is>
      </c>
      <c r="B9" s="6" t="n"/>
      <c r="C9" s="6" t="n"/>
      <c r="D9" s="6" t="n">
        <v>-265516</v>
      </c>
      <c r="E9" s="6" t="n">
        <v>-265516</v>
      </c>
    </row>
    <row r="10">
      <c r="A10" s="6" t="inlineStr">
        <is>
          <t>Total comprehensive income for the year</t>
        </is>
      </c>
      <c r="B10" s="6" t="n"/>
      <c r="C10" s="6" t="n"/>
      <c r="D10" s="6" t="n">
        <v>415740</v>
      </c>
      <c r="E10" s="6" t="n">
        <v>415740</v>
      </c>
    </row>
    <row r="11">
      <c r="A11" s="5" t="inlineStr">
        <is>
          <t>At 31 December 2023 / At 1 January 2024</t>
        </is>
      </c>
      <c r="B11" s="5" t="n">
        <v>5050</v>
      </c>
      <c r="C11" s="5" t="n">
        <v>2070619</v>
      </c>
      <c r="D11" s="5" t="n">
        <v>814016</v>
      </c>
      <c r="E11" s="5" t="n">
        <v>2889685</v>
      </c>
    </row>
    <row r="12">
      <c r="A12" s="6" t="inlineStr">
        <is>
          <t>Dividend paid</t>
        </is>
      </c>
      <c r="B12" s="6" t="n"/>
      <c r="C12" s="6" t="n"/>
      <c r="D12" s="6" t="n">
        <v>-625341</v>
      </c>
      <c r="E12" s="6" t="n">
        <v>-625341</v>
      </c>
    </row>
    <row r="13">
      <c r="A13" s="6" t="inlineStr">
        <is>
          <t>Total comprehensive income for the year</t>
        </is>
      </c>
      <c r="B13" s="6" t="n"/>
      <c r="C13" s="6" t="n"/>
      <c r="D13" s="6" t="n">
        <v>359290</v>
      </c>
      <c r="E13" s="6" t="n">
        <v>359290</v>
      </c>
    </row>
    <row r="14">
      <c r="A14" s="5" t="inlineStr">
        <is>
          <t>At 31 December 2024 / At 1 January 2025</t>
        </is>
      </c>
      <c r="B14" s="5" t="n">
        <v>5050</v>
      </c>
      <c r="C14" s="5" t="n">
        <v>2070619</v>
      </c>
      <c r="D14" s="5" t="n">
        <v>547965</v>
      </c>
      <c r="E14" s="5" t="n">
        <v>2623634</v>
      </c>
    </row>
    <row r="15">
      <c r="A15" s="6" t="inlineStr">
        <is>
          <t>Dividend paid</t>
        </is>
      </c>
      <c r="B15" s="6" t="n"/>
      <c r="C15" s="6" t="n"/>
      <c r="D15" s="6" t="n">
        <v>-484687</v>
      </c>
      <c r="E15" s="6" t="n">
        <v>-484687</v>
      </c>
    </row>
    <row r="16">
      <c r="A16" s="6" t="inlineStr">
        <is>
          <t>Total comprehensive income for the year</t>
        </is>
      </c>
      <c r="B16" s="6" t="n"/>
      <c r="C16" s="6" t="n"/>
      <c r="D16" s="6" t="n">
        <v>303861</v>
      </c>
      <c r="E16" s="6" t="n">
        <v>303861</v>
      </c>
    </row>
    <row r="17">
      <c r="A17" s="5" t="inlineStr">
        <is>
          <t>At 31 December 2025</t>
        </is>
      </c>
      <c r="B17" s="5" t="n">
        <v>5050</v>
      </c>
      <c r="C17" s="5" t="n">
        <v>2070619</v>
      </c>
      <c r="D17" s="5" t="n">
        <v>367139</v>
      </c>
      <c r="E17" s="5" t="n">
        <v>2442808</v>
      </c>
    </row>
    <row r="19" ht="170" customHeight="1">
      <c r="A19" s="8" t="inlineStr">
        <is>
          <t>Sources - Handelsbanken plc UK Group consolidated statement of changes in equity, £'000:
FY2025 &amp; FY2024: Annual Report and Financial Statements 2025, p.82 (Consolidated statement of changes in equity, UK Group) - https://www.handelsbanken.co.uk/tron/gbpu/info/contents/v1/document/52-278301
FY2023 &amp; FY2022: Annual Report 2023, p.86 (Statement of changes in equity, UK Group) - https://www.handelsbanken.co.uk/tron/gbpu/info/contents/v1/document/52-223741
FY2021: Annual Report 2022, p.90 (2021 section, Consolidated statement of changes in equity, UK Group) - https://www.handelsbanken.co.uk/tron/gbpu/info/contents/v1/document/52-175531
ENTITY NOTE: Handelsbanken plc (company number 11305395, FRN 806852) was incorporated 11 April 2018 as the UK-incorporated subsidiary that Handelsbanken's (Svenska Handelsbanken AB) UK business restructured into from a branch. Because of that youth, FY2021 (its third full year) is the earliest year for which the annual report distinguishes a consolidated 'UK Group' cash flow statement from the standalone parent-only 'Bank' one - the FY2021 Annual Report itself presents only a single, undifferentiated 'Cash Flow Statement' (i.e. Bank and Group were not yet reported separately). To keep this sheet on a consistent Group/consolidated basis throughout, FY2021 cash flow figures below are the Group-restated comparative column as re-presented in the FY2022 Annual Report (which differs modestly, line by line, from the FY2021 report's own originally-reported figures - net cash flow totals below are internally consistent with this restated basis).
PRESENTATION NOTE: no plug rows were needed anywhere in this roll-forward - every year's closing balance ties exactly to both the next year's own opening balance and that year's own Balance Sheet Total equity. No share issuances, treasury shares, share-based payments, or FX/translation reserve movements exist for this entity in any year shown; the only equity movements are dividends and total comprehensive income (profit for the year, since no OCI was recognised in any year).</t>
        </is>
      </c>
    </row>
  </sheetData>
  <mergeCells count="1">
    <mergeCell ref="A19:E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Handelsbanken plc — Consolidated Cash Flow Statement</t>
        </is>
      </c>
    </row>
    <row r="2">
      <c r="A2" s="2" t="inlineStr">
        <is>
          <t>Handelsbanken plc UK Group (consolidated basis), £'000 unless stated. See source note at bottom.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Profit before tax</t>
        </is>
      </c>
      <c r="B5" s="6" t="n">
        <v>421832</v>
      </c>
      <c r="C5" s="6" t="n">
        <v>498022</v>
      </c>
      <c r="D5" s="6" t="n">
        <v>574764</v>
      </c>
      <c r="E5" s="6" t="n">
        <v>343916</v>
      </c>
      <c r="F5" s="6" t="n">
        <v>135366</v>
      </c>
    </row>
    <row r="6">
      <c r="A6" s="6" t="inlineStr">
        <is>
          <t>Net credit (gains)/losses</t>
        </is>
      </c>
      <c r="B6" s="6" t="n">
        <v>-7162</v>
      </c>
      <c r="C6" s="6" t="n">
        <v>-10164</v>
      </c>
      <c r="D6" s="6" t="n">
        <v>3788</v>
      </c>
      <c r="E6" s="6" t="n">
        <v>4415</v>
      </c>
      <c r="F6" s="6" t="n">
        <v>-7945</v>
      </c>
    </row>
    <row r="7">
      <c r="A7" s="6" t="inlineStr">
        <is>
          <t>Net losses/(gains) on disposal of property, equipment and intangible assets</t>
        </is>
      </c>
      <c r="B7" s="6" t="n">
        <v>101</v>
      </c>
      <c r="C7" s="6" t="n">
        <v>13</v>
      </c>
      <c r="D7" s="6" t="n">
        <v>65</v>
      </c>
      <c r="E7" s="6" t="n">
        <v>-818</v>
      </c>
      <c r="F7" s="6" t="n">
        <v>-775</v>
      </c>
    </row>
    <row r="8">
      <c r="A8" s="6" t="inlineStr">
        <is>
          <t>Depreciation, amortisation and impairment</t>
        </is>
      </c>
      <c r="B8" s="6" t="n">
        <v>36386</v>
      </c>
      <c r="C8" s="6" t="n">
        <v>28159</v>
      </c>
      <c r="D8" s="6" t="n">
        <v>25129</v>
      </c>
      <c r="E8" s="6" t="n">
        <v>23420</v>
      </c>
      <c r="F8" s="6" t="n">
        <v>32815</v>
      </c>
    </row>
    <row r="9">
      <c r="A9" s="6" t="inlineStr">
        <is>
          <t>Lease liability interest expense</t>
        </is>
      </c>
      <c r="B9" s="6" t="n">
        <v>3222</v>
      </c>
      <c r="C9" s="6" t="n">
        <v>1734</v>
      </c>
      <c r="D9" s="6" t="n">
        <v>1535</v>
      </c>
      <c r="E9" s="6" t="n">
        <v>1328</v>
      </c>
      <c r="F9" s="6" t="n">
        <v>1555</v>
      </c>
    </row>
    <row r="10">
      <c r="A10" s="6" t="inlineStr">
        <is>
          <t>Acquisition of right of use asset</t>
        </is>
      </c>
      <c r="B10" s="6" t="n">
        <v>-40681</v>
      </c>
      <c r="C10" s="6" t="n">
        <v>-8854</v>
      </c>
      <c r="D10" s="6" t="n">
        <v>-8866</v>
      </c>
      <c r="E10" s="6" t="n">
        <v>-7388</v>
      </c>
      <c r="F10" s="6" t="n">
        <v>-3100</v>
      </c>
    </row>
    <row r="11">
      <c r="A11" s="6" t="inlineStr">
        <is>
          <t>Provisions</t>
        </is>
      </c>
      <c r="B11" s="6" t="n">
        <v>-75</v>
      </c>
      <c r="C11" s="6" t="n">
        <v>-2381</v>
      </c>
      <c r="D11" s="6" t="n">
        <v>-6112</v>
      </c>
      <c r="E11" s="6" t="n">
        <v>4654</v>
      </c>
      <c r="F11" s="6" t="n">
        <v>3526</v>
      </c>
    </row>
    <row r="12">
      <c r="A12" s="6" t="inlineStr">
        <is>
          <t>Other loans to central banks</t>
        </is>
      </c>
      <c r="B12" s="6" t="n"/>
      <c r="C12" s="6" t="n">
        <v>88371</v>
      </c>
      <c r="D12" s="6" t="n">
        <v>11529</v>
      </c>
      <c r="E12" s="6" t="n">
        <v>2879</v>
      </c>
      <c r="F12" s="6" t="n">
        <v>-4386</v>
      </c>
    </row>
    <row r="13">
      <c r="A13" s="6" t="inlineStr">
        <is>
          <t>Loans to other credit institutions</t>
        </is>
      </c>
      <c r="B13" s="6" t="n">
        <v>87866</v>
      </c>
      <c r="C13" s="6" t="n">
        <v>1634611</v>
      </c>
      <c r="D13" s="6" t="n">
        <v>289812</v>
      </c>
      <c r="E13" s="6" t="n">
        <v>-1598199</v>
      </c>
      <c r="F13" s="6" t="n">
        <v>-241068</v>
      </c>
    </row>
    <row r="14">
      <c r="A14" s="6" t="inlineStr">
        <is>
          <t>Loans to the public</t>
        </is>
      </c>
      <c r="B14" s="6" t="n">
        <v>-580612</v>
      </c>
      <c r="C14" s="6" t="n">
        <v>207791</v>
      </c>
      <c r="D14" s="6" t="n">
        <v>1000930</v>
      </c>
      <c r="E14" s="6" t="n">
        <v>1144359</v>
      </c>
      <c r="F14" s="6" t="n">
        <v>688529</v>
      </c>
    </row>
    <row r="15">
      <c r="A15" s="6" t="inlineStr">
        <is>
          <t>Due to credit institutions</t>
        </is>
      </c>
      <c r="B15" s="6" t="n">
        <v>-964086</v>
      </c>
      <c r="C15" s="6" t="n">
        <v>-1907801</v>
      </c>
      <c r="D15" s="6" t="n">
        <v>-352481</v>
      </c>
      <c r="E15" s="6" t="n">
        <v>-636336</v>
      </c>
      <c r="F15" s="6" t="n">
        <v>-1358541</v>
      </c>
    </row>
    <row r="16">
      <c r="A16" s="6" t="inlineStr">
        <is>
          <t>Deposits from the public</t>
        </is>
      </c>
      <c r="B16" s="6" t="n">
        <v>587411</v>
      </c>
      <c r="C16" s="6" t="n">
        <v>521089</v>
      </c>
      <c r="D16" s="6" t="n">
        <v>-127216</v>
      </c>
      <c r="E16" s="6" t="n">
        <v>1284768</v>
      </c>
      <c r="F16" s="6" t="n">
        <v>122809</v>
      </c>
    </row>
    <row r="17">
      <c r="A17" s="6" t="inlineStr">
        <is>
          <t>Issued securities</t>
        </is>
      </c>
      <c r="B17" s="6" t="n">
        <v>-383229</v>
      </c>
      <c r="C17" s="6" t="n">
        <v>1568</v>
      </c>
      <c r="D17" s="6" t="n">
        <v>-55354</v>
      </c>
      <c r="E17" s="6" t="n">
        <v>-786756</v>
      </c>
      <c r="F17" s="6" t="n">
        <v>-3147</v>
      </c>
    </row>
    <row r="18">
      <c r="A18" s="6" t="inlineStr">
        <is>
          <t>Lease liabilities (change)</t>
        </is>
      </c>
      <c r="B18" s="6" t="n">
        <v>38681</v>
      </c>
      <c r="C18" s="6" t="n">
        <v>9469</v>
      </c>
      <c r="D18" s="6" t="n">
        <v>7327</v>
      </c>
      <c r="E18" s="6" t="n">
        <v>4549</v>
      </c>
      <c r="F18" s="6" t="n">
        <v>2589</v>
      </c>
    </row>
    <row r="19">
      <c r="A19" s="6" t="inlineStr">
        <is>
          <t>Income tax paid</t>
        </is>
      </c>
      <c r="B19" s="6" t="n">
        <v>-119110</v>
      </c>
      <c r="C19" s="6" t="n">
        <v>-140399</v>
      </c>
      <c r="D19" s="6" t="n">
        <v>-161747</v>
      </c>
      <c r="E19" s="6" t="n">
        <v>-90301</v>
      </c>
      <c r="F19" s="6" t="n">
        <v>-32713</v>
      </c>
    </row>
    <row r="20">
      <c r="A20" s="6" t="inlineStr">
        <is>
          <t>Other assets</t>
        </is>
      </c>
      <c r="B20" s="6" t="n">
        <v>91100</v>
      </c>
      <c r="C20" s="6" t="n">
        <v>-89575</v>
      </c>
      <c r="D20" s="6" t="n">
        <v>25690</v>
      </c>
      <c r="E20" s="6" t="n">
        <v>-25292</v>
      </c>
      <c r="F20" s="6" t="n">
        <v>5058</v>
      </c>
    </row>
    <row r="21">
      <c r="A21" s="6" t="inlineStr">
        <is>
          <t>Prepaid expenses and accrued income</t>
        </is>
      </c>
      <c r="B21" s="6" t="n">
        <v>-28</v>
      </c>
      <c r="C21" s="6" t="n">
        <v>-2256</v>
      </c>
      <c r="D21" s="6" t="n">
        <v>-2198</v>
      </c>
      <c r="E21" s="6" t="n">
        <v>-75</v>
      </c>
      <c r="F21" s="6" t="n">
        <v>-1632</v>
      </c>
    </row>
    <row r="22">
      <c r="A22" s="6" t="inlineStr">
        <is>
          <t>Other liabilities</t>
        </is>
      </c>
      <c r="B22" s="6" t="n">
        <v>4528</v>
      </c>
      <c r="C22" s="6" t="n">
        <v>658</v>
      </c>
      <c r="D22" s="6" t="n">
        <v>-1424</v>
      </c>
      <c r="E22" s="6" t="n">
        <v>-3036</v>
      </c>
      <c r="F22" s="6" t="n">
        <v>-711</v>
      </c>
    </row>
    <row r="23">
      <c r="A23" s="6" t="inlineStr">
        <is>
          <t>Accrued expenses and deferred income</t>
        </is>
      </c>
      <c r="B23" s="6" t="n">
        <v>695</v>
      </c>
      <c r="C23" s="6" t="n">
        <v>-1614</v>
      </c>
      <c r="D23" s="6" t="n">
        <v>1097</v>
      </c>
      <c r="E23" s="6" t="n">
        <v>-3233</v>
      </c>
      <c r="F23" s="6" t="n">
        <v>-5470</v>
      </c>
    </row>
    <row r="24">
      <c r="A24" s="6" t="inlineStr">
        <is>
          <t>Accrued interest</t>
        </is>
      </c>
      <c r="B24" s="6" t="n">
        <v>3884</v>
      </c>
      <c r="C24" s="6" t="n">
        <v>7868</v>
      </c>
      <c r="D24" s="6" t="n"/>
      <c r="E24" s="6" t="n"/>
      <c r="F24" s="6" t="n"/>
    </row>
    <row r="25">
      <c r="A25" s="6" t="inlineStr">
        <is>
          <t>Other operating items</t>
        </is>
      </c>
      <c r="B25" s="6" t="n"/>
      <c r="C25" s="6" t="n"/>
      <c r="D25" s="6" t="n"/>
      <c r="E25" s="6" t="n">
        <v>-11971</v>
      </c>
      <c r="F25" s="6" t="n">
        <v>-369</v>
      </c>
    </row>
    <row r="26">
      <c r="A26" s="5" t="inlineStr">
        <is>
          <t>Cash (outflow)/inflow from operating activities</t>
        </is>
      </c>
      <c r="B26" s="5" t="n">
        <v>-819277</v>
      </c>
      <c r="C26" s="5" t="n">
        <v>836309</v>
      </c>
      <c r="D26" s="5" t="n">
        <v>1215640</v>
      </c>
      <c r="E26" s="5" t="n">
        <v>-351346</v>
      </c>
      <c r="F26" s="5" t="n">
        <v>-670515</v>
      </c>
    </row>
    <row r="27">
      <c r="A27" s="5" t="inlineStr">
        <is>
          <t>Investing activities</t>
        </is>
      </c>
      <c r="B27" s="6" t="n"/>
      <c r="C27" s="6" t="n"/>
      <c r="D27" s="6" t="n"/>
      <c r="E27" s="6" t="n"/>
      <c r="F27" s="6" t="n"/>
    </row>
    <row r="28">
      <c r="A28" s="6" t="inlineStr">
        <is>
          <t>Assets held for sale</t>
        </is>
      </c>
      <c r="B28" s="6" t="n"/>
      <c r="C28" s="6" t="n"/>
      <c r="D28" s="6" t="n"/>
      <c r="E28" s="6" t="n">
        <v>963</v>
      </c>
      <c r="F28" s="6" t="n">
        <v>65</v>
      </c>
    </row>
    <row r="29">
      <c r="A29" s="6" t="inlineStr">
        <is>
          <t>Acquisitions of property and equipment</t>
        </is>
      </c>
      <c r="B29" s="6" t="n">
        <v>-14385</v>
      </c>
      <c r="C29" s="6" t="n">
        <v>-7728</v>
      </c>
      <c r="D29" s="6" t="n">
        <v>-7000</v>
      </c>
      <c r="E29" s="6" t="n">
        <v>-4714</v>
      </c>
      <c r="F29" s="6" t="n">
        <v>-3323</v>
      </c>
    </row>
    <row r="30">
      <c r="A30" s="6" t="inlineStr">
        <is>
          <t>Disposal of property and equipment</t>
        </is>
      </c>
      <c r="B30" s="6" t="n">
        <v>100</v>
      </c>
      <c r="C30" s="6" t="n">
        <v>277</v>
      </c>
      <c r="D30" s="6" t="n">
        <v>166</v>
      </c>
      <c r="E30" s="6" t="n">
        <v>1216</v>
      </c>
      <c r="F30" s="6" t="n">
        <v>996</v>
      </c>
    </row>
    <row r="31">
      <c r="A31" s="6" t="inlineStr">
        <is>
          <t>Acquisitions/development of intangible assets</t>
        </is>
      </c>
      <c r="B31" s="6" t="n">
        <v>-5526</v>
      </c>
      <c r="C31" s="6" t="n">
        <v>-10663</v>
      </c>
      <c r="D31" s="6" t="n">
        <v>-11138</v>
      </c>
      <c r="E31" s="6" t="n">
        <v>-6635</v>
      </c>
      <c r="F31" s="6" t="n">
        <v>-3463</v>
      </c>
    </row>
    <row r="32">
      <c r="A32" s="5" t="inlineStr">
        <is>
          <t>Cash outflow from investing activities</t>
        </is>
      </c>
      <c r="B32" s="5" t="n">
        <v>-19811</v>
      </c>
      <c r="C32" s="5" t="n">
        <v>-18114</v>
      </c>
      <c r="D32" s="5" t="n">
        <v>-17972</v>
      </c>
      <c r="E32" s="5" t="n">
        <v>-9170</v>
      </c>
      <c r="F32" s="5" t="n">
        <v>-5725</v>
      </c>
    </row>
    <row r="33">
      <c r="A33" s="5" t="inlineStr">
        <is>
          <t>Financing activities</t>
        </is>
      </c>
      <c r="B33" s="6" t="n"/>
      <c r="C33" s="6" t="n"/>
      <c r="D33" s="6" t="n"/>
      <c r="E33" s="6" t="n"/>
      <c r="F33" s="6" t="n"/>
    </row>
    <row r="34">
      <c r="A34" s="6" t="inlineStr">
        <is>
          <t>Dividends paid to company's shareholders</t>
        </is>
      </c>
      <c r="B34" s="6" t="n">
        <v>-484687</v>
      </c>
      <c r="C34" s="6" t="n">
        <v>-625341</v>
      </c>
      <c r="D34" s="6" t="n">
        <v>-265516</v>
      </c>
      <c r="E34" s="6" t="n"/>
      <c r="F34" s="6" t="n"/>
    </row>
    <row r="35">
      <c r="A35" s="6" t="inlineStr">
        <is>
          <t>Payments made for lease liabilities</t>
        </is>
      </c>
      <c r="B35" s="6" t="n">
        <v>-11901</v>
      </c>
      <c r="C35" s="6" t="n">
        <v>-11884</v>
      </c>
      <c r="D35" s="6" t="n">
        <v>-12424</v>
      </c>
      <c r="E35" s="6" t="n">
        <v>-12141</v>
      </c>
      <c r="F35" s="6" t="n">
        <v>-13551</v>
      </c>
    </row>
    <row r="36">
      <c r="A36" s="5" t="inlineStr">
        <is>
          <t>Cash outflow from financing activities</t>
        </is>
      </c>
      <c r="B36" s="5" t="n">
        <v>-496588</v>
      </c>
      <c r="C36" s="5" t="n">
        <v>-637225</v>
      </c>
      <c r="D36" s="5" t="n">
        <v>-277940</v>
      </c>
      <c r="E36" s="5" t="n">
        <v>-12141</v>
      </c>
      <c r="F36" s="5" t="n">
        <v>-13551</v>
      </c>
    </row>
    <row r="37">
      <c r="A37" s="5" t="inlineStr">
        <is>
          <t>Cash (outflow)/inflow for the year</t>
        </is>
      </c>
      <c r="B37" s="5" t="n">
        <v>-1335676</v>
      </c>
      <c r="C37" s="5" t="n">
        <v>180970</v>
      </c>
      <c r="D37" s="5" t="n">
        <v>919728</v>
      </c>
      <c r="E37" s="5" t="n">
        <v>-372657</v>
      </c>
      <c r="F37" s="5" t="n">
        <v>-689791</v>
      </c>
    </row>
    <row r="38">
      <c r="A38" s="6" t="inlineStr">
        <is>
          <t>Cash balance at beginning of year</t>
        </is>
      </c>
      <c r="B38" s="6" t="n">
        <v>9097190</v>
      </c>
      <c r="C38" s="6" t="n">
        <v>8916214</v>
      </c>
      <c r="D38" s="6" t="n">
        <v>7996622</v>
      </c>
      <c r="E38" s="6" t="n">
        <v>8368955</v>
      </c>
      <c r="F38" s="6" t="n">
        <v>9058894</v>
      </c>
    </row>
    <row r="39">
      <c r="A39" s="6" t="inlineStr">
        <is>
          <t>Net foreign exchange differences</t>
        </is>
      </c>
      <c r="B39" s="6" t="n"/>
      <c r="C39" s="6" t="n">
        <v>6</v>
      </c>
      <c r="D39" s="6" t="n">
        <v>-136</v>
      </c>
      <c r="E39" s="6" t="n">
        <v>324</v>
      </c>
      <c r="F39" s="6" t="n">
        <v>-148</v>
      </c>
    </row>
    <row r="40">
      <c r="A40" s="5" t="inlineStr">
        <is>
          <t>Cash balance at end of year</t>
        </is>
      </c>
      <c r="B40" s="5" t="n">
        <v>7761527</v>
      </c>
      <c r="C40" s="5" t="n">
        <v>9097190</v>
      </c>
      <c r="D40" s="5" t="n">
        <v>8916214</v>
      </c>
      <c r="E40" s="5" t="n">
        <v>7996622</v>
      </c>
      <c r="F40" s="5" t="n">
        <v>8368955</v>
      </c>
    </row>
    <row r="42" ht="220" customHeight="1">
      <c r="A42" s="8" t="inlineStr">
        <is>
          <t>Sources - all figures are Handelsbanken plc UK Group consolidated cash flow statement, £'000:
FY2025 &amp; FY2024: Annual Report and Financial Statements 2025, p.83 (Consolidated cash flow statement, UK Group) - https://www.handelsbanken.co.uk/tron/gbpu/info/contents/v1/document/52-278301
FY2023: Annual Report 2023, p.87 (Cash flow statement, UK Group) - https://www.handelsbanken.co.uk/tron/gbpu/info/contents/v1/document/52-223741
FY2022: Annual Report 2022, p.90 (Consolidated cash flow statement, UK Group) - https://www.handelsbanken.co.uk/tron/gbpu/info/contents/v1/document/52-175531
FY2021: Annual Report 2022, p.90 (2021 comparative column, UK Group, restated) - https://www.handelsbanken.co.uk/tron/gbpu/info/contents/v1/document/52-175531
ENTITY NOTE: Handelsbanken plc (company number 11305395, FRN 806852) was incorporated 11 April 2018 as the UK-incorporated subsidiary that Handelsbanken's (Svenska Handelsbanken AB) UK business restructured into from a branch. Because of that youth, FY2021 (its third full year) is the earliest year for which the annual report distinguishes a consolidated 'UK Group' cash flow statement from the standalone parent-only 'Bank' one - the FY2021 Annual Report itself presents only a single, undifferentiated 'Cash Flow Statement' (i.e. Bank and Group were not yet reported separately). To keep this sheet on a consistent Group/consolidated basis throughout, FY2021 cash flow figures below are the Group-restated comparative column as re-presented in the FY2022 Annual Report (which differs modestly, line by line, from the FY2021 report's own originally-reported figures - net cash flow totals below are internally consistent with this restated basis).
PRESENTATION NOTE: line items shift modestly across vintages (e.g. 'Acquisition of right of use asset' moved from the Investing section in the FY2021 report to an Operating-activities adjustment from FY2022 onward; an 'Accrued interest' line appears only in the FY2025 report). Blank cells indicate that year's statement did not show that specific line. Operating/investing/financing subtotals and the net cash movement for the year are internally consistent and reconcile exactly in every year shown; the opening-plus-movement-plus-FX bridge to the closing cash balance is exact for FY2021-FY2024, and within an immaterial £13k rounding difference (on a balance of £7.76bn) for FY2025, as published.</t>
        </is>
      </c>
    </row>
  </sheetData>
  <mergeCells count="1">
    <mergeCell ref="A42:F4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Handelsbanken plc — Asset Quality (Loans to the Public)</t>
        </is>
      </c>
    </row>
    <row r="2">
      <c r="A2" s="2" t="inlineStr">
        <is>
          <t>Handelsbanken plc UK Group (consolidated basis), £'000 unless stated. See source note at bottom.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Loans to the public — IFRS 9 stage analysis</t>
        </is>
      </c>
      <c r="B4" s="6" t="n"/>
      <c r="C4" s="6" t="n"/>
      <c r="D4" s="6" t="n"/>
      <c r="E4" s="6" t="n"/>
      <c r="F4" s="6" t="n"/>
    </row>
    <row r="5">
      <c r="A5" s="6" t="inlineStr">
        <is>
          <t>Stage 1 gross exposure</t>
        </is>
      </c>
      <c r="B5" s="6" t="n">
        <v>17640737</v>
      </c>
      <c r="C5" s="6" t="n">
        <v>16705882</v>
      </c>
      <c r="D5" s="6" t="n">
        <v>16176948</v>
      </c>
      <c r="E5" s="6" t="n">
        <v>17688338</v>
      </c>
      <c r="F5" s="6" t="n">
        <v>19059761</v>
      </c>
    </row>
    <row r="6">
      <c r="A6" s="6" t="inlineStr">
        <is>
          <t>Stage 2 gross exposure</t>
        </is>
      </c>
      <c r="B6" s="6" t="n">
        <v>626364</v>
      </c>
      <c r="C6" s="6" t="n">
        <v>926032</v>
      </c>
      <c r="D6" s="6" t="n">
        <v>1708802</v>
      </c>
      <c r="E6" s="6" t="n">
        <v>1270780</v>
      </c>
      <c r="F6" s="6" t="n">
        <v>1037782</v>
      </c>
    </row>
    <row r="7">
      <c r="A7" s="6" t="inlineStr">
        <is>
          <t>Stage 3 gross exposure</t>
        </is>
      </c>
      <c r="B7" s="6" t="n">
        <v>158674</v>
      </c>
      <c r="C7" s="6" t="n">
        <v>212397</v>
      </c>
      <c r="D7" s="6" t="n">
        <v>167023</v>
      </c>
      <c r="E7" s="6" t="n">
        <v>94450</v>
      </c>
      <c r="F7" s="6" t="n">
        <v>102175</v>
      </c>
    </row>
    <row r="8">
      <c r="A8" s="5" t="inlineStr">
        <is>
          <t>Total gross exposure</t>
        </is>
      </c>
      <c r="B8" s="5" t="n">
        <v>18425775</v>
      </c>
      <c r="C8" s="5" t="n">
        <v>17844311</v>
      </c>
      <c r="D8" s="5" t="n">
        <v>18052773</v>
      </c>
      <c r="E8" s="5" t="n">
        <v>19053568</v>
      </c>
      <c r="F8" s="5" t="n">
        <v>20199718</v>
      </c>
    </row>
    <row r="9">
      <c r="A9" s="6" t="inlineStr">
        <is>
          <t>Stage 1 provision</t>
        </is>
      </c>
      <c r="B9" s="6" t="n">
        <v>-5130</v>
      </c>
      <c r="C9" s="6" t="n">
        <v>-6445</v>
      </c>
      <c r="D9" s="6" t="n">
        <v>-10391</v>
      </c>
      <c r="E9" s="6" t="n">
        <v>-9445</v>
      </c>
      <c r="F9" s="6" t="n">
        <v>-4737</v>
      </c>
    </row>
    <row r="10">
      <c r="A10" s="6" t="inlineStr">
        <is>
          <t>Stage 2 provision</t>
        </is>
      </c>
      <c r="B10" s="6" t="n">
        <v>-3303</v>
      </c>
      <c r="C10" s="6" t="n">
        <v>-6603</v>
      </c>
      <c r="D10" s="6" t="n">
        <v>-15234</v>
      </c>
      <c r="E10" s="6" t="n">
        <v>-11432</v>
      </c>
      <c r="F10" s="6" t="n">
        <v>-9534</v>
      </c>
    </row>
    <row r="11">
      <c r="A11" s="6" t="inlineStr">
        <is>
          <t>Stage 3 provision</t>
        </is>
      </c>
      <c r="B11" s="6" t="n">
        <v>-3199</v>
      </c>
      <c r="C11" s="6" t="n">
        <v>-4894</v>
      </c>
      <c r="D11" s="6" t="n">
        <v>-3152</v>
      </c>
      <c r="E11" s="6" t="n">
        <v>-3976</v>
      </c>
      <c r="F11" s="6" t="n">
        <v>-7941</v>
      </c>
    </row>
    <row r="12">
      <c r="A12" s="5" t="inlineStr">
        <is>
          <t>Total provisions</t>
        </is>
      </c>
      <c r="B12" s="5" t="n">
        <v>-11632</v>
      </c>
      <c r="C12" s="5" t="n">
        <v>-17942</v>
      </c>
      <c r="D12" s="5" t="n">
        <v>-28777</v>
      </c>
      <c r="E12" s="5" t="n">
        <v>-24853</v>
      </c>
      <c r="F12" s="5" t="n">
        <v>-22212</v>
      </c>
    </row>
    <row r="13">
      <c r="A13" s="5" t="inlineStr">
        <is>
          <t>Net loans to the public (ties to Balance Sheet)</t>
        </is>
      </c>
      <c r="B13" s="5" t="n">
        <v>18414143</v>
      </c>
      <c r="C13" s="5" t="n">
        <v>17826369</v>
      </c>
      <c r="D13" s="5" t="n">
        <v>18023996</v>
      </c>
      <c r="E13" s="5" t="n">
        <v>19028715</v>
      </c>
      <c r="F13" s="5" t="n">
        <v>20177506</v>
      </c>
    </row>
    <row r="14">
      <c r="A14" s="5" t="inlineStr">
        <is>
          <t>Key ratios (as disclosed)</t>
        </is>
      </c>
      <c r="B14" s="6" t="n"/>
      <c r="C14" s="6" t="n"/>
      <c r="D14" s="6" t="n"/>
      <c r="E14" s="6" t="n"/>
      <c r="F14" s="6" t="n"/>
    </row>
    <row r="15">
      <c r="A15" s="6" t="inlineStr">
        <is>
          <t>Credit loss reserve ratio, Stage 1 (%)</t>
        </is>
      </c>
      <c r="B15" s="6" t="inlineStr">
        <is>
          <t>0.03%</t>
        </is>
      </c>
      <c r="C15" s="6" t="inlineStr">
        <is>
          <t>0.04%</t>
        </is>
      </c>
      <c r="D15" s="6" t="inlineStr">
        <is>
          <t>0.06%</t>
        </is>
      </c>
      <c r="E15" s="6" t="inlineStr">
        <is>
          <t>0.05%</t>
        </is>
      </c>
      <c r="F15" s="6" t="inlineStr">
        <is>
          <t>0.02%</t>
        </is>
      </c>
    </row>
    <row r="16">
      <c r="A16" s="6" t="inlineStr">
        <is>
          <t>Credit loss reserve ratio, Stage 2 (%)</t>
        </is>
      </c>
      <c r="B16" s="6" t="inlineStr">
        <is>
          <t>0.53%</t>
        </is>
      </c>
      <c r="C16" s="6" t="inlineStr">
        <is>
          <t>0.71%</t>
        </is>
      </c>
      <c r="D16" s="6" t="inlineStr">
        <is>
          <t>0.89%</t>
        </is>
      </c>
      <c r="E16" s="6" t="inlineStr">
        <is>
          <t>0.90%</t>
        </is>
      </c>
      <c r="F16" s="6" t="inlineStr">
        <is>
          <t>0.92%</t>
        </is>
      </c>
    </row>
    <row r="17">
      <c r="A17" s="6" t="inlineStr">
        <is>
          <t>Credit loss reserve ratio, Stage 3 (%)</t>
        </is>
      </c>
      <c r="B17" s="6" t="inlineStr">
        <is>
          <t>2.02%</t>
        </is>
      </c>
      <c r="C17" s="6" t="inlineStr">
        <is>
          <t>2.30%</t>
        </is>
      </c>
      <c r="D17" s="6" t="inlineStr">
        <is>
          <t>1.89%</t>
        </is>
      </c>
      <c r="E17" s="6" t="inlineStr">
        <is>
          <t>4.21%</t>
        </is>
      </c>
      <c r="F17" s="6" t="inlineStr">
        <is>
          <t>7.77%</t>
        </is>
      </c>
    </row>
    <row r="18">
      <c r="A18" s="6" t="inlineStr">
        <is>
          <t>Total credit loss reserve ratio (%)</t>
        </is>
      </c>
      <c r="B18" s="6" t="inlineStr">
        <is>
          <t>0.06%</t>
        </is>
      </c>
      <c r="C18" s="6" t="inlineStr">
        <is>
          <t>0.10%</t>
        </is>
      </c>
      <c r="D18" s="6" t="inlineStr">
        <is>
          <t>0.16%</t>
        </is>
      </c>
      <c r="E18" s="6" t="inlineStr">
        <is>
          <t>0.13%</t>
        </is>
      </c>
      <c r="F18" s="6" t="inlineStr">
        <is>
          <t>0.11%</t>
        </is>
      </c>
    </row>
    <row r="19">
      <c r="A19" s="6" t="inlineStr">
        <is>
          <t>Proportion of loans in Stage 3 (%)</t>
        </is>
      </c>
      <c r="B19" s="6" t="inlineStr">
        <is>
          <t>0.84%</t>
        </is>
      </c>
      <c r="C19" s="6" t="inlineStr">
        <is>
          <t>1.16%</t>
        </is>
      </c>
      <c r="D19" s="6" t="inlineStr">
        <is>
          <t>0.91%</t>
        </is>
      </c>
      <c r="E19" s="6" t="inlineStr">
        <is>
          <t>0.47%</t>
        </is>
      </c>
      <c r="F19" s="6" t="inlineStr">
        <is>
          <t>0.47%</t>
        </is>
      </c>
    </row>
    <row r="21" ht="170" customHeight="1">
      <c r="A21" s="8" t="inlineStr">
        <is>
          <t>Sources - Handelsbanken plc UK Group, Note 10 Credit losses, 'Balance sheet and off-balance sheet items that are subject to impairment testing' table (Loans to the public only), £'000:
FY2025 &amp; FY2024: Annual Report and Financial Statements 2025, p.110 - https://www.handelsbanken.co.uk/tron/gbpu/info/contents/v1/document/52-278301
FY2023 &amp; FY2022: Annual Report 2023, p.110-111 - https://www.handelsbanken.co.uk/tron/gbpu/info/contents/v1/document/52-223741
FY2021: Annual Report 2022, p.112-113 (2021 comparative) - https://www.handelsbanken.co.uk/tron/gbpu/info/contents/v1/document/52-175531
ENTITY NOTE: Handelsbanken plc (company number 11305395, FRN 806852) was incorporated 11 April 2018 as the UK-incorporated subsidiary that Handelsbanken's (Svenska Handelsbanken AB) UK business restructured into from a branch. Because of that youth, FY2021 (its third full year) is the earliest year for which the annual report distinguishes a consolidated 'UK Group' cash flow statement from the standalone parent-only 'Bank' one - the FY2021 Annual Report itself presents only a single, undifferentiated 'Cash Flow Statement' (i.e. Bank and Group were not yet reported separately). To keep this sheet on a consistent Group/consolidated basis throughout, FY2021 cash flow figures below are the Group-restated comparative column as re-presented in the FY2022 Annual Report (which differs modestly, line by line, from the FY2021 report's own originally-reported figures - net cash flow totals below are internally consistent with this restated basis).
PRESENTATION NOTE: 'Total gross exposure' minus 'Total provisions' ties exactly to the Balance Sheet sheet's own 'Loans to the public' figure in every year shown (e.g. FY2025: £18,425,775k gross - £11,632k provisions = £18,414,143k, matching the Balance Sheet exactly). Credit loss reserve ratios and the Stage 3 proportion are each bank-disclosed figures (Note 10's own 'Key figures, credit losses' table), not derived by us.</t>
        </is>
      </c>
    </row>
  </sheetData>
  <mergeCells count="1">
    <mergeCell ref="A21:F2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Handelsbanken plc — CET1 Capital</t>
        </is>
      </c>
    </row>
    <row r="2">
      <c r="A2" s="2" t="inlineStr">
        <is>
          <t>UK Group consolidated basis, 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capital</t>
        </is>
      </c>
      <c r="B4" s="6" t="n">
        <v>2155</v>
      </c>
      <c r="C4" s="6" t="n">
        <v>2089</v>
      </c>
      <c r="D4" s="6" t="n">
        <v>2214</v>
      </c>
      <c r="E4" s="6" t="n">
        <v>2426</v>
      </c>
      <c r="F4" s="6" t="n">
        <v>2464</v>
      </c>
    </row>
    <row r="5" ht="60" customHeight="1">
      <c r="A5" s="7" t="inlineStr">
        <is>
          <t>Note: No Pillar 3 / UK KM1 report was published for FY2021 (the earliest found on Handelsbanken plc's own site is 2022). FY2021 figures instead come from the 'Capital adequacy ratios'/'Capital resources' sections of the FY2021 Annual Report (https://www.handelsbanken.co.uk/tron/gbpu/info/contents/v1/document/52-141596), which pre-date the Group/Bank split noted on the Cash Flow Statement sheet - treat FY2021 as the entity's own (Bank=Group) basis at that time, not a formal KM1 disclosure.</t>
        </is>
      </c>
    </row>
    <row r="7" ht="100" customHeight="1">
      <c r="A7" s="8" t="inlineStr">
        <is>
          <t>Sources - Handelsbanken plc UK Group consolidated basis (UK KM1 Key metrics template):
Risk and Capital Information according to Pillar 3 - 2025, p.8-9 - https://www.handelsbanken.co.uk/tron/gbpu/info/contents/v1/document/52-278302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Handelsbanken plc — CET1 Ratio</t>
        </is>
      </c>
    </row>
    <row r="2">
      <c r="A2" s="2" t="inlineStr">
        <is>
          <t>UK Group consolidated basis, 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ratio</t>
        </is>
      </c>
      <c r="B4" s="6" t="inlineStr">
        <is>
          <t>17.5%</t>
        </is>
      </c>
      <c r="C4" s="6" t="inlineStr">
        <is>
          <t>18.0%</t>
        </is>
      </c>
      <c r="D4" s="6" t="inlineStr">
        <is>
          <t>20.0%</t>
        </is>
      </c>
      <c r="E4" s="6" t="inlineStr">
        <is>
          <t>21.3%</t>
        </is>
      </c>
      <c r="F4" s="6" t="inlineStr">
        <is>
          <t>20.2%</t>
        </is>
      </c>
    </row>
    <row r="5" ht="60" customHeight="1">
      <c r="A5" s="7" t="inlineStr">
        <is>
          <t>Note: No Pillar 3 / UK KM1 report was published for FY2021 (the earliest found on Handelsbanken plc's own site is 2022). FY2021 figures instead come from the 'Capital adequacy ratios'/'Capital resources' sections of the FY2021 Annual Report (https://www.handelsbanken.co.uk/tron/gbpu/info/contents/v1/document/52-141596), which pre-date the Group/Bank split noted on the Cash Flow Statement sheet - treat FY2021 as the entity's own (Bank=Group) basis at that time, not a formal KM1 disclosure. FY2025/FY2023 ratios are shown after deduction of that year's recommended dividend (the Board's stated practice - e.g. the FY2025 dividend recommendation reduced the CET1 ratio from 19.5% to the 17.5% shown here).</t>
        </is>
      </c>
    </row>
    <row r="7" ht="100" customHeight="1">
      <c r="A7" s="8" t="inlineStr">
        <is>
          <t>Sources - Handelsbanken plc UK Group consolidated basis (UK KM1 Key metrics template):
Risk and Capital Information according to Pillar 3 - 2025, p.8-9 - https://www.handelsbanken.co.uk/tron/gbpu/info/contents/v1/document/52-278302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Handelsbanken plc — Tier 1 Capital</t>
        </is>
      </c>
    </row>
    <row r="2">
      <c r="A2" s="2" t="inlineStr">
        <is>
          <t>UK Group consolidated basis, 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</t>
        </is>
      </c>
      <c r="B4" s="6" t="n">
        <v>2155</v>
      </c>
      <c r="C4" s="6" t="n">
        <v>2089</v>
      </c>
      <c r="D4" s="6" t="n">
        <v>2214</v>
      </c>
      <c r="E4" s="6" t="n">
        <v>2426</v>
      </c>
      <c r="F4" s="6" t="n">
        <v>2464</v>
      </c>
    </row>
    <row r="5" ht="60" customHeight="1">
      <c r="A5" s="7" t="inlineStr">
        <is>
          <t>Note: No Pillar 3 / UK KM1 report was published for FY2021 (the earliest found on Handelsbanken plc's own site is 2022). FY2021 figures instead come from the 'Capital adequacy ratios'/'Capital resources' sections of the FY2021 Annual Report (https://www.handelsbanken.co.uk/tron/gbpu/info/contents/v1/document/52-141596), which pre-date the Group/Bank split noted on the Cash Flow Statement sheet - treat FY2021 as the entity's own (Bank=Group) basis at that time, not a formal KM1 disclosure. Equal to CET1 capital in every year shown - the Bank has not issued any Additional Tier 1 (AT1) capital.</t>
        </is>
      </c>
    </row>
    <row r="7" ht="100" customHeight="1">
      <c r="A7" s="8" t="inlineStr">
        <is>
          <t>Sources - Handelsbanken plc UK Group consolidated basis (UK KM1 Key metrics template):
Risk and Capital Information according to Pillar 3 - 2025, p.8-9 - https://www.handelsbanken.co.uk/tron/gbpu/info/contents/v1/document/52-278302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Handelsbanken plc — Tier 1 Ratio</t>
        </is>
      </c>
    </row>
    <row r="2">
      <c r="A2" s="2" t="inlineStr">
        <is>
          <t>UK Group consolidated basis, 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ratio</t>
        </is>
      </c>
      <c r="B4" s="6" t="inlineStr">
        <is>
          <t>17.5%</t>
        </is>
      </c>
      <c r="C4" s="6" t="inlineStr">
        <is>
          <t>18.0%</t>
        </is>
      </c>
      <c r="D4" s="6" t="inlineStr">
        <is>
          <t>20.0%</t>
        </is>
      </c>
      <c r="E4" s="6" t="inlineStr">
        <is>
          <t>21.3%</t>
        </is>
      </c>
      <c r="F4" s="6" t="inlineStr">
        <is>
          <t>20.2%</t>
        </is>
      </c>
    </row>
    <row r="5" ht="60" customHeight="1">
      <c r="A5" s="7" t="inlineStr">
        <is>
          <t>Note: No Pillar 3 / UK KM1 report was published for FY2021 (the earliest found on Handelsbanken plc's own site is 2022). FY2021 figures instead come from the 'Capital adequacy ratios'/'Capital resources' sections of the FY2021 Annual Report (https://www.handelsbanken.co.uk/tron/gbpu/info/contents/v1/document/52-141596), which pre-date the Group/Bank split noted on the Cash Flow Statement sheet - treat FY2021 as the entity's own (Bank=Group) basis at that time, not a formal KM1 disclosure.</t>
        </is>
      </c>
    </row>
    <row r="7" ht="100" customHeight="1">
      <c r="A7" s="8" t="inlineStr">
        <is>
          <t>Sources - Handelsbanken plc UK Group consolidated basis (UK KM1 Key metrics template):
Risk and Capital Information according to Pillar 3 - 2025, p.8-9 - https://www.handelsbanken.co.uk/tron/gbpu/info/contents/v1/document/52-278302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Handelsbanken plc — Total Capital</t>
        </is>
      </c>
    </row>
    <row r="2">
      <c r="A2" s="2" t="inlineStr">
        <is>
          <t>UK Group consolidated basis, 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</t>
        </is>
      </c>
      <c r="B4" s="6" t="n">
        <v>2456</v>
      </c>
      <c r="C4" s="6" t="n">
        <v>2389</v>
      </c>
      <c r="D4" s="6" t="n">
        <v>2614</v>
      </c>
      <c r="E4" s="6" t="n">
        <v>2826</v>
      </c>
      <c r="F4" s="6" t="n">
        <v>2864</v>
      </c>
    </row>
    <row r="5" ht="60" customHeight="1">
      <c r="A5" s="7" t="inlineStr">
        <is>
          <t>Note: No Pillar 3 / UK KM1 report was published for FY2021 (the earliest found on Handelsbanken plc's own site is 2022). FY2021 figures instead come from the 'Capital adequacy ratios'/'Capital resources' sections of the FY2021 Annual Report (https://www.handelsbanken.co.uk/tron/gbpu/info/contents/v1/document/52-141596), which pre-date the Group/Bank split noted on the Cash Flow Statement sheet - treat FY2021 as the entity's own (Bank=Group) basis at that time, not a formal KM1 disclosure.</t>
        </is>
      </c>
    </row>
    <row r="7" ht="100" customHeight="1">
      <c r="A7" s="8" t="inlineStr">
        <is>
          <t>Sources - Handelsbanken plc UK Group consolidated basis (UK KM1 Key metrics template):
Risk and Capital Information according to Pillar 3 - 2025, p.8-9 - https://www.handelsbanken.co.uk/tron/gbpu/info/contents/v1/document/52-278302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Handelsbanken plc — Total Capital Ratio</t>
        </is>
      </c>
    </row>
    <row r="2">
      <c r="A2" s="2" t="inlineStr">
        <is>
          <t>UK Group consolidated basis, 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ratio</t>
        </is>
      </c>
      <c r="B4" s="6" t="inlineStr">
        <is>
          <t>20.0%</t>
        </is>
      </c>
      <c r="C4" s="6" t="inlineStr">
        <is>
          <t>20.6%</t>
        </is>
      </c>
      <c r="D4" s="6" t="inlineStr">
        <is>
          <t>23.6%</t>
        </is>
      </c>
      <c r="E4" s="6" t="inlineStr">
        <is>
          <t>24.8%</t>
        </is>
      </c>
      <c r="F4" s="6" t="inlineStr">
        <is>
          <t>23.5%</t>
        </is>
      </c>
    </row>
    <row r="5" ht="60" customHeight="1">
      <c r="A5" s="7" t="inlineStr">
        <is>
          <t>Note: No Pillar 3 / UK KM1 report was published for FY2021 (the earliest found on Handelsbanken plc's own site is 2022). FY2021 figures instead come from the 'Capital adequacy ratios'/'Capital resources' sections of the FY2021 Annual Report (https://www.handelsbanken.co.uk/tron/gbpu/info/contents/v1/document/52-141596), which pre-date the Group/Bank split noted on the Cash Flow Statement sheet - treat FY2021 as the entity's own (Bank=Group) basis at that time, not a formal KM1 disclosure.</t>
        </is>
      </c>
    </row>
    <row r="7" ht="100" customHeight="1">
      <c r="A7" s="8" t="inlineStr">
        <is>
          <t>Sources - Handelsbanken plc UK Group consolidated basis (UK KM1 Key metrics template):
Risk and Capital Information according to Pillar 3 - 2025, p.8-9 - https://www.handelsbanken.co.uk/tron/gbpu/info/contents/v1/document/52-278302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Handelsbanken plc — Total RWAs</t>
        </is>
      </c>
    </row>
    <row r="2">
      <c r="A2" s="2" t="inlineStr">
        <is>
          <t>UK Group consolidated basis, 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risk-weighted exposure amount</t>
        </is>
      </c>
      <c r="B4" s="6" t="n">
        <v>12309</v>
      </c>
      <c r="C4" s="6" t="n">
        <v>11605</v>
      </c>
      <c r="D4" s="6" t="n">
        <v>11066</v>
      </c>
      <c r="E4" s="6" t="n">
        <v>11404</v>
      </c>
      <c r="F4" s="6" t="n">
        <v>12176</v>
      </c>
    </row>
    <row r="5" ht="60" customHeight="1">
      <c r="A5" s="7" t="inlineStr">
        <is>
          <t>Note: No Pillar 3 / UK KM1 report was published for FY2021 (the earliest found on Handelsbanken plc's own site is 2022). FY2021 figures instead come from the 'Capital adequacy ratios'/'Capital resources' sections of the FY2021 Annual Report (https://www.handelsbanken.co.uk/tron/gbpu/info/contents/v1/document/52-141596), which pre-date the Group/Bank split noted on the Cash Flow Statement sheet - treat FY2021 as the entity's own (Bank=Group) basis at that time, not a formal KM1 disclosure.</t>
        </is>
      </c>
    </row>
    <row r="7" ht="100" customHeight="1">
      <c r="A7" s="8" t="inlineStr">
        <is>
          <t>Sources - Handelsbanken plc UK Group consolidated basis (UK KM1 Key metrics template):
Risk and Capital Information according to Pillar 3 - 2025, p.8-9 - https://www.handelsbanken.co.uk/tron/gbpu/info/contents/v1/document/52-278302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Handelsbanken plc — RWA Breakdown</t>
        </is>
      </c>
    </row>
    <row r="2">
      <c r="A2" s="2" t="inlineStr">
        <is>
          <t>Handelsbanken plc UK Group (consolidated basis), £m. See source note at bottom.</t>
        </is>
      </c>
    </row>
    <row r="3">
      <c r="A3" s="4" t="inlineStr">
        <is>
          <t>Line item</t>
        </is>
      </c>
      <c r="B3" s="4" t="inlineStr">
        <is>
          <t>FY2025 (£m)</t>
        </is>
      </c>
      <c r="C3" s="4" t="inlineStr">
        <is>
          <t>FY2024 (£m)</t>
        </is>
      </c>
      <c r="D3" s="4" t="inlineStr">
        <is>
          <t>FY2023 (£m)</t>
        </is>
      </c>
      <c r="E3" s="4" t="inlineStr">
        <is>
          <t>FY2022 (£m)</t>
        </is>
      </c>
      <c r="F3" s="4" t="inlineStr">
        <is>
          <t>FY2021 (£m)</t>
        </is>
      </c>
    </row>
    <row r="4">
      <c r="A4" s="5" t="inlineStr">
        <is>
          <t>Risk weighted exposure amounts (UK OV1)</t>
        </is>
      </c>
      <c r="B4" s="6" t="n"/>
      <c r="C4" s="6" t="n"/>
      <c r="D4" s="6" t="n"/>
      <c r="E4" s="6" t="n"/>
      <c r="F4" s="6" t="n"/>
    </row>
    <row r="5">
      <c r="A5" s="6" t="inlineStr">
        <is>
          <t>Credit risk (excluding CCR)</t>
        </is>
      </c>
      <c r="B5" s="6" t="n">
        <v>10634</v>
      </c>
      <c r="C5" s="6" t="n">
        <v>10184</v>
      </c>
      <c r="D5" s="6" t="n">
        <v>9940</v>
      </c>
      <c r="E5" s="6" t="n">
        <v>10364</v>
      </c>
      <c r="F5" s="6" t="n"/>
    </row>
    <row r="6">
      <c r="A6" s="6" t="inlineStr">
        <is>
          <t>Operational risk</t>
        </is>
      </c>
      <c r="B6" s="6" t="n">
        <v>1675</v>
      </c>
      <c r="C6" s="6" t="n">
        <v>1421</v>
      </c>
      <c r="D6" s="6" t="n">
        <v>1126</v>
      </c>
      <c r="E6" s="6" t="n">
        <v>1040</v>
      </c>
      <c r="F6" s="6" t="n"/>
    </row>
    <row r="7">
      <c r="A7" s="6" t="inlineStr">
        <is>
          <t>Amounts below thresholds for deduction (subject to 250% risk weight)</t>
        </is>
      </c>
      <c r="B7" s="6" t="n">
        <v>2</v>
      </c>
      <c r="C7" s="6" t="n">
        <v>2</v>
      </c>
      <c r="D7" s="6" t="n">
        <v>4</v>
      </c>
      <c r="E7" s="6" t="n">
        <v>10</v>
      </c>
      <c r="F7" s="6" t="n"/>
    </row>
    <row r="8">
      <c r="A8" s="5" t="inlineStr">
        <is>
          <t>Total RWA</t>
        </is>
      </c>
      <c r="B8" s="5" t="n">
        <v>12309</v>
      </c>
      <c r="C8" s="5" t="n">
        <v>11605</v>
      </c>
      <c r="D8" s="5" t="n">
        <v>11066</v>
      </c>
      <c r="E8" s="5" t="n">
        <v>11404</v>
      </c>
      <c r="F8" s="5" t="n"/>
    </row>
    <row r="10" ht="180" customHeight="1">
      <c r="A10" s="8" t="inlineStr">
        <is>
          <t>Sources - Handelsbanken plc UK Group, UK OV1 'Overview of risk weighted exposure amounts' table, £m:
FY2025 &amp; FY2024: Risk and Capital Information according to Pillar 3 - 2025, p.9 - https://www.handelsbanken.co.uk/tron/gbpu/info/contents/v1/document/52-278302
FY2023 &amp; FY2022: Pillar 3 Disclosure 2023, p.7 - https://www.handelsbanken.co.uk/tron/gbpu/info/contents/v1/document/52-223742
ENTITY NOTE: Handelsbanken plc (company number 11305395, FRN 806852) was incorporated 11 April 2018 as the UK-incorporated subsidiary that Handelsbanken's (Svenska Handelsbanken AB) UK business restructured into from a branch. Because of that youth, FY2021 (its third full year) is the earliest year for which the annual report distinguishes a consolidated 'UK Group' cash flow statement from the standalone parent-only 'Bank' one - the FY2021 Annual Report itself presents only a single, undifferentiated 'Cash Flow Statement' (i.e. Bank and Group were not yet reported separately). To keep this sheet on a consistent Group/consolidated basis throughout, FY2021 cash flow figures below are the Group-restated comparative column as re-presented in the FY2022 Annual Report (which differs modestly, line by line, from the FY2021 report's own originally-reported figures - net cash flow totals below are internally consistent with this restated basis).
No Pillar 3 / UK KM1 report was published for FY2021 (the earliest found on Handelsbanken plc's own site is 2022). FY2021 figures instead come from the 'Capital adequacy ratios'/'Capital resources' sections of the FY2021 Annual Report (https://www.handelsbanken.co.uk/tron/gbpu/info/contents/v1/document/52-141596), which pre-date the Group/Bank split noted on the Cash Flow Statement sheet - treat FY2021 as the entity's own (Bank=Group) basis at that time, not a formal KM1 disclosure. No RWA-by-category breakdown exists for FY2021 for the same reason - left blank rather than guessed. Totals reconcile exactly to the Total RWAs sheet in every year shown.</t>
        </is>
      </c>
    </row>
  </sheetData>
  <mergeCells count="1">
    <mergeCell ref="A10:F10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Handelsbanken plc — Leverage Ratio</t>
        </is>
      </c>
    </row>
    <row r="2">
      <c r="A2" s="2" t="inlineStr">
        <is>
          <t>UK Group consolidated basis, £m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exposure measure excluding claims on central banks</t>
        </is>
      </c>
      <c r="B4" s="6" t="n">
        <v>23011</v>
      </c>
      <c r="C4" s="6" t="n">
        <v>22473</v>
      </c>
      <c r="D4" s="6" t="n">
        <v>24356</v>
      </c>
      <c r="E4" s="6" t="n">
        <v>25680</v>
      </c>
      <c r="F4" s="6" t="n"/>
    </row>
    <row r="5">
      <c r="A5" s="6" t="inlineStr">
        <is>
          <t>Leverage ratio excluding claims on central banks (%)</t>
        </is>
      </c>
      <c r="B5" s="6" t="inlineStr">
        <is>
          <t>9.4%</t>
        </is>
      </c>
      <c r="C5" s="6" t="inlineStr">
        <is>
          <t>9.3%</t>
        </is>
      </c>
      <c r="D5" s="6" t="inlineStr">
        <is>
          <t>9.1%</t>
        </is>
      </c>
      <c r="E5" s="6" t="inlineStr">
        <is>
          <t>9.4%</t>
        </is>
      </c>
      <c r="F5" s="6" t="n"/>
    </row>
    <row r="6">
      <c r="A6" s="6" t="inlineStr">
        <is>
          <t>Leverage ratio - CRR2 total exposure basis, £m (FY2021 only, pre-KM1 methodology)</t>
        </is>
      </c>
      <c r="B6" s="6" t="n"/>
      <c r="C6" s="6" t="n"/>
      <c r="D6" s="6" t="n"/>
      <c r="E6" s="6" t="n"/>
      <c r="F6" s="6" t="n">
        <v>33635</v>
      </c>
    </row>
    <row r="7">
      <c r="A7" s="6" t="inlineStr">
        <is>
          <t>Leverage ratio - CRR2 basis (%) (FY2021 only, pre-KM1 methodology)</t>
        </is>
      </c>
      <c r="B7" s="6" t="n"/>
      <c r="C7" s="6" t="n"/>
      <c r="D7" s="6" t="n"/>
      <c r="E7" s="6" t="n"/>
      <c r="F7" s="6" t="inlineStr">
        <is>
          <t>7.3%</t>
        </is>
      </c>
    </row>
    <row r="8" ht="60" customHeight="1">
      <c r="A8" s="7" t="inlineStr">
        <is>
          <t>Note: No Pillar 3 / UK KM1 report was published for FY2021 (the earliest found on Handelsbanken plc's own site is 2022). FY2021 figures instead come from the 'Capital adequacy ratios'/'Capital resources' sections of the FY2021 Annual Report (https://www.handelsbanken.co.uk/tron/gbpu/info/contents/v1/document/52-141596), which pre-date the Group/Bank split noted on the Cash Flow Statement sheet - treat FY2021 as the entity's own (Bank=Group) basis at that time, not a formal KM1 disclosure. The UK Group is not in scope of the binding UK leverage ratio minimum requirement (below the size threshold) but the PRA expects a ratio above 3.25%, which it has maintained throughout. FY2021's figure uses a different, larger exposure measure (Tier 1 capital / total CRR2 exposure, including claims on central banks) than the 'excluding claims on central banks' KM1 basis used from FY2022 onward - the two are not directly comparable, hence the separate rows.</t>
        </is>
      </c>
    </row>
    <row r="10" ht="100" customHeight="1">
      <c r="A10" s="8" t="inlineStr">
        <is>
          <t>Sources - Handelsbanken plc UK Group consolidated basis (UK KM1 Key metrics template):
Risk and Capital Information according to Pillar 3 - 2025, p.8-9 - https://www.handelsbanken.co.uk/tron/gbpu/info/contents/v1/document/52-278302</t>
        </is>
      </c>
    </row>
  </sheetData>
  <mergeCells count="2">
    <mergeCell ref="A8:F8"/>
    <mergeCell ref="A10:F10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Handelsbanken plc — LCR</t>
        </is>
      </c>
    </row>
    <row r="2">
      <c r="A2" s="2" t="inlineStr">
        <is>
          <t>UK Group consolidated basis, £m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high-quality liquid assets (HQLA), weighted value (average)</t>
        </is>
      </c>
      <c r="B4" s="6" t="n">
        <v>8039</v>
      </c>
      <c r="C4" s="6" t="n">
        <v>8853</v>
      </c>
      <c r="D4" s="6" t="n">
        <v>7946</v>
      </c>
      <c r="E4" s="6" t="n">
        <v>7904</v>
      </c>
      <c r="F4" s="6" t="n"/>
    </row>
    <row r="5">
      <c r="A5" s="6" t="inlineStr">
        <is>
          <t>Total net cash outflows (adjusted value)</t>
        </is>
      </c>
      <c r="B5" s="6" t="n">
        <v>4572</v>
      </c>
      <c r="C5" s="6" t="n">
        <v>5400</v>
      </c>
      <c r="D5" s="6" t="n">
        <v>5220</v>
      </c>
      <c r="E5" s="6" t="n">
        <v>5377</v>
      </c>
      <c r="F5" s="6" t="n"/>
    </row>
    <row r="6">
      <c r="A6" s="6" t="inlineStr">
        <is>
          <t>Liquidity Coverage Ratio (%)</t>
        </is>
      </c>
      <c r="B6" s="6" t="inlineStr">
        <is>
          <t>180%</t>
        </is>
      </c>
      <c r="C6" s="6" t="inlineStr">
        <is>
          <t>165%</t>
        </is>
      </c>
      <c r="D6" s="6" t="inlineStr">
        <is>
          <t>153%</t>
        </is>
      </c>
      <c r="E6" s="6" t="inlineStr">
        <is>
          <t>147%</t>
        </is>
      </c>
      <c r="F6" s="6" t="inlineStr">
        <is>
          <t>Not disclosed (KM1 basis)</t>
        </is>
      </c>
    </row>
    <row r="7" ht="60" customHeight="1">
      <c r="A7" s="7" t="inlineStr">
        <is>
          <t>Note: No Pillar 3 / UK KM1 report was published for FY2021 (the earliest found on Handelsbanken plc's own site is 2022). FY2021 figures instead come from the 'Capital adequacy ratios'/'Capital resources' sections of the FY2021 Annual Report (https://www.handelsbanken.co.uk/tron/gbpu/info/contents/v1/document/52-141596), which pre-date the Group/Bank split noted on the Cash Flow Statement sheet - treat FY2021 as the entity's own (Bank=Group) basis at that time, not a formal KM1 disclosure. LCR is a 12-month average of month-end observations. The FY2023 and FY2024 Annual Reports separately quote a narrower, single-point 'as at year end' LCR narrative (147% and 180% respectively) that happens to coincide with the average-basis KM1 figures shown here for those two years, but the FY2022 narrative figure (147%) differs from an earlier average-basis disclosure; treat the KM1 table above as the primary source. The FY2021 Annual Report separately states a spot LCR of 475% at 31 December 2021 - not on the same (averaged, KM1) basis as the figures above, so not included as a comparable data point.</t>
        </is>
      </c>
    </row>
    <row r="9" ht="100" customHeight="1">
      <c r="A9" s="8" t="inlineStr">
        <is>
          <t>Sources - Handelsbanken plc UK Group consolidated basis (UK KM1 Key metrics template):
Risk and Capital Information according to Pillar 3 - 2025, p.8-9 - https://www.handelsbanken.co.uk/tron/gbpu/info/contents/v1/document/52-278302</t>
        </is>
      </c>
    </row>
  </sheetData>
  <mergeCells count="2">
    <mergeCell ref="A7:F7"/>
    <mergeCell ref="A9:F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Handelsbanken plc — NSFR</t>
        </is>
      </c>
    </row>
    <row r="2">
      <c r="A2" s="2" t="inlineStr">
        <is>
          <t>UK Group consolidated basis, £m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available stable funding</t>
        </is>
      </c>
      <c r="B4" s="6" t="n">
        <v>19047</v>
      </c>
      <c r="C4" s="6" t="n">
        <v>19210</v>
      </c>
      <c r="D4" s="6" t="n">
        <v>19525</v>
      </c>
      <c r="E4" s="6" t="n">
        <v>20678</v>
      </c>
      <c r="F4" s="6" t="n"/>
    </row>
    <row r="5">
      <c r="A5" s="6" t="inlineStr">
        <is>
          <t>Total required stable funding</t>
        </is>
      </c>
      <c r="B5" s="6" t="n">
        <v>14676</v>
      </c>
      <c r="C5" s="6" t="n">
        <v>14166</v>
      </c>
      <c r="D5" s="6" t="n">
        <v>14950</v>
      </c>
      <c r="E5" s="6" t="n">
        <v>15953</v>
      </c>
      <c r="F5" s="6" t="n"/>
    </row>
    <row r="6">
      <c r="A6" s="6" t="inlineStr">
        <is>
          <t>NSFR ratio (%)</t>
        </is>
      </c>
      <c r="B6" s="6" t="inlineStr">
        <is>
          <t>130%</t>
        </is>
      </c>
      <c r="C6" s="6" t="inlineStr">
        <is>
          <t>136%</t>
        </is>
      </c>
      <c r="D6" s="6" t="inlineStr">
        <is>
          <t>131%</t>
        </is>
      </c>
      <c r="E6" s="6" t="inlineStr">
        <is>
          <t>130%</t>
        </is>
      </c>
      <c r="F6" s="6" t="inlineStr">
        <is>
          <t>Not disclosed</t>
        </is>
      </c>
    </row>
    <row r="7" ht="60" customHeight="1">
      <c r="A7" s="7" t="inlineStr">
        <is>
          <t>Note: No Pillar 3 / UK KM1 report was published for FY2021 (the earliest found on Handelsbanken plc's own site is 2022). FY2021 figures instead come from the 'Capital adequacy ratios'/'Capital resources' sections of the FY2021 Annual Report (https://www.handelsbanken.co.uk/tron/gbpu/info/contents/v1/document/52-141596), which pre-date the Group/Bank split noted on the Cash Flow Statement sheet - treat FY2021 as the entity's own (Bank=Group) basis at that time, not a formal KM1 disclosure.</t>
        </is>
      </c>
    </row>
    <row r="9" ht="100" customHeight="1">
      <c r="A9" s="8" t="inlineStr">
        <is>
          <t>Sources - Handelsbanken plc UK Group consolidated basis (UK KM1 Key metrics template):
Risk and Capital Information according to Pillar 3 - 2025, p.8-9 - https://www.handelsbanken.co.uk/tron/gbpu/info/contents/v1/document/52-278302</t>
        </is>
      </c>
    </row>
  </sheetData>
  <mergeCells count="2">
    <mergeCell ref="A7:F7"/>
    <mergeCell ref="A9:F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Handelsbanken plc — MREL Ratio</t>
        </is>
      </c>
    </row>
    <row r="2">
      <c r="A2" s="2" t="inlineStr">
        <is>
          <t>UK Group consolidated basis, £m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MREL-eligible senior non-preferred debt issued</t>
        </is>
      </c>
      <c r="B4" s="6" t="n">
        <v>450</v>
      </c>
      <c r="C4" s="6" t="n">
        <v>200</v>
      </c>
      <c r="D4" s="6" t="n">
        <v>50</v>
      </c>
      <c r="E4" s="6" t="n">
        <v>150</v>
      </c>
      <c r="F4" s="6" t="n">
        <v>200</v>
      </c>
    </row>
    <row r="5">
      <c r="A5" s="6" t="inlineStr">
        <is>
          <t>Total capital resources (Total capital, see Total Capital sheet)</t>
        </is>
      </c>
      <c r="B5" s="6" t="n">
        <v>2456</v>
      </c>
      <c r="C5" s="6" t="n">
        <v>2389</v>
      </c>
      <c r="D5" s="6" t="n">
        <v>2614</v>
      </c>
      <c r="E5" s="6" t="n">
        <v>2826</v>
      </c>
      <c r="F5" s="6" t="n">
        <v>2864</v>
      </c>
    </row>
    <row r="6">
      <c r="A6" s="6" t="inlineStr">
        <is>
          <t>Total MREL ratio (% of RWA)</t>
        </is>
      </c>
      <c r="B6" s="6" t="inlineStr">
        <is>
          <t>23.6%</t>
        </is>
      </c>
      <c r="C6" s="6" t="n"/>
      <c r="D6" s="6" t="n"/>
      <c r="E6" s="6" t="n"/>
      <c r="F6" s="6" t="n"/>
    </row>
    <row r="7" ht="60" customHeight="1">
      <c r="A7" s="7" t="inlineStr">
        <is>
          <t>Note: Handelsbanken plc, as a material subsidiary of a foreign-owned group, is subject to MREL (21.2% of RWA as at FY2025, reduced by any applicable Bank of England scalar; the end-state 21.6%-of-RWA requirement took effect 1 January 2023, following an 18%-of-RWA interim requirement from 1 January 2020). No Pillar 3/KM1-format numeric MREL resources or ratio was found for any year except FY2025, where the Annual Report directly states a combined 'total capital and MREL ratio of 23.6% of RWA' (£450m MREL-eligible debt plus £2,456m of capital resources). Other years' ratio cells are left blank rather than computed by us from the two rows above, since the Bank did not itself state a ratio for those years (a reader can derive an approximate figure from the two rows shown, but we have not presented it as a disclosed fact).</t>
        </is>
      </c>
    </row>
    <row r="9" ht="100" customHeight="1">
      <c r="A9" s="8" t="inlineStr">
        <is>
          <t>Sources - Handelsbanken plc UK Group, Risk and Capital Management section of each Annual Report:
FY2025: Annual Report 2025, p.67 - https://www.handelsbanken.co.uk/tron/gbpu/info/contents/v1/document/52-278301
FY2024: Annual Report 2024, p.65 - https://www.handelsbanken.co.uk/tron/gbpu/info/contents/v1/document/52-265184
FY2023: Annual Report 2023, p.70 - https://www.handelsbanken.co.uk/tron/gbpu/info/contents/v1/document/52-223741
FY2022: Annual Report 2022, p.79 - https://www.handelsbanken.co.uk/tron/gbpu/info/contents/v1/document/52-175531
FY2021: Annual Report 2021, p.63 - https://www.handelsbanken.co.uk/tron/gbpu/info/contents/v1/document/52-141596</t>
        </is>
      </c>
    </row>
  </sheetData>
  <mergeCells count="2">
    <mergeCell ref="A7:F7"/>
    <mergeCell ref="A9:F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2026-09-03T09:34:59Z</dcterms:created>
  <dcterms:modified xmlns:dcterms="http://purl.org/dc/terms/" xmlns:xsi="http://www.w3.org/2001/XMLSchema-instance" xsi:type="dcterms:W3CDTF">2026-09-03T09:34:59Z</dcterms:modified>
</cp:coreProperties>
</file>