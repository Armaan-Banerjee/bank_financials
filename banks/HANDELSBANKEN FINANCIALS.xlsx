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03D6B"/>
        <bgColor rgb="00003D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Handelsbanken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Handelsbanken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Handelsbanken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-819277</v>
      </c>
      <c r="C6" s="5" t="n">
        <v>836309</v>
      </c>
      <c r="D6" s="5" t="n">
        <v>1215640</v>
      </c>
      <c r="E6" s="5" t="n">
        <v>-351346</v>
      </c>
      <c r="F6" s="5" t="n">
        <v>-670515</v>
      </c>
      <c r="I6" t="inlineStr">
        <is>
          <t>Net cash from/(used in) operating activities</t>
        </is>
      </c>
      <c r="J6" t="n">
        <v>-670515</v>
      </c>
      <c r="K6" t="n">
        <v>-351346</v>
      </c>
      <c r="L6" t="n">
        <v>1215640</v>
      </c>
      <c r="M6" t="n">
        <v>836309</v>
      </c>
      <c r="N6" t="n">
        <v>-819277</v>
      </c>
      <c r="Q6" t="inlineStr">
        <is>
          <t>CET1 Ratio</t>
        </is>
      </c>
      <c r="R6" t="n">
        <v>20.2</v>
      </c>
      <c r="S6" t="n">
        <v>21.3</v>
      </c>
      <c r="T6" t="n">
        <v>20</v>
      </c>
      <c r="U6" t="n">
        <v>18</v>
      </c>
      <c r="V6" t="n">
        <v>17.5</v>
      </c>
    </row>
    <row r="7">
      <c r="A7" s="5" t="inlineStr">
        <is>
          <t>Net cash from/(used in) investing activities</t>
        </is>
      </c>
      <c r="B7" s="5" t="n">
        <v>-19811</v>
      </c>
      <c r="C7" s="5" t="n">
        <v>-18114</v>
      </c>
      <c r="D7" s="5" t="n">
        <v>-17972</v>
      </c>
      <c r="E7" s="5" t="n">
        <v>-9170</v>
      </c>
      <c r="F7" s="5" t="n">
        <v>-5725</v>
      </c>
      <c r="I7" t="inlineStr">
        <is>
          <t>Net cash from/(used in) investing activities</t>
        </is>
      </c>
      <c r="J7" t="n">
        <v>-5725</v>
      </c>
      <c r="K7" t="n">
        <v>-9170</v>
      </c>
      <c r="L7" t="n">
        <v>-17972</v>
      </c>
      <c r="M7" t="n">
        <v>-18114</v>
      </c>
      <c r="N7" t="n">
        <v>-19811</v>
      </c>
      <c r="Q7" t="inlineStr">
        <is>
          <t>Tier 1 Ratio</t>
        </is>
      </c>
      <c r="R7" t="n">
        <v>20.2</v>
      </c>
      <c r="S7" t="n">
        <v>21.3</v>
      </c>
      <c r="T7" t="n">
        <v>20</v>
      </c>
      <c r="U7" t="n">
        <v>18</v>
      </c>
      <c r="V7" t="n">
        <v>17.5</v>
      </c>
    </row>
    <row r="8">
      <c r="A8" s="5" t="inlineStr">
        <is>
          <t>Net cash from/(used in) financing activities</t>
        </is>
      </c>
      <c r="B8" s="5" t="n">
        <v>-496588</v>
      </c>
      <c r="C8" s="5" t="n">
        <v>-637225</v>
      </c>
      <c r="D8" s="5" t="n">
        <v>-277940</v>
      </c>
      <c r="E8" s="5" t="n">
        <v>-12141</v>
      </c>
      <c r="F8" s="5" t="n">
        <v>-13551</v>
      </c>
      <c r="I8" t="inlineStr">
        <is>
          <t>Net cash from/(used in) financing activities</t>
        </is>
      </c>
      <c r="J8" t="n">
        <v>-13551</v>
      </c>
      <c r="K8" t="n">
        <v>-12141</v>
      </c>
      <c r="L8" t="n">
        <v>-277940</v>
      </c>
      <c r="M8" t="n">
        <v>-637225</v>
      </c>
      <c r="N8" t="n">
        <v>-496588</v>
      </c>
      <c r="Q8" t="inlineStr">
        <is>
          <t>Total Capital Ratio</t>
        </is>
      </c>
      <c r="R8" t="n">
        <v>23.5</v>
      </c>
      <c r="S8" t="n">
        <v>24.8</v>
      </c>
      <c r="T8" t="n">
        <v>23.6</v>
      </c>
      <c r="U8" t="n">
        <v>20.6</v>
      </c>
      <c r="V8" t="n">
        <v>20</v>
      </c>
    </row>
    <row r="9">
      <c r="A9" s="5" t="inlineStr">
        <is>
          <t>Cash balance at end of year</t>
        </is>
      </c>
      <c r="B9" s="5" t="n">
        <v>7761527</v>
      </c>
      <c r="C9" s="5" t="n">
        <v>9097190</v>
      </c>
      <c r="D9" s="5" t="n">
        <v>8916214</v>
      </c>
      <c r="E9" s="5" t="n">
        <v>7996622</v>
      </c>
      <c r="F9" s="5" t="n">
        <v>8368955</v>
      </c>
      <c r="I9" t="inlineStr">
        <is>
          <t>Cash balance at end of year</t>
        </is>
      </c>
      <c r="J9" t="n">
        <v>8368955</v>
      </c>
      <c r="K9" t="n">
        <v>7996622</v>
      </c>
      <c r="L9" t="n">
        <v>8916214</v>
      </c>
      <c r="M9" t="n">
        <v>9097190</v>
      </c>
      <c r="N9" t="n">
        <v>7761527</v>
      </c>
      <c r="Q9" t="inlineStr">
        <is>
          <t>Leverage Ratio</t>
        </is>
      </c>
      <c r="R9" t="n">
        <v>7.3</v>
      </c>
      <c r="S9" t="n">
        <v>9.4</v>
      </c>
      <c r="T9" t="n">
        <v>9.1</v>
      </c>
      <c r="U9" t="n">
        <v>9.300000000000001</v>
      </c>
      <c r="V9" t="n">
        <v>9.4</v>
      </c>
    </row>
    <row r="10">
      <c r="Q10" t="inlineStr">
        <is>
          <t>LCR</t>
        </is>
      </c>
      <c r="S10" t="n">
        <v>147</v>
      </c>
      <c r="T10" t="n">
        <v>153</v>
      </c>
      <c r="U10" t="n">
        <v>165</v>
      </c>
      <c r="V10" t="n">
        <v>180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130</v>
      </c>
      <c r="T11" t="n">
        <v>131</v>
      </c>
      <c r="U11" t="n">
        <v>136</v>
      </c>
      <c r="V11" t="n">
        <v>130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17.5%</t>
        </is>
      </c>
      <c r="C13" s="6" t="inlineStr">
        <is>
          <t>18.0%</t>
        </is>
      </c>
      <c r="D13" s="6" t="inlineStr">
        <is>
          <t>20.0%</t>
        </is>
      </c>
      <c r="E13" s="6" t="inlineStr">
        <is>
          <t>21.3%</t>
        </is>
      </c>
      <c r="F13" s="6" t="inlineStr">
        <is>
          <t>20.2%</t>
        </is>
      </c>
    </row>
    <row r="14">
      <c r="A14" s="6" t="inlineStr">
        <is>
          <t>Tier 1 Ratio</t>
        </is>
      </c>
      <c r="B14" s="6" t="inlineStr">
        <is>
          <t>17.5%</t>
        </is>
      </c>
      <c r="C14" s="6" t="inlineStr">
        <is>
          <t>18.0%</t>
        </is>
      </c>
      <c r="D14" s="6" t="inlineStr">
        <is>
          <t>20.0%</t>
        </is>
      </c>
      <c r="E14" s="6" t="inlineStr">
        <is>
          <t>21.3%</t>
        </is>
      </c>
      <c r="F14" s="6" t="inlineStr">
        <is>
          <t>20.2%</t>
        </is>
      </c>
    </row>
    <row r="15">
      <c r="A15" s="6" t="inlineStr">
        <is>
          <t>Total Capital Ratio</t>
        </is>
      </c>
      <c r="B15" s="6" t="inlineStr">
        <is>
          <t>20.0%</t>
        </is>
      </c>
      <c r="C15" s="6" t="inlineStr">
        <is>
          <t>20.6%</t>
        </is>
      </c>
      <c r="D15" s="6" t="inlineStr">
        <is>
          <t>23.6%</t>
        </is>
      </c>
      <c r="E15" s="6" t="inlineStr">
        <is>
          <t>24.8%</t>
        </is>
      </c>
      <c r="F15" s="6" t="inlineStr">
        <is>
          <t>23.5%</t>
        </is>
      </c>
    </row>
    <row r="16">
      <c r="A16" s="6" t="inlineStr">
        <is>
          <t>Leverage Ratio</t>
        </is>
      </c>
      <c r="B16" s="6" t="inlineStr">
        <is>
          <t>9.4%</t>
        </is>
      </c>
      <c r="C16" s="6" t="inlineStr">
        <is>
          <t>9.3%</t>
        </is>
      </c>
      <c r="D16" s="6" t="inlineStr">
        <is>
          <t>9.1%</t>
        </is>
      </c>
      <c r="E16" s="6" t="inlineStr">
        <is>
          <t>9.4%</t>
        </is>
      </c>
      <c r="F16" s="6" t="inlineStr">
        <is>
          <t>7.3%</t>
        </is>
      </c>
    </row>
    <row r="17">
      <c r="A17" s="6" t="inlineStr">
        <is>
          <t>LCR</t>
        </is>
      </c>
      <c r="B17" s="6" t="inlineStr">
        <is>
          <t>180%</t>
        </is>
      </c>
      <c r="C17" s="6" t="inlineStr">
        <is>
          <t>165%</t>
        </is>
      </c>
      <c r="D17" s="6" t="inlineStr">
        <is>
          <t>153%</t>
        </is>
      </c>
      <c r="E17" s="6" t="inlineStr">
        <is>
          <t>147%</t>
        </is>
      </c>
      <c r="F17" s="6" t="n"/>
    </row>
    <row r="18">
      <c r="A18" s="6" t="inlineStr">
        <is>
          <t>NSFR</t>
        </is>
      </c>
      <c r="B18" s="6" t="inlineStr">
        <is>
          <t>130%</t>
        </is>
      </c>
      <c r="C18" s="6" t="inlineStr">
        <is>
          <t>136%</t>
        </is>
      </c>
      <c r="D18" s="6" t="inlineStr">
        <is>
          <t>131%</t>
        </is>
      </c>
      <c r="E18" s="6" t="inlineStr">
        <is>
          <t>130%</t>
        </is>
      </c>
      <c r="F18" s="6" t="n"/>
    </row>
    <row r="20" ht="45" customHeight="1">
      <c r="A20" s="7" t="inlineStr">
        <is>
          <t>Note: Figures are duplicated from the detail sheets for at-a-glance trend viewing; see each sheet's own source citation for the underlying document/page. Handelsbanken plc is a young UK-incorporated entity (2018) - FY2021 pre-dates its Group/Bank consolidated-reporting split and its first formal Pillar 3/KM1 disclosure (first published for FY2022), so FY2021's leverage ratio uses a different, non-comparable methodology (see Leverage Ratio sheet) and has no LCR/NSFR figure at all.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Consolidated Cash Flow Statement</t>
        </is>
      </c>
    </row>
    <row r="2">
      <c r="A2" s="2" t="inlineStr">
        <is>
          <t>Handelsbanken plc UK Group (consolidated basis), £'000 unless stated.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421832</v>
      </c>
      <c r="C5" s="6" t="n">
        <v>498022</v>
      </c>
      <c r="D5" s="6" t="n">
        <v>574764</v>
      </c>
      <c r="E5" s="6" t="n">
        <v>343916</v>
      </c>
      <c r="F5" s="6" t="n">
        <v>135366</v>
      </c>
    </row>
    <row r="6">
      <c r="A6" s="6" t="inlineStr">
        <is>
          <t>Net credit (gains)/losses</t>
        </is>
      </c>
      <c r="B6" s="6" t="n">
        <v>-7162</v>
      </c>
      <c r="C6" s="6" t="n">
        <v>-10164</v>
      </c>
      <c r="D6" s="6" t="n">
        <v>3788</v>
      </c>
      <c r="E6" s="6" t="n">
        <v>4415</v>
      </c>
      <c r="F6" s="6" t="n">
        <v>-7945</v>
      </c>
    </row>
    <row r="7">
      <c r="A7" s="6" t="inlineStr">
        <is>
          <t>Net losses/(gains) on disposal of property, equipment and intangible assets</t>
        </is>
      </c>
      <c r="B7" s="6" t="n">
        <v>101</v>
      </c>
      <c r="C7" s="6" t="n">
        <v>13</v>
      </c>
      <c r="D7" s="6" t="n">
        <v>65</v>
      </c>
      <c r="E7" s="6" t="n">
        <v>-818</v>
      </c>
      <c r="F7" s="6" t="n">
        <v>-775</v>
      </c>
    </row>
    <row r="8">
      <c r="A8" s="6" t="inlineStr">
        <is>
          <t>Depreciation, amortisation and impairment</t>
        </is>
      </c>
      <c r="B8" s="6" t="n">
        <v>36386</v>
      </c>
      <c r="C8" s="6" t="n">
        <v>28159</v>
      </c>
      <c r="D8" s="6" t="n">
        <v>25129</v>
      </c>
      <c r="E8" s="6" t="n">
        <v>23420</v>
      </c>
      <c r="F8" s="6" t="n">
        <v>32815</v>
      </c>
    </row>
    <row r="9">
      <c r="A9" s="6" t="inlineStr">
        <is>
          <t>Lease liability interest expense</t>
        </is>
      </c>
      <c r="B9" s="6" t="n">
        <v>3222</v>
      </c>
      <c r="C9" s="6" t="n">
        <v>1734</v>
      </c>
      <c r="D9" s="6" t="n">
        <v>1535</v>
      </c>
      <c r="E9" s="6" t="n">
        <v>1328</v>
      </c>
      <c r="F9" s="6" t="n">
        <v>1555</v>
      </c>
    </row>
    <row r="10">
      <c r="A10" s="6" t="inlineStr">
        <is>
          <t>Acquisition of right of use asset</t>
        </is>
      </c>
      <c r="B10" s="6" t="n">
        <v>-40681</v>
      </c>
      <c r="C10" s="6" t="n">
        <v>-8854</v>
      </c>
      <c r="D10" s="6" t="n">
        <v>-8866</v>
      </c>
      <c r="E10" s="6" t="n">
        <v>-7388</v>
      </c>
      <c r="F10" s="6" t="n">
        <v>-3100</v>
      </c>
    </row>
    <row r="11">
      <c r="A11" s="6" t="inlineStr">
        <is>
          <t>Provisions</t>
        </is>
      </c>
      <c r="B11" s="6" t="n">
        <v>-75</v>
      </c>
      <c r="C11" s="6" t="n">
        <v>-2381</v>
      </c>
      <c r="D11" s="6" t="n">
        <v>-6112</v>
      </c>
      <c r="E11" s="6" t="n">
        <v>4654</v>
      </c>
      <c r="F11" s="6" t="n">
        <v>3526</v>
      </c>
    </row>
    <row r="12">
      <c r="A12" s="6" t="inlineStr">
        <is>
          <t>Other loans to central banks</t>
        </is>
      </c>
      <c r="B12" s="6" t="n"/>
      <c r="C12" s="6" t="n">
        <v>88371</v>
      </c>
      <c r="D12" s="6" t="n">
        <v>11529</v>
      </c>
      <c r="E12" s="6" t="n">
        <v>2879</v>
      </c>
      <c r="F12" s="6" t="n">
        <v>-4386</v>
      </c>
    </row>
    <row r="13">
      <c r="A13" s="6" t="inlineStr">
        <is>
          <t>Loans to other credit institutions</t>
        </is>
      </c>
      <c r="B13" s="6" t="n">
        <v>87866</v>
      </c>
      <c r="C13" s="6" t="n">
        <v>1634611</v>
      </c>
      <c r="D13" s="6" t="n">
        <v>289812</v>
      </c>
      <c r="E13" s="6" t="n">
        <v>-1598199</v>
      </c>
      <c r="F13" s="6" t="n">
        <v>-241068</v>
      </c>
    </row>
    <row r="14">
      <c r="A14" s="6" t="inlineStr">
        <is>
          <t>Loans to the public</t>
        </is>
      </c>
      <c r="B14" s="6" t="n">
        <v>-580612</v>
      </c>
      <c r="C14" s="6" t="n">
        <v>207791</v>
      </c>
      <c r="D14" s="6" t="n">
        <v>1000930</v>
      </c>
      <c r="E14" s="6" t="n">
        <v>1144359</v>
      </c>
      <c r="F14" s="6" t="n">
        <v>688529</v>
      </c>
    </row>
    <row r="15">
      <c r="A15" s="6" t="inlineStr">
        <is>
          <t>Due to credit institutions</t>
        </is>
      </c>
      <c r="B15" s="6" t="n">
        <v>-964086</v>
      </c>
      <c r="C15" s="6" t="n">
        <v>-1907801</v>
      </c>
      <c r="D15" s="6" t="n">
        <v>-352481</v>
      </c>
      <c r="E15" s="6" t="n">
        <v>-636336</v>
      </c>
      <c r="F15" s="6" t="n">
        <v>-1358541</v>
      </c>
    </row>
    <row r="16">
      <c r="A16" s="6" t="inlineStr">
        <is>
          <t>Deposits from the public</t>
        </is>
      </c>
      <c r="B16" s="6" t="n">
        <v>587411</v>
      </c>
      <c r="C16" s="6" t="n">
        <v>521089</v>
      </c>
      <c r="D16" s="6" t="n">
        <v>-127216</v>
      </c>
      <c r="E16" s="6" t="n">
        <v>1284768</v>
      </c>
      <c r="F16" s="6" t="n">
        <v>122809</v>
      </c>
    </row>
    <row r="17">
      <c r="A17" s="6" t="inlineStr">
        <is>
          <t>Issued securities</t>
        </is>
      </c>
      <c r="B17" s="6" t="n">
        <v>-383229</v>
      </c>
      <c r="C17" s="6" t="n">
        <v>1568</v>
      </c>
      <c r="D17" s="6" t="n">
        <v>-55354</v>
      </c>
      <c r="E17" s="6" t="n">
        <v>-786756</v>
      </c>
      <c r="F17" s="6" t="n">
        <v>-3147</v>
      </c>
    </row>
    <row r="18">
      <c r="A18" s="6" t="inlineStr">
        <is>
          <t>Lease liabilities (change)</t>
        </is>
      </c>
      <c r="B18" s="6" t="n">
        <v>38681</v>
      </c>
      <c r="C18" s="6" t="n">
        <v>9469</v>
      </c>
      <c r="D18" s="6" t="n">
        <v>7327</v>
      </c>
      <c r="E18" s="6" t="n">
        <v>4549</v>
      </c>
      <c r="F18" s="6" t="n">
        <v>2589</v>
      </c>
    </row>
    <row r="19">
      <c r="A19" s="6" t="inlineStr">
        <is>
          <t>Income tax paid</t>
        </is>
      </c>
      <c r="B19" s="6" t="n">
        <v>-119110</v>
      </c>
      <c r="C19" s="6" t="n">
        <v>-140399</v>
      </c>
      <c r="D19" s="6" t="n">
        <v>-161747</v>
      </c>
      <c r="E19" s="6" t="n">
        <v>-90301</v>
      </c>
      <c r="F19" s="6" t="n">
        <v>-32713</v>
      </c>
    </row>
    <row r="20">
      <c r="A20" s="6" t="inlineStr">
        <is>
          <t>Other assets</t>
        </is>
      </c>
      <c r="B20" s="6" t="n">
        <v>91100</v>
      </c>
      <c r="C20" s="6" t="n">
        <v>-89575</v>
      </c>
      <c r="D20" s="6" t="n">
        <v>25690</v>
      </c>
      <c r="E20" s="6" t="n">
        <v>-25292</v>
      </c>
      <c r="F20" s="6" t="n">
        <v>5058</v>
      </c>
    </row>
    <row r="21">
      <c r="A21" s="6" t="inlineStr">
        <is>
          <t>Prepaid expenses and accrued income</t>
        </is>
      </c>
      <c r="B21" s="6" t="n">
        <v>-28</v>
      </c>
      <c r="C21" s="6" t="n">
        <v>-2256</v>
      </c>
      <c r="D21" s="6" t="n">
        <v>-2198</v>
      </c>
      <c r="E21" s="6" t="n">
        <v>-75</v>
      </c>
      <c r="F21" s="6" t="n">
        <v>-1632</v>
      </c>
    </row>
    <row r="22">
      <c r="A22" s="6" t="inlineStr">
        <is>
          <t>Other liabilities</t>
        </is>
      </c>
      <c r="B22" s="6" t="n">
        <v>4528</v>
      </c>
      <c r="C22" s="6" t="n">
        <v>658</v>
      </c>
      <c r="D22" s="6" t="n">
        <v>-1424</v>
      </c>
      <c r="E22" s="6" t="n">
        <v>-3036</v>
      </c>
      <c r="F22" s="6" t="n">
        <v>-711</v>
      </c>
    </row>
    <row r="23">
      <c r="A23" s="6" t="inlineStr">
        <is>
          <t>Accrued expenses and deferred income</t>
        </is>
      </c>
      <c r="B23" s="6" t="n">
        <v>695</v>
      </c>
      <c r="C23" s="6" t="n">
        <v>-1614</v>
      </c>
      <c r="D23" s="6" t="n">
        <v>1097</v>
      </c>
      <c r="E23" s="6" t="n">
        <v>-3233</v>
      </c>
      <c r="F23" s="6" t="n">
        <v>-5470</v>
      </c>
    </row>
    <row r="24">
      <c r="A24" s="6" t="inlineStr">
        <is>
          <t>Accrued interest</t>
        </is>
      </c>
      <c r="B24" s="6" t="n">
        <v>3884</v>
      </c>
      <c r="C24" s="6" t="n">
        <v>7868</v>
      </c>
      <c r="D24" s="6" t="n"/>
      <c r="E24" s="6" t="n"/>
      <c r="F24" s="6" t="n"/>
    </row>
    <row r="25">
      <c r="A25" s="6" t="inlineStr">
        <is>
          <t>Other operating items</t>
        </is>
      </c>
      <c r="B25" s="6" t="n"/>
      <c r="C25" s="6" t="n"/>
      <c r="D25" s="6" t="n"/>
      <c r="E25" s="6" t="n">
        <v>-11971</v>
      </c>
      <c r="F25" s="6" t="n">
        <v>-369</v>
      </c>
    </row>
    <row r="26">
      <c r="A26" s="5" t="inlineStr">
        <is>
          <t>Cash (outflow)/inflow from operating activities</t>
        </is>
      </c>
      <c r="B26" s="5" t="n">
        <v>-819277</v>
      </c>
      <c r="C26" s="5" t="n">
        <v>836309</v>
      </c>
      <c r="D26" s="5" t="n">
        <v>1215640</v>
      </c>
      <c r="E26" s="5" t="n">
        <v>-351346</v>
      </c>
      <c r="F26" s="5" t="n">
        <v>-670515</v>
      </c>
    </row>
    <row r="27">
      <c r="A27" s="5" t="inlineStr">
        <is>
          <t>Investing activities</t>
        </is>
      </c>
      <c r="B27" s="6" t="n"/>
      <c r="C27" s="6" t="n"/>
      <c r="D27" s="6" t="n"/>
      <c r="E27" s="6" t="n"/>
      <c r="F27" s="6" t="n"/>
    </row>
    <row r="28">
      <c r="A28" s="6" t="inlineStr">
        <is>
          <t>Assets held for sale</t>
        </is>
      </c>
      <c r="B28" s="6" t="n"/>
      <c r="C28" s="6" t="n"/>
      <c r="D28" s="6" t="n"/>
      <c r="E28" s="6" t="n">
        <v>963</v>
      </c>
      <c r="F28" s="6" t="n">
        <v>65</v>
      </c>
    </row>
    <row r="29">
      <c r="A29" s="6" t="inlineStr">
        <is>
          <t>Acquisitions of property and equipment</t>
        </is>
      </c>
      <c r="B29" s="6" t="n">
        <v>-14385</v>
      </c>
      <c r="C29" s="6" t="n">
        <v>-7728</v>
      </c>
      <c r="D29" s="6" t="n">
        <v>-7000</v>
      </c>
      <c r="E29" s="6" t="n">
        <v>-4714</v>
      </c>
      <c r="F29" s="6" t="n">
        <v>-3323</v>
      </c>
    </row>
    <row r="30">
      <c r="A30" s="6" t="inlineStr">
        <is>
          <t>Disposal of property and equipment</t>
        </is>
      </c>
      <c r="B30" s="6" t="n">
        <v>100</v>
      </c>
      <c r="C30" s="6" t="n">
        <v>277</v>
      </c>
      <c r="D30" s="6" t="n">
        <v>166</v>
      </c>
      <c r="E30" s="6" t="n">
        <v>1216</v>
      </c>
      <c r="F30" s="6" t="n">
        <v>996</v>
      </c>
    </row>
    <row r="31">
      <c r="A31" s="6" t="inlineStr">
        <is>
          <t>Acquisitions/development of intangible assets</t>
        </is>
      </c>
      <c r="B31" s="6" t="n">
        <v>-5526</v>
      </c>
      <c r="C31" s="6" t="n">
        <v>-10663</v>
      </c>
      <c r="D31" s="6" t="n">
        <v>-11138</v>
      </c>
      <c r="E31" s="6" t="n">
        <v>-6635</v>
      </c>
      <c r="F31" s="6" t="n">
        <v>-3463</v>
      </c>
    </row>
    <row r="32">
      <c r="A32" s="5" t="inlineStr">
        <is>
          <t>Cash outflow from investing activities</t>
        </is>
      </c>
      <c r="B32" s="5" t="n">
        <v>-19811</v>
      </c>
      <c r="C32" s="5" t="n">
        <v>-18114</v>
      </c>
      <c r="D32" s="5" t="n">
        <v>-17972</v>
      </c>
      <c r="E32" s="5" t="n">
        <v>-9170</v>
      </c>
      <c r="F32" s="5" t="n">
        <v>-5725</v>
      </c>
    </row>
    <row r="33">
      <c r="A33" s="5" t="inlineStr">
        <is>
          <t>Financing activities</t>
        </is>
      </c>
      <c r="B33" s="6" t="n"/>
      <c r="C33" s="6" t="n"/>
      <c r="D33" s="6" t="n"/>
      <c r="E33" s="6" t="n"/>
      <c r="F33" s="6" t="n"/>
    </row>
    <row r="34">
      <c r="A34" s="6" t="inlineStr">
        <is>
          <t>Dividends paid to company's shareholders</t>
        </is>
      </c>
      <c r="B34" s="6" t="n">
        <v>-484687</v>
      </c>
      <c r="C34" s="6" t="n">
        <v>-625341</v>
      </c>
      <c r="D34" s="6" t="n">
        <v>-265516</v>
      </c>
      <c r="E34" s="6" t="n"/>
      <c r="F34" s="6" t="n"/>
    </row>
    <row r="35">
      <c r="A35" s="6" t="inlineStr">
        <is>
          <t>Payments made for lease liabilities</t>
        </is>
      </c>
      <c r="B35" s="6" t="n">
        <v>-11901</v>
      </c>
      <c r="C35" s="6" t="n">
        <v>-11884</v>
      </c>
      <c r="D35" s="6" t="n">
        <v>-12424</v>
      </c>
      <c r="E35" s="6" t="n">
        <v>-12141</v>
      </c>
      <c r="F35" s="6" t="n">
        <v>-13551</v>
      </c>
    </row>
    <row r="36">
      <c r="A36" s="5" t="inlineStr">
        <is>
          <t>Cash outflow from financing activities</t>
        </is>
      </c>
      <c r="B36" s="5" t="n">
        <v>-496588</v>
      </c>
      <c r="C36" s="5" t="n">
        <v>-637225</v>
      </c>
      <c r="D36" s="5" t="n">
        <v>-277940</v>
      </c>
      <c r="E36" s="5" t="n">
        <v>-12141</v>
      </c>
      <c r="F36" s="5" t="n">
        <v>-13551</v>
      </c>
    </row>
    <row r="37">
      <c r="A37" s="5" t="inlineStr">
        <is>
          <t>Cash (outflow)/inflow for the year</t>
        </is>
      </c>
      <c r="B37" s="5" t="n">
        <v>-1335676</v>
      </c>
      <c r="C37" s="5" t="n">
        <v>180970</v>
      </c>
      <c r="D37" s="5" t="n">
        <v>919728</v>
      </c>
      <c r="E37" s="5" t="n">
        <v>-372657</v>
      </c>
      <c r="F37" s="5" t="n">
        <v>-689791</v>
      </c>
    </row>
    <row r="38">
      <c r="A38" s="6" t="inlineStr">
        <is>
          <t>Cash balance at beginning of year</t>
        </is>
      </c>
      <c r="B38" s="6" t="n">
        <v>9097190</v>
      </c>
      <c r="C38" s="6" t="n">
        <v>8916214</v>
      </c>
      <c r="D38" s="6" t="n">
        <v>7996622</v>
      </c>
      <c r="E38" s="6" t="n">
        <v>8368955</v>
      </c>
      <c r="F38" s="6" t="n">
        <v>9058894</v>
      </c>
    </row>
    <row r="39">
      <c r="A39" s="6" t="inlineStr">
        <is>
          <t>Net foreign exchange differences</t>
        </is>
      </c>
      <c r="B39" s="6" t="n"/>
      <c r="C39" s="6" t="n">
        <v>6</v>
      </c>
      <c r="D39" s="6" t="n">
        <v>-136</v>
      </c>
      <c r="E39" s="6" t="n">
        <v>324</v>
      </c>
      <c r="F39" s="6" t="n">
        <v>-148</v>
      </c>
    </row>
    <row r="40">
      <c r="A40" s="5" t="inlineStr">
        <is>
          <t>Cash balance at end of year</t>
        </is>
      </c>
      <c r="B40" s="5" t="n">
        <v>7761527</v>
      </c>
      <c r="C40" s="5" t="n">
        <v>9097190</v>
      </c>
      <c r="D40" s="5" t="n">
        <v>8916214</v>
      </c>
      <c r="E40" s="5" t="n">
        <v>7996622</v>
      </c>
      <c r="F40" s="5" t="n">
        <v>8368955</v>
      </c>
    </row>
    <row r="42" ht="220" customHeight="1">
      <c r="A42" s="8" t="inlineStr">
        <is>
          <t>Sources - all figures are Handelsbanken plc UK Group consolidated cash flow statement, £'000:
FY2025 &amp; FY2024: Annual Report and Financial Statements 2025, p.83 (Consolidated cash flow statement, UK Group) - https://www.handelsbanken.co.uk/tron/gbpu/info/contents/v1/document/52-278301
FY2023: Annual Report 2023, p.87 (Cash flow statement, UK Group) - https://www.handelsbanken.co.uk/tron/gbpu/info/contents/v1/document/52-223741
FY2022: Annual Report 2022, p.90 (Consolidated cash flow statement, UK Group) - https://www.handelsbanken.co.uk/tron/gbpu/info/contents/v1/document/52-175531
FY2021: Annual Report 2022, p.90 (2021 comparative column, UK Group, restated) - https://www.handelsbanken.co.uk/tron/gbpu/info/contents/v1/document/52-175531
ENTITY NOTE: Handelsbanken plc (company number 11305395, FRN 806852) was incorporated 11 April 2018 as the UK-incorporated subsidiary that Handelsbanken's (Svenska Handelsbanken AB) UK business restructured into from a branch. Because of that youth, FY2021 (its third full year) is the earliest year for which the annual report distinguishes a consolidated 'UK Group' cash flow statement from the standalone parent-only 'Bank' one - the FY2021 Annual Report itself presents only a single, undifferentiated 'Cash Flow Statement' (i.e. Bank and Group were not yet reported separately). To keep this sheet on a consistent Group/consolidated basis throughout, FY2021 cash flow figures below are the Group-restated comparative column as re-presented in the FY2022 Annual Report (which differs modestly, line by line, from the FY2021 report's own originally-reported figures - net cash flow totals below are internally consistent with this restated basis).
PRESENTATION NOTE: line items shift modestly across vintages (e.g. 'Acquisition of right of use asset' moved from the Investing section in the FY2021 report to an Operating-activities adjustment from FY2022 onward; an 'Accrued interest' line appears only in the FY2025 report). Blank cells indicate that year's statement did not show that specific line. Operating/investing/financing subtotals and the net cash movement for the year are internally consistent and reconcile exactly in every year shown; the opening-plus-movement-plus-FX bridge to the closing cash balance is exact for FY2021-FY2024, and within an immaterial £13k rounding difference (on a balance of £7.76bn) for FY2025, as published.</t>
        </is>
      </c>
    </row>
  </sheetData>
  <mergeCells count="1">
    <mergeCell ref="A42:F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CET1 Capital</t>
        </is>
      </c>
    </row>
    <row r="2">
      <c r="A2" s="2" t="inlineStr">
        <is>
          <t>UK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2155</v>
      </c>
      <c r="C4" s="6" t="n">
        <v>2089</v>
      </c>
      <c r="D4" s="6" t="n">
        <v>2214</v>
      </c>
      <c r="E4" s="6" t="n">
        <v>2426</v>
      </c>
      <c r="F4" s="6" t="n">
        <v>2464</v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CET1 Ratio</t>
        </is>
      </c>
    </row>
    <row r="2">
      <c r="A2" s="2" t="inlineStr">
        <is>
          <t>UK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17.5%</t>
        </is>
      </c>
      <c r="C4" s="6" t="inlineStr">
        <is>
          <t>18.0%</t>
        </is>
      </c>
      <c r="D4" s="6" t="inlineStr">
        <is>
          <t>20.0%</t>
        </is>
      </c>
      <c r="E4" s="6" t="inlineStr">
        <is>
          <t>21.3%</t>
        </is>
      </c>
      <c r="F4" s="6" t="inlineStr">
        <is>
          <t>20.2%</t>
        </is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 FY2025/FY2023 ratios are shown after deduction of that year's recommended dividend (the Board's stated practice - e.g. the FY2025 dividend recommendation reduced the CET1 ratio from 19.5% to the 17.5% shown here).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Tier 1 Capital</t>
        </is>
      </c>
    </row>
    <row r="2">
      <c r="A2" s="2" t="inlineStr">
        <is>
          <t>UK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2155</v>
      </c>
      <c r="C4" s="6" t="n">
        <v>2089</v>
      </c>
      <c r="D4" s="6" t="n">
        <v>2214</v>
      </c>
      <c r="E4" s="6" t="n">
        <v>2426</v>
      </c>
      <c r="F4" s="6" t="n">
        <v>2464</v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 Equal to CET1 capital in every year shown - the Bank has not issued any Additional Tier 1 (AT1) capital.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Tier 1 Ratio</t>
        </is>
      </c>
    </row>
    <row r="2">
      <c r="A2" s="2" t="inlineStr">
        <is>
          <t>UK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17.5%</t>
        </is>
      </c>
      <c r="C4" s="6" t="inlineStr">
        <is>
          <t>18.0%</t>
        </is>
      </c>
      <c r="D4" s="6" t="inlineStr">
        <is>
          <t>20.0%</t>
        </is>
      </c>
      <c r="E4" s="6" t="inlineStr">
        <is>
          <t>21.3%</t>
        </is>
      </c>
      <c r="F4" s="6" t="inlineStr">
        <is>
          <t>20.2%</t>
        </is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Total Capital</t>
        </is>
      </c>
    </row>
    <row r="2">
      <c r="A2" s="2" t="inlineStr">
        <is>
          <t>UK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2456</v>
      </c>
      <c r="C4" s="6" t="n">
        <v>2389</v>
      </c>
      <c r="D4" s="6" t="n">
        <v>2614</v>
      </c>
      <c r="E4" s="6" t="n">
        <v>2826</v>
      </c>
      <c r="F4" s="6" t="n">
        <v>2864</v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Total Capital Ratio</t>
        </is>
      </c>
    </row>
    <row r="2">
      <c r="A2" s="2" t="inlineStr">
        <is>
          <t>UK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20.0%</t>
        </is>
      </c>
      <c r="C4" s="6" t="inlineStr">
        <is>
          <t>20.6%</t>
        </is>
      </c>
      <c r="D4" s="6" t="inlineStr">
        <is>
          <t>23.6%</t>
        </is>
      </c>
      <c r="E4" s="6" t="inlineStr">
        <is>
          <t>24.8%</t>
        </is>
      </c>
      <c r="F4" s="6" t="inlineStr">
        <is>
          <t>23.5%</t>
        </is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Total RWAs</t>
        </is>
      </c>
    </row>
    <row r="2">
      <c r="A2" s="2" t="inlineStr">
        <is>
          <t>UK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12309</v>
      </c>
      <c r="C4" s="6" t="n">
        <v>11605</v>
      </c>
      <c r="D4" s="6" t="n">
        <v>11066</v>
      </c>
      <c r="E4" s="6" t="n">
        <v>11404</v>
      </c>
      <c r="F4" s="6" t="n">
        <v>12176</v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Leverage Ratio</t>
        </is>
      </c>
    </row>
    <row r="2">
      <c r="A2" s="2" t="inlineStr">
        <is>
          <t>UK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</t>
        </is>
      </c>
      <c r="B4" s="6" t="n">
        <v>23011</v>
      </c>
      <c r="C4" s="6" t="n">
        <v>22473</v>
      </c>
      <c r="D4" s="6" t="n">
        <v>24356</v>
      </c>
      <c r="E4" s="6" t="n">
        <v>25680</v>
      </c>
      <c r="F4" s="6" t="n"/>
    </row>
    <row r="5">
      <c r="A5" s="6" t="inlineStr">
        <is>
          <t>Leverage ratio excluding claims on central banks (%)</t>
        </is>
      </c>
      <c r="B5" s="6" t="inlineStr">
        <is>
          <t>9.4%</t>
        </is>
      </c>
      <c r="C5" s="6" t="inlineStr">
        <is>
          <t>9.3%</t>
        </is>
      </c>
      <c r="D5" s="6" t="inlineStr">
        <is>
          <t>9.1%</t>
        </is>
      </c>
      <c r="E5" s="6" t="inlineStr">
        <is>
          <t>9.4%</t>
        </is>
      </c>
      <c r="F5" s="6" t="n"/>
    </row>
    <row r="6">
      <c r="A6" s="6" t="inlineStr">
        <is>
          <t>Leverage ratio - CRR2 total exposure basis, £m (FY2021 only, pre-KM1 methodology)</t>
        </is>
      </c>
      <c r="B6" s="6" t="n"/>
      <c r="C6" s="6" t="n"/>
      <c r="D6" s="6" t="n"/>
      <c r="E6" s="6" t="n"/>
      <c r="F6" s="6" t="n">
        <v>33635</v>
      </c>
    </row>
    <row r="7">
      <c r="A7" s="6" t="inlineStr">
        <is>
          <t>Leverage ratio - CRR2 basis (%) (FY2021 only, pre-KM1 methodology)</t>
        </is>
      </c>
      <c r="B7" s="6" t="n"/>
      <c r="C7" s="6" t="n"/>
      <c r="D7" s="6" t="n"/>
      <c r="E7" s="6" t="n"/>
      <c r="F7" s="6" t="inlineStr">
        <is>
          <t>7.3%</t>
        </is>
      </c>
    </row>
    <row r="8" ht="60" customHeight="1">
      <c r="A8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 The UK Group is not in scope of the binding UK leverage ratio minimum requirement (below the size threshold) but the PRA expects a ratio above 3.25%, which it has maintained throughout. FY2021's figure uses a different, larger exposure measure (Tier 1 capital / total CRR2 exposure, including claims on central banks) than the 'excluding claims on central banks' KM1 basis used from FY2022 onward - the two are not directly comparable, hence the separate rows.</t>
        </is>
      </c>
    </row>
    <row r="10" ht="100" customHeight="1">
      <c r="A10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8:F8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LCR</t>
        </is>
      </c>
    </row>
    <row r="2">
      <c r="A2" s="2" t="inlineStr">
        <is>
          <t>UK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(average)</t>
        </is>
      </c>
      <c r="B4" s="6" t="n">
        <v>8039</v>
      </c>
      <c r="C4" s="6" t="n">
        <v>8853</v>
      </c>
      <c r="D4" s="6" t="n">
        <v>7946</v>
      </c>
      <c r="E4" s="6" t="n">
        <v>7904</v>
      </c>
      <c r="F4" s="6" t="n"/>
    </row>
    <row r="5">
      <c r="A5" s="6" t="inlineStr">
        <is>
          <t>Total net cash outflows (adjusted value)</t>
        </is>
      </c>
      <c r="B5" s="6" t="n">
        <v>4572</v>
      </c>
      <c r="C5" s="6" t="n">
        <v>5400</v>
      </c>
      <c r="D5" s="6" t="n">
        <v>5220</v>
      </c>
      <c r="E5" s="6" t="n">
        <v>5377</v>
      </c>
      <c r="F5" s="6" t="n"/>
    </row>
    <row r="6">
      <c r="A6" s="6" t="inlineStr">
        <is>
          <t>Liquidity Coverage Ratio (%)</t>
        </is>
      </c>
      <c r="B6" s="6" t="inlineStr">
        <is>
          <t>180%</t>
        </is>
      </c>
      <c r="C6" s="6" t="inlineStr">
        <is>
          <t>165%</t>
        </is>
      </c>
      <c r="D6" s="6" t="inlineStr">
        <is>
          <t>153%</t>
        </is>
      </c>
      <c r="E6" s="6" t="inlineStr">
        <is>
          <t>147%</t>
        </is>
      </c>
      <c r="F6" s="6" t="inlineStr">
        <is>
          <t>Not disclosed (KM1 basis)</t>
        </is>
      </c>
    </row>
    <row r="7" ht="60" customHeight="1">
      <c r="A7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 LCR is a 12-month average of month-end observations. The FY2023 and FY2024 Annual Reports separately quote a narrower, single-point 'as at year end' LCR narrative (147% and 180% respectively) that happens to coincide with the average-basis KM1 figures shown here for those two years, but the FY2022 narrative figure (147%) differs from an earlier average-basis disclosure; treat the KM1 table above as the primary source. The FY2021 Annual Report separately states a spot LCR of 475% at 31 December 2021 - not on the same (averaged, KM1) basis as the figures above, so not included as a comparable data point.</t>
        </is>
      </c>
    </row>
    <row r="9" ht="100" customHeight="1">
      <c r="A9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NSFR</t>
        </is>
      </c>
    </row>
    <row r="2">
      <c r="A2" s="2" t="inlineStr">
        <is>
          <t>UK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19047</v>
      </c>
      <c r="C4" s="6" t="n">
        <v>19210</v>
      </c>
      <c r="D4" s="6" t="n">
        <v>19525</v>
      </c>
      <c r="E4" s="6" t="n">
        <v>20678</v>
      </c>
      <c r="F4" s="6" t="n"/>
    </row>
    <row r="5">
      <c r="A5" s="6" t="inlineStr">
        <is>
          <t>Total required stable funding</t>
        </is>
      </c>
      <c r="B5" s="6" t="n">
        <v>14676</v>
      </c>
      <c r="C5" s="6" t="n">
        <v>14166</v>
      </c>
      <c r="D5" s="6" t="n">
        <v>14950</v>
      </c>
      <c r="E5" s="6" t="n">
        <v>15953</v>
      </c>
      <c r="F5" s="6" t="n"/>
    </row>
    <row r="6">
      <c r="A6" s="6" t="inlineStr">
        <is>
          <t>NSFR ratio (%)</t>
        </is>
      </c>
      <c r="B6" s="6" t="inlineStr">
        <is>
          <t>130%</t>
        </is>
      </c>
      <c r="C6" s="6" t="inlineStr">
        <is>
          <t>136%</t>
        </is>
      </c>
      <c r="D6" s="6" t="inlineStr">
        <is>
          <t>131%</t>
        </is>
      </c>
      <c r="E6" s="6" t="inlineStr">
        <is>
          <t>130%</t>
        </is>
      </c>
      <c r="F6" s="6" t="inlineStr">
        <is>
          <t>Not disclosed</t>
        </is>
      </c>
    </row>
    <row r="7" ht="60" customHeight="1">
      <c r="A7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9" ht="100" customHeight="1">
      <c r="A9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MREL Ratio</t>
        </is>
      </c>
    </row>
    <row r="2">
      <c r="A2" s="2" t="inlineStr">
        <is>
          <t>UK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MREL-eligible senior non-preferred debt issued</t>
        </is>
      </c>
      <c r="B4" s="6" t="n">
        <v>450</v>
      </c>
      <c r="C4" s="6" t="n">
        <v>200</v>
      </c>
      <c r="D4" s="6" t="n">
        <v>50</v>
      </c>
      <c r="E4" s="6" t="n">
        <v>150</v>
      </c>
      <c r="F4" s="6" t="n">
        <v>200</v>
      </c>
    </row>
    <row r="5">
      <c r="A5" s="6" t="inlineStr">
        <is>
          <t>Total capital resources (Total capital, see Total Capital sheet)</t>
        </is>
      </c>
      <c r="B5" s="6" t="n">
        <v>2456</v>
      </c>
      <c r="C5" s="6" t="n">
        <v>2389</v>
      </c>
      <c r="D5" s="6" t="n">
        <v>2614</v>
      </c>
      <c r="E5" s="6" t="n">
        <v>2826</v>
      </c>
      <c r="F5" s="6" t="n">
        <v>2864</v>
      </c>
    </row>
    <row r="6">
      <c r="A6" s="6" t="inlineStr">
        <is>
          <t>Total MREL ratio (% of RWA)</t>
        </is>
      </c>
      <c r="B6" s="6" t="inlineStr">
        <is>
          <t>23.6%</t>
        </is>
      </c>
      <c r="C6" s="6" t="n"/>
      <c r="D6" s="6" t="n"/>
      <c r="E6" s="6" t="n"/>
      <c r="F6" s="6" t="n"/>
    </row>
    <row r="7" ht="60" customHeight="1">
      <c r="A7" s="7" t="inlineStr">
        <is>
          <t>Note: Handelsbanken plc, as a material subsidiary of a foreign-owned group, is subject to MREL (21.2% of RWA as at FY2025, reduced by any applicable Bank of England scalar; the end-state 21.6%-of-RWA requirement took effect 1 January 2023, following an 18%-of-RWA interim requirement from 1 January 2020). No Pillar 3/KM1-format numeric MREL resources or ratio was found for any year except FY2025, where the Annual Report directly states a combined 'total capital and MREL ratio of 23.6% of RWA' (£450m MREL-eligible debt plus £2,456m of capital resources). Other years' ratio cells are left blank rather than computed by us from the two rows above, since the Bank did not itself state a ratio for those years (a reader can derive an approximate figure from the two rows shown, but we have not presented it as a disclosed fact).</t>
        </is>
      </c>
    </row>
    <row r="9" ht="100" customHeight="1">
      <c r="A9" s="8" t="inlineStr">
        <is>
          <t>Sources - Handelsbanken plc UK Group, Risk and Capital Management section of each Annual Report:
FY2025: Annual Report 2025, p.67 - https://www.handelsbanken.co.uk/tron/gbpu/info/contents/v1/document/52-278301
FY2024: Annual Report 2024, p.65 - https://www.handelsbanken.co.uk/tron/gbpu/info/contents/v1/document/52-265184
FY2023: Annual Report 2023, p.70 - https://www.handelsbanken.co.uk/tron/gbpu/info/contents/v1/document/52-223741
FY2022: Annual Report 2022, p.79 - https://www.handelsbanken.co.uk/tron/gbpu/info/contents/v1/document/52-175531
FY2021: Annual Report 2021, p.63 - https://www.handelsbanken.co.uk/tron/gbpu/info/contents/v1/document/52-141596</t>
        </is>
      </c>
    </row>
  </sheetData>
  <mergeCells count="2">
    <mergeCell ref="A7:F7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2026-08-26T12:49:06Z</dcterms:created>
  <dcterms:modified xsi:type="dcterms:W3CDTF">2026-08-26T12:49:06Z</dcterms:modified>
</cp:coreProperties>
</file>