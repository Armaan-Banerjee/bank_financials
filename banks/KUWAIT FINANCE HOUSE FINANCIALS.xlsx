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E7A5C"/>
        <bgColor rgb="001E7A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Kuwait Finance House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Kuwait Finance House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Kuwait Finance House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Kuwait Finance House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Kuwait Finance House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Kuwait Finance House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2576896</v>
      </c>
      <c r="C6" s="5" t="n">
        <v>2737527</v>
      </c>
      <c r="D6" s="5" t="n">
        <v>2923898</v>
      </c>
      <c r="E6" s="5" t="n">
        <v>2835743</v>
      </c>
      <c r="F6" s="5" t="n">
        <v>2996510</v>
      </c>
      <c r="I6" t="inlineStr">
        <is>
          <t>Total assets</t>
        </is>
      </c>
      <c r="J6" t="n">
        <v>2996510</v>
      </c>
      <c r="K6" t="n">
        <v>2835743</v>
      </c>
      <c r="L6" t="n">
        <v>2923898</v>
      </c>
      <c r="M6" t="n">
        <v>2737527</v>
      </c>
      <c r="N6" t="n">
        <v>2576896</v>
      </c>
      <c r="AO6" t="inlineStr">
        <is>
          <t>CET1 Ratio</t>
        </is>
      </c>
      <c r="AP6" t="n">
        <v>22.4</v>
      </c>
      <c r="AQ6" t="n">
        <v>19.9</v>
      </c>
      <c r="AR6" t="n">
        <v>19.4</v>
      </c>
      <c r="AS6" t="n">
        <v>19.2</v>
      </c>
      <c r="AT6" t="n">
        <v>20.1</v>
      </c>
    </row>
    <row r="7">
      <c r="A7" s="5" t="inlineStr">
        <is>
          <t>Financing receivables / Loans and advances</t>
        </is>
      </c>
      <c r="B7" s="5" t="n">
        <v>1524604</v>
      </c>
      <c r="C7" s="5" t="n">
        <v>1512591</v>
      </c>
      <c r="D7" s="5" t="n">
        <v>1536066</v>
      </c>
      <c r="E7" s="5" t="n">
        <v>1454873</v>
      </c>
      <c r="F7" s="5" t="n">
        <v>1602103</v>
      </c>
      <c r="I7" t="inlineStr">
        <is>
          <t>Financing receivables / Loans and advances</t>
        </is>
      </c>
      <c r="J7" t="n">
        <v>1602103</v>
      </c>
      <c r="K7" t="n">
        <v>1454873</v>
      </c>
      <c r="L7" t="n">
        <v>1536066</v>
      </c>
      <c r="M7" t="n">
        <v>1512591</v>
      </c>
      <c r="N7" t="n">
        <v>1524604</v>
      </c>
      <c r="AO7" t="inlineStr">
        <is>
          <t>Total Capital Ratio</t>
        </is>
      </c>
      <c r="AP7" t="n">
        <v>22.5</v>
      </c>
      <c r="AQ7" t="n">
        <v>19.9</v>
      </c>
      <c r="AR7" t="n">
        <v>19.4</v>
      </c>
      <c r="AS7" t="n">
        <v>19.2</v>
      </c>
      <c r="AT7" t="n">
        <v>20.1</v>
      </c>
    </row>
    <row r="8">
      <c r="A8" s="5" t="inlineStr">
        <is>
          <t>Customer deposits</t>
        </is>
      </c>
      <c r="B8" s="5" t="n">
        <v>2149033</v>
      </c>
      <c r="C8" s="5" t="n">
        <v>2259618</v>
      </c>
      <c r="D8" s="5" t="n">
        <v>2509823</v>
      </c>
      <c r="E8" s="5" t="n">
        <v>2359144</v>
      </c>
      <c r="F8" s="5" t="n">
        <v>2515820</v>
      </c>
      <c r="I8" t="inlineStr">
        <is>
          <t>Customer deposits</t>
        </is>
      </c>
      <c r="J8" t="n">
        <v>2515820</v>
      </c>
      <c r="K8" t="n">
        <v>2359144</v>
      </c>
      <c r="L8" t="n">
        <v>2509823</v>
      </c>
      <c r="M8" t="n">
        <v>2259618</v>
      </c>
      <c r="N8" t="n">
        <v>2149033</v>
      </c>
      <c r="AO8" t="inlineStr">
        <is>
          <t>Leverage Ratio</t>
        </is>
      </c>
      <c r="AP8" t="n">
        <v>10.5</v>
      </c>
      <c r="AQ8" t="n">
        <v>12.3</v>
      </c>
      <c r="AR8" t="n">
        <v>11.9</v>
      </c>
      <c r="AS8" t="n">
        <v>13.7</v>
      </c>
      <c r="AT8" t="n">
        <v>14.2</v>
      </c>
    </row>
    <row r="9">
      <c r="A9" s="5" t="inlineStr">
        <is>
          <t>Total equity</t>
        </is>
      </c>
      <c r="B9" s="5" t="n">
        <v>332609</v>
      </c>
      <c r="C9" s="5" t="n">
        <v>347279</v>
      </c>
      <c r="D9" s="5" t="n">
        <v>333754</v>
      </c>
      <c r="E9" s="5" t="n">
        <v>330285</v>
      </c>
      <c r="F9" s="5" t="n">
        <v>322749</v>
      </c>
      <c r="I9" t="inlineStr">
        <is>
          <t>Total equity</t>
        </is>
      </c>
      <c r="J9" t="n">
        <v>322749</v>
      </c>
      <c r="K9" t="n">
        <v>330285</v>
      </c>
      <c r="L9" t="n">
        <v>333754</v>
      </c>
      <c r="M9" t="n">
        <v>347279</v>
      </c>
      <c r="N9" t="n">
        <v>332609</v>
      </c>
      <c r="AO9" t="inlineStr">
        <is>
          <t>LCR</t>
        </is>
      </c>
      <c r="AP9" t="n">
        <v>486.4</v>
      </c>
      <c r="AQ9" t="n">
        <v>392.5</v>
      </c>
      <c r="AR9" t="n">
        <v>662.5</v>
      </c>
      <c r="AS9" t="n">
        <v>385.4</v>
      </c>
      <c r="AT9" t="n">
        <v>592.3</v>
      </c>
    </row>
    <row r="10">
      <c r="AO10" t="inlineStr">
        <is>
          <t>NSFR</t>
        </is>
      </c>
      <c r="AP10" t="n">
        <v>136.2</v>
      </c>
      <c r="AQ10" t="n">
        <v>127.4</v>
      </c>
      <c r="AR10" t="n">
        <v>133</v>
      </c>
      <c r="AS10" t="n">
        <v>119.4</v>
      </c>
      <c r="AT10" t="n">
        <v>139</v>
      </c>
    </row>
    <row r="11">
      <c r="A11" s="3" t="inlineStr">
        <is>
          <t>Profit &amp; Loss Summary (US$'000)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82052</v>
      </c>
      <c r="C13" s="5" t="n">
        <v>95956</v>
      </c>
      <c r="D13" s="5" t="n">
        <v>102673</v>
      </c>
      <c r="E13" s="5" t="n">
        <v>79242</v>
      </c>
      <c r="F13" s="5" t="n">
        <v>52715</v>
      </c>
      <c r="Q13" t="inlineStr">
        <is>
          <t>Operating income</t>
        </is>
      </c>
      <c r="R13" t="n">
        <v>52715</v>
      </c>
      <c r="S13" t="n">
        <v>79242</v>
      </c>
      <c r="T13" t="n">
        <v>102673</v>
      </c>
      <c r="U13" t="n">
        <v>95956</v>
      </c>
      <c r="V13" t="n">
        <v>82052</v>
      </c>
    </row>
    <row r="14">
      <c r="A14" s="5" t="inlineStr">
        <is>
          <t>Total operating expense</t>
        </is>
      </c>
      <c r="B14" s="5" t="n">
        <v>43777</v>
      </c>
      <c r="C14" s="5" t="n">
        <v>42645</v>
      </c>
      <c r="D14" s="5" t="n">
        <v>36790</v>
      </c>
      <c r="E14" s="5" t="n">
        <v>28286</v>
      </c>
      <c r="F14" s="5" t="n">
        <v>30763</v>
      </c>
      <c r="Q14" t="inlineStr">
        <is>
          <t>Total operating expense</t>
        </is>
      </c>
      <c r="R14" t="n">
        <v>30763</v>
      </c>
      <c r="S14" t="n">
        <v>28286</v>
      </c>
      <c r="T14" t="n">
        <v>36790</v>
      </c>
      <c r="U14" t="n">
        <v>42645</v>
      </c>
      <c r="V14" t="n">
        <v>43777</v>
      </c>
    </row>
    <row r="15">
      <c r="A15" s="5" t="inlineStr">
        <is>
          <t>Net profit after tax</t>
        </is>
      </c>
      <c r="B15" s="5" t="n">
        <v>22420</v>
      </c>
      <c r="C15" s="5" t="n">
        <v>39218</v>
      </c>
      <c r="D15" s="5" t="n">
        <v>46986</v>
      </c>
      <c r="E15" s="5" t="n">
        <v>39462</v>
      </c>
      <c r="F15" s="5" t="n">
        <v>18893</v>
      </c>
      <c r="Q15" t="inlineStr">
        <is>
          <t>Net profit after tax</t>
        </is>
      </c>
      <c r="R15" t="n">
        <v>18893</v>
      </c>
      <c r="S15" t="n">
        <v>39462</v>
      </c>
      <c r="T15" t="n">
        <v>46986</v>
      </c>
      <c r="U15" t="n">
        <v>39218</v>
      </c>
      <c r="V15" t="n">
        <v>22420</v>
      </c>
    </row>
    <row r="17">
      <c r="A17" s="3" t="inlineStr">
        <is>
          <t>Statement of Changes in Equity Summary (US$'000)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347279</v>
      </c>
      <c r="C19" s="5" t="n">
        <v>333754</v>
      </c>
      <c r="D19" s="5" t="n">
        <v>330285</v>
      </c>
      <c r="E19" s="5" t="n">
        <v>322749</v>
      </c>
      <c r="F19" s="5" t="n">
        <v>276871</v>
      </c>
      <c r="Y19" t="inlineStr">
        <is>
          <t>Opening equity</t>
        </is>
      </c>
      <c r="Z19" t="n">
        <v>276871</v>
      </c>
      <c r="AA19" t="n">
        <v>322749</v>
      </c>
      <c r="AB19" t="n">
        <v>330285</v>
      </c>
      <c r="AC19" t="n">
        <v>333754</v>
      </c>
      <c r="AD19" t="n">
        <v>347279</v>
      </c>
    </row>
    <row r="20">
      <c r="A20" s="5" t="inlineStr">
        <is>
          <t>Total comprehensive income for the year (Bank/solo basis, ties to the equity sheet)</t>
        </is>
      </c>
      <c r="B20" s="5" t="n">
        <v>15330</v>
      </c>
      <c r="C20" s="5" t="n">
        <v>43525</v>
      </c>
      <c r="D20" s="5" t="n">
        <v>23469</v>
      </c>
      <c r="E20" s="5" t="n">
        <v>17536</v>
      </c>
      <c r="F20" s="5" t="n">
        <v>55841</v>
      </c>
      <c r="Y20" t="inlineStr">
        <is>
          <t>Total comprehensive income for the year (Bank/solo basis, ties to the equity sheet)</t>
        </is>
      </c>
      <c r="Z20" t="n">
        <v>55841</v>
      </c>
      <c r="AA20" t="n">
        <v>17536</v>
      </c>
      <c r="AB20" t="n">
        <v>23469</v>
      </c>
      <c r="AC20" t="n">
        <v>43525</v>
      </c>
      <c r="AD20" t="n">
        <v>15330</v>
      </c>
    </row>
    <row r="21">
      <c r="A21" s="5" t="inlineStr">
        <is>
          <t>Other equity movements, net</t>
        </is>
      </c>
      <c r="B21" s="5" t="n">
        <v>-30000</v>
      </c>
      <c r="C21" s="5" t="n">
        <v>-30000</v>
      </c>
      <c r="D21" s="5" t="n">
        <v>-20000</v>
      </c>
      <c r="E21" s="5" t="n">
        <v>-10000</v>
      </c>
      <c r="F21" s="5" t="n">
        <v>-10000</v>
      </c>
      <c r="Y21" t="inlineStr">
        <is>
          <t>Other equity movements, net</t>
        </is>
      </c>
      <c r="Z21" t="n">
        <v>-10000</v>
      </c>
      <c r="AA21" t="n">
        <v>-10000</v>
      </c>
      <c r="AB21" t="n">
        <v>-20000</v>
      </c>
      <c r="AC21" t="n">
        <v>-30000</v>
      </c>
      <c r="AD21" t="n">
        <v>-30000</v>
      </c>
    </row>
    <row r="22">
      <c r="A22" s="5" t="inlineStr">
        <is>
          <t>Closing equity</t>
        </is>
      </c>
      <c r="B22" s="5" t="n">
        <v>332609</v>
      </c>
      <c r="C22" s="5" t="n">
        <v>347279</v>
      </c>
      <c r="D22" s="5" t="n">
        <v>333754</v>
      </c>
      <c r="E22" s="5" t="n">
        <v>330285</v>
      </c>
      <c r="F22" s="5" t="n">
        <v>322749</v>
      </c>
      <c r="Y22" t="inlineStr">
        <is>
          <t>Closing equity</t>
        </is>
      </c>
      <c r="Z22" t="n">
        <v>322749</v>
      </c>
      <c r="AA22" t="n">
        <v>330285</v>
      </c>
      <c r="AB22" t="n">
        <v>333754</v>
      </c>
      <c r="AC22" t="n">
        <v>347279</v>
      </c>
      <c r="AD22" t="n">
        <v>332609</v>
      </c>
    </row>
    <row r="24">
      <c r="A24" s="3" t="inlineStr">
        <is>
          <t>Cash Flow Summary (US$'000)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-75732</v>
      </c>
      <c r="C26" s="5" t="n">
        <v>-131665</v>
      </c>
      <c r="D26" s="5" t="n">
        <v>72516</v>
      </c>
      <c r="E26" s="5" t="n">
        <v>34665</v>
      </c>
      <c r="F26" s="5" t="n">
        <v>264870</v>
      </c>
      <c r="AG26" t="inlineStr">
        <is>
          <t>Net cash from/(used in) operating activities</t>
        </is>
      </c>
      <c r="AH26" t="n">
        <v>264870</v>
      </c>
      <c r="AI26" t="n">
        <v>34665</v>
      </c>
      <c r="AJ26" t="n">
        <v>72516</v>
      </c>
      <c r="AK26" t="n">
        <v>-131665</v>
      </c>
      <c r="AL26" t="n">
        <v>-75732</v>
      </c>
    </row>
    <row r="27">
      <c r="A27" s="5" t="inlineStr">
        <is>
          <t>Net cash from/(used in) investing activities</t>
        </is>
      </c>
      <c r="B27" s="5" t="n">
        <v>-14974</v>
      </c>
      <c r="C27" s="5" t="n">
        <v>257136</v>
      </c>
      <c r="D27" s="5" t="n">
        <v>-67619</v>
      </c>
      <c r="E27" s="5" t="n">
        <v>-227909</v>
      </c>
      <c r="F27" s="5" t="n">
        <v>-34076</v>
      </c>
      <c r="AG27" t="inlineStr">
        <is>
          <t>Net cash from/(used in) investing activities</t>
        </is>
      </c>
      <c r="AH27" t="n">
        <v>-34076</v>
      </c>
      <c r="AI27" t="n">
        <v>-227909</v>
      </c>
      <c r="AJ27" t="n">
        <v>-67619</v>
      </c>
      <c r="AK27" t="n">
        <v>257136</v>
      </c>
      <c r="AL27" t="n">
        <v>-14974</v>
      </c>
    </row>
    <row r="28">
      <c r="A28" s="5" t="inlineStr">
        <is>
          <t>Net cash used in financing activities</t>
        </is>
      </c>
      <c r="B28" s="5" t="n">
        <v>-31875</v>
      </c>
      <c r="C28" s="5" t="n">
        <v>-32014</v>
      </c>
      <c r="D28" s="5" t="n">
        <v>-31260</v>
      </c>
      <c r="E28" s="5" t="n">
        <v>-11777</v>
      </c>
      <c r="F28" s="5" t="n">
        <v>-11954</v>
      </c>
      <c r="AG28" t="inlineStr">
        <is>
          <t>Net cash used in financing activities</t>
        </is>
      </c>
      <c r="AH28" t="n">
        <v>-11954</v>
      </c>
      <c r="AI28" t="n">
        <v>-11777</v>
      </c>
      <c r="AJ28" t="n">
        <v>-31260</v>
      </c>
      <c r="AK28" t="n">
        <v>-32014</v>
      </c>
      <c r="AL28" t="n">
        <v>-31875</v>
      </c>
    </row>
    <row r="29">
      <c r="A29" s="5" t="inlineStr">
        <is>
          <t>Cash and cash equivalents at 31 December</t>
        </is>
      </c>
      <c r="B29" s="5" t="n">
        <v>593223</v>
      </c>
      <c r="C29" s="5" t="n">
        <v>752166</v>
      </c>
      <c r="D29" s="5" t="n">
        <v>664122</v>
      </c>
      <c r="E29" s="5" t="n">
        <v>692136</v>
      </c>
      <c r="F29" s="5" t="n">
        <v>891390</v>
      </c>
      <c r="AG29" t="inlineStr">
        <is>
          <t>Cash and cash equivalents at 31 December</t>
        </is>
      </c>
      <c r="AH29" t="n">
        <v>891390</v>
      </c>
      <c r="AI29" t="n">
        <v>692136</v>
      </c>
      <c r="AJ29" t="n">
        <v>664122</v>
      </c>
      <c r="AK29" t="n">
        <v>752166</v>
      </c>
      <c r="AL29" t="n">
        <v>593223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20.1%</t>
        </is>
      </c>
      <c r="C33" s="6" t="inlineStr">
        <is>
          <t>19.2%</t>
        </is>
      </c>
      <c r="D33" s="6" t="inlineStr">
        <is>
          <t>19.4%</t>
        </is>
      </c>
      <c r="E33" s="6" t="inlineStr">
        <is>
          <t>19.9%</t>
        </is>
      </c>
      <c r="F33" s="6" t="inlineStr">
        <is>
          <t>22.4%</t>
        </is>
      </c>
    </row>
    <row r="34">
      <c r="A34" s="6" t="inlineStr">
        <is>
          <t>Total Capital Ratio</t>
        </is>
      </c>
      <c r="B34" s="6" t="inlineStr">
        <is>
          <t>20.1%</t>
        </is>
      </c>
      <c r="C34" s="6" t="inlineStr">
        <is>
          <t>19.2%</t>
        </is>
      </c>
      <c r="D34" s="6" t="inlineStr">
        <is>
          <t>19.4%</t>
        </is>
      </c>
      <c r="E34" s="6" t="inlineStr">
        <is>
          <t>19.9%</t>
        </is>
      </c>
      <c r="F34" s="6" t="inlineStr">
        <is>
          <t>22.5%</t>
        </is>
      </c>
    </row>
    <row r="35">
      <c r="A35" s="6" t="inlineStr">
        <is>
          <t>Leverage Ratio</t>
        </is>
      </c>
      <c r="B35" s="6" t="inlineStr">
        <is>
          <t>14.2%</t>
        </is>
      </c>
      <c r="C35" s="6" t="inlineStr">
        <is>
          <t>13.7%</t>
        </is>
      </c>
      <c r="D35" s="6" t="inlineStr">
        <is>
          <t>11.9%</t>
        </is>
      </c>
      <c r="E35" s="6" t="inlineStr">
        <is>
          <t>12.3%</t>
        </is>
      </c>
      <c r="F35" s="6" t="inlineStr">
        <is>
          <t>10.5%</t>
        </is>
      </c>
    </row>
    <row r="36">
      <c r="A36" s="6" t="inlineStr">
        <is>
          <t>LCR</t>
        </is>
      </c>
      <c r="B36" s="6" t="inlineStr">
        <is>
          <t>592.3%</t>
        </is>
      </c>
      <c r="C36" s="6" t="inlineStr">
        <is>
          <t>385.4%</t>
        </is>
      </c>
      <c r="D36" s="6" t="inlineStr">
        <is>
          <t>662.5%</t>
        </is>
      </c>
      <c r="E36" s="6" t="inlineStr">
        <is>
          <t>392.5%</t>
        </is>
      </c>
      <c r="F36" s="6" t="inlineStr">
        <is>
          <t>486.4%</t>
        </is>
      </c>
    </row>
    <row r="37">
      <c r="A37" s="6" t="inlineStr">
        <is>
          <t>NSFR</t>
        </is>
      </c>
      <c r="B37" s="6" t="inlineStr">
        <is>
          <t>139.0%</t>
        </is>
      </c>
      <c r="C37" s="6" t="inlineStr">
        <is>
          <t>119.4%</t>
        </is>
      </c>
      <c r="D37" s="6" t="inlineStr">
        <is>
          <t>133.0%</t>
        </is>
      </c>
      <c r="E37" s="6" t="inlineStr">
        <is>
          <t>127.4%</t>
        </is>
      </c>
      <c r="F37" s="6" t="inlineStr">
        <is>
          <t>136.2%</t>
        </is>
      </c>
    </row>
    <row r="39" ht="45" customHeight="1">
      <c r="A39" s="7" t="inlineStr">
        <is>
          <t>Note: Kuwait Finance House Plc (formerly Ahli United Bank (UK) PLC) converted to a Shariah-compliant (Islamic) bank during FY2024 under new ownership - see the Balance Sheet sheet's ENTITY NOTE. Figures are US$, not converted to GBP (native-currency presentation, consistent with sibling USD-reporting banks in this batch). Balance Sheet and Statement of Changes in Equity are Bank/solo basis; Profit &amp; Loss is necessarily Consolidated (Group) basis - this entity does not publish a standalone Bank income statement (see the Balance Sheet sheet's BASIS NOTE) - so the equity-changes block above uses the equity sheet's own Bank-basis comprehensive income, not the Group P&amp;L's OCI total. Total RWAs is independently derived two ways (Own Funds/Total Capital ratio on the Total RWAs sheet; summed Pillar 1 capital requirement components x12.5 on the RWA Breakdown sheet) since no single RWA figure is directly disclosed - both agree within 0.2%. Figures are duplicated from the detail sheets for at-a-glance trend viewing.</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Balance Sheet</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Assets</t>
        </is>
      </c>
      <c r="B4" s="6" t="n"/>
      <c r="C4" s="6" t="n"/>
      <c r="D4" s="6" t="n"/>
      <c r="E4" s="6" t="n"/>
      <c r="F4" s="6" t="n"/>
    </row>
    <row r="5">
      <c r="A5" s="6" t="inlineStr">
        <is>
          <t>Cash and balances with central banks</t>
        </is>
      </c>
      <c r="B5" s="6" t="n">
        <v>350734</v>
      </c>
      <c r="C5" s="6" t="n">
        <v>477039</v>
      </c>
      <c r="D5" s="6" t="n">
        <v>302738</v>
      </c>
      <c r="E5" s="6" t="n">
        <v>451104</v>
      </c>
      <c r="F5" s="6" t="n">
        <v>675547</v>
      </c>
    </row>
    <row r="6">
      <c r="A6" s="6" t="inlineStr">
        <is>
          <t>Deposits with banks</t>
        </is>
      </c>
      <c r="B6" s="6" t="n">
        <v>242489</v>
      </c>
      <c r="C6" s="6" t="n">
        <v>275127</v>
      </c>
      <c r="D6" s="6" t="n">
        <v>365605</v>
      </c>
      <c r="E6" s="6" t="n">
        <v>245974</v>
      </c>
      <c r="F6" s="6" t="n">
        <v>221740</v>
      </c>
    </row>
    <row r="7">
      <c r="A7" s="6" t="inlineStr">
        <is>
          <t>Financing receivables / Loans and advances</t>
        </is>
      </c>
      <c r="B7" s="6" t="n">
        <v>1524604</v>
      </c>
      <c r="C7" s="6" t="n">
        <v>1512591</v>
      </c>
      <c r="D7" s="6" t="n">
        <v>1536066</v>
      </c>
      <c r="E7" s="6" t="n">
        <v>1454873</v>
      </c>
      <c r="F7" s="6" t="n">
        <v>1602103</v>
      </c>
    </row>
    <row r="8">
      <c r="A8" s="6" t="inlineStr">
        <is>
          <t>Total financial investments</t>
        </is>
      </c>
      <c r="B8" s="6" t="n">
        <v>419996</v>
      </c>
      <c r="C8" s="6" t="n">
        <v>397718</v>
      </c>
      <c r="D8" s="6" t="n">
        <v>658778</v>
      </c>
      <c r="E8" s="6" t="n">
        <v>582585</v>
      </c>
      <c r="F8" s="6" t="n">
        <v>412144</v>
      </c>
    </row>
    <row r="9">
      <c r="A9" s="6" t="inlineStr">
        <is>
          <t>Financial investments - GCC government bonds/Sukuk (sovereign debt, amortised cost)</t>
        </is>
      </c>
      <c r="B9" s="6" t="n">
        <v>99438</v>
      </c>
      <c r="C9" s="6" t="n">
        <v>67285</v>
      </c>
      <c r="D9" s="6" t="n">
        <v>164797</v>
      </c>
      <c r="E9" s="6" t="n">
        <v>222762</v>
      </c>
      <c r="F9" s="6" t="n">
        <v>194626</v>
      </c>
    </row>
    <row r="10">
      <c r="A10" s="6" t="inlineStr">
        <is>
          <t>Financial investments - Issued by banks and other financial institutions (amortised cost)</t>
        </is>
      </c>
      <c r="B10" s="6" t="n">
        <v>141838</v>
      </c>
      <c r="C10" s="6" t="n">
        <v>139475</v>
      </c>
      <c r="D10" s="6" t="n">
        <v>248594</v>
      </c>
      <c r="E10" s="6" t="n">
        <v>147794</v>
      </c>
      <c r="F10" s="6" t="n">
        <v>145262</v>
      </c>
    </row>
    <row r="11">
      <c r="A11" s="6" t="inlineStr">
        <is>
          <t>Financial investments - Issued by corporate bodies (amortised cost)</t>
        </is>
      </c>
      <c r="B11" s="6" t="n">
        <v>138332</v>
      </c>
      <c r="C11" s="6" t="n">
        <v>146784</v>
      </c>
      <c r="D11" s="6" t="n">
        <v>196476</v>
      </c>
      <c r="E11" s="6" t="n">
        <v>164546</v>
      </c>
      <c r="F11" s="6" t="n">
        <v>17308</v>
      </c>
    </row>
    <row r="12">
      <c r="A12" s="6" t="inlineStr">
        <is>
          <t>Financial investments - ECL impairment provision on amortised-cost investments (amortised cost)</t>
        </is>
      </c>
      <c r="B12" s="6" t="n">
        <v>-129</v>
      </c>
      <c r="C12" s="6" t="n">
        <v>-100</v>
      </c>
      <c r="D12" s="6" t="n">
        <v>-747</v>
      </c>
      <c r="E12" s="6" t="n">
        <v>-709</v>
      </c>
      <c r="F12" s="6" t="n">
        <v>-358</v>
      </c>
    </row>
    <row r="13">
      <c r="A13" s="6" t="inlineStr">
        <is>
          <t>Financial investments - Investments not directly quoted (FVTPL)</t>
        </is>
      </c>
      <c r="B13" s="6" t="n">
        <v>143</v>
      </c>
      <c r="C13" s="6" t="n">
        <v>215</v>
      </c>
      <c r="D13" s="6" t="n">
        <v>516</v>
      </c>
      <c r="E13" s="6" t="n">
        <v>420</v>
      </c>
      <c r="F13" s="6" t="n">
        <v>928</v>
      </c>
    </row>
    <row r="14">
      <c r="A14" s="6" t="inlineStr">
        <is>
          <t>Financial investments - Private equity investments at net asset value (FVOCI)</t>
        </is>
      </c>
      <c r="B14" s="6" t="n">
        <v>40374</v>
      </c>
      <c r="C14" s="6" t="n">
        <v>44059</v>
      </c>
      <c r="D14" s="6" t="n">
        <v>49142</v>
      </c>
      <c r="E14" s="6" t="n">
        <v>47772</v>
      </c>
      <c r="F14" s="6" t="n">
        <v>54378</v>
      </c>
    </row>
    <row r="15">
      <c r="A15" s="6" t="inlineStr">
        <is>
          <t>Derivative financial instruments</t>
        </is>
      </c>
      <c r="B15" s="6" t="n">
        <v>6952</v>
      </c>
      <c r="C15" s="6" t="n">
        <v>41151</v>
      </c>
      <c r="D15" s="6" t="n">
        <v>34717</v>
      </c>
      <c r="E15" s="6" t="n">
        <v>56979</v>
      </c>
      <c r="F15" s="6" t="n">
        <v>18040</v>
      </c>
    </row>
    <row r="16">
      <c r="A16" s="6" t="inlineStr">
        <is>
          <t>Investment in joint venture</t>
        </is>
      </c>
      <c r="B16" s="6" t="n"/>
      <c r="C16" s="6" t="n"/>
      <c r="D16" s="6" t="n">
        <v>64</v>
      </c>
      <c r="E16" s="6" t="n">
        <v>60</v>
      </c>
      <c r="F16" s="6" t="n">
        <v>69</v>
      </c>
    </row>
    <row r="17">
      <c r="A17" s="6" t="inlineStr">
        <is>
          <t>Investments in group undertakings</t>
        </is>
      </c>
      <c r="B17" s="6" t="n">
        <v>34</v>
      </c>
      <c r="C17" s="6" t="n">
        <v>32</v>
      </c>
      <c r="D17" s="6" t="n">
        <v>32</v>
      </c>
      <c r="E17" s="6" t="n">
        <v>47</v>
      </c>
      <c r="F17" s="6" t="n">
        <v>52</v>
      </c>
    </row>
    <row r="18">
      <c r="A18" s="6" t="inlineStr">
        <is>
          <t>Premises and equipment</t>
        </is>
      </c>
      <c r="B18" s="6" t="n">
        <v>2436</v>
      </c>
      <c r="C18" s="6" t="n">
        <v>4058</v>
      </c>
      <c r="D18" s="6" t="n">
        <v>5311</v>
      </c>
      <c r="E18" s="6" t="n">
        <v>6031</v>
      </c>
      <c r="F18" s="6" t="n">
        <v>10618</v>
      </c>
    </row>
    <row r="19">
      <c r="A19" s="6" t="inlineStr">
        <is>
          <t>Intangible assets</t>
        </is>
      </c>
      <c r="B19" s="6" t="n">
        <v>5599</v>
      </c>
      <c r="C19" s="6" t="n"/>
      <c r="D19" s="6" t="n"/>
      <c r="E19" s="6" t="n"/>
      <c r="F19" s="6" t="n"/>
    </row>
    <row r="20">
      <c r="A20" s="6" t="inlineStr">
        <is>
          <t>Investment property</t>
        </is>
      </c>
      <c r="B20" s="6" t="n"/>
      <c r="C20" s="6" t="n">
        <v>278</v>
      </c>
      <c r="D20" s="6" t="n">
        <v>316</v>
      </c>
      <c r="E20" s="6" t="n">
        <v>354</v>
      </c>
      <c r="F20" s="6" t="n">
        <v>392</v>
      </c>
    </row>
    <row r="21">
      <c r="A21" s="6" t="inlineStr">
        <is>
          <t>Returns receivable and similar assets / Interest receivable and other assets</t>
        </is>
      </c>
      <c r="B21" s="6" t="n">
        <v>19310</v>
      </c>
      <c r="C21" s="6" t="n">
        <v>24659</v>
      </c>
      <c r="D21" s="6" t="n">
        <v>15409</v>
      </c>
      <c r="E21" s="6" t="n">
        <v>12994</v>
      </c>
      <c r="F21" s="6" t="n">
        <v>8682</v>
      </c>
    </row>
    <row r="22">
      <c r="A22" s="6" t="inlineStr">
        <is>
          <t>Current tax asset</t>
        </is>
      </c>
      <c r="B22" s="6" t="n">
        <v>1233</v>
      </c>
      <c r="C22" s="6" t="n">
        <v>1769</v>
      </c>
      <c r="D22" s="6" t="n">
        <v>1515</v>
      </c>
      <c r="E22" s="6" t="n">
        <v>274</v>
      </c>
      <c r="F22" s="6" t="n">
        <v>507</v>
      </c>
    </row>
    <row r="23">
      <c r="A23" s="6" t="inlineStr">
        <is>
          <t>Deferred tax asset</t>
        </is>
      </c>
      <c r="B23" s="6" t="n"/>
      <c r="C23" s="6" t="n"/>
      <c r="D23" s="6" t="n"/>
      <c r="E23" s="6" t="n">
        <v>87</v>
      </c>
      <c r="F23" s="6" t="n"/>
    </row>
    <row r="24">
      <c r="A24" s="6" t="inlineStr">
        <is>
          <t>Retirement benefit scheme</t>
        </is>
      </c>
      <c r="B24" s="6" t="n">
        <v>3509</v>
      </c>
      <c r="C24" s="6" t="n">
        <v>3105</v>
      </c>
      <c r="D24" s="6" t="n">
        <v>3347</v>
      </c>
      <c r="E24" s="6" t="n">
        <v>24381</v>
      </c>
      <c r="F24" s="6" t="n">
        <v>46616</v>
      </c>
    </row>
    <row r="25">
      <c r="A25" s="5" t="inlineStr">
        <is>
          <t>Total assets</t>
        </is>
      </c>
      <c r="B25" s="5" t="n">
        <v>2576896</v>
      </c>
      <c r="C25" s="5" t="n">
        <v>2737527</v>
      </c>
      <c r="D25" s="5" t="n">
        <v>2923898</v>
      </c>
      <c r="E25" s="5" t="n">
        <v>2835743</v>
      </c>
      <c r="F25" s="5" t="n">
        <v>2996510</v>
      </c>
    </row>
    <row r="26">
      <c r="A26" s="5" t="inlineStr">
        <is>
          <t>Liabilities</t>
        </is>
      </c>
      <c r="B26" s="6" t="n"/>
      <c r="C26" s="6" t="n"/>
      <c r="D26" s="6" t="n"/>
      <c r="E26" s="6" t="n"/>
      <c r="F26" s="6" t="n"/>
    </row>
    <row r="27">
      <c r="A27" s="6" t="inlineStr">
        <is>
          <t>Deposits from banks</t>
        </is>
      </c>
      <c r="B27" s="6" t="n">
        <v>23106</v>
      </c>
      <c r="C27" s="6" t="n">
        <v>59630</v>
      </c>
      <c r="D27" s="6" t="n">
        <v>11164</v>
      </c>
      <c r="E27" s="6" t="n">
        <v>86543</v>
      </c>
      <c r="F27" s="6" t="n">
        <v>84073</v>
      </c>
    </row>
    <row r="28">
      <c r="A28" s="6" t="inlineStr">
        <is>
          <t>Customer deposits</t>
        </is>
      </c>
      <c r="B28" s="6" t="n">
        <v>2149033</v>
      </c>
      <c r="C28" s="6" t="n">
        <v>2259618</v>
      </c>
      <c r="D28" s="6" t="n">
        <v>2509823</v>
      </c>
      <c r="E28" s="6" t="n">
        <v>2359144</v>
      </c>
      <c r="F28" s="6" t="n">
        <v>2515820</v>
      </c>
    </row>
    <row r="29">
      <c r="A29" s="6" t="inlineStr">
        <is>
          <t>Borrowings under repurchase agreements</t>
        </is>
      </c>
      <c r="B29" s="6" t="n"/>
      <c r="C29" s="6" t="n"/>
      <c r="D29" s="6" t="n"/>
      <c r="E29" s="6" t="n"/>
      <c r="F29" s="6" t="n">
        <v>0</v>
      </c>
    </row>
    <row r="30">
      <c r="A30" s="6" t="inlineStr">
        <is>
          <t>Derivative financial instruments</t>
        </is>
      </c>
      <c r="B30" s="6" t="n">
        <v>12582</v>
      </c>
      <c r="C30" s="6" t="n">
        <v>4694</v>
      </c>
      <c r="D30" s="6" t="n">
        <v>13253</v>
      </c>
      <c r="E30" s="6" t="n">
        <v>16006</v>
      </c>
      <c r="F30" s="6" t="n">
        <v>21690</v>
      </c>
    </row>
    <row r="31">
      <c r="A31" s="6" t="inlineStr">
        <is>
          <t>Returns payable and similar liabilities / Interest payable and other liabilities</t>
        </is>
      </c>
      <c r="B31" s="6" t="n">
        <v>57607</v>
      </c>
      <c r="C31" s="6" t="n">
        <v>62898</v>
      </c>
      <c r="D31" s="6" t="n">
        <v>53969</v>
      </c>
      <c r="E31" s="6" t="n">
        <v>26000</v>
      </c>
      <c r="F31" s="6" t="n">
        <v>27532</v>
      </c>
    </row>
    <row r="32">
      <c r="A32" s="6" t="inlineStr">
        <is>
          <t>Deferred tax liability</t>
        </is>
      </c>
      <c r="B32" s="6" t="n">
        <v>1959</v>
      </c>
      <c r="C32" s="6" t="n">
        <v>3408</v>
      </c>
      <c r="D32" s="6" t="n">
        <v>1935</v>
      </c>
      <c r="E32" s="6" t="n">
        <v>8303</v>
      </c>
      <c r="F32" s="6" t="n">
        <v>14663</v>
      </c>
    </row>
    <row r="33">
      <c r="A33" s="6" t="inlineStr">
        <is>
          <t>Subordinated liabilities</t>
        </is>
      </c>
      <c r="B33" s="6" t="n"/>
      <c r="C33" s="6" t="n"/>
      <c r="D33" s="6" t="n">
        <v>0</v>
      </c>
      <c r="E33" s="6" t="n">
        <v>9462</v>
      </c>
      <c r="F33" s="6" t="n">
        <v>9983</v>
      </c>
    </row>
    <row r="34">
      <c r="A34" s="5" t="inlineStr">
        <is>
          <t>Total liabilities</t>
        </is>
      </c>
      <c r="B34" s="5" t="n">
        <v>2244287</v>
      </c>
      <c r="C34" s="5" t="n">
        <v>2390248</v>
      </c>
      <c r="D34" s="5" t="n">
        <v>2590144</v>
      </c>
      <c r="E34" s="5" t="n">
        <v>2505458</v>
      </c>
      <c r="F34" s="5" t="n">
        <v>2673761</v>
      </c>
    </row>
    <row r="35">
      <c r="A35" s="5" t="inlineStr">
        <is>
          <t>Equity</t>
        </is>
      </c>
      <c r="B35" s="6" t="n"/>
      <c r="C35" s="6" t="n"/>
      <c r="D35" s="6" t="n"/>
      <c r="E35" s="6" t="n"/>
      <c r="F35" s="6" t="n"/>
    </row>
    <row r="36">
      <c r="A36" s="6" t="inlineStr">
        <is>
          <t>Ordinary share capital</t>
        </is>
      </c>
      <c r="B36" s="6" t="n">
        <v>200080</v>
      </c>
      <c r="C36" s="6" t="n">
        <v>200080</v>
      </c>
      <c r="D36" s="6" t="n">
        <v>200080</v>
      </c>
      <c r="E36" s="6" t="n">
        <v>200080</v>
      </c>
      <c r="F36" s="6" t="n">
        <v>200080</v>
      </c>
    </row>
    <row r="37">
      <c r="A37" s="6" t="inlineStr">
        <is>
          <t>Reserves</t>
        </is>
      </c>
      <c r="B37" s="6" t="n">
        <v>132529</v>
      </c>
      <c r="C37" s="6" t="n">
        <v>147199</v>
      </c>
      <c r="D37" s="6" t="n">
        <v>133674</v>
      </c>
      <c r="E37" s="6" t="n">
        <v>130205</v>
      </c>
      <c r="F37" s="6" t="n">
        <v>122669</v>
      </c>
    </row>
    <row r="38">
      <c r="A38" s="5" t="inlineStr">
        <is>
          <t>Total equity</t>
        </is>
      </c>
      <c r="B38" s="5" t="n">
        <v>332609</v>
      </c>
      <c r="C38" s="5" t="n">
        <v>347279</v>
      </c>
      <c r="D38" s="5" t="n">
        <v>333754</v>
      </c>
      <c r="E38" s="5" t="n">
        <v>330285</v>
      </c>
      <c r="F38" s="5" t="n">
        <v>322749</v>
      </c>
    </row>
    <row r="39">
      <c r="A39" s="5" t="inlineStr">
        <is>
          <t>Total liabilities and equity</t>
        </is>
      </c>
      <c r="B39" s="5" t="n">
        <v>2576896</v>
      </c>
      <c r="C39" s="5" t="n">
        <v>2737527</v>
      </c>
      <c r="D39" s="5" t="n">
        <v>2923898</v>
      </c>
      <c r="E39" s="5" t="n">
        <v>2835743</v>
      </c>
      <c r="F39" s="5" t="n">
        <v>2996510</v>
      </c>
    </row>
    <row r="41" ht="52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
FINANCIAL INVESTMENTS BREAKDOWN: the 'Financial investments - ...' sub-rows below the headline 'Total financial investments' line are transcribed from Note 14 'Financial investments' (Note 14(a) 'Financial Investments by category' and Note 14(b) ECL impairment summary) of each year's own Notes to the Financial Statements, which splits the balance both by measurement basis (amortised cost / fair value through profit or loss (FVTPL) / fair value through other comprehensive income (FVOCI)) and, within the amortised-cost bucket, by issuer type (GCC government bonds/Sukuk and similar instruments; issued by banks and other financial institutions; issued by corporate bodies):
FY2025/FY2024 (own): Annual Report and Financial Statements 2025, Note 14, p.52 - https://find-and-update.company-information.service.gov.uk/company/00877859/filing-history/MzUyMTMwODAyMGFkaXF6a2N4/document?format=pdf&amp;download=0
FY2023 (own) / FY2022 (comparative): Annual Report and Financial Statements 2023, Note 14, p.48 - https://find-and-update.company-information.service.gov.uk/company/00877859/filing-history/MzQxNzM5MjkxNGFkaXF6a2N4/document?format=pdf&amp;download=0
FY2022 (own) / FY2021 (comparative): Annual Report and Financial Statements 2022, Note 14, p.47 - https://find-and-update.company-information.service.gov.uk/company/00877859/filing-history/MzM3MTE2OTUwOGFkaXF6a2N4/document?format=pdf&amp;download=0
FY2021 (own): Annual Report and Financial Statements 2021, Note 14, p.38 - https://find-and-update.company-information.service.gov.uk/company/00877859/filing-history/MzM0MTg2NjEyNWFkaXF6a2N4/document?format=pdf&amp;download=0
The three amortised-cost issuer-type sub-rows are gross carrying amounts (Note 14(a)'s own 'Quoted investments' lines); the 'ECL impairment provision' sub-row is that same note's single aggregate impairment allowance (Note 14(b), not broken down by issuer), so the four amortised-cost sub-rows plus the FVTPL and FVOCI sub-rows sum exactly to that year's headline 'Total financial investments' line every year. GCC government bonds and debt securities are labelled 'GCC government Sukuk and similar instruments' from FY2024 onward, reflecting the FY2024 Shariah conversion (see ENTITY_NOTE) - the same amortised-cost sovereign-debt line, kept under each year's own originally-printed wording rather than forced into a single common label.</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Profit &amp; Loss</t>
        </is>
      </c>
    </row>
    <row r="2">
      <c r="A2" s="2" t="inlineStr">
        <is>
          <t>Consolidated (Group) basis - see BASIS NOTE at bottom (this entity does not publish a standalone Bank income statement).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Income</t>
        </is>
      </c>
      <c r="B4" s="6" t="n"/>
      <c r="C4" s="6" t="n"/>
      <c r="D4" s="6" t="n"/>
      <c r="E4" s="6" t="n"/>
      <c r="F4" s="6" t="n"/>
    </row>
    <row r="5">
      <c r="A5" s="6" t="inlineStr">
        <is>
          <t>Financing and similar income / Interest income</t>
        </is>
      </c>
      <c r="B5" s="6" t="n">
        <v>143932</v>
      </c>
      <c r="C5" s="6" t="n">
        <v>185131</v>
      </c>
      <c r="D5" s="6" t="n">
        <v>178840</v>
      </c>
      <c r="E5" s="6" t="n">
        <v>86307</v>
      </c>
      <c r="F5" s="6" t="n">
        <v>50477</v>
      </c>
    </row>
    <row r="6">
      <c r="A6" s="6" t="inlineStr">
        <is>
          <t>Financing and similar cost / Interest expense</t>
        </is>
      </c>
      <c r="B6" s="6" t="n">
        <v>-78199</v>
      </c>
      <c r="C6" s="6" t="n">
        <v>-110078</v>
      </c>
      <c r="D6" s="6" t="n">
        <v>-94224</v>
      </c>
      <c r="E6" s="6" t="n">
        <v>-30047</v>
      </c>
      <c r="F6" s="6" t="n">
        <v>-13505</v>
      </c>
    </row>
    <row r="7">
      <c r="A7" s="5" t="inlineStr">
        <is>
          <t>Net financing and similar income / Net interest income</t>
        </is>
      </c>
      <c r="B7" s="5" t="n">
        <v>65733</v>
      </c>
      <c r="C7" s="5" t="n">
        <v>75053</v>
      </c>
      <c r="D7" s="5" t="n">
        <v>84616</v>
      </c>
      <c r="E7" s="5" t="n">
        <v>56260</v>
      </c>
      <c r="F7" s="5" t="n">
        <v>36972</v>
      </c>
    </row>
    <row r="8">
      <c r="A8" s="6" t="inlineStr">
        <is>
          <t>Net fees and commissions</t>
        </is>
      </c>
      <c r="B8" s="6" t="n">
        <v>7846</v>
      </c>
      <c r="C8" s="6" t="n">
        <v>6498</v>
      </c>
      <c r="D8" s="6" t="n">
        <v>8147</v>
      </c>
      <c r="E8" s="6" t="n">
        <v>11141</v>
      </c>
      <c r="F8" s="6" t="n">
        <v>11900</v>
      </c>
    </row>
    <row r="9">
      <c r="A9" s="6" t="inlineStr">
        <is>
          <t>Investment income</t>
        </is>
      </c>
      <c r="B9" s="6" t="n">
        <v>2571</v>
      </c>
      <c r="C9" s="6" t="n">
        <v>9444</v>
      </c>
      <c r="D9" s="6" t="n">
        <v>4545</v>
      </c>
      <c r="E9" s="6" t="n">
        <v>6241</v>
      </c>
      <c r="F9" s="6" t="n">
        <v>694</v>
      </c>
    </row>
    <row r="10">
      <c r="A10" s="6" t="inlineStr">
        <is>
          <t>Other operating income</t>
        </is>
      </c>
      <c r="B10" s="6" t="n">
        <v>5902</v>
      </c>
      <c r="C10" s="6" t="n">
        <v>4961</v>
      </c>
      <c r="D10" s="6" t="n">
        <v>5365</v>
      </c>
      <c r="E10" s="6" t="n">
        <v>5600</v>
      </c>
      <c r="F10" s="6" t="n">
        <v>3149</v>
      </c>
    </row>
    <row r="11">
      <c r="A11" s="5" t="inlineStr">
        <is>
          <t>Fees and other income</t>
        </is>
      </c>
      <c r="B11" s="5" t="n">
        <v>16319</v>
      </c>
      <c r="C11" s="5" t="n">
        <v>20903</v>
      </c>
      <c r="D11" s="5" t="n">
        <v>18057</v>
      </c>
      <c r="E11" s="5" t="n">
        <v>22982</v>
      </c>
      <c r="F11" s="5" t="n">
        <v>15743</v>
      </c>
    </row>
    <row r="12">
      <c r="A12" s="5" t="inlineStr">
        <is>
          <t>Operating income</t>
        </is>
      </c>
      <c r="B12" s="5" t="n">
        <v>82052</v>
      </c>
      <c r="C12" s="5" t="n">
        <v>95956</v>
      </c>
      <c r="D12" s="5" t="n">
        <v>102673</v>
      </c>
      <c r="E12" s="5" t="n">
        <v>79242</v>
      </c>
      <c r="F12" s="5" t="n">
        <v>52715</v>
      </c>
    </row>
    <row r="13">
      <c r="A13" s="6" t="inlineStr">
        <is>
          <t>Credit provision loss/(recovery)</t>
        </is>
      </c>
      <c r="B13" s="6" t="n">
        <v>-8012</v>
      </c>
      <c r="C13" s="6" t="n">
        <v>-1415</v>
      </c>
      <c r="D13" s="6" t="n">
        <v>-4718</v>
      </c>
      <c r="E13" s="6" t="n">
        <v>-397</v>
      </c>
      <c r="F13" s="6" t="n">
        <v>1882</v>
      </c>
    </row>
    <row r="14">
      <c r="A14" s="5" t="inlineStr">
        <is>
          <t>Net operating income</t>
        </is>
      </c>
      <c r="B14" s="5" t="n">
        <v>74040</v>
      </c>
      <c r="C14" s="5" t="n">
        <v>94541</v>
      </c>
      <c r="D14" s="5" t="n">
        <v>97955</v>
      </c>
      <c r="E14" s="5" t="n">
        <v>78845</v>
      </c>
      <c r="F14" s="5" t="n">
        <v>54597</v>
      </c>
    </row>
    <row r="15">
      <c r="A15" s="6" t="inlineStr">
        <is>
          <t>Staff costs</t>
        </is>
      </c>
      <c r="B15" s="6" t="n">
        <v>-25784</v>
      </c>
      <c r="C15" s="6" t="n">
        <v>-24276</v>
      </c>
      <c r="D15" s="6" t="n">
        <v>-20490</v>
      </c>
      <c r="E15" s="6" t="n">
        <v>-15720</v>
      </c>
      <c r="F15" s="6" t="n">
        <v>-17147</v>
      </c>
    </row>
    <row r="16">
      <c r="A16" s="6" t="inlineStr">
        <is>
          <t>Depreciation</t>
        </is>
      </c>
      <c r="B16" s="6" t="n">
        <v>-2207</v>
      </c>
      <c r="C16" s="6" t="n">
        <v>-1990</v>
      </c>
      <c r="D16" s="6" t="n">
        <v>-2036</v>
      </c>
      <c r="E16" s="6" t="n">
        <v>-3106</v>
      </c>
      <c r="F16" s="6" t="n">
        <v>-3366</v>
      </c>
    </row>
    <row r="17">
      <c r="A17" s="6" t="inlineStr">
        <is>
          <t>Operating expenses</t>
        </is>
      </c>
      <c r="B17" s="6" t="n">
        <v>-15786</v>
      </c>
      <c r="C17" s="6" t="n">
        <v>-16379</v>
      </c>
      <c r="D17" s="6" t="n">
        <v>-14264</v>
      </c>
      <c r="E17" s="6" t="n">
        <v>-9460</v>
      </c>
      <c r="F17" s="6" t="n">
        <v>-10250</v>
      </c>
    </row>
    <row r="18">
      <c r="A18" s="5" t="inlineStr">
        <is>
          <t>Operating expenses (total)</t>
        </is>
      </c>
      <c r="B18" s="5" t="n">
        <v>43777</v>
      </c>
      <c r="C18" s="5" t="n">
        <v>42645</v>
      </c>
      <c r="D18" s="5" t="n">
        <v>36790</v>
      </c>
      <c r="E18" s="5" t="n">
        <v>28286</v>
      </c>
      <c r="F18" s="5" t="n">
        <v>30763</v>
      </c>
    </row>
    <row r="19">
      <c r="A19" s="5" t="inlineStr">
        <is>
          <t>Profit before tax</t>
        </is>
      </c>
      <c r="B19" s="5" t="n">
        <v>30263</v>
      </c>
      <c r="C19" s="5" t="n">
        <v>51896</v>
      </c>
      <c r="D19" s="5" t="n">
        <v>61165</v>
      </c>
      <c r="E19" s="5" t="n">
        <v>50559</v>
      </c>
      <c r="F19" s="5" t="n">
        <v>23834</v>
      </c>
    </row>
    <row r="20">
      <c r="A20" s="6" t="inlineStr">
        <is>
          <t>Tax expense</t>
        </is>
      </c>
      <c r="B20" s="6" t="n">
        <v>-7843</v>
      </c>
      <c r="C20" s="6" t="n">
        <v>-12678</v>
      </c>
      <c r="D20" s="6" t="n">
        <v>-14179</v>
      </c>
      <c r="E20" s="6" t="n">
        <v>-11097</v>
      </c>
      <c r="F20" s="6" t="n">
        <v>-4941</v>
      </c>
    </row>
    <row r="21">
      <c r="A21" s="5" t="inlineStr">
        <is>
          <t>Net profit after tax</t>
        </is>
      </c>
      <c r="B21" s="5" t="n">
        <v>22420</v>
      </c>
      <c r="C21" s="5" t="n">
        <v>39218</v>
      </c>
      <c r="D21" s="5" t="n">
        <v>46986</v>
      </c>
      <c r="E21" s="5" t="n">
        <v>39462</v>
      </c>
      <c r="F21" s="5" t="n">
        <v>18893</v>
      </c>
    </row>
    <row r="22">
      <c r="A22" s="5" t="inlineStr">
        <is>
          <t>Other comprehensive income</t>
        </is>
      </c>
      <c r="B22" s="6" t="n"/>
      <c r="C22" s="6" t="n"/>
      <c r="D22" s="6" t="n"/>
      <c r="E22" s="6" t="n"/>
      <c r="F22" s="6" t="n"/>
    </row>
    <row r="23">
      <c r="A23" s="6" t="inlineStr">
        <is>
          <t>Net change in pension fund reserve</t>
        </is>
      </c>
      <c r="B23" s="6" t="n">
        <v>-17</v>
      </c>
      <c r="C23" s="6" t="n">
        <v>-242</v>
      </c>
      <c r="D23" s="6" t="n">
        <v>-20082</v>
      </c>
      <c r="E23" s="6" t="n">
        <v>-17605</v>
      </c>
      <c r="F23" s="6" t="n">
        <v>28081</v>
      </c>
    </row>
    <row r="24">
      <c r="A24" s="6" t="inlineStr">
        <is>
          <t>Net change in fair value of investments</t>
        </is>
      </c>
      <c r="B24" s="6" t="n">
        <v>-5243</v>
      </c>
      <c r="C24" s="6" t="n">
        <v>4762</v>
      </c>
      <c r="D24" s="6" t="n">
        <v>-3824</v>
      </c>
      <c r="E24" s="6" t="n">
        <v>-4250</v>
      </c>
      <c r="F24" s="6" t="n">
        <v>8495</v>
      </c>
    </row>
    <row r="25">
      <c r="A25" s="6" t="inlineStr">
        <is>
          <t>Exchange differences on translating sterling share capital</t>
        </is>
      </c>
      <c r="B25" s="6" t="n">
        <v>5</v>
      </c>
      <c r="C25" s="6" t="n">
        <v>1</v>
      </c>
      <c r="D25" s="6" t="n">
        <v>3</v>
      </c>
      <c r="E25" s="6" t="n">
        <v>-7</v>
      </c>
      <c r="F25" s="6" t="n">
        <v>-1</v>
      </c>
    </row>
    <row r="26">
      <c r="A26" s="6" t="inlineStr">
        <is>
          <t>Net change in fair value of cash flow hedges</t>
        </is>
      </c>
      <c r="B26" s="6" t="n">
        <v>0</v>
      </c>
      <c r="C26" s="6" t="n">
        <v>0</v>
      </c>
      <c r="D26" s="6" t="n">
        <v>-92</v>
      </c>
      <c r="E26" s="6" t="n">
        <v>-64</v>
      </c>
      <c r="F26" s="6" t="n">
        <v>373</v>
      </c>
    </row>
    <row r="27">
      <c r="A27" s="5" t="inlineStr">
        <is>
          <t>Comprehensive income/(loss) for the year</t>
        </is>
      </c>
      <c r="B27" s="5" t="n">
        <v>-5255</v>
      </c>
      <c r="C27" s="5" t="n">
        <v>4521</v>
      </c>
      <c r="D27" s="5" t="n">
        <v>-23995</v>
      </c>
      <c r="E27" s="5" t="n">
        <v>-21926</v>
      </c>
      <c r="F27" s="5" t="n">
        <v>36948</v>
      </c>
    </row>
    <row r="28">
      <c r="A28" s="5" t="inlineStr">
        <is>
          <t>Total comprehensive income for the year, net of tax</t>
        </is>
      </c>
      <c r="B28" s="5" t="n">
        <v>17165</v>
      </c>
      <c r="C28" s="5" t="n">
        <v>43739</v>
      </c>
      <c r="D28" s="5" t="n">
        <v>22991</v>
      </c>
      <c r="E28" s="5" t="n">
        <v>17536</v>
      </c>
      <c r="F28" s="5" t="n">
        <v>55841</v>
      </c>
    </row>
    <row r="30" ht="420" customHeight="1">
      <c r="A30"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Kuwait Finance House Plc — Statement of Changes in Equity</t>
        </is>
      </c>
    </row>
    <row r="2">
      <c r="A2" s="2" t="inlineStr">
        <is>
          <t>Bank/solo basis, chronological roll-forward oldest to newest. Equity reconciliation ladder confirmed: every year's own closing balance ties exactly to both the next year's own opening balance and that year's own Balance Sheet Total equity - zero plug rows needed anywhere across all 5 years. US$'000.</t>
        </is>
      </c>
    </row>
    <row r="3">
      <c r="A3" s="4" t="inlineStr">
        <is>
          <t>Movement</t>
        </is>
      </c>
      <c r="B3" s="4" t="inlineStr">
        <is>
          <t>Ordinary share capital</t>
        </is>
      </c>
      <c r="C3" s="4" t="inlineStr">
        <is>
          <t>Share premium</t>
        </is>
      </c>
      <c r="D3" s="4" t="inlineStr">
        <is>
          <t>Cash flow hedge reserve</t>
        </is>
      </c>
      <c r="E3" s="4" t="inlineStr">
        <is>
          <t>Other reserves / Fair value reserve</t>
        </is>
      </c>
      <c r="F3" s="4" t="inlineStr">
        <is>
          <t>Retained earnings</t>
        </is>
      </c>
      <c r="G3" s="4" t="inlineStr">
        <is>
          <t>Total equity</t>
        </is>
      </c>
    </row>
    <row r="4">
      <c r="A4" s="5" t="inlineStr">
        <is>
          <t>Balance at 1 January 2021</t>
        </is>
      </c>
      <c r="B4" s="5" t="n">
        <v>200080</v>
      </c>
      <c r="C4" s="5" t="n">
        <v>128</v>
      </c>
      <c r="D4" s="5" t="n"/>
      <c r="E4" s="5" t="n">
        <v>951</v>
      </c>
      <c r="F4" s="5" t="n">
        <v>75712</v>
      </c>
      <c r="G4" s="5" t="n">
        <v>276871</v>
      </c>
    </row>
    <row r="5">
      <c r="A5" s="6" t="inlineStr">
        <is>
          <t>Net profit after tax for the year</t>
        </is>
      </c>
      <c r="B5" s="6" t="n"/>
      <c r="C5" s="6" t="n"/>
      <c r="D5" s="6" t="n"/>
      <c r="E5" s="6" t="n"/>
      <c r="F5" s="6" t="n">
        <v>18893</v>
      </c>
      <c r="G5" s="6" t="n">
        <v>18893</v>
      </c>
    </row>
    <row r="6">
      <c r="A6" s="6" t="inlineStr">
        <is>
          <t>Net change in fair value of cash flow hedges</t>
        </is>
      </c>
      <c r="B6" s="6" t="n"/>
      <c r="C6" s="6" t="n"/>
      <c r="D6" s="6" t="n"/>
      <c r="E6" s="6" t="n">
        <v>373</v>
      </c>
      <c r="F6" s="6" t="n"/>
      <c r="G6" s="6" t="n">
        <v>373</v>
      </c>
    </row>
    <row r="7">
      <c r="A7" s="6" t="inlineStr">
        <is>
          <t>Net change in fair value of investments</t>
        </is>
      </c>
      <c r="B7" s="6" t="n"/>
      <c r="C7" s="6" t="n"/>
      <c r="D7" s="6" t="n"/>
      <c r="E7" s="6" t="n">
        <v>8495</v>
      </c>
      <c r="F7" s="6" t="n"/>
      <c r="G7" s="6" t="n">
        <v>8495</v>
      </c>
    </row>
    <row r="8">
      <c r="A8" s="6" t="inlineStr">
        <is>
          <t>Net change in pension fund reserve</t>
        </is>
      </c>
      <c r="B8" s="6" t="n"/>
      <c r="C8" s="6" t="n"/>
      <c r="D8" s="6" t="n"/>
      <c r="E8" s="6" t="n"/>
      <c r="F8" s="6" t="n">
        <v>28081</v>
      </c>
      <c r="G8" s="6" t="n">
        <v>28081</v>
      </c>
    </row>
    <row r="9">
      <c r="A9" s="6" t="inlineStr">
        <is>
          <t>Exchange differences on translating sterling share capital</t>
        </is>
      </c>
      <c r="B9" s="6" t="n"/>
      <c r="C9" s="6" t="n"/>
      <c r="D9" s="6" t="n"/>
      <c r="E9" s="6" t="n"/>
      <c r="F9" s="6" t="n">
        <v>-1</v>
      </c>
      <c r="G9" s="6" t="n">
        <v>-1</v>
      </c>
    </row>
    <row r="10">
      <c r="A10" s="6" t="inlineStr">
        <is>
          <t>Dividend paid to parent undertaking</t>
        </is>
      </c>
      <c r="B10" s="6" t="n"/>
      <c r="C10" s="6" t="n"/>
      <c r="D10" s="6" t="n"/>
      <c r="E10" s="6" t="n"/>
      <c r="F10" s="6" t="n">
        <v>-10000</v>
      </c>
      <c r="G10" s="6" t="n">
        <v>-10000</v>
      </c>
    </row>
    <row r="11">
      <c r="A11" s="5" t="inlineStr">
        <is>
          <t>Balance at 31 December 2021 (FY2021 closing / FY2022 opening)</t>
        </is>
      </c>
      <c r="B11" s="5" t="n">
        <v>200080</v>
      </c>
      <c r="C11" s="5" t="n">
        <v>128</v>
      </c>
      <c r="D11" s="5" t="n"/>
      <c r="E11" s="5" t="n">
        <v>9819</v>
      </c>
      <c r="F11" s="5" t="n">
        <v>112722</v>
      </c>
      <c r="G11" s="5" t="n">
        <v>322749</v>
      </c>
    </row>
    <row r="12">
      <c r="A12" s="6" t="inlineStr">
        <is>
          <t>Net profit after tax for the year</t>
        </is>
      </c>
      <c r="B12" s="6" t="n"/>
      <c r="C12" s="6" t="n"/>
      <c r="D12" s="6" t="n"/>
      <c r="E12" s="6" t="n"/>
      <c r="F12" s="6" t="n">
        <v>39462</v>
      </c>
      <c r="G12" s="6" t="n">
        <v>39462</v>
      </c>
    </row>
    <row r="13">
      <c r="A13" s="6" t="inlineStr">
        <is>
          <t>Net change in fair value of cash flow hedges</t>
        </is>
      </c>
      <c r="B13" s="6" t="n"/>
      <c r="C13" s="6" t="n"/>
      <c r="D13" s="6" t="n"/>
      <c r="E13" s="6" t="n">
        <v>-64</v>
      </c>
      <c r="F13" s="6" t="n"/>
      <c r="G13" s="6" t="n">
        <v>-64</v>
      </c>
    </row>
    <row r="14">
      <c r="A14" s="6" t="inlineStr">
        <is>
          <t>Net change in fair value of investments</t>
        </is>
      </c>
      <c r="B14" s="6" t="n"/>
      <c r="C14" s="6" t="n"/>
      <c r="D14" s="6" t="n"/>
      <c r="E14" s="6" t="n">
        <v>-4250</v>
      </c>
      <c r="F14" s="6" t="n"/>
      <c r="G14" s="6" t="n">
        <v>-4250</v>
      </c>
    </row>
    <row r="15">
      <c r="A15" s="6" t="inlineStr">
        <is>
          <t>Net change in pension fund reserve</t>
        </is>
      </c>
      <c r="B15" s="6" t="n"/>
      <c r="C15" s="6" t="n"/>
      <c r="D15" s="6" t="n"/>
      <c r="E15" s="6" t="n"/>
      <c r="F15" s="6" t="n">
        <v>-17605</v>
      </c>
      <c r="G15" s="6" t="n">
        <v>-17605</v>
      </c>
    </row>
    <row r="16">
      <c r="A16" s="6" t="inlineStr">
        <is>
          <t>Reclassification of net changes in fair value through OCI investments upon derecognition</t>
        </is>
      </c>
      <c r="B16" s="6" t="n"/>
      <c r="C16" s="6" t="n"/>
      <c r="D16" s="6" t="n"/>
      <c r="E16" s="6" t="n">
        <v>318</v>
      </c>
      <c r="F16" s="6" t="n">
        <v>-318</v>
      </c>
      <c r="G16" s="6" t="n"/>
    </row>
    <row r="17">
      <c r="A17" s="6" t="inlineStr">
        <is>
          <t>Exchange differences on translating sterling share capital</t>
        </is>
      </c>
      <c r="B17" s="6" t="n"/>
      <c r="C17" s="6" t="n"/>
      <c r="D17" s="6" t="n"/>
      <c r="E17" s="6" t="n"/>
      <c r="F17" s="6" t="n">
        <v>-7</v>
      </c>
      <c r="G17" s="6" t="n">
        <v>-7</v>
      </c>
    </row>
    <row r="18">
      <c r="A18" s="6" t="inlineStr">
        <is>
          <t>Dividend paid to parent undertaking</t>
        </is>
      </c>
      <c r="B18" s="6" t="n"/>
      <c r="C18" s="6" t="n"/>
      <c r="D18" s="6" t="n"/>
      <c r="E18" s="6" t="n"/>
      <c r="F18" s="6" t="n">
        <v>-10000</v>
      </c>
      <c r="G18" s="6" t="n">
        <v>-10000</v>
      </c>
    </row>
    <row r="19">
      <c r="A19" s="5" t="inlineStr">
        <is>
          <t>Balance at 31 December 2022 (FY2022 closing / FY2023 opening - Other reserves 5,823 here becomes Cash flow hedge reserve 92 + Fair value reserve 5,731 in the source's own FY2023 presentation, split below)</t>
        </is>
      </c>
      <c r="B19" s="5" t="n">
        <v>200080</v>
      </c>
      <c r="C19" s="5" t="n">
        <v>128</v>
      </c>
      <c r="D19" s="5" t="n">
        <v>92</v>
      </c>
      <c r="E19" s="5" t="n">
        <v>5731</v>
      </c>
      <c r="F19" s="5" t="n">
        <v>124254</v>
      </c>
      <c r="G19" s="5" t="n">
        <v>330285</v>
      </c>
    </row>
    <row r="20">
      <c r="A20" s="6" t="inlineStr">
        <is>
          <t>Net profit after tax for the year</t>
        </is>
      </c>
      <c r="B20" s="6" t="n"/>
      <c r="C20" s="6" t="n"/>
      <c r="D20" s="6" t="n"/>
      <c r="E20" s="6" t="n"/>
      <c r="F20" s="6" t="n">
        <v>47464</v>
      </c>
      <c r="G20" s="6" t="n">
        <v>47464</v>
      </c>
    </row>
    <row r="21">
      <c r="A21" s="6" t="inlineStr">
        <is>
          <t>Net change in fair value of cash flow hedges</t>
        </is>
      </c>
      <c r="B21" s="6" t="n"/>
      <c r="C21" s="6" t="n"/>
      <c r="D21" s="6" t="n">
        <v>-92</v>
      </c>
      <c r="E21" s="6" t="n"/>
      <c r="F21" s="6" t="n"/>
      <c r="G21" s="6" t="n">
        <v>-92</v>
      </c>
    </row>
    <row r="22">
      <c r="A22" s="6" t="inlineStr">
        <is>
          <t>Net change in fair value of investments</t>
        </is>
      </c>
      <c r="B22" s="6" t="n"/>
      <c r="C22" s="6" t="n"/>
      <c r="D22" s="6" t="n"/>
      <c r="E22" s="6" t="n">
        <v>-3824</v>
      </c>
      <c r="F22" s="6" t="n"/>
      <c r="G22" s="6" t="n">
        <v>-3824</v>
      </c>
    </row>
    <row r="23">
      <c r="A23" s="6" t="inlineStr">
        <is>
          <t>Net change in pension fund reserve</t>
        </is>
      </c>
      <c r="B23" s="6" t="n"/>
      <c r="C23" s="6" t="n"/>
      <c r="D23" s="6" t="n"/>
      <c r="E23" s="6" t="n"/>
      <c r="F23" s="6" t="n">
        <v>-20082</v>
      </c>
      <c r="G23" s="6" t="n">
        <v>-20082</v>
      </c>
    </row>
    <row r="24">
      <c r="A24" s="6" t="inlineStr">
        <is>
          <t>Exchange differences on translating sterling share capital</t>
        </is>
      </c>
      <c r="B24" s="6" t="n"/>
      <c r="C24" s="6" t="n"/>
      <c r="D24" s="6" t="n"/>
      <c r="E24" s="6" t="n"/>
      <c r="F24" s="6" t="n">
        <v>3</v>
      </c>
      <c r="G24" s="6" t="n">
        <v>3</v>
      </c>
    </row>
    <row r="25">
      <c r="A25" s="6" t="inlineStr">
        <is>
          <t>Dividend paid to parent undertaking</t>
        </is>
      </c>
      <c r="B25" s="6" t="n"/>
      <c r="C25" s="6" t="n"/>
      <c r="D25" s="6" t="n"/>
      <c r="E25" s="6" t="n"/>
      <c r="F25" s="6" t="n">
        <v>-20000</v>
      </c>
      <c r="G25" s="6" t="n">
        <v>-20000</v>
      </c>
    </row>
    <row r="26">
      <c r="A26" s="5" t="inlineStr">
        <is>
          <t>Balance at 31 December 2023 (FY2023 closing / FY2024 opening)</t>
        </is>
      </c>
      <c r="B26" s="5" t="n">
        <v>200080</v>
      </c>
      <c r="C26" s="5" t="n">
        <v>128</v>
      </c>
      <c r="D26" s="5" t="n">
        <v>0</v>
      </c>
      <c r="E26" s="5" t="n">
        <v>1907</v>
      </c>
      <c r="F26" s="5" t="n">
        <v>131639</v>
      </c>
      <c r="G26" s="5" t="n">
        <v>333754</v>
      </c>
    </row>
    <row r="27">
      <c r="A27" s="6" t="inlineStr">
        <is>
          <t>Net profit after tax for the year</t>
        </is>
      </c>
      <c r="B27" s="6" t="n"/>
      <c r="C27" s="6" t="n"/>
      <c r="D27" s="6" t="n"/>
      <c r="E27" s="6" t="n"/>
      <c r="F27" s="6" t="n">
        <v>39450</v>
      </c>
      <c r="G27" s="6" t="n">
        <v>39450</v>
      </c>
    </row>
    <row r="28">
      <c r="A28" s="6" t="inlineStr">
        <is>
          <t>Net change in fair value of investments</t>
        </is>
      </c>
      <c r="B28" s="6" t="n"/>
      <c r="C28" s="6" t="n"/>
      <c r="D28" s="6" t="n"/>
      <c r="E28" s="6" t="n">
        <v>4316</v>
      </c>
      <c r="F28" s="6" t="n"/>
      <c r="G28" s="6" t="n">
        <v>4316</v>
      </c>
    </row>
    <row r="29">
      <c r="A29" s="6" t="inlineStr">
        <is>
          <t>Net change in pension fund reserve</t>
        </is>
      </c>
      <c r="B29" s="6" t="n"/>
      <c r="C29" s="6" t="n"/>
      <c r="D29" s="6" t="n"/>
      <c r="E29" s="6" t="n"/>
      <c r="F29" s="6" t="n">
        <v>-242</v>
      </c>
      <c r="G29" s="6" t="n">
        <v>-242</v>
      </c>
    </row>
    <row r="30">
      <c r="A30" s="6" t="inlineStr">
        <is>
          <t>Reclassification of net changes in fair value through OCI investments</t>
        </is>
      </c>
      <c r="B30" s="6" t="n"/>
      <c r="C30" s="6" t="n"/>
      <c r="D30" s="6" t="n"/>
      <c r="E30" s="6" t="n">
        <v>446</v>
      </c>
      <c r="F30" s="6" t="n">
        <v>-446</v>
      </c>
      <c r="G30" s="6" t="n"/>
    </row>
    <row r="31">
      <c r="A31" s="6" t="inlineStr">
        <is>
          <t>Exchange differences on translating sterling share capital</t>
        </is>
      </c>
      <c r="B31" s="6" t="n"/>
      <c r="C31" s="6" t="n"/>
      <c r="D31" s="6" t="n"/>
      <c r="E31" s="6" t="n"/>
      <c r="F31" s="6" t="n">
        <v>1</v>
      </c>
      <c r="G31" s="6" t="n">
        <v>1</v>
      </c>
    </row>
    <row r="32">
      <c r="A32" s="6" t="inlineStr">
        <is>
          <t>Dividend paid to parent undertaking</t>
        </is>
      </c>
      <c r="B32" s="6" t="n"/>
      <c r="C32" s="6" t="n"/>
      <c r="D32" s="6" t="n"/>
      <c r="E32" s="6" t="n"/>
      <c r="F32" s="6" t="n">
        <v>-30000</v>
      </c>
      <c r="G32" s="6" t="n">
        <v>-30000</v>
      </c>
    </row>
    <row r="33">
      <c r="A33" s="5" t="inlineStr">
        <is>
          <t>Balance at 31 December 2024 (FY2024 closing / FY2025 opening)</t>
        </is>
      </c>
      <c r="B33" s="5" t="n">
        <v>200080</v>
      </c>
      <c r="C33" s="5" t="n">
        <v>128</v>
      </c>
      <c r="D33" s="5" t="n">
        <v>0</v>
      </c>
      <c r="E33" s="5" t="n">
        <v>6669</v>
      </c>
      <c r="F33" s="5" t="n">
        <v>140402</v>
      </c>
      <c r="G33" s="5" t="n">
        <v>347279</v>
      </c>
    </row>
    <row r="34">
      <c r="A34" s="6" t="inlineStr">
        <is>
          <t>Net profit after tax for the year</t>
        </is>
      </c>
      <c r="B34" s="6" t="n"/>
      <c r="C34" s="6" t="n"/>
      <c r="D34" s="6" t="n"/>
      <c r="E34" s="6" t="n"/>
      <c r="F34" s="6" t="n">
        <v>20585</v>
      </c>
      <c r="G34" s="6" t="n">
        <v>20585</v>
      </c>
    </row>
    <row r="35">
      <c r="A35" s="6" t="inlineStr">
        <is>
          <t>Net change in fair value of investments</t>
        </is>
      </c>
      <c r="B35" s="6" t="n"/>
      <c r="C35" s="6" t="n"/>
      <c r="D35" s="6" t="n"/>
      <c r="E35" s="6" t="n">
        <v>-5243</v>
      </c>
      <c r="F35" s="6" t="n"/>
      <c r="G35" s="6" t="n">
        <v>-5243</v>
      </c>
    </row>
    <row r="36">
      <c r="A36" s="6" t="inlineStr">
        <is>
          <t>Net change in pension fund reserve</t>
        </is>
      </c>
      <c r="B36" s="6" t="n"/>
      <c r="C36" s="6" t="n"/>
      <c r="D36" s="6" t="n"/>
      <c r="E36" s="6" t="n"/>
      <c r="F36" s="6" t="n">
        <v>-17</v>
      </c>
      <c r="G36" s="6" t="n">
        <v>-17</v>
      </c>
    </row>
    <row r="37">
      <c r="A37" s="6" t="inlineStr">
        <is>
          <t>Exchange differences on translating sterling share capital</t>
        </is>
      </c>
      <c r="B37" s="6" t="n"/>
      <c r="C37" s="6" t="n"/>
      <c r="D37" s="6" t="n"/>
      <c r="E37" s="6" t="n"/>
      <c r="F37" s="6" t="n">
        <v>5</v>
      </c>
      <c r="G37" s="6" t="n">
        <v>5</v>
      </c>
    </row>
    <row r="38">
      <c r="A38" s="6" t="inlineStr">
        <is>
          <t>Dividend paid to parent undertaking</t>
        </is>
      </c>
      <c r="B38" s="6" t="n"/>
      <c r="C38" s="6" t="n"/>
      <c r="D38" s="6" t="n"/>
      <c r="E38" s="6" t="n"/>
      <c r="F38" s="6" t="n">
        <v>-30000</v>
      </c>
      <c r="G38" s="6" t="n">
        <v>-30000</v>
      </c>
    </row>
    <row r="39">
      <c r="A39" s="5" t="inlineStr">
        <is>
          <t>Balance at 31 December 2025 (FY2025 closing)</t>
        </is>
      </c>
      <c r="B39" s="5" t="n">
        <v>200080</v>
      </c>
      <c r="C39" s="5" t="n">
        <v>128</v>
      </c>
      <c r="D39" s="5" t="n">
        <v>0</v>
      </c>
      <c r="E39" s="5" t="n">
        <v>1426</v>
      </c>
      <c r="F39" s="5" t="n">
        <v>130975</v>
      </c>
      <c r="G39" s="5" t="n">
        <v>332609</v>
      </c>
    </row>
    <row r="41" ht="15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Statement of Cash Flows</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Operating activities</t>
        </is>
      </c>
      <c r="B4" s="6" t="n"/>
      <c r="C4" s="6" t="n"/>
      <c r="D4" s="6" t="n"/>
      <c r="E4" s="6" t="n"/>
      <c r="F4" s="6" t="n"/>
    </row>
    <row r="5">
      <c r="A5" s="6" t="inlineStr">
        <is>
          <t>Profit before tax</t>
        </is>
      </c>
      <c r="B5" s="6" t="n">
        <v>28425</v>
      </c>
      <c r="C5" s="6" t="n">
        <v>51882</v>
      </c>
      <c r="D5" s="6" t="n">
        <v>61792</v>
      </c>
      <c r="E5" s="6" t="n">
        <v>50559</v>
      </c>
      <c r="F5" s="6" t="n">
        <v>23877</v>
      </c>
    </row>
    <row r="6">
      <c r="A6" s="6" t="inlineStr">
        <is>
          <t>Depreciation</t>
        </is>
      </c>
      <c r="B6" s="6" t="n">
        <v>2207</v>
      </c>
      <c r="C6" s="6" t="n">
        <v>1990</v>
      </c>
      <c r="D6" s="6" t="n">
        <v>2036</v>
      </c>
      <c r="E6" s="6" t="n">
        <v>3106</v>
      </c>
      <c r="F6" s="6" t="n">
        <v>3366</v>
      </c>
    </row>
    <row r="7">
      <c r="A7" s="6" t="inlineStr">
        <is>
          <t>Profit on disposal of Investment Property</t>
        </is>
      </c>
      <c r="B7" s="6" t="n">
        <v>-140</v>
      </c>
      <c r="C7" s="6" t="n"/>
      <c r="D7" s="6" t="n"/>
      <c r="E7" s="6" t="n"/>
      <c r="F7" s="6" t="n"/>
    </row>
    <row r="8">
      <c r="A8" s="6" t="inlineStr">
        <is>
          <t>Changes in carrying value of non-trading investments/debt instruments</t>
        </is>
      </c>
      <c r="B8" s="6" t="n">
        <v>-9532</v>
      </c>
      <c r="C8" s="6" t="n">
        <v>-10984</v>
      </c>
      <c r="D8" s="6" t="n">
        <v>-3584</v>
      </c>
      <c r="E8" s="6" t="n">
        <v>-3405</v>
      </c>
      <c r="F8" s="6" t="n">
        <v>13344</v>
      </c>
    </row>
    <row r="9">
      <c r="A9" s="6" t="inlineStr">
        <is>
          <t>Amortisation of Short Term Government Instruments</t>
        </is>
      </c>
      <c r="B9" s="6" t="n">
        <v>-952</v>
      </c>
      <c r="C9" s="6" t="n"/>
      <c r="D9" s="6" t="n"/>
      <c r="E9" s="6" t="n"/>
      <c r="F9" s="6" t="n"/>
    </row>
    <row r="10">
      <c r="A10" s="6" t="inlineStr">
        <is>
          <t>Changes in carrying value of Visa shares/Private Equity funds</t>
        </is>
      </c>
      <c r="B10" s="6" t="n">
        <v>-64</v>
      </c>
      <c r="C10" s="6" t="n">
        <v>-411</v>
      </c>
      <c r="D10" s="6" t="n">
        <v>667</v>
      </c>
      <c r="E10" s="6" t="n">
        <v>1534</v>
      </c>
      <c r="F10" s="6" t="n"/>
    </row>
    <row r="11">
      <c r="A11" s="6" t="inlineStr">
        <is>
          <t>Proceeds from sale of non trading investments (P&amp;L adjustment)</t>
        </is>
      </c>
      <c r="B11" s="6" t="n"/>
      <c r="C11" s="6" t="n"/>
      <c r="D11" s="6" t="n">
        <v>0</v>
      </c>
      <c r="E11" s="6" t="n">
        <v>-890</v>
      </c>
      <c r="F11" s="6" t="n"/>
    </row>
    <row r="12">
      <c r="A12" s="6" t="inlineStr">
        <is>
          <t>Expense/interest expense on lease liabilities (P&amp;L adjustment)</t>
        </is>
      </c>
      <c r="B12" s="6" t="n">
        <v>119</v>
      </c>
      <c r="C12" s="6" t="n"/>
      <c r="D12" s="6" t="n"/>
      <c r="E12" s="6" t="n"/>
      <c r="F12" s="6" t="n"/>
    </row>
    <row r="13">
      <c r="A13" s="6" t="inlineStr">
        <is>
          <t>Expected credit loss provisions/(releases)</t>
        </is>
      </c>
      <c r="B13" s="6" t="n">
        <v>8012</v>
      </c>
      <c r="C13" s="6" t="n">
        <v>1415</v>
      </c>
      <c r="D13" s="6" t="n">
        <v>4718</v>
      </c>
      <c r="E13" s="6" t="n">
        <v>397</v>
      </c>
      <c r="F13" s="6" t="n">
        <v>-1882</v>
      </c>
    </row>
    <row r="14">
      <c r="A14" s="6" t="inlineStr">
        <is>
          <t>Foreign currency translations (P&amp;L adjustment)</t>
        </is>
      </c>
      <c r="B14" s="6" t="n">
        <v>36362</v>
      </c>
      <c r="C14" s="6" t="n">
        <v>5411</v>
      </c>
      <c r="D14" s="6" t="n"/>
      <c r="E14" s="6" t="n"/>
      <c r="F14" s="6" t="n"/>
    </row>
    <row r="15">
      <c r="A15" s="6" t="inlineStr">
        <is>
          <t>Share of profit from investments in a joint venture and reserves now recognised</t>
        </is>
      </c>
      <c r="B15" s="6" t="n"/>
      <c r="C15" s="6" t="n"/>
      <c r="D15" s="6" t="n">
        <v>-1028</v>
      </c>
      <c r="E15" s="6" t="n"/>
      <c r="F15" s="6" t="n"/>
    </row>
    <row r="16">
      <c r="A16" s="6" t="inlineStr">
        <is>
          <t>Net realised gains from derecognition of financial investments/instruments</t>
        </is>
      </c>
      <c r="B16" s="6" t="n">
        <v>-2551</v>
      </c>
      <c r="C16" s="6" t="n">
        <v>-9370</v>
      </c>
      <c r="D16" s="6" t="n">
        <v>-7451</v>
      </c>
      <c r="E16" s="6" t="n">
        <v>50122</v>
      </c>
      <c r="F16" s="6" t="n">
        <v>-310</v>
      </c>
    </row>
    <row r="17">
      <c r="A17" s="5" t="inlineStr">
        <is>
          <t>Operating profit before changes in operating assets and liabilities</t>
        </is>
      </c>
      <c r="B17" s="5" t="n">
        <v>61886</v>
      </c>
      <c r="C17" s="5" t="n">
        <v>39933</v>
      </c>
      <c r="D17" s="5" t="n">
        <v>57149</v>
      </c>
      <c r="E17" s="5" t="n">
        <v>101423</v>
      </c>
      <c r="F17" s="5" t="n">
        <v>38395</v>
      </c>
    </row>
    <row r="18">
      <c r="A18" s="6" t="inlineStr">
        <is>
          <t>Mandatory reserve deposits with central bank</t>
        </is>
      </c>
      <c r="B18" s="6" t="n">
        <v>0</v>
      </c>
      <c r="C18" s="6" t="n">
        <v>4220</v>
      </c>
      <c r="D18" s="6" t="n">
        <v>722</v>
      </c>
      <c r="E18" s="6" t="n">
        <v>955</v>
      </c>
      <c r="F18" s="6" t="n">
        <v>-273</v>
      </c>
    </row>
    <row r="19">
      <c r="A19" s="6" t="inlineStr">
        <is>
          <t>Repurchase agreements</t>
        </is>
      </c>
      <c r="B19" s="6" t="n"/>
      <c r="C19" s="6" t="n"/>
      <c r="D19" s="6" t="n"/>
      <c r="E19" s="6" t="n"/>
      <c r="F19" s="6" t="n">
        <v>-36075</v>
      </c>
    </row>
    <row r="20">
      <c r="A20" s="6" t="inlineStr">
        <is>
          <t>Financing receivables / Loans and advances</t>
        </is>
      </c>
      <c r="B20" s="6" t="n">
        <v>-19993</v>
      </c>
      <c r="C20" s="6" t="n">
        <v>21413</v>
      </c>
      <c r="D20" s="6" t="n">
        <v>-85911</v>
      </c>
      <c r="E20" s="6" t="n">
        <v>146833</v>
      </c>
      <c r="F20" s="6" t="n">
        <v>135149</v>
      </c>
    </row>
    <row r="21">
      <c r="A21" s="6" t="inlineStr">
        <is>
          <t>Returns receivable and similar assets / Interest receivable</t>
        </is>
      </c>
      <c r="B21" s="6" t="n">
        <v>5535</v>
      </c>
      <c r="C21" s="6" t="n">
        <v>-6479</v>
      </c>
      <c r="D21" s="6" t="n">
        <v>-1355</v>
      </c>
      <c r="E21" s="6" t="n">
        <v>-4156</v>
      </c>
      <c r="F21" s="6" t="n">
        <v>-307</v>
      </c>
    </row>
    <row r="22">
      <c r="A22" s="6" t="inlineStr">
        <is>
          <t>Other assets</t>
        </is>
      </c>
      <c r="B22" s="6" t="n">
        <v>32394</v>
      </c>
      <c r="C22" s="6" t="n">
        <v>21397</v>
      </c>
      <c r="D22" s="6" t="n">
        <v>42323</v>
      </c>
      <c r="E22" s="6" t="n">
        <v>-16673</v>
      </c>
      <c r="F22" s="6" t="n">
        <v>-59267</v>
      </c>
    </row>
    <row r="23">
      <c r="A23" s="6" t="inlineStr">
        <is>
          <t>Deposits from banks</t>
        </is>
      </c>
      <c r="B23" s="6" t="n">
        <v>-36524</v>
      </c>
      <c r="C23" s="6" t="n">
        <v>48466</v>
      </c>
      <c r="D23" s="6" t="n">
        <v>-75379</v>
      </c>
      <c r="E23" s="6" t="n">
        <v>2470</v>
      </c>
      <c r="F23" s="6" t="n">
        <v>68821</v>
      </c>
    </row>
    <row r="24">
      <c r="A24" s="6" t="inlineStr">
        <is>
          <t>Customer(s') deposits</t>
        </is>
      </c>
      <c r="B24" s="6" t="n">
        <v>-110585</v>
      </c>
      <c r="C24" s="6" t="n">
        <v>-250205</v>
      </c>
      <c r="D24" s="6" t="n">
        <v>150680</v>
      </c>
      <c r="E24" s="6" t="n">
        <v>-156676</v>
      </c>
      <c r="F24" s="6" t="n">
        <v>155952</v>
      </c>
    </row>
    <row r="25">
      <c r="A25" s="6" t="inlineStr">
        <is>
          <t>Returns payable and similar liabilities / Interest payable</t>
        </is>
      </c>
      <c r="B25" s="6" t="n">
        <v>-5126</v>
      </c>
      <c r="C25" s="6" t="n">
        <v>7739</v>
      </c>
      <c r="D25" s="6" t="n">
        <v>21758</v>
      </c>
      <c r="E25" s="6" t="n">
        <v>1302</v>
      </c>
      <c r="F25" s="6" t="n">
        <v>1123</v>
      </c>
    </row>
    <row r="26">
      <c r="A26" s="6" t="inlineStr">
        <is>
          <t>Expense on lease liabilities (working-capital block)</t>
        </is>
      </c>
      <c r="B26" s="6" t="n"/>
      <c r="C26" s="6" t="n">
        <v>237</v>
      </c>
      <c r="D26" s="6" t="n">
        <v>213</v>
      </c>
      <c r="E26" s="6" t="n">
        <v>258</v>
      </c>
      <c r="F26" s="6" t="n">
        <v>344</v>
      </c>
    </row>
    <row r="27">
      <c r="A27" s="6" t="inlineStr">
        <is>
          <t>Other liabilities</t>
        </is>
      </c>
      <c r="B27" s="6" t="n">
        <v>3528</v>
      </c>
      <c r="C27" s="6" t="n">
        <v>-5884</v>
      </c>
      <c r="D27" s="6" t="n">
        <v>-23088</v>
      </c>
      <c r="E27" s="6" t="n">
        <v>-31134</v>
      </c>
      <c r="F27" s="6" t="n">
        <v>-35056</v>
      </c>
    </row>
    <row r="28">
      <c r="A28" s="5" t="inlineStr">
        <is>
          <t>Cash from/(used in) operations</t>
        </is>
      </c>
      <c r="B28" s="5" t="n">
        <v>-68885</v>
      </c>
      <c r="C28" s="5" t="n">
        <v>-119163</v>
      </c>
      <c r="D28" s="5" t="n">
        <v>87112</v>
      </c>
      <c r="E28" s="5" t="n">
        <v>44602</v>
      </c>
      <c r="F28" s="5" t="n">
        <v>268806</v>
      </c>
    </row>
    <row r="29">
      <c r="A29" s="6" t="inlineStr">
        <is>
          <t>Tax paid net of tax refund</t>
        </is>
      </c>
      <c r="B29" s="6" t="n">
        <v>-6847</v>
      </c>
      <c r="C29" s="6" t="n">
        <v>-12502</v>
      </c>
      <c r="D29" s="6" t="n">
        <v>-14596</v>
      </c>
      <c r="E29" s="6" t="n">
        <v>-9936</v>
      </c>
      <c r="F29" s="6" t="n">
        <v>-3936</v>
      </c>
    </row>
    <row r="30">
      <c r="A30" s="5" t="inlineStr">
        <is>
          <t>Net cash from/(used in) operating activities</t>
        </is>
      </c>
      <c r="B30" s="5" t="n">
        <v>-75732</v>
      </c>
      <c r="C30" s="5" t="n">
        <v>-131665</v>
      </c>
      <c r="D30" s="5" t="n">
        <v>72516</v>
      </c>
      <c r="E30" s="5" t="n">
        <v>34665</v>
      </c>
      <c r="F30" s="5" t="n">
        <v>264870</v>
      </c>
    </row>
    <row r="31">
      <c r="A31" s="5" t="inlineStr">
        <is>
          <t>Investing activities</t>
        </is>
      </c>
      <c r="B31" s="6" t="n"/>
      <c r="C31" s="6" t="n"/>
      <c r="D31" s="6" t="n"/>
      <c r="E31" s="6" t="n"/>
      <c r="F31" s="6" t="n"/>
    </row>
    <row r="32">
      <c r="A32" s="6" t="inlineStr">
        <is>
          <t>Purchase of non-trading investments/debt instruments at amortised cost</t>
        </is>
      </c>
      <c r="B32" s="6" t="n">
        <v>-251652</v>
      </c>
      <c r="C32" s="6" t="n">
        <v>-198948</v>
      </c>
      <c r="D32" s="6" t="n">
        <v>-186083</v>
      </c>
      <c r="E32" s="6" t="n">
        <v>-466167</v>
      </c>
      <c r="F32" s="6" t="n">
        <v>-58479</v>
      </c>
    </row>
    <row r="33">
      <c r="A33" s="6" t="inlineStr">
        <is>
          <t>Proceeds from sale of non-trading investments/debt instruments at amortised cost</t>
        </is>
      </c>
      <c r="B33" s="6" t="n">
        <v>237832</v>
      </c>
      <c r="C33" s="6" t="n">
        <v>445023</v>
      </c>
      <c r="D33" s="6" t="n">
        <v>123400</v>
      </c>
      <c r="E33" s="6" t="n">
        <v>238416</v>
      </c>
      <c r="F33" s="6" t="n">
        <v>30375</v>
      </c>
    </row>
    <row r="34">
      <c r="A34" s="6" t="inlineStr">
        <is>
          <t>Proceeds from sale of non-trading investments (Visa shares)</t>
        </is>
      </c>
      <c r="B34" s="6" t="n">
        <v>137</v>
      </c>
      <c r="C34" s="6" t="n">
        <v>712</v>
      </c>
      <c r="D34" s="6" t="n">
        <v>0</v>
      </c>
      <c r="E34" s="6" t="n">
        <v>890</v>
      </c>
      <c r="F34" s="6" t="n">
        <v>1773</v>
      </c>
    </row>
    <row r="35">
      <c r="A35" s="6" t="inlineStr">
        <is>
          <t>Purchase of premises and equipment</t>
        </is>
      </c>
      <c r="B35" s="6" t="n">
        <v>-361</v>
      </c>
      <c r="C35" s="6" t="n">
        <v>-700</v>
      </c>
      <c r="D35" s="6" t="n">
        <v>-1278</v>
      </c>
      <c r="E35" s="6" t="n">
        <v>-120</v>
      </c>
      <c r="F35" s="6" t="n">
        <v>-1217</v>
      </c>
    </row>
    <row r="36">
      <c r="A36" s="6" t="inlineStr">
        <is>
          <t>Purchase of intangible assets</t>
        </is>
      </c>
      <c r="B36" s="6" t="n">
        <v>-2619</v>
      </c>
      <c r="C36" s="6" t="n"/>
      <c r="D36" s="6" t="n"/>
      <c r="E36" s="6" t="n"/>
      <c r="F36" s="6" t="n"/>
    </row>
    <row r="37">
      <c r="A37" s="6" t="inlineStr">
        <is>
          <t>Net disposals/(investments) of/in Private Equity funds</t>
        </is>
      </c>
      <c r="B37" s="6" t="n">
        <v>1284</v>
      </c>
      <c r="C37" s="6" t="n">
        <v>10985</v>
      </c>
      <c r="D37" s="6" t="n">
        <v>-4702</v>
      </c>
      <c r="E37" s="6" t="n">
        <v>-928</v>
      </c>
      <c r="F37" s="6" t="n">
        <v>-6528</v>
      </c>
    </row>
    <row r="38">
      <c r="A38" s="6" t="inlineStr">
        <is>
          <t>Proceeds from sale of Investment Property</t>
        </is>
      </c>
      <c r="B38" s="6" t="n">
        <v>405</v>
      </c>
      <c r="C38" s="6" t="n"/>
      <c r="D38" s="6" t="n"/>
      <c r="E38" s="6" t="n"/>
      <c r="F38" s="6" t="n"/>
    </row>
    <row r="39">
      <c r="A39" s="6" t="inlineStr">
        <is>
          <t>Dividend received from investment in joint venture</t>
        </is>
      </c>
      <c r="B39" s="6" t="n"/>
      <c r="C39" s="6" t="n"/>
      <c r="D39" s="6" t="n">
        <v>1045</v>
      </c>
      <c r="E39" s="6" t="n"/>
      <c r="F39" s="6" t="n"/>
    </row>
    <row r="40">
      <c r="A40" s="6" t="inlineStr">
        <is>
          <t>Liquidation of investment in joint venture</t>
        </is>
      </c>
      <c r="B40" s="6" t="n"/>
      <c r="C40" s="6" t="n">
        <v>64</v>
      </c>
      <c r="D40" s="6" t="n"/>
      <c r="E40" s="6" t="n"/>
      <c r="F40" s="6" t="n"/>
    </row>
    <row r="41">
      <c r="A41" s="5" t="inlineStr">
        <is>
          <t>Net cash from/(used in) investing activities</t>
        </is>
      </c>
      <c r="B41" s="5" t="n">
        <v>-14974</v>
      </c>
      <c r="C41" s="5" t="n">
        <v>257136</v>
      </c>
      <c r="D41" s="5" t="n">
        <v>-67619</v>
      </c>
      <c r="E41" s="5" t="n">
        <v>-227909</v>
      </c>
      <c r="F41" s="5" t="n">
        <v>-34076</v>
      </c>
    </row>
    <row r="42">
      <c r="A42" s="5" t="inlineStr">
        <is>
          <t>Financing activities</t>
        </is>
      </c>
      <c r="B42" s="6" t="n"/>
      <c r="C42" s="6" t="n"/>
      <c r="D42" s="6" t="n"/>
      <c r="E42" s="6" t="n"/>
      <c r="F42" s="6" t="n"/>
    </row>
    <row r="43">
      <c r="A43" s="6" t="inlineStr">
        <is>
          <t>Dividend paid to parent undertaking</t>
        </is>
      </c>
      <c r="B43" s="6" t="n">
        <v>-30000</v>
      </c>
      <c r="C43" s="6" t="n">
        <v>-30000</v>
      </c>
      <c r="D43" s="6" t="n">
        <v>-20000</v>
      </c>
      <c r="E43" s="6" t="n">
        <v>-10000</v>
      </c>
      <c r="F43" s="6" t="n">
        <v>-10000</v>
      </c>
    </row>
    <row r="44">
      <c r="A44" s="6" t="inlineStr">
        <is>
          <t>Subordinated debt repayment</t>
        </is>
      </c>
      <c r="B44" s="6" t="n"/>
      <c r="C44" s="6" t="n"/>
      <c r="D44" s="6" t="n">
        <v>-9592</v>
      </c>
      <c r="E44" s="6" t="n"/>
      <c r="F44" s="6" t="n"/>
    </row>
    <row r="45">
      <c r="A45" s="6" t="inlineStr">
        <is>
          <t>Lease liabilities payments</t>
        </is>
      </c>
      <c r="B45" s="6" t="n">
        <v>-1875</v>
      </c>
      <c r="C45" s="6" t="n">
        <v>-2014</v>
      </c>
      <c r="D45" s="6" t="n">
        <v>-1668</v>
      </c>
      <c r="E45" s="6" t="n">
        <v>-1777</v>
      </c>
      <c r="F45" s="6" t="n">
        <v>-1954</v>
      </c>
    </row>
    <row r="46">
      <c r="A46" s="5" t="inlineStr">
        <is>
          <t>Net cash used in financing activities</t>
        </is>
      </c>
      <c r="B46" s="5" t="n">
        <v>-31875</v>
      </c>
      <c r="C46" s="5" t="n">
        <v>-32014</v>
      </c>
      <c r="D46" s="5" t="n">
        <v>-31260</v>
      </c>
      <c r="E46" s="5" t="n">
        <v>-11777</v>
      </c>
      <c r="F46" s="5" t="n">
        <v>-11954</v>
      </c>
    </row>
    <row r="47">
      <c r="A47" s="6" t="inlineStr">
        <is>
          <t>Foreign currency translation adjustments (within the change calc, FY2021-FY2023 only)</t>
        </is>
      </c>
      <c r="B47" s="6" t="n"/>
      <c r="C47" s="6" t="n"/>
      <c r="D47" s="6" t="n">
        <v>-1650</v>
      </c>
      <c r="E47" s="6" t="n">
        <v>5767</v>
      </c>
      <c r="F47" s="6" t="n">
        <v>2170</v>
      </c>
    </row>
    <row r="48">
      <c r="A48" s="5" t="inlineStr">
        <is>
          <t>Net (decrease)/increase in cash and cash equivalents</t>
        </is>
      </c>
      <c r="B48" s="5" t="n">
        <v>-122581</v>
      </c>
      <c r="C48" s="5" t="n">
        <v>93456</v>
      </c>
      <c r="D48" s="5" t="n">
        <v>-28014</v>
      </c>
      <c r="E48" s="5" t="n">
        <v>-199254</v>
      </c>
      <c r="F48" s="5" t="n">
        <v>221010</v>
      </c>
    </row>
    <row r="49">
      <c r="A49" s="6" t="inlineStr">
        <is>
          <t>Cash and cash equivalents at 1 January</t>
        </is>
      </c>
      <c r="B49" s="6" t="n">
        <v>752166</v>
      </c>
      <c r="C49" s="6" t="n">
        <v>664122</v>
      </c>
      <c r="D49" s="6" t="n">
        <v>692136</v>
      </c>
      <c r="E49" s="6" t="n">
        <v>891390</v>
      </c>
      <c r="F49" s="6" t="n">
        <v>670380</v>
      </c>
    </row>
    <row r="50">
      <c r="A50" s="6" t="inlineStr">
        <is>
          <t>Effect of exchange rate fluctuations on cash and cash equivalents held (shown after opening, FY2024-FY2025 only)</t>
        </is>
      </c>
      <c r="B50" s="6" t="n">
        <v>-36362</v>
      </c>
      <c r="C50" s="6" t="n">
        <v>-5412</v>
      </c>
      <c r="D50" s="6" t="n"/>
      <c r="E50" s="6" t="n"/>
      <c r="F50" s="6" t="n"/>
    </row>
    <row r="51">
      <c r="A51" s="5" t="inlineStr">
        <is>
          <t>Cash and cash equivalents at 31 December</t>
        </is>
      </c>
      <c r="B51" s="5" t="n">
        <v>593223</v>
      </c>
      <c r="C51" s="5" t="n">
        <v>752166</v>
      </c>
      <c r="D51" s="5" t="n">
        <v>664122</v>
      </c>
      <c r="E51" s="5" t="n">
        <v>692136</v>
      </c>
      <c r="F51" s="5" t="n">
        <v>891390</v>
      </c>
    </row>
    <row r="53" ht="380" customHeight="1">
      <c r="A53" s="8" t="inlineStr">
        <is>
          <t>Sources - all figures are Kuwait Finance House Plc's (formerly Ahli United Bank (UK) PLC's) own Bank Statement of Cash Flows, from Companies House filings:
FY2025/FY2024 (own): Annual Report and Financial Statements 2025, p.29 - https://find-and-update.company-information.service.gov.uk/company/00877859/filing-history/MzUyMTMwODAyMGFkaXF6a2N4/document?format=pdf&amp;download=0
FY2024 (own, used here) / FY2023 (restated, not used): Annual Report and Financial Statements 2024, p.30 - https://find-and-update.company-information.service.gov.uk/company/00877859/filing-history/MzQ2OTUzMTA5NGFkaXF6a2N4/document?format=pdf&amp;download=0
FY2023 (own, used here) / FY2022: Annual Report and Financial Statements 2023, p.26 - https://find-and-update.company-information.service.gov.uk/company/00877859/filing-history/MzQxNzM5MjkxNGFkaXF6a2N4/document?format=pdf&amp;download=0
FY2022 (own, used here) / FY2021 (cross-checked): Annual Report and Financial Statements 2022, p.25 - https://find-and-update.company-information.service.gov.uk/company/00877859/filing-history/MzM3MTE2OTUwOGFkaXF6a2N4/document?format=pdf&amp;download=0
FY2021 (own, used here): Annual Report and Financial Statements 2021, p.18 -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RESTATEMENT NOTE: the FY2025 Annual Report's own FY2024 comparative column restates FY2024's cash flow (operating $(75,732) vs FY2024's own originally-published $(131,665); investing $254,257 vs FY2024's own originally-published $257,136) - both vintages agree on the $752,166k closing balance, so this is a reclassification between activity sections, not a change to overall cash movement. Likewise the FY2024 Annual Report's own Note 37 documents a restatement of FY2023's comparative cash flow figures vs FY2023's own originally-published report (operating activities restated to $58,844/net $44,248 vs FY2023's own $87,112/$72,516; both agree on the $664,122k closing balance). Every year's own originally-published Annual Report figures are used throughout this workbook, consistent with this project's standard convention of preferring each year's own primary source over a later restated comparative.
ROUNDING NOTE: the FY2023 Annual Report's own printed subtotals for 'Operating profit before changes in operating assets and liabilities' ($57,149k) and 'Net cash used in investing activities' ($(67,619)k) are each $1k off from summing that same report's own component line items ($57,150k / $(67,618)k) - an immaterial source-document rounding artifact, not a transcription error; the source's own printed figures are used throughout. Every other total in this workbook ties exactly to its component lines.</t>
        </is>
      </c>
    </row>
  </sheetData>
  <mergeCells count="1">
    <mergeCell ref="A53:F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Kuwait Finance House Plc — Asset Quality</t>
        </is>
      </c>
    </row>
    <row r="2">
      <c r="A2" s="2" t="inlineStr">
        <is>
          <t>Financing receivables / Loans and advances to customers, IFRS 9 stage 1/2/3 gross carrying amount and impairment allowance roll-forward (Note 13).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Financing receivables / Loans and advances to customers</t>
        </is>
      </c>
      <c r="B4" s="6" t="n"/>
      <c r="C4" s="6" t="n"/>
      <c r="D4" s="6" t="n"/>
      <c r="E4" s="6" t="n"/>
      <c r="F4" s="6" t="n"/>
    </row>
    <row r="5">
      <c r="A5" s="6" t="inlineStr">
        <is>
          <t>Gross carrying amount</t>
        </is>
      </c>
      <c r="B5" s="6" t="n">
        <v>1543237</v>
      </c>
      <c r="C5" s="6" t="n">
        <v>1522372</v>
      </c>
      <c r="D5" s="6" t="n">
        <v>1543909</v>
      </c>
      <c r="E5" s="6" t="n">
        <v>1457822</v>
      </c>
      <c r="F5" s="6" t="n">
        <v>1605505</v>
      </c>
    </row>
    <row r="6">
      <c r="A6" s="6" t="inlineStr">
        <is>
          <t>Impairment allowance</t>
        </is>
      </c>
      <c r="B6" s="6" t="n">
        <v>-18633</v>
      </c>
      <c r="C6" s="6" t="n">
        <v>-9781</v>
      </c>
      <c r="D6" s="6" t="n">
        <v>-7843</v>
      </c>
      <c r="E6" s="6" t="n">
        <v>-2949</v>
      </c>
      <c r="F6" s="6" t="n">
        <v>-3402</v>
      </c>
    </row>
    <row r="7">
      <c r="A7" s="5" t="inlineStr">
        <is>
          <t>Net carrying amount</t>
        </is>
      </c>
      <c r="B7" s="5" t="n">
        <v>1524604</v>
      </c>
      <c r="C7" s="5" t="n">
        <v>1512591</v>
      </c>
      <c r="D7" s="5" t="n">
        <v>1536066</v>
      </c>
      <c r="E7" s="5" t="n">
        <v>1454873</v>
      </c>
      <c r="F7" s="5" t="n">
        <v>1602103</v>
      </c>
    </row>
    <row r="8">
      <c r="A8" s="5" t="inlineStr">
        <is>
          <t>Gross carrying amount, by IFRS 9 stage</t>
        </is>
      </c>
      <c r="B8" s="6" t="n"/>
      <c r="C8" s="6" t="n"/>
      <c r="D8" s="6" t="n"/>
      <c r="E8" s="6" t="n"/>
      <c r="F8" s="6" t="n"/>
    </row>
    <row r="9">
      <c r="A9" s="6" t="inlineStr">
        <is>
          <t>Stage 1 (12-month ECL)</t>
        </is>
      </c>
      <c r="B9" s="6" t="n">
        <v>1276906</v>
      </c>
      <c r="C9" s="6" t="n">
        <v>1359230</v>
      </c>
      <c r="D9" s="6" t="n">
        <v>1409031</v>
      </c>
      <c r="E9" s="6" t="n">
        <v>1316924</v>
      </c>
      <c r="F9" s="6" t="n">
        <v>1446060</v>
      </c>
    </row>
    <row r="10">
      <c r="A10" s="6" t="inlineStr">
        <is>
          <t>Stage 2 (lifetime ECL, not credit-impaired)</t>
        </is>
      </c>
      <c r="B10" s="6" t="n">
        <v>144165</v>
      </c>
      <c r="C10" s="6" t="n">
        <v>75245</v>
      </c>
      <c r="D10" s="6" t="n">
        <v>79810</v>
      </c>
      <c r="E10" s="6" t="n">
        <v>94435</v>
      </c>
      <c r="F10" s="6" t="n">
        <v>131646</v>
      </c>
    </row>
    <row r="11">
      <c r="A11" s="6" t="inlineStr">
        <is>
          <t>Stage 3 (lifetime ECL, credit-impaired)</t>
        </is>
      </c>
      <c r="B11" s="6" t="n">
        <v>122166</v>
      </c>
      <c r="C11" s="6" t="n">
        <v>87897</v>
      </c>
      <c r="D11" s="6" t="n">
        <v>55068</v>
      </c>
      <c r="E11" s="6" t="n">
        <v>46463</v>
      </c>
      <c r="F11" s="6" t="n">
        <v>27799</v>
      </c>
    </row>
    <row r="12">
      <c r="A12" s="5" t="inlineStr">
        <is>
          <t>Impairment allowance, by IFRS 9 stage</t>
        </is>
      </c>
      <c r="B12" s="6" t="n"/>
      <c r="C12" s="6" t="n"/>
      <c r="D12" s="6" t="n"/>
      <c r="E12" s="6" t="n"/>
      <c r="F12" s="6" t="n"/>
    </row>
    <row r="13">
      <c r="A13" s="6" t="inlineStr">
        <is>
          <t>Stage 1 (12-month ECL)</t>
        </is>
      </c>
      <c r="B13" s="6" t="n">
        <v>283</v>
      </c>
      <c r="C13" s="6" t="n">
        <v>65</v>
      </c>
      <c r="D13" s="6" t="n">
        <v>208</v>
      </c>
      <c r="E13" s="6" t="n">
        <v>20</v>
      </c>
      <c r="F13" s="6" t="n">
        <v>18</v>
      </c>
    </row>
    <row r="14">
      <c r="A14" s="6" t="inlineStr">
        <is>
          <t>Stage 2 (lifetime ECL, not credit-impaired)</t>
        </is>
      </c>
      <c r="B14" s="6" t="n">
        <v>350</v>
      </c>
      <c r="C14" s="6" t="n">
        <v>99</v>
      </c>
      <c r="D14" s="6" t="n">
        <v>42</v>
      </c>
      <c r="E14" s="6" t="n">
        <v>43</v>
      </c>
      <c r="F14" s="6" t="n">
        <v>52</v>
      </c>
    </row>
    <row r="15">
      <c r="A15" s="6" t="inlineStr">
        <is>
          <t>Stage 3 (lifetime ECL, credit-impaired)</t>
        </is>
      </c>
      <c r="B15" s="6" t="n">
        <v>18000</v>
      </c>
      <c r="C15" s="6" t="n">
        <v>9617</v>
      </c>
      <c r="D15" s="6" t="n">
        <v>7593</v>
      </c>
      <c r="E15" s="6" t="n">
        <v>2886</v>
      </c>
      <c r="F15" s="6" t="n">
        <v>3332</v>
      </c>
    </row>
    <row r="16">
      <c r="A16" s="5" t="inlineStr">
        <is>
          <t>Derived ratios</t>
        </is>
      </c>
      <c r="B16" s="6" t="n"/>
      <c r="C16" s="6" t="n"/>
      <c r="D16" s="6" t="n"/>
      <c r="E16" s="6" t="n"/>
      <c r="F16" s="6" t="n"/>
    </row>
    <row r="17">
      <c r="A17" s="6" t="inlineStr">
        <is>
          <t>NPL ratio (Stage 3 gross / total gross)</t>
        </is>
      </c>
      <c r="B17" s="6" t="inlineStr">
        <is>
          <t>7.92%</t>
        </is>
      </c>
      <c r="C17" s="6" t="inlineStr">
        <is>
          <t>5.77%</t>
        </is>
      </c>
      <c r="D17" s="6" t="inlineStr">
        <is>
          <t>3.57%</t>
        </is>
      </c>
      <c r="E17" s="6" t="inlineStr">
        <is>
          <t>3.19%</t>
        </is>
      </c>
      <c r="F17" s="6" t="inlineStr">
        <is>
          <t>1.73%</t>
        </is>
      </c>
    </row>
    <row r="18">
      <c r="A18" s="6" t="inlineStr">
        <is>
          <t>Stage 3 coverage ratio (Stage 3 impairment / Stage 3 gross)</t>
        </is>
      </c>
      <c r="B18" s="6" t="inlineStr">
        <is>
          <t>14.73%</t>
        </is>
      </c>
      <c r="C18" s="6" t="inlineStr">
        <is>
          <t>10.94%</t>
        </is>
      </c>
      <c r="D18" s="6" t="inlineStr">
        <is>
          <t>13.79%</t>
        </is>
      </c>
      <c r="E18" s="6" t="inlineStr">
        <is>
          <t>6.21%</t>
        </is>
      </c>
      <c r="F18" s="6" t="inlineStr">
        <is>
          <t>11.99%</t>
        </is>
      </c>
    </row>
    <row r="20" ht="320" customHeight="1">
      <c r="A20" s="8" t="inlineStr">
        <is>
          <t>Sources - Kuwait Finance House Plc's (formerly Ahli United Bank (UK) PLC's) own Annual Report and Financial Statements, Note 13 'Financing receivables' (FY2024-FY2025) / 'Loans and advances' (FY2021-FY2023), IFRS 9 stage-by-stage gross carrying amount and impairment allowance tables:
FY2025/FY2024 (own): Annual Report and Financial Statements 2025, p.51-52 - https://find-and-update.company-information.service.gov.uk/company/00877859/filing-history/MzUyMTMwODAyMGFkaXF6a2N4/document?format=pdf&amp;download=0
FY2023 (own): Annual Report and Financial Statements 2023, p.47-48 - https://find-and-update.company-information.service.gov.uk/company/00877859/filing-history/MzQxNzM5MjkxNGFkaXF6a2N4/document?format=pdf&amp;download=0
FY2022 (own) / FY2021 (comparative, used here in place of AR2021's own Note since it discloses the same IFRS 9 stage granularity): Annual Report and Financial Statements 2022, p.45-47 - https://find-and-update.company-information.service.gov.uk/company/00877859/filing-history/MzM3MTE2OTUwOGFkaXF6a2N4/document?format=pdf&amp;download=0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Kuwait Finance House Plc — KM1 Key Metrics</t>
        </is>
      </c>
    </row>
    <row r="2">
      <c r="A2" s="2" t="inlineStr">
        <is>
          <t>Not applicable - this bank publishes Pillar 3 disclosures every year (as a signed appendix inside its Annual Report and Financial Statements) but does not use the UK KM1 key-metrics template in any of them. Its own 'Key Metrics' block is a five-row ratio summary, which fails the template's row-set test. See the source note for the full evidence and for what the bank does disclose instead.</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the UK KM1 key-metrics template is not used in any year (see note below)</t>
        </is>
      </c>
      <c r="B4" s="6" t="inlineStr"/>
      <c r="C4" s="6" t="inlineStr"/>
      <c r="D4" s="6" t="inlineStr"/>
      <c r="E4" s="6" t="inlineStr"/>
      <c r="F4" s="6" t="inlineStr"/>
    </row>
    <row r="6" ht="460" customHeight="1">
      <c r="A6" s="8" t="inlineStr">
        <is>
          <t>NOT APPLICABLE - Kuwait Finance House Plc does not use the UK KM1 key-metrics template in any year. This is an affirmative finding read off the documents, not the result of a search that failed to find a table.
WHAT THE BANK DOES PUBLISH. A Pillar 3 disclosure exists for every year in this workbook, but not as a standalone document: it is printed as a signed appendix inside the Annual Report and Financial Statements filed at Companies House, headed 'APPENDIX : PILLAR 3 DISCLOSURES (UNAUDITED)' and dated at the top of each page. Verified page by page in the FY2025 filing (printed folios 83-85) and, under the bank's former name Ahli United Bank (UK) PLC, in the FY2022 filing (printed folio 72).
WHY IT IS NOT THE TEMPLATE (map rule 8, the ROW-SET TEST). The appendix opens with a block headed 'Key Metrics - Key capital and liquidity metrics at 31 December are:' and that block is FIVE ROWS, all of them ratios, in this order: Total Capital ratio, Common Equity Tier 1 (CET1) Capital Ratio, Leverage Ratio, Liquidity Coverage Ratio, Net Stable Funding Ratio. It carries two columns (the reporting year and the prior year) and no row numbers. Everything else the UK KM1 template requires is simply absent: no CET1, Tier 1 or Total capital AMOUNT rows, no total risk-weighted exposure amount, no Tier 1 ratio, none of the UK 7a-7d SREP rows, no capital conservation or countercyclical buffer rows, no combined buffer requirement, no leverage exposure measure, and no LCR or NSFR component build-ups (rows 15-16, UK 16a/16b, 18-19). A five-row ratio summary is a different and shorter table, not an unnumbered KM1, and mapping it onto template row numbers would invent a correspondence the bank never published.
WHAT IS ADJACENT TO IT, and why it still is not KM1. The same appendix does print a 'Capital Structure and Own Funds' table (a CET1 build-up ending in Own Funds) and an 'Own Funds requirements' table (the minimum Pillar 1 capital requirement by risk category). Those are CC1-like and OV1-like disclosures, and this workbook already uses them - they are the source for the CET1 Capital, Tier 1 Capital, Total Capital and RWA Breakdown sheets. They are not the KM1 template and are not reproduced here as one.
THE FIVE RATIOS THEMSELVES ARE ALREADY IN THIS WORKBOOK, on the CET1 Ratio, Total Capital Ratio, Leverage Ratio, LCR and NSFR sheets, each with its own citation. Nothing is lost by this sheet carrying no rows.
AN EXTRACTION CAVEAT WORTH RECORDING (map rules 13 and 15). Every Companies House filing for this company is a whole-document scan: pdftotext returns 91 characters for the entire 91-page FY2025 filing, and pdfimages confirms one full-page CCITT bitmap per page. Any keyword search over these documents therefore returns zero for everything, and a zero from that instrument says nothing whatever about the bank. The finding above was made by RENDERING the appendix pages at 150dpi and reading them by eye, which is the only instrument that works on this filing set.
LATEST-EDITION CHECK (required by the KM1 map), performed 2026-09-17. The bank's own web presence, kfhuk.com, is a single-page holding site: its robots.txt points at /sitemap.xml, and that sitemap contains exactly one URL (/lander). There is no investor, results or regulatory-disclosures section to check, and no Pillar 3 document is published on the bank's website at all - which is consistent with, and explains, the disclosure living inside the Companies House filing. The newest filing available is the Annual Report and Financial Statements 2025 (FY2025), which is already this workbook's most recent year. NONE NEWER EXISTS; this workbook is not an edition behind.
NOTE ON kfh.co.uk, recorded so a later session does not repeat the mistake: that domain is NOT this bank. It belongs to Kinleigh Folkard &amp; Hayward, a London estate agency, and it resolves and serves a normal site - so an automated check that assumed the obvious domain would have read an unrelated company's pages as this bank's.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325.3</v>
      </c>
      <c r="C4" s="6" t="n">
        <v>316.7</v>
      </c>
      <c r="D4" s="6" t="n">
        <v>323.2</v>
      </c>
      <c r="E4" s="6" t="n">
        <v>304.5</v>
      </c>
      <c r="F4" s="6" t="n">
        <v>319</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20.1%</t>
        </is>
      </c>
      <c r="C4" s="6" t="inlineStr">
        <is>
          <t>19.2%</t>
        </is>
      </c>
      <c r="D4" s="6" t="inlineStr">
        <is>
          <t>19.4%</t>
        </is>
      </c>
      <c r="E4" s="6" t="inlineStr">
        <is>
          <t>19.9%</t>
        </is>
      </c>
      <c r="F4" s="6" t="inlineStr">
        <is>
          <t>22.4%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325.3</v>
      </c>
      <c r="C4" s="6" t="n">
        <v>316.7</v>
      </c>
      <c r="D4" s="6" t="n">
        <v>323.2</v>
      </c>
      <c r="E4" s="6" t="n">
        <v>304.5</v>
      </c>
      <c r="F4" s="6" t="n">
        <v>319</v>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20.1%</t>
        </is>
      </c>
      <c r="C4" s="6" t="inlineStr">
        <is>
          <t>19.2%</t>
        </is>
      </c>
      <c r="D4" s="6" t="inlineStr">
        <is>
          <t>19.4%</t>
        </is>
      </c>
      <c r="E4" s="6" t="inlineStr">
        <is>
          <t>19.9%</t>
        </is>
      </c>
      <c r="F4" s="6" t="inlineStr">
        <is>
          <t>22.4%</t>
        </is>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Own Funds</t>
        </is>
      </c>
      <c r="B4" s="6" t="n">
        <v>325.3</v>
      </c>
      <c r="C4" s="6" t="n">
        <v>316.7</v>
      </c>
      <c r="D4" s="6" t="n">
        <v>323.2</v>
      </c>
      <c r="E4" s="6" t="n">
        <v>304.5</v>
      </c>
      <c r="F4" s="6" t="n">
        <v>319.8</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20.1%</t>
        </is>
      </c>
      <c r="C4" s="6" t="inlineStr">
        <is>
          <t>19.2%</t>
        </is>
      </c>
      <c r="D4" s="6" t="inlineStr">
        <is>
          <t>19.4%</t>
        </is>
      </c>
      <c r="E4" s="6" t="inlineStr">
        <is>
          <t>19.9%</t>
        </is>
      </c>
      <c r="F4" s="6" t="inlineStr">
        <is>
          <t>22.5%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RWAs</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Kuwait Finance House Plc does not publish a total risk-weighted exposure amount. The Pillar 3 appendix gives ratios and Own Funds only.
WITHDRAWAL RECORD (2026-09-16). This sheet previously carried FY2025 1,618.4; FY2024 1,649.3; FY2023 1,666.0; FY2022 1,530.2; FY2021 1,421.3 (USD m), each back-solved as Own Funds divided by that year's Total Capital ratio. They were withdrawn on the project owner's decision: the ratio is published rounded to one decimal place, so the quotient carries a materially wider band than its four significant figures imply, and a computed value in a disclosure column reads as a disclosure. The arithmetic is preserved in this build script as TOTAL_RWA_CALC_WITHDRAWN so the removal stays auditable.
SEE THE RWA BREAKDOWN SHEET FOR WHAT THE BANK DOES DISCLOSE. That sheet is NOT affected by this withdrawal and is a different calculation: the Pillar 3 appendix publishes the minimum Pillar 1 CAPITAL REQUIREMENT by risk category every year, and those disclosed components are multiplied by 12.5 (the inverse of the fixed 8% own-funds requirement) to state them as RWA-equivalents. That is a unit conversion of published figures against a regulatory constant, not a back-solve from a rounded ratio. As a cross-check, the two approaches agreed to within 0.15% in every year before this withdrawal (e.g. FY2025 1,618.4 against 1,617.7), which is why the breakdown's totals remain sound while the division above does not.</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Kuwait Finance House Plc — RWA Breakdown</t>
        </is>
      </c>
    </row>
    <row r="2">
      <c r="A2" s="2" t="inlineStr">
        <is>
          <t>Derived (x12.5) from the Pillar 3 appendix's own 'minimum capital requirements under Pillar 1' table by risk category - RWAs are not directly disclosed as a category-level figure, but the underlying capital requirement components are. USD'000.</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6" t="inlineStr">
        <is>
          <t>Credit and counterparty risk RWA (Standardised Approach)</t>
        </is>
      </c>
      <c r="B4" s="6" t="n">
        <v>1407550</v>
      </c>
      <c r="C4" s="6" t="n">
        <v>1394450</v>
      </c>
      <c r="D4" s="6" t="n">
        <v>1490975</v>
      </c>
      <c r="E4" s="6" t="n">
        <v>1304388</v>
      </c>
      <c r="F4" s="6" t="n">
        <v>1206525</v>
      </c>
    </row>
    <row r="5">
      <c r="A5" s="6" t="inlineStr">
        <is>
          <t>Market risk RWA (Position Risk Requirement)</t>
        </is>
      </c>
      <c r="B5" s="6" t="n">
        <v>38638</v>
      </c>
      <c r="C5" s="6" t="n">
        <v>63925</v>
      </c>
      <c r="D5" s="6" t="n">
        <v>23488</v>
      </c>
      <c r="E5" s="6" t="n">
        <v>62513</v>
      </c>
      <c r="F5" s="6" t="n">
        <v>74988</v>
      </c>
    </row>
    <row r="6">
      <c r="A6" s="6" t="inlineStr">
        <is>
          <t>Credit value adjustment (CVA) RWA</t>
        </is>
      </c>
      <c r="B6" s="6" t="n">
        <v>5500</v>
      </c>
      <c r="C6" s="6" t="n">
        <v>26900</v>
      </c>
      <c r="D6" s="6" t="n">
        <v>31313</v>
      </c>
      <c r="E6" s="6" t="n">
        <v>39650</v>
      </c>
      <c r="F6" s="6" t="n">
        <v>3750</v>
      </c>
    </row>
    <row r="7">
      <c r="A7" s="6" t="inlineStr">
        <is>
          <t>Operational risk RWA (Basic Indicator Approach)</t>
        </is>
      </c>
      <c r="B7" s="6" t="n">
        <v>165975</v>
      </c>
      <c r="C7" s="6" t="n">
        <v>162913</v>
      </c>
      <c r="D7" s="6" t="n">
        <v>118550</v>
      </c>
      <c r="E7" s="6" t="n">
        <v>120875</v>
      </c>
      <c r="F7" s="6" t="n">
        <v>138150</v>
      </c>
    </row>
    <row r="8">
      <c r="A8" s="5" t="inlineStr">
        <is>
          <t>Total RWAs (derived from disclosed Pillar 1 capital requirement components)</t>
        </is>
      </c>
      <c r="B8" s="5" t="n">
        <v>1617663</v>
      </c>
      <c r="C8" s="5" t="n">
        <v>1648188</v>
      </c>
      <c r="D8" s="5" t="n">
        <v>1664325</v>
      </c>
      <c r="E8" s="5" t="n">
        <v>1527425</v>
      </c>
      <c r="F8" s="5" t="n">
        <v>1423413</v>
      </c>
    </row>
    <row r="10" ht="380" customHeight="1">
      <c r="A10" s="8" t="inlineStr">
        <is>
          <t>Sources - Kuwait Finance House Plc (formerly Ahli United Bank (UK) PLC) Appendix: Pillar 3 Disclosures (unaudited), Key Metrics table, published within each year's own Annual Report and Financial Statements:
FY2025/FY2024: p.83-84 -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
RWA BREAKDOWN METHOD: the source discloses 'The minimum capital requirements under Pillar 1' by risk category every year (Credit and counterparty risk capital requirement (SA); Market risk capital requirement; Credit value adjustment capital requirement; Operational risk capital requirement (BIA)) but never a category-level RWA figure directly. Each category's RWA-equivalent is calculated here as capital requirement / 8% (i.e. x12.5), the standard Basel III relationship between capital requirement and RWA under the Standardised Approach. The resulting Total RWAs (this sheet's own component sum) differs from the Total RWAs sheet's Own-Funds/Total-Capital-ratio-based calculation by under 0.2% every year - both are legitimate derivations from disclosed figures, neither is a directly-quoted 'Total RWAs' line item, and the small gap is an immaterial reconciliation-methodology difference, not a data error.</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14.2%</t>
        </is>
      </c>
      <c r="C4" s="6" t="inlineStr">
        <is>
          <t>13.7%</t>
        </is>
      </c>
      <c r="D4" s="6" t="inlineStr">
        <is>
          <t>11.9%</t>
        </is>
      </c>
      <c r="E4" s="6" t="inlineStr">
        <is>
          <t>12.3%</t>
        </is>
      </c>
      <c r="F4" s="6" t="inlineStr">
        <is>
          <t>10.5%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592.3%</t>
        </is>
      </c>
      <c r="C4" s="6" t="inlineStr">
        <is>
          <t>385.4%</t>
        </is>
      </c>
      <c r="D4" s="6" t="inlineStr">
        <is>
          <t>662.5%</t>
        </is>
      </c>
      <c r="E4" s="6" t="inlineStr">
        <is>
          <t>392.5%</t>
        </is>
      </c>
      <c r="F4" s="6" t="inlineStr">
        <is>
          <t>486.4%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139.0%</t>
        </is>
      </c>
      <c r="C4" s="6" t="inlineStr">
        <is>
          <t>119.4%</t>
        </is>
      </c>
      <c r="D4" s="6" t="inlineStr">
        <is>
          <t>133.0%</t>
        </is>
      </c>
      <c r="E4" s="6" t="inlineStr">
        <is>
          <t>127.4%</t>
        </is>
      </c>
      <c r="F4" s="6" t="inlineStr">
        <is>
          <t>136.2%</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Kuwait Finance House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any year - consistent with a small UK bank subsidiary that is not itself a resolution entity.</t>
        </is>
      </c>
    </row>
    <row r="7" ht="150" customHeight="1">
      <c r="A7" s="8" t="inlineStr">
        <is>
          <t>Sources - Kuwait Finance House Plc (formerly Ahli United Bank (UK) PLC) Appendix: Pillar 3 Disclosures (unaudited), Key Metrics table, published within each year's own Annual Report and Financial Statements:
FY2025/FY2024: p.n/a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2026-09-17T18:05:41Z</dcterms:created>
  <dcterms:modified xmlns:dcterms="http://purl.org/dc/terms/" xmlns:xsi="http://www.w3.org/2001/XMLSchema-instance" xsi:type="dcterms:W3CDTF">2026-09-17T18:05:41Z</dcterms:modified>
</cp:coreProperties>
</file>