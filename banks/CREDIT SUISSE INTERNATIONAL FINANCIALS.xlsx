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50B633"/>
        <bgColor rgb="0050B633"/>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Credit Suisse International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'Overview'!O6</f>
            </strRef>
          </tx>
          <spPr>
            <a:ln xmlns:a="http://schemas.openxmlformats.org/drawingml/2006/main">
              <a:prstDash val="solid"/>
            </a:ln>
          </spPr>
          <cat>
            <numRef>
              <f>'Overview'!$P$5:$Z$5</f>
            </numRef>
          </cat>
          <val>
            <numRef>
              <f>'Overview'!$P$6:$Z$6</f>
            </numRef>
          </val>
        </ser>
        <ser>
          <idx val="1"/>
          <order val="1"/>
          <tx>
            <strRef>
              <f>'Overview'!O7</f>
            </strRef>
          </tx>
          <spPr>
            <a:ln xmlns:a="http://schemas.openxmlformats.org/drawingml/2006/main">
              <a:prstDash val="solid"/>
            </a:ln>
          </spPr>
          <cat>
            <numRef>
              <f>'Overview'!$P$5:$Z$5</f>
            </numRef>
          </cat>
          <val>
            <numRef>
              <f>'Overview'!$P$7:$Z$7</f>
            </numRef>
          </val>
        </ser>
        <ser>
          <idx val="2"/>
          <order val="2"/>
          <tx>
            <strRef>
              <f>'Overview'!O8</f>
            </strRef>
          </tx>
          <spPr>
            <a:ln xmlns:a="http://schemas.openxmlformats.org/drawingml/2006/main">
              <a:prstDash val="solid"/>
            </a:ln>
          </spPr>
          <cat>
            <numRef>
              <f>'Overview'!$P$5:$Z$5</f>
            </numRef>
          </cat>
          <val>
            <numRef>
              <f>'Overview'!$P$8:$Z$8</f>
            </numRef>
          </val>
        </ser>
        <ser>
          <idx val="3"/>
          <order val="3"/>
          <tx>
            <strRef>
              <f>'Overview'!O9</f>
            </strRef>
          </tx>
          <spPr>
            <a:ln xmlns:a="http://schemas.openxmlformats.org/drawingml/2006/main">
              <a:prstDash val="solid"/>
            </a:ln>
          </spPr>
          <cat>
            <numRef>
              <f>'Overview'!$P$5:$Z$5</f>
            </numRef>
          </cat>
          <val>
            <numRef>
              <f>'Overview'!$P$9:$Z$9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Credit Suisse International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'Overview'!AC13</f>
            </strRef>
          </tx>
          <spPr>
            <a:ln xmlns:a="http://schemas.openxmlformats.org/drawingml/2006/main">
              <a:prstDash val="solid"/>
            </a:ln>
          </spPr>
          <cat>
            <numRef>
              <f>'Overview'!$AD$12:$AN$12</f>
            </numRef>
          </cat>
          <val>
            <numRef>
              <f>'Overview'!$AD$13:$AN$13</f>
            </numRef>
          </val>
        </ser>
        <ser>
          <idx val="1"/>
          <order val="1"/>
          <tx>
            <strRef>
              <f>'Overview'!AC14</f>
            </strRef>
          </tx>
          <spPr>
            <a:ln xmlns:a="http://schemas.openxmlformats.org/drawingml/2006/main">
              <a:prstDash val="solid"/>
            </a:ln>
          </spPr>
          <cat>
            <numRef>
              <f>'Overview'!$AD$12:$AN$12</f>
            </numRef>
          </cat>
          <val>
            <numRef>
              <f>'Overview'!$AD$14:$AN$14</f>
            </numRef>
          </val>
        </ser>
        <ser>
          <idx val="2"/>
          <order val="2"/>
          <tx>
            <strRef>
              <f>'Overview'!AC15</f>
            </strRef>
          </tx>
          <spPr>
            <a:ln xmlns:a="http://schemas.openxmlformats.org/drawingml/2006/main">
              <a:prstDash val="solid"/>
            </a:ln>
          </spPr>
          <cat>
            <numRef>
              <f>'Overview'!$AD$12:$AN$12</f>
            </numRef>
          </cat>
          <val>
            <numRef>
              <f>'Overview'!$AD$15:$AN$15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Credit Suisse International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'Overview'!AQ19</f>
            </strRef>
          </tx>
          <spPr>
            <a:ln xmlns:a="http://schemas.openxmlformats.org/drawingml/2006/main">
              <a:prstDash val="solid"/>
            </a:ln>
          </spPr>
          <cat>
            <numRef>
              <f>'Overview'!$AR$18:$BB$18</f>
            </numRef>
          </cat>
          <val>
            <numRef>
              <f>'Overview'!$AR$19:$BB$19</f>
            </numRef>
          </val>
        </ser>
        <ser>
          <idx val="1"/>
          <order val="1"/>
          <tx>
            <strRef>
              <f>'Overview'!AQ20</f>
            </strRef>
          </tx>
          <spPr>
            <a:ln xmlns:a="http://schemas.openxmlformats.org/drawingml/2006/main">
              <a:prstDash val="solid"/>
            </a:ln>
          </spPr>
          <cat>
            <numRef>
              <f>'Overview'!$AR$18:$BB$18</f>
            </numRef>
          </cat>
          <val>
            <numRef>
              <f>'Overview'!$AR$20:$BB$20</f>
            </numRef>
          </val>
        </ser>
        <ser>
          <idx val="2"/>
          <order val="2"/>
          <tx>
            <strRef>
              <f>'Overview'!AQ21</f>
            </strRef>
          </tx>
          <spPr>
            <a:ln xmlns:a="http://schemas.openxmlformats.org/drawingml/2006/main">
              <a:prstDash val="solid"/>
            </a:ln>
          </spPr>
          <cat>
            <numRef>
              <f>'Overview'!$AR$18:$BB$18</f>
            </numRef>
          </cat>
          <val>
            <numRef>
              <f>'Overview'!$AR$21:$BB$21</f>
            </numRef>
          </val>
        </ser>
        <ser>
          <idx val="3"/>
          <order val="3"/>
          <tx>
            <strRef>
              <f>'Overview'!AQ22</f>
            </strRef>
          </tx>
          <spPr>
            <a:ln xmlns:a="http://schemas.openxmlformats.org/drawingml/2006/main">
              <a:prstDash val="solid"/>
            </a:ln>
          </spPr>
          <cat>
            <numRef>
              <f>'Overview'!$AR$18:$BB$18</f>
            </numRef>
          </cat>
          <val>
            <numRef>
              <f>'Overview'!$AR$22:$BB$22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Credit Suisse International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'Overview'!BE26</f>
            </strRef>
          </tx>
          <spPr>
            <a:ln xmlns:a="http://schemas.openxmlformats.org/drawingml/2006/main">
              <a:prstDash val="solid"/>
            </a:ln>
          </spPr>
          <cat>
            <numRef>
              <f>'Overview'!$BF$25:$BP$25</f>
            </numRef>
          </cat>
          <val>
            <numRef>
              <f>'Overview'!$BF$26:$BP$26</f>
            </numRef>
          </val>
        </ser>
        <ser>
          <idx val="1"/>
          <order val="1"/>
          <tx>
            <strRef>
              <f>'Overview'!BE27</f>
            </strRef>
          </tx>
          <spPr>
            <a:ln xmlns:a="http://schemas.openxmlformats.org/drawingml/2006/main">
              <a:prstDash val="solid"/>
            </a:ln>
          </spPr>
          <cat>
            <numRef>
              <f>'Overview'!$BF$25:$BP$25</f>
            </numRef>
          </cat>
          <val>
            <numRef>
              <f>'Overview'!$BF$27:$BP$27</f>
            </numRef>
          </val>
        </ser>
        <ser>
          <idx val="2"/>
          <order val="2"/>
          <tx>
            <strRef>
              <f>'Overview'!BE28</f>
            </strRef>
          </tx>
          <spPr>
            <a:ln xmlns:a="http://schemas.openxmlformats.org/drawingml/2006/main">
              <a:prstDash val="solid"/>
            </a:ln>
          </spPr>
          <cat>
            <numRef>
              <f>'Overview'!$BF$25:$BP$25</f>
            </numRef>
          </cat>
          <val>
            <numRef>
              <f>'Overview'!$BF$28:$BP$28</f>
            </numRef>
          </val>
        </ser>
        <ser>
          <idx val="3"/>
          <order val="3"/>
          <tx>
            <strRef>
              <f>'Overview'!BE29</f>
            </strRef>
          </tx>
          <spPr>
            <a:ln xmlns:a="http://schemas.openxmlformats.org/drawingml/2006/main">
              <a:prstDash val="solid"/>
            </a:ln>
          </spPr>
          <cat>
            <numRef>
              <f>'Overview'!$BF$25:$BP$25</f>
            </numRef>
          </cat>
          <val>
            <numRef>
              <f>'Overview'!$BF$29:$BP$29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 (conv. from USD)</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Credit Suisse International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'Overview'!BS6</f>
            </strRef>
          </tx>
          <spPr>
            <a:ln xmlns:a="http://schemas.openxmlformats.org/drawingml/2006/main">
              <a:prstDash val="solid"/>
            </a:ln>
          </spPr>
          <marker>
            <symbol val="none"/>
            <spPr>
              <a:ln xmlns:a="http://schemas.openxmlformats.org/drawingml/2006/main">
                <a:prstDash val="solid"/>
              </a:ln>
            </spPr>
          </marker>
          <cat>
            <numRef>
              <f>'Overview'!$BT$5:$CD$5</f>
            </numRef>
          </cat>
          <val>
            <numRef>
              <f>'Overview'!$BT$6:$CD$6</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37</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59</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81</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103</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125</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D35"/>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 hidden="1" width="13" customWidth="1" min="74" max="74"/>
    <col hidden="1" width="13" customWidth="1" min="75" max="75"/>
    <col hidden="1" width="13" customWidth="1" min="76" max="76"/>
    <col hidden="1" width="13" customWidth="1" min="77" max="77"/>
    <col hidden="1" width="13" customWidth="1" min="78" max="78"/>
    <col hidden="1" width="13" customWidth="1" min="79" max="79"/>
    <col hidden="1" width="13" customWidth="1" min="80" max="80"/>
    <col hidden="1" width="13" customWidth="1" min="81" max="81"/>
    <col hidden="1" width="13" customWidth="1" min="82" max="82"/>
  </cols>
  <sheetData>
    <row r="1">
      <c r="A1" s="1" t="inlineStr">
        <is>
          <t>Credit Suisse International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(£m (conv. from USD))</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L5" s="4" t="inlineStr">
        <is>
          <t>FY2015</t>
        </is>
      </c>
      <c r="P5" t="inlineStr">
        <is>
          <t>FY2015</t>
        </is>
      </c>
      <c r="Q5" t="inlineStr">
        <is>
          <t>FY2016</t>
        </is>
      </c>
      <c r="R5" t="inlineStr">
        <is>
          <t>FY2017</t>
        </is>
      </c>
      <c r="S5" t="inlineStr">
        <is>
          <t>FY2018</t>
        </is>
      </c>
      <c r="T5" t="inlineStr">
        <is>
          <t>FY2019</t>
        </is>
      </c>
      <c r="U5" t="inlineStr">
        <is>
          <t>FY2020</t>
        </is>
      </c>
      <c r="V5" t="inlineStr">
        <is>
          <t>FY2021</t>
        </is>
      </c>
      <c r="W5" t="inlineStr">
        <is>
          <t>FY2022</t>
        </is>
      </c>
      <c r="X5" t="inlineStr">
        <is>
          <t>FY2023</t>
        </is>
      </c>
      <c r="Y5" t="inlineStr">
        <is>
          <t>FY2024</t>
        </is>
      </c>
      <c r="Z5" t="inlineStr">
        <is>
          <t>FY2025</t>
        </is>
      </c>
      <c r="BT5" t="inlineStr">
        <is>
          <t>FY2015</t>
        </is>
      </c>
      <c r="BU5" t="inlineStr">
        <is>
          <t>FY2016</t>
        </is>
      </c>
      <c r="BV5" t="inlineStr">
        <is>
          <t>FY2017</t>
        </is>
      </c>
      <c r="BW5" t="inlineStr">
        <is>
          <t>FY2018</t>
        </is>
      </c>
      <c r="BX5" t="inlineStr">
        <is>
          <t>FY2019</t>
        </is>
      </c>
      <c r="BY5" t="inlineStr">
        <is>
          <t>FY2020</t>
        </is>
      </c>
      <c r="BZ5" t="inlineStr">
        <is>
          <t>FY2021</t>
        </is>
      </c>
      <c r="CA5" t="inlineStr">
        <is>
          <t>FY2022</t>
        </is>
      </c>
      <c r="CB5" t="inlineStr">
        <is>
          <t>FY2023</t>
        </is>
      </c>
      <c r="CC5" t="inlineStr">
        <is>
          <t>FY2024</t>
        </is>
      </c>
      <c r="CD5" t="inlineStr">
        <is>
          <t>FY2025</t>
        </is>
      </c>
    </row>
    <row r="6">
      <c r="A6" s="5" t="inlineStr">
        <is>
          <t>Total assets</t>
        </is>
      </c>
      <c r="B6" s="5" t="n">
        <v>4201.4</v>
      </c>
      <c r="C6" s="5" t="n">
        <v>41049.9</v>
      </c>
      <c r="D6" s="5" t="n">
        <v>96149.89999999999</v>
      </c>
      <c r="E6" s="5" t="n">
        <v>151480.5</v>
      </c>
      <c r="F6" s="5" t="n">
        <v>180840.9</v>
      </c>
      <c r="G6" s="5" t="n">
        <v>212463.2</v>
      </c>
      <c r="H6" s="5" t="n">
        <v>176894.8</v>
      </c>
      <c r="I6" s="5" t="n">
        <v>181496.6</v>
      </c>
      <c r="J6" s="5" t="n">
        <v>184633.6</v>
      </c>
      <c r="K6" s="5" t="n">
        <v>270162.6</v>
      </c>
      <c r="L6" s="5" t="n">
        <v>270591.1</v>
      </c>
      <c r="O6" t="inlineStr">
        <is>
          <t>Total assets</t>
        </is>
      </c>
      <c r="P6" t="n">
        <v>270591.1</v>
      </c>
      <c r="Q6" t="n">
        <v>270162.6</v>
      </c>
      <c r="R6" t="n">
        <v>184633.6</v>
      </c>
      <c r="S6" t="n">
        <v>181496.6</v>
      </c>
      <c r="T6" t="n">
        <v>176894.8</v>
      </c>
      <c r="U6" t="n">
        <v>212463.2</v>
      </c>
      <c r="V6" t="n">
        <v>180840.9</v>
      </c>
      <c r="W6" t="n">
        <v>151480.5</v>
      </c>
      <c r="X6" t="n">
        <v>96149.89999999999</v>
      </c>
      <c r="Y6" t="n">
        <v>41049.9</v>
      </c>
      <c r="Z6" t="n">
        <v>4201.4</v>
      </c>
      <c r="BS6" t="inlineStr">
        <is>
          <t>Tier 1 Ratio</t>
        </is>
      </c>
      <c r="BT6" t="n">
        <v>13</v>
      </c>
      <c r="BU6" t="n">
        <v>16.6</v>
      </c>
      <c r="BV6" t="n">
        <v>20</v>
      </c>
      <c r="BW6" t="n">
        <v>20.5</v>
      </c>
      <c r="BX6" t="n">
        <v>26.4</v>
      </c>
      <c r="BY6" t="n">
        <v>19.3</v>
      </c>
      <c r="BZ6" t="n">
        <v>24</v>
      </c>
      <c r="CA6" t="n">
        <v>26</v>
      </c>
      <c r="CB6" t="n">
        <v>40</v>
      </c>
      <c r="CC6" t="n">
        <v>62.9</v>
      </c>
      <c r="CD6" t="n">
        <v>146.9</v>
      </c>
    </row>
    <row r="7">
      <c r="A7" s="5" t="inlineStr">
        <is>
          <t>Loans and advances</t>
        </is>
      </c>
      <c r="B7" s="5" t="n">
        <v>5.2</v>
      </c>
      <c r="C7" s="5" t="n">
        <v>2036</v>
      </c>
      <c r="D7" s="5" t="n">
        <v>2679.1</v>
      </c>
      <c r="E7" s="5" t="n">
        <v>2457.6</v>
      </c>
      <c r="F7" s="5" t="n">
        <v>2195.1</v>
      </c>
      <c r="G7" s="5" t="n">
        <v>2306.6</v>
      </c>
      <c r="H7" s="5" t="n">
        <v>2349</v>
      </c>
      <c r="I7" s="5" t="n">
        <v>2750.4</v>
      </c>
      <c r="J7" s="5" t="n">
        <v>2465.6</v>
      </c>
      <c r="K7" s="5" t="n">
        <v>2695.3</v>
      </c>
      <c r="L7" s="5" t="n">
        <v>2358.5</v>
      </c>
      <c r="O7" t="inlineStr">
        <is>
          <t>Loans and advances</t>
        </is>
      </c>
      <c r="P7" t="n">
        <v>2358.5</v>
      </c>
      <c r="Q7" t="n">
        <v>2695.3</v>
      </c>
      <c r="R7" t="n">
        <v>2465.6</v>
      </c>
      <c r="S7" t="n">
        <v>2750.4</v>
      </c>
      <c r="T7" t="n">
        <v>2349</v>
      </c>
      <c r="U7" t="n">
        <v>2306.6</v>
      </c>
      <c r="V7" t="n">
        <v>2195.1</v>
      </c>
      <c r="W7" t="n">
        <v>2457.6</v>
      </c>
      <c r="X7" t="n">
        <v>2679.1</v>
      </c>
      <c r="Y7" t="n">
        <v>2036</v>
      </c>
      <c r="Z7" t="n">
        <v>5.2</v>
      </c>
    </row>
    <row r="8">
      <c r="A8" s="5" t="inlineStr">
        <is>
          <t>Borrowings</t>
        </is>
      </c>
      <c r="B8" s="5" t="n">
        <v>1488.7</v>
      </c>
      <c r="C8" s="5" t="n">
        <v>5902.5</v>
      </c>
      <c r="D8" s="5" t="n">
        <v>9913.6</v>
      </c>
      <c r="E8" s="5" t="n">
        <v>4980.6</v>
      </c>
      <c r="F8" s="5" t="n">
        <v>1087.2</v>
      </c>
      <c r="G8" s="5" t="n">
        <v>1783.2</v>
      </c>
      <c r="H8" s="5" t="n">
        <v>10685.8</v>
      </c>
      <c r="I8" s="5" t="n">
        <v>15314.4</v>
      </c>
      <c r="J8" s="5" t="n">
        <v>4396.7</v>
      </c>
      <c r="K8" s="5" t="n">
        <v>2167.8</v>
      </c>
      <c r="L8" s="5" t="n">
        <v>14215.5</v>
      </c>
      <c r="O8" t="inlineStr">
        <is>
          <t>Borrowings</t>
        </is>
      </c>
      <c r="P8" t="n">
        <v>14215.5</v>
      </c>
      <c r="Q8" t="n">
        <v>2167.8</v>
      </c>
      <c r="R8" t="n">
        <v>4396.7</v>
      </c>
      <c r="S8" t="n">
        <v>15314.4</v>
      </c>
      <c r="T8" t="n">
        <v>10685.8</v>
      </c>
      <c r="U8" t="n">
        <v>1783.2</v>
      </c>
      <c r="V8" t="n">
        <v>1087.2</v>
      </c>
      <c r="W8" t="n">
        <v>4980.6</v>
      </c>
      <c r="X8" t="n">
        <v>9913.6</v>
      </c>
      <c r="Y8" t="n">
        <v>5902.5</v>
      </c>
      <c r="Z8" t="n">
        <v>1488.7</v>
      </c>
    </row>
    <row r="9">
      <c r="A9" s="5" t="inlineStr">
        <is>
          <t>Total shareholders' equity</t>
        </is>
      </c>
      <c r="B9" s="5" t="n">
        <v>2242</v>
      </c>
      <c r="C9" s="5" t="n">
        <v>5864.2</v>
      </c>
      <c r="D9" s="5" t="n">
        <v>11752.3</v>
      </c>
      <c r="E9" s="5" t="n">
        <v>14800.4</v>
      </c>
      <c r="F9" s="5" t="n">
        <v>13038.2</v>
      </c>
      <c r="G9" s="5" t="n">
        <v>16841.4</v>
      </c>
      <c r="H9" s="5" t="n">
        <v>17249.1</v>
      </c>
      <c r="I9" s="5" t="n">
        <v>17746.1</v>
      </c>
      <c r="J9" s="5" t="n">
        <v>16638</v>
      </c>
      <c r="K9" s="5" t="n">
        <v>18457.3</v>
      </c>
      <c r="L9" s="5" t="n">
        <v>15455.8</v>
      </c>
      <c r="O9" t="inlineStr">
        <is>
          <t>Total shareholders' equity</t>
        </is>
      </c>
      <c r="P9" t="n">
        <v>15455.8</v>
      </c>
      <c r="Q9" t="n">
        <v>18457.3</v>
      </c>
      <c r="R9" t="n">
        <v>16638</v>
      </c>
      <c r="S9" t="n">
        <v>17746.1</v>
      </c>
      <c r="T9" t="n">
        <v>17249.1</v>
      </c>
      <c r="U9" t="n">
        <v>16841.4</v>
      </c>
      <c r="V9" t="n">
        <v>13038.2</v>
      </c>
      <c r="W9" t="n">
        <v>14800.4</v>
      </c>
      <c r="X9" t="n">
        <v>11752.3</v>
      </c>
      <c r="Y9" t="n">
        <v>5864.2</v>
      </c>
      <c r="Z9" t="n">
        <v>2242</v>
      </c>
    </row>
    <row r="11">
      <c r="A11" s="3" t="inlineStr">
        <is>
          <t>Profit &amp; Loss Summary (£m (conv. from USD))</t>
        </is>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L12" s="4" t="inlineStr">
        <is>
          <t>FY2015</t>
        </is>
      </c>
      <c r="AD12" t="inlineStr">
        <is>
          <t>FY2015</t>
        </is>
      </c>
      <c r="AE12" t="inlineStr">
        <is>
          <t>FY2016</t>
        </is>
      </c>
      <c r="AF12" t="inlineStr">
        <is>
          <t>FY2017</t>
        </is>
      </c>
      <c r="AG12" t="inlineStr">
        <is>
          <t>FY2018</t>
        </is>
      </c>
      <c r="AH12" t="inlineStr">
        <is>
          <t>FY2019</t>
        </is>
      </c>
      <c r="AI12" t="inlineStr">
        <is>
          <t>FY2020</t>
        </is>
      </c>
      <c r="AJ12" t="inlineStr">
        <is>
          <t>FY2021</t>
        </is>
      </c>
      <c r="AK12" t="inlineStr">
        <is>
          <t>FY2022</t>
        </is>
      </c>
      <c r="AL12" t="inlineStr">
        <is>
          <t>FY2023</t>
        </is>
      </c>
      <c r="AM12" t="inlineStr">
        <is>
          <t>FY2024</t>
        </is>
      </c>
      <c r="AN12" t="inlineStr">
        <is>
          <t>FY2025</t>
        </is>
      </c>
    </row>
    <row r="13">
      <c r="A13" s="5" t="inlineStr">
        <is>
          <t>Net revenues</t>
        </is>
      </c>
      <c r="B13" s="5" t="n">
        <v>197.8</v>
      </c>
      <c r="C13" s="5" t="n">
        <v>573.5</v>
      </c>
      <c r="D13" s="5" t="n">
        <v>1135.9</v>
      </c>
      <c r="E13" s="5" t="n">
        <v>1883.2</v>
      </c>
      <c r="F13" s="5" t="n">
        <v>-1564.1</v>
      </c>
      <c r="G13" s="5" t="n">
        <v>1801</v>
      </c>
      <c r="H13" s="5" t="n">
        <v>1503.3</v>
      </c>
      <c r="I13" s="5" t="n">
        <v>1646.1</v>
      </c>
      <c r="J13" s="5" t="n">
        <v>1057.8</v>
      </c>
      <c r="K13" s="5" t="n">
        <v>1021.4</v>
      </c>
      <c r="L13" s="5" t="n">
        <v>1270.7</v>
      </c>
      <c r="AC13" t="inlineStr">
        <is>
          <t>Net revenues</t>
        </is>
      </c>
      <c r="AD13" t="n">
        <v>1270.7</v>
      </c>
      <c r="AE13" t="n">
        <v>1021.4</v>
      </c>
      <c r="AF13" t="n">
        <v>1057.8</v>
      </c>
      <c r="AG13" t="n">
        <v>1646.1</v>
      </c>
      <c r="AH13" t="n">
        <v>1503.3</v>
      </c>
      <c r="AI13" t="n">
        <v>1801</v>
      </c>
      <c r="AJ13" t="n">
        <v>-1564.1</v>
      </c>
      <c r="AK13" t="n">
        <v>1883.2</v>
      </c>
      <c r="AL13" t="n">
        <v>1135.9</v>
      </c>
      <c r="AM13" t="n">
        <v>573.5</v>
      </c>
      <c r="AN13" t="n">
        <v>197.8</v>
      </c>
    </row>
    <row r="14">
      <c r="A14" s="5" t="inlineStr">
        <is>
          <t>Total operating expenses</t>
        </is>
      </c>
      <c r="B14" s="5" t="n">
        <v>-13.6</v>
      </c>
      <c r="C14" s="5" t="n">
        <v>-15.6</v>
      </c>
      <c r="D14" s="5" t="n">
        <v>-2531.6</v>
      </c>
      <c r="E14" s="5" t="n">
        <v>-2150.9</v>
      </c>
      <c r="F14" s="5" t="n">
        <v>-2352.4</v>
      </c>
      <c r="G14" s="5" t="n">
        <v>-1652.3</v>
      </c>
      <c r="H14" s="5" t="n">
        <v>-1396</v>
      </c>
      <c r="I14" s="5" t="n">
        <v>-1590.6</v>
      </c>
      <c r="J14" s="5" t="n">
        <v>-1197.5</v>
      </c>
      <c r="K14" s="5" t="n">
        <v>-1264.9</v>
      </c>
      <c r="L14" s="5" t="n">
        <v>-1304.7</v>
      </c>
      <c r="AC14" t="inlineStr">
        <is>
          <t>Total operating expenses</t>
        </is>
      </c>
      <c r="AD14" t="n">
        <v>-1304.7</v>
      </c>
      <c r="AE14" t="n">
        <v>-1264.9</v>
      </c>
      <c r="AF14" t="n">
        <v>-1197.5</v>
      </c>
      <c r="AG14" t="n">
        <v>-1590.6</v>
      </c>
      <c r="AH14" t="n">
        <v>-1396</v>
      </c>
      <c r="AI14" t="n">
        <v>-1652.3</v>
      </c>
      <c r="AJ14" t="n">
        <v>-2352.4</v>
      </c>
      <c r="AK14" t="n">
        <v>-2150.9</v>
      </c>
      <c r="AL14" t="n">
        <v>-2531.6</v>
      </c>
      <c r="AM14" t="n">
        <v>-15.6</v>
      </c>
      <c r="AN14" t="n">
        <v>-13.6</v>
      </c>
    </row>
    <row r="15">
      <c r="A15" s="5" t="inlineStr">
        <is>
          <t>Profit/(loss) for the year</t>
        </is>
      </c>
      <c r="B15" s="5" t="n">
        <v>-169.8</v>
      </c>
      <c r="C15" s="5" t="n">
        <v>-68.09999999999999</v>
      </c>
      <c r="D15" s="5" t="n">
        <v>-1441.4</v>
      </c>
      <c r="E15" s="5" t="n">
        <v>-554.1</v>
      </c>
      <c r="F15" s="5" t="n">
        <v>-3885.3</v>
      </c>
      <c r="G15" s="5" t="n">
        <v>164.4</v>
      </c>
      <c r="H15" s="5" t="n">
        <v>263.2</v>
      </c>
      <c r="I15" s="5" t="n">
        <v>44.2</v>
      </c>
      <c r="J15" s="5" t="n">
        <v>-203.3</v>
      </c>
      <c r="K15" s="5" t="n">
        <v>-144.6</v>
      </c>
      <c r="L15" s="5" t="n">
        <v>-77.2</v>
      </c>
      <c r="AC15" t="inlineStr">
        <is>
          <t>Profit/(loss) for the year</t>
        </is>
      </c>
      <c r="AD15" t="n">
        <v>-77.2</v>
      </c>
      <c r="AE15" t="n">
        <v>-144.6</v>
      </c>
      <c r="AF15" t="n">
        <v>-203.3</v>
      </c>
      <c r="AG15" t="n">
        <v>44.2</v>
      </c>
      <c r="AH15" t="n">
        <v>263.2</v>
      </c>
      <c r="AI15" t="n">
        <v>164.4</v>
      </c>
      <c r="AJ15" t="n">
        <v>-3885.3</v>
      </c>
      <c r="AK15" t="n">
        <v>-554.1</v>
      </c>
      <c r="AL15" t="n">
        <v>-1441.4</v>
      </c>
      <c r="AM15" t="n">
        <v>-68.09999999999999</v>
      </c>
      <c r="AN15" t="n">
        <v>-169.8</v>
      </c>
    </row>
    <row r="17">
      <c r="A17" s="3" t="inlineStr">
        <is>
          <t>Statement of Changes in Equity Summary (£m (conv. from USD))</t>
        </is>
      </c>
    </row>
    <row r="18">
      <c r="A18" s="4" t="inlineStr">
        <is>
          <t>Line item</t>
        </is>
      </c>
      <c r="B18" s="4" t="inlineStr">
        <is>
          <t>FY2025</t>
        </is>
      </c>
      <c r="C18" s="4" t="inlineStr">
        <is>
          <t>FY2024</t>
        </is>
      </c>
      <c r="D18" s="4" t="inlineStr">
        <is>
          <t>FY2023</t>
        </is>
      </c>
      <c r="E18" s="4" t="inlineStr">
        <is>
          <t>FY2022</t>
        </is>
      </c>
      <c r="F18" s="4" t="inlineStr">
        <is>
          <t>FY2021</t>
        </is>
      </c>
      <c r="G18" s="4" t="inlineStr">
        <is>
          <t>FY2020</t>
        </is>
      </c>
      <c r="H18" s="4" t="inlineStr">
        <is>
          <t>FY2019</t>
        </is>
      </c>
      <c r="I18" s="4" t="inlineStr">
        <is>
          <t>FY2018</t>
        </is>
      </c>
      <c r="J18" s="4" t="inlineStr">
        <is>
          <t>FY2017</t>
        </is>
      </c>
      <c r="K18" s="4" t="inlineStr">
        <is>
          <t>FY2016</t>
        </is>
      </c>
      <c r="L18" s="4" t="inlineStr">
        <is>
          <t>FY2015</t>
        </is>
      </c>
      <c r="AR18" t="inlineStr">
        <is>
          <t>FY2015</t>
        </is>
      </c>
      <c r="AS18" t="inlineStr">
        <is>
          <t>FY2016</t>
        </is>
      </c>
      <c r="AT18" t="inlineStr">
        <is>
          <t>FY2017</t>
        </is>
      </c>
      <c r="AU18" t="inlineStr">
        <is>
          <t>FY2018</t>
        </is>
      </c>
      <c r="AV18" t="inlineStr">
        <is>
          <t>FY2019</t>
        </is>
      </c>
      <c r="AW18" t="inlineStr">
        <is>
          <t>FY2020</t>
        </is>
      </c>
      <c r="AX18" t="inlineStr">
        <is>
          <t>FY2021</t>
        </is>
      </c>
      <c r="AY18" t="inlineStr">
        <is>
          <t>FY2022</t>
        </is>
      </c>
      <c r="AZ18" t="inlineStr">
        <is>
          <t>FY2023</t>
        </is>
      </c>
      <c r="BA18" t="inlineStr">
        <is>
          <t>FY2024</t>
        </is>
      </c>
      <c r="BB18" t="inlineStr">
        <is>
          <t>FY2025</t>
        </is>
      </c>
    </row>
    <row r="19">
      <c r="A19" s="5" t="inlineStr">
        <is>
          <t>Opening equity</t>
        </is>
      </c>
      <c r="B19" s="5" t="n">
        <v>5864.2</v>
      </c>
      <c r="C19" s="5" t="n">
        <v>11752.3</v>
      </c>
      <c r="D19" s="5" t="n">
        <v>14800.4</v>
      </c>
      <c r="E19" s="5" t="n">
        <v>13038.2</v>
      </c>
      <c r="F19" s="5" t="n">
        <v>16841.4</v>
      </c>
      <c r="G19" s="5" t="n">
        <v>17249.1</v>
      </c>
      <c r="H19" s="5" t="n">
        <v>17746.1</v>
      </c>
      <c r="I19" s="5" t="n">
        <v>16638</v>
      </c>
      <c r="J19" s="5" t="n">
        <v>18457.3</v>
      </c>
      <c r="K19" s="5" t="n">
        <v>15455.8</v>
      </c>
      <c r="L19" s="5" t="n">
        <v>15395.3</v>
      </c>
      <c r="AQ19" t="inlineStr">
        <is>
          <t>Opening equity</t>
        </is>
      </c>
      <c r="AR19" t="n">
        <v>15395.3</v>
      </c>
      <c r="AS19" t="n">
        <v>15455.8</v>
      </c>
      <c r="AT19" t="n">
        <v>18457.3</v>
      </c>
      <c r="AU19" t="n">
        <v>16638</v>
      </c>
      <c r="AV19" t="n">
        <v>17746.1</v>
      </c>
      <c r="AW19" t="n">
        <v>17249.1</v>
      </c>
      <c r="AX19" t="n">
        <v>16841.4</v>
      </c>
      <c r="AY19" t="n">
        <v>13038.2</v>
      </c>
      <c r="AZ19" t="n">
        <v>14800.4</v>
      </c>
      <c r="BA19" t="n">
        <v>11752.3</v>
      </c>
      <c r="BB19" t="n">
        <v>5864.2</v>
      </c>
    </row>
    <row r="20">
      <c r="A20" s="5" t="inlineStr">
        <is>
          <t>Total comprehensive income/(loss) for the year</t>
        </is>
      </c>
      <c r="B20" s="5" t="n">
        <v>-173.6</v>
      </c>
      <c r="C20" s="5" t="n">
        <v>-153.3</v>
      </c>
      <c r="D20" s="5" t="n">
        <v>-1480</v>
      </c>
      <c r="E20" s="5" t="n">
        <v>-748.3</v>
      </c>
      <c r="F20" s="5" t="n">
        <v>-3910.7</v>
      </c>
      <c r="G20" s="5" t="n">
        <v>172.2</v>
      </c>
      <c r="H20" s="5" t="n">
        <v>865.6</v>
      </c>
      <c r="I20" s="5" t="n">
        <v>36</v>
      </c>
      <c r="J20" s="5" t="n">
        <v>-201.8</v>
      </c>
      <c r="K20" s="5" t="n">
        <v>-144.6</v>
      </c>
      <c r="L20" s="5" t="n">
        <v>-75.90000000000001</v>
      </c>
      <c r="AQ20" t="inlineStr">
        <is>
          <t>Total comprehensive income/(loss) for the year</t>
        </is>
      </c>
      <c r="AR20" t="n">
        <v>-75.90000000000001</v>
      </c>
      <c r="AS20" t="n">
        <v>-144.6</v>
      </c>
      <c r="AT20" t="n">
        <v>-201.8</v>
      </c>
      <c r="AU20" t="n">
        <v>36</v>
      </c>
      <c r="AV20" t="n">
        <v>865.6</v>
      </c>
      <c r="AW20" t="n">
        <v>172.2</v>
      </c>
      <c r="AX20" t="n">
        <v>-3910.7</v>
      </c>
      <c r="AY20" t="n">
        <v>-748.3</v>
      </c>
      <c r="AZ20" t="n">
        <v>-1480</v>
      </c>
      <c r="BA20" t="n">
        <v>-153.3</v>
      </c>
      <c r="BB20" t="n">
        <v>-173.6</v>
      </c>
    </row>
    <row r="21">
      <c r="A21" s="5" t="inlineStr">
        <is>
          <t>Other equity movements, net</t>
        </is>
      </c>
      <c r="B21" s="5" t="n">
        <v>-3448.6</v>
      </c>
      <c r="C21" s="5" t="n">
        <v>-5734.8</v>
      </c>
      <c r="D21" s="5" t="n">
        <v>-1568.1</v>
      </c>
      <c r="E21" s="5" t="n">
        <v>2510.5</v>
      </c>
      <c r="F21" s="5" t="n">
        <v>107.5</v>
      </c>
      <c r="G21" s="5" t="n">
        <v>-579.9</v>
      </c>
      <c r="H21" s="5" t="n">
        <v>-1362.6</v>
      </c>
      <c r="I21" s="5" t="n">
        <v>1072.1</v>
      </c>
      <c r="J21" s="5" t="n">
        <v>-1617.5</v>
      </c>
      <c r="K21" s="5" t="n">
        <v>3146.1</v>
      </c>
      <c r="L21" s="5" t="n">
        <v>136.4</v>
      </c>
      <c r="AQ21" t="inlineStr">
        <is>
          <t>Other equity movements, net</t>
        </is>
      </c>
      <c r="AR21" t="n">
        <v>136.4</v>
      </c>
      <c r="AS21" t="n">
        <v>3146.1</v>
      </c>
      <c r="AT21" t="n">
        <v>-1617.5</v>
      </c>
      <c r="AU21" t="n">
        <v>1072.1</v>
      </c>
      <c r="AV21" t="n">
        <v>-1362.6</v>
      </c>
      <c r="AW21" t="n">
        <v>-579.9</v>
      </c>
      <c r="AX21" t="n">
        <v>107.5</v>
      </c>
      <c r="AY21" t="n">
        <v>2510.5</v>
      </c>
      <c r="AZ21" t="n">
        <v>-1568.1</v>
      </c>
      <c r="BA21" t="n">
        <v>-5734.8</v>
      </c>
      <c r="BB21" t="n">
        <v>-3448.6</v>
      </c>
    </row>
    <row r="22">
      <c r="A22" s="5" t="inlineStr">
        <is>
          <t>Closing equity</t>
        </is>
      </c>
      <c r="B22" s="5" t="n">
        <v>2242</v>
      </c>
      <c r="C22" s="5" t="n">
        <v>5864.2</v>
      </c>
      <c r="D22" s="5" t="n">
        <v>11752.3</v>
      </c>
      <c r="E22" s="5" t="n">
        <v>14800.4</v>
      </c>
      <c r="F22" s="5" t="n">
        <v>13038.2</v>
      </c>
      <c r="G22" s="5" t="n">
        <v>16841.4</v>
      </c>
      <c r="H22" s="5" t="n">
        <v>17249.1</v>
      </c>
      <c r="I22" s="5" t="n">
        <v>17746.1</v>
      </c>
      <c r="J22" s="5" t="n">
        <v>16638</v>
      </c>
      <c r="K22" s="5" t="n">
        <v>18457.3</v>
      </c>
      <c r="L22" s="5" t="n">
        <v>15455.8</v>
      </c>
      <c r="AQ22" t="inlineStr">
        <is>
          <t>Closing equity</t>
        </is>
      </c>
      <c r="AR22" t="n">
        <v>15455.8</v>
      </c>
      <c r="AS22" t="n">
        <v>18457.3</v>
      </c>
      <c r="AT22" t="n">
        <v>16638</v>
      </c>
      <c r="AU22" t="n">
        <v>17746.1</v>
      </c>
      <c r="AV22" t="n">
        <v>17249.1</v>
      </c>
      <c r="AW22" t="n">
        <v>16841.4</v>
      </c>
      <c r="AX22" t="n">
        <v>13038.2</v>
      </c>
      <c r="AY22" t="n">
        <v>14800.4</v>
      </c>
      <c r="AZ22" t="n">
        <v>11752.3</v>
      </c>
      <c r="BA22" t="n">
        <v>5864.2</v>
      </c>
      <c r="BB22" t="n">
        <v>2242</v>
      </c>
    </row>
    <row r="24">
      <c r="A24" s="3" t="inlineStr">
        <is>
          <t>Cash Flow Summary (£m (conv. from USD))</t>
        </is>
      </c>
    </row>
    <row r="25">
      <c r="A25" s="4" t="inlineStr">
        <is>
          <t>Line item</t>
        </is>
      </c>
      <c r="B25" s="4" t="inlineStr">
        <is>
          <t>FY2025</t>
        </is>
      </c>
      <c r="C25" s="4" t="inlineStr">
        <is>
          <t>FY2024</t>
        </is>
      </c>
      <c r="D25" s="4" t="inlineStr">
        <is>
          <t>FY2023</t>
        </is>
      </c>
      <c r="E25" s="4" t="inlineStr">
        <is>
          <t>FY2022</t>
        </is>
      </c>
      <c r="F25" s="4" t="inlineStr">
        <is>
          <t>FY2021</t>
        </is>
      </c>
      <c r="G25" s="4" t="inlineStr">
        <is>
          <t>FY2020</t>
        </is>
      </c>
      <c r="H25" s="4" t="inlineStr">
        <is>
          <t>FY2019</t>
        </is>
      </c>
      <c r="I25" s="4" t="inlineStr">
        <is>
          <t>FY2018</t>
        </is>
      </c>
      <c r="J25" s="4" t="inlineStr">
        <is>
          <t>FY2017</t>
        </is>
      </c>
      <c r="K25" s="4" t="inlineStr">
        <is>
          <t>FY2016</t>
        </is>
      </c>
      <c r="L25" s="4" t="inlineStr">
        <is>
          <t>FY2015</t>
        </is>
      </c>
      <c r="BF25" t="inlineStr">
        <is>
          <t>FY2015</t>
        </is>
      </c>
      <c r="BG25" t="inlineStr">
        <is>
          <t>FY2016</t>
        </is>
      </c>
      <c r="BH25" t="inlineStr">
        <is>
          <t>FY2017</t>
        </is>
      </c>
      <c r="BI25" t="inlineStr">
        <is>
          <t>FY2018</t>
        </is>
      </c>
      <c r="BJ25" t="inlineStr">
        <is>
          <t>FY2019</t>
        </is>
      </c>
      <c r="BK25" t="inlineStr">
        <is>
          <t>FY2020</t>
        </is>
      </c>
      <c r="BL25" t="inlineStr">
        <is>
          <t>FY2021</t>
        </is>
      </c>
      <c r="BM25" t="inlineStr">
        <is>
          <t>FY2022</t>
        </is>
      </c>
      <c r="BN25" t="inlineStr">
        <is>
          <t>FY2023</t>
        </is>
      </c>
      <c r="BO25" t="inlineStr">
        <is>
          <t>FY2024</t>
        </is>
      </c>
      <c r="BP25" t="inlineStr">
        <is>
          <t>FY2025</t>
        </is>
      </c>
    </row>
    <row r="26">
      <c r="A26" s="5" t="inlineStr">
        <is>
          <t>Net cash generated from/(used in) operating activities</t>
        </is>
      </c>
      <c r="B26" s="5" t="n">
        <v>5961.5</v>
      </c>
      <c r="C26" s="5" t="n">
        <v>6785.3</v>
      </c>
      <c r="D26" s="5" t="n">
        <v>9154.299999999999</v>
      </c>
      <c r="E26" s="5" t="n">
        <v>17210.8</v>
      </c>
      <c r="F26" s="5" t="n">
        <v>-10427.6</v>
      </c>
      <c r="G26" s="5" t="n">
        <v>-10711.2</v>
      </c>
      <c r="H26" s="5" t="n">
        <v>1857.4</v>
      </c>
      <c r="I26" s="5" t="n">
        <v>926.1</v>
      </c>
      <c r="J26" s="5" t="n">
        <v>12645.7</v>
      </c>
      <c r="K26" s="5" t="n">
        <v>-2831.7</v>
      </c>
      <c r="L26" s="5" t="n">
        <v>-1101.2</v>
      </c>
      <c r="BE26" t="inlineStr">
        <is>
          <t>Net cash generated from/(used in) operating activities</t>
        </is>
      </c>
      <c r="BF26" t="n">
        <v>-1101.2</v>
      </c>
      <c r="BG26" t="n">
        <v>-2831.7</v>
      </c>
      <c r="BH26" t="n">
        <v>12645.7</v>
      </c>
      <c r="BI26" t="n">
        <v>926.1</v>
      </c>
      <c r="BJ26" t="n">
        <v>1857.4</v>
      </c>
      <c r="BK26" t="n">
        <v>-10711.2</v>
      </c>
      <c r="BL26" t="n">
        <v>-10427.6</v>
      </c>
      <c r="BM26" t="n">
        <v>17210.8</v>
      </c>
      <c r="BN26" t="n">
        <v>9154.299999999999</v>
      </c>
      <c r="BO26" t="n">
        <v>6785.3</v>
      </c>
      <c r="BP26" t="n">
        <v>5961.5</v>
      </c>
    </row>
    <row r="27">
      <c r="A27" s="5" t="inlineStr">
        <is>
          <t>Net cash generated from/(used in) investing activities</t>
        </is>
      </c>
      <c r="B27" s="5" t="n">
        <v>3</v>
      </c>
      <c r="C27" s="5" t="n">
        <v>0.8</v>
      </c>
      <c r="D27" s="5" t="n">
        <v>-20.9</v>
      </c>
      <c r="E27" s="5" t="n">
        <v>-133.5</v>
      </c>
      <c r="F27" s="5" t="n">
        <v>-130.9</v>
      </c>
      <c r="G27" s="5" t="n">
        <v>-106.7</v>
      </c>
      <c r="H27" s="5" t="n">
        <v>-188.8</v>
      </c>
      <c r="I27" s="5" t="n">
        <v>-61.4</v>
      </c>
      <c r="J27" s="5" t="n">
        <v>-118</v>
      </c>
      <c r="K27" s="5" t="n">
        <v>-141</v>
      </c>
      <c r="L27" s="5" t="n">
        <v>-308.8</v>
      </c>
      <c r="BE27" t="inlineStr">
        <is>
          <t>Net cash generated from/(used in) investing activities</t>
        </is>
      </c>
      <c r="BF27" t="n">
        <v>-308.8</v>
      </c>
      <c r="BG27" t="n">
        <v>-141</v>
      </c>
      <c r="BH27" t="n">
        <v>-118</v>
      </c>
      <c r="BI27" t="n">
        <v>-61.4</v>
      </c>
      <c r="BJ27" t="n">
        <v>-188.8</v>
      </c>
      <c r="BK27" t="n">
        <v>-106.7</v>
      </c>
      <c r="BL27" t="n">
        <v>-130.9</v>
      </c>
      <c r="BM27" t="n">
        <v>-133.5</v>
      </c>
      <c r="BN27" t="n">
        <v>-20.9</v>
      </c>
      <c r="BO27" t="n">
        <v>0.8</v>
      </c>
      <c r="BP27" t="n">
        <v>3</v>
      </c>
    </row>
    <row r="28">
      <c r="A28" s="5" t="inlineStr">
        <is>
          <t>Net cash generated from/(used in) financing activities</t>
        </is>
      </c>
      <c r="B28" s="5" t="n">
        <v>-7195.5</v>
      </c>
      <c r="C28" s="5" t="n">
        <v>-8143.5</v>
      </c>
      <c r="D28" s="5" t="n">
        <v>-9445.299999999999</v>
      </c>
      <c r="E28" s="5" t="n">
        <v>-14899.7</v>
      </c>
      <c r="F28" s="5" t="n">
        <v>7302.9</v>
      </c>
      <c r="G28" s="5" t="n">
        <v>12069</v>
      </c>
      <c r="H28" s="5" t="n">
        <v>536.6</v>
      </c>
      <c r="I28" s="5" t="n">
        <v>-3489.9</v>
      </c>
      <c r="J28" s="5" t="n">
        <v>-12721.8</v>
      </c>
      <c r="K28" s="5" t="n">
        <v>4439.9</v>
      </c>
      <c r="L28" s="5" t="n">
        <v>1176.5</v>
      </c>
      <c r="BE28" t="inlineStr">
        <is>
          <t>Net cash generated from/(used in) financing activities</t>
        </is>
      </c>
      <c r="BF28" t="n">
        <v>1176.5</v>
      </c>
      <c r="BG28" t="n">
        <v>4439.9</v>
      </c>
      <c r="BH28" t="n">
        <v>-12721.8</v>
      </c>
      <c r="BI28" t="n">
        <v>-3489.9</v>
      </c>
      <c r="BJ28" t="n">
        <v>536.6</v>
      </c>
      <c r="BK28" t="n">
        <v>12069</v>
      </c>
      <c r="BL28" t="n">
        <v>7302.9</v>
      </c>
      <c r="BM28" t="n">
        <v>-14899.7</v>
      </c>
      <c r="BN28" t="n">
        <v>-9445.299999999999</v>
      </c>
      <c r="BO28" t="n">
        <v>-8143.5</v>
      </c>
      <c r="BP28" t="n">
        <v>-7195.5</v>
      </c>
    </row>
    <row r="29">
      <c r="A29" s="5" t="inlineStr">
        <is>
          <t>Cash and cash equivalents at end of period</t>
        </is>
      </c>
      <c r="B29" s="5" t="n">
        <v>265.5</v>
      </c>
      <c r="C29" s="5" t="n">
        <v>1470.2</v>
      </c>
      <c r="D29" s="5" t="n">
        <v>2824.4</v>
      </c>
      <c r="E29" s="5" t="n">
        <v>3209.9</v>
      </c>
      <c r="F29" s="5" t="n">
        <v>4283.7</v>
      </c>
      <c r="G29" s="5" t="n">
        <v>4239.8</v>
      </c>
      <c r="H29" s="5" t="n">
        <v>3030.3</v>
      </c>
      <c r="I29" s="5" t="n">
        <v>940.6</v>
      </c>
      <c r="J29" s="5" t="n">
        <v>3540.3</v>
      </c>
      <c r="K29" s="5" t="n">
        <v>4090.9</v>
      </c>
      <c r="L29" s="5" t="n">
        <v>8564.700000000001</v>
      </c>
      <c r="BE29" t="inlineStr">
        <is>
          <t>Cash and cash equivalents at end of period</t>
        </is>
      </c>
      <c r="BF29" t="n">
        <v>8564.700000000001</v>
      </c>
      <c r="BG29" t="n">
        <v>4090.9</v>
      </c>
      <c r="BH29" t="n">
        <v>3540.3</v>
      </c>
      <c r="BI29" t="n">
        <v>940.6</v>
      </c>
      <c r="BJ29" t="n">
        <v>3030.3</v>
      </c>
      <c r="BK29" t="n">
        <v>4239.8</v>
      </c>
      <c r="BL29" t="n">
        <v>4283.7</v>
      </c>
      <c r="BM29" t="n">
        <v>3209.9</v>
      </c>
      <c r="BN29" t="n">
        <v>2824.4</v>
      </c>
      <c r="BO29" t="n">
        <v>1470.2</v>
      </c>
      <c r="BP29" t="n">
        <v>265.5</v>
      </c>
    </row>
    <row r="31">
      <c r="A31" s="3" t="inlineStr">
        <is>
          <t>Pillar 3 Key Metrics</t>
        </is>
      </c>
    </row>
    <row r="32">
      <c r="A32" s="4" t="inlineStr">
        <is>
          <t>Line item</t>
        </is>
      </c>
      <c r="B32" s="4" t="inlineStr">
        <is>
          <t>FY2025</t>
        </is>
      </c>
      <c r="C32" s="4" t="inlineStr">
        <is>
          <t>FY2024</t>
        </is>
      </c>
      <c r="D32" s="4" t="inlineStr">
        <is>
          <t>FY2023</t>
        </is>
      </c>
      <c r="E32" s="4" t="inlineStr">
        <is>
          <t>FY2022</t>
        </is>
      </c>
      <c r="F32" s="4" t="inlineStr">
        <is>
          <t>FY2021</t>
        </is>
      </c>
      <c r="G32" s="4" t="inlineStr">
        <is>
          <t>FY2020</t>
        </is>
      </c>
      <c r="H32" s="4" t="inlineStr">
        <is>
          <t>FY2019</t>
        </is>
      </c>
      <c r="I32" s="4" t="inlineStr">
        <is>
          <t>FY2018</t>
        </is>
      </c>
      <c r="J32" s="4" t="inlineStr">
        <is>
          <t>FY2017</t>
        </is>
      </c>
      <c r="K32" s="4" t="inlineStr">
        <is>
          <t>FY2016</t>
        </is>
      </c>
      <c r="L32" s="4" t="inlineStr">
        <is>
          <t>FY2015</t>
        </is>
      </c>
    </row>
    <row r="33">
      <c r="A33" s="6" t="inlineStr">
        <is>
          <t>Tier 1 Ratio</t>
        </is>
      </c>
      <c r="B33" s="6" t="inlineStr">
        <is>
          <t>146.9%</t>
        </is>
      </c>
      <c r="C33" s="6" t="inlineStr">
        <is>
          <t>62.9%</t>
        </is>
      </c>
      <c r="D33" s="6" t="inlineStr">
        <is>
          <t>40.0%</t>
        </is>
      </c>
      <c r="E33" s="6" t="inlineStr">
        <is>
          <t>26.0%</t>
        </is>
      </c>
      <c r="F33" s="6" t="inlineStr">
        <is>
          <t>24.0%</t>
        </is>
      </c>
      <c r="G33" s="6" t="inlineStr">
        <is>
          <t>19.3%</t>
        </is>
      </c>
      <c r="H33" s="6" t="inlineStr">
        <is>
          <t>26.4%</t>
        </is>
      </c>
      <c r="I33" s="6" t="inlineStr">
        <is>
          <t>20.5%</t>
        </is>
      </c>
      <c r="J33" s="6" t="inlineStr">
        <is>
          <t>20%</t>
        </is>
      </c>
      <c r="K33" s="6" t="inlineStr">
        <is>
          <t>16.6%</t>
        </is>
      </c>
      <c r="L33" s="6" t="inlineStr">
        <is>
          <t>13.0%</t>
        </is>
      </c>
    </row>
    <row r="35" ht="30" customHeight="1">
      <c r="A35" s="7" t="inlineStr">
        <is>
          <t>Note: CSI is in an explicit, disclosed controlled wind-down following the 2023 Credit Suisse/UBS combination - total assets fell 97.7% from FY2021 to FY2025. Figures converted from USD to GBP; see the Cash Flow Statement sheet's source note for the full FX methodology. Figures are duplicated from the detail sheets for at-a-glance trend viewing; see each sheet's own source citation for the underlying document/page.</t>
        </is>
      </c>
    </row>
  </sheetData>
  <mergeCells count="1">
    <mergeCell ref="A35:L35"/>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L4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Credit Suisse International — Consolidated Statement of Financial Position</t>
        </is>
      </c>
    </row>
    <row r="2">
      <c r="A2" s="2" t="inlineStr">
        <is>
          <t>£m, converted from USD - Group basis - see source note at bottom for FX methodology and rates used.</t>
        </is>
      </c>
    </row>
    <row r="3">
      <c r="A3" s="4" t="inlineStr">
        <is>
          <t>Line item</t>
        </is>
      </c>
      <c r="B3" s="4" t="inlineStr">
        <is>
          <t>FY2025 (£m, conv. from USD)</t>
        </is>
      </c>
      <c r="C3" s="4" t="inlineStr">
        <is>
          <t>FY2024 (£m, conv. from USD)</t>
        </is>
      </c>
      <c r="D3" s="4" t="inlineStr">
        <is>
          <t>FY2023 (£m, conv. from USD)</t>
        </is>
      </c>
      <c r="E3" s="4" t="inlineStr">
        <is>
          <t>FY2022 (£m, conv. from USD)</t>
        </is>
      </c>
      <c r="F3" s="4" t="inlineStr">
        <is>
          <t>FY2021 (£m, conv. from USD)</t>
        </is>
      </c>
      <c r="G3" s="4" t="inlineStr">
        <is>
          <t>FY2020 (£m, conv. from USD)</t>
        </is>
      </c>
      <c r="H3" s="4" t="inlineStr">
        <is>
          <t>FY2019 (£m, conv. from USD)</t>
        </is>
      </c>
      <c r="I3" s="4" t="inlineStr">
        <is>
          <t>FY2018 (£m, conv. from USD)</t>
        </is>
      </c>
      <c r="J3" s="4" t="inlineStr">
        <is>
          <t>FY2017 (£m, conv. from USD)</t>
        </is>
      </c>
      <c r="K3" s="4" t="inlineStr">
        <is>
          <t>FY2016 (£m, conv. from USD)</t>
        </is>
      </c>
      <c r="L3" s="4" t="inlineStr">
        <is>
          <t>FY2015 (£m, conv. from USD)</t>
        </is>
      </c>
    </row>
    <row r="4">
      <c r="A4" s="5" t="inlineStr">
        <is>
          <t>Assets</t>
        </is>
      </c>
      <c r="B4" s="6" t="n"/>
      <c r="C4" s="6" t="n"/>
      <c r="D4" s="6" t="n"/>
      <c r="E4" s="6" t="n"/>
      <c r="F4" s="6" t="n"/>
      <c r="G4" s="6" t="n"/>
      <c r="H4" s="6" t="n"/>
      <c r="I4" s="6" t="n"/>
      <c r="J4" s="6" t="n"/>
      <c r="K4" s="6" t="n"/>
      <c r="L4" s="6" t="n"/>
    </row>
    <row r="5">
      <c r="A5" s="6" t="inlineStr">
        <is>
          <t>Cash and due from banks</t>
        </is>
      </c>
      <c r="B5" s="6" t="n">
        <v>269.2</v>
      </c>
      <c r="C5" s="6" t="n">
        <v>1484.6</v>
      </c>
      <c r="D5" s="6" t="n">
        <v>2848.7</v>
      </c>
      <c r="E5" s="6" t="n">
        <v>3429.8</v>
      </c>
      <c r="F5" s="6" t="n">
        <v>1097.6</v>
      </c>
      <c r="G5" s="6" t="n">
        <v>4556.8</v>
      </c>
      <c r="H5" s="6" t="n">
        <v>3359.6</v>
      </c>
      <c r="I5" s="6" t="n">
        <v>1745.6</v>
      </c>
      <c r="J5" s="6" t="n">
        <v>3679.5</v>
      </c>
      <c r="K5" s="6" t="n">
        <v>4462.3</v>
      </c>
      <c r="L5" s="6" t="n">
        <v>8882.5</v>
      </c>
    </row>
    <row r="6">
      <c r="A6" s="6" t="inlineStr">
        <is>
          <t>Interest-bearing deposits with banks</t>
        </is>
      </c>
      <c r="B6" s="6" t="n">
        <v>390.4</v>
      </c>
      <c r="C6" s="6" t="n">
        <v>3165</v>
      </c>
      <c r="D6" s="6" t="n">
        <v>6533.9</v>
      </c>
      <c r="E6" s="6" t="n">
        <v>9990.1</v>
      </c>
      <c r="F6" s="6" t="n">
        <v>9824.700000000001</v>
      </c>
      <c r="G6" s="6" t="n">
        <v>10603.9</v>
      </c>
      <c r="H6" s="6" t="n">
        <v>9239.200000000001</v>
      </c>
      <c r="I6" s="6" t="n">
        <v>13986.2</v>
      </c>
      <c r="J6" s="6" t="n">
        <v>3099.2</v>
      </c>
      <c r="K6" s="6" t="n">
        <v>7841.2</v>
      </c>
      <c r="L6" s="6" t="n">
        <v>39.8</v>
      </c>
    </row>
    <row r="7">
      <c r="A7" s="6" t="inlineStr">
        <is>
          <t>Securities purchased under resale agreements</t>
        </is>
      </c>
      <c r="B7" s="6" t="n">
        <v>3300.9</v>
      </c>
      <c r="C7" s="6" t="n">
        <v>425.9</v>
      </c>
      <c r="D7" s="6" t="n">
        <v>1024.2</v>
      </c>
      <c r="E7" s="6" t="n">
        <v>8702.200000000001</v>
      </c>
      <c r="F7" s="6" t="n">
        <v>6583.8</v>
      </c>
      <c r="G7" s="6" t="n">
        <v>3337.2</v>
      </c>
      <c r="H7" s="6" t="n">
        <v>4651.8</v>
      </c>
      <c r="I7" s="6" t="n">
        <v>8212.9</v>
      </c>
      <c r="J7" s="6" t="n">
        <v>12621.8</v>
      </c>
      <c r="K7" s="6" t="n">
        <v>7694.9</v>
      </c>
      <c r="L7" s="6" t="n">
        <v>20293.5</v>
      </c>
    </row>
    <row r="8">
      <c r="A8" s="6" t="inlineStr">
        <is>
          <t>Trading financial assets at fair value through P&amp;L</t>
        </is>
      </c>
      <c r="B8" s="6" t="n">
        <v>5.9</v>
      </c>
      <c r="C8" s="6" t="n">
        <v>18077.5</v>
      </c>
      <c r="D8" s="6" t="n">
        <v>49724.3</v>
      </c>
      <c r="E8" s="6" t="n">
        <v>89256</v>
      </c>
      <c r="F8" s="6" t="n">
        <v>106292.4</v>
      </c>
      <c r="G8" s="6" t="n">
        <v>138071.9</v>
      </c>
      <c r="H8" s="6" t="n">
        <v>112371.7</v>
      </c>
      <c r="I8" s="6" t="n">
        <v>116433.6</v>
      </c>
      <c r="J8" s="6" t="n">
        <v>129204.3</v>
      </c>
      <c r="K8" s="6" t="n">
        <v>197047.1</v>
      </c>
      <c r="L8" s="6" t="n">
        <v>199223.3</v>
      </c>
    </row>
    <row r="9">
      <c r="A9" s="6" t="inlineStr">
        <is>
          <t>Non-trading financial assets at fair value through P&amp;L</t>
        </is>
      </c>
      <c r="B9" s="6" t="n"/>
      <c r="C9" s="6" t="n">
        <v>11346.4</v>
      </c>
      <c r="D9" s="6" t="n">
        <v>19312</v>
      </c>
      <c r="E9" s="6" t="n">
        <v>18873.3</v>
      </c>
      <c r="F9" s="6" t="n">
        <v>28271.6</v>
      </c>
      <c r="G9" s="6" t="n">
        <v>18678</v>
      </c>
      <c r="H9" s="6" t="n">
        <v>16876.6</v>
      </c>
      <c r="I9" s="6" t="n">
        <v>13829.6</v>
      </c>
      <c r="J9" s="6" t="n">
        <v>8238.299999999999</v>
      </c>
      <c r="K9" s="6" t="n">
        <v>16586.2</v>
      </c>
      <c r="L9" s="6" t="n">
        <v>8150.3</v>
      </c>
    </row>
    <row r="10">
      <c r="A10" s="6" t="inlineStr">
        <is>
          <t>Loans and advances</t>
        </is>
      </c>
      <c r="B10" s="6" t="n">
        <v>5.2</v>
      </c>
      <c r="C10" s="6" t="n">
        <v>2036</v>
      </c>
      <c r="D10" s="6" t="n">
        <v>2679.1</v>
      </c>
      <c r="E10" s="6" t="n">
        <v>2457.6</v>
      </c>
      <c r="F10" s="6" t="n">
        <v>2195.1</v>
      </c>
      <c r="G10" s="6" t="n">
        <v>2306.6</v>
      </c>
      <c r="H10" s="6" t="n">
        <v>2349</v>
      </c>
      <c r="I10" s="6" t="n">
        <v>2750.4</v>
      </c>
      <c r="J10" s="6" t="n">
        <v>2465.6</v>
      </c>
      <c r="K10" s="6" t="n">
        <v>2695.3</v>
      </c>
      <c r="L10" s="6" t="n">
        <v>2358.5</v>
      </c>
    </row>
    <row r="11">
      <c r="A11" s="6" t="inlineStr">
        <is>
          <t>Other investments</t>
        </is>
      </c>
      <c r="B11" s="6" t="n"/>
      <c r="C11" s="6" t="n"/>
      <c r="D11" s="6" t="n"/>
      <c r="E11" s="6" t="n"/>
      <c r="F11" s="6" t="n"/>
      <c r="G11" s="6" t="n"/>
      <c r="H11" s="6" t="n"/>
      <c r="I11" s="6" t="n"/>
      <c r="J11" s="6" t="n"/>
      <c r="K11" s="6" t="n"/>
      <c r="L11" s="6" t="n">
        <v>17.5</v>
      </c>
    </row>
    <row r="12">
      <c r="A12" s="6" t="inlineStr">
        <is>
          <t>Investment property</t>
        </is>
      </c>
      <c r="B12" s="6" t="n"/>
      <c r="C12" s="6" t="n"/>
      <c r="D12" s="6" t="n"/>
      <c r="E12" s="6" t="n"/>
      <c r="F12" s="6" t="n">
        <v>10.4</v>
      </c>
      <c r="G12" s="6" t="n">
        <v>11</v>
      </c>
      <c r="H12" s="6" t="n">
        <v>12.9</v>
      </c>
      <c r="I12" s="6" t="n">
        <v>14.1</v>
      </c>
      <c r="J12" s="6" t="n">
        <v>97</v>
      </c>
      <c r="K12" s="6" t="n">
        <v>137.4</v>
      </c>
      <c r="L12" s="6" t="n">
        <v>204.5</v>
      </c>
    </row>
    <row r="13">
      <c r="A13" s="6" t="inlineStr">
        <is>
          <t>Current tax assets</t>
        </is>
      </c>
      <c r="B13" s="6" t="n">
        <v>79.59999999999999</v>
      </c>
      <c r="C13" s="6" t="n">
        <v>155</v>
      </c>
      <c r="D13" s="6" t="n">
        <v>95</v>
      </c>
      <c r="E13" s="6" t="n">
        <v>90.90000000000001</v>
      </c>
      <c r="F13" s="6" t="n">
        <v>49.6</v>
      </c>
      <c r="G13" s="6" t="n">
        <v>28.5</v>
      </c>
      <c r="H13" s="6" t="n">
        <v>38.6</v>
      </c>
      <c r="I13" s="6" t="n">
        <v>16.4</v>
      </c>
      <c r="J13" s="6" t="n">
        <v>3.7</v>
      </c>
      <c r="K13" s="6" t="n">
        <v>42.3</v>
      </c>
      <c r="L13" s="6" t="n">
        <v>31</v>
      </c>
    </row>
    <row r="14">
      <c r="A14" s="6" t="inlineStr">
        <is>
          <t>Deferred tax assets</t>
        </is>
      </c>
      <c r="B14" s="6" t="n"/>
      <c r="C14" s="6" t="n"/>
      <c r="D14" s="6" t="n"/>
      <c r="E14" s="6" t="n"/>
      <c r="F14" s="6" t="n">
        <v>210</v>
      </c>
      <c r="G14" s="6" t="n">
        <v>145.7</v>
      </c>
      <c r="H14" s="6" t="n">
        <v>148.4</v>
      </c>
      <c r="I14" s="6" t="n">
        <v>258.4</v>
      </c>
      <c r="J14" s="6" t="n">
        <v>258.3</v>
      </c>
      <c r="K14" s="6" t="n">
        <v>274.7</v>
      </c>
      <c r="L14" s="6" t="n">
        <v>227.4</v>
      </c>
    </row>
    <row r="15">
      <c r="A15" s="6" t="inlineStr">
        <is>
          <t>Other assets</t>
        </is>
      </c>
      <c r="B15" s="6" t="n">
        <v>150.2</v>
      </c>
      <c r="C15" s="6" t="n">
        <v>4327.6</v>
      </c>
      <c r="D15" s="6" t="n">
        <v>13846.2</v>
      </c>
      <c r="E15" s="6" t="n">
        <v>17974.7</v>
      </c>
      <c r="F15" s="6" t="n">
        <v>25638.6</v>
      </c>
      <c r="G15" s="6" t="n">
        <v>32622.8</v>
      </c>
      <c r="H15" s="6" t="n">
        <v>26669.9</v>
      </c>
      <c r="I15" s="6" t="n">
        <v>23693.3</v>
      </c>
      <c r="J15" s="6" t="n">
        <v>24394.5</v>
      </c>
      <c r="K15" s="6" t="n">
        <v>29830.1</v>
      </c>
      <c r="L15" s="6" t="n">
        <v>30778.1</v>
      </c>
    </row>
    <row r="16">
      <c r="A16" s="6" t="inlineStr">
        <is>
          <t>Property and equipment</t>
        </is>
      </c>
      <c r="B16" s="6" t="n"/>
      <c r="C16" s="6" t="n">
        <v>7.2</v>
      </c>
      <c r="D16" s="6" t="n">
        <v>21.2</v>
      </c>
      <c r="E16" s="6" t="n">
        <v>307.5</v>
      </c>
      <c r="F16" s="6" t="n">
        <v>301</v>
      </c>
      <c r="G16" s="6" t="n">
        <v>330.1</v>
      </c>
      <c r="H16" s="6" t="n">
        <v>405</v>
      </c>
      <c r="I16" s="6" t="n">
        <v>183.3</v>
      </c>
      <c r="J16" s="6" t="n">
        <v>116.2</v>
      </c>
      <c r="K16" s="6" t="n">
        <v>156.9</v>
      </c>
      <c r="L16" s="6" t="n">
        <v>132.3</v>
      </c>
    </row>
    <row r="17">
      <c r="A17" s="6" t="inlineStr">
        <is>
          <t>Intangible assets</t>
        </is>
      </c>
      <c r="B17" s="6" t="n"/>
      <c r="C17" s="6" t="n">
        <v>24.8</v>
      </c>
      <c r="D17" s="6" t="n">
        <v>65.2</v>
      </c>
      <c r="E17" s="6" t="n">
        <v>398.4</v>
      </c>
      <c r="F17" s="6" t="n">
        <v>366.1</v>
      </c>
      <c r="G17" s="6" t="n">
        <v>355</v>
      </c>
      <c r="H17" s="6" t="n">
        <v>370.2</v>
      </c>
      <c r="I17" s="6" t="n">
        <v>372.8</v>
      </c>
      <c r="J17" s="6" t="n">
        <v>336</v>
      </c>
      <c r="K17" s="6" t="n">
        <v>328.4</v>
      </c>
      <c r="L17" s="6" t="n">
        <v>252.4</v>
      </c>
    </row>
    <row r="18">
      <c r="A18" s="6" t="inlineStr">
        <is>
          <t>Assets held for sale</t>
        </is>
      </c>
      <c r="B18" s="6" t="n"/>
      <c r="C18" s="6" t="n"/>
      <c r="D18" s="6" t="n"/>
      <c r="E18" s="6" t="n"/>
      <c r="F18" s="6" t="n"/>
      <c r="G18" s="6" t="n">
        <v>1415.7</v>
      </c>
      <c r="H18" s="6" t="n">
        <v>402</v>
      </c>
      <c r="I18" s="6" t="n"/>
      <c r="J18" s="6" t="n">
        <v>119.2</v>
      </c>
      <c r="K18" s="6" t="n">
        <v>3065.9</v>
      </c>
      <c r="L18" s="6" t="n"/>
    </row>
    <row r="19">
      <c r="A19" s="5" t="inlineStr">
        <is>
          <t>Total assets</t>
        </is>
      </c>
      <c r="B19" s="5" t="n">
        <v>4201.4</v>
      </c>
      <c r="C19" s="5" t="n">
        <v>41049.9</v>
      </c>
      <c r="D19" s="5" t="n">
        <v>96149.89999999999</v>
      </c>
      <c r="E19" s="5" t="n">
        <v>151480.5</v>
      </c>
      <c r="F19" s="5" t="n">
        <v>180840.9</v>
      </c>
      <c r="G19" s="5" t="n">
        <v>212463.2</v>
      </c>
      <c r="H19" s="5" t="n">
        <v>176894.8</v>
      </c>
      <c r="I19" s="5" t="n">
        <v>181496.6</v>
      </c>
      <c r="J19" s="5" t="n">
        <v>184633.6</v>
      </c>
      <c r="K19" s="5" t="n">
        <v>270162.6</v>
      </c>
      <c r="L19" s="5" t="n">
        <v>270591.1</v>
      </c>
    </row>
    <row r="20">
      <c r="A20" s="5" t="inlineStr">
        <is>
          <t>Liabilities</t>
        </is>
      </c>
      <c r="B20" s="6" t="n"/>
      <c r="C20" s="6" t="n"/>
      <c r="D20" s="6" t="n"/>
      <c r="E20" s="6" t="n"/>
      <c r="F20" s="6" t="n"/>
      <c r="G20" s="6" t="n"/>
      <c r="H20" s="6" t="n"/>
      <c r="I20" s="6" t="n"/>
      <c r="J20" s="6" t="n"/>
      <c r="K20" s="6" t="n"/>
      <c r="L20" s="6" t="n"/>
    </row>
    <row r="21">
      <c r="A21" s="6" t="inlineStr">
        <is>
          <t>Due to banks</t>
        </is>
      </c>
      <c r="B21" s="6" t="n">
        <v>3.7</v>
      </c>
      <c r="C21" s="6" t="n">
        <v>14.4</v>
      </c>
      <c r="D21" s="6" t="n">
        <v>24.3</v>
      </c>
      <c r="E21" s="6" t="n">
        <v>219.9</v>
      </c>
      <c r="F21" s="6" t="n">
        <v>161.2</v>
      </c>
      <c r="G21" s="6" t="n">
        <v>317</v>
      </c>
      <c r="H21" s="6" t="n">
        <v>329.3</v>
      </c>
      <c r="I21" s="6" t="n">
        <v>805.1</v>
      </c>
      <c r="J21" s="6" t="n">
        <v>139.2</v>
      </c>
      <c r="K21" s="6" t="n">
        <v>371.5</v>
      </c>
      <c r="L21" s="6" t="n">
        <v>380.6</v>
      </c>
    </row>
    <row r="22">
      <c r="A22" s="6" t="inlineStr">
        <is>
          <t>Securities sold under repurchase agreements</t>
        </is>
      </c>
      <c r="B22" s="6" t="n">
        <v>329.4</v>
      </c>
      <c r="C22" s="6" t="n">
        <v>20.8</v>
      </c>
      <c r="D22" s="6" t="n">
        <v>281.2</v>
      </c>
      <c r="E22" s="6" t="n">
        <v>2417.1</v>
      </c>
      <c r="F22" s="6" t="n">
        <v>2493.2</v>
      </c>
      <c r="G22" s="6" t="n">
        <v>3501.2</v>
      </c>
      <c r="H22" s="6" t="n">
        <v>2388.3</v>
      </c>
      <c r="I22" s="6" t="n">
        <v>1872.5</v>
      </c>
      <c r="J22" s="6" t="n">
        <v>5324.2</v>
      </c>
      <c r="K22" s="6" t="n">
        <v>2292.9</v>
      </c>
      <c r="L22" s="6" t="n">
        <v>3871.4</v>
      </c>
    </row>
    <row r="23">
      <c r="A23" s="6" t="inlineStr">
        <is>
          <t>Trading financial liabilities at fair value through P&amp;L</t>
        </is>
      </c>
      <c r="B23" s="6" t="n">
        <v>5.9</v>
      </c>
      <c r="C23" s="6" t="n">
        <v>17682</v>
      </c>
      <c r="D23" s="6" t="n">
        <v>47533</v>
      </c>
      <c r="E23" s="6" t="n">
        <v>77206.7</v>
      </c>
      <c r="F23" s="6" t="n">
        <v>90270</v>
      </c>
      <c r="G23" s="6" t="n">
        <v>120316.2</v>
      </c>
      <c r="H23" s="6" t="n">
        <v>101087.1</v>
      </c>
      <c r="I23" s="6" t="n">
        <v>99000.7</v>
      </c>
      <c r="J23" s="6" t="n">
        <v>110662.5</v>
      </c>
      <c r="K23" s="6" t="n">
        <v>172022.3</v>
      </c>
      <c r="L23" s="6" t="n">
        <v>182716.1</v>
      </c>
    </row>
    <row r="24">
      <c r="A24" s="6" t="inlineStr">
        <is>
          <t>Financial liabilities designated at fair value through P&amp;L</t>
        </is>
      </c>
      <c r="B24" s="6" t="n">
        <v>0.7</v>
      </c>
      <c r="C24" s="6" t="n">
        <v>2049.5</v>
      </c>
      <c r="D24" s="6" t="n">
        <v>12606</v>
      </c>
      <c r="E24" s="6" t="n">
        <v>22459.3</v>
      </c>
      <c r="F24" s="6" t="n">
        <v>25894.5</v>
      </c>
      <c r="G24" s="6" t="n">
        <v>21805.1</v>
      </c>
      <c r="H24" s="6" t="n">
        <v>15984.1</v>
      </c>
      <c r="I24" s="6" t="n">
        <v>18924</v>
      </c>
      <c r="J24" s="6" t="n">
        <v>16949.7</v>
      </c>
      <c r="K24" s="6" t="n">
        <v>20067.5</v>
      </c>
      <c r="L24" s="6" t="n">
        <v>15189.3</v>
      </c>
    </row>
    <row r="25">
      <c r="A25" s="6" t="inlineStr">
        <is>
          <t>Borrowings</t>
        </is>
      </c>
      <c r="B25" s="6" t="n">
        <v>1488.7</v>
      </c>
      <c r="C25" s="6" t="n">
        <v>5902.5</v>
      </c>
      <c r="D25" s="6" t="n">
        <v>9913.6</v>
      </c>
      <c r="E25" s="6" t="n">
        <v>4980.6</v>
      </c>
      <c r="F25" s="6" t="n">
        <v>1087.2</v>
      </c>
      <c r="G25" s="6" t="n">
        <v>1783.2</v>
      </c>
      <c r="H25" s="6" t="n">
        <v>10685.8</v>
      </c>
      <c r="I25" s="6" t="n">
        <v>15314.4</v>
      </c>
      <c r="J25" s="6" t="n">
        <v>4396.7</v>
      </c>
      <c r="K25" s="6" t="n">
        <v>2167.8</v>
      </c>
      <c r="L25" s="6" t="n">
        <v>14215.5</v>
      </c>
    </row>
    <row r="26">
      <c r="A26" s="6" t="inlineStr">
        <is>
          <t>Current tax liabilities</t>
        </is>
      </c>
      <c r="B26" s="6" t="n"/>
      <c r="C26" s="6" t="n">
        <v>2.4</v>
      </c>
      <c r="D26" s="6" t="n">
        <v>2.4</v>
      </c>
      <c r="E26" s="6" t="n">
        <v>2.5</v>
      </c>
      <c r="F26" s="6" t="n">
        <v>9.6</v>
      </c>
      <c r="G26" s="6" t="n">
        <v>2.9</v>
      </c>
      <c r="H26" s="6" t="n">
        <v>28.8</v>
      </c>
      <c r="I26" s="6" t="n">
        <v>39.9</v>
      </c>
      <c r="J26" s="6" t="n">
        <v>67.40000000000001</v>
      </c>
      <c r="K26" s="6" t="n">
        <v>0</v>
      </c>
      <c r="L26" s="6" t="n"/>
    </row>
    <row r="27">
      <c r="A27" s="6" t="inlineStr">
        <is>
          <t>Deferred tax liabilities</t>
        </is>
      </c>
      <c r="B27" s="6" t="n"/>
      <c r="C27" s="6" t="n">
        <v>29.6</v>
      </c>
      <c r="D27" s="6" t="n">
        <v>46.3</v>
      </c>
      <c r="E27" s="6" t="n"/>
      <c r="F27" s="6" t="n"/>
      <c r="G27" s="6" t="n"/>
      <c r="H27" s="6" t="n"/>
      <c r="I27" s="6" t="n"/>
      <c r="J27" s="6" t="n"/>
      <c r="K27" s="6" t="n"/>
      <c r="L27" s="6" t="n"/>
    </row>
    <row r="28">
      <c r="A28" s="6" t="inlineStr">
        <is>
          <t>Other liabilities</t>
        </is>
      </c>
      <c r="B28" s="6" t="n">
        <v>87.7</v>
      </c>
      <c r="C28" s="6" t="n">
        <v>4799.8</v>
      </c>
      <c r="D28" s="6" t="n">
        <v>7088.4</v>
      </c>
      <c r="E28" s="6" t="n">
        <v>13784.4</v>
      </c>
      <c r="F28" s="6" t="n">
        <v>17442.5</v>
      </c>
      <c r="G28" s="6" t="n">
        <v>23730.3</v>
      </c>
      <c r="H28" s="6" t="n">
        <v>17653.3</v>
      </c>
      <c r="I28" s="6" t="n">
        <v>18277.9</v>
      </c>
      <c r="J28" s="6" t="n">
        <v>17894.9</v>
      </c>
      <c r="K28" s="6" t="n">
        <v>25543.4</v>
      </c>
      <c r="L28" s="6" t="n">
        <v>20799</v>
      </c>
    </row>
    <row r="29">
      <c r="A29" s="6" t="inlineStr">
        <is>
          <t>Provisions</t>
        </is>
      </c>
      <c r="B29" s="6" t="n">
        <v>43.1</v>
      </c>
      <c r="C29" s="6" t="n">
        <v>92.7</v>
      </c>
      <c r="D29" s="6" t="n">
        <v>132</v>
      </c>
      <c r="E29" s="6" t="n">
        <v>37.2</v>
      </c>
      <c r="F29" s="6" t="n">
        <v>231.5</v>
      </c>
      <c r="G29" s="6" t="n">
        <v>2.9</v>
      </c>
      <c r="H29" s="6" t="n">
        <v>16.7</v>
      </c>
      <c r="I29" s="6" t="n">
        <v>3.9</v>
      </c>
      <c r="J29" s="6" t="n">
        <v>4.4</v>
      </c>
      <c r="K29" s="6" t="n">
        <v>21.9</v>
      </c>
      <c r="L29" s="6" t="n">
        <v>22.3</v>
      </c>
    </row>
    <row r="30">
      <c r="A30" s="6" t="inlineStr">
        <is>
          <t>Debt in issuance</t>
        </is>
      </c>
      <c r="B30" s="6" t="n"/>
      <c r="C30" s="6" t="n">
        <v>4359.6</v>
      </c>
      <c r="D30" s="6" t="n">
        <v>6368.2</v>
      </c>
      <c r="E30" s="6" t="n">
        <v>15135.2</v>
      </c>
      <c r="F30" s="6" t="n">
        <v>29749.3</v>
      </c>
      <c r="G30" s="6" t="n">
        <v>23129.3</v>
      </c>
      <c r="H30" s="6" t="n">
        <v>11146.1</v>
      </c>
      <c r="I30" s="6" t="n">
        <v>9512.1</v>
      </c>
      <c r="J30" s="6" t="n">
        <v>12470</v>
      </c>
      <c r="K30" s="6" t="n">
        <v>26123.7</v>
      </c>
      <c r="L30" s="6" t="n">
        <v>17941.2</v>
      </c>
    </row>
    <row r="31">
      <c r="A31" s="6" t="inlineStr">
        <is>
          <t>Lease liabilities</t>
        </is>
      </c>
      <c r="B31" s="6" t="n"/>
      <c r="C31" s="6" t="n">
        <v>232.5</v>
      </c>
      <c r="D31" s="6" t="n">
        <v>402.1</v>
      </c>
      <c r="E31" s="6" t="n">
        <v>437.3</v>
      </c>
      <c r="F31" s="6" t="n">
        <v>463.7</v>
      </c>
      <c r="G31" s="6" t="n">
        <v>516.1</v>
      </c>
      <c r="H31" s="6" t="n"/>
      <c r="I31" s="6" t="n"/>
      <c r="J31" s="6" t="n"/>
      <c r="K31" s="6" t="n"/>
      <c r="L31" s="6" t="n"/>
    </row>
    <row r="32">
      <c r="A32" s="6" t="inlineStr">
        <is>
          <t>Liabilities held for sale</t>
        </is>
      </c>
      <c r="B32" s="6" t="n"/>
      <c r="C32" s="6" t="n"/>
      <c r="D32" s="6" t="n"/>
      <c r="E32" s="6" t="n"/>
      <c r="F32" s="6" t="n"/>
      <c r="G32" s="6" t="n">
        <v>517.5</v>
      </c>
      <c r="H32" s="6" t="n">
        <v>326.3</v>
      </c>
      <c r="I32" s="6" t="n"/>
      <c r="J32" s="6" t="n">
        <v>86.59999999999999</v>
      </c>
      <c r="K32" s="6" t="n">
        <v>3094.4</v>
      </c>
      <c r="L32" s="6" t="n"/>
    </row>
    <row r="33">
      <c r="A33" s="5" t="inlineStr">
        <is>
          <t>Total liabilities</t>
        </is>
      </c>
      <c r="B33" s="5" t="n">
        <v>1959.4</v>
      </c>
      <c r="C33" s="5" t="n">
        <v>35185.8</v>
      </c>
      <c r="D33" s="5" t="n">
        <v>84397.60000000001</v>
      </c>
      <c r="E33" s="5" t="n">
        <v>136680.2</v>
      </c>
      <c r="F33" s="5" t="n">
        <v>167802.7</v>
      </c>
      <c r="G33" s="5" t="n">
        <v>195621.8</v>
      </c>
      <c r="H33" s="5" t="n">
        <v>159645.7</v>
      </c>
      <c r="I33" s="5" t="n">
        <v>163750.5</v>
      </c>
      <c r="J33" s="5" t="n">
        <v>167995.6</v>
      </c>
      <c r="K33" s="5" t="n">
        <v>251705.3</v>
      </c>
      <c r="L33" s="5" t="n">
        <v>255135.3</v>
      </c>
    </row>
    <row r="34">
      <c r="A34" s="5" t="inlineStr">
        <is>
          <t>Shareholders' equity</t>
        </is>
      </c>
      <c r="B34" s="6" t="n"/>
      <c r="C34" s="6" t="n"/>
      <c r="D34" s="6" t="n"/>
      <c r="E34" s="6" t="n"/>
      <c r="F34" s="6" t="n"/>
      <c r="G34" s="6" t="n"/>
      <c r="H34" s="6" t="n"/>
      <c r="I34" s="6" t="n"/>
      <c r="J34" s="6" t="n"/>
      <c r="K34" s="6" t="n"/>
      <c r="L34" s="6" t="n"/>
    </row>
    <row r="35">
      <c r="A35" s="6" t="inlineStr">
        <is>
          <t>Share capital</t>
        </is>
      </c>
      <c r="B35" s="6" t="n">
        <v>0.7</v>
      </c>
      <c r="C35" s="6" t="n">
        <v>1093.1</v>
      </c>
      <c r="D35" s="6" t="n">
        <v>5707.7</v>
      </c>
      <c r="E35" s="6" t="n">
        <v>9395.700000000001</v>
      </c>
      <c r="F35" s="6" t="n">
        <v>8406.200000000001</v>
      </c>
      <c r="G35" s="6" t="n">
        <v>8320</v>
      </c>
      <c r="H35" s="6" t="n">
        <v>8604.1</v>
      </c>
      <c r="I35" s="6" t="n">
        <v>9684.4</v>
      </c>
      <c r="J35" s="6" t="n">
        <v>9153.200000000001</v>
      </c>
      <c r="K35" s="6" t="n">
        <v>10051.2</v>
      </c>
      <c r="L35" s="6" t="n">
        <v>8344.700000000001</v>
      </c>
    </row>
    <row r="36">
      <c r="A36" s="6" t="inlineStr">
        <is>
          <t>Share premium</t>
        </is>
      </c>
      <c r="B36" s="6" t="n"/>
      <c r="C36" s="6" t="n"/>
      <c r="D36" s="6" t="n"/>
      <c r="E36" s="6" t="n"/>
      <c r="F36" s="6" t="n"/>
      <c r="G36" s="6" t="n">
        <v>0</v>
      </c>
      <c r="H36" s="6" t="n">
        <v>9617</v>
      </c>
      <c r="I36" s="6" t="n">
        <v>9949.1</v>
      </c>
      <c r="J36" s="6" t="n">
        <v>9403.4</v>
      </c>
      <c r="K36" s="6" t="n">
        <v>10325.9</v>
      </c>
      <c r="L36" s="6" t="n">
        <v>8572.799999999999</v>
      </c>
    </row>
    <row r="37">
      <c r="A37" s="6" t="inlineStr">
        <is>
          <t>Capital contribution</t>
        </is>
      </c>
      <c r="B37" s="6" t="n">
        <v>672.2</v>
      </c>
      <c r="C37" s="6" t="n">
        <v>732.7</v>
      </c>
      <c r="D37" s="6" t="n">
        <v>696.7</v>
      </c>
      <c r="E37" s="6" t="n">
        <v>733.2</v>
      </c>
      <c r="F37" s="6" t="n">
        <v>656</v>
      </c>
      <c r="G37" s="6" t="n">
        <v>649.3</v>
      </c>
      <c r="H37" s="6" t="n">
        <v>662.4</v>
      </c>
      <c r="I37" s="6" t="n"/>
      <c r="J37" s="6" t="n"/>
      <c r="K37" s="6" t="n"/>
      <c r="L37" s="6" t="n"/>
    </row>
    <row r="38">
      <c r="A38" s="6" t="inlineStr">
        <is>
          <t>Other equity instruments</t>
        </is>
      </c>
      <c r="B38" s="6" t="n"/>
      <c r="C38" s="6" t="n"/>
      <c r="D38" s="6" t="n">
        <v>942.5</v>
      </c>
      <c r="E38" s="6" t="n">
        <v>992</v>
      </c>
      <c r="F38" s="6" t="n"/>
      <c r="G38" s="6" t="n"/>
      <c r="H38" s="6" t="n"/>
      <c r="I38" s="6" t="n"/>
      <c r="J38" s="6" t="n"/>
      <c r="K38" s="6" t="n"/>
      <c r="L38" s="6" t="n"/>
    </row>
    <row r="39">
      <c r="A39" s="6" t="inlineStr">
        <is>
          <t>Retained earnings</t>
        </is>
      </c>
      <c r="B39" s="6" t="n">
        <v>1569</v>
      </c>
      <c r="C39" s="6" t="n">
        <v>4483.4</v>
      </c>
      <c r="D39" s="6" t="n">
        <v>4758.1</v>
      </c>
      <c r="E39" s="6" t="n">
        <v>4010.9</v>
      </c>
      <c r="F39" s="6" t="n">
        <v>4094.4</v>
      </c>
      <c r="G39" s="6" t="n">
        <v>7965</v>
      </c>
      <c r="H39" s="6" t="n">
        <v>-1536.7</v>
      </c>
      <c r="I39" s="6" t="n">
        <v>-1864.7</v>
      </c>
      <c r="J39" s="6" t="n">
        <v>-1918.6</v>
      </c>
      <c r="K39" s="6" t="n">
        <v>-1918.2</v>
      </c>
      <c r="L39" s="6" t="n">
        <v>-1460.3</v>
      </c>
    </row>
    <row r="40">
      <c r="A40" s="6" t="inlineStr">
        <is>
          <t>Accumulated other comprehensive income</t>
        </is>
      </c>
      <c r="B40" s="6" t="n"/>
      <c r="C40" s="6" t="n">
        <v>-445.1</v>
      </c>
      <c r="D40" s="6" t="n">
        <v>-352.7</v>
      </c>
      <c r="E40" s="6" t="n">
        <v>-331.5</v>
      </c>
      <c r="F40" s="6" t="n">
        <v>-118.3</v>
      </c>
      <c r="G40" s="6" t="n">
        <v>-93</v>
      </c>
      <c r="H40" s="6" t="n">
        <v>-97.7</v>
      </c>
      <c r="I40" s="6" t="n">
        <v>-22.7</v>
      </c>
      <c r="J40" s="6" t="n">
        <v>0</v>
      </c>
      <c r="K40" s="6" t="n">
        <v>-1.6</v>
      </c>
      <c r="L40" s="6" t="n">
        <v>-1.3</v>
      </c>
    </row>
    <row r="41">
      <c r="A41" s="5" t="inlineStr">
        <is>
          <t>Total shareholders' equity</t>
        </is>
      </c>
      <c r="B41" s="5" t="n">
        <v>2242</v>
      </c>
      <c r="C41" s="5" t="n">
        <v>5864.2</v>
      </c>
      <c r="D41" s="5" t="n">
        <v>11752.3</v>
      </c>
      <c r="E41" s="5" t="n">
        <v>14800.4</v>
      </c>
      <c r="F41" s="5" t="n">
        <v>13038.2</v>
      </c>
      <c r="G41" s="5" t="n">
        <v>16841.4</v>
      </c>
      <c r="H41" s="5" t="n">
        <v>17249.1</v>
      </c>
      <c r="I41" s="5" t="n">
        <v>17746.1</v>
      </c>
      <c r="J41" s="5" t="n">
        <v>16638</v>
      </c>
      <c r="K41" s="5" t="n">
        <v>18457.3</v>
      </c>
      <c r="L41" s="5" t="n">
        <v>15455.8</v>
      </c>
    </row>
    <row r="42">
      <c r="A42" s="5" t="inlineStr">
        <is>
          <t>Total liabilities and shareholders' equity</t>
        </is>
      </c>
      <c r="B42" s="5" t="n">
        <v>4201.4</v>
      </c>
      <c r="C42" s="5" t="n">
        <v>41049.9</v>
      </c>
      <c r="D42" s="5" t="n">
        <v>96149.89999999999</v>
      </c>
      <c r="E42" s="5" t="n">
        <v>151480.5</v>
      </c>
      <c r="F42" s="5" t="n">
        <v>180840.9</v>
      </c>
      <c r="G42" s="5" t="n">
        <v>212463.2</v>
      </c>
      <c r="H42" s="5" t="n">
        <v>176894.8</v>
      </c>
      <c r="I42" s="5" t="n">
        <v>181496.6</v>
      </c>
      <c r="J42" s="5" t="n">
        <v>184633.6</v>
      </c>
      <c r="K42" s="5" t="n">
        <v>270162.6</v>
      </c>
      <c r="L42" s="5" t="n">
        <v>270591.1</v>
      </c>
    </row>
    <row r="44" ht="340" customHeight="1">
      <c r="A44" s="8" t="inlineStr">
        <is>
          <t>Sources - Credit Suisse International's own Consolidated Statement of Financial Position / Consolidated Statement of Income / Consolidated Statement of Changes in Equity (Group basis throughout, converted from USD to GBP - see FX note below), each year's own originally-published figures (not a later year's restated comparative):
FY2025: Annual Report for the Year Ended 31 December 2025, pp.43-45 - https://find-and-update.company-information.service.gov.uk/company/02500199/filing-history/MzUxNDA4Njk0M2FkaXF6a2N4/document?format=pdf&amp;download=0
FY2024: FY2025 Annual Report's own FY2024 comparative column (restated to exclude discontinued operations - FY2024's own standalone Annual Report was not sourced this session), pp.43-45 - https://find-and-update.company-information.service.gov.uk/company/02500199/filing-history/MzUxNDA4Njk0M2FkaXF6a2N4/document?format=pdf&amp;download=0
FY2023: Annual Report for the Year Ended 31 December 2023, pp.42-45 - https://find-and-update.company-information.service.gov.uk/company/02500199/filing-history/MzQxNzkxNzIxNWFkaXF6a2N4/document?format=pdf&amp;download=0
FY2022: FY2023 Annual Report's own FY2022 comparative column, pp.42-45 - https://find-and-update.company-information.service.gov.uk/company/02500199/filing-history/MzQxNzkxNzIxNWFkaXF6a2N4/document?format=pdf&amp;download=0
FY2021: Annual Report for the Year Ended 31 December 2021, pp.50-53 - https://find-and-update.company-information.service.gov.uk/company/02500199/filing-history/MzMzMjg3NzIzMGFkaXF6a2N4/document?format=pdf&amp;download=0
FY2020: Annual Report for the Year Ended 31 December 2020, pp.61-65 - https://find-and-update.company-information.service.gov.uk/company/02500199/filing-history/MzMwMTQ3Mjk3N2FkaXF6a2N4/document?format=pdf&amp;download=0
FY2019: Annual Report for the Year Ended 31 December 2019, pp.48-52 - https://find-and-update.company-information.service.gov.uk/company/02500199/filing-history/MzI2MTMzMDczMmFkaXF6a2N4/document?format=pdf&amp;download=0
FY2018: Annual Report for the Year Ended 31 December 2018, pp.41-44 - https://find-and-update.company-information.service.gov.uk/company/02500199/filing-history/MzIzMTA0NjM5NGFkaXF6a2N4/document?format=pdf&amp;download=0
FY2017: Annual Report for the Year Ended 31 December 2017, pp.34-38 - https://find-and-update.company-information.service.gov.uk/company/02500199/filing-history/MzIwMjIxNDAzMWFkaXF6a2N4/document?format=pdf&amp;download=0
FY2016: Annual Report for the Year Ended 31 December 2016, pp.26-30 - https://find-and-update.company-information.service.gov.uk/company/02500199/filing-history/MzE3NTQ0MjEyNWFkaXF6a2N4/document?format=pdf&amp;download=0
FY2015: Annual Report for the Year Ended 31 December 2015, pp.16-20 - https://find-and-update.company-information.service.gov.uk/company/02500199/filing-history/MzE0NTU0ODE5NWFkaXF6a2N4/document?format=pdf&amp;download=0
Credit Suisse International (CSI, company 02500199, FRN 146702) is the UK derivatives/structured-products trading entity within the former Credit Suisse group - a DISTINCT legal entity from 'Credit Suisse (UK) Limited' (the deposit-taking bank, built separately in this same batch). Following Credit Suisse's 2023 collapse and rescue by UBS Group AG, CSI remains an active, separately-reporting UK entity (registered office moved to UBS's 5 Broadgate address 2 Jan 2026) but is in an explicit, disclosed CONTROLLED WIND-DOWN: its own FY2025 KPI table states 'Profitability and Risk Weighted Assets (RWA) are reviewed to ensure a controlled wind-down in a capital efficient manner.' Total assets collapsed from $244.5bn (FY2021) to $5.65bn (FY2025) - a 97.7% reduction - as client business was progressively transferred to other UBS Group entities via Part VII transfers. FY2025 also separately reports a $(397)m pre-tax loss from Discontinued Operations, on top of continuing operations. All figures are converted from CSI's reporting currency (USD) to GBP using the Bank of England's published GBP/USD spot rate (point-in-time/balance figures) or average rate over the fiscal year (flow figures) - see the FX conversion methodology note below. All %-ratios are shown exactly as disclosed, not converted (dimensionless).
FX conversion: point-in-time figures (cash balances, Tier 1 capital, RWA) converted at the Bank of England GBP/USD SPOT rate as at each fiscal year-end; flow figures (every cash flow statement line item) converted at the AVERAGE rate over that fiscal year. Rates used (£1 = $X): 31 Dec 2014 spot 1.5608 (FY2015 opening cash only); FY2015 spot 1.4819 / average 1.5283; FY2016 spot 1.2303 / average 1.3550; FY2017 spot 1.3510 / average 1.2885; FY2018 spot 1.2769 / average 1.3347; FY2019 spot 1.3210 / average 1.2765; FY2020 spot 1.3661 / average 1.2837; FY2021 spot 1.3521 / average 1.3752; FY2022 spot 1.2097 / average 1.2362; FY2023 spot 1.2732 / average 1.2439; FY2024 spot 1.2515 / average 1.2782; FY2025 spot 1.3448 / average 1.3193. FY2021-FY2025 rates reuse the table already established for Zenith Bank UK (identical 31 December year-end); FY2014-FY2019 rates were independently sourced this session from poundsterlinglive.com's Bank-of-England-spot and annual-average history pages for HD-020's FY2015-FY2020 extension. Converting stocks and flows at different rates means the statement doesn't tie in GBP by itself - an 'Effect of GBP/USD translation' line is included, computed programmatically as the balancing figure (never hardcoded), labelled clearly as a translation artefact with no bearing on CSI's actual results.
PRESENTATION NOTE: s.408 Companies Act 2006 exemption means no separate Bank-only income statement is published (Group figures used for P&amp;L throughout, consistent with the Balance Sheet and Equity statement). FY2024/FY2025's income statement separates 'Discontinued Operations' from continuing operations, as do FY2019/FY2020 (each showing its own year's discontinued-operations split, driven by different disposals); FY2015/FY2018/FY2021-23 have no such split (whole-entity basis); FY2016/FY2017 show a continuing/discontinued split but with nil or small discontinued-operations figures - each year's own presentation is reproduced as reported, not forced onto one basis. A small (~£0.7m-£1.5m) rounding gap exists between the P&amp;L's own 'Total comprehensive income/(loss)' and the Equity statement's own total for the same year in several years (FY2024/FY2022/FY2021) - this originates as a &lt;=$1m rounding artifact already present in CSI's own USD-million source tables, amplified slightly by FX conversion; both sheets show each source table's own figure rather than forcing one to match the other.</t>
        </is>
      </c>
    </row>
    <row r="46" ht="340" customHeight="1">
      <c r="A46" s="8" t="inlineStr">
        <is>
          <t>(continued)
BALANCE SHEET LINE-ITEM RELABELLING ACROSS YEARS (same underlying items, renamed by CSI over time - not a definitional change): 'Deposits' (FY2015-2019) = 'Due to banks' (FY2020+); 'Short term borrowings' (FY2015-2017) = 'Borrowings' (FY2018+); 'Long term debt' (FY2015-2017) = 'Debt in issuance' (FY2018+); 'Other loans and receivables' (FY2015-2017) then 'Net loans' (FY2018-2019) = 'Loans and advances' (FY2020+); 'Financial assets designated at fair value through profit or loss' (FY2015-2017, pre-IFRS 9) = 'Non-trading financial assets [mandatorily] at fair value through P&amp;L' (FY2018+, post-IFRS 9 adoption 1 Jan 2018) - shown on the same row in each case, per each year's own renaming note in its Annual Report. 'Share premium' (a distinct row, FY2015-2020) was reclassified in full to retained earnings during FY2020 (see the Statement of Changes in Equity sheet) and does not exist as a separate balance from FY2021 onward. 'Assets held for sale' / 'Liabilities held for sale' are discontinued-operations classification lines that appear only in the specific years CSI disclosed a held-for-sale disposal group (FY2016/FY2017/FY2019/FY2020) - left blank, not zero, in years with no such disclosure. 'Lease liabilities' is disclosed as its own line only from FY2020 onward (IFRS 16 adopted 1 Jan 2019, but FY2019's own Balance Sheet still embeds lease liabilities within 'Debt in issuance' per that year's own presentation - only FY2020's own report first breaks it out as a separate line, per FY2020's own explanatory footnote).</t>
        </is>
      </c>
    </row>
  </sheetData>
  <mergeCells count="2">
    <mergeCell ref="A44:L44"/>
    <mergeCell ref="A46:L4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Credit Suisse International — Consolidated Statement of Income</t>
        </is>
      </c>
    </row>
    <row r="2">
      <c r="A2" s="2" t="inlineStr">
        <is>
          <t>£m, converted from USD - Group basis - see source note at bottom for FX methodology and rates used.</t>
        </is>
      </c>
    </row>
    <row r="3">
      <c r="A3" s="4" t="inlineStr">
        <is>
          <t>Line item</t>
        </is>
      </c>
      <c r="B3" s="4" t="inlineStr">
        <is>
          <t>FY2025 (£m, conv. from USD)</t>
        </is>
      </c>
      <c r="C3" s="4" t="inlineStr">
        <is>
          <t>FY2024 (£m, conv. from USD)</t>
        </is>
      </c>
      <c r="D3" s="4" t="inlineStr">
        <is>
          <t>FY2023 (£m, conv. from USD)</t>
        </is>
      </c>
      <c r="E3" s="4" t="inlineStr">
        <is>
          <t>FY2022 (£m, conv. from USD)</t>
        </is>
      </c>
      <c r="F3" s="4" t="inlineStr">
        <is>
          <t>FY2021 (£m, conv. from USD)</t>
        </is>
      </c>
      <c r="G3" s="4" t="inlineStr">
        <is>
          <t>FY2020 (£m, conv. from USD)</t>
        </is>
      </c>
      <c r="H3" s="4" t="inlineStr">
        <is>
          <t>FY2019 (£m, conv. from USD)</t>
        </is>
      </c>
      <c r="I3" s="4" t="inlineStr">
        <is>
          <t>FY2018 (£m, conv. from USD)</t>
        </is>
      </c>
      <c r="J3" s="4" t="inlineStr">
        <is>
          <t>FY2017 (£m, conv. from USD)</t>
        </is>
      </c>
      <c r="K3" s="4" t="inlineStr">
        <is>
          <t>FY2016 (£m, conv. from USD)</t>
        </is>
      </c>
      <c r="L3" s="4" t="inlineStr">
        <is>
          <t>FY2015 (£m, conv. from USD)</t>
        </is>
      </c>
    </row>
    <row r="4">
      <c r="A4" s="5" t="inlineStr">
        <is>
          <t>Income</t>
        </is>
      </c>
      <c r="B4" s="6" t="n"/>
      <c r="C4" s="6" t="n"/>
      <c r="D4" s="6" t="n"/>
      <c r="E4" s="6" t="n"/>
      <c r="F4" s="6" t="n"/>
      <c r="G4" s="6" t="n"/>
      <c r="H4" s="6" t="n"/>
      <c r="I4" s="6" t="n"/>
      <c r="J4" s="6" t="n"/>
      <c r="K4" s="6" t="n"/>
      <c r="L4" s="6" t="n"/>
    </row>
    <row r="5">
      <c r="A5" s="6" t="inlineStr">
        <is>
          <t>Interest income</t>
        </is>
      </c>
      <c r="B5" s="6" t="n">
        <v>384.3</v>
      </c>
      <c r="C5" s="6" t="n">
        <v>1236.9</v>
      </c>
      <c r="D5" s="6" t="n">
        <v>2392.5</v>
      </c>
      <c r="E5" s="6" t="n">
        <v>1316.9</v>
      </c>
      <c r="F5" s="6" t="n">
        <v>311.2</v>
      </c>
      <c r="G5" s="6" t="n">
        <v>387.2</v>
      </c>
      <c r="H5" s="6" t="n">
        <v>997.3</v>
      </c>
      <c r="I5" s="6" t="n">
        <v>1083.4</v>
      </c>
      <c r="J5" s="6" t="n">
        <v>634.8</v>
      </c>
      <c r="K5" s="6" t="n">
        <v>488.6</v>
      </c>
      <c r="L5" s="6" t="n">
        <v>350.1</v>
      </c>
    </row>
    <row r="6">
      <c r="A6" s="6" t="inlineStr">
        <is>
          <t>Interest expense</t>
        </is>
      </c>
      <c r="B6" s="6" t="n">
        <v>-223.6</v>
      </c>
      <c r="C6" s="6" t="n">
        <v>-785.5</v>
      </c>
      <c r="D6" s="6" t="n">
        <v>-2035.5</v>
      </c>
      <c r="E6" s="6" t="n">
        <v>-1350.9</v>
      </c>
      <c r="F6" s="6" t="n">
        <v>-357</v>
      </c>
      <c r="G6" s="6" t="n">
        <v>-379.4</v>
      </c>
      <c r="H6" s="6" t="n">
        <v>-870.3</v>
      </c>
      <c r="I6" s="6" t="n">
        <v>-880.3</v>
      </c>
      <c r="J6" s="6" t="n">
        <v>-658.1</v>
      </c>
      <c r="K6" s="6" t="n">
        <v>-606.6</v>
      </c>
      <c r="L6" s="6" t="n">
        <v>-310.8</v>
      </c>
    </row>
    <row r="7">
      <c r="A7" s="5" t="inlineStr">
        <is>
          <t>Net interest income/(expense)</t>
        </is>
      </c>
      <c r="B7" s="5" t="n">
        <v>160.7</v>
      </c>
      <c r="C7" s="5" t="n">
        <v>451.4</v>
      </c>
      <c r="D7" s="5" t="n">
        <v>356.9</v>
      </c>
      <c r="E7" s="5" t="n">
        <v>-34</v>
      </c>
      <c r="F7" s="5" t="n">
        <v>-45.8</v>
      </c>
      <c r="G7" s="5" t="n">
        <v>7.8</v>
      </c>
      <c r="H7" s="5" t="n">
        <v>126.9</v>
      </c>
      <c r="I7" s="5" t="n">
        <v>203</v>
      </c>
      <c r="J7" s="5" t="n">
        <v>-23.3</v>
      </c>
      <c r="K7" s="5" t="n">
        <v>-118.1</v>
      </c>
      <c r="L7" s="5" t="n">
        <v>39.3</v>
      </c>
    </row>
    <row r="8">
      <c r="A8" s="6" t="inlineStr">
        <is>
          <t>Commission and fee income</t>
        </is>
      </c>
      <c r="B8" s="6" t="n">
        <v>0.8</v>
      </c>
      <c r="C8" s="6" t="n">
        <v>0.8</v>
      </c>
      <c r="D8" s="6" t="n">
        <v>111.7</v>
      </c>
      <c r="E8" s="6" t="n">
        <v>343.8</v>
      </c>
      <c r="F8" s="6" t="n">
        <v>311.2</v>
      </c>
      <c r="G8" s="6" t="n">
        <v>282.8</v>
      </c>
      <c r="H8" s="6" t="n">
        <v>263.2</v>
      </c>
      <c r="I8" s="6" t="n">
        <v>448</v>
      </c>
      <c r="J8" s="6" t="n">
        <v>406.7</v>
      </c>
      <c r="K8" s="6" t="n">
        <v>281.2</v>
      </c>
      <c r="L8" s="6" t="n">
        <v>141.3</v>
      </c>
    </row>
    <row r="9">
      <c r="A9" s="6" t="inlineStr">
        <is>
          <t>Allowance for credit losses</t>
        </is>
      </c>
      <c r="B9" s="6" t="n"/>
      <c r="C9" s="6" t="n"/>
      <c r="D9" s="6" t="n">
        <v>-54.7</v>
      </c>
      <c r="E9" s="6" t="n">
        <v>127.8</v>
      </c>
      <c r="F9" s="6" t="n">
        <v>-3294.1</v>
      </c>
      <c r="G9" s="6" t="n">
        <v>-13.2</v>
      </c>
      <c r="H9" s="6" t="n">
        <v>-3.1</v>
      </c>
      <c r="I9" s="6" t="n">
        <v>-6</v>
      </c>
      <c r="J9" s="6" t="n">
        <v>-3.9</v>
      </c>
      <c r="K9" s="6" t="n">
        <v>-1.5</v>
      </c>
      <c r="L9" s="6" t="n">
        <v>2</v>
      </c>
    </row>
    <row r="10">
      <c r="A10" s="6" t="inlineStr">
        <is>
          <t>Net gains from financial assets/liabilities at FVTPL</t>
        </is>
      </c>
      <c r="B10" s="6" t="n">
        <v>35.6</v>
      </c>
      <c r="C10" s="6" t="n">
        <v>85.3</v>
      </c>
      <c r="D10" s="6" t="n">
        <v>639.9</v>
      </c>
      <c r="E10" s="6" t="n">
        <v>1296.7</v>
      </c>
      <c r="F10" s="6" t="n">
        <v>1280.5</v>
      </c>
      <c r="G10" s="6" t="n">
        <v>1336</v>
      </c>
      <c r="H10" s="6" t="n">
        <v>995.7</v>
      </c>
      <c r="I10" s="6" t="n">
        <v>821.9</v>
      </c>
      <c r="J10" s="6" t="n">
        <v>818</v>
      </c>
      <c r="K10" s="6" t="n">
        <v>1130.6</v>
      </c>
      <c r="L10" s="6" t="n">
        <v>1310.6</v>
      </c>
    </row>
    <row r="11">
      <c r="A11" s="6" t="inlineStr">
        <is>
          <t>Other revenues</t>
        </is>
      </c>
      <c r="B11" s="6" t="n">
        <v>0.8</v>
      </c>
      <c r="C11" s="6" t="n">
        <v>36</v>
      </c>
      <c r="D11" s="6" t="n">
        <v>82</v>
      </c>
      <c r="E11" s="6" t="n">
        <v>148.8</v>
      </c>
      <c r="F11" s="6" t="n">
        <v>184</v>
      </c>
      <c r="G11" s="6" t="n">
        <v>187.7</v>
      </c>
      <c r="H11" s="6" t="n">
        <v>120.6</v>
      </c>
      <c r="I11" s="6" t="n">
        <v>179.1</v>
      </c>
      <c r="J11" s="6" t="n">
        <v>-139.7</v>
      </c>
      <c r="K11" s="6" t="n">
        <v>-270.8</v>
      </c>
      <c r="L11" s="6" t="n">
        <v>-222.5</v>
      </c>
    </row>
    <row r="12">
      <c r="A12" s="5" t="inlineStr">
        <is>
          <t>Net revenues</t>
        </is>
      </c>
      <c r="B12" s="5" t="n">
        <v>197.8</v>
      </c>
      <c r="C12" s="5" t="n">
        <v>573.5</v>
      </c>
      <c r="D12" s="5" t="n">
        <v>1135.9</v>
      </c>
      <c r="E12" s="5" t="n">
        <v>1883.2</v>
      </c>
      <c r="F12" s="5" t="n">
        <v>-1564.1</v>
      </c>
      <c r="G12" s="5" t="n">
        <v>1801</v>
      </c>
      <c r="H12" s="5" t="n">
        <v>1503.3</v>
      </c>
      <c r="I12" s="5" t="n">
        <v>1646.1</v>
      </c>
      <c r="J12" s="5" t="n">
        <v>1057.8</v>
      </c>
      <c r="K12" s="5" t="n">
        <v>1021.4</v>
      </c>
      <c r="L12" s="5" t="n">
        <v>1270.7</v>
      </c>
    </row>
    <row r="13">
      <c r="A13" s="5" t="inlineStr">
        <is>
          <t>Operating expenses</t>
        </is>
      </c>
      <c r="B13" s="6" t="n"/>
      <c r="C13" s="6" t="n"/>
      <c r="D13" s="6" t="n"/>
      <c r="E13" s="6" t="n"/>
      <c r="F13" s="6" t="n"/>
      <c r="G13" s="6" t="n"/>
      <c r="H13" s="6" t="n"/>
      <c r="I13" s="6" t="n"/>
      <c r="J13" s="6" t="n"/>
      <c r="K13" s="6" t="n"/>
      <c r="L13" s="6" t="n"/>
    </row>
    <row r="14">
      <c r="A14" s="6" t="inlineStr">
        <is>
          <t>Compensation and benefits</t>
        </is>
      </c>
      <c r="B14" s="6" t="n"/>
      <c r="C14" s="6" t="n"/>
      <c r="D14" s="6" t="n">
        <v>-516.1</v>
      </c>
      <c r="E14" s="6" t="n">
        <v>-445.7</v>
      </c>
      <c r="F14" s="6" t="n">
        <v>-530.1</v>
      </c>
      <c r="G14" s="6" t="n">
        <v>-655.1</v>
      </c>
      <c r="H14" s="6" t="n">
        <v>-623.6</v>
      </c>
      <c r="I14" s="6" t="n">
        <v>-452.5</v>
      </c>
      <c r="J14" s="6" t="n">
        <v>-521.5</v>
      </c>
      <c r="K14" s="6" t="n">
        <v>-469.4</v>
      </c>
      <c r="L14" s="6" t="n">
        <v>-374.3</v>
      </c>
    </row>
    <row r="15">
      <c r="A15" s="6" t="inlineStr">
        <is>
          <t>General, administrative and trading expenses</t>
        </is>
      </c>
      <c r="B15" s="6" t="n">
        <v>-13.6</v>
      </c>
      <c r="C15" s="6" t="n">
        <v>-15.6</v>
      </c>
      <c r="D15" s="6" t="n">
        <v>-1977.7</v>
      </c>
      <c r="E15" s="6" t="n">
        <v>-1667.2</v>
      </c>
      <c r="F15" s="6" t="n">
        <v>-1809.9</v>
      </c>
      <c r="G15" s="6" t="n">
        <v>-990.9</v>
      </c>
      <c r="H15" s="6" t="n">
        <v>-772.4</v>
      </c>
      <c r="I15" s="6" t="n">
        <v>-1066.2</v>
      </c>
      <c r="J15" s="6" t="n">
        <v>-651.9</v>
      </c>
      <c r="K15" s="6" t="n">
        <v>-692.3</v>
      </c>
      <c r="L15" s="6" t="n">
        <v>-853.9</v>
      </c>
    </row>
    <row r="16">
      <c r="A16" s="6" t="inlineStr">
        <is>
          <t>Restructuring expenses</t>
        </is>
      </c>
      <c r="B16" s="6" t="n"/>
      <c r="C16" s="6" t="n"/>
      <c r="D16" s="6" t="n">
        <v>-37.8</v>
      </c>
      <c r="E16" s="6" t="n">
        <v>-38</v>
      </c>
      <c r="F16" s="6" t="n">
        <v>-12.4</v>
      </c>
      <c r="G16" s="6" t="n">
        <v>-6.2</v>
      </c>
      <c r="H16" s="6" t="n">
        <v>0</v>
      </c>
      <c r="I16" s="6" t="n">
        <v>-71.90000000000001</v>
      </c>
      <c r="J16" s="6" t="n">
        <v>-24.1</v>
      </c>
      <c r="K16" s="6" t="n">
        <v>-103.3</v>
      </c>
      <c r="L16" s="6" t="n">
        <v>-76.59999999999999</v>
      </c>
    </row>
    <row r="17">
      <c r="A17" s="5" t="inlineStr">
        <is>
          <t>Total operating expenses</t>
        </is>
      </c>
      <c r="B17" s="5" t="n">
        <v>-13.6</v>
      </c>
      <c r="C17" s="5" t="n">
        <v>-15.6</v>
      </c>
      <c r="D17" s="5" t="n">
        <v>-2531.6</v>
      </c>
      <c r="E17" s="5" t="n">
        <v>-2150.9</v>
      </c>
      <c r="F17" s="5" t="n">
        <v>-2352.4</v>
      </c>
      <c r="G17" s="5" t="n">
        <v>-1652.3</v>
      </c>
      <c r="H17" s="5" t="n">
        <v>-1396</v>
      </c>
      <c r="I17" s="5" t="n">
        <v>-1590.6</v>
      </c>
      <c r="J17" s="5" t="n">
        <v>-1197.5</v>
      </c>
      <c r="K17" s="5" t="n">
        <v>-1264.9</v>
      </c>
      <c r="L17" s="5" t="n">
        <v>-1304.7</v>
      </c>
    </row>
    <row r="18">
      <c r="A18" s="5" t="inlineStr">
        <is>
          <t>Profit/(loss) before tax from continuing operations</t>
        </is>
      </c>
      <c r="B18" s="5" t="n">
        <v>184.2</v>
      </c>
      <c r="C18" s="5" t="n">
        <v>557.8</v>
      </c>
      <c r="D18" s="5" t="n">
        <v>-1395.6</v>
      </c>
      <c r="E18" s="5" t="n">
        <v>-267.8</v>
      </c>
      <c r="F18" s="5" t="n">
        <v>-3916.5</v>
      </c>
      <c r="G18" s="5" t="n">
        <v>148.8</v>
      </c>
      <c r="H18" s="5" t="n">
        <v>107.3</v>
      </c>
      <c r="I18" s="5" t="n">
        <v>55.4</v>
      </c>
      <c r="J18" s="5" t="n">
        <v>-139.7</v>
      </c>
      <c r="K18" s="5" t="n">
        <v>-243.5</v>
      </c>
      <c r="L18" s="5" t="n">
        <v>-34</v>
      </c>
    </row>
    <row r="19">
      <c r="A19" s="6" t="inlineStr">
        <is>
          <t>Income tax (expense)/benefit</t>
        </is>
      </c>
      <c r="B19" s="6" t="n">
        <v>-51.5</v>
      </c>
      <c r="C19" s="6" t="n">
        <v>-72</v>
      </c>
      <c r="D19" s="6" t="n">
        <v>-45.8</v>
      </c>
      <c r="E19" s="6" t="n">
        <v>-286.4</v>
      </c>
      <c r="F19" s="6" t="n">
        <v>31.3</v>
      </c>
      <c r="G19" s="6" t="n">
        <v>9.300000000000001</v>
      </c>
      <c r="H19" s="6" t="n">
        <v>123.8</v>
      </c>
      <c r="I19" s="6" t="n">
        <v>-11.2</v>
      </c>
      <c r="J19" s="6" t="n">
        <v>-63.6</v>
      </c>
      <c r="K19" s="6" t="n">
        <v>1.5</v>
      </c>
      <c r="L19" s="6" t="n">
        <v>-43.2</v>
      </c>
    </row>
    <row r="20">
      <c r="A20" s="5" t="inlineStr">
        <is>
          <t>Profit/(loss) after tax from continuing operations</t>
        </is>
      </c>
      <c r="B20" s="5" t="n">
        <v>132.6</v>
      </c>
      <c r="C20" s="5" t="n">
        <v>485.8</v>
      </c>
      <c r="D20" s="5" t="n">
        <v>-1441.4</v>
      </c>
      <c r="E20" s="5" t="n">
        <v>-554.1</v>
      </c>
      <c r="F20" s="5" t="n">
        <v>-3885.3</v>
      </c>
      <c r="G20" s="5" t="n">
        <v>158.1</v>
      </c>
      <c r="H20" s="5" t="n">
        <v>231.1</v>
      </c>
      <c r="I20" s="5" t="n">
        <v>44.2</v>
      </c>
      <c r="J20" s="5" t="n">
        <v>-203.3</v>
      </c>
      <c r="K20" s="5" t="n">
        <v>-242.1</v>
      </c>
      <c r="L20" s="5" t="n">
        <v>-77.2</v>
      </c>
    </row>
    <row r="21">
      <c r="A21" s="5" t="inlineStr">
        <is>
          <t>Discontinued operations (each year's own presentation - see note; FY2015/FY2018/FY2021-23 have none)</t>
        </is>
      </c>
      <c r="B21" s="6" t="n"/>
      <c r="C21" s="6" t="n"/>
      <c r="D21" s="6" t="n"/>
      <c r="E21" s="6" t="n"/>
      <c r="F21" s="6" t="n"/>
      <c r="G21" s="6" t="n"/>
      <c r="H21" s="6" t="n"/>
      <c r="I21" s="6" t="n"/>
      <c r="J21" s="6" t="n"/>
      <c r="K21" s="6" t="n"/>
      <c r="L21" s="6" t="n"/>
    </row>
    <row r="22">
      <c r="A22" s="6" t="inlineStr">
        <is>
          <t>Loss before tax from discontinued operations</t>
        </is>
      </c>
      <c r="B22" s="6" t="n">
        <v>-300.9</v>
      </c>
      <c r="C22" s="6" t="n">
        <v>-604.8</v>
      </c>
      <c r="D22" s="6" t="n"/>
      <c r="E22" s="6" t="n"/>
      <c r="F22" s="6" t="n"/>
      <c r="G22" s="6" t="n">
        <v>7.8</v>
      </c>
      <c r="H22" s="6" t="n">
        <v>41.5</v>
      </c>
      <c r="I22" s="6" t="n"/>
      <c r="J22" s="6" t="n">
        <v>0</v>
      </c>
      <c r="K22" s="6" t="n">
        <v>97.40000000000001</v>
      </c>
      <c r="L22" s="6" t="n"/>
    </row>
    <row r="23">
      <c r="A23" s="6" t="inlineStr">
        <is>
          <t>Income tax (expense)/benefit from discontinued operations</t>
        </is>
      </c>
      <c r="B23" s="6" t="n">
        <v>-1.5</v>
      </c>
      <c r="C23" s="6" t="n">
        <v>50.9</v>
      </c>
      <c r="D23" s="6" t="n"/>
      <c r="E23" s="6" t="n"/>
      <c r="F23" s="6" t="n"/>
      <c r="G23" s="6" t="n">
        <v>-1.6</v>
      </c>
      <c r="H23" s="6" t="n">
        <v>-9.4</v>
      </c>
      <c r="I23" s="6" t="n"/>
      <c r="J23" s="6" t="n">
        <v>0</v>
      </c>
      <c r="K23" s="6" t="n">
        <v>0</v>
      </c>
      <c r="L23" s="6" t="n"/>
    </row>
    <row r="24">
      <c r="A24" s="5" t="inlineStr">
        <is>
          <t>Loss after tax from discontinued operations</t>
        </is>
      </c>
      <c r="B24" s="5" t="n">
        <v>-302.4</v>
      </c>
      <c r="C24" s="5" t="n">
        <v>-553.9</v>
      </c>
      <c r="D24" s="5" t="n"/>
      <c r="E24" s="5" t="n"/>
      <c r="F24" s="5" t="n"/>
      <c r="G24" s="5" t="n">
        <v>6.2</v>
      </c>
      <c r="H24" s="5" t="n">
        <v>32.1</v>
      </c>
      <c r="I24" s="5" t="n"/>
      <c r="J24" s="5" t="n">
        <v>0</v>
      </c>
      <c r="K24" s="5" t="n">
        <v>97.40000000000001</v>
      </c>
      <c r="L24" s="5" t="n"/>
    </row>
    <row r="25">
      <c r="A25" s="5" t="inlineStr">
        <is>
          <t>Profit/(loss) for the year</t>
        </is>
      </c>
      <c r="B25" s="5" t="n">
        <v>-169.8</v>
      </c>
      <c r="C25" s="5" t="n">
        <v>-68.09999999999999</v>
      </c>
      <c r="D25" s="5" t="n">
        <v>-1441.4</v>
      </c>
      <c r="E25" s="5" t="n">
        <v>-554.1</v>
      </c>
      <c r="F25" s="5" t="n">
        <v>-3885.3</v>
      </c>
      <c r="G25" s="5" t="n">
        <v>164.4</v>
      </c>
      <c r="H25" s="5" t="n">
        <v>263.2</v>
      </c>
      <c r="I25" s="5" t="n">
        <v>44.2</v>
      </c>
      <c r="J25" s="5" t="n">
        <v>-203.3</v>
      </c>
      <c r="K25" s="5" t="n">
        <v>-144.6</v>
      </c>
      <c r="L25" s="5" t="n">
        <v>-77.2</v>
      </c>
    </row>
    <row r="26">
      <c r="A26" s="5" t="inlineStr">
        <is>
          <t>Other comprehensive income/(loss)</t>
        </is>
      </c>
      <c r="B26" s="6" t="n"/>
      <c r="C26" s="6" t="n"/>
      <c r="D26" s="6" t="n"/>
      <c r="E26" s="6" t="n"/>
      <c r="F26" s="6" t="n"/>
      <c r="G26" s="6" t="n"/>
      <c r="H26" s="6" t="n"/>
      <c r="I26" s="6" t="n"/>
      <c r="J26" s="6" t="n"/>
      <c r="K26" s="6" t="n"/>
      <c r="L26" s="6" t="n"/>
    </row>
    <row r="27">
      <c r="A27" s="6" t="inlineStr">
        <is>
          <t>Other comprehensive income/(loss) for the period, net of tax</t>
        </is>
      </c>
      <c r="B27" s="6" t="n">
        <v>-3.8</v>
      </c>
      <c r="C27" s="6" t="n">
        <v>-84.5</v>
      </c>
      <c r="D27" s="6" t="n">
        <v>-38.6</v>
      </c>
      <c r="E27" s="6" t="n">
        <v>-195</v>
      </c>
      <c r="F27" s="6" t="n">
        <v>-24</v>
      </c>
      <c r="G27" s="6" t="n">
        <v>1.6</v>
      </c>
      <c r="H27" s="6" t="n">
        <v>-78.3</v>
      </c>
      <c r="I27" s="6" t="n">
        <v>-8.199999999999999</v>
      </c>
      <c r="J27" s="6" t="n">
        <v>1.6</v>
      </c>
      <c r="K27" s="6" t="n">
        <v>0</v>
      </c>
      <c r="L27" s="6" t="n">
        <v>1.3</v>
      </c>
    </row>
    <row r="28">
      <c r="A28" s="5" t="inlineStr">
        <is>
          <t>Total comprehensive income/(loss) for the year</t>
        </is>
      </c>
      <c r="B28" s="5" t="n">
        <v>-173.6</v>
      </c>
      <c r="C28" s="5" t="n">
        <v>-152.6</v>
      </c>
      <c r="D28" s="5" t="n">
        <v>-1480</v>
      </c>
      <c r="E28" s="5" t="n">
        <v>-749.1</v>
      </c>
      <c r="F28" s="5" t="n">
        <v>-3909.2</v>
      </c>
      <c r="G28" s="5" t="n">
        <v>165.9</v>
      </c>
      <c r="H28" s="5" t="n">
        <v>184.9</v>
      </c>
      <c r="I28" s="5" t="n">
        <v>36</v>
      </c>
      <c r="J28" s="5" t="n">
        <v>-201.8</v>
      </c>
      <c r="K28" s="5" t="n">
        <v>-144.6</v>
      </c>
      <c r="L28" s="5" t="n">
        <v>-75.90000000000001</v>
      </c>
    </row>
    <row r="30" ht="340" customHeight="1">
      <c r="A30" s="8" t="inlineStr">
        <is>
          <t>Sources - Credit Suisse International's own Consolidated Statement of Financial Position / Consolidated Statement of Income / Consolidated Statement of Changes in Equity (Group basis throughout, converted from USD to GBP - see FX note below), each year's own originally-published figures (not a later year's restated comparative):
FY2025: Annual Report for the Year Ended 31 December 2025, pp.43-45 - https://find-and-update.company-information.service.gov.uk/company/02500199/filing-history/MzUxNDA4Njk0M2FkaXF6a2N4/document?format=pdf&amp;download=0
FY2024: FY2025 Annual Report's own FY2024 comparative column (restated to exclude discontinued operations - FY2024's own standalone Annual Report was not sourced this session), pp.43-45 - https://find-and-update.company-information.service.gov.uk/company/02500199/filing-history/MzUxNDA4Njk0M2FkaXF6a2N4/document?format=pdf&amp;download=0
FY2023: Annual Report for the Year Ended 31 December 2023, pp.42-45 - https://find-and-update.company-information.service.gov.uk/company/02500199/filing-history/MzQxNzkxNzIxNWFkaXF6a2N4/document?format=pdf&amp;download=0
FY2022: FY2023 Annual Report's own FY2022 comparative column, pp.42-45 - https://find-and-update.company-information.service.gov.uk/company/02500199/filing-history/MzQxNzkxNzIxNWFkaXF6a2N4/document?format=pdf&amp;download=0
FY2021: Annual Report for the Year Ended 31 December 2021, pp.50-53 - https://find-and-update.company-information.service.gov.uk/company/02500199/filing-history/MzMzMjg3NzIzMGFkaXF6a2N4/document?format=pdf&amp;download=0
FY2020: Annual Report for the Year Ended 31 December 2020, pp.61-65 - https://find-and-update.company-information.service.gov.uk/company/02500199/filing-history/MzMwMTQ3Mjk3N2FkaXF6a2N4/document?format=pdf&amp;download=0
FY2019: Annual Report for the Year Ended 31 December 2019, pp.48-52 - https://find-and-update.company-information.service.gov.uk/company/02500199/filing-history/MzI2MTMzMDczMmFkaXF6a2N4/document?format=pdf&amp;download=0
FY2018: Annual Report for the Year Ended 31 December 2018, pp.41-44 - https://find-and-update.company-information.service.gov.uk/company/02500199/filing-history/MzIzMTA0NjM5NGFkaXF6a2N4/document?format=pdf&amp;download=0
FY2017: Annual Report for the Year Ended 31 December 2017, pp.34-38 - https://find-and-update.company-information.service.gov.uk/company/02500199/filing-history/MzIwMjIxNDAzMWFkaXF6a2N4/document?format=pdf&amp;download=0
FY2016: Annual Report for the Year Ended 31 December 2016, pp.26-30 - https://find-and-update.company-information.service.gov.uk/company/02500199/filing-history/MzE3NTQ0MjEyNWFkaXF6a2N4/document?format=pdf&amp;download=0
FY2015: Annual Report for the Year Ended 31 December 2015, pp.16-20 - https://find-and-update.company-information.service.gov.uk/company/02500199/filing-history/MzE0NTU0ODE5NWFkaXF6a2N4/document?format=pdf&amp;download=0
Credit Suisse International (CSI, company 02500199, FRN 146702) is the UK derivatives/structured-products trading entity within the former Credit Suisse group - a DISTINCT legal entity from 'Credit Suisse (UK) Limited' (the deposit-taking bank, built separately in this same batch). Following Credit Suisse's 2023 collapse and rescue by UBS Group AG, CSI remains an active, separately-reporting UK entity (registered office moved to UBS's 5 Broadgate address 2 Jan 2026) but is in an explicit, disclosed CONTROLLED WIND-DOWN: its own FY2025 KPI table states 'Profitability and Risk Weighted Assets (RWA) are reviewed to ensure a controlled wind-down in a capital efficient manner.' Total assets collapsed from $244.5bn (FY2021) to $5.65bn (FY2025) - a 97.7% reduction - as client business was progressively transferred to other UBS Group entities via Part VII transfers. FY2025 also separately reports a $(397)m pre-tax loss from Discontinued Operations, on top of continuing operations. All figures are converted from CSI's reporting currency (USD) to GBP using the Bank of England's published GBP/USD spot rate (point-in-time/balance figures) or average rate over the fiscal year (flow figures) - see the FX conversion methodology note below. All %-ratios are shown exactly as disclosed, not converted (dimensionless).
FX conversion: point-in-time figures (cash balances, Tier 1 capital, RWA) converted at the Bank of England GBP/USD SPOT rate as at each fiscal year-end; flow figures (every cash flow statement line item) converted at the AVERAGE rate over that fiscal year. Rates used (£1 = $X): 31 Dec 2014 spot 1.5608 (FY2015 opening cash only); FY2015 spot 1.4819 / average 1.5283; FY2016 spot 1.2303 / average 1.3550; FY2017 spot 1.3510 / average 1.2885; FY2018 spot 1.2769 / average 1.3347; FY2019 spot 1.3210 / average 1.2765; FY2020 spot 1.3661 / average 1.2837; FY2021 spot 1.3521 / average 1.3752; FY2022 spot 1.2097 / average 1.2362; FY2023 spot 1.2732 / average 1.2439; FY2024 spot 1.2515 / average 1.2782; FY2025 spot 1.3448 / average 1.3193. FY2021-FY2025 rates reuse the table already established for Zenith Bank UK (identical 31 December year-end); FY2014-FY2019 rates were independently sourced this session from poundsterlinglive.com's Bank-of-England-spot and annual-average history pages for HD-020's FY2015-FY2020 extension. Converting stocks and flows at different rates means the statement doesn't tie in GBP by itself - an 'Effect of GBP/USD translation' line is included, computed programmatically as the balancing figure (never hardcoded), labelled clearly as a translation artefact with no bearing on CSI's actual results.
PRESENTATION NOTE: s.408 Companies Act 2006 exemption means no separate Bank-only income statement is published (Group figures used for P&amp;L throughout, consistent with the Balance Sheet and Equity statement). FY2024/FY2025's income statement separates 'Discontinued Operations' from continuing operations, as do FY2019/FY2020 (each showing its own year's discontinued-operations split, driven by different disposals); FY2015/FY2018/FY2021-23 have no such split (whole-entity basis); FY2016/FY2017 show a continuing/discontinued split but with nil or small discontinued-operations figures - each year's own presentation is reproduced as reported, not forced onto one basis. A small (~£0.7m-£1.5m) rounding gap exists between the P&amp;L's own 'Total comprehensive income/(loss)' and the Equity statement's own total for the same year in several years (FY2024/FY2022/FY2021) - this originates as a &lt;=$1m rounding artifact already present in CSI's own USD-million source tables, amplified slightly by FX conversion; both sheets show each source table's own figure rather than forcing one to match the other.</t>
        </is>
      </c>
    </row>
    <row r="32" ht="340" customHeight="1">
      <c r="A32" s="8" t="inlineStr">
        <is>
          <t>(continued)
BALANCE SHEET LINE-ITEM RELABELLING ACROSS YEARS (same underlying items, renamed by CSI over time - not a definitional change): 'Deposits' (FY2015-2019) = 'Due to banks' (FY2020+); 'Short term borrowings' (FY2015-2017) = 'Borrowings' (FY2018+); 'Long term debt' (FY2015-2017) = 'Debt in issuance' (FY2018+); 'Other loans and receivables' (FY2015-2017) then 'Net loans' (FY2018-2019) = 'Loans and advances' (FY2020+); 'Financial assets designated at fair value through profit or loss' (FY2015-2017, pre-IFRS 9) = 'Non-trading financial assets [mandatorily] at fair value through P&amp;L' (FY2018+, post-IFRS 9 adoption 1 Jan 2018) - shown on the same row in each case, per each year's own renaming note in its Annual Report. 'Share premium' (a distinct row, FY2015-2020) was reclassified in full to retained earnings during FY2020 (see the Statement of Changes in Equity sheet) and does not exist as a separate balance from FY2021 onward. 'Assets held for sale' / 'Liabilities held for sale' are discontinued-operations classification lines that appear only in the specific years CSI disclosed a held-for-sale disposal group (FY2016/FY2017/FY2019/FY2020) - left blank, not zero, in years with no such disclosure. 'Lease liabilities' is disclosed as its own line only from FY2020 onward (IFRS 16 adopted 1 Jan 2019, but FY2019's own Balance Sheet still embeds lease liabilities within 'Debt in issuance' per that year's own presentation - only FY2020's own report first breaks it out as a separate line, per FY2020's own explanatory footnote).</t>
        </is>
      </c>
    </row>
  </sheetData>
  <mergeCells count="2">
    <mergeCell ref="A30:L30"/>
    <mergeCell ref="A32:L3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6"/>
  <sheetViews>
    <sheetView workbookViewId="0">
      <pane ySplit="4" topLeftCell="A5" activePane="bottomLeft" state="frozen"/>
      <selection pane="bottomLeft"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 t="inlineStr">
        <is>
          <t>Credit Suisse International — Consolidated Statement of Changes in Equity</t>
        </is>
      </c>
    </row>
    <row r="2">
      <c r="A2" s="2" t="inlineStr">
        <is>
          <t>£m, converted from USD - Group basis - chronological, oldest to newest. See source note for FX methodology.</t>
        </is>
      </c>
    </row>
    <row r="3">
      <c r="A3" s="4" t="inlineStr">
        <is>
          <t>Movement</t>
        </is>
      </c>
      <c r="B3" s="4" t="inlineStr">
        <is>
          <t>Share capital</t>
        </is>
      </c>
      <c r="C3" s="4" t="inlineStr">
        <is>
          <t>Share premium</t>
        </is>
      </c>
      <c r="D3" s="4" t="inlineStr">
        <is>
          <t>Capital contribution</t>
        </is>
      </c>
      <c r="E3" s="4" t="inlineStr">
        <is>
          <t>Other equity instruments</t>
        </is>
      </c>
      <c r="F3" s="4" t="inlineStr">
        <is>
          <t>Retained earnings</t>
        </is>
      </c>
      <c r="G3" s="4" t="inlineStr">
        <is>
          <t>AOCI</t>
        </is>
      </c>
      <c r="H3" s="4" t="inlineStr">
        <is>
          <t>Total</t>
        </is>
      </c>
    </row>
    <row r="4">
      <c r="A4" s="5" t="inlineStr">
        <is>
          <t>At 1 January 2015</t>
        </is>
      </c>
      <c r="B4" s="5" t="n">
        <v>8398.299999999999</v>
      </c>
      <c r="C4" s="5" t="n">
        <v>8136.2</v>
      </c>
      <c r="D4" s="5" t="n"/>
      <c r="E4" s="5" t="n"/>
      <c r="F4" s="5" t="n">
        <v>-1136.6</v>
      </c>
      <c r="G4" s="5" t="n">
        <v>-2.6</v>
      </c>
      <c r="H4" s="5" t="n">
        <v>15395.3</v>
      </c>
    </row>
    <row r="5">
      <c r="A5" s="6" t="inlineStr">
        <is>
          <t>Loss for the year (FY2015)</t>
        </is>
      </c>
      <c r="B5" s="6" t="n"/>
      <c r="C5" s="6" t="n"/>
      <c r="D5" s="6" t="n"/>
      <c r="E5" s="6" t="n"/>
      <c r="F5" s="6" t="n">
        <v>-77.2</v>
      </c>
      <c r="G5" s="6" t="n"/>
      <c r="H5" s="6" t="n">
        <v>-77.2</v>
      </c>
    </row>
    <row r="6">
      <c r="A6" s="6" t="inlineStr">
        <is>
          <t>Foreign exchange translation differences (FY2015)</t>
        </is>
      </c>
      <c r="B6" s="6" t="n"/>
      <c r="C6" s="6" t="n"/>
      <c r="D6" s="6" t="n"/>
      <c r="E6" s="6" t="n"/>
      <c r="F6" s="6" t="n"/>
      <c r="G6" s="6" t="n">
        <v>-1.3</v>
      </c>
      <c r="H6" s="6" t="n">
        <v>-1.3</v>
      </c>
    </row>
    <row r="7">
      <c r="A7" s="6" t="inlineStr">
        <is>
          <t>Cash flow hedges - reclassified to profit or loss (FY2015)</t>
        </is>
      </c>
      <c r="B7" s="6" t="n"/>
      <c r="C7" s="6" t="n"/>
      <c r="D7" s="6" t="n"/>
      <c r="E7" s="6" t="n"/>
      <c r="F7" s="6" t="n"/>
      <c r="G7" s="6" t="n">
        <v>2.6</v>
      </c>
      <c r="H7" s="6" t="n">
        <v>2.6</v>
      </c>
    </row>
    <row r="8">
      <c r="A8" s="5" t="inlineStr">
        <is>
          <t>Total comprehensive loss for the year (FY2015)</t>
        </is>
      </c>
      <c r="B8" s="5" t="n"/>
      <c r="C8" s="5" t="n"/>
      <c r="D8" s="5" t="n"/>
      <c r="E8" s="5" t="n"/>
      <c r="F8" s="5" t="n">
        <v>-77.2</v>
      </c>
      <c r="G8" s="5" t="n">
        <v>1.3</v>
      </c>
      <c r="H8" s="5" t="n">
        <v>-75.90000000000001</v>
      </c>
    </row>
    <row r="9">
      <c r="A9" s="6" t="inlineStr">
        <is>
          <t>Issue of ordinary shares (FY2015)</t>
        </is>
      </c>
      <c r="B9" s="6" t="n">
        <v>5.2</v>
      </c>
      <c r="C9" s="6" t="n">
        <v>3.3</v>
      </c>
      <c r="D9" s="6" t="n"/>
      <c r="E9" s="6" t="n"/>
      <c r="F9" s="6" t="n"/>
      <c r="G9" s="6" t="n"/>
      <c r="H9" s="6" t="n">
        <v>8.5</v>
      </c>
    </row>
    <row r="10">
      <c r="A10" s="6" t="inlineStr">
        <is>
          <t>Capital reduction of ordinary shares (FY2015)</t>
        </is>
      </c>
      <c r="B10" s="6" t="n">
        <v>-490.7</v>
      </c>
      <c r="C10" s="6" t="n"/>
      <c r="D10" s="6" t="n"/>
      <c r="E10" s="6" t="n"/>
      <c r="F10" s="6" t="n"/>
      <c r="G10" s="6" t="n"/>
      <c r="H10" s="6" t="n">
        <v>-490.7</v>
      </c>
    </row>
    <row r="11">
      <c r="A11" s="6" t="inlineStr">
        <is>
          <t>Decrease in retained earnings due to purchase of business from a common control entity (FY2015)</t>
        </is>
      </c>
      <c r="B11" s="6" t="n"/>
      <c r="C11" s="6" t="n"/>
      <c r="D11" s="6" t="n"/>
      <c r="E11" s="6" t="n"/>
      <c r="F11" s="6" t="n">
        <v>-178</v>
      </c>
      <c r="G11" s="6" t="n"/>
      <c r="H11" s="6" t="n">
        <v>-178</v>
      </c>
    </row>
    <row r="12">
      <c r="A12" s="6" t="inlineStr">
        <is>
          <t>FX translation effect on equity, net (FY2015)</t>
        </is>
      </c>
      <c r="B12" s="6" t="n"/>
      <c r="C12" s="6" t="n"/>
      <c r="D12" s="6" t="n"/>
      <c r="E12" s="6" t="n"/>
      <c r="F12" s="6" t="n"/>
      <c r="G12" s="6" t="n"/>
      <c r="H12" s="6" t="n">
        <v>796.6</v>
      </c>
    </row>
    <row r="13">
      <c r="A13" s="5" t="inlineStr">
        <is>
          <t>At 31 December 2015</t>
        </is>
      </c>
      <c r="B13" s="5" t="n">
        <v>8344.700000000001</v>
      </c>
      <c r="C13" s="5" t="n">
        <v>8572.799999999999</v>
      </c>
      <c r="D13" s="5" t="n"/>
      <c r="E13" s="5" t="n"/>
      <c r="F13" s="5" t="n">
        <v>-1460.3</v>
      </c>
      <c r="G13" s="5" t="n">
        <v>-1.3</v>
      </c>
      <c r="H13" s="5" t="n">
        <v>15455.8</v>
      </c>
    </row>
    <row r="14">
      <c r="A14" s="6" t="inlineStr">
        <is>
          <t>Loss for the year (FY2016)</t>
        </is>
      </c>
      <c r="B14" s="6" t="n"/>
      <c r="C14" s="6" t="n"/>
      <c r="D14" s="6" t="n"/>
      <c r="E14" s="6" t="n"/>
      <c r="F14" s="6" t="n">
        <v>-144.6</v>
      </c>
      <c r="G14" s="6" t="n"/>
      <c r="H14" s="6" t="n">
        <v>-144.6</v>
      </c>
    </row>
    <row r="15">
      <c r="A15" s="5" t="inlineStr">
        <is>
          <t>Total comprehensive loss for the year (FY2016)</t>
        </is>
      </c>
      <c r="B15" s="5" t="n"/>
      <c r="C15" s="5" t="n"/>
      <c r="D15" s="5" t="n"/>
      <c r="E15" s="5" t="n"/>
      <c r="F15" s="5" t="n">
        <v>-144.6</v>
      </c>
      <c r="G15" s="5" t="n"/>
      <c r="H15" s="5" t="n">
        <v>-144.6</v>
      </c>
    </row>
    <row r="16">
      <c r="A16" s="6" t="inlineStr">
        <is>
          <t>FX translation effect on equity, net (FY2016)</t>
        </is>
      </c>
      <c r="B16" s="6" t="n"/>
      <c r="C16" s="6" t="n"/>
      <c r="D16" s="6" t="n"/>
      <c r="E16" s="6" t="n"/>
      <c r="F16" s="6" t="n"/>
      <c r="G16" s="6" t="n"/>
      <c r="H16" s="6" t="n">
        <v>3146.1</v>
      </c>
    </row>
    <row r="17">
      <c r="A17" s="5" t="inlineStr">
        <is>
          <t>At 31 December 2016</t>
        </is>
      </c>
      <c r="B17" s="5" t="n">
        <v>10051.2</v>
      </c>
      <c r="C17" s="5" t="n">
        <v>10325.9</v>
      </c>
      <c r="D17" s="5" t="n"/>
      <c r="E17" s="5" t="n"/>
      <c r="F17" s="5" t="n">
        <v>-1918.2</v>
      </c>
      <c r="G17" s="5" t="n">
        <v>-1.6</v>
      </c>
      <c r="H17" s="5" t="n">
        <v>18457.3</v>
      </c>
    </row>
    <row r="18">
      <c r="A18" s="6" t="inlineStr">
        <is>
          <t>Loss for the year (FY2017)</t>
        </is>
      </c>
      <c r="B18" s="6" t="n"/>
      <c r="C18" s="6" t="n"/>
      <c r="D18" s="6" t="n"/>
      <c r="E18" s="6" t="n"/>
      <c r="F18" s="6" t="n">
        <v>-203.3</v>
      </c>
      <c r="G18" s="6" t="n"/>
      <c r="H18" s="6" t="n">
        <v>-203.3</v>
      </c>
    </row>
    <row r="19">
      <c r="A19" s="6" t="inlineStr">
        <is>
          <t>Foreign exchange translation differences (FY2017)</t>
        </is>
      </c>
      <c r="B19" s="6" t="n"/>
      <c r="C19" s="6" t="n"/>
      <c r="D19" s="6" t="n"/>
      <c r="E19" s="6" t="n"/>
      <c r="F19" s="6" t="n"/>
      <c r="G19" s="6" t="n">
        <v>1.6</v>
      </c>
      <c r="H19" s="6" t="n">
        <v>1.6</v>
      </c>
    </row>
    <row r="20">
      <c r="A20" s="5" t="inlineStr">
        <is>
          <t>Total comprehensive loss for the year (FY2017)</t>
        </is>
      </c>
      <c r="B20" s="5" t="n"/>
      <c r="C20" s="5" t="n"/>
      <c r="D20" s="5" t="n"/>
      <c r="E20" s="5" t="n"/>
      <c r="F20" s="5" t="n">
        <v>-203.3</v>
      </c>
      <c r="G20" s="5" t="n">
        <v>1.6</v>
      </c>
      <c r="H20" s="5" t="n">
        <v>-201.8</v>
      </c>
    </row>
    <row r="21">
      <c r="A21" s="6" t="inlineStr">
        <is>
          <t>Additional paid in capital (FY2017)</t>
        </is>
      </c>
      <c r="B21" s="6" t="n"/>
      <c r="C21" s="6" t="n"/>
      <c r="D21" s="6" t="n"/>
      <c r="E21" s="6" t="n"/>
      <c r="F21" s="6" t="n">
        <v>23.3</v>
      </c>
      <c r="G21" s="6" t="n"/>
      <c r="H21" s="6" t="n">
        <v>23.3</v>
      </c>
    </row>
    <row r="22">
      <c r="A22" s="6" t="inlineStr">
        <is>
          <t>FX translation effect on equity, net (FY2017)</t>
        </is>
      </c>
      <c r="B22" s="6" t="n"/>
      <c r="C22" s="6" t="n"/>
      <c r="D22" s="6" t="n"/>
      <c r="E22" s="6" t="n"/>
      <c r="F22" s="6" t="n"/>
      <c r="G22" s="6" t="n"/>
      <c r="H22" s="6" t="n">
        <v>-1640.7</v>
      </c>
    </row>
    <row r="23">
      <c r="A23" s="5" t="inlineStr">
        <is>
          <t>At 31 December 2017</t>
        </is>
      </c>
      <c r="B23" s="5" t="n">
        <v>9153.200000000001</v>
      </c>
      <c r="C23" s="5" t="n">
        <v>9403.4</v>
      </c>
      <c r="D23" s="5" t="n"/>
      <c r="E23" s="5" t="n"/>
      <c r="F23" s="5" t="n">
        <v>-1918.6</v>
      </c>
      <c r="G23" s="5" t="n">
        <v>0</v>
      </c>
      <c r="H23" s="5" t="n">
        <v>16638</v>
      </c>
    </row>
    <row r="24">
      <c r="A24" s="6" t="inlineStr">
        <is>
          <t>Prior period restatement of retained earnings (per FY2018 AR Note 49 - not in FY2017's own report)</t>
        </is>
      </c>
      <c r="B24" s="6" t="n"/>
      <c r="C24" s="6" t="n"/>
      <c r="D24" s="6" t="n"/>
      <c r="E24" s="6" t="n"/>
      <c r="F24" s="6" t="n">
        <v>101.4</v>
      </c>
      <c r="G24" s="6" t="n"/>
      <c r="H24" s="6" t="n">
        <v>101.4</v>
      </c>
    </row>
    <row r="25">
      <c r="A25" s="6" t="inlineStr">
        <is>
          <t>Adjustment on initial application of IFRS 15, net of tax (FY2018)</t>
        </is>
      </c>
      <c r="B25" s="6" t="n"/>
      <c r="C25" s="6" t="n"/>
      <c r="D25" s="6" t="n"/>
      <c r="E25" s="6" t="n"/>
      <c r="F25" s="6" t="n">
        <v>-7.4</v>
      </c>
      <c r="G25" s="6" t="n"/>
      <c r="H25" s="6" t="n">
        <v>-7.4</v>
      </c>
    </row>
    <row r="26">
      <c r="A26" s="6" t="inlineStr">
        <is>
          <t>Adjustment on initial application of IFRS 9, net of tax (FY2018)</t>
        </is>
      </c>
      <c r="B26" s="6" t="n"/>
      <c r="C26" s="6" t="n"/>
      <c r="D26" s="6" t="n"/>
      <c r="E26" s="6" t="n"/>
      <c r="F26" s="6" t="n">
        <v>18.5</v>
      </c>
      <c r="G26" s="6" t="n">
        <v>-13.3</v>
      </c>
      <c r="H26" s="6" t="n">
        <v>5.2</v>
      </c>
    </row>
    <row r="27">
      <c r="A27" s="6" t="inlineStr">
        <is>
          <t>Net profit for the period (FY2018)</t>
        </is>
      </c>
      <c r="B27" s="6" t="n"/>
      <c r="C27" s="6" t="n"/>
      <c r="D27" s="6" t="n"/>
      <c r="E27" s="6" t="n"/>
      <c r="F27" s="6" t="n">
        <v>44.2</v>
      </c>
      <c r="G27" s="6" t="n"/>
      <c r="H27" s="6" t="n">
        <v>44.2</v>
      </c>
    </row>
    <row r="28">
      <c r="A28" s="6" t="inlineStr">
        <is>
          <t>Gains on designated financial liabilities relating to credit risk (FY2018)</t>
        </is>
      </c>
      <c r="B28" s="6" t="n"/>
      <c r="C28" s="6" t="n"/>
      <c r="D28" s="6" t="n"/>
      <c r="E28" s="6" t="n"/>
      <c r="F28" s="6" t="n"/>
      <c r="G28" s="6" t="n">
        <v>0.7</v>
      </c>
      <c r="H28" s="6" t="n">
        <v>0.7</v>
      </c>
    </row>
    <row r="29">
      <c r="A29" s="6" t="inlineStr">
        <is>
          <t>Cash flow hedges - effective portion of changes in fair value (FY2018)</t>
        </is>
      </c>
      <c r="B29" s="6" t="n"/>
      <c r="C29" s="6" t="n"/>
      <c r="D29" s="6" t="n"/>
      <c r="E29" s="6" t="n"/>
      <c r="F29" s="6" t="n"/>
      <c r="G29" s="6" t="n">
        <v>-9</v>
      </c>
      <c r="H29" s="6" t="n">
        <v>-9</v>
      </c>
    </row>
    <row r="30">
      <c r="A30" s="5" t="inlineStr">
        <is>
          <t>Total comprehensive gain for the period (FY2018)</t>
        </is>
      </c>
      <c r="B30" s="5" t="n"/>
      <c r="C30" s="5" t="n"/>
      <c r="D30" s="5" t="n"/>
      <c r="E30" s="5" t="n"/>
      <c r="F30" s="5" t="n">
        <v>44.2</v>
      </c>
      <c r="G30" s="5" t="n">
        <v>-8.199999999999999</v>
      </c>
      <c r="H30" s="5" t="n">
        <v>36</v>
      </c>
    </row>
    <row r="31">
      <c r="A31" s="6" t="inlineStr">
        <is>
          <t>FX translation effect on equity, net (FY2018)</t>
        </is>
      </c>
      <c r="B31" s="6" t="n"/>
      <c r="C31" s="6" t="n"/>
      <c r="D31" s="6" t="n"/>
      <c r="E31" s="6" t="n"/>
      <c r="F31" s="6" t="n"/>
      <c r="G31" s="6" t="n"/>
      <c r="H31" s="6" t="n">
        <v>972.9</v>
      </c>
    </row>
    <row r="32">
      <c r="A32" s="5" t="inlineStr">
        <is>
          <t>At 31 December 2018</t>
        </is>
      </c>
      <c r="B32" s="5" t="n">
        <v>9684.4</v>
      </c>
      <c r="C32" s="5" t="n">
        <v>9949.1</v>
      </c>
      <c r="D32" s="5" t="n"/>
      <c r="E32" s="5" t="n"/>
      <c r="F32" s="5" t="n">
        <v>-1864.7</v>
      </c>
      <c r="G32" s="5" t="n">
        <v>-22.7</v>
      </c>
      <c r="H32" s="5" t="n">
        <v>17746.1</v>
      </c>
    </row>
    <row r="33">
      <c r="A33" s="6" t="inlineStr">
        <is>
          <t>Adjustment on initial application of IFRS 16, net of tax (FY2019)</t>
        </is>
      </c>
      <c r="B33" s="6" t="n"/>
      <c r="C33" s="6" t="n"/>
      <c r="D33" s="6" t="n"/>
      <c r="E33" s="6" t="n"/>
      <c r="F33" s="6" t="n">
        <v>16.4</v>
      </c>
      <c r="G33" s="6" t="n"/>
      <c r="H33" s="6" t="n">
        <v>16.4</v>
      </c>
    </row>
    <row r="34">
      <c r="A34" s="6" t="inlineStr">
        <is>
          <t>Net profit for the year (FY2019)</t>
        </is>
      </c>
      <c r="B34" s="6" t="n"/>
      <c r="C34" s="6" t="n"/>
      <c r="D34" s="6" t="n"/>
      <c r="E34" s="6" t="n"/>
      <c r="F34" s="6" t="n">
        <v>263.2</v>
      </c>
      <c r="G34" s="6" t="n"/>
      <c r="H34" s="6" t="n">
        <v>263.2</v>
      </c>
    </row>
    <row r="35">
      <c r="A35" s="6" t="inlineStr">
        <is>
          <t>Realised gain/(loss) on designated FL reclassed to retained earnings (FY2019)</t>
        </is>
      </c>
      <c r="B35" s="6" t="n"/>
      <c r="C35" s="6" t="n"/>
      <c r="D35" s="6" t="n"/>
      <c r="E35" s="6" t="n"/>
      <c r="F35" s="6" t="n">
        <v>-6.3</v>
      </c>
      <c r="G35" s="6" t="n">
        <v>6.3</v>
      </c>
      <c r="H35" s="6" t="n">
        <v>0</v>
      </c>
    </row>
    <row r="36">
      <c r="A36" s="6" t="inlineStr">
        <is>
          <t>Related tax on Realised losses relating to credit risk on designated FL (FY2019)</t>
        </is>
      </c>
      <c r="B36" s="6" t="n"/>
      <c r="C36" s="6" t="n"/>
      <c r="D36" s="6" t="n"/>
      <c r="E36" s="6" t="n"/>
      <c r="F36" s="6" t="n">
        <v>1.6</v>
      </c>
      <c r="G36" s="6" t="n"/>
      <c r="H36" s="6" t="n">
        <v>1.6</v>
      </c>
    </row>
    <row r="37">
      <c r="A37" s="6" t="inlineStr">
        <is>
          <t>Unrealised loss on designated FL relating to credit risk (FY2019)</t>
        </is>
      </c>
      <c r="B37" s="6" t="n"/>
      <c r="C37" s="6" t="n"/>
      <c r="D37" s="6" t="n"/>
      <c r="E37" s="6" t="n"/>
      <c r="F37" s="6" t="n"/>
      <c r="G37" s="6" t="n">
        <v>-10.2</v>
      </c>
      <c r="H37" s="6" t="n">
        <v>-10.2</v>
      </c>
    </row>
    <row r="38">
      <c r="A38" s="6" t="inlineStr">
        <is>
          <t>Cash flow hedges - effective portion of changes in fair value (FY2019)</t>
        </is>
      </c>
      <c r="B38" s="6" t="n"/>
      <c r="C38" s="6" t="n"/>
      <c r="D38" s="6" t="n"/>
      <c r="E38" s="6" t="n"/>
      <c r="F38" s="6" t="n"/>
      <c r="G38" s="6" t="n">
        <v>16.5</v>
      </c>
      <c r="H38" s="6" t="n">
        <v>16.5</v>
      </c>
    </row>
    <row r="39">
      <c r="A39" s="6" t="inlineStr">
        <is>
          <t>Transfer UK Pension Fund from CSS(E)L (FY2019)</t>
        </is>
      </c>
      <c r="B39" s="6" t="n"/>
      <c r="C39" s="6" t="n"/>
      <c r="D39" s="6" t="n">
        <v>912.7</v>
      </c>
      <c r="E39" s="6" t="n"/>
      <c r="F39" s="6" t="n"/>
      <c r="G39" s="6" t="n"/>
      <c r="H39" s="6" t="n">
        <v>912.7</v>
      </c>
    </row>
    <row r="40">
      <c r="A40" s="6" t="inlineStr">
        <is>
          <t>Related tax on transfer UK Pension Fund from CSS(E)L (FY2019)</t>
        </is>
      </c>
      <c r="B40" s="6" t="n"/>
      <c r="C40" s="6" t="n"/>
      <c r="D40" s="6" t="n">
        <v>-228</v>
      </c>
      <c r="E40" s="6" t="n"/>
      <c r="F40" s="6" t="n"/>
      <c r="G40" s="6" t="n"/>
      <c r="H40" s="6" t="n">
        <v>-228</v>
      </c>
    </row>
    <row r="41">
      <c r="A41" s="6" t="inlineStr">
        <is>
          <t>Remeasurement of defined benefit pension assets (FY2019)</t>
        </is>
      </c>
      <c r="B41" s="6" t="n"/>
      <c r="C41" s="6" t="n"/>
      <c r="D41" s="6" t="n"/>
      <c r="E41" s="6" t="n"/>
      <c r="F41" s="6" t="n"/>
      <c r="G41" s="6" t="n">
        <v>-120.6</v>
      </c>
      <c r="H41" s="6" t="n">
        <v>-120.6</v>
      </c>
    </row>
    <row r="42">
      <c r="A42" s="6" t="inlineStr">
        <is>
          <t>Related tax on remeasurement of defined benefit pension assets (FY2019)</t>
        </is>
      </c>
      <c r="B42" s="6" t="n"/>
      <c r="C42" s="6" t="n"/>
      <c r="D42" s="6" t="n"/>
      <c r="E42" s="6" t="n"/>
      <c r="F42" s="6" t="n"/>
      <c r="G42" s="6" t="n">
        <v>29.8</v>
      </c>
      <c r="H42" s="6" t="n">
        <v>29.8</v>
      </c>
    </row>
    <row r="43">
      <c r="A43" s="6" t="inlineStr">
        <is>
          <t>Gain on loan sale to CSD (FY2019)</t>
        </is>
      </c>
      <c r="B43" s="6" t="n"/>
      <c r="C43" s="6" t="n"/>
      <c r="D43" s="6" t="n"/>
      <c r="E43" s="6" t="n"/>
      <c r="F43" s="6" t="n">
        <v>1.6</v>
      </c>
      <c r="G43" s="6" t="n"/>
      <c r="H43" s="6" t="n">
        <v>1.6</v>
      </c>
    </row>
    <row r="44">
      <c r="A44" s="6" t="inlineStr">
        <is>
          <t>Related tax on gain on loan sale to CSD (FY2019)</t>
        </is>
      </c>
      <c r="B44" s="6" t="n"/>
      <c r="C44" s="6" t="n"/>
      <c r="D44" s="6" t="n"/>
      <c r="E44" s="6" t="n"/>
      <c r="F44" s="6" t="n">
        <v>-0.8</v>
      </c>
      <c r="G44" s="6" t="n"/>
      <c r="H44" s="6" t="n">
        <v>-0.8</v>
      </c>
    </row>
    <row r="45">
      <c r="A45" s="5" t="inlineStr">
        <is>
          <t>Total comprehensive gain for the period (FY2019)</t>
        </is>
      </c>
      <c r="B45" s="5" t="n"/>
      <c r="C45" s="5" t="n"/>
      <c r="D45" s="5" t="n">
        <v>685.5</v>
      </c>
      <c r="E45" s="5" t="n"/>
      <c r="F45" s="5" t="n">
        <v>258.5</v>
      </c>
      <c r="G45" s="5" t="n">
        <v>-78.3</v>
      </c>
      <c r="H45" s="5" t="n">
        <v>865.6</v>
      </c>
    </row>
    <row r="46">
      <c r="A46" s="6" t="inlineStr">
        <is>
          <t>Capital reduction of ordinary shares (FY2019)</t>
        </is>
      </c>
      <c r="B46" s="6" t="n">
        <v>-783.4</v>
      </c>
      <c r="C46" s="6" t="n"/>
      <c r="D46" s="6" t="n"/>
      <c r="E46" s="6" t="n"/>
      <c r="F46" s="6" t="n"/>
      <c r="G46" s="6" t="n"/>
      <c r="H46" s="6" t="n">
        <v>-783.4</v>
      </c>
    </row>
    <row r="47">
      <c r="A47" s="6" t="inlineStr">
        <is>
          <t>FX translation effect on equity, net (FY2019)</t>
        </is>
      </c>
      <c r="B47" s="6" t="n"/>
      <c r="C47" s="6" t="n"/>
      <c r="D47" s="6" t="n"/>
      <c r="E47" s="6" t="n"/>
      <c r="F47" s="6" t="n"/>
      <c r="G47" s="6" t="n"/>
      <c r="H47" s="6" t="n">
        <v>-595.8</v>
      </c>
    </row>
    <row r="48">
      <c r="A48" s="5" t="inlineStr">
        <is>
          <t>At 31 December 2019</t>
        </is>
      </c>
      <c r="B48" s="5" t="n">
        <v>8604.1</v>
      </c>
      <c r="C48" s="5" t="n">
        <v>9617</v>
      </c>
      <c r="D48" s="5" t="n">
        <v>662.4</v>
      </c>
      <c r="E48" s="5" t="n"/>
      <c r="F48" s="5" t="n">
        <v>-1536.7</v>
      </c>
      <c r="G48" s="5" t="n">
        <v>-97.7</v>
      </c>
      <c r="H48" s="5" t="n">
        <v>17249.1</v>
      </c>
    </row>
    <row r="49">
      <c r="A49" s="6" t="inlineStr">
        <is>
          <t>Net profit for the year (FY2020)</t>
        </is>
      </c>
      <c r="B49" s="6" t="n"/>
      <c r="C49" s="6" t="n"/>
      <c r="D49" s="6" t="n"/>
      <c r="E49" s="6" t="n"/>
      <c r="F49" s="6" t="n">
        <v>164.4</v>
      </c>
      <c r="G49" s="6" t="n"/>
      <c r="H49" s="6" t="n">
        <v>164.4</v>
      </c>
    </row>
    <row r="50">
      <c r="A50" s="6" t="inlineStr">
        <is>
          <t>Realised gain/(loss) on designated FL reclassed to retained earnings (FY2020)</t>
        </is>
      </c>
      <c r="B50" s="6" t="n"/>
      <c r="C50" s="6" t="n"/>
      <c r="D50" s="6" t="n"/>
      <c r="E50" s="6" t="n"/>
      <c r="F50" s="6" t="n">
        <v>-3.1</v>
      </c>
      <c r="G50" s="6" t="n">
        <v>3.1</v>
      </c>
      <c r="H50" s="6" t="n">
        <v>0</v>
      </c>
    </row>
    <row r="51">
      <c r="A51" s="6" t="inlineStr">
        <is>
          <t>Related tax on Realised losses relating to credit risk on designated FL (FY2020)</t>
        </is>
      </c>
      <c r="B51" s="6" t="n"/>
      <c r="C51" s="6" t="n"/>
      <c r="D51" s="6" t="n"/>
      <c r="E51" s="6" t="n"/>
      <c r="F51" s="6" t="n">
        <v>0.8</v>
      </c>
      <c r="G51" s="6" t="n"/>
      <c r="H51" s="6" t="n">
        <v>0.8</v>
      </c>
    </row>
    <row r="52">
      <c r="A52" s="6" t="inlineStr">
        <is>
          <t>Unrealised loss on designated FL relating to credit risk (FY2020)</t>
        </is>
      </c>
      <c r="B52" s="6" t="n"/>
      <c r="C52" s="6" t="n"/>
      <c r="D52" s="6" t="n"/>
      <c r="E52" s="6" t="n"/>
      <c r="F52" s="6" t="n"/>
      <c r="G52" s="6" t="n">
        <v>-4.7</v>
      </c>
      <c r="H52" s="6" t="n">
        <v>-4.7</v>
      </c>
    </row>
    <row r="53">
      <c r="A53" s="6" t="inlineStr">
        <is>
          <t>Cash flow hedges - effective portion of changes in fair value (FY2020)</t>
        </is>
      </c>
      <c r="B53" s="6" t="n"/>
      <c r="C53" s="6" t="n"/>
      <c r="D53" s="6" t="n"/>
      <c r="E53" s="6" t="n"/>
      <c r="F53" s="6" t="n"/>
      <c r="G53" s="6" t="n">
        <v>18.7</v>
      </c>
      <c r="H53" s="6" t="n">
        <v>18.7</v>
      </c>
    </row>
    <row r="54">
      <c r="A54" s="6" t="inlineStr">
        <is>
          <t>Related tax on Cash flow hedges - effective portion of changes in fair value (FY2020)</t>
        </is>
      </c>
      <c r="B54" s="6" t="n"/>
      <c r="C54" s="6" t="n"/>
      <c r="D54" s="6" t="n"/>
      <c r="E54" s="6" t="n"/>
      <c r="F54" s="6" t="n"/>
      <c r="G54" s="6" t="n">
        <v>-4.7</v>
      </c>
      <c r="H54" s="6" t="n">
        <v>-4.7</v>
      </c>
    </row>
    <row r="55">
      <c r="A55" s="6" t="inlineStr">
        <is>
          <t>Gain on business transfer to other CS entities (FY2020)</t>
        </is>
      </c>
      <c r="B55" s="6" t="n"/>
      <c r="C55" s="6" t="n"/>
      <c r="D55" s="6" t="n">
        <v>7</v>
      </c>
      <c r="E55" s="6" t="n"/>
      <c r="F55" s="6" t="n"/>
      <c r="G55" s="6" t="n"/>
      <c r="H55" s="6" t="n">
        <v>7</v>
      </c>
    </row>
    <row r="56">
      <c r="A56" s="6" t="inlineStr">
        <is>
          <t>Remeasurement of defined benefit pension assets (FY2020)</t>
        </is>
      </c>
      <c r="B56" s="6" t="n"/>
      <c r="C56" s="6" t="n"/>
      <c r="D56" s="6" t="n"/>
      <c r="E56" s="6" t="n"/>
      <c r="F56" s="6" t="n"/>
      <c r="G56" s="6" t="n">
        <v>-18.7</v>
      </c>
      <c r="H56" s="6" t="n">
        <v>-18.7</v>
      </c>
    </row>
    <row r="57">
      <c r="A57" s="6" t="inlineStr">
        <is>
          <t>Related tax on remeasurement of defined benefit pension assets (FY2020)</t>
        </is>
      </c>
      <c r="B57" s="6" t="n"/>
      <c r="C57" s="6" t="n"/>
      <c r="D57" s="6" t="n"/>
      <c r="E57" s="6" t="n"/>
      <c r="F57" s="6" t="n"/>
      <c r="G57" s="6" t="n">
        <v>7.8</v>
      </c>
      <c r="H57" s="6" t="n">
        <v>7.8</v>
      </c>
    </row>
    <row r="58">
      <c r="A58" s="6" t="inlineStr">
        <is>
          <t>Gain on loan sale to CSD (FY2020)</t>
        </is>
      </c>
      <c r="B58" s="6" t="n"/>
      <c r="C58" s="6" t="n"/>
      <c r="D58" s="6" t="n"/>
      <c r="E58" s="6" t="n"/>
      <c r="F58" s="6" t="n">
        <v>3.1</v>
      </c>
      <c r="G58" s="6" t="n"/>
      <c r="H58" s="6" t="n">
        <v>3.1</v>
      </c>
    </row>
    <row r="59">
      <c r="A59" s="6" t="inlineStr">
        <is>
          <t>Related tax on gain on loan sale to CSD (FY2020)</t>
        </is>
      </c>
      <c r="B59" s="6" t="n"/>
      <c r="C59" s="6" t="n"/>
      <c r="D59" s="6" t="n"/>
      <c r="E59" s="6" t="n"/>
      <c r="F59" s="6" t="n">
        <v>-0.8</v>
      </c>
      <c r="G59" s="6" t="n"/>
      <c r="H59" s="6" t="n">
        <v>-0.8</v>
      </c>
    </row>
    <row r="60">
      <c r="A60" s="6" t="inlineStr">
        <is>
          <t>Related taxes on initial application of IFRS16 due to tax rate changes (FY2020)</t>
        </is>
      </c>
      <c r="B60" s="6" t="n"/>
      <c r="C60" s="6" t="n"/>
      <c r="D60" s="6" t="n"/>
      <c r="E60" s="6" t="n"/>
      <c r="F60" s="6" t="n">
        <v>-0.8</v>
      </c>
      <c r="G60" s="6" t="n"/>
      <c r="H60" s="6" t="n">
        <v>-0.8</v>
      </c>
    </row>
    <row r="61">
      <c r="A61" s="5" t="inlineStr">
        <is>
          <t>Total comprehensive gain for the period (FY2020)</t>
        </is>
      </c>
      <c r="B61" s="5" t="n"/>
      <c r="C61" s="5" t="n"/>
      <c r="D61" s="5" t="n">
        <v>9.300000000000001</v>
      </c>
      <c r="E61" s="5" t="n"/>
      <c r="F61" s="5" t="n">
        <v>161.3</v>
      </c>
      <c r="G61" s="5" t="n">
        <v>1.6</v>
      </c>
      <c r="H61" s="5" t="n">
        <v>172.2</v>
      </c>
    </row>
    <row r="62">
      <c r="A62" s="6" t="inlineStr">
        <is>
          <t>Share premium reclassification to retained earnings (FY2020)</t>
        </is>
      </c>
      <c r="B62" s="6" t="n"/>
      <c r="C62" s="6" t="n">
        <v>-9896.4</v>
      </c>
      <c r="D62" s="6" t="n"/>
      <c r="E62" s="6" t="n"/>
      <c r="F62" s="6" t="n">
        <v>9896.4</v>
      </c>
      <c r="G62" s="6" t="n"/>
      <c r="H62" s="6" t="n">
        <v>0</v>
      </c>
    </row>
    <row r="63">
      <c r="A63" s="5" t="inlineStr">
        <is>
          <t>At 31 December 2020</t>
        </is>
      </c>
      <c r="B63" s="5" t="n">
        <v>8320</v>
      </c>
      <c r="C63" s="5" t="n">
        <v>0</v>
      </c>
      <c r="D63" s="5" t="n">
        <v>649.3</v>
      </c>
      <c r="E63" s="5" t="n">
        <v>0</v>
      </c>
      <c r="F63" s="5" t="n">
        <v>7965</v>
      </c>
      <c r="G63" s="5" t="n">
        <v>-93</v>
      </c>
      <c r="H63" s="5" t="n">
        <v>16841.4</v>
      </c>
    </row>
    <row r="64">
      <c r="A64" s="6" t="inlineStr">
        <is>
          <t>Net loss for the year (FY2021)</t>
        </is>
      </c>
      <c r="B64" s="6" t="n"/>
      <c r="C64" s="6" t="n"/>
      <c r="D64" s="6" t="n"/>
      <c r="E64" s="6" t="n"/>
      <c r="F64" s="6" t="n">
        <v>-3885.3</v>
      </c>
      <c r="G64" s="6" t="n"/>
      <c r="H64" s="6" t="n">
        <v>-3885.3</v>
      </c>
    </row>
    <row r="65">
      <c r="A65" s="6" t="inlineStr">
        <is>
          <t>Realised gain/(loss) on designated FL reclassed to retained earnings (FY2021)</t>
        </is>
      </c>
      <c r="B65" s="6" t="n"/>
      <c r="C65" s="6" t="n"/>
      <c r="D65" s="6" t="n"/>
      <c r="E65" s="6" t="n"/>
      <c r="F65" s="6" t="n">
        <v>-1.5</v>
      </c>
      <c r="G65" s="6" t="n">
        <v>1.5</v>
      </c>
      <c r="H65" s="6" t="n">
        <v>0</v>
      </c>
    </row>
    <row r="66">
      <c r="A66" s="6" t="inlineStr">
        <is>
          <t>Unrealised gain on designated FL relating to credit risk (FY2021)</t>
        </is>
      </c>
      <c r="B66" s="6" t="n"/>
      <c r="C66" s="6" t="n"/>
      <c r="D66" s="6" t="n"/>
      <c r="E66" s="6" t="n"/>
      <c r="F66" s="6" t="n"/>
      <c r="G66" s="6" t="n">
        <v>7.3</v>
      </c>
      <c r="H66" s="6" t="n">
        <v>7.3</v>
      </c>
    </row>
    <row r="67">
      <c r="A67" s="6" t="inlineStr">
        <is>
          <t>Cash flow hedges - effective portion of changes in fair value (FY2021)</t>
        </is>
      </c>
      <c r="B67" s="6" t="n"/>
      <c r="C67" s="6" t="n"/>
      <c r="D67" s="6" t="n"/>
      <c r="E67" s="6" t="n"/>
      <c r="F67" s="6" t="n"/>
      <c r="G67" s="6" t="n">
        <v>-32.7</v>
      </c>
      <c r="H67" s="6" t="n">
        <v>-32.7</v>
      </c>
    </row>
    <row r="68">
      <c r="A68" s="6" t="inlineStr">
        <is>
          <t>Related tax on cash flow hedges (FY2021)</t>
        </is>
      </c>
      <c r="B68" s="6" t="n"/>
      <c r="C68" s="6" t="n"/>
      <c r="D68" s="6" t="n"/>
      <c r="E68" s="6" t="n"/>
      <c r="F68" s="6" t="n"/>
      <c r="G68" s="6" t="n">
        <v>6.5</v>
      </c>
      <c r="H68" s="6" t="n">
        <v>6.5</v>
      </c>
    </row>
    <row r="69">
      <c r="A69" s="6" t="inlineStr">
        <is>
          <t>Remeasurement of defined benefit pension assets (FY2021)</t>
        </is>
      </c>
      <c r="B69" s="6" t="n"/>
      <c r="C69" s="6" t="n"/>
      <c r="D69" s="6" t="n"/>
      <c r="E69" s="6" t="n"/>
      <c r="F69" s="6" t="n"/>
      <c r="G69" s="6" t="n">
        <v>-21.1</v>
      </c>
      <c r="H69" s="6" t="n">
        <v>-21.1</v>
      </c>
    </row>
    <row r="70">
      <c r="A70" s="6" t="inlineStr">
        <is>
          <t>Related tax on remeasurement of defined benefit pension assets (FY2021)</t>
        </is>
      </c>
      <c r="B70" s="6" t="n"/>
      <c r="C70" s="6" t="n"/>
      <c r="D70" s="6" t="n"/>
      <c r="E70" s="6" t="n"/>
      <c r="F70" s="6" t="n"/>
      <c r="G70" s="6" t="n">
        <v>14.5</v>
      </c>
      <c r="H70" s="6" t="n">
        <v>14.5</v>
      </c>
    </row>
    <row r="71">
      <c r="A71" s="5" t="inlineStr">
        <is>
          <t>Total comprehensive loss for the year (FY2021)</t>
        </is>
      </c>
      <c r="B71" s="5" t="n"/>
      <c r="C71" s="5" t="n"/>
      <c r="D71" s="5" t="n"/>
      <c r="E71" s="5" t="n"/>
      <c r="F71" s="5" t="n">
        <v>-3886.7</v>
      </c>
      <c r="G71" s="5" t="n">
        <v>-24</v>
      </c>
      <c r="H71" s="5" t="n">
        <v>-3910.7</v>
      </c>
    </row>
    <row r="72">
      <c r="A72" s="6" t="inlineStr">
        <is>
          <t>FX translation effect on equity, net (FY2021)</t>
        </is>
      </c>
      <c r="B72" s="6" t="n"/>
      <c r="C72" s="6" t="n"/>
      <c r="D72" s="6" t="n"/>
      <c r="E72" s="6" t="n"/>
      <c r="F72" s="6" t="n"/>
      <c r="G72" s="6" t="n"/>
      <c r="H72" s="6" t="n">
        <v>107.6</v>
      </c>
    </row>
    <row r="73">
      <c r="A73" s="5" t="inlineStr">
        <is>
          <t>At 31 December 2021</t>
        </is>
      </c>
      <c r="B73" s="5" t="n">
        <v>8406.200000000001</v>
      </c>
      <c r="C73" s="5" t="n"/>
      <c r="D73" s="5" t="n">
        <v>656</v>
      </c>
      <c r="E73" s="5" t="n">
        <v>0</v>
      </c>
      <c r="F73" s="5" t="n">
        <v>4094.4</v>
      </c>
      <c r="G73" s="5" t="n">
        <v>-118.3</v>
      </c>
      <c r="H73" s="5" t="n">
        <v>13038.2</v>
      </c>
    </row>
    <row r="74">
      <c r="A74" s="6" t="inlineStr">
        <is>
          <t>Net loss for the year (FY2022)</t>
        </is>
      </c>
      <c r="B74" s="6" t="n"/>
      <c r="C74" s="6" t="n"/>
      <c r="D74" s="6" t="n"/>
      <c r="E74" s="6" t="n"/>
      <c r="F74" s="6" t="n">
        <v>-554.1</v>
      </c>
      <c r="G74" s="6" t="n"/>
      <c r="H74" s="6" t="n">
        <v>-554.1</v>
      </c>
    </row>
    <row r="75">
      <c r="A75" s="6" t="inlineStr">
        <is>
          <t>Realised gain/(loss) on designated FL reclassed to retained earnings (FY2022)</t>
        </is>
      </c>
      <c r="B75" s="6" t="n"/>
      <c r="C75" s="6" t="n"/>
      <c r="D75" s="6" t="n"/>
      <c r="E75" s="6" t="n"/>
      <c r="F75" s="6" t="n">
        <v>0.8</v>
      </c>
      <c r="G75" s="6" t="n">
        <v>-0.8</v>
      </c>
      <c r="H75" s="6" t="n">
        <v>0</v>
      </c>
    </row>
    <row r="76">
      <c r="A76" s="6" t="inlineStr">
        <is>
          <t>Unrealised gain on designated FL relating to credit risk (FY2022)</t>
        </is>
      </c>
      <c r="B76" s="6" t="n"/>
      <c r="C76" s="6" t="n"/>
      <c r="D76" s="6" t="n"/>
      <c r="E76" s="6" t="n"/>
      <c r="F76" s="6" t="n"/>
      <c r="G76" s="6" t="n">
        <v>25.1</v>
      </c>
      <c r="H76" s="6" t="n">
        <v>25.1</v>
      </c>
    </row>
    <row r="77">
      <c r="A77" s="6" t="inlineStr">
        <is>
          <t>Related tax on unrealised gain (FY2022)</t>
        </is>
      </c>
      <c r="B77" s="6" t="n"/>
      <c r="C77" s="6" t="n"/>
      <c r="D77" s="6" t="n"/>
      <c r="E77" s="6" t="n"/>
      <c r="F77" s="6" t="n"/>
      <c r="G77" s="6" t="n">
        <v>-2.4</v>
      </c>
      <c r="H77" s="6" t="n">
        <v>-2.4</v>
      </c>
    </row>
    <row r="78">
      <c r="A78" s="6" t="inlineStr">
        <is>
          <t>Cash flow hedges - effective portion of changes in fair value (FY2022)</t>
        </is>
      </c>
      <c r="B78" s="6" t="n"/>
      <c r="C78" s="6" t="n"/>
      <c r="D78" s="6" t="n"/>
      <c r="E78" s="6" t="n"/>
      <c r="F78" s="6" t="n"/>
      <c r="G78" s="6" t="n">
        <v>2.4</v>
      </c>
      <c r="H78" s="6" t="n">
        <v>2.4</v>
      </c>
    </row>
    <row r="79">
      <c r="A79" s="6" t="inlineStr">
        <is>
          <t>Related tax on cash flow hedges (FY2022)</t>
        </is>
      </c>
      <c r="B79" s="6" t="n"/>
      <c r="C79" s="6" t="n"/>
      <c r="D79" s="6" t="n"/>
      <c r="E79" s="6" t="n"/>
      <c r="F79" s="6" t="n"/>
      <c r="G79" s="6" t="n">
        <v>-2.4</v>
      </c>
      <c r="H79" s="6" t="n">
        <v>-2.4</v>
      </c>
    </row>
    <row r="80">
      <c r="A80" s="6" t="inlineStr">
        <is>
          <t>Remeasurement of defined benefit pension assets (FY2022)</t>
        </is>
      </c>
      <c r="B80" s="6" t="n"/>
      <c r="C80" s="6" t="n"/>
      <c r="D80" s="6" t="n"/>
      <c r="E80" s="6" t="n"/>
      <c r="F80" s="6" t="n"/>
      <c r="G80" s="6" t="n">
        <v>-289.6</v>
      </c>
      <c r="H80" s="6" t="n">
        <v>-289.6</v>
      </c>
    </row>
    <row r="81">
      <c r="A81" s="6" t="inlineStr">
        <is>
          <t>Related tax on remeasurement of defined benefit pension assets (FY2022)</t>
        </is>
      </c>
      <c r="B81" s="6" t="n"/>
      <c r="C81" s="6" t="n"/>
      <c r="D81" s="6" t="n"/>
      <c r="E81" s="6" t="n"/>
      <c r="F81" s="6" t="n"/>
      <c r="G81" s="6" t="n">
        <v>72.8</v>
      </c>
      <c r="H81" s="6" t="n">
        <v>72.8</v>
      </c>
    </row>
    <row r="82">
      <c r="A82" s="5" t="inlineStr">
        <is>
          <t>Total comprehensive loss for the year (FY2022)</t>
        </is>
      </c>
      <c r="B82" s="5" t="n"/>
      <c r="C82" s="5" t="n"/>
      <c r="D82" s="5" t="n"/>
      <c r="E82" s="5" t="n"/>
      <c r="F82" s="5" t="n">
        <v>-553.3</v>
      </c>
      <c r="G82" s="5" t="n">
        <v>-195</v>
      </c>
      <c r="H82" s="5" t="n">
        <v>-748.3</v>
      </c>
    </row>
    <row r="83">
      <c r="A83" s="6" t="inlineStr">
        <is>
          <t>Additional Tier 1 Capital issuance (FY2022)</t>
        </is>
      </c>
      <c r="B83" s="6" t="n"/>
      <c r="C83" s="6" t="n"/>
      <c r="D83" s="6" t="n"/>
      <c r="E83" s="6" t="n">
        <v>970.7</v>
      </c>
      <c r="F83" s="6" t="n"/>
      <c r="G83" s="6" t="n"/>
      <c r="H83" s="6" t="n">
        <v>970.7</v>
      </c>
    </row>
    <row r="84">
      <c r="A84" s="6" t="inlineStr">
        <is>
          <t>FX translation effect on equity, net (FY2022)</t>
        </is>
      </c>
      <c r="B84" s="6" t="n"/>
      <c r="C84" s="6" t="n"/>
      <c r="D84" s="6" t="n"/>
      <c r="E84" s="6" t="n"/>
      <c r="F84" s="6" t="n"/>
      <c r="G84" s="6" t="n"/>
      <c r="H84" s="6" t="n">
        <v>1539.7</v>
      </c>
    </row>
    <row r="85">
      <c r="A85" s="5" t="inlineStr">
        <is>
          <t>At 31 December 2022</t>
        </is>
      </c>
      <c r="B85" s="5" t="n">
        <v>9395.700000000001</v>
      </c>
      <c r="C85" s="5" t="n"/>
      <c r="D85" s="5" t="n">
        <v>733.2</v>
      </c>
      <c r="E85" s="5" t="n">
        <v>992</v>
      </c>
      <c r="F85" s="5" t="n">
        <v>4010.9</v>
      </c>
      <c r="G85" s="5" t="n">
        <v>-331.5</v>
      </c>
      <c r="H85" s="5" t="n">
        <v>14800.4</v>
      </c>
    </row>
    <row r="86">
      <c r="A86" s="6" t="inlineStr">
        <is>
          <t>Net loss for the year (FY2023)</t>
        </is>
      </c>
      <c r="B86" s="6" t="n"/>
      <c r="C86" s="6" t="n"/>
      <c r="D86" s="6" t="n"/>
      <c r="E86" s="6" t="n"/>
      <c r="F86" s="6" t="n">
        <v>-1441.4</v>
      </c>
      <c r="G86" s="6" t="n"/>
      <c r="H86" s="6" t="n">
        <v>-1441.4</v>
      </c>
    </row>
    <row r="87">
      <c r="A87" s="6" t="inlineStr">
        <is>
          <t>Unrealised loss on designated FL relating to credit risk (FY2023)</t>
        </is>
      </c>
      <c r="B87" s="6" t="n"/>
      <c r="C87" s="6" t="n"/>
      <c r="D87" s="6" t="n"/>
      <c r="E87" s="6" t="n"/>
      <c r="F87" s="6" t="n"/>
      <c r="G87" s="6" t="n">
        <v>-18.5</v>
      </c>
      <c r="H87" s="6" t="n">
        <v>-18.5</v>
      </c>
    </row>
    <row r="88">
      <c r="A88" s="6" t="inlineStr">
        <is>
          <t>Related tax on unrealised loss (FY2023)</t>
        </is>
      </c>
      <c r="B88" s="6" t="n"/>
      <c r="C88" s="6" t="n"/>
      <c r="D88" s="6" t="n"/>
      <c r="E88" s="6" t="n"/>
      <c r="F88" s="6" t="n"/>
      <c r="G88" s="6" t="n">
        <v>2.4</v>
      </c>
      <c r="H88" s="6" t="n">
        <v>2.4</v>
      </c>
    </row>
    <row r="89">
      <c r="A89" s="6" t="inlineStr">
        <is>
          <t>Cash flow hedges - effective portion of changes in fair value (FY2023)</t>
        </is>
      </c>
      <c r="B89" s="6" t="n"/>
      <c r="C89" s="6" t="n"/>
      <c r="D89" s="6" t="n"/>
      <c r="E89" s="6" t="n"/>
      <c r="F89" s="6" t="n"/>
      <c r="G89" s="6" t="n">
        <v>9.6</v>
      </c>
      <c r="H89" s="6" t="n">
        <v>9.6</v>
      </c>
    </row>
    <row r="90">
      <c r="A90" s="6" t="inlineStr">
        <is>
          <t>Remeasurement of defined benefit pension assets (FY2023)</t>
        </is>
      </c>
      <c r="B90" s="6" t="n"/>
      <c r="C90" s="6" t="n"/>
      <c r="D90" s="6" t="n"/>
      <c r="E90" s="6" t="n"/>
      <c r="F90" s="6" t="n"/>
      <c r="G90" s="6" t="n">
        <v>-45</v>
      </c>
      <c r="H90" s="6" t="n">
        <v>-45</v>
      </c>
    </row>
    <row r="91">
      <c r="A91" s="6" t="inlineStr">
        <is>
          <t>Related tax on remeasurement of defined benefit pension assets (FY2023)</t>
        </is>
      </c>
      <c r="B91" s="6" t="n"/>
      <c r="C91" s="6" t="n"/>
      <c r="D91" s="6" t="n"/>
      <c r="E91" s="6" t="n"/>
      <c r="F91" s="6" t="n"/>
      <c r="G91" s="6" t="n">
        <v>12.9</v>
      </c>
      <c r="H91" s="6" t="n">
        <v>12.9</v>
      </c>
    </row>
    <row r="92">
      <c r="A92" s="5" t="inlineStr">
        <is>
          <t>Total comprehensive loss for the year (FY2023)</t>
        </is>
      </c>
      <c r="B92" s="5" t="n"/>
      <c r="C92" s="5" t="n"/>
      <c r="D92" s="5" t="n"/>
      <c r="E92" s="5" t="n"/>
      <c r="F92" s="5" t="n">
        <v>-1441.4</v>
      </c>
      <c r="G92" s="5" t="n">
        <v>-38.6</v>
      </c>
      <c r="H92" s="5" t="n">
        <v>-1480</v>
      </c>
    </row>
    <row r="93">
      <c r="A93" s="6" t="inlineStr">
        <is>
          <t>Capital reduction (FY2023)</t>
        </is>
      </c>
      <c r="B93" s="6" t="n">
        <v>-3295.3</v>
      </c>
      <c r="C93" s="6" t="n"/>
      <c r="D93" s="6" t="n"/>
      <c r="E93" s="6" t="n"/>
      <c r="F93" s="6" t="n">
        <v>3295.3</v>
      </c>
      <c r="G93" s="6" t="n"/>
      <c r="H93" s="6" t="n">
        <v>0</v>
      </c>
    </row>
    <row r="94">
      <c r="A94" s="6" t="inlineStr">
        <is>
          <t>Dividend payment (FY2023)</t>
        </is>
      </c>
      <c r="B94" s="6" t="n"/>
      <c r="C94" s="6" t="n"/>
      <c r="D94" s="6" t="n"/>
      <c r="E94" s="6" t="n"/>
      <c r="F94" s="6" t="n">
        <v>-884.3</v>
      </c>
      <c r="G94" s="6" t="n"/>
      <c r="H94" s="6" t="n">
        <v>-884.3</v>
      </c>
    </row>
    <row r="95">
      <c r="A95" s="6" t="inlineStr">
        <is>
          <t>FX translation effect on equity, net (FY2023)</t>
        </is>
      </c>
      <c r="B95" s="6" t="n"/>
      <c r="C95" s="6" t="n"/>
      <c r="D95" s="6" t="n"/>
      <c r="E95" s="6" t="n"/>
      <c r="F95" s="6" t="n"/>
      <c r="G95" s="6" t="n"/>
      <c r="H95" s="6" t="n">
        <v>-683.7</v>
      </c>
    </row>
    <row r="96">
      <c r="A96" s="5" t="inlineStr">
        <is>
          <t>At 31 December 2023</t>
        </is>
      </c>
      <c r="B96" s="5" t="n">
        <v>5707.7</v>
      </c>
      <c r="C96" s="5" t="n"/>
      <c r="D96" s="5" t="n">
        <v>696.7</v>
      </c>
      <c r="E96" s="5" t="n">
        <v>942.5</v>
      </c>
      <c r="F96" s="5" t="n">
        <v>4758.1</v>
      </c>
      <c r="G96" s="5" t="n">
        <v>-352.7</v>
      </c>
      <c r="H96" s="5" t="n">
        <v>11752.3</v>
      </c>
    </row>
    <row r="97">
      <c r="A97" s="6" t="inlineStr">
        <is>
          <t>Net loss for the year (FY2024)</t>
        </is>
      </c>
      <c r="B97" s="6" t="n"/>
      <c r="C97" s="6" t="n"/>
      <c r="D97" s="6" t="n"/>
      <c r="E97" s="6" t="n"/>
      <c r="F97" s="6" t="n">
        <v>-68.09999999999999</v>
      </c>
      <c r="G97" s="6" t="n"/>
      <c r="H97" s="6" t="n">
        <v>-68.09999999999999</v>
      </c>
    </row>
    <row r="98">
      <c r="A98" s="6" t="inlineStr">
        <is>
          <t>Realised gain/(loss) on designated FL reclassed to retained earnings (FY2024)</t>
        </is>
      </c>
      <c r="B98" s="6" t="n"/>
      <c r="C98" s="6" t="n"/>
      <c r="D98" s="6" t="n"/>
      <c r="E98" s="6" t="n"/>
      <c r="F98" s="6" t="n">
        <v>-0.8</v>
      </c>
      <c r="G98" s="6" t="n">
        <v>0.8</v>
      </c>
      <c r="H98" s="6" t="n">
        <v>0</v>
      </c>
    </row>
    <row r="99">
      <c r="A99" s="6" t="inlineStr">
        <is>
          <t>Unrealised gain on designated FL relating to credit risk (FY2024)</t>
        </is>
      </c>
      <c r="B99" s="6" t="n"/>
      <c r="C99" s="6" t="n"/>
      <c r="D99" s="6" t="n"/>
      <c r="E99" s="6" t="n"/>
      <c r="F99" s="6" t="n"/>
      <c r="G99" s="6" t="n">
        <v>2.3</v>
      </c>
      <c r="H99" s="6" t="n">
        <v>2.3</v>
      </c>
    </row>
    <row r="100">
      <c r="A100" s="6" t="inlineStr">
        <is>
          <t>Cash flow hedges - effective portion of changes in fair value (FY2024)</t>
        </is>
      </c>
      <c r="B100" s="6" t="n"/>
      <c r="C100" s="6" t="n"/>
      <c r="D100" s="6" t="n"/>
      <c r="E100" s="6" t="n"/>
      <c r="F100" s="6" t="n"/>
      <c r="G100" s="6" t="n">
        <v>-2.3</v>
      </c>
      <c r="H100" s="6" t="n">
        <v>-2.3</v>
      </c>
    </row>
    <row r="101">
      <c r="A101" s="6" t="inlineStr">
        <is>
          <t>Remeasurement of defined benefit pension assets (FY2024)</t>
        </is>
      </c>
      <c r="B101" s="6" t="n"/>
      <c r="C101" s="6" t="n"/>
      <c r="D101" s="6" t="n"/>
      <c r="E101" s="6" t="n"/>
      <c r="F101" s="6" t="n"/>
      <c r="G101" s="6" t="n">
        <v>-118.9</v>
      </c>
      <c r="H101" s="6" t="n">
        <v>-118.9</v>
      </c>
    </row>
    <row r="102">
      <c r="A102" s="6" t="inlineStr">
        <is>
          <t>Related tax on remeasurement of defined benefit pension assets (FY2024)</t>
        </is>
      </c>
      <c r="B102" s="6" t="n"/>
      <c r="C102" s="6" t="n"/>
      <c r="D102" s="6" t="n"/>
      <c r="E102" s="6" t="n"/>
      <c r="F102" s="6" t="n"/>
      <c r="G102" s="6" t="n">
        <v>33.6</v>
      </c>
      <c r="H102" s="6" t="n">
        <v>33.6</v>
      </c>
    </row>
    <row r="103">
      <c r="A103" s="5" t="inlineStr">
        <is>
          <t>Total comprehensive loss for the year (FY2024)</t>
        </is>
      </c>
      <c r="B103" s="5" t="n"/>
      <c r="C103" s="5" t="n"/>
      <c r="D103" s="5" t="n"/>
      <c r="E103" s="5" t="n"/>
      <c r="F103" s="5" t="n">
        <v>-68.8</v>
      </c>
      <c r="G103" s="5" t="n">
        <v>-84.5</v>
      </c>
      <c r="H103" s="5" t="n">
        <v>-153.3</v>
      </c>
    </row>
    <row r="104">
      <c r="A104" s="6" t="inlineStr">
        <is>
          <t>Capital reduction (FY2024)</t>
        </is>
      </c>
      <c r="B104" s="6" t="n">
        <v>-4615.1</v>
      </c>
      <c r="C104" s="6" t="n"/>
      <c r="D104" s="6" t="n"/>
      <c r="E104" s="6" t="n"/>
      <c r="F104" s="6" t="n"/>
      <c r="G104" s="6" t="n"/>
      <c r="H104" s="6" t="n">
        <v>-4615.1</v>
      </c>
    </row>
    <row r="105">
      <c r="A105" s="6" t="inlineStr">
        <is>
          <t>Additional Tier 1 capital repatriation (FY2024)</t>
        </is>
      </c>
      <c r="B105" s="6" t="n"/>
      <c r="C105" s="6" t="n"/>
      <c r="D105" s="6" t="n"/>
      <c r="E105" s="6" t="n">
        <v>-938.8</v>
      </c>
      <c r="F105" s="6" t="n"/>
      <c r="G105" s="6" t="n"/>
      <c r="H105" s="6" t="n">
        <v>-938.8</v>
      </c>
    </row>
    <row r="106">
      <c r="A106" s="6" t="inlineStr">
        <is>
          <t>Interest payment on Additional Tier 1 capital (FY2024)</t>
        </is>
      </c>
      <c r="B106" s="6" t="n"/>
      <c r="C106" s="6" t="n"/>
      <c r="D106" s="6" t="n"/>
      <c r="E106" s="6" t="n"/>
      <c r="F106" s="6" t="n">
        <v>-364.6</v>
      </c>
      <c r="G106" s="6" t="n"/>
      <c r="H106" s="6" t="n">
        <v>-364.6</v>
      </c>
    </row>
    <row r="107">
      <c r="A107" s="6" t="inlineStr">
        <is>
          <t>Related tax on interest payment on Additional Tier 1 capital (FY2024)</t>
        </is>
      </c>
      <c r="B107" s="6" t="n"/>
      <c r="C107" s="6" t="n"/>
      <c r="D107" s="6" t="n"/>
      <c r="E107" s="6" t="n"/>
      <c r="F107" s="6" t="n">
        <v>83.7</v>
      </c>
      <c r="G107" s="6" t="n"/>
      <c r="H107" s="6" t="n">
        <v>83.7</v>
      </c>
    </row>
    <row r="108">
      <c r="A108" s="6" t="inlineStr">
        <is>
          <t>Gain on transfer of business to UBS Group entities (FY2024)</t>
        </is>
      </c>
      <c r="B108" s="6" t="n"/>
      <c r="C108" s="6" t="n"/>
      <c r="D108" s="6" t="n">
        <v>23.5</v>
      </c>
      <c r="E108" s="6" t="n"/>
      <c r="F108" s="6" t="n"/>
      <c r="G108" s="6" t="n"/>
      <c r="H108" s="6" t="n">
        <v>23.5</v>
      </c>
    </row>
    <row r="109">
      <c r="A109" s="6" t="inlineStr">
        <is>
          <t>FX translation effect on equity, net (FY2024)</t>
        </is>
      </c>
      <c r="B109" s="6" t="n"/>
      <c r="C109" s="6" t="n"/>
      <c r="D109" s="6" t="n"/>
      <c r="E109" s="6" t="n"/>
      <c r="F109" s="6" t="n"/>
      <c r="G109" s="6" t="n"/>
      <c r="H109" s="6" t="n">
        <v>76.5</v>
      </c>
    </row>
    <row r="110">
      <c r="A110" s="5" t="inlineStr">
        <is>
          <t>At 31 December 2024</t>
        </is>
      </c>
      <c r="B110" s="5" t="n">
        <v>1093.1</v>
      </c>
      <c r="C110" s="5" t="n"/>
      <c r="D110" s="5" t="n">
        <v>732.7</v>
      </c>
      <c r="E110" s="5" t="n">
        <v>0</v>
      </c>
      <c r="F110" s="5" t="n">
        <v>4483.4</v>
      </c>
      <c r="G110" s="5" t="n">
        <v>-445.1</v>
      </c>
      <c r="H110" s="5" t="n">
        <v>5864.2</v>
      </c>
    </row>
    <row r="111">
      <c r="A111" s="6" t="inlineStr">
        <is>
          <t>Net loss for the year (FY2025)</t>
        </is>
      </c>
      <c r="B111" s="6" t="n"/>
      <c r="C111" s="6" t="n"/>
      <c r="D111" s="6" t="n"/>
      <c r="E111" s="6" t="n"/>
      <c r="F111" s="6" t="n">
        <v>-169.8</v>
      </c>
      <c r="G111" s="6" t="n"/>
      <c r="H111" s="6" t="n">
        <v>-169.8</v>
      </c>
    </row>
    <row r="112">
      <c r="A112" s="6" t="inlineStr">
        <is>
          <t>Remeasurement of defined benefit pension assets (FY2025)</t>
        </is>
      </c>
      <c r="B112" s="6" t="n"/>
      <c r="C112" s="6" t="n"/>
      <c r="D112" s="6" t="n"/>
      <c r="E112" s="6" t="n"/>
      <c r="F112" s="6" t="n"/>
      <c r="G112" s="6" t="n">
        <v>-5.3</v>
      </c>
      <c r="H112" s="6" t="n">
        <v>-5.3</v>
      </c>
    </row>
    <row r="113">
      <c r="A113" s="6" t="inlineStr">
        <is>
          <t>Related tax on remeasurement of defined benefit pension assets (FY2025)</t>
        </is>
      </c>
      <c r="B113" s="6" t="n"/>
      <c r="C113" s="6" t="n"/>
      <c r="D113" s="6" t="n"/>
      <c r="E113" s="6" t="n"/>
      <c r="F113" s="6" t="n"/>
      <c r="G113" s="6" t="n">
        <v>1.5</v>
      </c>
      <c r="H113" s="6" t="n">
        <v>1.5</v>
      </c>
    </row>
    <row r="114">
      <c r="A114" s="5" t="inlineStr">
        <is>
          <t>Total comprehensive loss for the year (FY2025)</t>
        </is>
      </c>
      <c r="B114" s="5" t="n"/>
      <c r="C114" s="5" t="n"/>
      <c r="D114" s="5" t="n"/>
      <c r="E114" s="5" t="n"/>
      <c r="F114" s="5" t="n">
        <v>-169.8</v>
      </c>
      <c r="G114" s="5" t="n">
        <v>-3.8</v>
      </c>
      <c r="H114" s="5" t="n">
        <v>-173.6</v>
      </c>
    </row>
    <row r="115">
      <c r="A115" s="6" t="inlineStr">
        <is>
          <t>Capital reduction (FY2025)</t>
        </is>
      </c>
      <c r="B115" s="6" t="n">
        <v>-1036.2</v>
      </c>
      <c r="C115" s="6" t="n"/>
      <c r="D115" s="6" t="n"/>
      <c r="E115" s="6" t="n"/>
      <c r="F115" s="6" t="n"/>
      <c r="G115" s="6" t="n"/>
      <c r="H115" s="6" t="n">
        <v>-1036.2</v>
      </c>
    </row>
    <row r="116">
      <c r="A116" s="6" t="inlineStr">
        <is>
          <t>Loss on transfer of leases to UBS Group entities (FY2025)</t>
        </is>
      </c>
      <c r="B116" s="6" t="n"/>
      <c r="C116" s="6" t="n"/>
      <c r="D116" s="6" t="n">
        <v>-9.9</v>
      </c>
      <c r="E116" s="6" t="n"/>
      <c r="F116" s="6" t="n"/>
      <c r="G116" s="6" t="n"/>
      <c r="H116" s="6" t="n">
        <v>-9.9</v>
      </c>
    </row>
    <row r="117">
      <c r="A117" s="6" t="inlineStr">
        <is>
          <t>Dividend payment (FY2025)</t>
        </is>
      </c>
      <c r="B117" s="6" t="n"/>
      <c r="C117" s="6" t="n"/>
      <c r="D117" s="6" t="n"/>
      <c r="E117" s="6" t="n"/>
      <c r="F117" s="6" t="n">
        <v>-1819.1</v>
      </c>
      <c r="G117" s="6" t="n"/>
      <c r="H117" s="6" t="n">
        <v>-1819.1</v>
      </c>
    </row>
    <row r="118">
      <c r="A118" s="6" t="inlineStr">
        <is>
          <t>Pension asset transfer to UBS Group entities, as dividend (FY2025)</t>
        </is>
      </c>
      <c r="B118" s="6" t="n"/>
      <c r="C118" s="6" t="n"/>
      <c r="D118" s="6" t="n"/>
      <c r="E118" s="6" t="n"/>
      <c r="F118" s="6" t="n">
        <v>-331.2</v>
      </c>
      <c r="G118" s="6" t="n"/>
      <c r="H118" s="6" t="n">
        <v>-331.2</v>
      </c>
    </row>
    <row r="119">
      <c r="A119" s="6" t="inlineStr">
        <is>
          <t>Tax on pension asset transfer to UBS Group entities (FY2025)</t>
        </is>
      </c>
      <c r="B119" s="6" t="n"/>
      <c r="C119" s="6" t="n"/>
      <c r="D119" s="6" t="n"/>
      <c r="E119" s="6" t="n"/>
      <c r="F119" s="6" t="n">
        <v>92.5</v>
      </c>
      <c r="G119" s="6" t="n"/>
      <c r="H119" s="6" t="n">
        <v>92.5</v>
      </c>
    </row>
    <row r="120">
      <c r="A120" s="6" t="inlineStr">
        <is>
          <t>AOCI on pension transferred to reserves, net of tax (FY2025)</t>
        </is>
      </c>
      <c r="B120" s="6" t="n"/>
      <c r="C120" s="6" t="n"/>
      <c r="D120" s="6" t="n"/>
      <c r="E120" s="6" t="n"/>
      <c r="F120" s="6" t="n">
        <v>-426</v>
      </c>
      <c r="G120" s="6" t="n">
        <v>426</v>
      </c>
      <c r="H120" s="6" t="n">
        <v>0</v>
      </c>
    </row>
    <row r="121">
      <c r="A121" s="6" t="inlineStr">
        <is>
          <t>FX translation effect on equity, net (FY2025)</t>
        </is>
      </c>
      <c r="B121" s="6" t="n"/>
      <c r="C121" s="6" t="n"/>
      <c r="D121" s="6" t="n"/>
      <c r="E121" s="6" t="n"/>
      <c r="F121" s="6" t="n"/>
      <c r="G121" s="6" t="n"/>
      <c r="H121" s="6" t="n">
        <v>-344.7</v>
      </c>
    </row>
    <row r="122">
      <c r="A122" s="5" t="inlineStr">
        <is>
          <t>At 31 December 2025</t>
        </is>
      </c>
      <c r="B122" s="5" t="n">
        <v>0.7</v>
      </c>
      <c r="C122" s="5" t="n"/>
      <c r="D122" s="5" t="n">
        <v>672.2</v>
      </c>
      <c r="E122" s="5" t="n">
        <v>0</v>
      </c>
      <c r="F122" s="5" t="n">
        <v>1569</v>
      </c>
      <c r="G122" s="5" t="n">
        <v>0</v>
      </c>
      <c r="H122" s="5" t="n">
        <v>2242</v>
      </c>
    </row>
    <row r="124" ht="351" customHeight="1">
      <c r="A124" s="8" t="inlineStr">
        <is>
          <t>Sources - Credit Suisse International's own Consolidated Statement of Financial Position / Consolidated Statement of Income / Consolidated Statement of Changes in Equity (Group basis throughout, converted from USD to GBP - see FX note below), each year's own originally-published figures (not a later year's restated comparative):
FY2025: Annual Report for the Year Ended 31 December 2025, pp.43-45 - https://find-and-update.company-information.service.gov.uk/company/02500199/filing-history/MzUxNDA4Njk0M2FkaXF6a2N4/document?format=pdf&amp;download=0
FY2024: FY2025 Annual Report's own FY2024 comparative column (restated to exclude discontinued operations - FY2024's own standalone Annual Report was not sourced this session), pp.43-45 - https://find-and-update.company-information.service.gov.uk/company/02500199/filing-history/MzUxNDA4Njk0M2FkaXF6a2N4/document?format=pdf&amp;download=0
FY2023: Annual Report for the Year Ended 31 December 2023, pp.42-45 - https://find-and-update.company-information.service.gov.uk/company/02500199/filing-history/MzQxNzkxNzIxNWFkaXF6a2N4/document?format=pdf&amp;download=0
FY2022: FY2023 Annual Report's own FY2022 comparative column, pp.42-45 - https://find-and-update.company-information.service.gov.uk/company/02500199/filing-history/MzQxNzkxNzIxNWFkaXF6a2N4/document?format=pdf&amp;download=0
FY2021: Annual Report for the Year Ended 31 December 2021, pp.50-53 - https://find-and-update.company-information.service.gov.uk/company/02500199/filing-history/MzMzMjg3NzIzMGFkaXF6a2N4/document?format=pdf&amp;download=0
FY2020: Annual Report for the Year Ended 31 December 2020, pp.61-65 - https://find-and-update.company-information.service.gov.uk/company/02500199/filing-history/MzMwMTQ3Mjk3N2FkaXF6a2N4/document?format=pdf&amp;download=0
FY2019: Annual Report for the Year Ended 31 December 2019, pp.48-52 - https://find-and-update.company-information.service.gov.uk/company/02500199/filing-history/MzI2MTMzMDczMmFkaXF6a2N4/document?format=pdf&amp;download=0
FY2018: Annual Report for the Year Ended 31 December 2018, pp.41-44 - https://find-and-update.company-information.service.gov.uk/company/02500199/filing-history/MzIzMTA0NjM5NGFkaXF6a2N4/document?format=pdf&amp;download=0
FY2017: Annual Report for the Year Ended 31 December 2017, pp.34-38 - https://find-and-update.company-information.service.gov.uk/company/02500199/filing-history/MzIwMjIxNDAzMWFkaXF6a2N4/document?format=pdf&amp;download=0
FY2016: Annual Report for the Year Ended 31 December 2016, pp.26-30 - https://find-and-update.company-information.service.gov.uk/company/02500199/filing-history/MzE3NTQ0MjEyNWFkaXF6a2N4/document?format=pdf&amp;download=0
FY2015: Annual Report for the Year Ended 31 December 2015, pp.16-20 - https://find-and-update.company-information.service.gov.uk/company/02500199/filing-history/MzE0NTU0ODE5NWFkaXF6a2N4/document?format=pdf&amp;download=0
Credit Suisse International (CSI, company 02500199, FRN 146702) is the UK derivatives/structured-products trading entity within the former Credit Suisse group - a DISTINCT legal entity from 'Credit Suisse (UK) Limited' (the deposit-taking bank, built separately in this same batch). Following Credit Suisse's 2023 collapse and rescue by UBS Group AG, CSI remains an active, separately-reporting UK entity (registered office moved to UBS's 5 Broadgate address 2 Jan 2026) but is in an explicit, disclosed CONTROLLED WIND-DOWN: its own FY2025 KPI table states 'Profitability and Risk Weighted Assets (RWA) are reviewed to ensure a controlled wind-down in a capital efficient manner.' Total assets collapsed from $244.5bn (FY2021) to $5.65bn (FY2025) - a 97.7% reduction - as client business was progressively transferred to other UBS Group entities via Part VII transfers. FY2025 also separately reports a $(397)m pre-tax loss from Discontinued Operations, on top of continuing operations. All figures are converted from CSI's reporting currency (USD) to GBP using the Bank of England's published GBP/USD spot rate (point-in-time/balance figures) or average rate over the fiscal year (flow figures) - see the FX conversion methodology note below. All %-ratios are shown exactly as disclosed, not converted (dimensionless).
FX conversion: point-in-time figures (cash balances, Tier 1 capital, RWA) converted at the Bank of England GBP/USD SPOT rate as at each fiscal year-end; flow figures (every cash flow statement line item) converted at the AVERAGE rate over that fiscal year. Rates used (£1 = $X): 31 Dec 2014 spot 1.5608 (FY2015 opening cash only); FY2015 spot 1.4819 / average 1.5283; FY2016 spot 1.2303 / average 1.3550; FY2017 spot 1.3510 / average 1.2885; FY2018 spot 1.2769 / average 1.3347; FY2019 spot 1.3210 / average 1.2765; FY2020 spot 1.3661 / average 1.2837; FY2021 spot 1.3521 / average 1.3752; FY2022 spot 1.2097 / average 1.2362; FY2023 spot 1.2732 / average 1.2439; FY2024 spot 1.2515 / average 1.2782; FY2025 spot 1.3448 / average 1.3193. FY2021-FY2025 rates reuse the table already established for Zenith Bank UK (identical 31 December year-end); FY2014-FY2019 rates were independently sourced this session from poundsterlinglive.com's Bank-of-England-spot and annual-average history pages for HD-020's FY2015-FY2020 extension. Converting stocks and flows at different rates means the statement doesn't tie in GBP by itself - an 'Effect of GBP/USD translation' line is included, computed programmatically as the balancing figure (never hardcoded), labelled clearly as a translation artefact with no bearing on CSI's actual results.</t>
        </is>
      </c>
    </row>
    <row r="126" ht="340" customHeight="1">
      <c r="A126" s="8" t="inlineStr">
        <is>
          <t>(continued)
PRESENTATION NOTE: s.408 Companies Act 2006 exemption means no separate Bank-only income statement is published (Group figures used for P&amp;L throughout, consistent with the Balance Sheet and Equity statement). FY2024/FY2025's income statement separates 'Discontinued Operations' from continuing operations, as do FY2019/FY2020 (each showing its own year's discontinued-operations split, driven by different disposals); FY2015/FY2018/FY2021-23 have no such split (whole-entity basis); FY2016/FY2017 show a continuing/discontinued split but with nil or small discontinued-operations figures - each year's own presentation is reproduced as reported, not forced onto one basis. A small (~£0.7m-£1.5m) rounding gap exists between the P&amp;L's own 'Total comprehensive income/(loss)' and the Equity statement's own total for the same year in several years (FY2024/FY2022/FY2021) - this originates as a &lt;=$1m rounding artifact already present in CSI's own USD-million source tables, amplified slightly by FX conversion; both sheets show each source table's own figure rather than forcing one to match the other.
BALANCE SHEET LINE-ITEM RELABELLING ACROSS YEARS (same underlying items, renamed by CSI over time - not a definitional change): 'Deposits' (FY2015-2019) = 'Due to banks' (FY2020+); 'Short term borrowings' (FY2015-2017) = 'Borrowings' (FY2018+); 'Long term debt' (FY2015-2017) = 'Debt in issuance' (FY2018+); 'Other loans and receivables' (FY2015-2017) then 'Net loans' (FY2018-2019) = 'Loans and advances' (FY2020+); 'Financial assets designated at fair value through profit or loss' (FY2015-2017, pre-IFRS 9) = 'Non-trading financial assets [mandatorily] at fair value through P&amp;L' (FY2018+, post-IFRS 9 adoption 1 Jan 2018) - shown on the same row in each case, per each year's own renaming note in its Annual Report. 'Share premium' (a distinct row, FY2015-2020) was reclassified in full to retained earnings during FY2020 (see the Statement of Changes in Equity sheet) and does not exist as a separate balance from FY2021 onward. 'Assets held for sale' / 'Liabilities held for sale' are discontinued-operations classification lines that appear only in the specific years CSI disclosed a held-for-sale disposal group (FY2016/FY2017/FY2019/FY2020) - left blank, not zero, in years with no such disclosure. 'Lease liabilities' is disclosed as its own line only from FY2020 onward (IFRS 16 adopted 1 Jan 2019, but FY2019's own Balance Sheet still embeds lease liabilities within 'Debt in issuance' per that year's own presentation - only FY2020's own report first breaks it out as a separate line, per FY2020's own explanatory footnote).
FX METHODOLOGY FOR THIS SHEET: opening balances converted at the prior year-end's spot rate, movement lines at that year's average rate, closing balances at that year-end's spot rate - the same convention used throughout this workbook. Converting stocks and flows at 3 different rates within one year means the roll-forward doesn't tie exactly in GBP even though it ties exactly in USD (independently verified against each year's own source table before conversion) - an explicit 'FX translation effect on equity, net' row (Total column only, computed as the balancing figure) is included each year, same treatment as this entity's own Cash Flow Statement's 'Effect of GBP/USD translation' line.</t>
        </is>
      </c>
    </row>
  </sheetData>
  <mergeCells count="2">
    <mergeCell ref="A126:H126"/>
    <mergeCell ref="A124:H1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Credit Suisse International — Consolidated Cash Flow Statement</t>
        </is>
      </c>
    </row>
    <row r="2">
      <c r="A2" s="2" t="inlineStr">
        <is>
          <t>£m, converted from USD - see source note at bottom for FX methodology and rates used.</t>
        </is>
      </c>
    </row>
    <row r="3">
      <c r="A3" s="4" t="inlineStr">
        <is>
          <t>Line item</t>
        </is>
      </c>
      <c r="B3" s="4" t="inlineStr">
        <is>
          <t>FY2025 (£m, conv. from USD)</t>
        </is>
      </c>
      <c r="C3" s="4" t="inlineStr">
        <is>
          <t>FY2024 (£m, conv. from USD)</t>
        </is>
      </c>
      <c r="D3" s="4" t="inlineStr">
        <is>
          <t>FY2023 (£m, conv. from USD)</t>
        </is>
      </c>
      <c r="E3" s="4" t="inlineStr">
        <is>
          <t>FY2022 (£m, conv. from USD)</t>
        </is>
      </c>
      <c r="F3" s="4" t="inlineStr">
        <is>
          <t>FY2021 (£m, conv. from USD)</t>
        </is>
      </c>
      <c r="G3" s="4" t="inlineStr">
        <is>
          <t>FY2020 (£m, conv. from USD)</t>
        </is>
      </c>
      <c r="H3" s="4" t="inlineStr">
        <is>
          <t>FY2019 (£m, conv. from USD)</t>
        </is>
      </c>
      <c r="I3" s="4" t="inlineStr">
        <is>
          <t>FY2018 (£m, conv. from USD)</t>
        </is>
      </c>
      <c r="J3" s="4" t="inlineStr">
        <is>
          <t>FY2017 (£m, conv. from USD)</t>
        </is>
      </c>
      <c r="K3" s="4" t="inlineStr">
        <is>
          <t>FY2016 (£m, conv. from USD)</t>
        </is>
      </c>
      <c r="L3" s="4" t="inlineStr">
        <is>
          <t>FY2015 (£m, conv. from USD)</t>
        </is>
      </c>
    </row>
    <row r="4">
      <c r="A4" s="5" t="inlineStr">
        <is>
          <t>Operating activities</t>
        </is>
      </c>
      <c r="B4" s="6" t="n"/>
      <c r="C4" s="6" t="n"/>
      <c r="D4" s="6" t="n"/>
      <c r="E4" s="6" t="n"/>
      <c r="F4" s="6" t="n"/>
      <c r="G4" s="6" t="n"/>
      <c r="H4" s="6" t="n"/>
      <c r="I4" s="6" t="n"/>
      <c r="J4" s="6" t="n"/>
      <c r="K4" s="6" t="n"/>
      <c r="L4" s="6" t="n"/>
    </row>
    <row r="5">
      <c r="A5" s="5" t="inlineStr">
        <is>
          <t>Net cash generated from/(used in) operating activities</t>
        </is>
      </c>
      <c r="B5" s="5" t="n">
        <v>5961.5</v>
      </c>
      <c r="C5" s="5" t="n">
        <v>6785.3</v>
      </c>
      <c r="D5" s="5" t="n">
        <v>9154.299999999999</v>
      </c>
      <c r="E5" s="5" t="n">
        <v>17210.8</v>
      </c>
      <c r="F5" s="5" t="n">
        <v>-10427.6</v>
      </c>
      <c r="G5" s="5" t="n">
        <v>-10711.2</v>
      </c>
      <c r="H5" s="5" t="n">
        <v>1857.4</v>
      </c>
      <c r="I5" s="5" t="n">
        <v>926.1</v>
      </c>
      <c r="J5" s="5" t="n">
        <v>12645.7</v>
      </c>
      <c r="K5" s="5" t="n">
        <v>-2831.7</v>
      </c>
      <c r="L5" s="5" t="n">
        <v>-1101.2</v>
      </c>
    </row>
    <row r="6">
      <c r="A6" s="5" t="inlineStr">
        <is>
          <t>Investing activities</t>
        </is>
      </c>
      <c r="B6" s="6" t="n"/>
      <c r="C6" s="6" t="n"/>
      <c r="D6" s="6" t="n"/>
      <c r="E6" s="6" t="n"/>
      <c r="F6" s="6" t="n"/>
      <c r="G6" s="6" t="n"/>
      <c r="H6" s="6" t="n"/>
      <c r="I6" s="6" t="n"/>
      <c r="J6" s="6" t="n"/>
      <c r="K6" s="6" t="n"/>
      <c r="L6" s="6" t="n"/>
    </row>
    <row r="7">
      <c r="A7" s="5" t="inlineStr">
        <is>
          <t>Net cash generated from/(used in) investing activities</t>
        </is>
      </c>
      <c r="B7" s="5" t="n">
        <v>3</v>
      </c>
      <c r="C7" s="5" t="n">
        <v>0.8</v>
      </c>
      <c r="D7" s="5" t="n">
        <v>-20.9</v>
      </c>
      <c r="E7" s="5" t="n">
        <v>-133.5</v>
      </c>
      <c r="F7" s="5" t="n">
        <v>-130.9</v>
      </c>
      <c r="G7" s="5" t="n">
        <v>-106.7</v>
      </c>
      <c r="H7" s="5" t="n">
        <v>-188.8</v>
      </c>
      <c r="I7" s="5" t="n">
        <v>-61.4</v>
      </c>
      <c r="J7" s="5" t="n">
        <v>-118</v>
      </c>
      <c r="K7" s="5" t="n">
        <v>-141</v>
      </c>
      <c r="L7" s="5" t="n">
        <v>-308.8</v>
      </c>
    </row>
    <row r="8">
      <c r="A8" s="5" t="inlineStr">
        <is>
          <t>Financing activities</t>
        </is>
      </c>
      <c r="B8" s="6" t="n"/>
      <c r="C8" s="6" t="n"/>
      <c r="D8" s="6" t="n"/>
      <c r="E8" s="6" t="n"/>
      <c r="F8" s="6" t="n"/>
      <c r="G8" s="6" t="n"/>
      <c r="H8" s="6" t="n"/>
      <c r="I8" s="6" t="n"/>
      <c r="J8" s="6" t="n"/>
      <c r="K8" s="6" t="n"/>
      <c r="L8" s="6" t="n"/>
    </row>
    <row r="9">
      <c r="A9" s="5" t="inlineStr">
        <is>
          <t>Net cash generated from/(used in) financing activities</t>
        </is>
      </c>
      <c r="B9" s="5" t="n">
        <v>-7195.5</v>
      </c>
      <c r="C9" s="5" t="n">
        <v>-8143.5</v>
      </c>
      <c r="D9" s="5" t="n">
        <v>-9445.299999999999</v>
      </c>
      <c r="E9" s="5" t="n">
        <v>-14899.7</v>
      </c>
      <c r="F9" s="5" t="n">
        <v>7302.9</v>
      </c>
      <c r="G9" s="5" t="n">
        <v>12069</v>
      </c>
      <c r="H9" s="5" t="n">
        <v>536.6</v>
      </c>
      <c r="I9" s="5" t="n">
        <v>-3489.9</v>
      </c>
      <c r="J9" s="5" t="n">
        <v>-12721.8</v>
      </c>
      <c r="K9" s="5" t="n">
        <v>4439.9</v>
      </c>
      <c r="L9" s="5" t="n">
        <v>1176.5</v>
      </c>
    </row>
    <row r="10">
      <c r="A10" s="5" t="inlineStr">
        <is>
          <t>Net change in cash and cash equivalents (before FX translation)</t>
        </is>
      </c>
      <c r="B10" s="5" t="n">
        <v>-1231</v>
      </c>
      <c r="C10" s="5" t="n">
        <v>-1357.4</v>
      </c>
      <c r="D10" s="5" t="n">
        <v>-311.9</v>
      </c>
      <c r="E10" s="5" t="n">
        <v>2177.6</v>
      </c>
      <c r="F10" s="5" t="n">
        <v>-3255.6</v>
      </c>
      <c r="G10" s="5" t="n">
        <v>1251.1</v>
      </c>
      <c r="H10" s="5" t="n">
        <v>2205.2</v>
      </c>
      <c r="I10" s="5" t="n">
        <v>-2625.2</v>
      </c>
      <c r="J10" s="5" t="n">
        <v>-194.1</v>
      </c>
      <c r="K10" s="5" t="n">
        <v>1467.2</v>
      </c>
      <c r="L10" s="5" t="n">
        <v>-233.5</v>
      </c>
    </row>
    <row r="11">
      <c r="A11" s="6" t="inlineStr">
        <is>
          <t>Effect of GBP/USD translation (see FX methodology note - not a real cash flow)</t>
        </is>
      </c>
      <c r="B11" s="6" t="n">
        <v>26.3</v>
      </c>
      <c r="C11" s="6" t="n">
        <v>3.2</v>
      </c>
      <c r="D11" s="6" t="n">
        <v>-73.59999999999999</v>
      </c>
      <c r="E11" s="6" t="n">
        <v>-3251.4</v>
      </c>
      <c r="F11" s="6" t="n">
        <v>3299.5</v>
      </c>
      <c r="G11" s="6" t="n">
        <v>-41.6</v>
      </c>
      <c r="H11" s="6" t="n">
        <v>-115.5</v>
      </c>
      <c r="I11" s="6" t="n">
        <v>25.5</v>
      </c>
      <c r="J11" s="6" t="n">
        <v>-356.5</v>
      </c>
      <c r="K11" s="6" t="n">
        <v>-5941</v>
      </c>
      <c r="L11" s="6" t="n">
        <v>437.7</v>
      </c>
    </row>
    <row r="12">
      <c r="A12" s="6" t="inlineStr">
        <is>
          <t>Cash and cash equivalents at beginning of period</t>
        </is>
      </c>
      <c r="B12" s="6" t="n">
        <v>1470.2</v>
      </c>
      <c r="C12" s="6" t="n">
        <v>2824.4</v>
      </c>
      <c r="D12" s="6" t="n">
        <v>3209.9</v>
      </c>
      <c r="E12" s="6" t="n">
        <v>4283.7</v>
      </c>
      <c r="F12" s="6" t="n">
        <v>4239.8</v>
      </c>
      <c r="G12" s="6" t="n">
        <v>3030.3</v>
      </c>
      <c r="H12" s="6" t="n">
        <v>940.6</v>
      </c>
      <c r="I12" s="6" t="n">
        <v>3540.3</v>
      </c>
      <c r="J12" s="6" t="n">
        <v>4090.9</v>
      </c>
      <c r="K12" s="6" t="n">
        <v>8564.700000000001</v>
      </c>
      <c r="L12" s="6" t="n">
        <v>8360.5</v>
      </c>
    </row>
    <row r="13">
      <c r="A13" s="5" t="inlineStr">
        <is>
          <t>Cash and cash equivalents at end of period</t>
        </is>
      </c>
      <c r="B13" s="5" t="n">
        <v>265.5</v>
      </c>
      <c r="C13" s="5" t="n">
        <v>1470.2</v>
      </c>
      <c r="D13" s="5" t="n">
        <v>2824.4</v>
      </c>
      <c r="E13" s="5" t="n">
        <v>3209.9</v>
      </c>
      <c r="F13" s="5" t="n">
        <v>4283.7</v>
      </c>
      <c r="G13" s="5" t="n">
        <v>4239.8</v>
      </c>
      <c r="H13" s="5" t="n">
        <v>3030.3</v>
      </c>
      <c r="I13" s="5" t="n">
        <v>940.6</v>
      </c>
      <c r="J13" s="5" t="n">
        <v>3540.3</v>
      </c>
      <c r="K13" s="5" t="n">
        <v>4090.9</v>
      </c>
      <c r="L13" s="5" t="n">
        <v>8564.700000000001</v>
      </c>
    </row>
    <row r="15" ht="320" customHeight="1">
      <c r="A15" s="8" t="inlineStr">
        <is>
          <t>Sources - all figures are Credit Suisse International's own Consolidated Statement of Cash Flows (Group and Bank basis - identical for this entity in every year checked), converted from USD to GBP (see FX note below):
FY2025/FY2024: Annual Report for the Year Ended 31 December 2025, p.46 (filed at Companies House 12 Apr 2026) - https://find-and-update.company-information.service.gov.uk/company/02500199/filing-history/MzUxNDA4Njk0M2FkaXF6a2N4/document?format=pdf&amp;download=0
FY2023/FY2022: Annual Report for the Year Ended 31 December 2023, p.47 (filed 20 Apr 2024) - https://find-and-update.company-information.service.gov.uk/company/02500199/filing-history/MzQxNzkxNzIxNWFkaXF6a2N4/document?format=pdf&amp;download=0
FY2021: Annual Report for the Year Ended 31 December 2021, p.55 (filed 16 Mar 2022) - https://find-and-update.company-information.service.gov.uk/company/02500199/filing-history/MzMzMjg3NzIzMGFkaXF6a2N4/document?format=pdf&amp;download=0
FY2020: Annual Report for the Year Ended 31 December 2020, p.66 (filed 26 May 2021) - https://find-and-update.company-information.service.gov.uk/company/02500199/filing-history/MzMwMTQ3Mjk3N2FkaXF6a2N4/document?format=pdf&amp;download=0
FY2019: Annual Report for the Year Ended 31 December 2019, p.53 (filed 8 Apr 2020) - https://find-and-update.company-information.service.gov.uk/company/02500199/filing-history/MzI2MTMzMDczMmFkaXF6a2N4/document?format=pdf&amp;download=0
FY2018: Annual Report for the Year Ended 31 December 2018, p.45 (filed 2 Apr 2019) - https://find-and-update.company-information.service.gov.uk/company/02500199/filing-history/MzIzMTA0NjM5NGFkaXF6a2N4/document?format=pdf&amp;download=0
FY2017: Annual Report for the Year Ended 31 December 2017, p.39 (filed 10 Apr 2018) - https://find-and-update.company-information.service.gov.uk/company/02500199/filing-history/MzIwMjIxNDAzMWFkaXF6a2N4/document?format=pdf&amp;download=0
FY2016: Annual Report for the Year Ended 31 December 2016, p.31 (filed 10 May 2017) - https://find-and-update.company-information.service.gov.uk/company/02500199/filing-history/MzE3NTQ0MjEyNWFkaXF6a2N4/document?format=pdf&amp;download=0
FY2015: Annual Report for the Year Ended 31 December 2015, p.21 (filed 8 Apr 2016) - https://find-and-update.company-information.service.gov.uk/company/02500199/filing-history/MzE0NTU0ODE5NWFkaXF6a2N4/document?format=pdf&amp;download=0
Credit Suisse International (CSI, company 02500199, FRN 146702) is the UK derivatives/structured-products trading entity within the former Credit Suisse group - a DISTINCT legal entity from 'Credit Suisse (UK) Limited' (the deposit-taking bank, built separately in this same batch). Following Credit Suisse's 2023 collapse and rescue by UBS Group AG, CSI remains an active, separately-reporting UK entity (registered office moved to UBS's 5 Broadgate address 2 Jan 2026) but is in an explicit, disclosed CONTROLLED WIND-DOWN: its own FY2025 KPI table states 'Profitability and Risk Weighted Assets (RWA) are reviewed to ensure a controlled wind-down in a capital efficient manner.' Total assets collapsed from $244.5bn (FY2021) to $5.65bn (FY2025) - a 97.7% reduction - as client business was progressively transferred to other UBS Group entities via Part VII transfers. FY2025 also separately reports a $(397)m pre-tax loss from Discontinued Operations, on top of continuing operations. All figures are converted from CSI's reporting currency (USD) to GBP using the Bank of England's published GBP/USD spot rate (point-in-time/balance figures) or average rate over the fiscal year (flow figures) - see the FX conversion methodology note below. All %-ratios are shown exactly as disclosed, not converted (dimensionless).
FX conversion: point-in-time figures (cash balances, Tier 1 capital, RWA) converted at the Bank of England GBP/USD SPOT rate as at each fiscal year-end; flow figures (every cash flow statement line item) converted at the AVERAGE rate over that fiscal year. Rates used (£1 = $X): 31 Dec 2014 spot 1.5608 (FY2015 opening cash only); FY2015 spot 1.4819 / average 1.5283; FY2016 spot 1.2303 / average 1.3550; FY2017 spot 1.3510 / average 1.2885; FY2018 spot 1.2769 / average 1.3347; FY2019 spot 1.3210 / average 1.2765; FY2020 spot 1.3661 / average 1.2837; FY2021 spot 1.3521 / average 1.3752; FY2022 spot 1.2097 / average 1.2362; FY2023 spot 1.2732 / average 1.2439; FY2024 spot 1.2515 / average 1.2782; FY2025 spot 1.3448 / average 1.3193. FY2021-FY2025 rates reuse the table already established for Zenith Bank UK (identical 31 December year-end); FY2014-FY2019 rates were independently sourced this session from poundsterlinglive.com's Bank-of-England-spot and annual-average history pages for HD-020's FY2015-FY2020 extension. Converting stocks and flows at different rates means the statement doesn't tie in GBP by itself - an 'Effect of GBP/USD translation' line is included, computed programmatically as the balancing figure (never hardcoded), labelled clearly as a translation artefact with no bearing on CSI's actual results.</t>
        </is>
      </c>
    </row>
  </sheetData>
  <mergeCells count="1">
    <mergeCell ref="A15:L15"/>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Credit Suisse International — Asset Quality</t>
        </is>
      </c>
    </row>
    <row r="2">
      <c r="A2" s="2" t="inlineStr">
        <is>
          <t>See source note - no quantitative credit-quality disclosure is published for this entity's loan book.</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row>
    <row r="4">
      <c r="A4" s="6" t="inlineStr">
        <is>
          <t>Not publicly disclosed - no IFRS 9 stage-split or credit-quality table for the loan book is published in any year's Annual Report (Note 6 'Allowance for Credit Losses' is narrative-only, confirmed by reading) - see source note.</t>
        </is>
      </c>
      <c r="B4" s="6" t="n"/>
      <c r="C4" s="6" t="n"/>
      <c r="D4" s="6" t="n"/>
      <c r="E4" s="6" t="n"/>
      <c r="F4" s="6" t="n"/>
      <c r="G4" s="6" t="n"/>
      <c r="H4" s="6" t="n"/>
      <c r="I4" s="6" t="n"/>
      <c r="J4" s="6" t="n"/>
      <c r="K4" s="6" t="n"/>
      <c r="L4" s="6" t="n"/>
    </row>
    <row r="6" ht="260" customHeight="1">
      <c r="A6" s="8" t="inlineStr">
        <is>
          <t>Sources - Credit Suisse International's own Note 6 'Allowance for Credit Losses' (FY2025 Annual Report, p.60) - https://find-and-update.company-information.service.gov.uk/company/02500199/filing-history/MzUxNDA4Njk0M2FkaXF6a2N4/document?format=pdf&amp;download=0 - explicitly states no quantitative disclosure is provided as there is a Nil amount to report, and describes only a narrative USD 0.6m provision release during FY2025 following asset transfers out of the CSi group. No stage-split or credit-quality-by-rating table for the loan book (Note 18 'Loans and Advances') was found in this or the FY2023/FY2021 Annual Reports checked - CSI's Loans and advances line (see Balance Sheet sheet) is a small, mostly-collapsing component of a balance sheet dominated by trading/derivative exposures, not a traditional retail/commercial loan book.
FY2015-FY2020 (checked for HD-020): the FY2018/FY2019/FY2020 Annual Reports (post-IFRS 9 adoption 1 Jan 2018) DO publish an IFRS 9 stage-1/2/3 ECL roll-forward table (e.g. FY2020 Annual Report p.117-118) - but only for 'Financial guarantees', 'Interest-bearing deposits with banks' and 'Other assets', never for a 'Loans and advances' line itself, consistent with this entity having no traditional loan book to stage-split. FY2015-FY2017 (pre-IFRS 9, incurred-loss model under IAS 39) show only a single aggregate 'Release of/(Additional) provision for credit losses' P&amp;L line (see Profit &amp; Loss sheet) with no stage or credit-quality-by-rating breakdown at all. No year in this window publishes the loan-book stage-split this sheet is asking for.
Credit Suisse International (CSI, company 02500199, FRN 146702) is the UK derivatives/structured-products trading entity within the former Credit Suisse group - a DISTINCT legal entity from 'Credit Suisse (UK) Limited' (the deposit-taking bank, built separately in this same batch). Following Credit Suisse's 2023 collapse and rescue by UBS Group AG, CSI remains an active, separately-reporting UK entity (registered office moved to UBS's 5 Broadgate address 2 Jan 2026) but is in an explicit, disclosed CONTROLLED WIND-DOWN: its own FY2025 KPI table states 'Profitability and Risk Weighted Assets (RWA) are reviewed to ensure a controlled wind-down in a capital efficient manner.' Total assets collapsed from $244.5bn (FY2021) to $5.65bn (FY2025) - a 97.7% reduction - as client business was progressively transferred to other UBS Group entities via Part VII transfers. FY2025 also separately reports a $(397)m pre-tax loss from Discontinued Operations, on top of continuing operations. All figures are converted from CSI's reporting currency (USD) to GBP using the Bank of England's published GBP/USD spot rate (point-in-time/balance figures) or average rate over the fiscal year (flow figures) - see the FX conversion methodology note below. All %-ratios are shown exactly as disclosed, not converted (dimensionless).</t>
        </is>
      </c>
    </row>
  </sheetData>
  <mergeCells count="1">
    <mergeCell ref="A6:L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Credit Suisse International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Return on equity - average equity basis</t>
        </is>
      </c>
      <c r="B4" s="6" t="inlineStr">
        <is>
          <t>Not computed</t>
        </is>
      </c>
      <c r="C4" s="6" t="inlineStr">
        <is>
          <t>Not computed</t>
        </is>
      </c>
      <c r="D4" s="6" t="inlineStr">
        <is>
          <t>Not computed</t>
        </is>
      </c>
      <c r="E4" s="6" t="inlineStr">
        <is>
          <t>Not computed</t>
        </is>
      </c>
      <c r="F4" s="6" t="inlineStr">
        <is>
          <t>Not computed</t>
        </is>
      </c>
      <c r="G4" s="6" t="inlineStr">
        <is>
          <t>Not computed</t>
        </is>
      </c>
      <c r="H4" s="6" t="inlineStr">
        <is>
          <t>Not computed</t>
        </is>
      </c>
      <c r="I4" s="6" t="inlineStr">
        <is>
          <t>Not computed</t>
        </is>
      </c>
      <c r="J4" s="6" t="inlineStr">
        <is>
          <t>Not computed</t>
        </is>
      </c>
      <c r="K4" s="6" t="inlineStr">
        <is>
          <t>Not computed</t>
        </is>
      </c>
      <c r="L4" s="6" t="inlineStr">
        <is>
          <t>Not computed</t>
        </is>
      </c>
    </row>
    <row r="5">
      <c r="A5" s="6" t="inlineStr">
        <is>
          <t>Return on equity - year-end equity basis</t>
        </is>
      </c>
      <c r="B5" s="6" t="inlineStr">
        <is>
          <t>Not computed</t>
        </is>
      </c>
      <c r="C5" s="6" t="inlineStr">
        <is>
          <t>Not computed</t>
        </is>
      </c>
      <c r="D5" s="6" t="inlineStr">
        <is>
          <t>Not computed</t>
        </is>
      </c>
      <c r="E5" s="6" t="inlineStr">
        <is>
          <t>Not computed</t>
        </is>
      </c>
      <c r="F5" s="6" t="inlineStr">
        <is>
          <t>Not computed</t>
        </is>
      </c>
      <c r="G5" s="6" t="inlineStr">
        <is>
          <t>Not computed</t>
        </is>
      </c>
      <c r="H5" s="6" t="inlineStr">
        <is>
          <t>Not computed</t>
        </is>
      </c>
      <c r="I5" s="6" t="inlineStr">
        <is>
          <t>Not computed</t>
        </is>
      </c>
      <c r="J5" s="6" t="inlineStr">
        <is>
          <t>Not computed</t>
        </is>
      </c>
      <c r="K5" s="6" t="inlineStr">
        <is>
          <t>Not computed</t>
        </is>
      </c>
      <c r="L5" s="6" t="inlineStr">
        <is>
          <t>Not computed</t>
        </is>
      </c>
    </row>
    <row r="6">
      <c r="A6" s="6" t="inlineStr">
        <is>
          <t>Return on assets - average assets basis</t>
        </is>
      </c>
      <c r="B6" s="6" t="inlineStr">
        <is>
          <t>Not computed</t>
        </is>
      </c>
      <c r="C6" s="6" t="inlineStr">
        <is>
          <t>Not computed</t>
        </is>
      </c>
      <c r="D6" s="6" t="inlineStr">
        <is>
          <t>Not computed</t>
        </is>
      </c>
      <c r="E6" s="6" t="inlineStr">
        <is>
          <t>Not computed</t>
        </is>
      </c>
      <c r="F6" s="6" t="inlineStr">
        <is>
          <t>Not computed</t>
        </is>
      </c>
      <c r="G6" s="6" t="inlineStr">
        <is>
          <t>Not computed</t>
        </is>
      </c>
      <c r="H6" s="6" t="inlineStr">
        <is>
          <t>Not computed</t>
        </is>
      </c>
      <c r="I6" s="6" t="inlineStr">
        <is>
          <t>Not computed</t>
        </is>
      </c>
      <c r="J6" s="6" t="inlineStr">
        <is>
          <t>Not computed</t>
        </is>
      </c>
      <c r="K6" s="6" t="inlineStr">
        <is>
          <t>Not computed</t>
        </is>
      </c>
      <c r="L6" s="6" t="inlineStr">
        <is>
          <t>Not computed</t>
        </is>
      </c>
    </row>
    <row r="7">
      <c r="A7" s="6" t="inlineStr">
        <is>
          <t>Return on assets - year-end assets basis</t>
        </is>
      </c>
      <c r="B7" s="6" t="inlineStr">
        <is>
          <t>Not computed</t>
        </is>
      </c>
      <c r="C7" s="6" t="inlineStr">
        <is>
          <t>Not computed</t>
        </is>
      </c>
      <c r="D7" s="6" t="inlineStr">
        <is>
          <t>Not computed</t>
        </is>
      </c>
      <c r="E7" s="6" t="inlineStr">
        <is>
          <t>Not computed</t>
        </is>
      </c>
      <c r="F7" s="6" t="inlineStr">
        <is>
          <t>Not computed</t>
        </is>
      </c>
      <c r="G7" s="6" t="inlineStr">
        <is>
          <t>Not computed</t>
        </is>
      </c>
      <c r="H7" s="6" t="inlineStr">
        <is>
          <t>Not computed</t>
        </is>
      </c>
      <c r="I7" s="6" t="inlineStr">
        <is>
          <t>Not computed</t>
        </is>
      </c>
      <c r="J7" s="6" t="inlineStr">
        <is>
          <t>Not computed</t>
        </is>
      </c>
      <c r="K7" s="6" t="inlineStr">
        <is>
          <t>Not computed</t>
        </is>
      </c>
      <c r="L7" s="6" t="inlineStr">
        <is>
          <t>Not computed</t>
        </is>
      </c>
    </row>
    <row r="8">
      <c r="A8" s="6" t="inlineStr">
        <is>
          <t>Return on Tier 1 capital (as published)</t>
        </is>
      </c>
      <c r="B8" s="6" t="inlineStr">
        <is>
          <t>(5.1)%</t>
        </is>
      </c>
      <c r="C8" s="6" t="inlineStr">
        <is>
          <t>Not published</t>
        </is>
      </c>
      <c r="D8" s="6" t="inlineStr">
        <is>
          <t>Not published</t>
        </is>
      </c>
      <c r="E8" s="6" t="inlineStr">
        <is>
          <t>Not published</t>
        </is>
      </c>
      <c r="F8" s="6" t="inlineStr">
        <is>
          <t>Not published</t>
        </is>
      </c>
      <c r="G8" s="6" t="n"/>
      <c r="H8" s="6" t="n"/>
      <c r="I8" s="6" t="n"/>
      <c r="J8" s="6" t="n"/>
      <c r="K8" s="6" t="n"/>
      <c r="L8" s="6" t="n"/>
    </row>
    <row r="9">
      <c r="A9" s="6" t="inlineStr">
        <is>
          <t>Return on Total Assets (as published)</t>
        </is>
      </c>
      <c r="B9" s="6" t="inlineStr">
        <is>
          <t>(2.7)%</t>
        </is>
      </c>
      <c r="C9" s="6" t="inlineStr">
        <is>
          <t>Not published</t>
        </is>
      </c>
      <c r="D9" s="6" t="inlineStr">
        <is>
          <t>Not published</t>
        </is>
      </c>
      <c r="E9" s="6" t="inlineStr">
        <is>
          <t>Not published</t>
        </is>
      </c>
      <c r="F9" s="6" t="inlineStr">
        <is>
          <t>Not published</t>
        </is>
      </c>
      <c r="G9" s="6" t="n"/>
      <c r="H9" s="6" t="n"/>
      <c r="I9" s="6" t="n"/>
      <c r="J9" s="6" t="n"/>
      <c r="K9" s="6" t="n"/>
      <c r="L9" s="6" t="n"/>
    </row>
    <row r="10" ht="273" customHeight="1">
      <c r="A10"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Return on Tier 1 capital: the document states no definition, and none is supplied here. Return on Total Assets: the document states no definition, and none is supplied here.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FY2015 HAS NO AVERAGE-BASIS RATIO, AND THAT IS CORRECT. An average denominator needs an opening balance, and FY2015 is the oldest column this workbook carries, so there is no prior year to open from. The blank is structural, not a missing figure. The year-end basis is shown for FY2015 because it needs only the closing balance.
WHY SOME CELLS SAY 'NOT COMPUTED'. Every year above is marked 'Not computed' rather than given a number, and the reason is a unit problem, not a missing figure. This workbook's statement sheets print (£m, conv. from USD): the figures were converted from the bank's reporting currency on this project's standing convention, which converts BALANCE SHEET stocks at the financial year-end SPOT rate and PROFIT AND LOSS flows at that year's AVERAGE rate - the right treatment for each statement taken on its own. A ratio struck ACROSS the two therefore divides a figure converted at one rate by a figure converted at another. Both sides are labelled in the same currency, so such a ratio looks sound and is self-consistent on every check this project runs, but it carries the whole spot-versus-average spread - on recent years a bias of roughly two per cent of the ratio, changing sign from year to year, so it distorts the trend as well as the level. The house rule is that a ratio cancels its unit only if both sides share it; where they do not, the honest output is a refusal rather than a number with a caveat attached. A reader who wants these ratios should strike them on the bank's own figures in its own reporting currency, where both sides do share a basis. (scripts/profitability_fx_basis.py records the basis verdict for every converted workbook in this corpus, and why that verdict cannot be read off the page or detected in the code.)
FIGURES THE BANK PUBLISHED ONLY AS A LATER EDITION'S COMPARATIVE, AND WHY THEY ARE NOT IN THE CELLS ABOVE. FY2024 Return on Total Assets (0.1)%; FY2023 Return on Total Assets (1.4)%; FY2022 Return on Total Assets (0.2)%; FY2021 Return on Total Assets (2.2)%; FY2024 Return on Tier 1 capital (0.9)%; FY2023 Return on Tier 1 capital (12.5)%; FY2022 Return on Tier 1 capital (2.1)%; FY2021 Return on Tier 1 capital (35.9)%. Each year's cell carries what that year's OWN annual report printed. A comparative restated in a later edition is a different claim - it may rest on a revised definition, a restated perimeter or a corrected prior figure - so it is recorded here rather than substituted into the year it refers to.</t>
        </is>
      </c>
    </row>
    <row r="12" ht="170" customHeight="1">
      <c r="A12" s="8" t="inlineStr">
        <is>
          <t>Computed by this workbook's own build script from the Profit &amp; Loss and Balance Sheet sheets of this same workbook - the Profit &amp; Loss row “profit/(loss) after tax from continuing operations” and the Balance Sheet rows “total shareholders' equity” and “total assets”, resolved BY LABEL at build time through the shared resolver scripts/profitability_rows.py, so this sheet cannot drift from the statements it summarises. Those rows are themselves transcribed from Credit Suisse International's Annual Report and Accounts for each year; see the source cells on the Balance Sheet and Profit &amp; Loss sheets for the exact document, page and table behind every input to every percentage above.
The '(as published)' rows are quoted verbatim from Credit Suisse International's own disclosures and are recorded, with the exact document, page and verification state for each, in research/profitability/published_returns.jsonl under ‘CREDIT SUISSE INTERNATIONAL’.</t>
        </is>
      </c>
    </row>
  </sheetData>
  <mergeCells count="2">
    <mergeCell ref="A10:L10"/>
    <mergeCell ref="A12:L1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4" customWidth="1" min="1" max="1"/>
    <col width="15" customWidth="1" min="2" max="2"/>
    <col width="15" customWidth="1" min="3" max="3"/>
    <col width="15" customWidth="1" min="4" max="4"/>
    <col width="15" customWidth="1" min="5" max="5"/>
    <col width="15" customWidth="1" min="6" max="6"/>
  </cols>
  <sheetData>
    <row r="1">
      <c r="A1" s="1" t="inlineStr">
        <is>
          <t>Credit Suisse International — KM1 Key Metrics</t>
        </is>
      </c>
    </row>
    <row r="2">
      <c r="A2" s="2" t="inlineStr">
        <is>
          <t>CSi's own published 'KM1 - Key metrics template', reproduced whole IN USD MILLION as printed (not converted to sterling) and without row numbers, which CSi does not print. FY2021 is filled from the FY2022 edition's comparative column - see note.</t>
        </is>
      </c>
    </row>
    <row r="3">
      <c r="A3" s="4" t="inlineStr">
        <is>
          <t>Line item</t>
        </is>
      </c>
      <c r="B3" s="4" t="inlineStr">
        <is>
          <t>FY2025</t>
        </is>
      </c>
      <c r="C3" s="4" t="inlineStr">
        <is>
          <t>FY2024</t>
        </is>
      </c>
      <c r="D3" s="4" t="inlineStr">
        <is>
          <t>FY2023</t>
        </is>
      </c>
      <c r="E3" s="4" t="inlineStr">
        <is>
          <t>FY2022</t>
        </is>
      </c>
      <c r="F3" s="4" t="inlineStr">
        <is>
          <t>FY2021</t>
        </is>
      </c>
    </row>
    <row r="4">
      <c r="A4" s="5" t="inlineStr">
        <is>
          <t>Available own funds (amounts)</t>
        </is>
      </c>
      <c r="B4" s="6" t="n"/>
      <c r="C4" s="6" t="n"/>
      <c r="D4" s="6" t="n"/>
      <c r="E4" s="6" t="n"/>
      <c r="F4" s="6" t="n"/>
    </row>
    <row r="5">
      <c r="A5" s="6" t="inlineStr">
        <is>
          <t>Common Equity Tier 1 (CET1) capital (USD million)</t>
        </is>
      </c>
      <c r="B5" s="6" t="n">
        <v>3014</v>
      </c>
      <c r="C5" s="6" t="n">
        <v>6883</v>
      </c>
      <c r="D5" s="6" t="n">
        <v>12689</v>
      </c>
      <c r="E5" s="6" t="n">
        <v>14609</v>
      </c>
      <c r="F5" s="6" t="n">
        <v>15022</v>
      </c>
    </row>
    <row r="6">
      <c r="A6" s="6" t="inlineStr">
        <is>
          <t>Tier 1 capital (USD million)</t>
        </is>
      </c>
      <c r="B6" s="6" t="n">
        <v>3014</v>
      </c>
      <c r="C6" s="6" t="n">
        <v>6883</v>
      </c>
      <c r="D6" s="6" t="n">
        <v>13889</v>
      </c>
      <c r="E6" s="6" t="n">
        <v>15809</v>
      </c>
      <c r="F6" s="6" t="n">
        <v>15022</v>
      </c>
    </row>
    <row r="7">
      <c r="A7" s="6" t="inlineStr">
        <is>
          <t>Total capital (USD million)</t>
        </is>
      </c>
      <c r="B7" s="6" t="n">
        <v>3014</v>
      </c>
      <c r="C7" s="6" t="n">
        <v>6883</v>
      </c>
      <c r="D7" s="6" t="n">
        <v>13889</v>
      </c>
      <c r="E7" s="6" t="n">
        <v>15812</v>
      </c>
      <c r="F7" s="6" t="n">
        <v>15027</v>
      </c>
    </row>
    <row r="8">
      <c r="A8" s="5" t="inlineStr">
        <is>
          <t>Risk-weighted exposure amounts</t>
        </is>
      </c>
      <c r="B8" s="6" t="n"/>
      <c r="C8" s="6" t="n"/>
      <c r="D8" s="6" t="n"/>
      <c r="E8" s="6" t="n"/>
      <c r="F8" s="6" t="n"/>
    </row>
    <row r="9">
      <c r="A9" s="6" t="inlineStr">
        <is>
          <t>Total risk-weighted exposure amount (USD million)</t>
        </is>
      </c>
      <c r="B9" s="6" t="n">
        <v>2052</v>
      </c>
      <c r="C9" s="6" t="n">
        <v>10951</v>
      </c>
      <c r="D9" s="6" t="n">
        <v>34698</v>
      </c>
      <c r="E9" s="6" t="n">
        <v>60818</v>
      </c>
      <c r="F9" s="6" t="n">
        <v>62643</v>
      </c>
    </row>
    <row r="10">
      <c r="A10" s="5" t="inlineStr">
        <is>
          <t>Capital ratios (as a percentage of risk-weighted exposure amount)</t>
        </is>
      </c>
      <c r="B10" s="6" t="n"/>
      <c r="C10" s="6" t="n"/>
      <c r="D10" s="6" t="n"/>
      <c r="E10" s="6" t="n"/>
      <c r="F10" s="6" t="n"/>
    </row>
    <row r="11">
      <c r="A11" s="6" t="inlineStr">
        <is>
          <t>CET1 ratio (%)</t>
        </is>
      </c>
      <c r="B11" s="6" t="inlineStr">
        <is>
          <t>146.90%</t>
        </is>
      </c>
      <c r="C11" s="6" t="inlineStr">
        <is>
          <t>62.86%</t>
        </is>
      </c>
      <c r="D11" s="6" t="inlineStr">
        <is>
          <t>36.57%</t>
        </is>
      </c>
      <c r="E11" s="6" t="inlineStr">
        <is>
          <t>24.02%</t>
        </is>
      </c>
      <c r="F11" s="6" t="inlineStr">
        <is>
          <t>23.98%</t>
        </is>
      </c>
    </row>
    <row r="12">
      <c r="A12" s="6" t="inlineStr">
        <is>
          <t>Tier 1 ratio (%)</t>
        </is>
      </c>
      <c r="B12" s="6" t="inlineStr">
        <is>
          <t>146.90%</t>
        </is>
      </c>
      <c r="C12" s="6" t="inlineStr">
        <is>
          <t>62.86%</t>
        </is>
      </c>
      <c r="D12" s="6" t="inlineStr">
        <is>
          <t>40.03%</t>
        </is>
      </c>
      <c r="E12" s="6" t="inlineStr">
        <is>
          <t>25.99%</t>
        </is>
      </c>
      <c r="F12" s="6" t="inlineStr">
        <is>
          <t>23.98%</t>
        </is>
      </c>
    </row>
    <row r="13">
      <c r="A13" s="6" t="inlineStr">
        <is>
          <t>Total capital ratio (%)</t>
        </is>
      </c>
      <c r="B13" s="6" t="inlineStr">
        <is>
          <t>146.90%</t>
        </is>
      </c>
      <c r="C13" s="6" t="inlineStr">
        <is>
          <t>62.86%</t>
        </is>
      </c>
      <c r="D13" s="6" t="inlineStr">
        <is>
          <t>40.03%</t>
        </is>
      </c>
      <c r="E13" s="6" t="inlineStr">
        <is>
          <t>26.00%</t>
        </is>
      </c>
      <c r="F13" s="6" t="inlineStr">
        <is>
          <t>23.99%</t>
        </is>
      </c>
    </row>
    <row r="14">
      <c r="A14" s="5" t="inlineStr">
        <is>
          <t>Additional own funds requirements based on SREP (as a % of risk-weighted exposure amount)</t>
        </is>
      </c>
      <c r="B14" s="6" t="n"/>
      <c r="C14" s="6" t="n"/>
      <c r="D14" s="6" t="n"/>
      <c r="E14" s="6" t="n"/>
      <c r="F14" s="6" t="n"/>
    </row>
    <row r="15">
      <c r="A15" s="6" t="inlineStr">
        <is>
          <t>Additional CET1 SREP requirements (%)</t>
        </is>
      </c>
      <c r="B15" s="6" t="inlineStr">
        <is>
          <t>2.79%</t>
        </is>
      </c>
      <c r="C15" s="6" t="inlineStr">
        <is>
          <t>2.79%</t>
        </is>
      </c>
      <c r="D15" s="6" t="inlineStr">
        <is>
          <t>2.32%</t>
        </is>
      </c>
      <c r="E15" s="6" t="inlineStr">
        <is>
          <t>2.32%</t>
        </is>
      </c>
      <c r="F15" s="6" t="inlineStr">
        <is>
          <t>2.27%</t>
        </is>
      </c>
    </row>
    <row r="16">
      <c r="A16" s="6" t="inlineStr">
        <is>
          <t>Additional AT1 SREP requirements (%)</t>
        </is>
      </c>
      <c r="B16" s="6" t="inlineStr">
        <is>
          <t>0.93%</t>
        </is>
      </c>
      <c r="C16" s="6" t="inlineStr">
        <is>
          <t>0.93%</t>
        </is>
      </c>
      <c r="D16" s="6" t="inlineStr">
        <is>
          <t>0.77%</t>
        </is>
      </c>
      <c r="E16" s="6" t="inlineStr">
        <is>
          <t>0.77%</t>
        </is>
      </c>
      <c r="F16" s="6" t="inlineStr">
        <is>
          <t>0.76%</t>
        </is>
      </c>
    </row>
    <row r="17">
      <c r="A17" s="6" t="inlineStr">
        <is>
          <t>Additional T2 SREP requirements (%)</t>
        </is>
      </c>
      <c r="B17" s="6" t="inlineStr">
        <is>
          <t>1.24%</t>
        </is>
      </c>
      <c r="C17" s="6" t="inlineStr">
        <is>
          <t>1.24%</t>
        </is>
      </c>
      <c r="D17" s="6" t="inlineStr">
        <is>
          <t>1.03%</t>
        </is>
      </c>
      <c r="E17" s="6" t="inlineStr">
        <is>
          <t>1.03%</t>
        </is>
      </c>
      <c r="F17" s="6" t="inlineStr">
        <is>
          <t>1.01%</t>
        </is>
      </c>
    </row>
    <row r="18">
      <c r="A18" s="6" t="inlineStr">
        <is>
          <t>Total SREP own funds requirements (%)</t>
        </is>
      </c>
      <c r="B18" s="6" t="inlineStr">
        <is>
          <t>12.96%</t>
        </is>
      </c>
      <c r="C18" s="6" t="inlineStr">
        <is>
          <t>12.96%</t>
        </is>
      </c>
      <c r="D18" s="6" t="inlineStr">
        <is>
          <t>12.12%</t>
        </is>
      </c>
      <c r="E18" s="6" t="inlineStr">
        <is>
          <t>12.12%</t>
        </is>
      </c>
      <c r="F18" s="6" t="inlineStr">
        <is>
          <t>12.04%</t>
        </is>
      </c>
    </row>
    <row r="19">
      <c r="A19" s="5" t="inlineStr">
        <is>
          <t>Combined buffer requirement (as a % of risk-weighted exposure amount)</t>
        </is>
      </c>
      <c r="B19" s="6" t="n"/>
      <c r="C19" s="6" t="n"/>
      <c r="D19" s="6" t="n"/>
      <c r="E19" s="6" t="n"/>
      <c r="F19" s="6" t="n"/>
    </row>
    <row r="20">
      <c r="A20" s="6" t="inlineStr">
        <is>
          <t>Capital conservation buffer (%)</t>
        </is>
      </c>
      <c r="B20" s="6" t="inlineStr">
        <is>
          <t>2.50%</t>
        </is>
      </c>
      <c r="C20" s="6" t="inlineStr">
        <is>
          <t>2.50%</t>
        </is>
      </c>
      <c r="D20" s="6" t="inlineStr">
        <is>
          <t>2.50%</t>
        </is>
      </c>
      <c r="E20" s="6" t="inlineStr">
        <is>
          <t>2.49%</t>
        </is>
      </c>
      <c r="F20" s="6" t="inlineStr">
        <is>
          <t>2.51%</t>
        </is>
      </c>
    </row>
    <row r="21">
      <c r="A21" s="6" t="inlineStr">
        <is>
          <t>Institution specific countercyclical capital buffer (%)</t>
        </is>
      </c>
      <c r="B21" s="6" t="inlineStr">
        <is>
          <t>1.16%</t>
        </is>
      </c>
      <c r="C21" s="6" t="inlineStr">
        <is>
          <t>0.76%</t>
        </is>
      </c>
      <c r="D21" s="6" t="inlineStr">
        <is>
          <t>0.83%</t>
        </is>
      </c>
      <c r="E21" s="6" t="inlineStr">
        <is>
          <t>0.26%</t>
        </is>
      </c>
      <c r="F21" s="6" t="inlineStr">
        <is>
          <t>0.05%</t>
        </is>
      </c>
    </row>
    <row r="22">
      <c r="A22" s="6" t="inlineStr">
        <is>
          <t>Combined buffer requirement (%)</t>
        </is>
      </c>
      <c r="B22" s="6" t="inlineStr">
        <is>
          <t>3.66%</t>
        </is>
      </c>
      <c r="C22" s="6" t="inlineStr">
        <is>
          <t>3.26%</t>
        </is>
      </c>
      <c r="D22" s="6" t="inlineStr">
        <is>
          <t>3.33%</t>
        </is>
      </c>
      <c r="E22" s="6" t="inlineStr">
        <is>
          <t>2.75%</t>
        </is>
      </c>
      <c r="F22" s="6" t="inlineStr">
        <is>
          <t>2.55%</t>
        </is>
      </c>
    </row>
    <row r="23">
      <c r="A23" s="6" t="inlineStr">
        <is>
          <t>Overall capital requirements (%)</t>
        </is>
      </c>
      <c r="B23" s="6" t="inlineStr">
        <is>
          <t>16.62%</t>
        </is>
      </c>
      <c r="C23" s="6" t="inlineStr">
        <is>
          <t>16.22%</t>
        </is>
      </c>
      <c r="D23" s="6" t="inlineStr">
        <is>
          <t>15.45%</t>
        </is>
      </c>
      <c r="E23" s="6" t="inlineStr">
        <is>
          <t>14.87%</t>
        </is>
      </c>
      <c r="F23" s="6" t="inlineStr">
        <is>
          <t>14.59%</t>
        </is>
      </c>
    </row>
    <row r="24">
      <c r="A24" s="5" t="inlineStr">
        <is>
          <t>Leverage ratio</t>
        </is>
      </c>
      <c r="B24" s="6" t="n"/>
      <c r="C24" s="6" t="n"/>
      <c r="D24" s="6" t="n"/>
      <c r="E24" s="6" t="n"/>
      <c r="F24" s="6" t="n"/>
    </row>
    <row r="25">
      <c r="A25" s="6" t="inlineStr">
        <is>
          <t>Leverage ratio total exposure measure (USD million)</t>
        </is>
      </c>
      <c r="B25" s="6" t="n">
        <v>5679</v>
      </c>
      <c r="C25" s="6" t="n">
        <v>32521</v>
      </c>
      <c r="D25" s="6" t="n">
        <v>78135</v>
      </c>
      <c r="E25" s="6" t="n">
        <v>126360</v>
      </c>
      <c r="F25" s="6" t="n">
        <v>201010</v>
      </c>
    </row>
    <row r="26">
      <c r="A26" s="6" t="inlineStr">
        <is>
          <t>Leverage ratio (%)</t>
        </is>
      </c>
      <c r="B26" s="6" t="inlineStr">
        <is>
          <t>53.08%</t>
        </is>
      </c>
      <c r="C26" s="6" t="inlineStr">
        <is>
          <t>21.16%</t>
        </is>
      </c>
      <c r="D26" s="6" t="inlineStr">
        <is>
          <t>17.78%</t>
        </is>
      </c>
      <c r="E26" s="6" t="inlineStr">
        <is>
          <t>12.51%</t>
        </is>
      </c>
      <c r="F26" s="6" t="inlineStr">
        <is>
          <t>7.47%</t>
        </is>
      </c>
    </row>
    <row r="27">
      <c r="A27" s="5" t="inlineStr">
        <is>
          <t>Additional own funds requirements to address risks of excessive leverage (as a % of leverage ratio total exposure amount)</t>
        </is>
      </c>
      <c r="B27" s="6" t="n"/>
      <c r="C27" s="6" t="n"/>
      <c r="D27" s="6" t="n"/>
      <c r="E27" s="6" t="n"/>
      <c r="F27" s="6" t="n"/>
    </row>
    <row r="28">
      <c r="A28" s="6" t="inlineStr">
        <is>
          <t>Overall leverage ratio requirements (%)</t>
        </is>
      </c>
      <c r="B28" s="6" t="inlineStr">
        <is>
          <t>3.25%</t>
        </is>
      </c>
      <c r="C28" s="6" t="inlineStr">
        <is>
          <t>3.25%</t>
        </is>
      </c>
      <c r="D28" s="6" t="inlineStr">
        <is>
          <t>3.25%</t>
        </is>
      </c>
      <c r="E28" s="6" t="inlineStr">
        <is>
          <t>3.25%</t>
        </is>
      </c>
      <c r="F28" s="6" t="inlineStr">
        <is>
          <t>-</t>
        </is>
      </c>
    </row>
    <row r="29">
      <c r="A29" s="5" t="inlineStr">
        <is>
          <t>Liquidity Coverage Ratio</t>
        </is>
      </c>
      <c r="B29" s="6" t="n"/>
      <c r="C29" s="6" t="n"/>
      <c r="D29" s="6" t="n"/>
      <c r="E29" s="6" t="n"/>
      <c r="F29" s="6" t="n"/>
    </row>
    <row r="30">
      <c r="A30" s="6" t="inlineStr">
        <is>
          <t>Total high-quality liquid assets (HQLA) (Weighted value - average) (USD million)</t>
        </is>
      </c>
      <c r="B30" s="6" t="n">
        <v>8090</v>
      </c>
      <c r="C30" s="6" t="n">
        <v>15031</v>
      </c>
      <c r="D30" s="6" t="n">
        <v>15364</v>
      </c>
      <c r="E30" s="6" t="n">
        <v>25457</v>
      </c>
      <c r="F30" s="6" t="n">
        <v>21785</v>
      </c>
    </row>
    <row r="31">
      <c r="A31" s="6" t="inlineStr">
        <is>
          <t>Cash outflows - Total weighted value (USD million)</t>
        </is>
      </c>
      <c r="B31" s="6" t="n">
        <v>4026</v>
      </c>
      <c r="C31" s="6" t="n">
        <v>7295</v>
      </c>
      <c r="D31" s="6" t="n">
        <v>11376</v>
      </c>
      <c r="E31" s="6" t="n">
        <v>27983</v>
      </c>
      <c r="F31" s="6" t="n">
        <v>23697</v>
      </c>
    </row>
    <row r="32">
      <c r="A32" s="6" t="inlineStr">
        <is>
          <t>Cash inflows - Total weighted value (USD million)</t>
        </is>
      </c>
      <c r="B32" s="6" t="n">
        <v>1614</v>
      </c>
      <c r="C32" s="6" t="n">
        <v>3042</v>
      </c>
      <c r="D32" s="6" t="n">
        <v>5386</v>
      </c>
      <c r="E32" s="6" t="n">
        <v>11376</v>
      </c>
      <c r="F32" s="6" t="n">
        <v>9506</v>
      </c>
    </row>
    <row r="33">
      <c r="A33" s="6" t="inlineStr">
        <is>
          <t>Total net cash outflows (adjusted value) (USD million)</t>
        </is>
      </c>
      <c r="B33" s="6" t="n">
        <v>2412</v>
      </c>
      <c r="C33" s="6" t="n">
        <v>4253</v>
      </c>
      <c r="D33" s="6" t="n">
        <v>5990</v>
      </c>
      <c r="E33" s="6" t="n">
        <v>16608</v>
      </c>
      <c r="F33" s="6" t="n">
        <v>14191</v>
      </c>
    </row>
    <row r="34">
      <c r="A34" s="6" t="inlineStr">
        <is>
          <t>Liquidity coverage ratio (%)</t>
        </is>
      </c>
      <c r="B34" s="6" t="inlineStr">
        <is>
          <t>341.45%</t>
        </is>
      </c>
      <c r="C34" s="6" t="inlineStr">
        <is>
          <t>363.29%</t>
        </is>
      </c>
      <c r="D34" s="6" t="inlineStr">
        <is>
          <t>280.3%</t>
        </is>
      </c>
      <c r="E34" s="6" t="inlineStr">
        <is>
          <t>150.4%</t>
        </is>
      </c>
      <c r="F34" s="6" t="inlineStr">
        <is>
          <t>152.7%</t>
        </is>
      </c>
    </row>
    <row r="35">
      <c r="A35" s="5" t="inlineStr">
        <is>
          <t>Net Stable Funding Ratio</t>
        </is>
      </c>
      <c r="B35" s="6" t="n"/>
      <c r="C35" s="6" t="n"/>
      <c r="D35" s="6" t="n"/>
      <c r="E35" s="6" t="n"/>
      <c r="F35" s="6" t="n"/>
    </row>
    <row r="36">
      <c r="A36" s="6" t="inlineStr">
        <is>
          <t>Total available stable funding (USD million)</t>
        </is>
      </c>
      <c r="B36" s="6" t="n">
        <v>6345</v>
      </c>
      <c r="C36" s="6" t="n">
        <v>17503</v>
      </c>
      <c r="D36" s="6" t="n">
        <v>30356</v>
      </c>
      <c r="E36" s="6" t="n">
        <v>49315</v>
      </c>
      <c r="F36" s="6" t="inlineStr">
        <is>
          <t>-</t>
        </is>
      </c>
    </row>
    <row r="37">
      <c r="A37" s="6" t="inlineStr">
        <is>
          <t>Total required stable funding (USD million)</t>
        </is>
      </c>
      <c r="B37" s="6" t="n">
        <v>1903</v>
      </c>
      <c r="C37" s="6" t="n">
        <v>8693</v>
      </c>
      <c r="D37" s="6" t="n">
        <v>24166</v>
      </c>
      <c r="E37" s="6" t="n">
        <v>38717</v>
      </c>
      <c r="F37" s="6" t="inlineStr">
        <is>
          <t>-</t>
        </is>
      </c>
    </row>
    <row r="38">
      <c r="A38" s="6" t="inlineStr">
        <is>
          <t>NSFR ratio (%)</t>
        </is>
      </c>
      <c r="B38" s="6" t="inlineStr">
        <is>
          <t>384.98%</t>
        </is>
      </c>
      <c r="C38" s="6" t="inlineStr">
        <is>
          <t>214.78%</t>
        </is>
      </c>
      <c r="D38" s="6" t="inlineStr">
        <is>
          <t>125.6%</t>
        </is>
      </c>
      <c r="E38" s="6" t="inlineStr">
        <is>
          <t>127.5%</t>
        </is>
      </c>
      <c r="F38" s="6" t="inlineStr">
        <is>
          <t>-</t>
        </is>
      </c>
    </row>
    <row r="40" ht="409" customHeight="1">
      <c r="A40" s="8" t="inlineStr">
        <is>
          <t>Sources - Credit Suisse International's own published 'KM1 - Key metrics template', reproduced whole in CSi's own row order, labels and precision.
THIS SHEET IS IN USD MILLION, the currency and unit CSi prints the template in ('end of (USD million)'). It is deliberately NOT converted to sterling. Every other Pillar 3 sheet in this workbook is converted at the year-end spot rate and is headed '£m (conv. from USD)'; a prescribed template is reproduced as published, so amounts here will not tie to those sheets by inspection. The percentage rows are currency-free and do tie.
CSi PRINTS THIS TEMPLATE WITHOUT ROW NUMBERS. The UK KM1 row numbering ('1', 'UK 7a', 'UK 16b', ...) does not appear in any CSi edition - the table is a Credit Suisse house format carrying the row LABELS only. That was confirmed by rendering the page image, not merely by text extraction. No row numbers have been added here, since inventing them would misrepresent what the Bank published.
FY2025: Pillar 3 Disclosures 2025, 'KM1 - Key metrics template', printed folio 6 (2025 column) - https://www.ubs.com/global/en/collections/credit-suisse/investment-bank/regulatory-directory/international/_jcr_content/root/contentarea/mainpar/toplevelgrid_840462106/col_1/accordion/accordionsplit/linklistnewlook/link_copy_copy_20862_2004292923.958213743.file/PS9jb250ZW50L2RhbS9hc3NldHMvZ2xvYmFsL2VuL2NvbGxlY3Rpb25zL2NyZWRpdC1zdWlzc2UvZG9jdW1lbnRzL2ludGVybmF0aW9uYWwtZG9jdW1lbnRzL2NzaS1waWxsYXItMjAyNS1kaXNjbG9zdXJlLXY2LnBkZg==/csi-pillar-2025-disclosure-v6.pdf
FY2024: Pillar 3 Disclosures 2024, printed folio 8 (2024 column) - https://www.ubs.com/global/en/collections/credit-suisse/investment-bank/regulatory-directory/international/_jcr_content/root/contentarea/mainpar/toplevelgrid_840462106/col_1/accordion/accordionsplit/linklistnewlook/link_copy_copy_20862.0656872784.file/PS9jb250ZW50L2RhbS9hc3NldHMvY2MvaW52ZXN0b3ItcmVsYXRpb25zL2NvbXBsZW1lbnRhcnktZmluYW5jaWFsLWluZm9ybWF0aW9uL2FyY2hpdmUvMjAyNC8yMDI0LWNzaS1waWxsYXItMy1kaXNjbG9zdXJlcy5wZGY=/2024-csi-pillar-3-disclosures.pdf
FY2023: Pillar 3 Disclosures 2023, printed folio 6 (Q4 2023 column) - https://www.ubs.com/global/en/investor-relations/complementary-financial-information/disclosure-legal-entities/archive-credit-suisse/_jcr_content/root/contentarea/mainpar/toplevelgrid_1145414446/col_1/accordionbox/accordionsplit_485894160/table.0884404004.file/dGFibGVUZXh0PS9jb250ZW50L2RhbS9hc3NldHMvY2MvaW52ZXN0b3ItcmVsYXRpb25zL2NvbXBsZW1lbnRhcnktZmluYW5jaWFsLWluZm9ybWF0aW9uL2FyY2hpdmUvMjAyMy8yMDIzLWNzaS1waWxsYXItMy1kaXNjbG9zdXJlcy5wZGY=/2023-csi-pillar-3-disclosures.pdf
FY2022: Pillar 3 Disclosures 2022, printed folio 6 (2022 column) - https://www.ubs.com/global/en/investor-relations/complementary-financial-information/disclosure-legal-entities/archive-credit-suisse/_jcr_content/root/contentarea/mainpar/toplevelgrid_1145414446/col_1/accordionbox/accordionsplit_1343042181/innergrid/col_1/table.0589413556.file/dGFibGVUZXh0PS9jb250ZW50L2RhbS9hc3NldHMvY2MvaW52ZXN0b3ItcmVsYXRpb25zL2NvbXBsZW1lbnRhcnktZmluYW5jaWFsLWluZm9ybWF0aW9uL2FyY2hpdmUvMjAyMi9jc2ktcGlsbGFyLTMtZGlzY2xvc3VyZXMtMjAyMi5wZGY=/csi-pillar-3-disclosures-2022.pdf
FOLIO NOTE: the citations above give the folio printed on the page itself. Other sheets in this workbook cite these same tables as 'p.5', which is the PDF sheet index, one or more ahead of the printed folio (the FY2022 and FY2023 KM1 both sit on PDF sheet 8 bearing printed folio 6). The printed folio is used here.</t>
        </is>
      </c>
    </row>
    <row r="42" ht="409" customHeight="1">
      <c r="A42" s="8" t="inlineStr">
        <is>
          <t xml:space="preserve">(continued)
FY2021: FILLED FROM A LATER EDITION'S COMPARATIVE, and flagged rather than presented as an own-year figure. CSi's FY2021 edition prints NO KM1 template at all, which was established three independent ways: a page-by-page scan of all 85 pages finds no page containing 'KM1'; the only matches for 'key metrics' anywhere in the document are interest-rate-risk prose ('monitoring of key metrics including survival days', 'the following key metrics: The economic impacts of adverse shifts in interest rates'); and a phrase-level control shows zero occurrences of 'combined buffer', 'total exposure measure' and 'Total SREP' while the same document returns healthy counts for 'own funds' (7), 'risk-weighted' (10), 'countercyclical' (5) and 'high-quality liquid' (4) - so the text extracts fine and the template is genuinely absent. The FY2021 column here is the FY2022 edition's own '2021' comparative column (https://www.ubs.com/global/en/investor-relations/complementary-financial-information/disclosure-legal-entities/archive-credit-suisse/_jcr_content/root/contentarea/mainpar/toplevelgrid_1145414446/col_1/accordionbox/accordionsplit_1343042181/innergrid/col_1/table.0589413556.file/dGFibGVUZXh0PS9jb250ZW50L2RhbS9hc3NldHMvY2MvaW52ZXN0b3ItcmVsYXRpb25zL2NvbXBsZW1lbnRhcnktZmluYW5jaWFsLWluZm9ybWF0aW9uL2FyY2hpdmUvMjAyMi9jc2ktcGlsbGFyLTMtZGlzY2xvc3VyZXMtMjAyMi5wZGY=/csi-pillar-3-disclosures-2022.pdf); the FY2021 edition itself is at https://web.archive.org/web/2024id_/https://www.credit-suisse.com/media/assets/corporate/docs/about-us/investor-relations/regulatory-disclosures/csi-pillar-3-disclosures-2021.pdf.
DASHES ARE REPRODUCED AS DASHES, and are never turned into zeroes. The FY2022 edition's 2021 comparative column prints an en-dash for 'Overall leverage ratio requirements' and for all three Net Stable Funding Ratio rows, and those four cells CARRY that dash rather than being left empty. The distinction is the point: NSFR became a disclosed KM1 line for CSi only from FY2022, so for 2021 CSi is saying the line did not apply to it, which is a different statement from never having published the row - and different again from a measured nil, which would be a printed zero. Re-read at source 2026-09-18 in that edition's 'KM1 - Key metrics template'; the same column prints ordinary figures on every other row, so the dashes are deliberate rather than an artefact of a missing column.
FY2022 CROSS-EDITION DIVERGENCE, documented rather than reconciled. This sheet follows the rule that each year is taken from its OWN edition, so the FY2022 column is the FY2022 document's originally published figures: Total risk-weighted exposure amount 60,818, CET1 ratio 24.02%, Tier 1 ratio 25.99% and Total capital ratio 26.00%. The FY2023 edition later RESTATES that same date to 60,646 / 24.09% / 26.07% / 26.07%. The Total RWAs, CET1 Ratio and Total Capital Ratio metric sheets in this workbook carry the RESTATED figures (a deliberate earlier choice, so that capital, RWA and ratio stay internally consistent across those three sheets - see the CET1 note there). Both sets are correct on their own basis. A verifier disagreement on the FY2022 ratio rows is the expected consequence of that difference and must not be removed by editing a figure on either side.
LATEST-EDITION CHECK (2026-09-17): the UBS-hosted Credit Suisse regulatory directory was fetched directly. The newest CSi Pillar 3 is the 2025 edition used above, so this workbook is current.
</t>
        </is>
      </c>
    </row>
  </sheetData>
  <mergeCells count="2">
    <mergeCell ref="A40:F40"/>
    <mergeCell ref="A42:F4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Credit Suisse International — CET1 Capital</t>
        </is>
      </c>
    </row>
    <row r="2">
      <c r="A2" s="2" t="inlineStr">
        <is>
          <t>£m (conv. from USD) - see note</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Common Equity Tier 1 (CET1) capital</t>
        </is>
      </c>
      <c r="B4" s="6" t="n">
        <v>2241.2</v>
      </c>
      <c r="C4" s="6" t="n">
        <v>5499.8</v>
      </c>
      <c r="D4" s="6" t="n">
        <v>9966.200000000001</v>
      </c>
      <c r="E4" s="6" t="n">
        <v>12076.5</v>
      </c>
      <c r="F4" s="6" t="n">
        <v>11110.1</v>
      </c>
      <c r="G4" s="6" t="n">
        <v>15020.9</v>
      </c>
      <c r="H4" s="6" t="n">
        <v>15411.8</v>
      </c>
      <c r="I4" s="6" t="n">
        <v>16657.5</v>
      </c>
      <c r="J4" s="6" t="n">
        <v>15603.3</v>
      </c>
      <c r="K4" s="6" t="n">
        <v>17087.7</v>
      </c>
      <c r="L4" s="6" t="n">
        <v>14330.3</v>
      </c>
    </row>
    <row r="5" ht="130" customHeight="1">
      <c r="A5" s="7" t="inlineStr">
        <is>
          <t>Note: FY2022/FY2023 CET1 FILLED 2026-09-15 (was blank): CSi's own KM1 key-metrics template DOES print a separate 'Common Equity Tier 1 (CET1) capital' amount and 'Common Equity Tier 1 ratio (%)' line in every year, including the two years in which CET1 differs from Tier 1 - an earlier session's note (kept below) wrongly stated CET1 was 'NOT separately disclosed anywhere in the FY2021-FY2025 source', which was true only of the Annual Report's KPI table, not of the Pillar 3 documents. Both years were confirmed from TWO independent documents that agree exactly on the amounts: CSi Pillar 3 Disclosures 2023 (KM1, p.5; Q4 2023 CET1 $12,689m / 36.57% and its own Q4 2022 comparative CET1 $14,609m / 24.09%) and CSi Pillar 3 Disclosures 2024 (KM1, p.5; its 2023 comparative column repeats $12,689m / 36.57%) and CSi Pillar 3 Disclosures 2022 (KM1, p.5; own-year 2022 CET1 $14,609m). Each year's Tier 1 less CET1 is exactly $1,200m, matching the AT1 instrument's carrying value in the Statement of Changes in Equity.
FY2022 RATIO BASIS: the FY2022 document's own originally-published CET1 ratio is 24.02%, computed against that document's own then-current Total RWA of $60,818m; the FY2023 document restates FY2022 RWA to $60,646m and the CET1 ratio to 24.09%. This workbook already carries the RESTATED $60,646m on its Total RWAs sheet and the restated 26.07% on its Total Capital Ratio sheet, so the restated 24.09% is used here too, keeping the sheet internally consistent (14,609/60,646 = 24.09%); the originally-published 24.02% is recorded here rather than silently dropped.
AT1 BACKGROUND (original note, retained): the Annual Report's own KPI table gives only a combined 'Tier 1 capital' figure and ratio. The Statement of Changes in Equity shows Additional Tier 1 (AT1) instruments of $1,200m outstanding at 31 Dec 2022 and 31 Dec 2023 only (issued during FY2022, repatriated during FY2024) - so CET1 = Tier 1 for FY2021/FY2024/FY2025 (confirmed zero AT1 those years), while CET1 &lt; Tier 1 for FY2022/FY2023. FY2015-FY2020 (added for HD-020): each year's own standalone Pillar 3 disclosure states explicitly 'CSi has no AT1 capital' (or shows a combined 'Tier 1 (and CET1) capital' line, same treatment) - CSI held no Additional Tier 1 instruments at all in this window, so CET1 = Tier 1 exactly for all of FY2015-FY2020, not estimated.</t>
        </is>
      </c>
    </row>
    <row r="7" ht="390" customHeight="1">
      <c r="A7" s="8" t="inlineStr">
        <is>
          <t>Sources - Credit Suisse International capital/RWA basis: the FY2025 Annual Report's own 'Key Performance Indicators' table (p.6), which discloses Risk Weighted Assets, Tier 1 capital, and Tier 1 capital ratio for all 5 years (2021-2025) as at each year-end - https://find-and-update.company-information.service.gov.uk/company/02500199/filing-history/MzUxNDA4Njk0M2FkaXF6a2N4/document?format=pdf&amp;download=0. This report explicitly states 'Pillar 3 disclosures required under the Capital Requirements Regulation (CRR) can be found separately at http://www.ubs.com'. Converted from USD to GBP using the same FX methodology as the Cash Flow Statement sheet (SPOT rate at each year-end); % ratios shown exactly as disclosed, not converted.
FY2021-FY2024 PILLAR 3 DOCUMENTS RECOVERED (2026-09-12): an earlier session concluded the standalone CSi Pillar 3 document 'was not locatable' for FY2021-FY2025 and left Total Capital, Total Capital Ratio, Leverage Ratio, LCR and NSFR blank on that basis. That conclusion was wrong for four of those five years. CSi publishes a full KM1 key-metrics template every year, recovered as follows:
FY2024: KM1, p.5 - UBS-hosted '2024-csi-pillar-3-disclosures.pdf' (the same document already cited on the RWA Breakdown sheet for its OV1 table), retrieved via web.archive.org - https://www.ubs.com/global/en/collections/credit-suisse/investment-bank/regulatory-directory/international/_jcr_content/root/contentarea/mainpar/toplevelgrid_840462106/col_1/accordion/accordionsplit/linklistnewlook/link_copy_copy_20862.0656872784.file/PS9jb250ZW50L2RhbS9hc3NldHMvY2MvaW52ZXN0b3ItcmVsYXRpb25zL2NvbXBsZW1lbnRhcnktZmluYW5jaWFsLWluZm9ybWF0aW9uL2FyY2hpdmUvMjAyNC8yMDI0LWNzaS1waWxsYXItMy1kaXNjbG9zdXJlcy5wZGY=/2024-csi-pillar-3-disclosures.pdf
FY2023: KM1, p.5 - UBS-hosted '2023-csi-pillar-3-disclosures.pdf', likewise already cited on the RWA Breakdown sheet, retrieved via web.archive.org - https://www.ubs.com/global/en/investor-relations/complementary-financial-information/disclosure-legal-entities/archive-credit-suisse/_jcr_content/root/contentarea/mainpar/toplevelgrid_1145414446/col_1/accordionbox/accordionsplit_485894160/table.0884404004.file/dGFibGVUZXh0PS9jb250ZW50L2RhbS9hc3NldHMvY2MvaW52ZXN0b3ItcmVsYXRpb25zL2NvbXBsZW1lbnRhcnktZmluYW5jaWFsLWluZm9ybWF0aW9uL2FyY2hpdmUvMjAyMy8yMDIzLWNzaS1waWxsYXItMy1kaXNjbG9zdXJlcy5wZGY=/2023-csi-pillar-3-disclosures.pdf
FY2022: KM1, p.5 - Credit Suisse International Pillar 3 Disclosures 2022, retrieved via web.archive.org from the pre-migration credit-suisse.com pattern - https://web.archive.org/web/2024id_/https://www.credit-suisse.com/media/assets/corporate/docs/about-us/investor-relations/regulatory-disclosures/csi-pillar-3-disclosures-2022.pdf
FY2021: capital composition/'Capital ratios' tables, p.4-5, plus the leverage-ratio (LRCom, p.9) and LCR (p.11) tables - Credit Suisse International Pillar 3 Disclosures 2021, same pre-migration pattern via web.archive.org - https://web.archive.org/web/2024id_/https://www.credit-suisse.com/media/assets/corporate/docs/about-us/investor-relations/regulatory-disclosures/csi-pillar-3-disclosures-2021.pdf
Each recovered year's figures were cross-checked against the following year's own KM1 comparative column and agree exactly (FY2021 CET1/Tier 1 $15,022m, Total capital $15,027m, Total RWA $62,643m all confirmed in both FY2021's and FY2022's own documents).
FY2022/FY2023 CET1 GAP CLOSED (2026-09-15): the same three KM1 templates also carry the separate CET1 amount and CET1 ratio lines that the CET1 Capital / CET1 Ratio sheets previously left blank for these two years (see those sheets' own note for the figures, the two-document cross-check and the FY2022 restated-vs-originally-published ratio point). The FY2024 and FY2023 UBS-hosted documents both return HTTP 403 to scripted requests against ubs.com from this environment; both were retrieved instead through the Wayback Machine's id_ replay of those exact UBS URLs (https://web.archive.org/web/2025id_/&lt;the UBS URL below&gt;), and the FY2022 document from the pre-migration credit-suisse.com URL already listed here. All three are genuine PDFs (0.8-2.6MB), not soft-404 HTML.
FY2025 NOW OBTAINED (2026-09-15) - the access block is resolved. ubs.com returns HTTP 403 to scripted requests from this environment and the Wayback Machine has no capture, so the PDF was downloaded manually in an ordinary browser and transcribed from the local copy. Source: Credit Suisse International Pillar 3 Disclosures 2025, 'KM1 - Key metrics template', p.6 (Total capital, Total capital ratio, Leverage ratio, LCR, NSFR; CET1/Tier 1/Total RWA on the same table confirm the figures already carried here from the Annual Report's KPI table). That document's own 2024 comparative column reproduces every FY2024 figure already on these sheets exactly (CET1/Tier 1/Total capital $6,883m, Total RWA $10,951m, ratios 62.86%, leverage 21.16%, LCR 363.29%, NSFR 214.78%), confirming an unbroken basis across the two years. Its 'Own Funds' section (p.7) states 'CSi has no AT1 capital or Tier 2 capital instruments', so CET1 = Tier 1 = Total capital = $3,014m for FY2025 as disclosed, not inferred. The live URL, fetchable in an ordinary browser, is:
https://www.ubs.com/global/en/collections/credit-suisse/investment-bank/regulatory-directory/international/_jcr_content/root/contentarea/mainpar/toplevelgrid_840462106/col_1/accordion/accordionsplit/linklistnewlook/link_copy_copy_20862_2004292923.958213743.file/PS9jb250ZW50L2RhbS9hc3NldHMvZ2xvYmFsL2VuL2NvbGxlY3Rpb25zL2NyZWRpdC1zdWlzc2UvZG9jdW1lbnRzL2ludGVybmF0aW9uYWwtZG9jdW1lbnRzL2NzaS1waWxsYXItMjAyNS1kaXNjbG9zdXJlLXY2LnBkZg==/csi-pillar-2025-disclosure-v6.pdf
FY2015-FY2020 (added for HD-020): CSI's own standalone Pillar 3 disclosure PDFs (real text layers, not scanned), each headed 'Capital management' and each containing its own capital composition/capital ratios table plus (from FY2017 onward) an 'OV1 - Overview of RWA' breakdown table. These are no longer hosted live at credit-suisse.com following the 2023 UBS acquisition/site migration (confirmed via a Wayback Machine CDX API re-scan this session) - retrieved via web.archive.org:
FY2020: Credit Suisse International Pillar 3 Disclosures 2020, p.5 (capital)/p.7 (RWA) - https://web.archive.org/web/20210627075334id_/https://www.credit-suisse.com/media/assets/corporate/docs/about-us/investor-relations/regulatory-disclosures/csi-pillar-3-disclosures-2020.pdf</t>
        </is>
      </c>
    </row>
    <row r="9" ht="195" customHeight="1">
      <c r="A9" s="8" t="inlineStr">
        <is>
          <t>(continued)
FY2019: Credit Suisse International Pillar 3 Disclosures 2019, p.5 (capital)/p.6 (RWA) - https://web.archive.org/web/20210627075339id_/https://www.credit-suisse.com/media/assets/corporate/docs/about-us/investor-relations/regulatory-disclosures/csi-pillar-3-disclosures-2019.pdf
FY2018: Credit Suisse International Pillar 3 Disclosures 2018, p.5 (capital)/p.6 (RWA) - https://web.archive.org/web/20210627075317id_/https://www.credit-suisse.com/media/assets/corporate/docs/about-us/investor-relations/regulatory-disclosures/csi-pillar-3-disclosures-2018.pdf
FY2017: Credit Suisse International Pillar 3 Disclosures 2017, p.6 (capital)/p.8 (RWA) - https://web.archive.org/web/20210627075328id_/https://www.credit-suisse.com/media/assets/about-us/docs/investor-relations/financial-regulatory-disclosures/regulatory-disclosures/regulatory-disclosures-subsidiaries/csi-pillar-3-disclosures-2017.pdf
FY2016: Credit Suisse International Pillar 3 Disclosures 2016, p.5 (capital)/p.7 (RWA, Basel II/III-era template - see RWA Breakdown sheet's own note) - https://web.archive.org/web/20170629113020id_/https://www.credit-suisse.com/media/assets/corporate/docs/about-us/investor-relations/regulatory-disclosures/csi-pillar-3-disclosures-2016.pdf
FY2015: Credit Suisse International Pillar 3 Disclosures 2015, p.5 (capital)/p.7 (RWA, Basel II/III-era template) - https://web.archive.org/web/20210627075342id_/https://www.credit-suisse.com/media/assets/corporate/docs/about-us/investor-relations/regulatory-disclosures/csi-pillar-3-disclosures-2015.pdf
BASEL II/III-ERA CAVEAT: FY2015-FY2016's Pillar 3 disclosures pre-date the CRR II 'OV1' RWA-breakdown template used from FY2017 onward - they report RWA under three broader buckets ('Total credit and counterparty credit risk' including CVA, 'Total market risk', 'Total other risks' covering default-fund contributions/operational risk/large exposures) rather than the 8-line OV1 categories. CET1 is not a distinct concept in any of FY2015-FY2020's disclosures either (CSI had no Additional Tier 1 instruments in this window, so CET1 = Tier 1 throughout - stated explicitly in each year's own document).
FX conversion: point-in-time figures (cash balances, Tier 1 capital, RWA) converted at the Bank of England GBP/USD SPOT rate as at each fiscal year-end; flow figures (every cash flow statement line item) converted at the AVERAGE rate over that fiscal year. Rates used (£1 = $X): 31 Dec 2014 spot 1.5608 (FY2015 opening cash only); FY2015 spot 1.4819 / average 1.5283; FY2016 spot 1.2303 / average 1.3550; FY2017 spot 1.3510 / average 1.2885; FY2018 spot 1.2769 / average 1.3347; FY2019 spot 1.3210 / average 1.2765; FY2020 spot 1.3661 / average 1.2837; FY2021 spot 1.3521 / average 1.3752; FY2022 spot 1.2097 / average 1.2362; FY2023 spot 1.2732 / average 1.2439; FY2024 spot 1.2515 / average 1.2782; FY2025 spot 1.3448 / average 1.3193. FY2021-FY2025 rates reuse the table already established for Zenith Bank UK (identical 31 December year-end); FY2014-FY2019 rates were independently sourced this session from poundsterlinglive.com's Bank-of-England-spot and annual-average history pages for HD-020's FY2015-FY2020 extension. Converting stocks and flows at different rates means the statement doesn't tie in GBP by itself - an 'Effect of GBP/USD translation' line is included, computed programmatically as the balancing figure (never hardcoded), labelled clearly as a translation artefact with no bearing on CSI's actual results.</t>
        </is>
      </c>
    </row>
  </sheetData>
  <mergeCells count="3">
    <mergeCell ref="A5:L5"/>
    <mergeCell ref="A7:L7"/>
    <mergeCell ref="A9:L9"/>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Credit Suisse International — CET1 Ratio</t>
        </is>
      </c>
    </row>
    <row r="2">
      <c r="A2" s="2" t="inlineStr">
        <is>
          <t>% - see note</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CET1 Ratio</t>
        </is>
      </c>
      <c r="B4" s="6" t="inlineStr">
        <is>
          <t>146.9%</t>
        </is>
      </c>
      <c r="C4" s="6" t="inlineStr">
        <is>
          <t>62.9%</t>
        </is>
      </c>
      <c r="D4" s="6" t="inlineStr">
        <is>
          <t>36.57%</t>
        </is>
      </c>
      <c r="E4" s="6" t="inlineStr">
        <is>
          <t>24.09%</t>
        </is>
      </c>
      <c r="F4" s="6" t="inlineStr">
        <is>
          <t>24.0%</t>
        </is>
      </c>
      <c r="G4" s="6" t="inlineStr">
        <is>
          <t>19.3%</t>
        </is>
      </c>
      <c r="H4" s="6" t="inlineStr">
        <is>
          <t>26.4%</t>
        </is>
      </c>
      <c r="I4" s="6" t="inlineStr">
        <is>
          <t>20.5%</t>
        </is>
      </c>
      <c r="J4" s="6" t="inlineStr">
        <is>
          <t>20%</t>
        </is>
      </c>
      <c r="K4" s="6" t="inlineStr">
        <is>
          <t>16.6%</t>
        </is>
      </c>
      <c r="L4" s="6" t="inlineStr">
        <is>
          <t>13.0%</t>
        </is>
      </c>
    </row>
    <row r="5" ht="130" customHeight="1">
      <c r="A5" s="7" t="inlineStr">
        <is>
          <t>Note: FY2022/FY2023 CET1 FILLED 2026-09-15 (was blank): CSi's own KM1 key-metrics template DOES print a separate 'Common Equity Tier 1 (CET1) capital' amount and 'Common Equity Tier 1 ratio (%)' line in every year, including the two years in which CET1 differs from Tier 1 - an earlier session's note (kept below) wrongly stated CET1 was 'NOT separately disclosed anywhere in the FY2021-FY2025 source', which was true only of the Annual Report's KPI table, not of the Pillar 3 documents. Both years were confirmed from TWO independent documents that agree exactly on the amounts: CSi Pillar 3 Disclosures 2023 (KM1, p.5; Q4 2023 CET1 $12,689m / 36.57% and its own Q4 2022 comparative CET1 $14,609m / 24.09%) and CSi Pillar 3 Disclosures 2024 (KM1, p.5; its 2023 comparative column repeats $12,689m / 36.57%) and CSi Pillar 3 Disclosures 2022 (KM1, p.5; own-year 2022 CET1 $14,609m). Each year's Tier 1 less CET1 is exactly $1,200m, matching the AT1 instrument's carrying value in the Statement of Changes in Equity.
FY2022 RATIO BASIS: the FY2022 document's own originally-published CET1 ratio is 24.02%, computed against that document's own then-current Total RWA of $60,818m; the FY2023 document restates FY2022 RWA to $60,646m and the CET1 ratio to 24.09%. This workbook already carries the RESTATED $60,646m on its Total RWAs sheet and the restated 26.07% on its Total Capital Ratio sheet, so the restated 24.09% is used here too, keeping the sheet internally consistent (14,609/60,646 = 24.09%); the originally-published 24.02% is recorded here rather than silently dropped.
AT1 BACKGROUND (original note, retained): the Annual Report's own KPI table gives only a combined 'Tier 1 capital' figure and ratio. The Statement of Changes in Equity shows Additional Tier 1 (AT1) instruments of $1,200m outstanding at 31 Dec 2022 and 31 Dec 2023 only (issued during FY2022, repatriated during FY2024) - so CET1 = Tier 1 for FY2021/FY2024/FY2025 (confirmed zero AT1 those years), while CET1 &lt; Tier 1 for FY2022/FY2023. FY2015-FY2020 (added for HD-020): each year's own standalone Pillar 3 disclosure states explicitly 'CSi has no AT1 capital' (or shows a combined 'Tier 1 (and CET1) capital' line, same treatment) - CSI held no Additional Tier 1 instruments at all in this window, so CET1 = Tier 1 exactly for all of FY2015-FY2020, not estimated.</t>
        </is>
      </c>
    </row>
    <row r="7" ht="390" customHeight="1">
      <c r="A7" s="8" t="inlineStr">
        <is>
          <t>Sources - Credit Suisse International capital/RWA basis: the FY2025 Annual Report's own 'Key Performance Indicators' table (p.6), which discloses Risk Weighted Assets, Tier 1 capital, and Tier 1 capital ratio for all 5 years (2021-2025) as at each year-end - https://find-and-update.company-information.service.gov.uk/company/02500199/filing-history/MzUxNDA4Njk0M2FkaXF6a2N4/document?format=pdf&amp;download=0. This report explicitly states 'Pillar 3 disclosures required under the Capital Requirements Regulation (CRR) can be found separately at http://www.ubs.com'. Converted from USD to GBP using the same FX methodology as the Cash Flow Statement sheet (SPOT rate at each year-end); % ratios shown exactly as disclosed, not converted.
FY2021-FY2024 PILLAR 3 DOCUMENTS RECOVERED (2026-09-12): an earlier session concluded the standalone CSi Pillar 3 document 'was not locatable' for FY2021-FY2025 and left Total Capital, Total Capital Ratio, Leverage Ratio, LCR and NSFR blank on that basis. That conclusion was wrong for four of those five years. CSi publishes a full KM1 key-metrics template every year, recovered as follows:
FY2024: KM1, p.5 - UBS-hosted '2024-csi-pillar-3-disclosures.pdf' (the same document already cited on the RWA Breakdown sheet for its OV1 table), retrieved via web.archive.org - https://www.ubs.com/global/en/collections/credit-suisse/investment-bank/regulatory-directory/international/_jcr_content/root/contentarea/mainpar/toplevelgrid_840462106/col_1/accordion/accordionsplit/linklistnewlook/link_copy_copy_20862.0656872784.file/PS9jb250ZW50L2RhbS9hc3NldHMvY2MvaW52ZXN0b3ItcmVsYXRpb25zL2NvbXBsZW1lbnRhcnktZmluYW5jaWFsLWluZm9ybWF0aW9uL2FyY2hpdmUvMjAyNC8yMDI0LWNzaS1waWxsYXItMy1kaXNjbG9zdXJlcy5wZGY=/2024-csi-pillar-3-disclosures.pdf
FY2023: KM1, p.5 - UBS-hosted '2023-csi-pillar-3-disclosures.pdf', likewise already cited on the RWA Breakdown sheet, retrieved via web.archive.org - https://www.ubs.com/global/en/investor-relations/complementary-financial-information/disclosure-legal-entities/archive-credit-suisse/_jcr_content/root/contentarea/mainpar/toplevelgrid_1145414446/col_1/accordionbox/accordionsplit_485894160/table.0884404004.file/dGFibGVUZXh0PS9jb250ZW50L2RhbS9hc3NldHMvY2MvaW52ZXN0b3ItcmVsYXRpb25zL2NvbXBsZW1lbnRhcnktZmluYW5jaWFsLWluZm9ybWF0aW9uL2FyY2hpdmUvMjAyMy8yMDIzLWNzaS1waWxsYXItMy1kaXNjbG9zdXJlcy5wZGY=/2023-csi-pillar-3-disclosures.pdf
FY2022: KM1, p.5 - Credit Suisse International Pillar 3 Disclosures 2022, retrieved via web.archive.org from the pre-migration credit-suisse.com pattern - https://web.archive.org/web/2024id_/https://www.credit-suisse.com/media/assets/corporate/docs/about-us/investor-relations/regulatory-disclosures/csi-pillar-3-disclosures-2022.pdf
FY2021: capital composition/'Capital ratios' tables, p.4-5, plus the leverage-ratio (LRCom, p.9) and LCR (p.11) tables - Credit Suisse International Pillar 3 Disclosures 2021, same pre-migration pattern via web.archive.org - https://web.archive.org/web/2024id_/https://www.credit-suisse.com/media/assets/corporate/docs/about-us/investor-relations/regulatory-disclosures/csi-pillar-3-disclosures-2021.pdf
Each recovered year's figures were cross-checked against the following year's own KM1 comparative column and agree exactly (FY2021 CET1/Tier 1 $15,022m, Total capital $15,027m, Total RWA $62,643m all confirmed in both FY2021's and FY2022's own documents).
FY2022/FY2023 CET1 GAP CLOSED (2026-09-15): the same three KM1 templates also carry the separate CET1 amount and CET1 ratio lines that the CET1 Capital / CET1 Ratio sheets previously left blank for these two years (see those sheets' own note for the figures, the two-document cross-check and the FY2022 restated-vs-originally-published ratio point). The FY2024 and FY2023 UBS-hosted documents both return HTTP 403 to scripted requests against ubs.com from this environment; both were retrieved instead through the Wayback Machine's id_ replay of those exact UBS URLs (https://web.archive.org/web/2025id_/&lt;the UBS URL below&gt;), and the FY2022 document from the pre-migration credit-suisse.com URL already listed here. All three are genuine PDFs (0.8-2.6MB), not soft-404 HTML.
FY2025 NOW OBTAINED (2026-09-15) - the access block is resolved. ubs.com returns HTTP 403 to scripted requests from this environment and the Wayback Machine has no capture, so the PDF was downloaded manually in an ordinary browser and transcribed from the local copy. Source: Credit Suisse International Pillar 3 Disclosures 2025, 'KM1 - Key metrics template', p.6 (Total capital, Total capital ratio, Leverage ratio, LCR, NSFR; CET1/Tier 1/Total RWA on the same table confirm the figures already carried here from the Annual Report's KPI table). That document's own 2024 comparative column reproduces every FY2024 figure already on these sheets exactly (CET1/Tier 1/Total capital $6,883m, Total RWA $10,951m, ratios 62.86%, leverage 21.16%, LCR 363.29%, NSFR 214.78%), confirming an unbroken basis across the two years. Its 'Own Funds' section (p.7) states 'CSi has no AT1 capital or Tier 2 capital instruments', so CET1 = Tier 1 = Total capital = $3,014m for FY2025 as disclosed, not inferred. The live URL, fetchable in an ordinary browser, is:
https://www.ubs.com/global/en/collections/credit-suisse/investment-bank/regulatory-directory/international/_jcr_content/root/contentarea/mainpar/toplevelgrid_840462106/col_1/accordion/accordionsplit/linklistnewlook/link_copy_copy_20862_2004292923.958213743.file/PS9jb250ZW50L2RhbS9hc3NldHMvZ2xvYmFsL2VuL2NvbGxlY3Rpb25zL2NyZWRpdC1zdWlzc2UvZG9jdW1lbnRzL2ludGVybmF0aW9uYWwtZG9jdW1lbnRzL2NzaS1waWxsYXItMjAyNS1kaXNjbG9zdXJlLXY2LnBkZg==/csi-pillar-2025-disclosure-v6.pdf
FY2015-FY2020 (added for HD-020): CSI's own standalone Pillar 3 disclosure PDFs (real text layers, not scanned), each headed 'Capital management' and each containing its own capital composition/capital ratios table plus (from FY2017 onward) an 'OV1 - Overview of RWA' breakdown table. These are no longer hosted live at credit-suisse.com following the 2023 UBS acquisition/site migration (confirmed via a Wayback Machine CDX API re-scan this session) - retrieved via web.archive.org:
FY2020: Credit Suisse International Pillar 3 Disclosures 2020, p.5 (capital)/p.7 (RWA) - https://web.archive.org/web/20210627075334id_/https://www.credit-suisse.com/media/assets/corporate/docs/about-us/investor-relations/regulatory-disclosures/csi-pillar-3-disclosures-2020.pdf</t>
        </is>
      </c>
    </row>
    <row r="9" ht="195" customHeight="1">
      <c r="A9" s="8" t="inlineStr">
        <is>
          <t>(continued)
FY2019: Credit Suisse International Pillar 3 Disclosures 2019, p.5 (capital)/p.6 (RWA) - https://web.archive.org/web/20210627075339id_/https://www.credit-suisse.com/media/assets/corporate/docs/about-us/investor-relations/regulatory-disclosures/csi-pillar-3-disclosures-2019.pdf
FY2018: Credit Suisse International Pillar 3 Disclosures 2018, p.5 (capital)/p.6 (RWA) - https://web.archive.org/web/20210627075317id_/https://www.credit-suisse.com/media/assets/corporate/docs/about-us/investor-relations/regulatory-disclosures/csi-pillar-3-disclosures-2018.pdf
FY2017: Credit Suisse International Pillar 3 Disclosures 2017, p.6 (capital)/p.8 (RWA) - https://web.archive.org/web/20210627075328id_/https://www.credit-suisse.com/media/assets/about-us/docs/investor-relations/financial-regulatory-disclosures/regulatory-disclosures/regulatory-disclosures-subsidiaries/csi-pillar-3-disclosures-2017.pdf
FY2016: Credit Suisse International Pillar 3 Disclosures 2016, p.5 (capital)/p.7 (RWA, Basel II/III-era template - see RWA Breakdown sheet's own note) - https://web.archive.org/web/20170629113020id_/https://www.credit-suisse.com/media/assets/corporate/docs/about-us/investor-relations/regulatory-disclosures/csi-pillar-3-disclosures-2016.pdf
FY2015: Credit Suisse International Pillar 3 Disclosures 2015, p.5 (capital)/p.7 (RWA, Basel II/III-era template) - https://web.archive.org/web/20210627075342id_/https://www.credit-suisse.com/media/assets/corporate/docs/about-us/investor-relations/regulatory-disclosures/csi-pillar-3-disclosures-2015.pdf
BASEL II/III-ERA CAVEAT: FY2015-FY2016's Pillar 3 disclosures pre-date the CRR II 'OV1' RWA-breakdown template used from FY2017 onward - they report RWA under three broader buckets ('Total credit and counterparty credit risk' including CVA, 'Total market risk', 'Total other risks' covering default-fund contributions/operational risk/large exposures) rather than the 8-line OV1 categories. CET1 is not a distinct concept in any of FY2015-FY2020's disclosures either (CSI had no Additional Tier 1 instruments in this window, so CET1 = Tier 1 throughout - stated explicitly in each year's own document).
FX conversion: point-in-time figures (cash balances, Tier 1 capital, RWA) converted at the Bank of England GBP/USD SPOT rate as at each fiscal year-end; flow figures (every cash flow statement line item) converted at the AVERAGE rate over that fiscal year. Rates used (£1 = $X): 31 Dec 2014 spot 1.5608 (FY2015 opening cash only); FY2015 spot 1.4819 / average 1.5283; FY2016 spot 1.2303 / average 1.3550; FY2017 spot 1.3510 / average 1.2885; FY2018 spot 1.2769 / average 1.3347; FY2019 spot 1.3210 / average 1.2765; FY2020 spot 1.3661 / average 1.2837; FY2021 spot 1.3521 / average 1.3752; FY2022 spot 1.2097 / average 1.2362; FY2023 spot 1.2732 / average 1.2439; FY2024 spot 1.2515 / average 1.2782; FY2025 spot 1.3448 / average 1.3193. FY2021-FY2025 rates reuse the table already established for Zenith Bank UK (identical 31 December year-end); FY2014-FY2019 rates were independently sourced this session from poundsterlinglive.com's Bank-of-England-spot and annual-average history pages for HD-020's FY2015-FY2020 extension. Converting stocks and flows at different rates means the statement doesn't tie in GBP by itself - an 'Effect of GBP/USD translation' line is included, computed programmatically as the balancing figure (never hardcoded), labelled clearly as a translation artefact with no bearing on CSI's actual results.</t>
        </is>
      </c>
    </row>
  </sheetData>
  <mergeCells count="3">
    <mergeCell ref="A5:L5"/>
    <mergeCell ref="A7:L7"/>
    <mergeCell ref="A9:L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Credit Suisse International — Tier 1 Capital</t>
        </is>
      </c>
    </row>
    <row r="2">
      <c r="A2" s="2" t="inlineStr">
        <is>
          <t>£m (conv. from USD)</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Tier 1 capital</t>
        </is>
      </c>
      <c r="B4" s="6" t="n">
        <v>2241.2</v>
      </c>
      <c r="C4" s="6" t="n">
        <v>5499.8</v>
      </c>
      <c r="D4" s="6" t="n">
        <v>10908.7</v>
      </c>
      <c r="E4" s="6" t="n">
        <v>13068.5</v>
      </c>
      <c r="F4" s="6" t="n">
        <v>11110.1</v>
      </c>
      <c r="G4" s="6" t="n">
        <v>15020.9</v>
      </c>
      <c r="H4" s="6" t="n">
        <v>15411.8</v>
      </c>
      <c r="I4" s="6" t="n">
        <v>16657.5</v>
      </c>
      <c r="J4" s="6" t="n">
        <v>15603.3</v>
      </c>
      <c r="K4" s="6" t="n">
        <v>17087.7</v>
      </c>
      <c r="L4" s="6" t="n">
        <v>14330.3</v>
      </c>
    </row>
    <row r="6" ht="390" customHeight="1">
      <c r="A6" s="8" t="inlineStr">
        <is>
          <t>Sources - Credit Suisse International capital/RWA basis: the FY2025 Annual Report's own 'Key Performance Indicators' table (p.6), which discloses Risk Weighted Assets, Tier 1 capital, and Tier 1 capital ratio for all 5 years (2021-2025) as at each year-end - https://find-and-update.company-information.service.gov.uk/company/02500199/filing-history/MzUxNDA4Njk0M2FkaXF6a2N4/document?format=pdf&amp;download=0. This report explicitly states 'Pillar 3 disclosures required under the Capital Requirements Regulation (CRR) can be found separately at http://www.ubs.com'. Converted from USD to GBP using the same FX methodology as the Cash Flow Statement sheet (SPOT rate at each year-end); % ratios shown exactly as disclosed, not converted.
FY2021-FY2024 PILLAR 3 DOCUMENTS RECOVERED (2026-09-12): an earlier session concluded the standalone CSi Pillar 3 document 'was not locatable' for FY2021-FY2025 and left Total Capital, Total Capital Ratio, Leverage Ratio, LCR and NSFR blank on that basis. That conclusion was wrong for four of those five years. CSi publishes a full KM1 key-metrics template every year, recovered as follows:
FY2024: KM1, p.5 - UBS-hosted '2024-csi-pillar-3-disclosures.pdf' (the same document already cited on the RWA Breakdown sheet for its OV1 table), retrieved via web.archive.org - https://www.ubs.com/global/en/collections/credit-suisse/investment-bank/regulatory-directory/international/_jcr_content/root/contentarea/mainpar/toplevelgrid_840462106/col_1/accordion/accordionsplit/linklistnewlook/link_copy_copy_20862.0656872784.file/PS9jb250ZW50L2RhbS9hc3NldHMvY2MvaW52ZXN0b3ItcmVsYXRpb25zL2NvbXBsZW1lbnRhcnktZmluYW5jaWFsLWluZm9ybWF0aW9uL2FyY2hpdmUvMjAyNC8yMDI0LWNzaS1waWxsYXItMy1kaXNjbG9zdXJlcy5wZGY=/2024-csi-pillar-3-disclosures.pdf
FY2023: KM1, p.5 - UBS-hosted '2023-csi-pillar-3-disclosures.pdf', likewise already cited on the RWA Breakdown sheet, retrieved via web.archive.org - https://www.ubs.com/global/en/investor-relations/complementary-financial-information/disclosure-legal-entities/archive-credit-suisse/_jcr_content/root/contentarea/mainpar/toplevelgrid_1145414446/col_1/accordionbox/accordionsplit_485894160/table.0884404004.file/dGFibGVUZXh0PS9jb250ZW50L2RhbS9hc3NldHMvY2MvaW52ZXN0b3ItcmVsYXRpb25zL2NvbXBsZW1lbnRhcnktZmluYW5jaWFsLWluZm9ybWF0aW9uL2FyY2hpdmUvMjAyMy8yMDIzLWNzaS1waWxsYXItMy1kaXNjbG9zdXJlcy5wZGY=/2023-csi-pillar-3-disclosures.pdf
FY2022: KM1, p.5 - Credit Suisse International Pillar 3 Disclosures 2022, retrieved via web.archive.org from the pre-migration credit-suisse.com pattern - https://web.archive.org/web/2024id_/https://www.credit-suisse.com/media/assets/corporate/docs/about-us/investor-relations/regulatory-disclosures/csi-pillar-3-disclosures-2022.pdf
FY2021: capital composition/'Capital ratios' tables, p.4-5, plus the leverage-ratio (LRCom, p.9) and LCR (p.11) tables - Credit Suisse International Pillar 3 Disclosures 2021, same pre-migration pattern via web.archive.org - https://web.archive.org/web/2024id_/https://www.credit-suisse.com/media/assets/corporate/docs/about-us/investor-relations/regulatory-disclosures/csi-pillar-3-disclosures-2021.pdf
Each recovered year's figures were cross-checked against the following year's own KM1 comparative column and agree exactly (FY2021 CET1/Tier 1 $15,022m, Total capital $15,027m, Total RWA $62,643m all confirmed in both FY2021's and FY2022's own documents).
FY2022/FY2023 CET1 GAP CLOSED (2026-09-15): the same three KM1 templates also carry the separate CET1 amount and CET1 ratio lines that the CET1 Capital / CET1 Ratio sheets previously left blank for these two years (see those sheets' own note for the figures, the two-document cross-check and the FY2022 restated-vs-originally-published ratio point). The FY2024 and FY2023 UBS-hosted documents both return HTTP 403 to scripted requests against ubs.com from this environment; both were retrieved instead through the Wayback Machine's id_ replay of those exact UBS URLs (https://web.archive.org/web/2025id_/&lt;the UBS URL below&gt;), and the FY2022 document from the pre-migration credit-suisse.com URL already listed here. All three are genuine PDFs (0.8-2.6MB), not soft-404 HTML.
FY2025 NOW OBTAINED (2026-09-15) - the access block is resolved. ubs.com returns HTTP 403 to scripted requests from this environment and the Wayback Machine has no capture, so the PDF was downloaded manually in an ordinary browser and transcribed from the local copy. Source: Credit Suisse International Pillar 3 Disclosures 2025, 'KM1 - Key metrics template', p.6 (Total capital, Total capital ratio, Leverage ratio, LCR, NSFR; CET1/Tier 1/Total RWA on the same table confirm the figures already carried here from the Annual Report's KPI table). That document's own 2024 comparative column reproduces every FY2024 figure already on these sheets exactly (CET1/Tier 1/Total capital $6,883m, Total RWA $10,951m, ratios 62.86%, leverage 21.16%, LCR 363.29%, NSFR 214.78%), confirming an unbroken basis across the two years. Its 'Own Funds' section (p.7) states 'CSi has no AT1 capital or Tier 2 capital instruments', so CET1 = Tier 1 = Total capital = $3,014m for FY2025 as disclosed, not inferred. The live URL, fetchable in an ordinary browser, is:
https://www.ubs.com/global/en/collections/credit-suisse/investment-bank/regulatory-directory/international/_jcr_content/root/contentarea/mainpar/toplevelgrid_840462106/col_1/accordion/accordionsplit/linklistnewlook/link_copy_copy_20862_2004292923.958213743.file/PS9jb250ZW50L2RhbS9hc3NldHMvZ2xvYmFsL2VuL2NvbGxlY3Rpb25zL2NyZWRpdC1zdWlzc2UvZG9jdW1lbnRzL2ludGVybmF0aW9uYWwtZG9jdW1lbnRzL2NzaS1waWxsYXItMjAyNS1kaXNjbG9zdXJlLXY2LnBkZg==/csi-pillar-2025-disclosure-v6.pdf
FY2015-FY2020 (added for HD-020): CSI's own standalone Pillar 3 disclosure PDFs (real text layers, not scanned), each headed 'Capital management' and each containing its own capital composition/capital ratios table plus (from FY2017 onward) an 'OV1 - Overview of RWA' breakdown table. These are no longer hosted live at credit-suisse.com following the 2023 UBS acquisition/site migration (confirmed via a Wayback Machine CDX API re-scan this session) - retrieved via web.archive.org:
FY2020: Credit Suisse International Pillar 3 Disclosures 2020, p.5 (capital)/p.7 (RWA) - https://web.archive.org/web/20210627075334id_/https://www.credit-suisse.com/media/assets/corporate/docs/about-us/investor-relations/regulatory-disclosures/csi-pillar-3-disclosures-2020.pdf</t>
        </is>
      </c>
    </row>
    <row r="8" ht="195" customHeight="1">
      <c r="A8" s="8" t="inlineStr">
        <is>
          <t>(continued)
FY2019: Credit Suisse International Pillar 3 Disclosures 2019, p.5 (capital)/p.6 (RWA) - https://web.archive.org/web/20210627075339id_/https://www.credit-suisse.com/media/assets/corporate/docs/about-us/investor-relations/regulatory-disclosures/csi-pillar-3-disclosures-2019.pdf
FY2018: Credit Suisse International Pillar 3 Disclosures 2018, p.5 (capital)/p.6 (RWA) - https://web.archive.org/web/20210627075317id_/https://www.credit-suisse.com/media/assets/corporate/docs/about-us/investor-relations/regulatory-disclosures/csi-pillar-3-disclosures-2018.pdf
FY2017: Credit Suisse International Pillar 3 Disclosures 2017, p.6 (capital)/p.8 (RWA) - https://web.archive.org/web/20210627075328id_/https://www.credit-suisse.com/media/assets/about-us/docs/investor-relations/financial-regulatory-disclosures/regulatory-disclosures/regulatory-disclosures-subsidiaries/csi-pillar-3-disclosures-2017.pdf
FY2016: Credit Suisse International Pillar 3 Disclosures 2016, p.5 (capital)/p.7 (RWA, Basel II/III-era template - see RWA Breakdown sheet's own note) - https://web.archive.org/web/20170629113020id_/https://www.credit-suisse.com/media/assets/corporate/docs/about-us/investor-relations/regulatory-disclosures/csi-pillar-3-disclosures-2016.pdf
FY2015: Credit Suisse International Pillar 3 Disclosures 2015, p.5 (capital)/p.7 (RWA, Basel II/III-era template) - https://web.archive.org/web/20210627075342id_/https://www.credit-suisse.com/media/assets/corporate/docs/about-us/investor-relations/regulatory-disclosures/csi-pillar-3-disclosures-2015.pdf
BASEL II/III-ERA CAVEAT: FY2015-FY2016's Pillar 3 disclosures pre-date the CRR II 'OV1' RWA-breakdown template used from FY2017 onward - they report RWA under three broader buckets ('Total credit and counterparty credit risk' including CVA, 'Total market risk', 'Total other risks' covering default-fund contributions/operational risk/large exposures) rather than the 8-line OV1 categories. CET1 is not a distinct concept in any of FY2015-FY2020's disclosures either (CSI had no Additional Tier 1 instruments in this window, so CET1 = Tier 1 throughout - stated explicitly in each year's own document).
FX conversion: point-in-time figures (cash balances, Tier 1 capital, RWA) converted at the Bank of England GBP/USD SPOT rate as at each fiscal year-end; flow figures (every cash flow statement line item) converted at the AVERAGE rate over that fiscal year. Rates used (£1 = $X): 31 Dec 2014 spot 1.5608 (FY2015 opening cash only); FY2015 spot 1.4819 / average 1.5283; FY2016 spot 1.2303 / average 1.3550; FY2017 spot 1.3510 / average 1.2885; FY2018 spot 1.2769 / average 1.3347; FY2019 spot 1.3210 / average 1.2765; FY2020 spot 1.3661 / average 1.2837; FY2021 spot 1.3521 / average 1.3752; FY2022 spot 1.2097 / average 1.2362; FY2023 spot 1.2732 / average 1.2439; FY2024 spot 1.2515 / average 1.2782; FY2025 spot 1.3448 / average 1.3193. FY2021-FY2025 rates reuse the table already established for Zenith Bank UK (identical 31 December year-end); FY2014-FY2019 rates were independently sourced this session from poundsterlinglive.com's Bank-of-England-spot and annual-average history pages for HD-020's FY2015-FY2020 extension. Converting stocks and flows at different rates means the statement doesn't tie in GBP by itself - an 'Effect of GBP/USD translation' line is included, computed programmatically as the balancing figure (never hardcoded), labelled clearly as a translation artefact with no bearing on CSI's actual results.</t>
        </is>
      </c>
    </row>
  </sheetData>
  <mergeCells count="2">
    <mergeCell ref="A8:L8"/>
    <mergeCell ref="A6:L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Credit Suisse International — Tier 1 Ratio</t>
        </is>
      </c>
    </row>
    <row r="2">
      <c r="A2" s="2" t="inlineStr">
        <is>
          <t>%</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Tier 1 capital ratio</t>
        </is>
      </c>
      <c r="B4" s="6" t="inlineStr">
        <is>
          <t>146.9%</t>
        </is>
      </c>
      <c r="C4" s="6" t="inlineStr">
        <is>
          <t>62.9%</t>
        </is>
      </c>
      <c r="D4" s="6" t="inlineStr">
        <is>
          <t>40.0%</t>
        </is>
      </c>
      <c r="E4" s="6" t="inlineStr">
        <is>
          <t>26.0%</t>
        </is>
      </c>
      <c r="F4" s="6" t="inlineStr">
        <is>
          <t>24.0%</t>
        </is>
      </c>
      <c r="G4" s="6" t="inlineStr">
        <is>
          <t>19.3%</t>
        </is>
      </c>
      <c r="H4" s="6" t="inlineStr">
        <is>
          <t>26.4%</t>
        </is>
      </c>
      <c r="I4" s="6" t="inlineStr">
        <is>
          <t>20.5%</t>
        </is>
      </c>
      <c r="J4" s="6" t="inlineStr">
        <is>
          <t>20%</t>
        </is>
      </c>
      <c r="K4" s="6" t="inlineStr">
        <is>
          <t>16.6%</t>
        </is>
      </c>
      <c r="L4" s="6" t="inlineStr">
        <is>
          <t>13.0%</t>
        </is>
      </c>
    </row>
    <row r="6" ht="390" customHeight="1">
      <c r="A6" s="8" t="inlineStr">
        <is>
          <t>Sources - Credit Suisse International capital/RWA basis: the FY2025 Annual Report's own 'Key Performance Indicators' table (p.6), which discloses Risk Weighted Assets, Tier 1 capital, and Tier 1 capital ratio for all 5 years (2021-2025) as at each year-end - https://find-and-update.company-information.service.gov.uk/company/02500199/filing-history/MzUxNDA4Njk0M2FkaXF6a2N4/document?format=pdf&amp;download=0. This report explicitly states 'Pillar 3 disclosures required under the Capital Requirements Regulation (CRR) can be found separately at http://www.ubs.com'. Converted from USD to GBP using the same FX methodology as the Cash Flow Statement sheet (SPOT rate at each year-end); % ratios shown exactly as disclosed, not converted.
FY2021-FY2024 PILLAR 3 DOCUMENTS RECOVERED (2026-09-12): an earlier session concluded the standalone CSi Pillar 3 document 'was not locatable' for FY2021-FY2025 and left Total Capital, Total Capital Ratio, Leverage Ratio, LCR and NSFR blank on that basis. That conclusion was wrong for four of those five years. CSi publishes a full KM1 key-metrics template every year, recovered as follows:
FY2024: KM1, p.5 - UBS-hosted '2024-csi-pillar-3-disclosures.pdf' (the same document already cited on the RWA Breakdown sheet for its OV1 table), retrieved via web.archive.org - https://www.ubs.com/global/en/collections/credit-suisse/investment-bank/regulatory-directory/international/_jcr_content/root/contentarea/mainpar/toplevelgrid_840462106/col_1/accordion/accordionsplit/linklistnewlook/link_copy_copy_20862.0656872784.file/PS9jb250ZW50L2RhbS9hc3NldHMvY2MvaW52ZXN0b3ItcmVsYXRpb25zL2NvbXBsZW1lbnRhcnktZmluYW5jaWFsLWluZm9ybWF0aW9uL2FyY2hpdmUvMjAyNC8yMDI0LWNzaS1waWxsYXItMy1kaXNjbG9zdXJlcy5wZGY=/2024-csi-pillar-3-disclosures.pdf
FY2023: KM1, p.5 - UBS-hosted '2023-csi-pillar-3-disclosures.pdf', likewise already cited on the RWA Breakdown sheet, retrieved via web.archive.org - https://www.ubs.com/global/en/investor-relations/complementary-financial-information/disclosure-legal-entities/archive-credit-suisse/_jcr_content/root/contentarea/mainpar/toplevelgrid_1145414446/col_1/accordionbox/accordionsplit_485894160/table.0884404004.file/dGFibGVUZXh0PS9jb250ZW50L2RhbS9hc3NldHMvY2MvaW52ZXN0b3ItcmVsYXRpb25zL2NvbXBsZW1lbnRhcnktZmluYW5jaWFsLWluZm9ybWF0aW9uL2FyY2hpdmUvMjAyMy8yMDIzLWNzaS1waWxsYXItMy1kaXNjbG9zdXJlcy5wZGY=/2023-csi-pillar-3-disclosures.pdf
FY2022: KM1, p.5 - Credit Suisse International Pillar 3 Disclosures 2022, retrieved via web.archive.org from the pre-migration credit-suisse.com pattern - https://web.archive.org/web/2024id_/https://www.credit-suisse.com/media/assets/corporate/docs/about-us/investor-relations/regulatory-disclosures/csi-pillar-3-disclosures-2022.pdf
FY2021: capital composition/'Capital ratios' tables, p.4-5, plus the leverage-ratio (LRCom, p.9) and LCR (p.11) tables - Credit Suisse International Pillar 3 Disclosures 2021, same pre-migration pattern via web.archive.org - https://web.archive.org/web/2024id_/https://www.credit-suisse.com/media/assets/corporate/docs/about-us/investor-relations/regulatory-disclosures/csi-pillar-3-disclosures-2021.pdf
Each recovered year's figures were cross-checked against the following year's own KM1 comparative column and agree exactly (FY2021 CET1/Tier 1 $15,022m, Total capital $15,027m, Total RWA $62,643m all confirmed in both FY2021's and FY2022's own documents).
FY2022/FY2023 CET1 GAP CLOSED (2026-09-15): the same three KM1 templates also carry the separate CET1 amount and CET1 ratio lines that the CET1 Capital / CET1 Ratio sheets previously left blank for these two years (see those sheets' own note for the figures, the two-document cross-check and the FY2022 restated-vs-originally-published ratio point). The FY2024 and FY2023 UBS-hosted documents both return HTTP 403 to scripted requests against ubs.com from this environment; both were retrieved instead through the Wayback Machine's id_ replay of those exact UBS URLs (https://web.archive.org/web/2025id_/&lt;the UBS URL below&gt;), and the FY2022 document from the pre-migration credit-suisse.com URL already listed here. All three are genuine PDFs (0.8-2.6MB), not soft-404 HTML.
FY2025 NOW OBTAINED (2026-09-15) - the access block is resolved. ubs.com returns HTTP 403 to scripted requests from this environment and the Wayback Machine has no capture, so the PDF was downloaded manually in an ordinary browser and transcribed from the local copy. Source: Credit Suisse International Pillar 3 Disclosures 2025, 'KM1 - Key metrics template', p.6 (Total capital, Total capital ratio, Leverage ratio, LCR, NSFR; CET1/Tier 1/Total RWA on the same table confirm the figures already carried here from the Annual Report's KPI table). That document's own 2024 comparative column reproduces every FY2024 figure already on these sheets exactly (CET1/Tier 1/Total capital $6,883m, Total RWA $10,951m, ratios 62.86%, leverage 21.16%, LCR 363.29%, NSFR 214.78%), confirming an unbroken basis across the two years. Its 'Own Funds' section (p.7) states 'CSi has no AT1 capital or Tier 2 capital instruments', so CET1 = Tier 1 = Total capital = $3,014m for FY2025 as disclosed, not inferred. The live URL, fetchable in an ordinary browser, is:
https://www.ubs.com/global/en/collections/credit-suisse/investment-bank/regulatory-directory/international/_jcr_content/root/contentarea/mainpar/toplevelgrid_840462106/col_1/accordion/accordionsplit/linklistnewlook/link_copy_copy_20862_2004292923.958213743.file/PS9jb250ZW50L2RhbS9hc3NldHMvZ2xvYmFsL2VuL2NvbGxlY3Rpb25zL2NyZWRpdC1zdWlzc2UvZG9jdW1lbnRzL2ludGVybmF0aW9uYWwtZG9jdW1lbnRzL2NzaS1waWxsYXItMjAyNS1kaXNjbG9zdXJlLXY2LnBkZg==/csi-pillar-2025-disclosure-v6.pdf
FY2015-FY2020 (added for HD-020): CSI's own standalone Pillar 3 disclosure PDFs (real text layers, not scanned), each headed 'Capital management' and each containing its own capital composition/capital ratios table plus (from FY2017 onward) an 'OV1 - Overview of RWA' breakdown table. These are no longer hosted live at credit-suisse.com following the 2023 UBS acquisition/site migration (confirmed via a Wayback Machine CDX API re-scan this session) - retrieved via web.archive.org:
FY2020: Credit Suisse International Pillar 3 Disclosures 2020, p.5 (capital)/p.7 (RWA) - https://web.archive.org/web/20210627075334id_/https://www.credit-suisse.com/media/assets/corporate/docs/about-us/investor-relations/regulatory-disclosures/csi-pillar-3-disclosures-2020.pdf</t>
        </is>
      </c>
    </row>
    <row r="8" ht="195" customHeight="1">
      <c r="A8" s="8" t="inlineStr">
        <is>
          <t>(continued)
FY2019: Credit Suisse International Pillar 3 Disclosures 2019, p.5 (capital)/p.6 (RWA) - https://web.archive.org/web/20210627075339id_/https://www.credit-suisse.com/media/assets/corporate/docs/about-us/investor-relations/regulatory-disclosures/csi-pillar-3-disclosures-2019.pdf
FY2018: Credit Suisse International Pillar 3 Disclosures 2018, p.5 (capital)/p.6 (RWA) - https://web.archive.org/web/20210627075317id_/https://www.credit-suisse.com/media/assets/corporate/docs/about-us/investor-relations/regulatory-disclosures/csi-pillar-3-disclosures-2018.pdf
FY2017: Credit Suisse International Pillar 3 Disclosures 2017, p.6 (capital)/p.8 (RWA) - https://web.archive.org/web/20210627075328id_/https://www.credit-suisse.com/media/assets/about-us/docs/investor-relations/financial-regulatory-disclosures/regulatory-disclosures/regulatory-disclosures-subsidiaries/csi-pillar-3-disclosures-2017.pdf
FY2016: Credit Suisse International Pillar 3 Disclosures 2016, p.5 (capital)/p.7 (RWA, Basel II/III-era template - see RWA Breakdown sheet's own note) - https://web.archive.org/web/20170629113020id_/https://www.credit-suisse.com/media/assets/corporate/docs/about-us/investor-relations/regulatory-disclosures/csi-pillar-3-disclosures-2016.pdf
FY2015: Credit Suisse International Pillar 3 Disclosures 2015, p.5 (capital)/p.7 (RWA, Basel II/III-era template) - https://web.archive.org/web/20210627075342id_/https://www.credit-suisse.com/media/assets/corporate/docs/about-us/investor-relations/regulatory-disclosures/csi-pillar-3-disclosures-2015.pdf
BASEL II/III-ERA CAVEAT: FY2015-FY2016's Pillar 3 disclosures pre-date the CRR II 'OV1' RWA-breakdown template used from FY2017 onward - they report RWA under three broader buckets ('Total credit and counterparty credit risk' including CVA, 'Total market risk', 'Total other risks' covering default-fund contributions/operational risk/large exposures) rather than the 8-line OV1 categories. CET1 is not a distinct concept in any of FY2015-FY2020's disclosures either (CSI had no Additional Tier 1 instruments in this window, so CET1 = Tier 1 throughout - stated explicitly in each year's own document).
FX conversion: point-in-time figures (cash balances, Tier 1 capital, RWA) converted at the Bank of England GBP/USD SPOT rate as at each fiscal year-end; flow figures (every cash flow statement line item) converted at the AVERAGE rate over that fiscal year. Rates used (£1 = $X): 31 Dec 2014 spot 1.5608 (FY2015 opening cash only); FY2015 spot 1.4819 / average 1.5283; FY2016 spot 1.2303 / average 1.3550; FY2017 spot 1.3510 / average 1.2885; FY2018 spot 1.2769 / average 1.3347; FY2019 spot 1.3210 / average 1.2765; FY2020 spot 1.3661 / average 1.2837; FY2021 spot 1.3521 / average 1.3752; FY2022 spot 1.2097 / average 1.2362; FY2023 spot 1.2732 / average 1.2439; FY2024 spot 1.2515 / average 1.2782; FY2025 spot 1.3448 / average 1.3193. FY2021-FY2025 rates reuse the table already established for Zenith Bank UK (identical 31 December year-end); FY2014-FY2019 rates were independently sourced this session from poundsterlinglive.com's Bank-of-England-spot and annual-average history pages for HD-020's FY2015-FY2020 extension. Converting stocks and flows at different rates means the statement doesn't tie in GBP by itself - an 'Effect of GBP/USD translation' line is included, computed programmatically as the balancing figure (never hardcoded), labelled clearly as a translation artefact with no bearing on CSI's actual results.</t>
        </is>
      </c>
    </row>
  </sheetData>
  <mergeCells count="2">
    <mergeCell ref="A8:L8"/>
    <mergeCell ref="A6:L6"/>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Credit Suisse International — Total Capital</t>
        </is>
      </c>
    </row>
    <row r="2">
      <c r="A2" s="2" t="inlineStr">
        <is>
          <t>£m (conv. from USD) - see note</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Total capital</t>
        </is>
      </c>
      <c r="B4" s="6" t="n">
        <v>2241.2</v>
      </c>
      <c r="C4" s="6" t="n">
        <v>5499.8</v>
      </c>
      <c r="D4" s="6" t="n">
        <v>10908.7</v>
      </c>
      <c r="E4" s="6" t="n">
        <v>13071</v>
      </c>
      <c r="F4" s="6" t="n">
        <v>11113.8</v>
      </c>
      <c r="G4" s="6" t="n">
        <v>15032.6</v>
      </c>
      <c r="H4" s="6" t="n">
        <v>15421.7</v>
      </c>
      <c r="I4" s="6" t="n">
        <v>17438.3</v>
      </c>
      <c r="J4" s="6" t="n">
        <v>17553.7</v>
      </c>
      <c r="K4" s="6" t="n">
        <v>21735.3</v>
      </c>
      <c r="L4" s="6" t="n">
        <v>19539.8</v>
      </c>
    </row>
    <row r="5" ht="39" customHeight="1">
      <c r="A5" s="7" t="inlineStr">
        <is>
          <t>Note: FY2021-FY2024 added 2026-09-12: a prior session's claim that the standalone Pillar 3 document was 'not locatable' for these years was WRONG - CSi's own Pillar 3 KM1 template publishes Total capital ('own funds') every year. FY2021/FY2022 recovered from the pre-migration credit-suisse.com URL pattern via Wayback; FY2023/FY2024 from the UBS-hosted documents already cited on the RWA Breakdown sheet (which had used them for OV1 data while these capital sheets still claimed they didn't exist). FY2025 added 2026-09-15 from that same KM1 template (p.6), obtained by manual browser download after ubs.com blocked scripted access - see this sheet's source note. FY2015-FY2020 (HD-020): each year's own standalone Pillar 3 disclosure, located via Wayback Machine.</t>
        </is>
      </c>
    </row>
    <row r="7" ht="390" customHeight="1">
      <c r="A7" s="8" t="inlineStr">
        <is>
          <t>Sources - Credit Suisse International capital/RWA basis: the FY2025 Annual Report's own 'Key Performance Indicators' table (p.6), which discloses Risk Weighted Assets, Tier 1 capital, and Tier 1 capital ratio for all 5 years (2021-2025) as at each year-end - https://find-and-update.company-information.service.gov.uk/company/02500199/filing-history/MzUxNDA4Njk0M2FkaXF6a2N4/document?format=pdf&amp;download=0. This report explicitly states 'Pillar 3 disclosures required under the Capital Requirements Regulation (CRR) can be found separately at http://www.ubs.com'. Converted from USD to GBP using the same FX methodology as the Cash Flow Statement sheet (SPOT rate at each year-end); % ratios shown exactly as disclosed, not converted.
FY2021-FY2024 PILLAR 3 DOCUMENTS RECOVERED (2026-09-12): an earlier session concluded the standalone CSi Pillar 3 document 'was not locatable' for FY2021-FY2025 and left Total Capital, Total Capital Ratio, Leverage Ratio, LCR and NSFR blank on that basis. That conclusion was wrong for four of those five years. CSi publishes a full KM1 key-metrics template every year, recovered as follows:
FY2024: KM1, p.5 - UBS-hosted '2024-csi-pillar-3-disclosures.pdf' (the same document already cited on the RWA Breakdown sheet for its OV1 table), retrieved via web.archive.org - https://www.ubs.com/global/en/collections/credit-suisse/investment-bank/regulatory-directory/international/_jcr_content/root/contentarea/mainpar/toplevelgrid_840462106/col_1/accordion/accordionsplit/linklistnewlook/link_copy_copy_20862.0656872784.file/PS9jb250ZW50L2RhbS9hc3NldHMvY2MvaW52ZXN0b3ItcmVsYXRpb25zL2NvbXBsZW1lbnRhcnktZmluYW5jaWFsLWluZm9ybWF0aW9uL2FyY2hpdmUvMjAyNC8yMDI0LWNzaS1waWxsYXItMy1kaXNjbG9zdXJlcy5wZGY=/2024-csi-pillar-3-disclosures.pdf
FY2023: KM1, p.5 - UBS-hosted '2023-csi-pillar-3-disclosures.pdf', likewise already cited on the RWA Breakdown sheet, retrieved via web.archive.org - https://www.ubs.com/global/en/investor-relations/complementary-financial-information/disclosure-legal-entities/archive-credit-suisse/_jcr_content/root/contentarea/mainpar/toplevelgrid_1145414446/col_1/accordionbox/accordionsplit_485894160/table.0884404004.file/dGFibGVUZXh0PS9jb250ZW50L2RhbS9hc3NldHMvY2MvaW52ZXN0b3ItcmVsYXRpb25zL2NvbXBsZW1lbnRhcnktZmluYW5jaWFsLWluZm9ybWF0aW9uL2FyY2hpdmUvMjAyMy8yMDIzLWNzaS1waWxsYXItMy1kaXNjbG9zdXJlcy5wZGY=/2023-csi-pillar-3-disclosures.pdf
FY2022: KM1, p.5 - Credit Suisse International Pillar 3 Disclosures 2022, retrieved via web.archive.org from the pre-migration credit-suisse.com pattern - https://web.archive.org/web/2024id_/https://www.credit-suisse.com/media/assets/corporate/docs/about-us/investor-relations/regulatory-disclosures/csi-pillar-3-disclosures-2022.pdf
FY2021: capital composition/'Capital ratios' tables, p.4-5, plus the leverage-ratio (LRCom, p.9) and LCR (p.11) tables - Credit Suisse International Pillar 3 Disclosures 2021, same pre-migration pattern via web.archive.org - https://web.archive.org/web/2024id_/https://www.credit-suisse.com/media/assets/corporate/docs/about-us/investor-relations/regulatory-disclosures/csi-pillar-3-disclosures-2021.pdf
Each recovered year's figures were cross-checked against the following year's own KM1 comparative column and agree exactly (FY2021 CET1/Tier 1 $15,022m, Total capital $15,027m, Total RWA $62,643m all confirmed in both FY2021's and FY2022's own documents).
FY2022/FY2023 CET1 GAP CLOSED (2026-09-15): the same three KM1 templates also carry the separate CET1 amount and CET1 ratio lines that the CET1 Capital / CET1 Ratio sheets previously left blank for these two years (see those sheets' own note for the figures, the two-document cross-check and the FY2022 restated-vs-originally-published ratio point). The FY2024 and FY2023 UBS-hosted documents both return HTTP 403 to scripted requests against ubs.com from this environment; both were retrieved instead through the Wayback Machine's id_ replay of those exact UBS URLs (https://web.archive.org/web/2025id_/&lt;the UBS URL below&gt;), and the FY2022 document from the pre-migration credit-suisse.com URL already listed here. All three are genuine PDFs (0.8-2.6MB), not soft-404 HTML.
FY2025 NOW OBTAINED (2026-09-15) - the access block is resolved. ubs.com returns HTTP 403 to scripted requests from this environment and the Wayback Machine has no capture, so the PDF was downloaded manually in an ordinary browser and transcribed from the local copy. Source: Credit Suisse International Pillar 3 Disclosures 2025, 'KM1 - Key metrics template', p.6 (Total capital, Total capital ratio, Leverage ratio, LCR, NSFR; CET1/Tier 1/Total RWA on the same table confirm the figures already carried here from the Annual Report's KPI table). That document's own 2024 comparative column reproduces every FY2024 figure already on these sheets exactly (CET1/Tier 1/Total capital $6,883m, Total RWA $10,951m, ratios 62.86%, leverage 21.16%, LCR 363.29%, NSFR 214.78%), confirming an unbroken basis across the two years. Its 'Own Funds' section (p.7) states 'CSi has no AT1 capital or Tier 2 capital instruments', so CET1 = Tier 1 = Total capital = $3,014m for FY2025 as disclosed, not inferred. The live URL, fetchable in an ordinary browser, is:
https://www.ubs.com/global/en/collections/credit-suisse/investment-bank/regulatory-directory/international/_jcr_content/root/contentarea/mainpar/toplevelgrid_840462106/col_1/accordion/accordionsplit/linklistnewlook/link_copy_copy_20862_2004292923.958213743.file/PS9jb250ZW50L2RhbS9hc3NldHMvZ2xvYmFsL2VuL2NvbGxlY3Rpb25zL2NyZWRpdC1zdWlzc2UvZG9jdW1lbnRzL2ludGVybmF0aW9uYWwtZG9jdW1lbnRzL2NzaS1waWxsYXItMjAyNS1kaXNjbG9zdXJlLXY2LnBkZg==/csi-pillar-2025-disclosure-v6.pdf
FY2015-FY2020 (added for HD-020): CSI's own standalone Pillar 3 disclosure PDFs (real text layers, not scanned), each headed 'Capital management' and each containing its own capital composition/capital ratios table plus (from FY2017 onward) an 'OV1 - Overview of RWA' breakdown table. These are no longer hosted live at credit-suisse.com following the 2023 UBS acquisition/site migration (confirmed via a Wayback Machine CDX API re-scan this session) - retrieved via web.archive.org:
FY2020: Credit Suisse International Pillar 3 Disclosures 2020, p.5 (capital)/p.7 (RWA) - https://web.archive.org/web/20210627075334id_/https://www.credit-suisse.com/media/assets/corporate/docs/about-us/investor-relations/regulatory-disclosures/csi-pillar-3-disclosures-2020.pdf</t>
        </is>
      </c>
    </row>
    <row r="9" ht="195" customHeight="1">
      <c r="A9" s="8" t="inlineStr">
        <is>
          <t>(continued)
FY2019: Credit Suisse International Pillar 3 Disclosures 2019, p.5 (capital)/p.6 (RWA) - https://web.archive.org/web/20210627075339id_/https://www.credit-suisse.com/media/assets/corporate/docs/about-us/investor-relations/regulatory-disclosures/csi-pillar-3-disclosures-2019.pdf
FY2018: Credit Suisse International Pillar 3 Disclosures 2018, p.5 (capital)/p.6 (RWA) - https://web.archive.org/web/20210627075317id_/https://www.credit-suisse.com/media/assets/corporate/docs/about-us/investor-relations/regulatory-disclosures/csi-pillar-3-disclosures-2018.pdf
FY2017: Credit Suisse International Pillar 3 Disclosures 2017, p.6 (capital)/p.8 (RWA) - https://web.archive.org/web/20210627075328id_/https://www.credit-suisse.com/media/assets/about-us/docs/investor-relations/financial-regulatory-disclosures/regulatory-disclosures/regulatory-disclosures-subsidiaries/csi-pillar-3-disclosures-2017.pdf
FY2016: Credit Suisse International Pillar 3 Disclosures 2016, p.5 (capital)/p.7 (RWA, Basel II/III-era template - see RWA Breakdown sheet's own note) - https://web.archive.org/web/20170629113020id_/https://www.credit-suisse.com/media/assets/corporate/docs/about-us/investor-relations/regulatory-disclosures/csi-pillar-3-disclosures-2016.pdf
FY2015: Credit Suisse International Pillar 3 Disclosures 2015, p.5 (capital)/p.7 (RWA, Basel II/III-era template) - https://web.archive.org/web/20210627075342id_/https://www.credit-suisse.com/media/assets/corporate/docs/about-us/investor-relations/regulatory-disclosures/csi-pillar-3-disclosures-2015.pdf
BASEL II/III-ERA CAVEAT: FY2015-FY2016's Pillar 3 disclosures pre-date the CRR II 'OV1' RWA-breakdown template used from FY2017 onward - they report RWA under three broader buckets ('Total credit and counterparty credit risk' including CVA, 'Total market risk', 'Total other risks' covering default-fund contributions/operational risk/large exposures) rather than the 8-line OV1 categories. CET1 is not a distinct concept in any of FY2015-FY2020's disclosures either (CSI had no Additional Tier 1 instruments in this window, so CET1 = Tier 1 throughout - stated explicitly in each year's own document).
FX conversion: point-in-time figures (cash balances, Tier 1 capital, RWA) converted at the Bank of England GBP/USD SPOT rate as at each fiscal year-end; flow figures (every cash flow statement line item) converted at the AVERAGE rate over that fiscal year. Rates used (£1 = $X): 31 Dec 2014 spot 1.5608 (FY2015 opening cash only); FY2015 spot 1.4819 / average 1.5283; FY2016 spot 1.2303 / average 1.3550; FY2017 spot 1.3510 / average 1.2885; FY2018 spot 1.2769 / average 1.3347; FY2019 spot 1.3210 / average 1.2765; FY2020 spot 1.3661 / average 1.2837; FY2021 spot 1.3521 / average 1.3752; FY2022 spot 1.2097 / average 1.2362; FY2023 spot 1.2732 / average 1.2439; FY2024 spot 1.2515 / average 1.2782; FY2025 spot 1.3448 / average 1.3193. FY2021-FY2025 rates reuse the table already established for Zenith Bank UK (identical 31 December year-end); FY2014-FY2019 rates were independently sourced this session from poundsterlinglive.com's Bank-of-England-spot and annual-average history pages for HD-020's FY2015-FY2020 extension. Converting stocks and flows at different rates means the statement doesn't tie in GBP by itself - an 'Effect of GBP/USD translation' line is included, computed programmatically as the balancing figure (never hardcoded), labelled clearly as a translation artefact with no bearing on CSI's actual results.</t>
        </is>
      </c>
    </row>
  </sheetData>
  <mergeCells count="3">
    <mergeCell ref="A5:L5"/>
    <mergeCell ref="A7:L7"/>
    <mergeCell ref="A9:L9"/>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Credit Suisse International — Total Capital Ratio</t>
        </is>
      </c>
    </row>
    <row r="2">
      <c r="A2" s="2" t="inlineStr">
        <is>
          <t>% - see note</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Total Capital Ratio</t>
        </is>
      </c>
      <c r="B4" s="6" t="inlineStr">
        <is>
          <t>146.90%</t>
        </is>
      </c>
      <c r="C4" s="6" t="inlineStr">
        <is>
          <t>62.86%</t>
        </is>
      </c>
      <c r="D4" s="6" t="inlineStr">
        <is>
          <t>40.03%</t>
        </is>
      </c>
      <c r="E4" s="6" t="inlineStr">
        <is>
          <t>26.07%</t>
        </is>
      </c>
      <c r="F4" s="6" t="inlineStr">
        <is>
          <t>23.99%</t>
        </is>
      </c>
      <c r="G4" s="6" t="inlineStr">
        <is>
          <t>19.3%</t>
        </is>
      </c>
      <c r="H4" s="6" t="inlineStr">
        <is>
          <t>26.4%</t>
        </is>
      </c>
      <c r="I4" s="6" t="inlineStr">
        <is>
          <t>21.4%</t>
        </is>
      </c>
      <c r="J4" s="6" t="inlineStr">
        <is>
          <t>23%</t>
        </is>
      </c>
      <c r="K4" s="6" t="inlineStr">
        <is>
          <t>21.1%</t>
        </is>
      </c>
      <c r="L4" s="6" t="inlineStr">
        <is>
          <t>17.7%</t>
        </is>
      </c>
    </row>
    <row r="5" ht="39" customHeight="1">
      <c r="A5" s="7" t="inlineStr">
        <is>
          <t>Note: FY2021-FY2024 added 2026-09-12 from CSi's own Pillar 3 KM1 template - see Total Capital sheet note for how the documents were recovered. FY2025 added 2026-09-15 from that document's KM1 (p.6). NOTE on FY2022: CSi restated its own FY2022 Total RWA between reports (FY2022's own report states $60,818m; the FY2023 report's FY2022 comparative states $60,646m). This workbook's Total RWAs sheet already carries the restated $60,646m, so the FY2022 ratio shown here is the FY2023 report's 26.07% (= 15,812/60,646) rather than the FY2022 report's own 26.00% (= 15,812/60,818), keeping capital / RWA / ratio internally consistent across the three sheets. FY2015-FY2020 sourced from each year's own standalone Pillar 3 disclosure.</t>
        </is>
      </c>
    </row>
    <row r="7" ht="390" customHeight="1">
      <c r="A7" s="8" t="inlineStr">
        <is>
          <t>Sources - Credit Suisse International capital/RWA basis: the FY2025 Annual Report's own 'Key Performance Indicators' table (p.6), which discloses Risk Weighted Assets, Tier 1 capital, and Tier 1 capital ratio for all 5 years (2021-2025) as at each year-end - https://find-and-update.company-information.service.gov.uk/company/02500199/filing-history/MzUxNDA4Njk0M2FkaXF6a2N4/document?format=pdf&amp;download=0. This report explicitly states 'Pillar 3 disclosures required under the Capital Requirements Regulation (CRR) can be found separately at http://www.ubs.com'. Converted from USD to GBP using the same FX methodology as the Cash Flow Statement sheet (SPOT rate at each year-end); % ratios shown exactly as disclosed, not converted.
FY2021-FY2024 PILLAR 3 DOCUMENTS RECOVERED (2026-09-12): an earlier session concluded the standalone CSi Pillar 3 document 'was not locatable' for FY2021-FY2025 and left Total Capital, Total Capital Ratio, Leverage Ratio, LCR and NSFR blank on that basis. That conclusion was wrong for four of those five years. CSi publishes a full KM1 key-metrics template every year, recovered as follows:
FY2024: KM1, p.5 - UBS-hosted '2024-csi-pillar-3-disclosures.pdf' (the same document already cited on the RWA Breakdown sheet for its OV1 table), retrieved via web.archive.org - https://www.ubs.com/global/en/collections/credit-suisse/investment-bank/regulatory-directory/international/_jcr_content/root/contentarea/mainpar/toplevelgrid_840462106/col_1/accordion/accordionsplit/linklistnewlook/link_copy_copy_20862.0656872784.file/PS9jb250ZW50L2RhbS9hc3NldHMvY2MvaW52ZXN0b3ItcmVsYXRpb25zL2NvbXBsZW1lbnRhcnktZmluYW5jaWFsLWluZm9ybWF0aW9uL2FyY2hpdmUvMjAyNC8yMDI0LWNzaS1waWxsYXItMy1kaXNjbG9zdXJlcy5wZGY=/2024-csi-pillar-3-disclosures.pdf
FY2023: KM1, p.5 - UBS-hosted '2023-csi-pillar-3-disclosures.pdf', likewise already cited on the RWA Breakdown sheet, retrieved via web.archive.org - https://www.ubs.com/global/en/investor-relations/complementary-financial-information/disclosure-legal-entities/archive-credit-suisse/_jcr_content/root/contentarea/mainpar/toplevelgrid_1145414446/col_1/accordionbox/accordionsplit_485894160/table.0884404004.file/dGFibGVUZXh0PS9jb250ZW50L2RhbS9hc3NldHMvY2MvaW52ZXN0b3ItcmVsYXRpb25zL2NvbXBsZW1lbnRhcnktZmluYW5jaWFsLWluZm9ybWF0aW9uL2FyY2hpdmUvMjAyMy8yMDIzLWNzaS1waWxsYXItMy1kaXNjbG9zdXJlcy5wZGY=/2023-csi-pillar-3-disclosures.pdf
FY2022: KM1, p.5 - Credit Suisse International Pillar 3 Disclosures 2022, retrieved via web.archive.org from the pre-migration credit-suisse.com pattern - https://web.archive.org/web/2024id_/https://www.credit-suisse.com/media/assets/corporate/docs/about-us/investor-relations/regulatory-disclosures/csi-pillar-3-disclosures-2022.pdf
FY2021: capital composition/'Capital ratios' tables, p.4-5, plus the leverage-ratio (LRCom, p.9) and LCR (p.11) tables - Credit Suisse International Pillar 3 Disclosures 2021, same pre-migration pattern via web.archive.org - https://web.archive.org/web/2024id_/https://www.credit-suisse.com/media/assets/corporate/docs/about-us/investor-relations/regulatory-disclosures/csi-pillar-3-disclosures-2021.pdf
Each recovered year's figures were cross-checked against the following year's own KM1 comparative column and agree exactly (FY2021 CET1/Tier 1 $15,022m, Total capital $15,027m, Total RWA $62,643m all confirmed in both FY2021's and FY2022's own documents).
FY2022/FY2023 CET1 GAP CLOSED (2026-09-15): the same three KM1 templates also carry the separate CET1 amount and CET1 ratio lines that the CET1 Capital / CET1 Ratio sheets previously left blank for these two years (see those sheets' own note for the figures, the two-document cross-check and the FY2022 restated-vs-originally-published ratio point). The FY2024 and FY2023 UBS-hosted documents both return HTTP 403 to scripted requests against ubs.com from this environment; both were retrieved instead through the Wayback Machine's id_ replay of those exact UBS URLs (https://web.archive.org/web/2025id_/&lt;the UBS URL below&gt;), and the FY2022 document from the pre-migration credit-suisse.com URL already listed here. All three are genuine PDFs (0.8-2.6MB), not soft-404 HTML.
FY2025 NOW OBTAINED (2026-09-15) - the access block is resolved. ubs.com returns HTTP 403 to scripted requests from this environment and the Wayback Machine has no capture, so the PDF was downloaded manually in an ordinary browser and transcribed from the local copy. Source: Credit Suisse International Pillar 3 Disclosures 2025, 'KM1 - Key metrics template', p.6 (Total capital, Total capital ratio, Leverage ratio, LCR, NSFR; CET1/Tier 1/Total RWA on the same table confirm the figures already carried here from the Annual Report's KPI table). That document's own 2024 comparative column reproduces every FY2024 figure already on these sheets exactly (CET1/Tier 1/Total capital $6,883m, Total RWA $10,951m, ratios 62.86%, leverage 21.16%, LCR 363.29%, NSFR 214.78%), confirming an unbroken basis across the two years. Its 'Own Funds' section (p.7) states 'CSi has no AT1 capital or Tier 2 capital instruments', so CET1 = Tier 1 = Total capital = $3,014m for FY2025 as disclosed, not inferred. The live URL, fetchable in an ordinary browser, is:
https://www.ubs.com/global/en/collections/credit-suisse/investment-bank/regulatory-directory/international/_jcr_content/root/contentarea/mainpar/toplevelgrid_840462106/col_1/accordion/accordionsplit/linklistnewlook/link_copy_copy_20862_2004292923.958213743.file/PS9jb250ZW50L2RhbS9hc3NldHMvZ2xvYmFsL2VuL2NvbGxlY3Rpb25zL2NyZWRpdC1zdWlzc2UvZG9jdW1lbnRzL2ludGVybmF0aW9uYWwtZG9jdW1lbnRzL2NzaS1waWxsYXItMjAyNS1kaXNjbG9zdXJlLXY2LnBkZg==/csi-pillar-2025-disclosure-v6.pdf
FY2015-FY2020 (added for HD-020): CSI's own standalone Pillar 3 disclosure PDFs (real text layers, not scanned), each headed 'Capital management' and each containing its own capital composition/capital ratios table plus (from FY2017 onward) an 'OV1 - Overview of RWA' breakdown table. These are no longer hosted live at credit-suisse.com following the 2023 UBS acquisition/site migration (confirmed via a Wayback Machine CDX API re-scan this session) - retrieved via web.archive.org:
FY2020: Credit Suisse International Pillar 3 Disclosures 2020, p.5 (capital)/p.7 (RWA) - https://web.archive.org/web/20210627075334id_/https://www.credit-suisse.com/media/assets/corporate/docs/about-us/investor-relations/regulatory-disclosures/csi-pillar-3-disclosures-2020.pdf</t>
        </is>
      </c>
    </row>
    <row r="9" ht="195" customHeight="1">
      <c r="A9" s="8" t="inlineStr">
        <is>
          <t>(continued)
FY2019: Credit Suisse International Pillar 3 Disclosures 2019, p.5 (capital)/p.6 (RWA) - https://web.archive.org/web/20210627075339id_/https://www.credit-suisse.com/media/assets/corporate/docs/about-us/investor-relations/regulatory-disclosures/csi-pillar-3-disclosures-2019.pdf
FY2018: Credit Suisse International Pillar 3 Disclosures 2018, p.5 (capital)/p.6 (RWA) - https://web.archive.org/web/20210627075317id_/https://www.credit-suisse.com/media/assets/corporate/docs/about-us/investor-relations/regulatory-disclosures/csi-pillar-3-disclosures-2018.pdf
FY2017: Credit Suisse International Pillar 3 Disclosures 2017, p.6 (capital)/p.8 (RWA) - https://web.archive.org/web/20210627075328id_/https://www.credit-suisse.com/media/assets/about-us/docs/investor-relations/financial-regulatory-disclosures/regulatory-disclosures/regulatory-disclosures-subsidiaries/csi-pillar-3-disclosures-2017.pdf
FY2016: Credit Suisse International Pillar 3 Disclosures 2016, p.5 (capital)/p.7 (RWA, Basel II/III-era template - see RWA Breakdown sheet's own note) - https://web.archive.org/web/20170629113020id_/https://www.credit-suisse.com/media/assets/corporate/docs/about-us/investor-relations/regulatory-disclosures/csi-pillar-3-disclosures-2016.pdf
FY2015: Credit Suisse International Pillar 3 Disclosures 2015, p.5 (capital)/p.7 (RWA, Basel II/III-era template) - https://web.archive.org/web/20210627075342id_/https://www.credit-suisse.com/media/assets/corporate/docs/about-us/investor-relations/regulatory-disclosures/csi-pillar-3-disclosures-2015.pdf
BASEL II/III-ERA CAVEAT: FY2015-FY2016's Pillar 3 disclosures pre-date the CRR II 'OV1' RWA-breakdown template used from FY2017 onward - they report RWA under three broader buckets ('Total credit and counterparty credit risk' including CVA, 'Total market risk', 'Total other risks' covering default-fund contributions/operational risk/large exposures) rather than the 8-line OV1 categories. CET1 is not a distinct concept in any of FY2015-FY2020's disclosures either (CSI had no Additional Tier 1 instruments in this window, so CET1 = Tier 1 throughout - stated explicitly in each year's own document).
FX conversion: point-in-time figures (cash balances, Tier 1 capital, RWA) converted at the Bank of England GBP/USD SPOT rate as at each fiscal year-end; flow figures (every cash flow statement line item) converted at the AVERAGE rate over that fiscal year. Rates used (£1 = $X): 31 Dec 2014 spot 1.5608 (FY2015 opening cash only); FY2015 spot 1.4819 / average 1.5283; FY2016 spot 1.2303 / average 1.3550; FY2017 spot 1.3510 / average 1.2885; FY2018 spot 1.2769 / average 1.3347; FY2019 spot 1.3210 / average 1.2765; FY2020 spot 1.3661 / average 1.2837; FY2021 spot 1.3521 / average 1.3752; FY2022 spot 1.2097 / average 1.2362; FY2023 spot 1.2732 / average 1.2439; FY2024 spot 1.2515 / average 1.2782; FY2025 spot 1.3448 / average 1.3193. FY2021-FY2025 rates reuse the table already established for Zenith Bank UK (identical 31 December year-end); FY2014-FY2019 rates were independently sourced this session from poundsterlinglive.com's Bank-of-England-spot and annual-average history pages for HD-020's FY2015-FY2020 extension. Converting stocks and flows at different rates means the statement doesn't tie in GBP by itself - an 'Effect of GBP/USD translation' line is included, computed programmatically as the balancing figure (never hardcoded), labelled clearly as a translation artefact with no bearing on CSI's actual results.</t>
        </is>
      </c>
    </row>
  </sheetData>
  <mergeCells count="3">
    <mergeCell ref="A5:L5"/>
    <mergeCell ref="A7:L7"/>
    <mergeCell ref="A9:L9"/>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Credit Suisse International — Total RWAs</t>
        </is>
      </c>
    </row>
    <row r="2">
      <c r="A2" s="2" t="inlineStr">
        <is>
          <t>£m (conv. from USD)</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Risk Weighted Assets</t>
        </is>
      </c>
      <c r="B4" s="6" t="n">
        <v>1525.9</v>
      </c>
      <c r="C4" s="6" t="n">
        <v>8750.299999999999</v>
      </c>
      <c r="D4" s="6" t="n">
        <v>27252.6</v>
      </c>
      <c r="E4" s="6" t="n">
        <v>50133.1</v>
      </c>
      <c r="F4" s="6" t="n">
        <v>46330.2</v>
      </c>
      <c r="G4" s="6" t="n">
        <v>77941.60000000001</v>
      </c>
      <c r="H4" s="6" t="n">
        <v>58372.4</v>
      </c>
      <c r="I4" s="6" t="n">
        <v>81433.89999999999</v>
      </c>
      <c r="J4" s="6" t="n">
        <v>77624.7</v>
      </c>
      <c r="K4" s="6" t="n">
        <v>103001.7</v>
      </c>
      <c r="L4" s="6" t="n">
        <v>110481.1</v>
      </c>
    </row>
    <row r="6" ht="390" customHeight="1">
      <c r="A6" s="8" t="inlineStr">
        <is>
          <t>Sources - Credit Suisse International capital/RWA basis: the FY2025 Annual Report's own 'Key Performance Indicators' table (p.6), which discloses Risk Weighted Assets, Tier 1 capital, and Tier 1 capital ratio for all 5 years (2021-2025) as at each year-end - https://find-and-update.company-information.service.gov.uk/company/02500199/filing-history/MzUxNDA4Njk0M2FkaXF6a2N4/document?format=pdf&amp;download=0. This report explicitly states 'Pillar 3 disclosures required under the Capital Requirements Regulation (CRR) can be found separately at http://www.ubs.com'. Converted from USD to GBP using the same FX methodology as the Cash Flow Statement sheet (SPOT rate at each year-end); % ratios shown exactly as disclosed, not converted.
FY2021-FY2024 PILLAR 3 DOCUMENTS RECOVERED (2026-09-12): an earlier session concluded the standalone CSi Pillar 3 document 'was not locatable' for FY2021-FY2025 and left Total Capital, Total Capital Ratio, Leverage Ratio, LCR and NSFR blank on that basis. That conclusion was wrong for four of those five years. CSi publishes a full KM1 key-metrics template every year, recovered as follows:
FY2024: KM1, p.5 - UBS-hosted '2024-csi-pillar-3-disclosures.pdf' (the same document already cited on the RWA Breakdown sheet for its OV1 table), retrieved via web.archive.org - https://www.ubs.com/global/en/collections/credit-suisse/investment-bank/regulatory-directory/international/_jcr_content/root/contentarea/mainpar/toplevelgrid_840462106/col_1/accordion/accordionsplit/linklistnewlook/link_copy_copy_20862.0656872784.file/PS9jb250ZW50L2RhbS9hc3NldHMvY2MvaW52ZXN0b3ItcmVsYXRpb25zL2NvbXBsZW1lbnRhcnktZmluYW5jaWFsLWluZm9ybWF0aW9uL2FyY2hpdmUvMjAyNC8yMDI0LWNzaS1waWxsYXItMy1kaXNjbG9zdXJlcy5wZGY=/2024-csi-pillar-3-disclosures.pdf
FY2023: KM1, p.5 - UBS-hosted '2023-csi-pillar-3-disclosures.pdf', likewise already cited on the RWA Breakdown sheet, retrieved via web.archive.org - https://www.ubs.com/global/en/investor-relations/complementary-financial-information/disclosure-legal-entities/archive-credit-suisse/_jcr_content/root/contentarea/mainpar/toplevelgrid_1145414446/col_1/accordionbox/accordionsplit_485894160/table.0884404004.file/dGFibGVUZXh0PS9jb250ZW50L2RhbS9hc3NldHMvY2MvaW52ZXN0b3ItcmVsYXRpb25zL2NvbXBsZW1lbnRhcnktZmluYW5jaWFsLWluZm9ybWF0aW9uL2FyY2hpdmUvMjAyMy8yMDIzLWNzaS1waWxsYXItMy1kaXNjbG9zdXJlcy5wZGY=/2023-csi-pillar-3-disclosures.pdf
FY2022: KM1, p.5 - Credit Suisse International Pillar 3 Disclosures 2022, retrieved via web.archive.org from the pre-migration credit-suisse.com pattern - https://web.archive.org/web/2024id_/https://www.credit-suisse.com/media/assets/corporate/docs/about-us/investor-relations/regulatory-disclosures/csi-pillar-3-disclosures-2022.pdf
FY2021: capital composition/'Capital ratios' tables, p.4-5, plus the leverage-ratio (LRCom, p.9) and LCR (p.11) tables - Credit Suisse International Pillar 3 Disclosures 2021, same pre-migration pattern via web.archive.org - https://web.archive.org/web/2024id_/https://www.credit-suisse.com/media/assets/corporate/docs/about-us/investor-relations/regulatory-disclosures/csi-pillar-3-disclosures-2021.pdf
Each recovered year's figures were cross-checked against the following year's own KM1 comparative column and agree exactly (FY2021 CET1/Tier 1 $15,022m, Total capital $15,027m, Total RWA $62,643m all confirmed in both FY2021's and FY2022's own documents).
FY2022/FY2023 CET1 GAP CLOSED (2026-09-15): the same three KM1 templates also carry the separate CET1 amount and CET1 ratio lines that the CET1 Capital / CET1 Ratio sheets previously left blank for these two years (see those sheets' own note for the figures, the two-document cross-check and the FY2022 restated-vs-originally-published ratio point). The FY2024 and FY2023 UBS-hosted documents both return HTTP 403 to scripted requests against ubs.com from this environment; both were retrieved instead through the Wayback Machine's id_ replay of those exact UBS URLs (https://web.archive.org/web/2025id_/&lt;the UBS URL below&gt;), and the FY2022 document from the pre-migration credit-suisse.com URL already listed here. All three are genuine PDFs (0.8-2.6MB), not soft-404 HTML.
FY2025 NOW OBTAINED (2026-09-15) - the access block is resolved. ubs.com returns HTTP 403 to scripted requests from this environment and the Wayback Machine has no capture, so the PDF was downloaded manually in an ordinary browser and transcribed from the local copy. Source: Credit Suisse International Pillar 3 Disclosures 2025, 'KM1 - Key metrics template', p.6 (Total capital, Total capital ratio, Leverage ratio, LCR, NSFR; CET1/Tier 1/Total RWA on the same table confirm the figures already carried here from the Annual Report's KPI table). That document's own 2024 comparative column reproduces every FY2024 figure already on these sheets exactly (CET1/Tier 1/Total capital $6,883m, Total RWA $10,951m, ratios 62.86%, leverage 21.16%, LCR 363.29%, NSFR 214.78%), confirming an unbroken basis across the two years. Its 'Own Funds' section (p.7) states 'CSi has no AT1 capital or Tier 2 capital instruments', so CET1 = Tier 1 = Total capital = $3,014m for FY2025 as disclosed, not inferred. The live URL, fetchable in an ordinary browser, is:
https://www.ubs.com/global/en/collections/credit-suisse/investment-bank/regulatory-directory/international/_jcr_content/root/contentarea/mainpar/toplevelgrid_840462106/col_1/accordion/accordionsplit/linklistnewlook/link_copy_copy_20862_2004292923.958213743.file/PS9jb250ZW50L2RhbS9hc3NldHMvZ2xvYmFsL2VuL2NvbGxlY3Rpb25zL2NyZWRpdC1zdWlzc2UvZG9jdW1lbnRzL2ludGVybmF0aW9uYWwtZG9jdW1lbnRzL2NzaS1waWxsYXItMjAyNS1kaXNjbG9zdXJlLXY2LnBkZg==/csi-pillar-2025-disclosure-v6.pdf
FY2015-FY2020 (added for HD-020): CSI's own standalone Pillar 3 disclosure PDFs (real text layers, not scanned), each headed 'Capital management' and each containing its own capital composition/capital ratios table plus (from FY2017 onward) an 'OV1 - Overview of RWA' breakdown table. These are no longer hosted live at credit-suisse.com following the 2023 UBS acquisition/site migration (confirmed via a Wayback Machine CDX API re-scan this session) - retrieved via web.archive.org:
FY2020: Credit Suisse International Pillar 3 Disclosures 2020, p.5 (capital)/p.7 (RWA) - https://web.archive.org/web/20210627075334id_/https://www.credit-suisse.com/media/assets/corporate/docs/about-us/investor-relations/regulatory-disclosures/csi-pillar-3-disclosures-2020.pdf</t>
        </is>
      </c>
    </row>
    <row r="8" ht="195" customHeight="1">
      <c r="A8" s="8" t="inlineStr">
        <is>
          <t>(continued)
FY2019: Credit Suisse International Pillar 3 Disclosures 2019, p.5 (capital)/p.6 (RWA) - https://web.archive.org/web/20210627075339id_/https://www.credit-suisse.com/media/assets/corporate/docs/about-us/investor-relations/regulatory-disclosures/csi-pillar-3-disclosures-2019.pdf
FY2018: Credit Suisse International Pillar 3 Disclosures 2018, p.5 (capital)/p.6 (RWA) - https://web.archive.org/web/20210627075317id_/https://www.credit-suisse.com/media/assets/corporate/docs/about-us/investor-relations/regulatory-disclosures/csi-pillar-3-disclosures-2018.pdf
FY2017: Credit Suisse International Pillar 3 Disclosures 2017, p.6 (capital)/p.8 (RWA) - https://web.archive.org/web/20210627075328id_/https://www.credit-suisse.com/media/assets/about-us/docs/investor-relations/financial-regulatory-disclosures/regulatory-disclosures/regulatory-disclosures-subsidiaries/csi-pillar-3-disclosures-2017.pdf
FY2016: Credit Suisse International Pillar 3 Disclosures 2016, p.5 (capital)/p.7 (RWA, Basel II/III-era template - see RWA Breakdown sheet's own note) - https://web.archive.org/web/20170629113020id_/https://www.credit-suisse.com/media/assets/corporate/docs/about-us/investor-relations/regulatory-disclosures/csi-pillar-3-disclosures-2016.pdf
FY2015: Credit Suisse International Pillar 3 Disclosures 2015, p.5 (capital)/p.7 (RWA, Basel II/III-era template) - https://web.archive.org/web/20210627075342id_/https://www.credit-suisse.com/media/assets/corporate/docs/about-us/investor-relations/regulatory-disclosures/csi-pillar-3-disclosures-2015.pdf
BASEL II/III-ERA CAVEAT: FY2015-FY2016's Pillar 3 disclosures pre-date the CRR II 'OV1' RWA-breakdown template used from FY2017 onward - they report RWA under three broader buckets ('Total credit and counterparty credit risk' including CVA, 'Total market risk', 'Total other risks' covering default-fund contributions/operational risk/large exposures) rather than the 8-line OV1 categories. CET1 is not a distinct concept in any of FY2015-FY2020's disclosures either (CSI had no Additional Tier 1 instruments in this window, so CET1 = Tier 1 throughout - stated explicitly in each year's own document).
FX conversion: point-in-time figures (cash balances, Tier 1 capital, RWA) converted at the Bank of England GBP/USD SPOT rate as at each fiscal year-end; flow figures (every cash flow statement line item) converted at the AVERAGE rate over that fiscal year. Rates used (£1 = $X): 31 Dec 2014 spot 1.5608 (FY2015 opening cash only); FY2015 spot 1.4819 / average 1.5283; FY2016 spot 1.2303 / average 1.3550; FY2017 spot 1.3510 / average 1.2885; FY2018 spot 1.2769 / average 1.3347; FY2019 spot 1.3210 / average 1.2765; FY2020 spot 1.3661 / average 1.2837; FY2021 spot 1.3521 / average 1.3752; FY2022 spot 1.2097 / average 1.2362; FY2023 spot 1.2732 / average 1.2439; FY2024 spot 1.2515 / average 1.2782; FY2025 spot 1.3448 / average 1.3193. FY2021-FY2025 rates reuse the table already established for Zenith Bank UK (identical 31 December year-end); FY2014-FY2019 rates were independently sourced this session from poundsterlinglive.com's Bank-of-England-spot and annual-average history pages for HD-020's FY2015-FY2020 extension. Converting stocks and flows at different rates means the statement doesn't tie in GBP by itself - an 'Effect of GBP/USD translation' line is included, computed programmatically as the balancing figure (never hardcoded), labelled clearly as a translation artefact with no bearing on CSI's actual results.</t>
        </is>
      </c>
    </row>
  </sheetData>
  <mergeCells count="2">
    <mergeCell ref="A8:L8"/>
    <mergeCell ref="A6:L6"/>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Credit Suisse International — RWA Breakdown</t>
        </is>
      </c>
    </row>
    <row r="2">
      <c r="A2" s="2" t="inlineStr">
        <is>
          <t>Pillar 3 disclosures, £m (conv. from USD). Ties exactly to the Total RWAs sheet for 10 of 11 years - see FY2020 reconciliation note below.</t>
        </is>
      </c>
    </row>
    <row r="3">
      <c r="A3" s="4" t="inlineStr">
        <is>
          <t>Line item</t>
        </is>
      </c>
      <c r="B3" s="4" t="inlineStr">
        <is>
          <t>FY2025 (£m, conv. from USD)</t>
        </is>
      </c>
      <c r="C3" s="4" t="inlineStr">
        <is>
          <t>FY2024 (£m, conv. from USD)</t>
        </is>
      </c>
      <c r="D3" s="4" t="inlineStr">
        <is>
          <t>FY2023 (£m, conv. from USD)</t>
        </is>
      </c>
      <c r="E3" s="4" t="inlineStr">
        <is>
          <t>FY2022 (£m, conv. from USD)</t>
        </is>
      </c>
      <c r="F3" s="4" t="inlineStr">
        <is>
          <t>FY2021 (£m, conv. from USD)</t>
        </is>
      </c>
      <c r="G3" s="4" t="inlineStr">
        <is>
          <t>FY2020 (£m, conv. from USD)</t>
        </is>
      </c>
      <c r="H3" s="4" t="inlineStr">
        <is>
          <t>FY2019 (£m, conv. from USD)</t>
        </is>
      </c>
      <c r="I3" s="4" t="inlineStr">
        <is>
          <t>FY2018 (£m, conv. from USD)</t>
        </is>
      </c>
      <c r="J3" s="4" t="inlineStr">
        <is>
          <t>FY2017 (£m, conv. from USD)</t>
        </is>
      </c>
      <c r="K3" s="4" t="inlineStr">
        <is>
          <t>FY2016 (£m, conv. from USD)</t>
        </is>
      </c>
      <c r="L3" s="4" t="inlineStr">
        <is>
          <t>FY2015 (£m, conv. from USD)</t>
        </is>
      </c>
    </row>
    <row r="4">
      <c r="A4" s="5" t="inlineStr">
        <is>
          <t>RWA by risk category (OV1 template, FY2017-FY2025)</t>
        </is>
      </c>
      <c r="B4" s="6" t="n"/>
      <c r="C4" s="6" t="n"/>
      <c r="D4" s="6" t="n"/>
      <c r="E4" s="6" t="n"/>
      <c r="F4" s="6" t="n"/>
      <c r="G4" s="6" t="n"/>
      <c r="H4" s="6" t="n"/>
      <c r="I4" s="6" t="n"/>
      <c r="J4" s="6" t="n"/>
      <c r="K4" s="6" t="n"/>
      <c r="L4" s="6" t="n"/>
    </row>
    <row r="5">
      <c r="A5" s="6" t="inlineStr">
        <is>
          <t>Credit risk (excluding CCR)</t>
        </is>
      </c>
      <c r="B5" s="6" t="n">
        <v>197.8</v>
      </c>
      <c r="C5" s="6" t="n">
        <v>647.2</v>
      </c>
      <c r="D5" s="6" t="n">
        <v>3407.2</v>
      </c>
      <c r="E5" s="6" t="n">
        <v>5857.7</v>
      </c>
      <c r="F5" s="6" t="n">
        <v>5490.7</v>
      </c>
      <c r="G5" s="6" t="n">
        <v>4853.2</v>
      </c>
      <c r="H5" s="6" t="n">
        <v>7282.4</v>
      </c>
      <c r="I5" s="6" t="n">
        <v>4597.1</v>
      </c>
      <c r="J5" s="6" t="n">
        <v>5653.6</v>
      </c>
      <c r="K5" s="6" t="n"/>
      <c r="L5" s="6" t="n"/>
    </row>
    <row r="6">
      <c r="A6" s="6" t="inlineStr">
        <is>
          <t>Counterparty credit risk (CCR)</t>
        </is>
      </c>
      <c r="B6" s="6" t="n">
        <v>15.6</v>
      </c>
      <c r="C6" s="6" t="n">
        <v>2843</v>
      </c>
      <c r="D6" s="6" t="n">
        <v>11489.2</v>
      </c>
      <c r="E6" s="6" t="n">
        <v>20593.5</v>
      </c>
      <c r="F6" s="6" t="n">
        <v>17540.9</v>
      </c>
      <c r="G6" s="6" t="n">
        <v>30837.4</v>
      </c>
      <c r="H6" s="6" t="n">
        <v>30653.3</v>
      </c>
      <c r="I6" s="6" t="n">
        <v>45827.4</v>
      </c>
      <c r="J6" s="6" t="n">
        <v>45992.6</v>
      </c>
      <c r="K6" s="6" t="n"/>
      <c r="L6" s="6" t="n"/>
    </row>
    <row r="7">
      <c r="A7" s="6" t="inlineStr">
        <is>
          <t>Settlement risk</t>
        </is>
      </c>
      <c r="B7" s="6" t="n">
        <v>0.7</v>
      </c>
      <c r="C7" s="6" t="n">
        <v>0</v>
      </c>
      <c r="D7" s="6" t="n">
        <v>14.9</v>
      </c>
      <c r="E7" s="6" t="n">
        <v>45.5</v>
      </c>
      <c r="F7" s="6" t="n">
        <v>74</v>
      </c>
      <c r="G7" s="6" t="n">
        <v>51.2</v>
      </c>
      <c r="H7" s="6" t="n">
        <v>54.5</v>
      </c>
      <c r="I7" s="6" t="n">
        <v>0</v>
      </c>
      <c r="J7" s="6" t="n">
        <v>5.2</v>
      </c>
      <c r="K7" s="6" t="n"/>
      <c r="L7" s="6" t="n"/>
    </row>
    <row r="8">
      <c r="A8" s="6" t="inlineStr">
        <is>
          <t>Securitisation exposures in the non-trading book</t>
        </is>
      </c>
      <c r="B8" s="6" t="n">
        <v>0</v>
      </c>
      <c r="C8" s="6" t="n">
        <v>0</v>
      </c>
      <c r="D8" s="6" t="n">
        <v>20.4</v>
      </c>
      <c r="E8" s="6" t="n">
        <v>0</v>
      </c>
      <c r="F8" s="6" t="n">
        <v>49.6</v>
      </c>
      <c r="G8" s="6" t="n">
        <v>48.3</v>
      </c>
      <c r="H8" s="6" t="n">
        <v>52.2</v>
      </c>
      <c r="I8" s="6" t="n">
        <v>0.8</v>
      </c>
      <c r="J8" s="6" t="n">
        <v>589.9</v>
      </c>
      <c r="K8" s="6" t="n"/>
      <c r="L8" s="6" t="n"/>
    </row>
    <row r="9">
      <c r="A9" s="6" t="inlineStr">
        <is>
          <t>Position, foreign exchange and commodities risks (Market risk)</t>
        </is>
      </c>
      <c r="B9" s="6" t="n">
        <v>61</v>
      </c>
      <c r="C9" s="6" t="n">
        <v>2961.2</v>
      </c>
      <c r="D9" s="6" t="n">
        <v>7627.2</v>
      </c>
      <c r="E9" s="6" t="n">
        <v>14149</v>
      </c>
      <c r="F9" s="6" t="n">
        <v>16674.8</v>
      </c>
      <c r="G9" s="6" t="n">
        <v>17902.1</v>
      </c>
      <c r="H9" s="6" t="n">
        <v>11635.9</v>
      </c>
      <c r="I9" s="6" t="n">
        <v>16909.7</v>
      </c>
      <c r="J9" s="6" t="n">
        <v>16069.6</v>
      </c>
      <c r="K9" s="6" t="n"/>
      <c r="L9" s="6" t="n"/>
    </row>
    <row r="10">
      <c r="A10" s="6" t="inlineStr">
        <is>
          <t>Large exposures</t>
        </is>
      </c>
      <c r="B10" s="6" t="n">
        <v>0</v>
      </c>
      <c r="C10" s="6" t="n">
        <v>0</v>
      </c>
      <c r="D10" s="6" t="n">
        <v>1735.8</v>
      </c>
      <c r="E10" s="6" t="n">
        <v>5761.8</v>
      </c>
      <c r="F10" s="6" t="n">
        <v>3135.9</v>
      </c>
      <c r="G10" s="6" t="n">
        <v>17460.7</v>
      </c>
      <c r="H10" s="6" t="n">
        <v>5725.2</v>
      </c>
      <c r="I10" s="6" t="n">
        <v>11113.6</v>
      </c>
      <c r="J10" s="6" t="n">
        <v>6694.3</v>
      </c>
      <c r="K10" s="6" t="n"/>
      <c r="L10" s="6" t="n"/>
    </row>
    <row r="11">
      <c r="A11" s="6" t="inlineStr">
        <is>
          <t>Operational risk</t>
        </is>
      </c>
      <c r="B11" s="6" t="n">
        <v>1250.7</v>
      </c>
      <c r="C11" s="6" t="n">
        <v>2298.8</v>
      </c>
      <c r="D11" s="6" t="n">
        <v>2958.7</v>
      </c>
      <c r="E11" s="6" t="n">
        <v>3725.7</v>
      </c>
      <c r="F11" s="6" t="n">
        <v>3365.1</v>
      </c>
      <c r="G11" s="6" t="n">
        <v>2761.9</v>
      </c>
      <c r="H11" s="6" t="n">
        <v>2408</v>
      </c>
      <c r="I11" s="6" t="n">
        <v>2251.5</v>
      </c>
      <c r="J11" s="6" t="n">
        <v>1975.6</v>
      </c>
      <c r="K11" s="6" t="n"/>
      <c r="L11" s="6" t="n"/>
    </row>
    <row r="12">
      <c r="A12" s="6" t="inlineStr">
        <is>
          <t>Amounts below thresholds for deduction (subject to 250% risk weight) - memo, already included above, not additive to Total</t>
        </is>
      </c>
      <c r="B12" s="6" t="n">
        <v>0</v>
      </c>
      <c r="C12" s="6" t="n">
        <v>76.7</v>
      </c>
      <c r="D12" s="6" t="n">
        <v>75.40000000000001</v>
      </c>
      <c r="E12" s="6" t="n">
        <v>336.4</v>
      </c>
      <c r="F12" s="6" t="n">
        <v>639</v>
      </c>
      <c r="G12" s="6" t="n">
        <v>500</v>
      </c>
      <c r="H12" s="6" t="n">
        <v>560.9</v>
      </c>
      <c r="I12" s="6" t="n">
        <v>733.8</v>
      </c>
      <c r="J12" s="6" t="n">
        <v>644</v>
      </c>
      <c r="K12" s="6" t="n"/>
      <c r="L12" s="6" t="n"/>
    </row>
    <row r="13">
      <c r="A13" s="5" t="inlineStr">
        <is>
          <t>RWA by risk category (pre-OV1 Basel II/III-era format, FY2015-FY2016 - see caveat in source note)</t>
        </is>
      </c>
      <c r="B13" s="6" t="n"/>
      <c r="C13" s="6" t="n"/>
      <c r="D13" s="6" t="n"/>
      <c r="E13" s="6" t="n"/>
      <c r="F13" s="6" t="n"/>
      <c r="G13" s="6" t="n"/>
      <c r="H13" s="6" t="n"/>
      <c r="I13" s="6" t="n"/>
      <c r="J13" s="6" t="n"/>
      <c r="K13" s="6" t="n"/>
      <c r="L13" s="6" t="n"/>
    </row>
    <row r="14">
      <c r="A14" s="6" t="inlineStr">
        <is>
          <t>Total credit and counterparty risk (incl. CVA/settlement)</t>
        </is>
      </c>
      <c r="B14" s="6" t="n"/>
      <c r="C14" s="6" t="n"/>
      <c r="D14" s="6" t="n"/>
      <c r="E14" s="6" t="n"/>
      <c r="F14" s="6" t="n"/>
      <c r="G14" s="6" t="n"/>
      <c r="H14" s="6" t="n"/>
      <c r="I14" s="6" t="n"/>
      <c r="J14" s="6" t="n"/>
      <c r="K14" s="6" t="n">
        <v>71081.8</v>
      </c>
      <c r="L14" s="6" t="n">
        <v>73641.3</v>
      </c>
    </row>
    <row r="15">
      <c r="A15" s="6" t="inlineStr">
        <is>
          <t>Total market risk</t>
        </is>
      </c>
      <c r="B15" s="6" t="n"/>
      <c r="C15" s="6" t="n"/>
      <c r="D15" s="6" t="n"/>
      <c r="E15" s="6" t="n"/>
      <c r="F15" s="6" t="n"/>
      <c r="G15" s="6" t="n"/>
      <c r="H15" s="6" t="n"/>
      <c r="I15" s="6" t="n"/>
      <c r="J15" s="6" t="n"/>
      <c r="K15" s="6" t="n">
        <v>19865.9</v>
      </c>
      <c r="L15" s="6" t="n">
        <v>19461.5</v>
      </c>
    </row>
    <row r="16">
      <c r="A16" s="6" t="inlineStr">
        <is>
          <t>Total other risks (incl. operational risk, large exposures - trading book, default fund contributions)</t>
        </is>
      </c>
      <c r="B16" s="6" t="n"/>
      <c r="C16" s="6" t="n"/>
      <c r="D16" s="6" t="n"/>
      <c r="E16" s="6" t="n"/>
      <c r="F16" s="6" t="n"/>
      <c r="G16" s="6" t="n"/>
      <c r="H16" s="6" t="n"/>
      <c r="I16" s="6" t="n"/>
      <c r="J16" s="6" t="n"/>
      <c r="K16" s="6" t="n">
        <v>12054</v>
      </c>
      <c r="L16" s="6" t="n">
        <v>17378.4</v>
      </c>
    </row>
    <row r="17">
      <c r="A17" s="5" t="inlineStr">
        <is>
          <t>Total RWAs</t>
        </is>
      </c>
      <c r="B17" s="5" t="n">
        <v>1525.9</v>
      </c>
      <c r="C17" s="5" t="n">
        <v>8750.299999999999</v>
      </c>
      <c r="D17" s="5" t="n">
        <v>27252.6</v>
      </c>
      <c r="E17" s="5" t="n">
        <v>50133.1</v>
      </c>
      <c r="F17" s="5" t="n">
        <v>46330.2</v>
      </c>
      <c r="G17" s="5" t="n">
        <v>77941.60000000001</v>
      </c>
      <c r="H17" s="5" t="n">
        <v>58372.4</v>
      </c>
      <c r="I17" s="5" t="n">
        <v>81433.89999999999</v>
      </c>
      <c r="J17" s="5" t="n">
        <v>77624.7</v>
      </c>
      <c r="K17" s="5" t="n">
        <v>103001.7</v>
      </c>
      <c r="L17" s="5" t="n">
        <v>110481.1</v>
      </c>
    </row>
    <row r="19" ht="377" customHeight="1">
      <c r="A19" s="8" t="inlineStr">
        <is>
          <t>Sources - Credit Suisse International's own standalone Pillar 3 disclosures, table 'OV1 - Overview of risk weighted exposure amounts' (found on ubs.com, per the Annual Report's own cross-reference - see p3_sources note on other Pillar 3 sheets for why this wasn't located in an earlier session):
FY2025: Credit Suisse International Pillar 3 Risk Disclosures 2025, p.10 - https://www.ubs.com/global/en/collections/credit-suisse/investment-bank/regulatory-directory/international/_jcr_content/root/contentarea/mainpar/toplevelgrid_840462106/col_1/accordion/accordionsplit/linklistnewlook/link_copy_copy_20862_2004292923.958213743.file/PS9jb250ZW50L2RhbS9hc3NldHMvZ2xvYmFsL2VuL2NvbGxlY3Rpb25zL2NyZWRpdC1zdWlzc2UvZG9jdW1lbnRzL2ludGVybmF0aW9uYWwtZG9jdW1lbnRzL2NzaS1waWxsYXItMjAyNS1kaXNjbG9zdXJlLXY2LnBkZg==/csi-pillar-2025-disclosure-v6.pdf
FY2024: Basel III 2024 Pillar 3 Disclosures, p.11 - https://www.ubs.com/global/en/collections/credit-suisse/investment-bank/regulatory-directory/international/_jcr_content/root/contentarea/mainpar/toplevelgrid_840462106/col_1/accordion/accordionsplit/linklistnewlook/link_copy_copy_20862.0656872784.file/PS9jb250ZW50L2RhbS9hc3NldHMvY2MvaW52ZXN0b3ItcmVsYXRpb25zL2NvbXBsZW1lbnRhcnktZmluYW5jaWFsLWluZm9ybWF0aW9uL2FyY2hpdmUvMjAyNC8yMDI0LWNzaS1waWxsYXItMy1kaXNjbG9zdXJlcy5wZGY=/2024-csi-pillar-3-disclosures.pdf
FY2023: Basel III 2023 Pillar 3 Disclosures, p.10 - https://www.ubs.com/global/en/investor-relations/complementary-financial-information/disclosure-legal-entities/archive-credit-suisse/_jcr_content/root/contentarea/mainpar/toplevelgrid_1145414446/col_1/accordionbox/accordionsplit_485894160/table.0884404004.file/dGFibGVUZXh0PS9jb250ZW50L2RhbS9hc3NldHMvY2MvaW52ZXN0b3ItcmVsYXRpb25zL2NvbXBsZW1lbnRhcnktZmluYW5jaWFsLWluZm9ybWF0aW9uL2FyY2hpdmUvMjAyMy8yMDIzLWNzaS1waWxsYXItMy1kaXNjbG9zdXJlcy5wZGY=/2023-csi-pillar-3-disclosures.pdf
FY2022: Basel III 2023 Pillar 3 Disclosures' 2022 comparative column, p.10 - https://www.ubs.com/global/en/investor-relations/complementary-financial-information/disclosure-legal-entities/archive-credit-suisse/_jcr_content/root/contentarea/mainpar/toplevelgrid_1145414446/col_1/accordionbox/accordionsplit_485894160/table.0884404004.file/dGFibGVUZXh0PS9jb250ZW50L2RhbS9hc3NldHMvY2MvaW52ZXN0b3ItcmVsYXRpb25zL2NvbXBsZW1lbnRhcnktZmluYW5jaWFsLWluZm9ybWF0aW9uL2FyY2hpdmUvMjAyMy8yMDIzLWNzaS1waWxsYXItMy1kaXNjbG9zdXJlcy5wZGY=/2023-csi-pillar-3-disclosures.pdf (used instead of the 2022 disclosures' own-year column because the 2023 document's footnote states '2022 RWA numbers have been restated to align with Dec'22 COREP final submission numbers' - this restated figure is what ties to the Total RWAs sheet's FY2022 figure)
FY2021: Basel III 2022 Pillar 3 Disclosures' 2021 comparative column, p.10 - https://www.ubs.com/global/en/investor-relations/complementary-financial-information/disclosure-legal-entities/archive-credit-suisse/_jcr_content/root/contentarea/mainpar/toplevelgrid_1145414446/col_1/accordionbox/accordionsplit_1343042181/innergrid/col_1/table.0589413556.file/dGFibGVUZXh0PS9jb250ZW50L2RhbS9hc3NldHMvY2MvaW52ZXN0b3ItcmVsYXRpb25zL2NvbXBsZW1lbnRhcnktZmluYW5jaWFsLWluZm9ybWF0aW9uL2FyY2hpdmUvMjAyMi9jc2ktcGlsbGFyLTMtZGlzY2xvc3VyZXMtMjAyMi5wZGY=/csi-pillar-3-disclosures-2022.pdf
FY2015-FY2020 (added for HD-020) - CSI's own standalone Pillar 3 disclosures, located via Wayback Machine (no longer hosted live at credit-suisse.com following the 2023 UBS acquisition/site migration - see p3_sources note on other Pillar 3 sheets for the full URL list and page references):
FY2020: csi-pillar-3-disclosures-2020.pdf, OV1 table
FY2019: csi-pillar-3-disclosures-2019.pdf, OV1 table
FY2018: csi-pillar-3-disclosures-2018.pdf, OV1 table
FY2017: csi-pillar-3-disclosures-2017.pdf, OV1 table
FY2016: csi-pillar-3-disclosures-2016.pdf, own-format RWA table (pre-OV1)
FY2015: csi-pillar-3-disclosures-2015.pdf, own-format RWA table (pre-OV1)
FY2020 RECONCILIATION NOTE: the FY2020 Pillar 3 document's own OV1 table sums to $101,658m, which does NOT match the same document's capital-composition table Total RWA figure of $106,476m used on the Total RWAs/CET1 Ratio/Tier 1 Ratio/Total Capital Ratio sheets (a $4,818m gap, cause not stated in the source). Per this workbook's existing precedent for the FY2022 RWA restatement above, the capital-composition table's figure is treated as authoritative for the ratio sheets, while this Breakdown sheet reproduces the OV1 table's own component figures as-disclosed (which is why the FY2020 column of this sheet's OV1 rows sums to $101,658m rather than to the $106,476m Total RWAs row above it - a genuine internal inconsistency in CSI's own FY2020 disclosure, not a transcription error here).</t>
        </is>
      </c>
    </row>
    <row r="21" ht="340" customHeight="1">
      <c r="A21" s="8" t="inlineStr">
        <is>
          <t>(continued)
BASEL II/III-ERA CAVEAT (FY2015-FY2016): these two years' own Pillar 3 disclosures use an older 3-category RWA table (Total credit and counterparty risk / Total market risk / Total other risks) that pre-dates the OV1 template introduced under CRR/Basel III Pillar 3 rules - the categories don't map cleanly onto the 8 OV1 rows above, so they're shown as their own separate section using their own disclosed category names rather than force-fit into the newer template. Both years' components sum exactly to that year's own Total RWAs figure.
Converted from USD to GBP using the same FX methodology as the Cash Flow Statement sheet (SPOT rate at each year-end).
FX conversion: point-in-time figures (cash balances, Tier 1 capital, RWA) converted at the Bank of England GBP/USD SPOT rate as at each fiscal year-end; flow figures (every cash flow statement line item) converted at the AVERAGE rate over that fiscal year. Rates used (£1 = $X): 31 Dec 2014 spot 1.5608 (FY2015 opening cash only); FY2015 spot 1.4819 / average 1.5283; FY2016 spot 1.2303 / average 1.3550; FY2017 spot 1.3510 / average 1.2885; FY2018 spot 1.2769 / average 1.3347; FY2019 spot 1.3210 / average 1.2765; FY2020 spot 1.3661 / average 1.2837; FY2021 spot 1.3521 / average 1.3752; FY2022 spot 1.2097 / average 1.2362; FY2023 spot 1.2732 / average 1.2439; FY2024 spot 1.2515 / average 1.2782; FY2025 spot 1.3448 / average 1.3193. FY2021-FY2025 rates reuse the table already established for Zenith Bank UK (identical 31 December year-end); FY2014-FY2019 rates were independently sourced this session from poundsterlinglive.com's Bank-of-England-spot and annual-average history pages for HD-020's FY2015-FY2020 extension. Converting stocks and flows at different rates means the statement doesn't tie in GBP by itself - an 'Effect of GBP/USD translation' line is included, computed programmatically as the balancing figure (never hardcoded), labelled clearly as a translation artefact with no bearing on CSI's actual results.</t>
        </is>
      </c>
    </row>
  </sheetData>
  <mergeCells count="2">
    <mergeCell ref="A19:L19"/>
    <mergeCell ref="A21:L2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Credit Suisse International — Leverage Ratio</t>
        </is>
      </c>
    </row>
    <row r="2">
      <c r="A2" s="2" t="inlineStr">
        <is>
          <t>% - see note</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Leverage Ratio</t>
        </is>
      </c>
      <c r="B4" s="6" t="inlineStr">
        <is>
          <t>53.08%</t>
        </is>
      </c>
      <c r="C4" s="6" t="inlineStr">
        <is>
          <t>21.16%</t>
        </is>
      </c>
      <c r="D4" s="6" t="inlineStr">
        <is>
          <t>17.78%</t>
        </is>
      </c>
      <c r="E4" s="6" t="inlineStr">
        <is>
          <t>12.51%</t>
        </is>
      </c>
      <c r="F4" s="6" t="inlineStr">
        <is>
          <t>7.47%</t>
        </is>
      </c>
      <c r="G4" s="6" t="inlineStr">
        <is>
          <t>9.9%</t>
        </is>
      </c>
      <c r="H4" s="6" t="inlineStr">
        <is>
          <t>11.9%</t>
        </is>
      </c>
      <c r="I4" s="6" t="inlineStr">
        <is>
          <t>11.8%</t>
        </is>
      </c>
      <c r="J4" s="6" t="inlineStr">
        <is>
          <t>11.7%</t>
        </is>
      </c>
      <c r="K4" s="6" t="inlineStr">
        <is>
          <t>9.2%</t>
        </is>
      </c>
      <c r="L4" s="6" t="inlineStr">
        <is>
          <t>7.6%</t>
        </is>
      </c>
    </row>
    <row r="5">
      <c r="A5" s="6" t="inlineStr">
        <is>
          <t>Leverage ratio including claims on central banks (%) - LR2 row UK-25c</t>
        </is>
      </c>
      <c r="B5" s="6" t="n"/>
      <c r="C5" s="6" t="inlineStr">
        <is>
          <t>21.16%</t>
        </is>
      </c>
      <c r="D5" s="6" t="inlineStr">
        <is>
          <t>17.78%</t>
        </is>
      </c>
      <c r="E5" s="6" t="inlineStr">
        <is>
          <t>12.51%</t>
        </is>
      </c>
      <c r="F5" s="6" t="n"/>
      <c r="G5" s="6" t="n"/>
      <c r="H5" s="6" t="n"/>
      <c r="I5" s="6" t="n"/>
      <c r="J5" s="6" t="n"/>
      <c r="K5" s="6" t="n"/>
      <c r="L5" s="6" t="n"/>
    </row>
    <row r="6" ht="364" customHeight="1">
      <c r="A6" s="7" t="inlineStr">
        <is>
          <t>Note: BOTH LEVERAGE BASES - FY2022 ONLY, AND THEY COINCIDE (GA-026, 2026-10-09). For periods from 1 January 2022 the UK template UK LR2 (LRCom) prints the leverage ratio on TWO bases, including and excluding claims on central banks. CSi's FY2022 edition prints both, read at 300 dpi from 'LR2 - LRCom: Leverage ratio common disclosure', p.62 of csi-pillar-3-disclosures-2022.pdf, and THE TWO ARE THE SAME FIGURE: row 25 (excluding) 12.51% and row UK-25c (including) 12.51%, struck on row 24 (including) 126,360 and row UK-24b (excluding) 126,360 USD million, over Tier 1 capital (leverage) of 15,809. The table prints NO row UK-24a at all - there is no reconciling 'claims on central banks excluded' line, consistent with the two measures being equal. The FY2021 comparative column behaves the same way: 201,010 on both measures and 7.47% on both ratios. Nothing here has been computed or back-solved; the including-basis row is added to this sheet because the bank published it, and its equality with the excluding basis is itself the finding.
PRINTED ZEROS, RECORDED NOT CORRECTED. In the same table CSi prints row UK-25a (fully loaded ECL leverage ratio excluding claims on central banks) as 0.00% in the FY2021 column while row 25 for that same column is 7.47%; row UK-25b as 0.00% in both columns; and row 26 (regulatory minimum leverage ratio requirement) as 0.00% in both columns. These read as the bank's own template-filling defects rather than real quantities, but they are what the document prints and they are left alone.
FY2021 AND EARLIER HAVE NO SECOND BASIS TO ADD. The dual basis is effective only for periods from 1 January 2022, and CSi's FY2021 edition confirms it: its own 'Table LRCom: Leverage ratio common disclosure' (p.74) is the old CRR template, a single 'Total leverage ratio exposures' of 201,010 and one ratio, 7.47%, with no basis split and no central-bank wording anywhere.
FY2023 AND FY2024 ARE NOW ANSWERED; ONLY FY2025 REMAINS OPEN (corrected 2026-10-10). This note previously said 'FY2023-FY2025 NOT CHECKED - UNREACHED, NOT ABSENT', on the ground that ubs.com returns HTTP 403. The 403 is real and is NOT worked around - it is an Akamai edge denial (errors.edgesuite.net) that survives both a full browser User-Agent and a retry over HTTP/1.1, so it is an access control rather than a client-fingerprint quirk. But the conclusion drawn from it was wrong, and this script already contained the refutation: the Balance Sheet source note records that the FY2023 and FY2024 editions were retrieved through the Wayback Machine's id_ replay of those same UBS URLs. Re-run on 2026-10-10, that route returns both documents again (FY2023: 68pp, %PDF, 837,364 bytes; FY2024: 59pp, %PDF, 2,647,235 bytes). A host-level 403 says nothing about whether a different public source holds the same document, and TWO NOTES IN ONE SCRIPT DISAGREED ABOUT THIS FOR WEEKS.
WHAT THEY SHOW: both editions print LR2 - LRCom in full and the two bases COINCIDE EXACTLY, exactly as in FY2022. FY2024 edition p.53 - row 23 Tier 1 6,883; row 24 (including) 32,522; row UK-24b (excluding) 32,522; row 25 (excluding) 21.16%; row UK-25c (including) 21.16%. FY2023 edition p.62 - 13,889; 78,135; 78,135; 17.78%; 17.78%. NO ROW UK-24a IS PRINTED in either, the same omission already recorded for FY2022, and consistent with the two measures being equal. UK-25b prints 0.00% in both, which is the source's own and is left alone. The including-basis row above is extended to FY2024 and FY2023 accordingly. Each year is taken from its OWN edition; the FY2024 edition's FY2023 comparative (17.78%) and the FY2023 edition's FY2022 comparative (126,360 / 12.51%) both agree with the figures already held, so no edition restated another. FY2024 edition p.53 rendered and read at 300 dpi.
FY2025 IS ALSO ANSWERED NOW, AND THE ANSWER IS THAT CSi STOPPED PUBLISHING THE SPLIT. The FY2025 edition was retrieved directly from ubs.com on 2026-10-10 (HTTP 200, application/pdf, %PDF, 411,677 bytes, 27pp) - see the fetching note below for why that worked. It is a much shorter document than its predecessors (27pp against 59pp and 68pp) and IT CONTAINS NO LR2 / LRCom TABLE AT ALL. Its only leverage disclosure is two plainly-captioned rows in the KM1 table on p.6 - 'Leverage ratio total exposure measure' 5,679 (2024: 32,521) and 'Leverage ratio' 53.08% (2024: 21.16%) - with no central-bank qualifier on either, and no rows 24, UK-24a, UK-24b or UK-25c anywhere in the document. So the dual basis is ABSENT from FY2025, not unreached: the Bank dropped the template between editions. The FY2025 cell above is therefore left with no including-basis counterpart, which is a fact about the disclosure rather than a gap in this workbook. Read at 300 dpi, p.6.
A ONE-UNIT DISAGREEMENT, RECORDED NOT RECONCILED: the FY2025 edition's FY2024 comparative exposure measure is 32,521, while the FY2024 edition's own LR2 prints 32,522 on both row 24 and row UK-24b. Each figure stays with the edition that printed it.
WHY THE FETCH WORKED, AND WHY EARLIER ONES DID NOT - THE USER-AGENT WAS CAUSING THE 403. ubs.com answers PLAIN curl with no added headers at HTTP 200, and answers the same request dressed in a full browser User-Agent with HTTP 403. The block is triggered BY the browser UA, not cured by it - the lowest rung of the fetching ladder passes an edge rule that the highest rung trips. build_credit_suisse_uk.py had already found and written down exactly this about the same host; it was not applied here until 2026-10-10. Nothing was bypassed: the document is served to an ordinary unauthenticated request.
FY2021-FY2024 added 2026-09-12 from the 'Leverage ratio' line of CSi's own Pillar 3 KM1 template - the prior 'not locatable' claim was wrong (see Total Capital sheet note). The Annual Report itself still doesn't carry a leverage ratio; these come from the Pillar 3 documents. FY2025 added 2026-09-15 from that same KM1 line (p.6). FY2015-FY2020 (HD-020) sourced from each year's own standalone Pillar 3 disclosure.</t>
        </is>
      </c>
    </row>
    <row r="8" ht="390" customHeight="1">
      <c r="A8" s="8" t="inlineStr">
        <is>
          <t>Sources - Credit Suisse International capital/RWA basis: the FY2025 Annual Report's own 'Key Performance Indicators' table (p.6), which discloses Risk Weighted Assets, Tier 1 capital, and Tier 1 capital ratio for all 5 years (2021-2025) as at each year-end - https://find-and-update.company-information.service.gov.uk/company/02500199/filing-history/MzUxNDA4Njk0M2FkaXF6a2N4/document?format=pdf&amp;download=0. This report explicitly states 'Pillar 3 disclosures required under the Capital Requirements Regulation (CRR) can be found separately at http://www.ubs.com'. Converted from USD to GBP using the same FX methodology as the Cash Flow Statement sheet (SPOT rate at each year-end); % ratios shown exactly as disclosed, not converted.
FY2021-FY2024 PILLAR 3 DOCUMENTS RECOVERED (2026-09-12): an earlier session concluded the standalone CSi Pillar 3 document 'was not locatable' for FY2021-FY2025 and left Total Capital, Total Capital Ratio, Leverage Ratio, LCR and NSFR blank on that basis. That conclusion was wrong for four of those five years. CSi publishes a full KM1 key-metrics template every year, recovered as follows:
FY2024: KM1, p.5 - UBS-hosted '2024-csi-pillar-3-disclosures.pdf' (the same document already cited on the RWA Breakdown sheet for its OV1 table), retrieved via web.archive.org - https://www.ubs.com/global/en/collections/credit-suisse/investment-bank/regulatory-directory/international/_jcr_content/root/contentarea/mainpar/toplevelgrid_840462106/col_1/accordion/accordionsplit/linklistnewlook/link_copy_copy_20862.0656872784.file/PS9jb250ZW50L2RhbS9hc3NldHMvY2MvaW52ZXN0b3ItcmVsYXRpb25zL2NvbXBsZW1lbnRhcnktZmluYW5jaWFsLWluZm9ybWF0aW9uL2FyY2hpdmUvMjAyNC8yMDI0LWNzaS1waWxsYXItMy1kaXNjbG9zdXJlcy5wZGY=/2024-csi-pillar-3-disclosures.pdf
FY2023: KM1, p.5 - UBS-hosted '2023-csi-pillar-3-disclosures.pdf', likewise already cited on the RWA Breakdown sheet, retrieved via web.archive.org - https://www.ubs.com/global/en/investor-relations/complementary-financial-information/disclosure-legal-entities/archive-credit-suisse/_jcr_content/root/contentarea/mainpar/toplevelgrid_1145414446/col_1/accordionbox/accordionsplit_485894160/table.0884404004.file/dGFibGVUZXh0PS9jb250ZW50L2RhbS9hc3NldHMvY2MvaW52ZXN0b3ItcmVsYXRpb25zL2NvbXBsZW1lbnRhcnktZmluYW5jaWFsLWluZm9ybWF0aW9uL2FyY2hpdmUvMjAyMy8yMDIzLWNzaS1waWxsYXItMy1kaXNjbG9zdXJlcy5wZGY=/2023-csi-pillar-3-disclosures.pdf
FY2022: KM1, p.5 - Credit Suisse International Pillar 3 Disclosures 2022, retrieved via web.archive.org from the pre-migration credit-suisse.com pattern - https://web.archive.org/web/2024id_/https://www.credit-suisse.com/media/assets/corporate/docs/about-us/investor-relations/regulatory-disclosures/csi-pillar-3-disclosures-2022.pdf
FY2021: capital composition/'Capital ratios' tables, p.4-5, plus the leverage-ratio (LRCom, p.9) and LCR (p.11) tables - Credit Suisse International Pillar 3 Disclosures 2021, same pre-migration pattern via web.archive.org - https://web.archive.org/web/2024id_/https://www.credit-suisse.com/media/assets/corporate/docs/about-us/investor-relations/regulatory-disclosures/csi-pillar-3-disclosures-2021.pdf
Each recovered year's figures were cross-checked against the following year's own KM1 comparative column and agree exactly (FY2021 CET1/Tier 1 $15,022m, Total capital $15,027m, Total RWA $62,643m all confirmed in both FY2021's and FY2022's own documents).
FY2022/FY2023 CET1 GAP CLOSED (2026-09-15): the same three KM1 templates also carry the separate CET1 amount and CET1 ratio lines that the CET1 Capital / CET1 Ratio sheets previously left blank for these two years (see those sheets' own note for the figures, the two-document cross-check and the FY2022 restated-vs-originally-published ratio point). The FY2024 and FY2023 UBS-hosted documents both return HTTP 403 to scripted requests against ubs.com from this environment; both were retrieved instead through the Wayback Machine's id_ replay of those exact UBS URLs (https://web.archive.org/web/2025id_/&lt;the UBS URL below&gt;), and the FY2022 document from the pre-migration credit-suisse.com URL already listed here. All three are genuine PDFs (0.8-2.6MB), not soft-404 HTML.
FY2025 NOW OBTAINED (2026-09-15) - the access block is resolved. ubs.com returns HTTP 403 to scripted requests from this environment and the Wayback Machine has no capture, so the PDF was downloaded manually in an ordinary browser and transcribed from the local copy. Source: Credit Suisse International Pillar 3 Disclosures 2025, 'KM1 - Key metrics template', p.6 (Total capital, Total capital ratio, Leverage ratio, LCR, NSFR; CET1/Tier 1/Total RWA on the same table confirm the figures already carried here from the Annual Report's KPI table). That document's own 2024 comparative column reproduces every FY2024 figure already on these sheets exactly (CET1/Tier 1/Total capital $6,883m, Total RWA $10,951m, ratios 62.86%, leverage 21.16%, LCR 363.29%, NSFR 214.78%), confirming an unbroken basis across the two years. Its 'Own Funds' section (p.7) states 'CSi has no AT1 capital or Tier 2 capital instruments', so CET1 = Tier 1 = Total capital = $3,014m for FY2025 as disclosed, not inferred. The live URL, fetchable in an ordinary browser, is:
https://www.ubs.com/global/en/collections/credit-suisse/investment-bank/regulatory-directory/international/_jcr_content/root/contentarea/mainpar/toplevelgrid_840462106/col_1/accordion/accordionsplit/linklistnewlook/link_copy_copy_20862_2004292923.958213743.file/PS9jb250ZW50L2RhbS9hc3NldHMvZ2xvYmFsL2VuL2NvbGxlY3Rpb25zL2NyZWRpdC1zdWlzc2UvZG9jdW1lbnRzL2ludGVybmF0aW9uYWwtZG9jdW1lbnRzL2NzaS1waWxsYXItMjAyNS1kaXNjbG9zdXJlLXY2LnBkZg==/csi-pillar-2025-disclosure-v6.pdf
FY2015-FY2020 (added for HD-020): CSI's own standalone Pillar 3 disclosure PDFs (real text layers, not scanned), each headed 'Capital management' and each containing its own capital composition/capital ratios table plus (from FY2017 onward) an 'OV1 - Overview of RWA' breakdown table. These are no longer hosted live at credit-suisse.com following the 2023 UBS acquisition/site migration (confirmed via a Wayback Machine CDX API re-scan this session) - retrieved via web.archive.org:
FY2020: Credit Suisse International Pillar 3 Disclosures 2020, p.5 (capital)/p.7 (RWA) - https://web.archive.org/web/20210627075334id_/https://www.credit-suisse.com/media/assets/corporate/docs/about-us/investor-relations/regulatory-disclosures/csi-pillar-3-disclosures-2020.pdf</t>
        </is>
      </c>
    </row>
    <row r="10" ht="195" customHeight="1">
      <c r="A10" s="8" t="inlineStr">
        <is>
          <t>(continued)
FY2019: Credit Suisse International Pillar 3 Disclosures 2019, p.5 (capital)/p.6 (RWA) - https://web.archive.org/web/20210627075339id_/https://www.credit-suisse.com/media/assets/corporate/docs/about-us/investor-relations/regulatory-disclosures/csi-pillar-3-disclosures-2019.pdf
FY2018: Credit Suisse International Pillar 3 Disclosures 2018, p.5 (capital)/p.6 (RWA) - https://web.archive.org/web/20210627075317id_/https://www.credit-suisse.com/media/assets/corporate/docs/about-us/investor-relations/regulatory-disclosures/csi-pillar-3-disclosures-2018.pdf
FY2017: Credit Suisse International Pillar 3 Disclosures 2017, p.6 (capital)/p.8 (RWA) - https://web.archive.org/web/20210627075328id_/https://www.credit-suisse.com/media/assets/about-us/docs/investor-relations/financial-regulatory-disclosures/regulatory-disclosures/regulatory-disclosures-subsidiaries/csi-pillar-3-disclosures-2017.pdf
FY2016: Credit Suisse International Pillar 3 Disclosures 2016, p.5 (capital)/p.7 (RWA, Basel II/III-era template - see RWA Breakdown sheet's own note) - https://web.archive.org/web/20170629113020id_/https://www.credit-suisse.com/media/assets/corporate/docs/about-us/investor-relations/regulatory-disclosures/csi-pillar-3-disclosures-2016.pdf
FY2015: Credit Suisse International Pillar 3 Disclosures 2015, p.5 (capital)/p.7 (RWA, Basel II/III-era template) - https://web.archive.org/web/20210627075342id_/https://www.credit-suisse.com/media/assets/corporate/docs/about-us/investor-relations/regulatory-disclosures/csi-pillar-3-disclosures-2015.pdf
BASEL II/III-ERA CAVEAT: FY2015-FY2016's Pillar 3 disclosures pre-date the CRR II 'OV1' RWA-breakdown template used from FY2017 onward - they report RWA under three broader buckets ('Total credit and counterparty credit risk' including CVA, 'Total market risk', 'Total other risks' covering default-fund contributions/operational risk/large exposures) rather than the 8-line OV1 categories. CET1 is not a distinct concept in any of FY2015-FY2020's disclosures either (CSI had no Additional Tier 1 instruments in this window, so CET1 = Tier 1 throughout - stated explicitly in each year's own document).
FX conversion: point-in-time figures (cash balances, Tier 1 capital, RWA) converted at the Bank of England GBP/USD SPOT rate as at each fiscal year-end; flow figures (every cash flow statement line item) converted at the AVERAGE rate over that fiscal year. Rates used (£1 = $X): 31 Dec 2014 spot 1.5608 (FY2015 opening cash only); FY2015 spot 1.4819 / average 1.5283; FY2016 spot 1.2303 / average 1.3550; FY2017 spot 1.3510 / average 1.2885; FY2018 spot 1.2769 / average 1.3347; FY2019 spot 1.3210 / average 1.2765; FY2020 spot 1.3661 / average 1.2837; FY2021 spot 1.3521 / average 1.3752; FY2022 spot 1.2097 / average 1.2362; FY2023 spot 1.2732 / average 1.2439; FY2024 spot 1.2515 / average 1.2782; FY2025 spot 1.3448 / average 1.3193. FY2021-FY2025 rates reuse the table already established for Zenith Bank UK (identical 31 December year-end); FY2014-FY2019 rates were independently sourced this session from poundsterlinglive.com's Bank-of-England-spot and annual-average history pages for HD-020's FY2015-FY2020 extension. Converting stocks and flows at different rates means the statement doesn't tie in GBP by itself - an 'Effect of GBP/USD translation' line is included, computed programmatically as the balancing figure (never hardcoded), labelled clearly as a translation artefact with no bearing on CSI's actual results.</t>
        </is>
      </c>
    </row>
  </sheetData>
  <mergeCells count="3">
    <mergeCell ref="A8:L8"/>
    <mergeCell ref="A6:L6"/>
    <mergeCell ref="A10:L10"/>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Credit Suisse International — LCR</t>
        </is>
      </c>
    </row>
    <row r="2">
      <c r="A2" s="2" t="inlineStr">
        <is>
          <t>% - see note</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Liquidity Coverage Ratio</t>
        </is>
      </c>
      <c r="B4" s="6" t="inlineStr">
        <is>
          <t>341.45%</t>
        </is>
      </c>
      <c r="C4" s="6" t="inlineStr">
        <is>
          <t>363.29%</t>
        </is>
      </c>
      <c r="D4" s="6" t="inlineStr">
        <is>
          <t>280.3%</t>
        </is>
      </c>
      <c r="E4" s="6" t="inlineStr">
        <is>
          <t>150.4%</t>
        </is>
      </c>
      <c r="F4" s="6" t="inlineStr">
        <is>
          <t>152.7%</t>
        </is>
      </c>
      <c r="G4" s="6" t="inlineStr">
        <is>
          <t>224%</t>
        </is>
      </c>
      <c r="H4" s="6" t="inlineStr">
        <is>
          <t>229%</t>
        </is>
      </c>
      <c r="I4" s="6" t="inlineStr">
        <is>
          <t>199%</t>
        </is>
      </c>
      <c r="J4" s="6" t="inlineStr">
        <is>
          <t>237%</t>
        </is>
      </c>
    </row>
    <row r="5" ht="39" customHeight="1">
      <c r="A5" s="7" t="inlineStr">
        <is>
          <t>Note: FY2021-FY2024 added 2026-09-12 from the 'Liquidity coverage ratio (%)' line of CSi's own Pillar 3 KM1 template - the prior 'not locatable' claim was wrong (see Total Capital sheet note). Each is the 12-month-average LCR as that year's KM1 states it. FY2021's figure (152.7%) is taken from the FY2022 report's own FY2021 comparative column; FY2021's own report presents the same metric only as four quarterly averages (Q4 2021: 153%), so the comparative is the like-for-like annual figure. FY2025 added 2026-09-15 from that same KM1 line (p.6). FY2015-FY2016 genuinely pre-date the LCR's phased-in UK application. FY2017-FY2020 sourced from each year's own standalone Pillar 3 disclosure (located via Wayback Machine).</t>
        </is>
      </c>
    </row>
    <row r="7" ht="377" customHeight="1">
      <c r="A7" s="8" t="inlineStr">
        <is>
          <t>Sources - Credit Suisse International capital/RWA basis: the FY2025 Annual Report's own 'Key Performance Indicators' table (p.6), which discloses Risk Weighted Assets, Tier 1 capital, and Tier 1 capital ratio for all 5 years (2021-2025) as at each year-end - https://find-and-update.company-information.service.gov.uk/company/02500199/filing-history/MzUxNDA4Njk0M2FkaXF6a2N4/document?format=pdf&amp;download=0. This report explicitly states 'Pillar 3 disclosures required under the Capital Requirements Regulation (CRR) can be found separately at http://www.ubs.com'. Converted from USD to GBP using the same FX methodology as the Cash Flow Statement sheet (SPOT rate at each year-end); % ratios shown exactly as disclosed, not converted.
FY2021-FY2024 PILLAR 3 DOCUMENTS RECOVERED (2026-09-12): an earlier session concluded the standalone CSi Pillar 3 document 'was not locatable' for FY2021-FY2025 and left Total Capital, Total Capital Ratio, Leverage Ratio, LCR and NSFR blank on that basis. That conclusion was wrong for four of those five years. CSi publishes a full KM1 key-metrics template every year, recovered as follows:
FY2024: KM1, p.5 - UBS-hosted '2024-csi-pillar-3-disclosures.pdf' (the same document already cited on the RWA Breakdown sheet for its OV1 table), retrieved via web.archive.org - https://www.ubs.com/global/en/collections/credit-suisse/investment-bank/regulatory-directory/international/_jcr_content/root/contentarea/mainpar/toplevelgrid_840462106/col_1/accordion/accordionsplit/linklistnewlook/link_copy_copy_20862.0656872784.file/PS9jb250ZW50L2RhbS9hc3NldHMvY2MvaW52ZXN0b3ItcmVsYXRpb25zL2NvbXBsZW1lbnRhcnktZmluYW5jaWFsLWluZm9ybWF0aW9uL2FyY2hpdmUvMjAyNC8yMDI0LWNzaS1waWxsYXItMy1kaXNjbG9zdXJlcy5wZGY=/2024-csi-pillar-3-disclosures.pdf
FY2023: KM1, p.5 - UBS-hosted '2023-csi-pillar-3-disclosures.pdf', likewise already cited on the RWA Breakdown sheet, retrieved via web.archive.org - https://www.ubs.com/global/en/investor-relations/complementary-financial-information/disclosure-legal-entities/archive-credit-suisse/_jcr_content/root/contentarea/mainpar/toplevelgrid_1145414446/col_1/accordionbox/accordionsplit_485894160/table.0884404004.file/dGFibGVUZXh0PS9jb250ZW50L2RhbS9hc3NldHMvY2MvaW52ZXN0b3ItcmVsYXRpb25zL2NvbXBsZW1lbnRhcnktZmluYW5jaWFsLWluZm9ybWF0aW9uL2FyY2hpdmUvMjAyMy8yMDIzLWNzaS1waWxsYXItMy1kaXNjbG9zdXJlcy5wZGY=/2023-csi-pillar-3-disclosures.pdf
FY2022: KM1, p.5 - Credit Suisse International Pillar 3 Disclosures 2022, retrieved via web.archive.org from the pre-migration credit-suisse.com pattern - https://web.archive.org/web/2024id_/https://www.credit-suisse.com/media/assets/corporate/docs/about-us/investor-relations/regulatory-disclosures/csi-pillar-3-disclosures-2022.pdf
FY2021: capital composition/'Capital ratios' tables, p.4-5, plus the leverage-ratio (LRCom, p.9) and LCR (p.11) tables - Credit Suisse International Pillar 3 Disclosures 2021, same pre-migration pattern via web.archive.org - https://web.archive.org/web/2024id_/https://www.credit-suisse.com/media/assets/corporate/docs/about-us/investor-relations/regulatory-disclosures/csi-pillar-3-disclosures-2021.pdf
Each recovered year's figures were cross-checked against the following year's own KM1 comparative column and agree exactly (FY2021 CET1/Tier 1 $15,022m, Total capital $15,027m, Total RWA $62,643m all confirmed in both FY2021's and FY2022's own documents).
FY2022/FY2023 CET1 GAP CLOSED (2026-09-15): the same three KM1 templates also carry the separate CET1 amount and CET1 ratio lines that the CET1 Capital / CET1 Ratio sheets previously left blank for these two years (see those sheets' own note for the figures, the two-document cross-check and the FY2022 restated-vs-originally-published ratio point). The FY2024 and FY2023 UBS-hosted documents both return HTTP 403 to scripted requests against ubs.com from this environment; both were retrieved instead through the Wayback Machine's id_ replay of those exact UBS URLs (https://web.archive.org/web/2025id_/&lt;the UBS URL below&gt;), and the FY2022 document from the pre-migration credit-suisse.com URL already listed here. All three are genuine PDFs (0.8-2.6MB), not soft-404 HTML.
FY2025 NOW OBTAINED (2026-09-15) - the access block is resolved. ubs.com returns HTTP 403 to scripted requests from this environment and the Wayback Machine has no capture, so the PDF was downloaded manually in an ordinary browser and transcribed from the local copy. Source: Credit Suisse International Pillar 3 Disclosures 2025, 'KM1 - Key metrics template', p.6 (Total capital, Total capital ratio, Leverage ratio, LCR, NSFR; CET1/Tier 1/Total RWA on the same table confirm the figures already carried here from the Annual Report's KPI table). That document's own 2024 comparative column reproduces every FY2024 figure already on these sheets exactly (CET1/Tier 1/Total capital $6,883m, Total RWA $10,951m, ratios 62.86%, leverage 21.16%, LCR 363.29%, NSFR 214.78%), confirming an unbroken basis across the two years. Its 'Own Funds' section (p.7) states 'CSi has no AT1 capital or Tier 2 capital instruments', so CET1 = Tier 1 = Total capital = $3,014m for FY2025 as disclosed, not inferred. The live URL, fetchable in an ordinary browser, is:
https://www.ubs.com/global/en/collections/credit-suisse/investment-bank/regulatory-directory/international/_jcr_content/root/contentarea/mainpar/toplevelgrid_840462106/col_1/accordion/accordionsplit/linklistnewlook/link_copy_copy_20862_2004292923.958213743.file/PS9jb250ZW50L2RhbS9hc3NldHMvZ2xvYmFsL2VuL2NvbGxlY3Rpb25zL2NyZWRpdC1zdWlzc2UvZG9jdW1lbnRzL2ludGVybmF0aW9uYWwtZG9jdW1lbnRzL2NzaS1waWxsYXItMjAyNS1kaXNjbG9zdXJlLXY2LnBkZg==/csi-pillar-2025-disclosure-v6.pdf
FY2015-FY2020 (added for HD-020): CSI's own standalone Pillar 3 disclosure PDFs (real text layers, not scanned), each headed 'Capital management' and each containing its own capital composition/capital ratios table plus (from FY2017 onward) an 'OV1 - Overview of RWA' breakdown table. These are no longer hosted live at credit-suisse.com following the 2023 UBS acquisition/site migration (confirmed via a Wayback Machine CDX API re-scan this session) - retrieved via web.archive.org:</t>
        </is>
      </c>
    </row>
    <row r="9" ht="286" customHeight="1">
      <c r="A9" s="8" t="inlineStr">
        <is>
          <t>(continued)
FY2020: Credit Suisse International Pillar 3 Disclosures 2020, p.5 (capital)/p.7 (RWA) - https://web.archive.org/web/20210627075334id_/https://www.credit-suisse.com/media/assets/corporate/docs/about-us/investor-relations/regulatory-disclosures/csi-pillar-3-disclosures-2020.pdf
FY2019: Credit Suisse International Pillar 3 Disclosures 2019, p.5 (capital)/p.6 (RWA) - https://web.archive.org/web/20210627075339id_/https://www.credit-suisse.com/media/assets/corporate/docs/about-us/investor-relations/regulatory-disclosures/csi-pillar-3-disclosures-2019.pdf
FY2018: Credit Suisse International Pillar 3 Disclosures 2018, p.5 (capital)/p.6 (RWA) - https://web.archive.org/web/20210627075317id_/https://www.credit-suisse.com/media/assets/corporate/docs/about-us/investor-relations/regulatory-disclosures/csi-pillar-3-disclosures-2018.pdf
FY2017: Credit Suisse International Pillar 3 Disclosures 2017, p.6 (capital)/p.8 (RWA) - https://web.archive.org/web/20210627075328id_/https://www.credit-suisse.com/media/assets/about-us/docs/investor-relations/financial-regulatory-disclosures/regulatory-disclosures/regulatory-disclosures-subsidiaries/csi-pillar-3-disclosures-2017.pdf
FY2016: Credit Suisse International Pillar 3 Disclosures 2016, p.5 (capital)/p.7 (RWA, Basel II/III-era template - see RWA Breakdown sheet's own note) - https://web.archive.org/web/20170629113020id_/https://www.credit-suisse.com/media/assets/corporate/docs/about-us/investor-relations/regulatory-disclosures/csi-pillar-3-disclosures-2016.pdf
FY2015: Credit Suisse International Pillar 3 Disclosures 2015, p.5 (capital)/p.7 (RWA, Basel II/III-era template) - https://web.archive.org/web/20210627075342id_/https://www.credit-suisse.com/media/assets/corporate/docs/about-us/investor-relations/regulatory-disclosures/csi-pillar-3-disclosures-2015.pdf
BASEL II/III-ERA CAVEAT: FY2015-FY2016's Pillar 3 disclosures pre-date the CRR II 'OV1' RWA-breakdown template used from FY2017 onward - they report RWA under three broader buckets ('Total credit and counterparty credit risk' including CVA, 'Total market risk', 'Total other risks' covering default-fund contributions/operational risk/large exposures) rather than the 8-line OV1 categories. CET1 is not a distinct concept in any of FY2015-FY2020's disclosures either (CSI had no Additional Tier 1 instruments in this window, so CET1 = Tier 1 throughout - stated explicitly in each year's own document).
FX conversion: point-in-time figures (cash balances, Tier 1 capital, RWA) converted at the Bank of England GBP/USD SPOT rate as at each fiscal year-end; flow figures (every cash flow statement line item) converted at the AVERAGE rate over that fiscal year. Rates used (£1 = $X): 31 Dec 2014 spot 1.5608 (FY2015 opening cash only); FY2015 spot 1.4819 / average 1.5283; FY2016 spot 1.2303 / average 1.3550; FY2017 spot 1.3510 / average 1.2885; FY2018 spot 1.2769 / average 1.3347; FY2019 spot 1.3210 / average 1.2765; FY2020 spot 1.3661 / average 1.2837; FY2021 spot 1.3521 / average 1.3752; FY2022 spot 1.2097 / average 1.2362; FY2023 spot 1.2732 / average 1.2439; FY2024 spot 1.2515 / average 1.2782; FY2025 spot 1.3448 / average 1.3193. FY2021-FY2025 rates reuse the table already established for Zenith Bank UK (identical 31 December year-end); FY2014-FY2019 rates were independently sourced this session from poundsterlinglive.com's Bank-of-England-spot and annual-average history pages for HD-020's FY2015-FY2020 extension. Converting stocks and flows at different rates means the statement doesn't tie in GBP by itself - an 'Effect of GBP/USD translation' line is included, computed programmatically as the balancing figure (never hardcoded), labelled clearly as a translation artefact with no bearing on CSI's actual results.</t>
        </is>
      </c>
    </row>
  </sheetData>
  <mergeCells count="3">
    <mergeCell ref="A5:J5"/>
    <mergeCell ref="A7:J7"/>
    <mergeCell ref="A9:J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56" customWidth="1" min="1" max="1"/>
    <col width="15" customWidth="1" min="2" max="2"/>
    <col width="15" customWidth="1" min="3" max="3"/>
    <col width="15" customWidth="1" min="4" max="4"/>
    <col width="15" customWidth="1" min="5" max="5"/>
  </cols>
  <sheetData>
    <row r="1">
      <c r="A1" s="1" t="inlineStr">
        <is>
          <t>Credit Suisse International — NSFR</t>
        </is>
      </c>
    </row>
    <row r="2">
      <c r="A2" s="2" t="inlineStr">
        <is>
          <t>% - see note</t>
        </is>
      </c>
    </row>
    <row r="3">
      <c r="A3" s="4" t="inlineStr">
        <is>
          <t>Metric</t>
        </is>
      </c>
      <c r="B3" s="4" t="inlineStr">
        <is>
          <t>FY2025</t>
        </is>
      </c>
      <c r="C3" s="4" t="inlineStr">
        <is>
          <t>FY2024</t>
        </is>
      </c>
      <c r="D3" s="4" t="inlineStr">
        <is>
          <t>FY2023</t>
        </is>
      </c>
      <c r="E3" s="4" t="inlineStr">
        <is>
          <t>FY2022</t>
        </is>
      </c>
    </row>
    <row r="4">
      <c r="A4" s="6" t="inlineStr">
        <is>
          <t>Net Stable Funding Ratio</t>
        </is>
      </c>
      <c r="B4" s="6" t="inlineStr">
        <is>
          <t>384.98%</t>
        </is>
      </c>
      <c r="C4" s="6" t="inlineStr">
        <is>
          <t>214.78%</t>
        </is>
      </c>
      <c r="D4" s="6" t="inlineStr">
        <is>
          <t>125.6%</t>
        </is>
      </c>
      <c r="E4" s="6" t="inlineStr">
        <is>
          <t>127.5%</t>
        </is>
      </c>
    </row>
    <row r="5" ht="52" customHeight="1">
      <c r="A5" s="7" t="inlineStr">
        <is>
          <t>Note: FY2022-FY2024 added 2026-09-12 from the 'NSFR ratio (%)' line of CSi's own Pillar 3 KM1 template - the prior blanket 'not disclosed for any year' claim was wrong for these three years (see Total Capital sheet note for how the documents were recovered). FY2021 and earlier are a genuine non-disclosure rather than an access gap: the FY2022 report's own KM1 prints '-' in its FY2021 NSFR comparative column, and FY2021's own report mentions the NSFR only in narrative risk-management text with no figure. FY2025 added 2026-09-15 from that same KM1 line (p.6) - see this sheet's source note.</t>
        </is>
      </c>
    </row>
    <row r="7" ht="351" customHeight="1">
      <c r="A7" s="8" t="inlineStr">
        <is>
          <t>Sources - Credit Suisse International capital/RWA basis: the FY2025 Annual Report's own 'Key Performance Indicators' table (p.6), which discloses Risk Weighted Assets, Tier 1 capital, and Tier 1 capital ratio for all 5 years (2021-2025) as at each year-end - https://find-and-update.company-information.service.gov.uk/company/02500199/filing-history/MzUxNDA4Njk0M2FkaXF6a2N4/document?format=pdf&amp;download=0. This report explicitly states 'Pillar 3 disclosures required under the Capital Requirements Regulation (CRR) can be found separately at http://www.ubs.com'. Converted from USD to GBP using the same FX methodology as the Cash Flow Statement sheet (SPOT rate at each year-end); % ratios shown exactly as disclosed, not converted.
FY2021-FY2024 PILLAR 3 DOCUMENTS RECOVERED (2026-09-12): an earlier session concluded the standalone CSi Pillar 3 document 'was not locatable' for FY2021-FY2025 and left Total Capital, Total Capital Ratio, Leverage Ratio, LCR and NSFR blank on that basis. That conclusion was wrong for four of those five years. CSi publishes a full KM1 key-metrics template every year, recovered as follows:
FY2024: KM1, p.5 - UBS-hosted '2024-csi-pillar-3-disclosures.pdf' (the same document already cited on the RWA Breakdown sheet for its OV1 table), retrieved via web.archive.org - https://www.ubs.com/global/en/collections/credit-suisse/investment-bank/regulatory-directory/international/_jcr_content/root/contentarea/mainpar/toplevelgrid_840462106/col_1/accordion/accordionsplit/linklistnewlook/link_copy_copy_20862.0656872784.file/PS9jb250ZW50L2RhbS9hc3NldHMvY2MvaW52ZXN0b3ItcmVsYXRpb25zL2NvbXBsZW1lbnRhcnktZmluYW5jaWFsLWluZm9ybWF0aW9uL2FyY2hpdmUvMjAyNC8yMDI0LWNzaS1waWxsYXItMy1kaXNjbG9zdXJlcy5wZGY=/2024-csi-pillar-3-disclosures.pdf
FY2023: KM1, p.5 - UBS-hosted '2023-csi-pillar-3-disclosures.pdf', likewise already cited on the RWA Breakdown sheet, retrieved via web.archive.org - https://www.ubs.com/global/en/investor-relations/complementary-financial-information/disclosure-legal-entities/archive-credit-suisse/_jcr_content/root/contentarea/mainpar/toplevelgrid_1145414446/col_1/accordionbox/accordionsplit_485894160/table.0884404004.file/dGFibGVUZXh0PS9jb250ZW50L2RhbS9hc3NldHMvY2MvaW52ZXN0b3ItcmVsYXRpb25zL2NvbXBsZW1lbnRhcnktZmluYW5jaWFsLWluZm9ybWF0aW9uL2FyY2hpdmUvMjAyMy8yMDIzLWNzaS1waWxsYXItMy1kaXNjbG9zdXJlcy5wZGY=/2023-csi-pillar-3-disclosures.pdf
FY2022: KM1, p.5 - Credit Suisse International Pillar 3 Disclosures 2022, retrieved via web.archive.org from the pre-migration credit-suisse.com pattern - https://web.archive.org/web/2024id_/https://www.credit-suisse.com/media/assets/corporate/docs/about-us/investor-relations/regulatory-disclosures/csi-pillar-3-disclosures-2022.pdf
FY2021: capital composition/'Capital ratios' tables, p.4-5, plus the leverage-ratio (LRCom, p.9) and LCR (p.11) tables - Credit Suisse International Pillar 3 Disclosures 2021, same pre-migration pattern via web.archive.org - https://web.archive.org/web/2024id_/https://www.credit-suisse.com/media/assets/corporate/docs/about-us/investor-relations/regulatory-disclosures/csi-pillar-3-disclosures-2021.pdf
Each recovered year's figures were cross-checked against the following year's own KM1 comparative column and agree exactly (FY2021 CET1/Tier 1 $15,022m, Total capital $15,027m, Total RWA $62,643m all confirmed in both FY2021's and FY2022's own documents).</t>
        </is>
      </c>
    </row>
    <row r="9" ht="390" customHeight="1">
      <c r="A9" s="8" t="inlineStr">
        <is>
          <t>(continued)
FY2022/FY2023 CET1 GAP CLOSED (2026-09-15): the same three KM1 templates also carry the separate CET1 amount and CET1 ratio lines that the CET1 Capital / CET1 Ratio sheets previously left blank for these two years (see those sheets' own note for the figures, the two-document cross-check and the FY2022 restated-vs-originally-published ratio point). The FY2024 and FY2023 UBS-hosted documents both return HTTP 403 to scripted requests against ubs.com from this environment; both were retrieved instead through the Wayback Machine's id_ replay of those exact UBS URLs (https://web.archive.org/web/2025id_/&lt;the UBS URL below&gt;), and the FY2022 document from the pre-migration credit-suisse.com URL already listed here. All three are genuine PDFs (0.8-2.6MB), not soft-404 HTML.
FY2025 NOW OBTAINED (2026-09-15) - the access block is resolved. ubs.com returns HTTP 403 to scripted requests from this environment and the Wayback Machine has no capture, so the PDF was downloaded manually in an ordinary browser and transcribed from the local copy. Source: Credit Suisse International Pillar 3 Disclosures 2025, 'KM1 - Key metrics template', p.6 (Total capital, Total capital ratio, Leverage ratio, LCR, NSFR; CET1/Tier 1/Total RWA on the same table confirm the figures already carried here from the Annual Report's KPI table). That document's own 2024 comparative column reproduces every FY2024 figure already on these sheets exactly (CET1/Tier 1/Total capital $6,883m, Total RWA $10,951m, ratios 62.86%, leverage 21.16%, LCR 363.29%, NSFR 214.78%), confirming an unbroken basis across the two years. Its 'Own Funds' section (p.7) states 'CSi has no AT1 capital or Tier 2 capital instruments', so CET1 = Tier 1 = Total capital = $3,014m for FY2025 as disclosed, not inferred. The live URL, fetchable in an ordinary browser, is:
https://www.ubs.com/global/en/collections/credit-suisse/investment-bank/regulatory-directory/international/_jcr_content/root/contentarea/mainpar/toplevelgrid_840462106/col_1/accordion/accordionsplit/linklistnewlook/link_copy_copy_20862_2004292923.958213743.file/PS9jb250ZW50L2RhbS9hc3NldHMvZ2xvYmFsL2VuL2NvbGxlY3Rpb25zL2NyZWRpdC1zdWlzc2UvZG9jdW1lbnRzL2ludGVybmF0aW9uYWwtZG9jdW1lbnRzL2NzaS1waWxsYXItMjAyNS1kaXNjbG9zdXJlLXY2LnBkZg==/csi-pillar-2025-disclosure-v6.pdf
FY2015-FY2020 (added for HD-020): CSI's own standalone Pillar 3 disclosure PDFs (real text layers, not scanned), each headed 'Capital management' and each containing its own capital composition/capital ratios table plus (from FY2017 onward) an 'OV1 - Overview of RWA' breakdown table. These are no longer hosted live at credit-suisse.com following the 2023 UBS acquisition/site migration (confirmed via a Wayback Machine CDX API re-scan this session) - retrieved via web.archive.org:
FY2020: Credit Suisse International Pillar 3 Disclosures 2020, p.5 (capital)/p.7 (RWA) - https://web.archive.org/web/20210627075334id_/https://www.credit-suisse.com/media/assets/corporate/docs/about-us/investor-relations/regulatory-disclosures/csi-pillar-3-disclosures-2020.pdf
FY2019: Credit Suisse International Pillar 3 Disclosures 2019, p.5 (capital)/p.6 (RWA) - https://web.archive.org/web/20210627075339id_/https://www.credit-suisse.com/media/assets/corporate/docs/about-us/investor-relations/regulatory-disclosures/csi-pillar-3-disclosures-2019.pdf
FY2018: Credit Suisse International Pillar 3 Disclosures 2018, p.5 (capital)/p.6 (RWA) - https://web.archive.org/web/20210627075317id_/https://www.credit-suisse.com/media/assets/corporate/docs/about-us/investor-relations/regulatory-disclosures/csi-pillar-3-disclosures-2018.pdf</t>
        </is>
      </c>
    </row>
    <row r="11" ht="299" customHeight="1">
      <c r="A11" s="8" t="inlineStr">
        <is>
          <t>(continued)
FY2017: Credit Suisse International Pillar 3 Disclosures 2017, p.6 (capital)/p.8 (RWA) - https://web.archive.org/web/20210627075328id_/https://www.credit-suisse.com/media/assets/about-us/docs/investor-relations/financial-regulatory-disclosures/regulatory-disclosures/regulatory-disclosures-subsidiaries/csi-pillar-3-disclosures-2017.pdf
FY2016: Credit Suisse International Pillar 3 Disclosures 2016, p.5 (capital)/p.7 (RWA, Basel II/III-era template - see RWA Breakdown sheet's own note) - https://web.archive.org/web/20170629113020id_/https://www.credit-suisse.com/media/assets/corporate/docs/about-us/investor-relations/regulatory-disclosures/csi-pillar-3-disclosures-2016.pdf
FY2015: Credit Suisse International Pillar 3 Disclosures 2015, p.5 (capital)/p.7 (RWA, Basel II/III-era template) - https://web.archive.org/web/20210627075342id_/https://www.credit-suisse.com/media/assets/corporate/docs/about-us/investor-relations/regulatory-disclosures/csi-pillar-3-disclosures-2015.pdf
BASEL II/III-ERA CAVEAT: FY2015-FY2016's Pillar 3 disclosures pre-date the CRR II 'OV1' RWA-breakdown template used from FY2017 onward - they report RWA under three broader buckets ('Total credit and counterparty credit risk' including CVA, 'Total market risk', 'Total other risks' covering default-fund contributions/operational risk/large exposures) rather than the 8-line OV1 categories. CET1 is not a distinct concept in any of FY2015-FY2020's disclosures either (CSI had no Additional Tier 1 instruments in this window, so CET1 = Tier 1 throughout - stated explicitly in each year's own document).
FX conversion: point-in-time figures (cash balances, Tier 1 capital, RWA) converted at the Bank of England GBP/USD SPOT rate as at each fiscal year-end; flow figures (every cash flow statement line item) converted at the AVERAGE rate over that fiscal year. Rates used (£1 = $X): 31 Dec 2014 spot 1.5608 (FY2015 opening cash only); FY2015 spot 1.4819 / average 1.5283; FY2016 spot 1.2303 / average 1.3550; FY2017 spot 1.3510 / average 1.2885; FY2018 spot 1.2769 / average 1.3347; FY2019 spot 1.3210 / average 1.2765; FY2020 spot 1.3661 / average 1.2837; FY2021 spot 1.3521 / average 1.3752; FY2022 spot 1.2097 / average 1.2362; FY2023 spot 1.2732 / average 1.2439; FY2024 spot 1.2515 / average 1.2782; FY2025 spot 1.3448 / average 1.3193. FY2021-FY2025 rates reuse the table already established for Zenith Bank UK (identical 31 December year-end); FY2014-FY2019 rates were independently sourced this session from poundsterlinglive.com's Bank-of-England-spot and annual-average history pages for HD-020's FY2015-FY2020 extension. Converting stocks and flows at different rates means the statement doesn't tie in GBP by itself - an 'Effect of GBP/USD translation' line is included, computed programmatically as the balancing figure (never hardcoded), labelled clearly as a translation artefact with no bearing on CSI's actual results.</t>
        </is>
      </c>
    </row>
  </sheetData>
  <mergeCells count="4">
    <mergeCell ref="A11:E11"/>
    <mergeCell ref="A5:E5"/>
    <mergeCell ref="A9:E9"/>
    <mergeCell ref="A7:E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s>
  <sheetData>
    <row r="1">
      <c r="A1" s="1" t="inlineStr">
        <is>
          <t>Credit Suisse International — MREL Ratio</t>
        </is>
      </c>
    </row>
    <row r="2">
      <c r="A2" s="2" t="inlineStr"/>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row>
    <row r="4">
      <c r="A4" s="6" t="inlineStr">
        <is>
          <t>MREL Ratio</t>
        </is>
      </c>
      <c r="B4" s="6" t="inlineStr">
        <is>
          <t>Unreached today – FY2025 Pillar 3 on ubs.com: Akamai 403 (link and DAM path, HTTP/1.1+2); no Wayback or archive.ph capture; Wayback save failed (2026-09-19); Common Crawl 2026-08..2026-39 checked</t>
        </is>
      </c>
      <c r="C4" s="6" t="inlineStr">
        <is>
          <t>Not published – no MREL/iMREL ratio or amount in CSi's own Pillar 3 for this year (text-searched 2026-09-19; 'iMREL' appears only as a funding source, FY2018-19)</t>
        </is>
      </c>
      <c r="D4" s="6" t="inlineStr">
        <is>
          <t>Not published – no MREL/iMREL ratio or amount in CSi's own Pillar 3 for this year (text-searched 2026-09-19; 'iMREL' appears only as a funding source, FY2018-19)</t>
        </is>
      </c>
      <c r="E4" s="6" t="inlineStr">
        <is>
          <t>Not published – no MREL/iMREL ratio or amount in CSi's own Pillar 3 for this year (text-searched 2026-09-19; 'iMREL' appears only as a funding source, FY2018-19)</t>
        </is>
      </c>
      <c r="F4" s="6" t="inlineStr">
        <is>
          <t>Not published – no MREL/iMREL ratio or amount in CSi's own Pillar 3 for this year (text-searched 2026-09-19; 'iMREL' appears only as a funding source, FY2018-19)</t>
        </is>
      </c>
      <c r="G4" s="6" t="inlineStr">
        <is>
          <t>Not published – no MREL/iMREL ratio or amount in CSi's own Pillar 3 for this year (text-searched 2026-09-19; 'iMREL' appears only as a funding source, FY2018-19)</t>
        </is>
      </c>
      <c r="H4" s="6" t="inlineStr">
        <is>
          <t>Not published – no MREL/iMREL ratio or amount in CSi's own Pillar 3 for this year (text-searched 2026-09-19; 'iMREL' appears only as a funding source, FY2018-19)</t>
        </is>
      </c>
      <c r="I4" s="6" t="inlineStr">
        <is>
          <t>Not published – no MREL/iMREL ratio or amount in CSi's own Pillar 3 for this year (text-searched 2026-09-19; 'iMREL' appears only as a funding source, FY2018-19)</t>
        </is>
      </c>
      <c r="J4" s="6" t="inlineStr">
        <is>
          <t>Not published – no MREL/iMREL ratio or amount in CSi's own Pillar 3 for this year (text-searched 2026-09-19; 'iMREL' appears only as a funding source, FY2018-19)</t>
        </is>
      </c>
      <c r="K4" s="6" t="inlineStr">
        <is>
          <t>Not published – no MREL/iMREL ratio or amount in CSi's own Pillar 3 for this year (text-searched 2026-09-19; 'iMREL' appears only as a funding source, FY2018-19)</t>
        </is>
      </c>
      <c r="L4" s="6" t="inlineStr">
        <is>
          <t>Not published – no MREL/iMREL ratio or amount in CSi's own Pillar 3 for this year (text-searched 2026-09-19; 'iMREL' appears only as a funding source, FY2018-19)</t>
        </is>
      </c>
    </row>
    <row r="5" ht="65" customHeight="1">
      <c r="A5" s="7" t="inlineStr">
        <is>
          <t>Note: Not publicly disclosed for any year FY2015-FY2025, and not expected to be: CSi is not a UK resolution entity, so no entity-level MREL requirement applies to it. Re-checked 2026-09-12 against the recovered FY2021-FY2024 Pillar 3 documents - the term appears in none of them, nor in any Annual Report.
FY2025 COMMON CRAWL CHECK (2026-09-19): every Common Crawl crawl from CC-MAIN-2026-08 to CC-MAIN-2026-39 was searched for the ubs.com link prefix .../regulatory-directory/international/* and the DAM prefix /content/dam/assets/global/en/collections/credit-suisse/documents/international-documents/*: no record in any crawl. The same instrument returns 66 records for ubs.com/global/en/collections/credit-suisse/* in CC-MAIN-2026-17, so the zero means the file was never crawled, not that the lookup failed. FY2025 stays Unreached.</t>
        </is>
      </c>
    </row>
    <row r="7" ht="390" customHeight="1">
      <c r="A7" s="8" t="inlineStr">
        <is>
          <t>Sources - Credit Suisse International capital/RWA basis: the FY2025 Annual Report's own 'Key Performance Indicators' table (p.6), which discloses Risk Weighted Assets, Tier 1 capital, and Tier 1 capital ratio for all 5 years (2021-2025) as at each year-end - https://find-and-update.company-information.service.gov.uk/company/02500199/filing-history/MzUxNDA4Njk0M2FkaXF6a2N4/document?format=pdf&amp;download=0. This report explicitly states 'Pillar 3 disclosures required under the Capital Requirements Regulation (CRR) can be found separately at http://www.ubs.com'. Converted from USD to GBP using the same FX methodology as the Cash Flow Statement sheet (SPOT rate at each year-end); % ratios shown exactly as disclosed, not converted.
FY2021-FY2024 PILLAR 3 DOCUMENTS RECOVERED (2026-09-12): an earlier session concluded the standalone CSi Pillar 3 document 'was not locatable' for FY2021-FY2025 and left Total Capital, Total Capital Ratio, Leverage Ratio, LCR and NSFR blank on that basis. That conclusion was wrong for four of those five years. CSi publishes a full KM1 key-metrics template every year, recovered as follows:
FY2024: KM1, p.5 - UBS-hosted '2024-csi-pillar-3-disclosures.pdf' (the same document already cited on the RWA Breakdown sheet for its OV1 table), retrieved via web.archive.org - https://www.ubs.com/global/en/collections/credit-suisse/investment-bank/regulatory-directory/international/_jcr_content/root/contentarea/mainpar/toplevelgrid_840462106/col_1/accordion/accordionsplit/linklistnewlook/link_copy_copy_20862.0656872784.file/PS9jb250ZW50L2RhbS9hc3NldHMvY2MvaW52ZXN0b3ItcmVsYXRpb25zL2NvbXBsZW1lbnRhcnktZmluYW5jaWFsLWluZm9ybWF0aW9uL2FyY2hpdmUvMjAyNC8yMDI0LWNzaS1waWxsYXItMy1kaXNjbG9zdXJlcy5wZGY=/2024-csi-pillar-3-disclosures.pdf
FY2023: KM1, p.5 - UBS-hosted '2023-csi-pillar-3-disclosures.pdf', likewise already cited on the RWA Breakdown sheet, retrieved via web.archive.org - https://www.ubs.com/global/en/investor-relations/complementary-financial-information/disclosure-legal-entities/archive-credit-suisse/_jcr_content/root/contentarea/mainpar/toplevelgrid_1145414446/col_1/accordionbox/accordionsplit_485894160/table.0884404004.file/dGFibGVUZXh0PS9jb250ZW50L2RhbS9hc3NldHMvY2MvaW52ZXN0b3ItcmVsYXRpb25zL2NvbXBsZW1lbnRhcnktZmluYW5jaWFsLWluZm9ybWF0aW9uL2FyY2hpdmUvMjAyMy8yMDIzLWNzaS1waWxsYXItMy1kaXNjbG9zdXJlcy5wZGY=/2023-csi-pillar-3-disclosures.pdf
FY2022: KM1, p.5 - Credit Suisse International Pillar 3 Disclosures 2022, retrieved via web.archive.org from the pre-migration credit-suisse.com pattern - https://web.archive.org/web/2024id_/https://www.credit-suisse.com/media/assets/corporate/docs/about-us/investor-relations/regulatory-disclosures/csi-pillar-3-disclosures-2022.pdf
FY2021: capital composition/'Capital ratios' tables, p.4-5, plus the leverage-ratio (LRCom, p.9) and LCR (p.11) tables - Credit Suisse International Pillar 3 Disclosures 2021, same pre-migration pattern via web.archive.org - https://web.archive.org/web/2024id_/https://www.credit-suisse.com/media/assets/corporate/docs/about-us/investor-relations/regulatory-disclosures/csi-pillar-3-disclosures-2021.pdf
Each recovered year's figures were cross-checked against the following year's own KM1 comparative column and agree exactly (FY2021 CET1/Tier 1 $15,022m, Total capital $15,027m, Total RWA $62,643m all confirmed in both FY2021's and FY2022's own documents).
FY2022/FY2023 CET1 GAP CLOSED (2026-09-15): the same three KM1 templates also carry the separate CET1 amount and CET1 ratio lines that the CET1 Capital / CET1 Ratio sheets previously left blank for these two years (see those sheets' own note for the figures, the two-document cross-check and the FY2022 restated-vs-originally-published ratio point). The FY2024 and FY2023 UBS-hosted documents both return HTTP 403 to scripted requests against ubs.com from this environment; both were retrieved instead through the Wayback Machine's id_ replay of those exact UBS URLs (https://web.archive.org/web/2025id_/&lt;the UBS URL below&gt;), and the FY2022 document from the pre-migration credit-suisse.com URL already listed here. All three are genuine PDFs (0.8-2.6MB), not soft-404 HTML.
FY2025 NOW OBTAINED (2026-09-15) - the access block is resolved. ubs.com returns HTTP 403 to scripted requests from this environment and the Wayback Machine has no capture, so the PDF was downloaded manually in an ordinary browser and transcribed from the local copy. Source: Credit Suisse International Pillar 3 Disclosures 2025, 'KM1 - Key metrics template', p.6 (Total capital, Total capital ratio, Leverage ratio, LCR, NSFR; CET1/Tier 1/Total RWA on the same table confirm the figures already carried here from the Annual Report's KPI table). That document's own 2024 comparative column reproduces every FY2024 figure already on these sheets exactly (CET1/Tier 1/Total capital $6,883m, Total RWA $10,951m, ratios 62.86%, leverage 21.16%, LCR 363.29%, NSFR 214.78%), confirming an unbroken basis across the two years. Its 'Own Funds' section (p.7) states 'CSi has no AT1 capital or Tier 2 capital instruments', so CET1 = Tier 1 = Total capital = $3,014m for FY2025 as disclosed, not inferred. The live URL, fetchable in an ordinary browser, is:
https://www.ubs.com/global/en/collections/credit-suisse/investment-bank/regulatory-directory/international/_jcr_content/root/contentarea/mainpar/toplevelgrid_840462106/col_1/accordion/accordionsplit/linklistnewlook/link_copy_copy_20862_2004292923.958213743.file/PS9jb250ZW50L2RhbS9hc3NldHMvZ2xvYmFsL2VuL2NvbGxlY3Rpb25zL2NyZWRpdC1zdWlzc2UvZG9jdW1lbnRzL2ludGVybmF0aW9uYWwtZG9jdW1lbnRzL2NzaS1waWxsYXItMjAyNS1kaXNjbG9zdXJlLXY2LnBkZg==/csi-pillar-2025-disclosure-v6.pdf
FY2015-FY2020 (added for HD-020): CSI's own standalone Pillar 3 disclosure PDFs (real text layers, not scanned), each headed 'Capital management' and each containing its own capital composition/capital ratios table plus (from FY2017 onward) an 'OV1 - Overview of RWA' breakdown table. These are no longer hosted live at credit-suisse.com following the 2023 UBS acquisition/site migration (confirmed via a Wayback Machine CDX API re-scan this session) - retrieved via web.archive.org:
FY2020: Credit Suisse International Pillar 3 Disclosures 2020, p.5 (capital)/p.7 (RWA) - https://web.archive.org/web/20210627075334id_/https://www.credit-suisse.com/media/assets/corporate/docs/about-us/investor-relations/regulatory-disclosures/csi-pillar-3-disclosures-2020.pdf</t>
        </is>
      </c>
    </row>
    <row r="9" ht="221" customHeight="1">
      <c r="A9" s="8" t="inlineStr">
        <is>
          <t>(continued)
FY2019: Credit Suisse International Pillar 3 Disclosures 2019, p.5 (capital)/p.6 (RWA) - https://web.archive.org/web/20210627075339id_/https://www.credit-suisse.com/media/assets/corporate/docs/about-us/investor-relations/regulatory-disclosures/csi-pillar-3-disclosures-2019.pdf
FY2018: Credit Suisse International Pillar 3 Disclosures 2018, p.5 (capital)/p.6 (RWA) - https://web.archive.org/web/20210627075317id_/https://www.credit-suisse.com/media/assets/corporate/docs/about-us/investor-relations/regulatory-disclosures/csi-pillar-3-disclosures-2018.pdf
FY2017: Credit Suisse International Pillar 3 Disclosures 2017, p.6 (capital)/p.8 (RWA) - https://web.archive.org/web/20210627075328id_/https://www.credit-suisse.com/media/assets/about-us/docs/investor-relations/financial-regulatory-disclosures/regulatory-disclosures/regulatory-disclosures-subsidiaries/csi-pillar-3-disclosures-2017.pdf
FY2016: Credit Suisse International Pillar 3 Disclosures 2016, p.5 (capital)/p.7 (RWA, Basel II/III-era template - see RWA Breakdown sheet's own note) - https://web.archive.org/web/20170629113020id_/https://www.credit-suisse.com/media/assets/corporate/docs/about-us/investor-relations/regulatory-disclosures/csi-pillar-3-disclosures-2016.pdf
FY2015: Credit Suisse International Pillar 3 Disclosures 2015, p.5 (capital)/p.7 (RWA, Basel II/III-era template) - https://web.archive.org/web/20210627075342id_/https://www.credit-suisse.com/media/assets/corporate/docs/about-us/investor-relations/regulatory-disclosures/csi-pillar-3-disclosures-2015.pdf
BASEL II/III-ERA CAVEAT: FY2015-FY2016's Pillar 3 disclosures pre-date the CRR II 'OV1' RWA-breakdown template used from FY2017 onward - they report RWA under three broader buckets ('Total credit and counterparty credit risk' including CVA, 'Total market risk', 'Total other risks' covering default-fund contributions/operational risk/large exposures) rather than the 8-line OV1 categories. CET1 is not a distinct concept in any of FY2015-FY2020's disclosures either (CSI had no Additional Tier 1 instruments in this window, so CET1 = Tier 1 throughout - stated explicitly in each year's own document).
FX conversion: point-in-time figures (cash balances, Tier 1 capital, RWA) converted at the Bank of England GBP/USD SPOT rate as at each fiscal year-end; flow figures (every cash flow statement line item) converted at the AVERAGE rate over that fiscal year. Rates used (£1 = $X): 31 Dec 2014 spot 1.5608 (FY2015 opening cash only); FY2015 spot 1.4819 / average 1.5283; FY2016 spot 1.2303 / average 1.3550; FY2017 spot 1.3510 / average 1.2885; FY2018 spot 1.2769 / average 1.3347; FY2019 spot 1.3210 / average 1.2765; FY2020 spot 1.3661 / average 1.2837; FY2021 spot 1.3521 / average 1.3752; FY2022 spot 1.2097 / average 1.2362; FY2023 spot 1.2732 / average 1.2439; FY2024 spot 1.2515 / average 1.2782; FY2025 spot 1.3448 / average 1.3193. FY2021-FY2025 rates reuse the table already established for Zenith Bank UK (identical 31 December year-end); FY2014-FY2019 rates were independently sourced this session from poundsterlinglive.com's Bank-of-England-spot and annual-average history pages for HD-020's FY2015-FY2020 extension. Converting stocks and flows at different rates means the statement doesn't tie in GBP by itself - an 'Effect of GBP/USD translation' line is included, computed programmatically as the balancing figure (never hardcoded), labelled clearly as a translation artefact with no bearing on CSI's actual results.</t>
        </is>
      </c>
    </row>
  </sheetData>
  <mergeCells count="3">
    <mergeCell ref="A5:L5"/>
    <mergeCell ref="A7:L7"/>
    <mergeCell ref="A9:L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2026-10-26T09:36:01Z</dcterms:created>
  <dcterms:modified xmlns:dcterms="http://purl.org/dc/terms/" xmlns:xsi="http://www.w3.org/2001/XMLSchema-instance" xsi:type="dcterms:W3CDTF">2026-10-26T09:36:01Z</dcterms:modified>
</cp:coreProperties>
</file>