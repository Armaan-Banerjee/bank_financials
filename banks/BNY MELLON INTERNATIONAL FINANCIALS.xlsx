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4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Gross exposure by IFRS 9 stage, across all ECL-bearing financial assets (cash at central banks, loans to banks, loans to customers, investment securities)</t>
        </is>
      </c>
      <c r="B4" s="6" t="n"/>
      <c r="C4" s="6" t="n"/>
      <c r="D4" s="6" t="n"/>
      <c r="E4" s="6" t="n"/>
      <c r="F4" s="6" t="n"/>
    </row>
    <row r="5">
      <c r="A5" s="6" t="inlineStr">
        <is>
          <t>Stage 1 (12-month ECL) - gross exposure</t>
        </is>
      </c>
      <c r="B5" s="6" t="n">
        <v>7702726</v>
      </c>
      <c r="C5" s="6" t="n">
        <v>7747362</v>
      </c>
      <c r="D5" s="6" t="n">
        <v>8607292</v>
      </c>
      <c r="E5" s="6" t="n">
        <v>11419812</v>
      </c>
      <c r="F5" s="6" t="n">
        <v>10991019</v>
      </c>
    </row>
    <row r="6">
      <c r="A6" s="6" t="inlineStr">
        <is>
          <t>Stage 2 (lifetime ECL, not credit-impaired) - gross exposure</t>
        </is>
      </c>
      <c r="B6" s="6" t="n">
        <v>0</v>
      </c>
      <c r="C6" s="6" t="n">
        <v>0</v>
      </c>
      <c r="D6" s="6" t="n">
        <v>0</v>
      </c>
      <c r="E6" s="6" t="n">
        <v>0</v>
      </c>
      <c r="F6" s="6" t="n">
        <v>0</v>
      </c>
    </row>
    <row r="7">
      <c r="A7" s="6" t="inlineStr">
        <is>
          <t>Stage 3 (lifetime ECL, credit-impaired) - gross exposure</t>
        </is>
      </c>
      <c r="B7" s="6" t="n">
        <v>0</v>
      </c>
      <c r="C7" s="6" t="n">
        <v>0</v>
      </c>
      <c r="D7" s="6" t="n">
        <v>0</v>
      </c>
      <c r="E7" s="6" t="n">
        <v>0</v>
      </c>
      <c r="F7" s="6" t="n">
        <v>0</v>
      </c>
    </row>
    <row r="8">
      <c r="A8" s="5" t="inlineStr">
        <is>
          <t>Total gross exposure</t>
        </is>
      </c>
      <c r="B8" s="5" t="n">
        <v>7702726</v>
      </c>
      <c r="C8" s="5" t="n">
        <v>7747362</v>
      </c>
      <c r="D8" s="5" t="n">
        <v>8607292</v>
      </c>
      <c r="E8" s="5" t="n">
        <v>11419812</v>
      </c>
      <c r="F8" s="5" t="n">
        <v>10991019</v>
      </c>
    </row>
    <row r="9">
      <c r="A9" s="5" t="inlineStr">
        <is>
          <t>Expected credit loss (ECL) allowance</t>
        </is>
      </c>
      <c r="B9" s="6" t="n"/>
      <c r="C9" s="6" t="n"/>
      <c r="D9" s="6" t="n"/>
      <c r="E9" s="6" t="n"/>
      <c r="F9" s="6" t="n"/>
    </row>
    <row r="10">
      <c r="A10" s="6" t="inlineStr">
        <is>
          <t>Loss allowance (all Stage 1; includes the FVOCI investment-securities ECL memo item)</t>
        </is>
      </c>
      <c r="B10" s="6" t="n">
        <v>-31</v>
      </c>
      <c r="C10" s="6" t="n">
        <v>-34</v>
      </c>
      <c r="D10" s="6" t="n">
        <v>-118</v>
      </c>
      <c r="E10" s="6" t="n">
        <v>-183</v>
      </c>
      <c r="F10" s="6" t="n">
        <v>-59</v>
      </c>
    </row>
    <row r="11">
      <c r="A11" s="5" t="inlineStr">
        <is>
          <t>Net carrying amount</t>
        </is>
      </c>
      <c r="B11" s="5" t="n">
        <v>7702695</v>
      </c>
      <c r="C11" s="5" t="n">
        <v>7747328</v>
      </c>
      <c r="D11" s="5" t="n">
        <v>8607174</v>
      </c>
      <c r="E11" s="5" t="n">
        <v>11419629</v>
      </c>
      <c r="F11" s="5" t="n">
        <v>10990960</v>
      </c>
    </row>
    <row r="12">
      <c r="A12" s="5" t="inlineStr">
        <is>
          <t>Ratios</t>
        </is>
      </c>
      <c r="B12" s="6" t="n"/>
      <c r="C12" s="6" t="n"/>
      <c r="D12" s="6" t="n"/>
      <c r="E12" s="6" t="n"/>
      <c r="F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KM1 Key Metrics</t>
        </is>
      </c>
    </row>
    <row r="2">
      <c r="A2" s="2" t="inlineStr">
        <is>
          <t>The bank's own published UK KM1 key-metrics template, reproduced in BNYMIL's row order with its own template row numbers and printed precision. Amounts in £m, ratios as printed. FY2025-FY2022 from each year's own Pillar 3 report; FY2021 is the FY2022 report's comparative column, the only 31-Dec-21 column BNYMIL published on this template. FY2020 and earlier are intentionally blank - those reports carry a differently-shaped pre-template key-metrics table, not UK KM1.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1091</v>
      </c>
      <c r="C5" s="6" t="n">
        <v>955</v>
      </c>
      <c r="D5" s="6" t="n">
        <v>833</v>
      </c>
      <c r="E5" s="6" t="n">
        <v>733</v>
      </c>
      <c r="F5" s="6" t="n">
        <v>761</v>
      </c>
    </row>
    <row r="6">
      <c r="A6" s="6" t="inlineStr">
        <is>
          <t>2    Tier 1 capital</t>
        </is>
      </c>
      <c r="B6" s="6" t="n">
        <v>1091</v>
      </c>
      <c r="C6" s="6" t="n">
        <v>955</v>
      </c>
      <c r="D6" s="6" t="n">
        <v>833</v>
      </c>
      <c r="E6" s="6" t="n">
        <v>733</v>
      </c>
      <c r="F6" s="6" t="n">
        <v>761</v>
      </c>
    </row>
    <row r="7">
      <c r="A7" s="6" t="inlineStr">
        <is>
          <t>3    Total capital</t>
        </is>
      </c>
      <c r="B7" s="6" t="n">
        <v>1091</v>
      </c>
      <c r="C7" s="6" t="n">
        <v>955</v>
      </c>
      <c r="D7" s="6" t="n">
        <v>833</v>
      </c>
      <c r="E7" s="6" t="n">
        <v>733</v>
      </c>
      <c r="F7" s="6" t="n">
        <v>761</v>
      </c>
    </row>
    <row r="8">
      <c r="A8" s="5" t="inlineStr">
        <is>
          <t>Risk-weighted exposure amounts (£m)</t>
        </is>
      </c>
      <c r="B8" s="6" t="n"/>
      <c r="C8" s="6" t="n"/>
      <c r="D8" s="6" t="n"/>
      <c r="E8" s="6" t="n"/>
      <c r="F8" s="6" t="n"/>
    </row>
    <row r="9">
      <c r="A9" s="6" t="inlineStr">
        <is>
          <t>4    Total risk-weighted exposure amount</t>
        </is>
      </c>
      <c r="B9" s="6" t="n">
        <v>1047</v>
      </c>
      <c r="C9" s="6" t="n">
        <v>1118</v>
      </c>
      <c r="D9" s="6" t="n">
        <v>1051</v>
      </c>
      <c r="E9" s="6" t="n">
        <v>999</v>
      </c>
      <c r="F9" s="6" t="n">
        <v>838</v>
      </c>
    </row>
    <row r="10">
      <c r="A10" s="5" t="inlineStr">
        <is>
          <t>Capital ratios (as a percentage of risk-weighted exposure amount)</t>
        </is>
      </c>
      <c r="B10" s="6" t="n"/>
      <c r="C10" s="6" t="n"/>
      <c r="D10" s="6" t="n"/>
      <c r="E10" s="6" t="n"/>
      <c r="F10" s="6" t="n"/>
    </row>
    <row r="11">
      <c r="A11" s="6" t="inlineStr">
        <is>
          <t>5    Common Equity Tier 1 ratio (%)</t>
        </is>
      </c>
      <c r="B11" s="6" t="inlineStr">
        <is>
          <t>104.22 %</t>
        </is>
      </c>
      <c r="C11" s="6" t="inlineStr">
        <is>
          <t>85.41 %</t>
        </is>
      </c>
      <c r="D11" s="6" t="inlineStr">
        <is>
          <t>79.26 %</t>
        </is>
      </c>
      <c r="E11" s="6" t="inlineStr">
        <is>
          <t>73.35 %</t>
        </is>
      </c>
      <c r="F11" s="6" t="inlineStr">
        <is>
          <t>90.81 %</t>
        </is>
      </c>
    </row>
    <row r="12">
      <c r="A12" s="6" t="inlineStr">
        <is>
          <t>6    Tier 1 ratio (%)</t>
        </is>
      </c>
      <c r="B12" s="6" t="inlineStr">
        <is>
          <t>104.22 %</t>
        </is>
      </c>
      <c r="C12" s="6" t="inlineStr">
        <is>
          <t>85.41 %</t>
        </is>
      </c>
      <c r="D12" s="6" t="inlineStr">
        <is>
          <t>79.26 %</t>
        </is>
      </c>
      <c r="E12" s="6" t="inlineStr">
        <is>
          <t>73.35 %</t>
        </is>
      </c>
      <c r="F12" s="6" t="inlineStr">
        <is>
          <t>90.81 %</t>
        </is>
      </c>
    </row>
    <row r="13">
      <c r="A13" s="6" t="inlineStr">
        <is>
          <t>7    Total capital ratio (%)</t>
        </is>
      </c>
      <c r="B13" s="6" t="inlineStr">
        <is>
          <t>104.22 %</t>
        </is>
      </c>
      <c r="C13" s="6" t="inlineStr">
        <is>
          <t>85.41 %</t>
        </is>
      </c>
      <c r="D13" s="6" t="inlineStr">
        <is>
          <t>79.26 %</t>
        </is>
      </c>
      <c r="E13" s="6" t="inlineStr">
        <is>
          <t>73.35 %</t>
        </is>
      </c>
      <c r="F13" s="6" t="inlineStr">
        <is>
          <t>90.81 %</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5.86 %</t>
        </is>
      </c>
      <c r="C15" s="6" t="inlineStr">
        <is>
          <t>5.00 %</t>
        </is>
      </c>
      <c r="D15" s="6" t="inlineStr">
        <is>
          <t>5.00 %</t>
        </is>
      </c>
      <c r="E15" s="6" t="inlineStr">
        <is>
          <t>5.00 %</t>
        </is>
      </c>
      <c r="F15" s="6" t="n"/>
    </row>
    <row r="16">
      <c r="A16" s="6" t="inlineStr">
        <is>
          <t>UK 7d    Total SREP own funds requirements (%)</t>
        </is>
      </c>
      <c r="B16" s="6" t="inlineStr">
        <is>
          <t>18.42 %</t>
        </is>
      </c>
      <c r="C16" s="6" t="inlineStr">
        <is>
          <t>16.88 %</t>
        </is>
      </c>
      <c r="D16" s="6" t="inlineStr">
        <is>
          <t>16.88 %</t>
        </is>
      </c>
      <c r="E16" s="6" t="inlineStr">
        <is>
          <t>16.88 %</t>
        </is>
      </c>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2.50 %</t>
        </is>
      </c>
      <c r="C18" s="6" t="inlineStr">
        <is>
          <t>2.50 %</t>
        </is>
      </c>
      <c r="D18" s="6" t="inlineStr">
        <is>
          <t>2.50 %</t>
        </is>
      </c>
      <c r="E18" s="6" t="inlineStr">
        <is>
          <t>2.50 %</t>
        </is>
      </c>
      <c r="F18" s="6" t="inlineStr">
        <is>
          <t>2.50 %</t>
        </is>
      </c>
    </row>
    <row r="19">
      <c r="A19" s="6" t="inlineStr">
        <is>
          <t>9    Institution specific countercyclical capital buffer (%)</t>
        </is>
      </c>
      <c r="B19" s="6" t="inlineStr">
        <is>
          <t>1.90 %</t>
        </is>
      </c>
      <c r="C19" s="6" t="inlineStr">
        <is>
          <t>1.96 %</t>
        </is>
      </c>
      <c r="D19" s="6" t="inlineStr">
        <is>
          <t>1.95 %</t>
        </is>
      </c>
      <c r="E19" s="6" t="inlineStr">
        <is>
          <t>0.92 %</t>
        </is>
      </c>
      <c r="F19" s="6" t="inlineStr">
        <is>
          <t>-</t>
        </is>
      </c>
    </row>
    <row r="20">
      <c r="A20" s="6" t="inlineStr">
        <is>
          <t>11    Combined buffer requirement (%)</t>
        </is>
      </c>
      <c r="B20" s="6" t="inlineStr">
        <is>
          <t>4.40 %</t>
        </is>
      </c>
      <c r="C20" s="6" t="inlineStr">
        <is>
          <t>4.46 %</t>
        </is>
      </c>
      <c r="D20" s="6" t="inlineStr">
        <is>
          <t>4.45 %</t>
        </is>
      </c>
      <c r="E20" s="6" t="inlineStr">
        <is>
          <t>3.42 %</t>
        </is>
      </c>
      <c r="F20" s="6" t="n"/>
    </row>
    <row r="21">
      <c r="A21" s="6" t="inlineStr">
        <is>
          <t>UK 11a    Overall capital requirements (%)</t>
        </is>
      </c>
      <c r="B21" s="6" t="inlineStr">
        <is>
          <t>22.82 %</t>
        </is>
      </c>
      <c r="C21" s="6" t="inlineStr">
        <is>
          <t>21.34 %</t>
        </is>
      </c>
      <c r="D21" s="6" t="inlineStr">
        <is>
          <t>21.33 %</t>
        </is>
      </c>
      <c r="E21" s="6" t="inlineStr">
        <is>
          <t>20.30 %</t>
        </is>
      </c>
      <c r="F21" s="6" t="n"/>
    </row>
    <row r="22">
      <c r="A22" s="6" t="inlineStr">
        <is>
          <t>12    CET1 available after meeting the total SREP own funds requirements (%)</t>
        </is>
      </c>
      <c r="B22" s="6" t="inlineStr">
        <is>
          <t>85.80 %</t>
        </is>
      </c>
      <c r="C22" s="6" t="inlineStr">
        <is>
          <t>68.53 %</t>
        </is>
      </c>
      <c r="D22" s="6" t="inlineStr">
        <is>
          <t>62.38 %</t>
        </is>
      </c>
      <c r="E22" s="6" t="inlineStr">
        <is>
          <t>56.47 %</t>
        </is>
      </c>
      <c r="F22" s="6" t="inlineStr">
        <is>
          <t>75.77 %</t>
        </is>
      </c>
    </row>
    <row r="23">
      <c r="A23" s="5" t="inlineStr">
        <is>
          <t>Leverage ratio (£m / %)</t>
        </is>
      </c>
      <c r="B23" s="6" t="n"/>
      <c r="C23" s="6" t="n"/>
      <c r="D23" s="6" t="n"/>
      <c r="E23" s="6" t="n"/>
      <c r="F23" s="6" t="n"/>
    </row>
    <row r="24">
      <c r="A24" s="6" t="inlineStr">
        <is>
          <t>13    Total exposure measure excluding claims on central banks</t>
        </is>
      </c>
      <c r="B24" s="6" t="n">
        <v>6449</v>
      </c>
      <c r="C24" s="6" t="n">
        <v>6276</v>
      </c>
      <c r="D24" s="6" t="n">
        <v>5888</v>
      </c>
      <c r="E24" s="6" t="n">
        <v>7602</v>
      </c>
      <c r="F24" s="6" t="n"/>
    </row>
    <row r="25">
      <c r="A25" s="6" t="inlineStr">
        <is>
          <t>14    Leverage ratio excluding claims on central banks (%)</t>
        </is>
      </c>
      <c r="B25" s="6" t="inlineStr">
        <is>
          <t>16.92 %</t>
        </is>
      </c>
      <c r="C25" s="6" t="inlineStr">
        <is>
          <t>15.22 %</t>
        </is>
      </c>
      <c r="D25" s="6" t="inlineStr">
        <is>
          <t>14.15 %</t>
        </is>
      </c>
      <c r="E25" s="6" t="inlineStr">
        <is>
          <t>9.64 %</t>
        </is>
      </c>
      <c r="F25" s="6" t="n"/>
    </row>
    <row r="26">
      <c r="A26" s="5" t="inlineStr">
        <is>
          <t>Liquidity Coverage Ratio (£m / %)</t>
        </is>
      </c>
      <c r="B26" s="6" t="n"/>
      <c r="C26" s="6" t="n"/>
      <c r="D26" s="6" t="n"/>
      <c r="E26" s="6" t="n"/>
      <c r="F26" s="6" t="n"/>
    </row>
    <row r="27">
      <c r="A27" s="6" t="inlineStr">
        <is>
          <t>15    Total high-quality liquid assets (HQLA) (Weighted value -average)</t>
        </is>
      </c>
      <c r="B27" s="6" t="n">
        <v>5184</v>
      </c>
      <c r="C27" s="6" t="n">
        <v>6021</v>
      </c>
      <c r="D27" s="6" t="n">
        <v>6887</v>
      </c>
      <c r="E27" s="6" t="n">
        <v>8876</v>
      </c>
      <c r="F27" s="6" t="n"/>
    </row>
    <row r="28">
      <c r="A28" s="6" t="inlineStr">
        <is>
          <t>UK 16a    Cash outflows - Total weighted value</t>
        </is>
      </c>
      <c r="B28" s="6" t="n">
        <v>3604</v>
      </c>
      <c r="C28" s="6" t="n">
        <v>4462</v>
      </c>
      <c r="D28" s="6" t="n">
        <v>5426</v>
      </c>
      <c r="E28" s="6" t="n">
        <v>7712</v>
      </c>
      <c r="F28" s="6" t="n"/>
    </row>
    <row r="29">
      <c r="A29" s="6" t="inlineStr">
        <is>
          <t>UK 16b    Cash inflows - Total weighted value</t>
        </is>
      </c>
      <c r="B29" s="6" t="n">
        <v>1935</v>
      </c>
      <c r="C29" s="6" t="n">
        <v>1931</v>
      </c>
      <c r="D29" s="6" t="n">
        <v>2121</v>
      </c>
      <c r="E29" s="6" t="n">
        <v>2911</v>
      </c>
      <c r="F29" s="6" t="n"/>
    </row>
    <row r="30">
      <c r="A30" s="6" t="inlineStr">
        <is>
          <t>16    Total net cash outflows (adjusted value)</t>
        </is>
      </c>
      <c r="B30" s="6" t="n">
        <v>1669</v>
      </c>
      <c r="C30" s="6" t="n">
        <v>2532</v>
      </c>
      <c r="D30" s="6" t="n">
        <v>3305</v>
      </c>
      <c r="E30" s="6" t="n">
        <v>4801</v>
      </c>
      <c r="F30" s="6" t="n"/>
    </row>
    <row r="31">
      <c r="A31" s="6" t="inlineStr">
        <is>
          <t>17    Liquidity coverage ratio (%)</t>
        </is>
      </c>
      <c r="B31" s="6" t="inlineStr">
        <is>
          <t>317.37 %</t>
        </is>
      </c>
      <c r="C31" s="6" t="inlineStr">
        <is>
          <t>240.33 %</t>
        </is>
      </c>
      <c r="D31" s="6" t="inlineStr">
        <is>
          <t>211.60 %</t>
        </is>
      </c>
      <c r="E31" s="6" t="inlineStr">
        <is>
          <t>185.66 %</t>
        </is>
      </c>
      <c r="F31" s="6" t="n"/>
    </row>
    <row r="32">
      <c r="A32" s="5" t="inlineStr">
        <is>
          <t>Net Stable Funding Ratio (£m / %)</t>
        </is>
      </c>
      <c r="B32" s="6" t="n"/>
      <c r="C32" s="6" t="n"/>
      <c r="D32" s="6" t="n"/>
      <c r="E32" s="6" t="n"/>
      <c r="F32" s="6" t="n"/>
    </row>
    <row r="33">
      <c r="A33" s="6" t="inlineStr">
        <is>
          <t>18    Total available stable funding</t>
        </is>
      </c>
      <c r="B33" s="6" t="n">
        <v>2561</v>
      </c>
      <c r="C33" s="6" t="n">
        <v>2474</v>
      </c>
      <c r="D33" s="6" t="n">
        <v>2386</v>
      </c>
      <c r="E33" s="6" t="n">
        <v>3210</v>
      </c>
      <c r="F33" s="6" t="n"/>
    </row>
    <row r="34">
      <c r="A34" s="6" t="inlineStr">
        <is>
          <t>19    Total required stable funding</t>
        </is>
      </c>
      <c r="B34" s="6" t="n">
        <v>672</v>
      </c>
      <c r="C34" s="6" t="n">
        <v>675</v>
      </c>
      <c r="D34" s="6" t="n">
        <v>650</v>
      </c>
      <c r="E34" s="6" t="n">
        <v>680</v>
      </c>
      <c r="F34" s="6" t="n"/>
    </row>
    <row r="35">
      <c r="A35" s="6" t="inlineStr">
        <is>
          <t>20    NSFR ratio (%)</t>
        </is>
      </c>
      <c r="B35" s="6" t="inlineStr">
        <is>
          <t>381.21 %</t>
        </is>
      </c>
      <c r="C35" s="6" t="inlineStr">
        <is>
          <t>366.64 %</t>
        </is>
      </c>
      <c r="D35" s="6" t="inlineStr">
        <is>
          <t>368.06 %</t>
        </is>
      </c>
      <c r="E35" s="6" t="inlineStr">
        <is>
          <t>472.37 %</t>
        </is>
      </c>
      <c r="F35" s="6" t="n"/>
    </row>
    <row r="37" ht="420" customHeight="1">
      <c r="A37" s="8" t="inlineStr">
        <is>
          <t>Sources - The Bank of New York Mellon (International) Limited, "Table 1: UK KM1 - Key metrics template", £m, reproduced as printed (BNYMIL prints one unified column per date from the FY2022 report onward - see ENTITY NOTE below):
FY2025: Pillar 3 Disclosure, December 31, 2025, Table 1, p.5 (section 1.3 "Article 447 CRR II - Disclosure of key metrics") - https://www.bnymellon.com/content/dam/bnymellon/documents/pdf/investor-relations/the-bank-of-new-york-mellon-international-limited-2025-pillar-3-disclosure.pdf
FY2024: Pillar 3 Disclosure, December 31, 2024, Table 1, p.6 - https://www.bnymellon.com/content/dam/bnymellon/documents/pdf/investor-relations/the-bank-of-new-york-mellon-international-limited-2024-pillar-3-disclosure.pdf
FY2023: Pillar 3 Disclosure, December 31, 2023, Table 1, p.6 - https://www.bnymellon.com/content/dam/bnymellon/documents/pdf/investor-relations/the-bank-of-new-york-mellon-international-limited-2023-pillar-3-disclosure.pdf
FY2022: Pillar 3 Disclosure, December 31, 2022, Table 1, p.8 - https://www.bnymellon.com/content/dam/bnymellon/documents/pdf/investor-relations/the-bank-of-new-york-mellon-international-limited-2022-pillar-3-disclosure.pdf
FY2021: the 31-Dec-21 COMPARATIVE column of the FY2022 report's Table 1 (same page) - https://www.bnymellon.com/content/dam/bnymellon/documents/pdf/investor-relations/the-bank-of-new-york-mellon-international-limited-2022-pillar-3-disclosure.pdf
KM1 presentation notes:
• COLUMN SET: every edition from FY2022 onward prints exactly two columns - the reporting year-end and the prior year-end - and no half-year column. Each year above is taken from the edition in which that date is the REPORTING year, not from a later edition's comparative, with the single deliberate exception of FY2021 explained below.
• WHY FY2021 IS A COMPARATIVE COLUMN: the FY2021 and earlier Pillar 3 reports do carry a table captioned "Table 1: KM1 - Key metrics", but it is NOT the UK KM1 template. It prints no template row numbers, uses BNYMIL's own captions ("Total risk-weighted assets ('RWA')", "Total leverage ratio exposure measure"), runs four columns (Consolidated 31-Dec-21 / 31-Dec-20 beside Solo 31-Dec-21 / 31-Dec-20, identical to each other in both years), and states its leverage ratio on the pre-1-January-2022 basis that INCLUDES claims on central banks (£12,381m exposure, 6.1% - against £7,602m and 9.64% excluding, on the FY2022 template). The FY2022 report's own comparative column is therefore the only 31-Dec-21 column BNYMIL has published on the UK template, and it is what appears above. Its capital figures agree cell for cell with the FY2021 report's own Solo column (CET1 761, RWA 838, ratios 90.8% printed to one decimal there and 90.81% to two here), so no restatement is being carried across that join.
• FY2021 BLANKS ARE THE BANK'S OWN: rows UK 7a, UK 7d, 11, UK 11a, 13, 14, 15, UK 16a, UK 16b, 16, 17, 18, 19 and 20 are empty in that column because the FY2022 report says so - footnote 1, "Certain metrics related to additional own funds requirements, buffers, and leverage, are new disclosure requirements. Comparatives are not reported", and footnote 4, "Comparatives are not provided for LCR and NSFR following a change in the instructions from those reportable at 31 December 2021". The FY2021 point-in-time LCR, NSFR and leverage figures BNYMIL did publish are on the LCR, NSFR and Leverage Ratio sheets, on their own captioned rows.
• A DASH IS A DASH, NOT A ZERO: row 9 (countercyclical buffer) is printed "—%" in the FY2022 report's 31-Dec-21 column, and the FY2021 report prints the same em dash for the same row in its OWN 31-Dec-21 column - 'Table 1:KM1 - Key metrics', printed p.11, where it appears as "—%" in all four of that table's Consolidated and Solo columns. FY2021 therefore carries the dash rather than a blank, and it is taken from the FY2021 edition's own column, not from the later edition's comparative. Every other cell shown is a figure the bank printed as a figure.
• AND THE BANK'S OWN NARRATIVE DISAGREES WITH ITS OWN TABLE, WHICH IS RECORDED RATHER THAN RESOLVED. The same FY2021 document states in prose, two pages later: 'The Company is subject to a countercyclical buffer requirement, however this equated to 0.0% at 31 December 2021.' So here the dash demonstrably does mean zero - the Bank says so itself. The cell still shows the dash, because this sheet reproduces the TABLE and the table prints a dash; substituting 0.0% would import a figure from prose into a regulatory template that did not print it. The prose is the citation a reader needs to interpret the dash, and it is given here for exactly that purpose.
• FY2024 IS SHOWN AS ORIGINALLY PUBLISHED, NOT RESTATED. The FY2025 report heads its comparative column "31-Dec-24 Restated" and notes "The prior period is restated". Its restated FY2024 values differ from the FY2024 report's own as-published ones in nine rows: row 4 RWA 1,091 (was 1,118); rows 5/6/7 87.54 % (was 85.41 %); row 12 70.66 % (was 68.53 %); row 18 available stable funding 2,481 (was 2,474); row 19 required stable funding 664 (was 675); row 20 NSFR 373.99 % (was 366.64 %). Rows 1/2/3, 8, 9, 11, UK 11a, 13, 14, 15, UK 16a/16b, 16 and 17 are unchanged. The as-published figures are used above, matching the individual metric sheets; the restated ones are recorded here so neither is lost.
• ROW SET: BNYMIL prints only the rows it treats as applicable. Its own note reads "Selected non-applicable rows have not been presented", and rows UK 7b, UK 7c, UK 8a, UK 9a, 10, UK 10a and the additional-leverage block 14a-14e appear in NO edition. They are therefore absent above - a stated omission by the bank, not a row this workbook failed to locate.
• PRECISION: ratios are printed to two decimal places with a space before the percent sign ("104.22 %") in every UK-template edition, and that spacing is preserved. The FY2021 and earlier reports print one decimal place without the space ("90.8 %") - another reason those editions are a different table.
• BASIS: rows 15-17 are a 12-month average and rows 18-20 a four-quarter average in every edition, per the reports' own footnotes ("Ratios are presented on an average basis in accordance with Article 447(f)(g) CRR II"). The FY2024 report adds that its Q4'24 NSFR is estimated. Capital and leverage ratios are stated after the inclusion of audited profits for the year. Row 13/14's caption already carries the post-1-January-2022 "excluding claims on central banks" basis in every edition shown, so no basis break runs through this sheet.
• The Company is not subject to a binding leverage ratio requirement in any year shown (it does not meet the LREQ-firm thresholds in the Leverage Ratio - Capital Requirements and Buffers Part of the PRA Rulebook), per the reports' own leverage footnote.
LATEST-EDITION CHECK 2026-09-16: BNY's own regulatory-filings index (https://www.bny.com/corporate/global/en/investor-relations/regulatory-filings.html, to which bnymellon.com/us/en/investor-relations/regulatory-filings.html now 301-redirects) lists the December 31, 2025 Pillar 3 Disclosure as the newest for this entity, which this workbook already carries. A 2026-dated filename under the same /content/dam/ path returns an honest HTTP 404, and the entity's year-end is 31 December, so no FY2026 disclosure can yet exist. Checked, none newer.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UK OV1 'Overview of risk-weighted exposure amounts' (Table 4) — each year's own Pillar 3 Disclosure, BNYMIL SOLO basis (FY2025-FY2022)</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c r="G5" s="6" t="n"/>
      <c r="H5" s="6" t="n"/>
      <c r="I5" s="6" t="n"/>
      <c r="J5" s="6" t="n"/>
      <c r="K5" s="6" t="n"/>
    </row>
    <row r="6">
      <c r="A6" s="6" t="inlineStr">
        <is>
          <t>Counterparty credit risk</t>
        </is>
      </c>
      <c r="B6" s="6" t="n">
        <v>1</v>
      </c>
      <c r="C6" s="6" t="n">
        <v>1</v>
      </c>
      <c r="D6" s="6" t="n">
        <v>0</v>
      </c>
      <c r="E6" s="6" t="n">
        <v>0</v>
      </c>
      <c r="F6" s="6" t="n"/>
      <c r="G6" s="6" t="n"/>
      <c r="H6" s="6" t="n"/>
      <c r="I6" s="6" t="n"/>
      <c r="J6" s="6" t="n"/>
      <c r="K6" s="6" t="n"/>
    </row>
    <row r="7">
      <c r="A7" s="6" t="inlineStr">
        <is>
          <t>Securitisation exposures</t>
        </is>
      </c>
      <c r="B7" s="6" t="n">
        <v>7</v>
      </c>
      <c r="C7" s="6" t="n">
        <v>9</v>
      </c>
      <c r="D7" s="6" t="n">
        <v>9</v>
      </c>
      <c r="E7" s="6" t="n">
        <v>3</v>
      </c>
      <c r="F7" s="6" t="n"/>
      <c r="G7" s="6" t="n"/>
      <c r="H7" s="6" t="n"/>
      <c r="I7" s="6" t="n"/>
      <c r="J7" s="6" t="n"/>
      <c r="K7" s="6" t="n"/>
    </row>
    <row r="8">
      <c r="A8" s="6" t="inlineStr">
        <is>
          <t>Market risk (position, FX and commodities)</t>
        </is>
      </c>
      <c r="B8" s="6" t="n">
        <v>12</v>
      </c>
      <c r="C8" s="6" t="n">
        <v>12</v>
      </c>
      <c r="D8" s="6" t="n">
        <v>14</v>
      </c>
      <c r="E8" s="6" t="n">
        <v>12</v>
      </c>
      <c r="F8" s="6" t="n"/>
      <c r="G8" s="6" t="n"/>
      <c r="H8" s="6" t="n"/>
      <c r="I8" s="6" t="n"/>
      <c r="J8" s="6" t="n"/>
      <c r="K8" s="6" t="n"/>
    </row>
    <row r="9">
      <c r="A9" s="6" t="inlineStr">
        <is>
          <t>Operational risk</t>
        </is>
      </c>
      <c r="B9" s="6" t="n">
        <v>592</v>
      </c>
      <c r="C9" s="6" t="n">
        <v>577</v>
      </c>
      <c r="D9" s="6" t="n">
        <v>489</v>
      </c>
      <c r="E9" s="6" t="n">
        <v>415</v>
      </c>
      <c r="F9" s="6" t="n"/>
      <c r="G9" s="6" t="n"/>
      <c r="H9" s="6" t="n"/>
      <c r="I9" s="6" t="n"/>
      <c r="J9" s="6" t="n"/>
      <c r="K9" s="6" t="n"/>
    </row>
    <row r="10">
      <c r="A10" s="5" t="inlineStr">
        <is>
          <t>Total RWAs</t>
        </is>
      </c>
      <c r="B10" s="5" t="n">
        <v>1047</v>
      </c>
      <c r="C10" s="5" t="n">
        <v>1118</v>
      </c>
      <c r="D10" s="5" t="n">
        <v>1051</v>
      </c>
      <c r="E10" s="5" t="n">
        <v>999</v>
      </c>
      <c r="F10" s="5" t="n"/>
      <c r="G10" s="5" t="n"/>
      <c r="H10" s="5" t="n"/>
      <c r="I10" s="5" t="n"/>
      <c r="J10" s="5" t="n"/>
      <c r="K10" s="5" t="n"/>
    </row>
    <row r="11">
      <c r="A11" s="5" t="inlineStr">
        <is>
          <t>EU OV1 'Overview of RWAs' (Table 7), the older CRR template — Pillar 3 Disclosure, December 31, 2021, printed folio 25 (FY2021). This template discloses Credit Valuation Adjustment as its OWN risk type and BNYMIL prints it that way, so CVA has its own row below and the 'Counterparty credit risk' row here is CCR ALONE — a narrower measure than the UK OV1 CCR row above, which subsumes CVA. The table is headed 'the Company (Consolidated)'; the report's own key-metrics table prints Consolidated and Solo Total RWA as identical for FY2021 (838 and 838), so this block ties to the Solo figure on the Total RWAs sheet. Corrected 2026-09-18, GA-011 — see sources note</t>
        </is>
      </c>
      <c r="B11" s="6" t="n"/>
      <c r="C11" s="6" t="n"/>
      <c r="D11" s="6" t="n"/>
      <c r="E11" s="6" t="n"/>
      <c r="F11" s="6" t="n"/>
      <c r="G11" s="6" t="n"/>
      <c r="H11" s="6" t="n"/>
      <c r="I11" s="6" t="n"/>
      <c r="J11" s="6" t="n"/>
      <c r="K11" s="6" t="n"/>
    </row>
    <row r="12">
      <c r="A12" s="6" t="inlineStr">
        <is>
          <t>Credit risk (excluding CCR)</t>
        </is>
      </c>
      <c r="B12" s="6" t="n"/>
      <c r="C12" s="6" t="n"/>
      <c r="D12" s="6" t="n"/>
      <c r="E12" s="6" t="n"/>
      <c r="F12" s="6" t="n">
        <v>466</v>
      </c>
      <c r="G12" s="6" t="n"/>
      <c r="H12" s="6" t="n"/>
      <c r="I12" s="6" t="n"/>
      <c r="J12" s="6" t="n"/>
      <c r="K12" s="6" t="n"/>
    </row>
    <row r="13">
      <c r="A13" s="6" t="inlineStr">
        <is>
          <t>Counterparty credit risk</t>
        </is>
      </c>
      <c r="B13" s="6" t="n"/>
      <c r="C13" s="6" t="n"/>
      <c r="D13" s="6" t="n"/>
      <c r="E13" s="6" t="n"/>
      <c r="F13" s="6" t="n">
        <v>2</v>
      </c>
      <c r="G13" s="6" t="n"/>
      <c r="H13" s="6" t="n"/>
      <c r="I13" s="6" t="n"/>
      <c r="J13" s="6" t="n"/>
      <c r="K13" s="6" t="n"/>
    </row>
    <row r="14">
      <c r="A14" s="6" t="inlineStr">
        <is>
          <t>Credit valuation adjustment (CVA)</t>
        </is>
      </c>
      <c r="B14" s="6" t="n"/>
      <c r="C14" s="6" t="n"/>
      <c r="D14" s="6" t="n"/>
      <c r="E14" s="6" t="n"/>
      <c r="F14" s="6" t="n">
        <v>2</v>
      </c>
      <c r="G14" s="6" t="n"/>
      <c r="H14" s="6" t="n"/>
      <c r="I14" s="6" t="n"/>
      <c r="J14" s="6" t="n"/>
      <c r="K14" s="6" t="n"/>
    </row>
    <row r="15">
      <c r="A15" s="6" t="inlineStr">
        <is>
          <t>Securitisation exposures</t>
        </is>
      </c>
      <c r="B15" s="6" t="n"/>
      <c r="C15" s="6" t="n"/>
      <c r="D15" s="6" t="n"/>
      <c r="E15" s="6" t="n"/>
      <c r="F15" s="6" t="inlineStr">
        <is>
          <t>-</t>
        </is>
      </c>
      <c r="G15" s="6" t="n"/>
      <c r="H15" s="6" t="n"/>
      <c r="I15" s="6" t="n"/>
      <c r="J15" s="6" t="n"/>
      <c r="K15" s="6" t="n"/>
    </row>
    <row r="16">
      <c r="A16" s="6" t="inlineStr">
        <is>
          <t>Market risk (position, FX and commodities)</t>
        </is>
      </c>
      <c r="B16" s="6" t="n"/>
      <c r="C16" s="6" t="n"/>
      <c r="D16" s="6" t="n"/>
      <c r="E16" s="6" t="n"/>
      <c r="F16" s="6" t="n">
        <v>16</v>
      </c>
      <c r="G16" s="6" t="n"/>
      <c r="H16" s="6" t="n"/>
      <c r="I16" s="6" t="n"/>
      <c r="J16" s="6" t="n"/>
      <c r="K16" s="6" t="n"/>
    </row>
    <row r="17">
      <c r="A17" s="6" t="inlineStr">
        <is>
          <t>Operational risk</t>
        </is>
      </c>
      <c r="B17" s="6" t="n"/>
      <c r="C17" s="6" t="n"/>
      <c r="D17" s="6" t="n"/>
      <c r="E17" s="6" t="n"/>
      <c r="F17" s="6" t="n">
        <v>352</v>
      </c>
      <c r="G17" s="6" t="n"/>
      <c r="H17" s="6" t="n"/>
      <c r="I17" s="6" t="n"/>
      <c r="J17" s="6" t="n"/>
      <c r="K17" s="6" t="n"/>
    </row>
    <row r="18">
      <c r="A18" s="5" t="inlineStr">
        <is>
          <t>Total RWAs</t>
        </is>
      </c>
      <c r="B18" s="5" t="n"/>
      <c r="C18" s="5" t="n"/>
      <c r="D18" s="5" t="n"/>
      <c r="E18" s="5" t="n"/>
      <c r="F18" s="5" t="n">
        <v>838</v>
      </c>
      <c r="G18" s="5" t="n"/>
      <c r="H18" s="5" t="n"/>
      <c r="I18" s="5" t="n"/>
      <c r="J18" s="5" t="n"/>
      <c r="K18" s="5" t="n"/>
    </row>
    <row r="19">
      <c r="A19" s="5" t="inlineStr">
        <is>
          <t>EU OV1 'Overview of RWAs' (Table 7 in the FY2020 report, Table 8 in FY2019 and FY2018) — BNYMIL CONSOLIDATED basis (FY2020-FY2018), the only basis on which these reports publish a risk-type split, so these totals do NOT match the Solo figures on the Total RWAs sheet: FY2020 939 = Solo 939 (exact tie that year only), FY2019 996 vs Solo 994, FY2018 1,233 vs Solo 1,211. Neither figure is to be changed to make the two sheets agree. All three of these editions print Credit Valuation Adjustment as its own risk type, so CVA has its own row below and 'Counterparty credit risk' here is CCR ALONE. Corrected 2026-09-18, GA-011 — see sources note</t>
        </is>
      </c>
      <c r="B19" s="6" t="n"/>
      <c r="C19" s="6" t="n"/>
      <c r="D19" s="6" t="n"/>
      <c r="E19" s="6" t="n"/>
      <c r="F19" s="6" t="n"/>
      <c r="G19" s="6" t="n"/>
      <c r="H19" s="6" t="n"/>
      <c r="I19" s="6" t="n"/>
      <c r="J19" s="6" t="n"/>
      <c r="K19" s="6" t="n"/>
    </row>
    <row r="20">
      <c r="A20" s="6" t="inlineStr">
        <is>
          <t>Credit risk (excluding CCR)</t>
        </is>
      </c>
      <c r="B20" s="6" t="n"/>
      <c r="C20" s="6" t="n"/>
      <c r="D20" s="6" t="n"/>
      <c r="E20" s="6" t="n"/>
      <c r="F20" s="6" t="n"/>
      <c r="G20" s="6" t="n">
        <v>538</v>
      </c>
      <c r="H20" s="6" t="n">
        <v>582</v>
      </c>
      <c r="I20" s="6" t="n">
        <v>804</v>
      </c>
      <c r="J20" s="6" t="n"/>
      <c r="K20" s="6" t="n"/>
    </row>
    <row r="21">
      <c r="A21" s="6" t="inlineStr">
        <is>
          <t>Counterparty credit risk</t>
        </is>
      </c>
      <c r="B21" s="6" t="n"/>
      <c r="C21" s="6" t="n"/>
      <c r="D21" s="6" t="n"/>
      <c r="E21" s="6" t="n"/>
      <c r="F21" s="6" t="n"/>
      <c r="G21" s="6" t="n">
        <v>4</v>
      </c>
      <c r="H21" s="6" t="n">
        <v>3</v>
      </c>
      <c r="I21" s="6" t="n">
        <v>2</v>
      </c>
      <c r="J21" s="6" t="n"/>
      <c r="K21" s="6" t="n"/>
    </row>
    <row r="22">
      <c r="A22" s="6" t="inlineStr">
        <is>
          <t>Credit valuation adjustment (CVA)</t>
        </is>
      </c>
      <c r="B22" s="6" t="n"/>
      <c r="C22" s="6" t="n"/>
      <c r="D22" s="6" t="n"/>
      <c r="E22" s="6" t="n"/>
      <c r="F22" s="6" t="n"/>
      <c r="G22" s="6" t="n">
        <v>4</v>
      </c>
      <c r="H22" s="6" t="n">
        <v>3</v>
      </c>
      <c r="I22" s="6" t="n">
        <v>2</v>
      </c>
      <c r="J22" s="6" t="n"/>
      <c r="K22" s="6" t="n"/>
    </row>
    <row r="23">
      <c r="A23" s="6" t="inlineStr">
        <is>
          <t>Market risk (position, FX and commodities)</t>
        </is>
      </c>
      <c r="B23" s="6" t="n"/>
      <c r="C23" s="6" t="n"/>
      <c r="D23" s="6" t="n"/>
      <c r="E23" s="6" t="n"/>
      <c r="F23" s="6" t="n"/>
      <c r="G23" s="6" t="n">
        <v>10</v>
      </c>
      <c r="H23" s="6" t="n">
        <v>14</v>
      </c>
      <c r="I23" s="6" t="n">
        <v>32</v>
      </c>
      <c r="J23" s="6" t="n"/>
      <c r="K23" s="6" t="n"/>
    </row>
    <row r="24">
      <c r="A24" s="6" t="inlineStr">
        <is>
          <t>Operational risk</t>
        </is>
      </c>
      <c r="B24" s="6" t="n"/>
      <c r="C24" s="6" t="n"/>
      <c r="D24" s="6" t="n"/>
      <c r="E24" s="6" t="n"/>
      <c r="F24" s="6" t="n"/>
      <c r="G24" s="6" t="n">
        <v>383</v>
      </c>
      <c r="H24" s="6" t="n">
        <v>394</v>
      </c>
      <c r="I24" s="6" t="n">
        <v>393</v>
      </c>
      <c r="J24" s="6" t="n"/>
      <c r="K24" s="6" t="n"/>
    </row>
    <row r="25">
      <c r="A25" s="5" t="inlineStr">
        <is>
          <t>Total RWAs</t>
        </is>
      </c>
      <c r="B25" s="5" t="n"/>
      <c r="C25" s="5" t="n"/>
      <c r="D25" s="5" t="n"/>
      <c r="E25" s="5" t="n"/>
      <c r="F25" s="5" t="n"/>
      <c r="G25" s="5" t="n">
        <v>939</v>
      </c>
      <c r="H25" s="5" t="n">
        <v>996</v>
      </c>
      <c r="I25" s="5" t="n">
        <v>1233</v>
      </c>
      <c r="J25" s="5" t="n"/>
      <c r="K25" s="5" t="n"/>
    </row>
    <row r="26">
      <c r="A26" s="5" t="inlineStr">
        <is>
          <t>Table 6 'Capital requirements', Pillar 3 Disclosure 2017 — heading and intro on printed folio 24, the table itself overleaf on folio 25. BNYMIL CONSOLIDATED basis (936 vs Solo 881). This report DOES publish a full risk-type table (an earlier review of this workbook stated it did not and sourced the year from the p.10 'Risk Exposure Amount by Risk Type' chart instead; the chart's three slices are identical to Table 6's, so only the provenance and the CCR/CVA rows changed). Table 6 prints CCR and CVA as separate risk types and prints BOTH as a DASH — reproduced as dashes below, because a dash is the bank saying nil and is not a zero. Corrected 2026-09-18, GA-011 — see sources note</t>
        </is>
      </c>
      <c r="B26" s="6" t="n"/>
      <c r="C26" s="6" t="n"/>
      <c r="D26" s="6" t="n"/>
      <c r="E26" s="6" t="n"/>
      <c r="F26" s="6" t="n"/>
      <c r="G26" s="6" t="n"/>
      <c r="H26" s="6" t="n"/>
      <c r="I26" s="6" t="n"/>
      <c r="J26" s="6" t="n"/>
      <c r="K26" s="6" t="n"/>
    </row>
    <row r="27">
      <c r="A27" s="6" t="inlineStr">
        <is>
          <t>Credit risk (excluding CCR)</t>
        </is>
      </c>
      <c r="B27" s="6" t="n"/>
      <c r="C27" s="6" t="n"/>
      <c r="D27" s="6" t="n"/>
      <c r="E27" s="6" t="n"/>
      <c r="F27" s="6" t="n"/>
      <c r="G27" s="6" t="n"/>
      <c r="H27" s="6" t="n"/>
      <c r="I27" s="6" t="n"/>
      <c r="J27" s="6" t="n">
        <v>504</v>
      </c>
      <c r="K27" s="6" t="n"/>
    </row>
    <row r="28">
      <c r="A28" s="6" t="inlineStr">
        <is>
          <t>Counterparty credit risk</t>
        </is>
      </c>
      <c r="B28" s="6" t="n"/>
      <c r="C28" s="6" t="n"/>
      <c r="D28" s="6" t="n"/>
      <c r="E28" s="6" t="n"/>
      <c r="F28" s="6" t="n"/>
      <c r="G28" s="6" t="n"/>
      <c r="H28" s="6" t="n"/>
      <c r="I28" s="6" t="n"/>
      <c r="J28" s="6" t="inlineStr">
        <is>
          <t>-</t>
        </is>
      </c>
      <c r="K28" s="6" t="n"/>
    </row>
    <row r="29">
      <c r="A29" s="6" t="inlineStr">
        <is>
          <t>Credit valuation adjustment (CVA)</t>
        </is>
      </c>
      <c r="B29" s="6" t="n"/>
      <c r="C29" s="6" t="n"/>
      <c r="D29" s="6" t="n"/>
      <c r="E29" s="6" t="n"/>
      <c r="F29" s="6" t="n"/>
      <c r="G29" s="6" t="n"/>
      <c r="H29" s="6" t="n"/>
      <c r="I29" s="6" t="n"/>
      <c r="J29" s="6" t="inlineStr">
        <is>
          <t>-</t>
        </is>
      </c>
      <c r="K29" s="6" t="n"/>
    </row>
    <row r="30">
      <c r="A30" s="6" t="inlineStr">
        <is>
          <t>Market risk (position, FX and commodities)</t>
        </is>
      </c>
      <c r="B30" s="6" t="n"/>
      <c r="C30" s="6" t="n"/>
      <c r="D30" s="6" t="n"/>
      <c r="E30" s="6" t="n"/>
      <c r="F30" s="6" t="n"/>
      <c r="G30" s="6" t="n"/>
      <c r="H30" s="6" t="n"/>
      <c r="I30" s="6" t="n"/>
      <c r="J30" s="6" t="n">
        <v>66</v>
      </c>
      <c r="K30" s="6" t="n"/>
    </row>
    <row r="31">
      <c r="A31" s="6" t="inlineStr">
        <is>
          <t>Operational risk</t>
        </is>
      </c>
      <c r="B31" s="6" t="n"/>
      <c r="C31" s="6" t="n"/>
      <c r="D31" s="6" t="n"/>
      <c r="E31" s="6" t="n"/>
      <c r="F31" s="6" t="n"/>
      <c r="G31" s="6" t="n"/>
      <c r="H31" s="6" t="n"/>
      <c r="I31" s="6" t="n"/>
      <c r="J31" s="6" t="n">
        <v>366</v>
      </c>
      <c r="K31" s="6" t="n"/>
    </row>
    <row r="32">
      <c r="A32" s="5" t="inlineStr">
        <is>
          <t>Total RWAs</t>
        </is>
      </c>
      <c r="B32" s="5" t="n"/>
      <c r="C32" s="5" t="n"/>
      <c r="D32" s="5" t="n"/>
      <c r="E32" s="5" t="n"/>
      <c r="F32" s="5" t="n"/>
      <c r="G32" s="5" t="n"/>
      <c r="H32" s="5" t="n"/>
      <c r="I32" s="5" t="n"/>
      <c r="J32" s="5" t="n">
        <v>936</v>
      </c>
      <c r="K32" s="5" t="n"/>
    </row>
    <row r="33">
      <c r="A33" s="5" t="inlineStr">
        <is>
          <t>Table 6 'Capital requirements', Pillar 3 Disclosure 2016, printed folio 20 — pre-OV1-template era; discloses Risk Exposure Amount by risk type directly. BNYMIL CONSOLIDATED basis (793 vs Solo 765). This table prints Counterparty Credit Risk and Credit Valuation Adjustment as separate risk types, so each has its own row below. Corrected 2026-09-18, GA-011 — see sources note</t>
        </is>
      </c>
      <c r="B33" s="6" t="n"/>
      <c r="C33" s="6" t="n"/>
      <c r="D33" s="6" t="n"/>
      <c r="E33" s="6" t="n"/>
      <c r="F33" s="6" t="n"/>
      <c r="G33" s="6" t="n"/>
      <c r="H33" s="6" t="n"/>
      <c r="I33" s="6" t="n"/>
      <c r="J33" s="6" t="n"/>
      <c r="K33" s="6" t="n"/>
    </row>
    <row r="34">
      <c r="A34" s="6" t="inlineStr">
        <is>
          <t>Credit risk (excluding CCR)</t>
        </is>
      </c>
      <c r="B34" s="6" t="n"/>
      <c r="C34" s="6" t="n"/>
      <c r="D34" s="6" t="n"/>
      <c r="E34" s="6" t="n"/>
      <c r="F34" s="6" t="n"/>
      <c r="G34" s="6" t="n"/>
      <c r="H34" s="6" t="n"/>
      <c r="I34" s="6" t="n"/>
      <c r="J34" s="6" t="n"/>
      <c r="K34" s="6" t="n">
        <v>383</v>
      </c>
    </row>
    <row r="35">
      <c r="A35" s="6" t="inlineStr">
        <is>
          <t>Counterparty credit risk</t>
        </is>
      </c>
      <c r="B35" s="6" t="n"/>
      <c r="C35" s="6" t="n"/>
      <c r="D35" s="6" t="n"/>
      <c r="E35" s="6" t="n"/>
      <c r="F35" s="6" t="n"/>
      <c r="G35" s="6" t="n"/>
      <c r="H35" s="6" t="n"/>
      <c r="I35" s="6" t="n"/>
      <c r="J35" s="6" t="n"/>
      <c r="K35" s="6" t="n">
        <v>4</v>
      </c>
    </row>
    <row r="36">
      <c r="A36" s="6" t="inlineStr">
        <is>
          <t>Credit valuation adjustment (CVA)</t>
        </is>
      </c>
      <c r="B36" s="6" t="n"/>
      <c r="C36" s="6" t="n"/>
      <c r="D36" s="6" t="n"/>
      <c r="E36" s="6" t="n"/>
      <c r="F36" s="6" t="n"/>
      <c r="G36" s="6" t="n"/>
      <c r="H36" s="6" t="n"/>
      <c r="I36" s="6" t="n"/>
      <c r="J36" s="6" t="n"/>
      <c r="K36" s="6" t="n">
        <v>4</v>
      </c>
    </row>
    <row r="37">
      <c r="A37" s="6" t="inlineStr">
        <is>
          <t>Market risk (position, FX and commodities)</t>
        </is>
      </c>
      <c r="B37" s="6" t="n"/>
      <c r="C37" s="6" t="n"/>
      <c r="D37" s="6" t="n"/>
      <c r="E37" s="6" t="n"/>
      <c r="F37" s="6" t="n"/>
      <c r="G37" s="6" t="n"/>
      <c r="H37" s="6" t="n"/>
      <c r="I37" s="6" t="n"/>
      <c r="J37" s="6" t="n"/>
      <c r="K37" s="6" t="n">
        <v>43</v>
      </c>
    </row>
    <row r="38">
      <c r="A38" s="6" t="inlineStr">
        <is>
          <t>Operational risk</t>
        </is>
      </c>
      <c r="B38" s="6" t="n"/>
      <c r="C38" s="6" t="n"/>
      <c r="D38" s="6" t="n"/>
      <c r="E38" s="6" t="n"/>
      <c r="F38" s="6" t="n"/>
      <c r="G38" s="6" t="n"/>
      <c r="H38" s="6" t="n"/>
      <c r="I38" s="6" t="n"/>
      <c r="J38" s="6" t="n"/>
      <c r="K38" s="6" t="n">
        <v>359</v>
      </c>
    </row>
    <row r="39">
      <c r="A39" s="5" t="inlineStr">
        <is>
          <t>Total RWAs</t>
        </is>
      </c>
      <c r="B39" s="5" t="n"/>
      <c r="C39" s="5" t="n"/>
      <c r="D39" s="5" t="n"/>
      <c r="E39" s="5" t="n"/>
      <c r="F39" s="5" t="n"/>
      <c r="G39" s="5" t="n"/>
      <c r="H39" s="5" t="n"/>
      <c r="I39" s="5" t="n"/>
      <c r="J39" s="5" t="n"/>
      <c r="K39" s="5" t="n">
        <v>793</v>
      </c>
    </row>
    <row r="41" ht="640" customHeight="1">
      <c r="A41"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printed folio 29 - https://www.bnymellon.com/content/dam/bnymellon/documents/pdf/investor-relations/the-bank-of-new-york-mellon-international-limited-2020-pillar-3-disclosure.pdf
FY2019: Pillar 3 Disclosure 2019, Table 8 'EU OV1 - Overview of RWAs', printed folio 31 - https://www.bnymellon.com/content/dam/bnymellon/documents/pdf/investor-relations/the-bank-of-new-york-mellon-international-limited-2019-pillar-3-disclosure.pdf
FY2018: Pillar 3 Disclosure 2018, Table 8 'EU OV1 - Overview of RWAs', printed folio 30 - https://www.bnymellon.com/content/dam/bnymellon/documents/pdf/investor-relations/the-bank-of-new-york-mellon-international-limited-2018-pillar-3-disclosure.pdf
FY2017: Pillar 3 Disclosure 2017, Table 6 'Capital requirements' - heading and intro on printed folio 24, the table itself overleaf on folio 25 - https://www.bnymellon.com/content/dam/bnymellon/documents/pdf/investor-relations/the-bank-of-new-york-mellon-international-limited-2017-pillar-3-disclosure.pdf
FY2016: Pillar 3 Disclosure 2016, Table 6 'Capital requirements', printed folio 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 https://www.bnymellon.com/content/dam/bnymellon/documents/pdf/investor-relations/the-bank-of-new-york-mellon-international-limited-2016-pillar-3-disclosure.pdf
GA-011 CORRECTION, 2026-09-18 - CCR AND CVA ARE NOW REPRODUCED, NOT ADDED UP. Until this date the FY2021-FY2016 half of this sheet carried a single 'Counterparty credit risk' row per year whose value had been COMPUTED by a past session (FY2021 as £2m CCR + £2m CVA = £4m, 'to match the UK OV1 template's grouping used FY2022 onward'; FY2016 as £4m + £4m = £8m; and FY2020/FY2019/FY2018 silently, under a caption reading '(incl. CVA where separately disclosed)' that did not say who had done the combining). Every one of the six pre-FY2022 editions was re-read from the primary PDF on 2026-09-18 (each fetched direct from bnymellon.com and verified as a real PDF by %PDF magic bytes and Content-Type before use), and EVERY ONE OF THE SIX PRINTS COUNTERPARTY CREDIT RISK AND CREDIT VALUATION ADJUSTMENT AS TWO SEPARATE RISK TYPES. Nothing was un-merged by subtraction: each figure below is the number standing on its own row in that year's own edition. As printed - FY2021 CCR 2 / CVA 2; FY2020 CCR 4 / CVA 4; FY2019 CCR 3 / CVA 3; FY2018 CCR 2 / CVA 2; FY2017 CCR '-' / CVA '-' (both dashes, see below); FY2016 CCR 4 / CVA 4. Each year's pair is taken from that year's OWN edition, never a later edition's comparative, though where a later edition does carry the comparative it agrees (the FY2020 report's 31-Dec-19 column prints 3 and 3; the FY2019 report's 31-Dec-18 column prints 2 and 2; the FY2018 report's 31-Dec-17 column prints a dash for both). Each of the six documents contains exactly one such table, so no second printing was missed. The FY2025-FY2022 UK OV1 rows are NOT affected and are unchanged: that template genuinely groups CVA inside counterparty credit risk, so those years have one row because the bank published one row.
FY2017 - A TABLE THIS WORKBOOK PREVIOUSLY SAID DID NOT EXIST. The FY2017 block used to be sourced from the 'Risk Exposure Amount by Risk Type' CHART on folio 10, above a note asserting that 'no OV1-format table was published that year'. That assertion was wrong. The Pillar 3 Disclosure 2017 carries Table 6 'Capital requirements' - the same table the FY2016 report uses, listed in the FY2017 report's own contents - showing Credit risk SA 504, Counterparty credit risk SA '-', Market risk SA 66, Operational risk 366, Credit Valuation Adjustment - standardised method '-', Total 936. This is the same miss recorded below for FY2016 ('a prior review of this document had missed this table'), one edition later. Because the chart's three slices are numerically identical to Table 6's, NO FY2017 figure changed except the counterparty rows: the sheet previously printed CCR as 0, which was a fabricated zero - the bank printed a DASH, and a dash is the bank saying 'nil for us' while a zero is a measured nought. Both dashes are now reproduced as dashes.
FY2021 SECURITISATION - A FABRICATED ZERO, NOW CORRECTED (GA-008, 2026-09-18). The FY2021 EU OV1 (Table 7, printed folio 25) prints its 'Securitisation risk**' row as an em dash in BOTH the 31-Dec-21 and 31-Dec-20 risk-weighted-exposure columns, footnoted '** SEC-ERBA approach. At the reporting date the Company's securitisation portfolio was immaterial.' This sheet previously carried 0 there, which asserted a measured nought the Company never published. It now carries the dash the Company printed. GA-011 saw the cell and correctly left it alone as outside its counterparty remit; it was converted here, against the FY2021 PDF read directly rather than on inference. Total RWAs is unchanged at 838 and still foots (466 + 2 + 2 + 16 + 352 = 838), because a dash contributes nothing that a zero did not.
WHY THAT MATTERS BEYOND THIS ONE CELL: a fabricated zero reconciles, cross-checks clean and is invisible to every instrument in this repo - it looks exactly like a real nought. Restoring dashes only where a cell is currently EMPTY would have missed it entirely.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41:K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60"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MREL figure or reference in this year's Pillar 3 (full-text search 2026-09-19, zero 'MREL'/'eligible liabilities')</t>
        </is>
      </c>
      <c r="C4" s="6" t="inlineStr">
        <is>
          <t>Not published – no MREL figure or reference in this year's Pillar 3 (full-text search 2026-09-19, zero 'MREL'/'eligible liabilities')</t>
        </is>
      </c>
      <c r="D4" s="6" t="inlineStr">
        <is>
          <t>Not published – no MREL figure or reference in this year's Pillar 3 (full-text search 2026-09-19, zero 'MREL'/'eligible liabilities')</t>
        </is>
      </c>
      <c r="E4" s="6" t="inlineStr">
        <is>
          <t>Not published – no MREL figure or reference in this year's Pillar 3 (full-text search 2026-09-19, zero 'MREL'/'eligible liabilities')</t>
        </is>
      </c>
      <c r="F4" s="6" t="inlineStr">
        <is>
          <t>Not published – no MREL figure or reference in this year's Pillar 3 (full-text search 2026-09-19, zero 'MREL'/'eligible liabilities')</t>
        </is>
      </c>
      <c r="G4" s="6" t="inlineStr">
        <is>
          <t>Not published – no MREL figure or reference in this year's Pillar 3 (full-text search 2026-09-19, zero 'MREL'/'eligible liabilities')</t>
        </is>
      </c>
      <c r="H4" s="6" t="inlineStr">
        <is>
          <t>Not published – no MREL figure or reference in this year's Pillar 3 (full-text search 2026-09-19, zero 'MREL'/'eligible liabilities')</t>
        </is>
      </c>
      <c r="I4" s="6" t="inlineStr">
        <is>
          <t>Not published – no MREL figure or reference in this year's Pillar 3 (full-text search 2026-09-19, zero 'MREL'/'eligible liabilities')</t>
        </is>
      </c>
      <c r="J4" s="6" t="inlineStr">
        <is>
          <t>Not published – no MREL figure or reference in this year's scanned Pillar 3 (re-OCR'd in full 2026-09-19, zero 'MREL'/'eligible liabilities')</t>
        </is>
      </c>
      <c r="K4" s="6" t="inlineStr">
        <is>
          <t>Not published – no MREL figure or reference in this year's scanned Pillar 3 (re-OCR'd in full 2026-09-19, zero 'MREL'/'eligible liabilities')</t>
        </is>
      </c>
    </row>
    <row r="5" ht="60"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
UPDATE 2026-09-19 (GA-020): the FY2016 and FY2017 weakness is now closed. Both scanned editions were rendered at 150dpi and re-OCR'd in full (74 and 80 pages; 170k/180k characters; 'capital' 176/197 hits, 'own funds' 26/38) and return zero hits for 'MREL', 'minimum requirement for own funds' and 'eligible liabilities'. FY2018-FY2025 editions and the FY2023/FY2025 Financial Statements were re-searched the same day with the same nil result, so every year now reads 'Not published' with that evidence.</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