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3B57"/>
        <bgColor rgb="001F3B5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Bank of New York Mellon (International)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 Bank of New York Mellon (International)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The Bank of New York Mellon (International)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ser>
          <idx val="3"/>
          <order val="3"/>
          <tx>
            <strRef>
              <f>'Overview'!AN22</f>
            </strRef>
          </tx>
          <spPr>
            <a:ln xmlns:a="http://schemas.openxmlformats.org/drawingml/2006/main">
              <a:prstDash val="solid"/>
            </a:ln>
          </spPr>
          <cat>
            <numRef>
              <f>'Overview'!$AO$18:$AX$18</f>
            </numRef>
          </cat>
          <val>
            <numRef>
              <f>'Overview'!$AO$22:$AX$22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The Bank of New York Mellon (International)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'Overview'!BA6</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'Overview'!$BB$6:$BK$6</f>
            </numRef>
          </val>
          <smooth val="0"/>
        </ser>
        <ser>
          <idx val="1"/>
          <order val="1"/>
          <tx>
            <strRef>
              <f>'Overview'!BA7</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'Overview'!$BB$7:$BK$7</f>
            </numRef>
          </val>
          <smooth val="0"/>
        </ser>
        <ser>
          <idx val="2"/>
          <order val="2"/>
          <tx>
            <strRef>
              <f>'Overview'!BA8</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'Overview'!$BB$8:$BK$8</f>
            </numRef>
          </val>
          <smooth val="0"/>
        </ser>
        <ser>
          <idx val="3"/>
          <order val="3"/>
          <tx>
            <strRef>
              <f>'Overview'!BA9</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'Overview'!$BB$9:$BK$9</f>
            </numRef>
          </val>
          <smooth val="0"/>
        </ser>
        <ser>
          <idx val="4"/>
          <order val="4"/>
          <tx>
            <strRef>
              <f>'Overview'!BA10</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'Overview'!$BB$10:$BK$10</f>
            </numRef>
          </val>
          <smooth val="0"/>
        </ser>
        <ser>
          <idx val="5"/>
          <order val="5"/>
          <tx>
            <strRef>
              <f>'Overview'!BA11</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'Overview'!$BB$11:$BK$11</f>
            </numRef>
          </val>
          <smooth val="0"/>
        </ser>
        <ser>
          <idx val="6"/>
          <order val="6"/>
          <tx>
            <strRef>
              <f>'Overview'!BA12</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'Overview'!$BB$12:$BK$12</f>
            </numRef>
          </val>
          <smooth val="0"/>
        </ser>
        <ser>
          <idx val="7"/>
          <order val="7"/>
          <tx>
            <strRef>
              <f>'Overview'!BA13</f>
            </strRef>
          </tx>
          <spPr>
            <a:ln xmlns:a="http://schemas.openxmlformats.org/drawingml/2006/main">
              <a:prstDash val="solid"/>
            </a:ln>
          </spPr>
          <marker>
            <symbol val="none"/>
            <spPr>
              <a:ln xmlns:a="http://schemas.openxmlformats.org/drawingml/2006/main">
                <a:prstDash val="solid"/>
              </a:ln>
            </spPr>
          </marker>
          <cat>
            <numRef>
              <f>'Overview'!$BB$5:$BK$5</f>
            </numRef>
          </cat>
          <val>
            <numRef>
              <f>'Overview'!$BB$13:$BK$13</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K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s>
  <sheetData>
    <row r="1">
      <c r="A1" s="1" t="inlineStr">
        <is>
          <t>The Bank of New York Mellon (International)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(£'000s)</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B5" t="inlineStr">
        <is>
          <t>FY2016</t>
        </is>
      </c>
      <c r="BC5" t="inlineStr">
        <is>
          <t>FY2017</t>
        </is>
      </c>
      <c r="BD5" t="inlineStr">
        <is>
          <t>FY2018</t>
        </is>
      </c>
      <c r="BE5" t="inlineStr">
        <is>
          <t>FY2019</t>
        </is>
      </c>
      <c r="BF5" t="inlineStr">
        <is>
          <t>FY2020</t>
        </is>
      </c>
      <c r="BG5" t="inlineStr">
        <is>
          <t>FY2021</t>
        </is>
      </c>
      <c r="BH5" t="inlineStr">
        <is>
          <t>FY2022</t>
        </is>
      </c>
      <c r="BI5" t="inlineStr">
        <is>
          <t>FY2023</t>
        </is>
      </c>
      <c r="BJ5" t="inlineStr">
        <is>
          <t>FY2024</t>
        </is>
      </c>
      <c r="BK5" t="inlineStr">
        <is>
          <t>FY2025</t>
        </is>
      </c>
    </row>
    <row r="6">
      <c r="A6" s="5" t="inlineStr">
        <is>
          <t>Total assets</t>
        </is>
      </c>
      <c r="B6" s="5" t="n">
        <v>7918773</v>
      </c>
      <c r="C6" s="5" t="n">
        <v>8007771</v>
      </c>
      <c r="D6" s="5" t="n">
        <v>8896652</v>
      </c>
      <c r="E6" s="5" t="n">
        <v>11702044</v>
      </c>
      <c r="F6" s="5" t="n">
        <v>11227068</v>
      </c>
      <c r="G6" s="5" t="n">
        <v>10315540</v>
      </c>
      <c r="H6" s="5" t="n">
        <v>9761980</v>
      </c>
      <c r="I6" s="5" t="n">
        <v>12388368</v>
      </c>
      <c r="J6" s="5" t="n">
        <v>10117220</v>
      </c>
      <c r="K6" s="5" t="n">
        <v>6908403</v>
      </c>
      <c r="N6" t="inlineStr">
        <is>
          <t>Total assets</t>
        </is>
      </c>
      <c r="O6" t="n">
        <v>6908403</v>
      </c>
      <c r="P6" t="n">
        <v>10117220</v>
      </c>
      <c r="Q6" t="n">
        <v>12388368</v>
      </c>
      <c r="R6" t="n">
        <v>9761980</v>
      </c>
      <c r="S6" t="n">
        <v>10315540</v>
      </c>
      <c r="T6" t="n">
        <v>11227068</v>
      </c>
      <c r="U6" t="n">
        <v>11702044</v>
      </c>
      <c r="V6" t="n">
        <v>8896652</v>
      </c>
      <c r="W6" t="n">
        <v>8007771</v>
      </c>
      <c r="X6" t="n">
        <v>7918773</v>
      </c>
      <c r="BA6" t="inlineStr">
        <is>
          <t>CET1 Ratio</t>
        </is>
      </c>
      <c r="BB6" t="n">
        <v>53.9</v>
      </c>
      <c r="BC6" t="n">
        <v>50.8</v>
      </c>
      <c r="BD6" t="n">
        <v>51</v>
      </c>
      <c r="BE6" t="n">
        <v>66.3</v>
      </c>
      <c r="BF6" t="n">
        <v>79.3</v>
      </c>
      <c r="BG6" t="n">
        <v>90.8</v>
      </c>
      <c r="BH6" t="n">
        <v>73.34999999999999</v>
      </c>
      <c r="BI6" t="n">
        <v>79.26000000000001</v>
      </c>
      <c r="BJ6" t="n">
        <v>85.41</v>
      </c>
      <c r="BK6" t="n">
        <v>104.22</v>
      </c>
    </row>
    <row r="7">
      <c r="A7" s="5" t="inlineStr">
        <is>
          <t>Loans and advances to customers</t>
        </is>
      </c>
      <c r="B7" s="5" t="n">
        <v>28495</v>
      </c>
      <c r="C7" s="5" t="n">
        <v>173578</v>
      </c>
      <c r="D7" s="5" t="n">
        <v>108153</v>
      </c>
      <c r="E7" s="5" t="n">
        <v>138345</v>
      </c>
      <c r="F7" s="5" t="n">
        <v>104419</v>
      </c>
      <c r="G7" s="5" t="n">
        <v>195590</v>
      </c>
      <c r="H7" s="5" t="n">
        <v>117788</v>
      </c>
      <c r="I7" s="5" t="n">
        <v>275544</v>
      </c>
      <c r="J7" s="5" t="n">
        <v>152291</v>
      </c>
      <c r="K7" s="5" t="n">
        <v>112638</v>
      </c>
      <c r="N7" t="inlineStr">
        <is>
          <t>Loans and advances to customers</t>
        </is>
      </c>
      <c r="O7" t="n">
        <v>112638</v>
      </c>
      <c r="P7" t="n">
        <v>152291</v>
      </c>
      <c r="Q7" t="n">
        <v>275544</v>
      </c>
      <c r="R7" t="n">
        <v>117788</v>
      </c>
      <c r="S7" t="n">
        <v>195590</v>
      </c>
      <c r="T7" t="n">
        <v>104419</v>
      </c>
      <c r="U7" t="n">
        <v>138345</v>
      </c>
      <c r="V7" t="n">
        <v>108153</v>
      </c>
      <c r="W7" t="n">
        <v>173578</v>
      </c>
      <c r="X7" t="n">
        <v>28495</v>
      </c>
      <c r="BA7" t="inlineStr">
        <is>
          <t>Tier 1 Ratio</t>
        </is>
      </c>
      <c r="BB7" t="n">
        <v>53.9</v>
      </c>
      <c r="BC7" t="n">
        <v>50.8</v>
      </c>
      <c r="BD7" t="n">
        <v>51</v>
      </c>
      <c r="BE7" t="n">
        <v>66.3</v>
      </c>
      <c r="BF7" t="n">
        <v>79.3</v>
      </c>
      <c r="BG7" t="n">
        <v>90.8</v>
      </c>
      <c r="BH7" t="n">
        <v>73.34999999999999</v>
      </c>
      <c r="BI7" t="n">
        <v>79.26000000000001</v>
      </c>
      <c r="BJ7" t="n">
        <v>85.41</v>
      </c>
      <c r="BK7" t="n">
        <v>104.22</v>
      </c>
    </row>
    <row r="8">
      <c r="A8" s="5" t="inlineStr">
        <is>
          <t>Customer accounts</t>
        </is>
      </c>
      <c r="B8" s="5" t="n">
        <v>4303354</v>
      </c>
      <c r="C8" s="5" t="n">
        <v>4316535</v>
      </c>
      <c r="D8" s="5" t="n">
        <v>4583519</v>
      </c>
      <c r="E8" s="5" t="n">
        <v>6631188</v>
      </c>
      <c r="F8" s="5" t="n">
        <v>7137353</v>
      </c>
      <c r="G8" s="5" t="n">
        <v>7004361</v>
      </c>
      <c r="H8" s="5" t="n">
        <v>7265408</v>
      </c>
      <c r="I8" s="5" t="n">
        <v>9685207</v>
      </c>
      <c r="J8" s="5" t="n">
        <v>7459508</v>
      </c>
      <c r="K8" s="5" t="n">
        <v>4656755</v>
      </c>
      <c r="N8" t="inlineStr">
        <is>
          <t>Customer accounts</t>
        </is>
      </c>
      <c r="O8" t="n">
        <v>4656755</v>
      </c>
      <c r="P8" t="n">
        <v>7459508</v>
      </c>
      <c r="Q8" t="n">
        <v>9685207</v>
      </c>
      <c r="R8" t="n">
        <v>7265408</v>
      </c>
      <c r="S8" t="n">
        <v>7004361</v>
      </c>
      <c r="T8" t="n">
        <v>7137353</v>
      </c>
      <c r="U8" t="n">
        <v>6631188</v>
      </c>
      <c r="V8" t="n">
        <v>4583519</v>
      </c>
      <c r="W8" t="n">
        <v>4316535</v>
      </c>
      <c r="X8" t="n">
        <v>4303354</v>
      </c>
      <c r="BA8" t="inlineStr">
        <is>
          <t>Total Capital Ratio</t>
        </is>
      </c>
      <c r="BB8" t="n">
        <v>63.7</v>
      </c>
      <c r="BC8" t="n">
        <v>59.3</v>
      </c>
      <c r="BD8" t="n">
        <v>57.2</v>
      </c>
      <c r="BE8" t="n">
        <v>73.7</v>
      </c>
      <c r="BF8" t="n">
        <v>79.3</v>
      </c>
      <c r="BG8" t="n">
        <v>90.8</v>
      </c>
      <c r="BH8" t="n">
        <v>73.34999999999999</v>
      </c>
      <c r="BI8" t="n">
        <v>79.26000000000001</v>
      </c>
      <c r="BJ8" t="n">
        <v>85.41</v>
      </c>
      <c r="BK8" t="n">
        <v>104.22</v>
      </c>
    </row>
    <row r="9">
      <c r="A9" s="5" t="inlineStr">
        <is>
          <t>Shareholder's funds</t>
        </is>
      </c>
      <c r="B9" s="5" t="n">
        <v>1215041</v>
      </c>
      <c r="C9" s="5" t="n">
        <v>1084761</v>
      </c>
      <c r="D9" s="5" t="n">
        <v>954053</v>
      </c>
      <c r="E9" s="5" t="n">
        <v>863356</v>
      </c>
      <c r="F9" s="5" t="n">
        <v>878180</v>
      </c>
      <c r="G9" s="5" t="n">
        <v>859107</v>
      </c>
      <c r="H9" s="5" t="n">
        <v>787226</v>
      </c>
      <c r="I9" s="5" t="n">
        <v>747479</v>
      </c>
      <c r="J9" s="5" t="n">
        <v>524588</v>
      </c>
      <c r="K9" s="5" t="n">
        <v>511670</v>
      </c>
      <c r="N9" t="inlineStr">
        <is>
          <t>Shareholder's funds</t>
        </is>
      </c>
      <c r="O9" t="n">
        <v>511670</v>
      </c>
      <c r="P9" t="n">
        <v>524588</v>
      </c>
      <c r="Q9" t="n">
        <v>747479</v>
      </c>
      <c r="R9" t="n">
        <v>787226</v>
      </c>
      <c r="S9" t="n">
        <v>859107</v>
      </c>
      <c r="T9" t="n">
        <v>878180</v>
      </c>
      <c r="U9" t="n">
        <v>863356</v>
      </c>
      <c r="V9" t="n">
        <v>954053</v>
      </c>
      <c r="W9" t="n">
        <v>1084761</v>
      </c>
      <c r="X9" t="n">
        <v>1215041</v>
      </c>
      <c r="BA9" t="inlineStr">
        <is>
          <t>Leverage Ratio (excl. central bank claims)</t>
        </is>
      </c>
      <c r="BH9" t="n">
        <v>9.640000000000001</v>
      </c>
      <c r="BI9" t="n">
        <v>14.15</v>
      </c>
      <c r="BJ9" t="n">
        <v>15.22</v>
      </c>
      <c r="BK9" t="n">
        <v>16.92</v>
      </c>
    </row>
    <row r="10">
      <c r="BA10" t="inlineStr">
        <is>
          <t>LCR (12-month average basis, FY2022 onward)</t>
        </is>
      </c>
      <c r="BH10" t="n">
        <v>185.66</v>
      </c>
      <c r="BI10" t="n">
        <v>211.6</v>
      </c>
      <c r="BJ10" t="n">
        <v>240.33</v>
      </c>
      <c r="BK10" t="n">
        <v>317.37</v>
      </c>
    </row>
    <row r="11">
      <c r="A11" s="3" t="inlineStr">
        <is>
          <t>Profit &amp; Loss Summary (£'000s)</t>
        </is>
      </c>
      <c r="BA11" t="inlineStr">
        <is>
          <t>LCR (point-in-time at 31 December, FY2021 and earlier)</t>
        </is>
      </c>
      <c r="BB11" t="n">
        <v>334</v>
      </c>
      <c r="BC11" t="n">
        <v>294</v>
      </c>
      <c r="BD11" t="n">
        <v>238</v>
      </c>
      <c r="BE11" t="n">
        <v>197</v>
      </c>
      <c r="BF11" t="n">
        <v>172</v>
      </c>
      <c r="BG11" t="n">
        <v>173</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c r="BA12" t="inlineStr">
        <is>
          <t>NSFR (4-quarter average basis, FY2022 onward)</t>
        </is>
      </c>
      <c r="BH12" t="n">
        <v>472.37</v>
      </c>
      <c r="BI12" t="n">
        <v>368.06</v>
      </c>
      <c r="BJ12" t="n">
        <v>366.64</v>
      </c>
      <c r="BK12" t="n">
        <v>381.21</v>
      </c>
    </row>
    <row r="13">
      <c r="A13" s="5" t="inlineStr">
        <is>
          <t>Non-interest income</t>
        </is>
      </c>
      <c r="B13" s="5" t="n">
        <v>153651</v>
      </c>
      <c r="C13" s="5" t="n">
        <v>153320</v>
      </c>
      <c r="D13" s="5" t="n">
        <v>149827</v>
      </c>
      <c r="E13" s="5" t="n">
        <v>147434</v>
      </c>
      <c r="F13" s="5" t="n">
        <v>152238</v>
      </c>
      <c r="G13" s="5" t="n">
        <v>140461</v>
      </c>
      <c r="H13" s="5" t="n">
        <v>136448</v>
      </c>
      <c r="I13" s="5" t="n">
        <v>178081</v>
      </c>
      <c r="J13" s="5" t="n">
        <v>161317</v>
      </c>
      <c r="K13" s="5" t="n">
        <v>162885</v>
      </c>
      <c r="AA13" t="inlineStr">
        <is>
          <t>Non-interest income</t>
        </is>
      </c>
      <c r="AB13" t="n">
        <v>162885</v>
      </c>
      <c r="AC13" t="n">
        <v>161317</v>
      </c>
      <c r="AD13" t="n">
        <v>178081</v>
      </c>
      <c r="AE13" t="n">
        <v>136448</v>
      </c>
      <c r="AF13" t="n">
        <v>140461</v>
      </c>
      <c r="AG13" t="n">
        <v>152238</v>
      </c>
      <c r="AH13" t="n">
        <v>147434</v>
      </c>
      <c r="AI13" t="n">
        <v>149827</v>
      </c>
      <c r="AJ13" t="n">
        <v>153320</v>
      </c>
      <c r="AK13" t="n">
        <v>153651</v>
      </c>
      <c r="BA13" t="inlineStr">
        <is>
          <t>NSFR (point-in-time at 31 December, FY2021 and earlier)</t>
        </is>
      </c>
      <c r="BB13" t="n">
        <v>1534</v>
      </c>
      <c r="BC13" t="n">
        <v>765</v>
      </c>
      <c r="BD13" t="n">
        <v>735</v>
      </c>
      <c r="BE13" t="n">
        <v>494</v>
      </c>
      <c r="BF13" t="n">
        <v>545</v>
      </c>
      <c r="BG13" t="n">
        <v>446</v>
      </c>
    </row>
    <row r="14">
      <c r="A14" s="5" t="inlineStr">
        <is>
          <t>Total operating expenses</t>
        </is>
      </c>
      <c r="B14" s="5" t="n">
        <v>-141091</v>
      </c>
      <c r="C14" s="5" t="n">
        <v>-156473</v>
      </c>
      <c r="D14" s="5" t="n">
        <v>-168041</v>
      </c>
      <c r="E14" s="5" t="n">
        <v>-171514</v>
      </c>
      <c r="F14" s="5" t="n">
        <v>-155452</v>
      </c>
      <c r="G14" s="5" t="n">
        <v>-143551</v>
      </c>
      <c r="H14" s="5" t="n">
        <v>-145271</v>
      </c>
      <c r="I14" s="5" t="n">
        <v>-176615</v>
      </c>
      <c r="J14" s="5" t="n">
        <v>-149584</v>
      </c>
      <c r="K14" s="5" t="n">
        <v>-164107</v>
      </c>
      <c r="AA14" t="inlineStr">
        <is>
          <t>Total operating expenses</t>
        </is>
      </c>
      <c r="AB14" t="n">
        <v>-164107</v>
      </c>
      <c r="AC14" t="n">
        <v>-149584</v>
      </c>
      <c r="AD14" t="n">
        <v>-176615</v>
      </c>
      <c r="AE14" t="n">
        <v>-145271</v>
      </c>
      <c r="AF14" t="n">
        <v>-143551</v>
      </c>
      <c r="AG14" t="n">
        <v>-155452</v>
      </c>
      <c r="AH14" t="n">
        <v>-171514</v>
      </c>
      <c r="AI14" t="n">
        <v>-168041</v>
      </c>
      <c r="AJ14" t="n">
        <v>-156473</v>
      </c>
      <c r="AK14" t="n">
        <v>-141091</v>
      </c>
    </row>
    <row r="15">
      <c r="A15" s="5" t="inlineStr">
        <is>
          <t>Total profit for the financial year</t>
        </is>
      </c>
      <c r="B15" s="5" t="n">
        <v>106780</v>
      </c>
      <c r="C15" s="5" t="n">
        <v>115237</v>
      </c>
      <c r="D15" s="5" t="n">
        <v>60313</v>
      </c>
      <c r="E15" s="5" t="n">
        <v>50313</v>
      </c>
      <c r="F15" s="5" t="n">
        <v>44926</v>
      </c>
      <c r="G15" s="5" t="n">
        <v>49951</v>
      </c>
      <c r="H15" s="5" t="n">
        <v>32986</v>
      </c>
      <c r="I15" s="5" t="n">
        <v>224585</v>
      </c>
      <c r="J15" s="5" t="n">
        <v>16479</v>
      </c>
      <c r="K15" s="5" t="n">
        <v>-2172</v>
      </c>
      <c r="AA15" t="inlineStr">
        <is>
          <t>Total profit for the financial year</t>
        </is>
      </c>
      <c r="AB15" t="n">
        <v>-2172</v>
      </c>
      <c r="AC15" t="n">
        <v>16479</v>
      </c>
      <c r="AD15" t="n">
        <v>224585</v>
      </c>
      <c r="AE15" t="n">
        <v>32986</v>
      </c>
      <c r="AF15" t="n">
        <v>49951</v>
      </c>
      <c r="AG15" t="n">
        <v>44926</v>
      </c>
      <c r="AH15" t="n">
        <v>50313</v>
      </c>
      <c r="AI15" t="n">
        <v>60313</v>
      </c>
      <c r="AJ15" t="n">
        <v>115237</v>
      </c>
      <c r="AK15" t="n">
        <v>106780</v>
      </c>
    </row>
    <row r="17">
      <c r="A17" s="3" t="inlineStr">
        <is>
          <t>Statement of Changes in Equity Summary (£'000s)</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1084761</v>
      </c>
      <c r="C19" s="5" t="n">
        <v>954053</v>
      </c>
      <c r="D19" s="5" t="n">
        <v>863356</v>
      </c>
      <c r="E19" s="5" t="n">
        <v>878180</v>
      </c>
      <c r="F19" s="5" t="n">
        <v>859107</v>
      </c>
      <c r="G19" s="5" t="n">
        <v>787226</v>
      </c>
      <c r="H19" s="5" t="n">
        <v>747479</v>
      </c>
      <c r="I19" s="5" t="n">
        <v>524588</v>
      </c>
      <c r="J19" s="5" t="n">
        <v>511670</v>
      </c>
      <c r="K19" s="5" t="n">
        <v>243690</v>
      </c>
      <c r="AN19" t="inlineStr">
        <is>
          <t>Opening equity</t>
        </is>
      </c>
      <c r="AO19" t="n">
        <v>243690</v>
      </c>
      <c r="AP19" t="n">
        <v>511670</v>
      </c>
      <c r="AQ19" t="n">
        <v>524588</v>
      </c>
      <c r="AR19" t="n">
        <v>747479</v>
      </c>
      <c r="AS19" t="n">
        <v>787226</v>
      </c>
      <c r="AT19" t="n">
        <v>859107</v>
      </c>
      <c r="AU19" t="n">
        <v>878180</v>
      </c>
      <c r="AV19" t="n">
        <v>863356</v>
      </c>
      <c r="AW19" t="n">
        <v>954053</v>
      </c>
      <c r="AX19" t="n">
        <v>1084761</v>
      </c>
    </row>
    <row r="20">
      <c r="A20" s="5" t="inlineStr">
        <is>
          <t>Total comprehensive income/(loss) for the year</t>
        </is>
      </c>
      <c r="B20" s="5" t="n">
        <v>130280</v>
      </c>
      <c r="C20" s="5" t="n">
        <v>130708</v>
      </c>
      <c r="D20" s="5" t="n">
        <v>90725</v>
      </c>
      <c r="E20" s="5" t="n">
        <v>-14824</v>
      </c>
      <c r="F20" s="5" t="n">
        <v>19073</v>
      </c>
      <c r="G20" s="5" t="n">
        <v>71881</v>
      </c>
      <c r="H20" s="5" t="n">
        <v>39739</v>
      </c>
      <c r="I20" s="5" t="n">
        <v>222849</v>
      </c>
      <c r="J20" s="5" t="n">
        <v>12897</v>
      </c>
      <c r="K20" s="5" t="n">
        <v>-2255</v>
      </c>
      <c r="AN20" t="inlineStr">
        <is>
          <t>Total comprehensive income/(loss) for the year</t>
        </is>
      </c>
      <c r="AO20" t="n">
        <v>-2255</v>
      </c>
      <c r="AP20" t="n">
        <v>12897</v>
      </c>
      <c r="AQ20" t="n">
        <v>222849</v>
      </c>
      <c r="AR20" t="n">
        <v>39739</v>
      </c>
      <c r="AS20" t="n">
        <v>71881</v>
      </c>
      <c r="AT20" t="n">
        <v>19073</v>
      </c>
      <c r="AU20" t="n">
        <v>-14824</v>
      </c>
      <c r="AV20" t="n">
        <v>90725</v>
      </c>
      <c r="AW20" t="n">
        <v>130708</v>
      </c>
      <c r="AX20" t="n">
        <v>130280</v>
      </c>
    </row>
    <row r="21">
      <c r="A21" s="5" t="inlineStr">
        <is>
          <t>Other movements, net</t>
        </is>
      </c>
      <c r="B21" s="5" t="n">
        <v>0</v>
      </c>
      <c r="C21" s="5" t="n">
        <v>0</v>
      </c>
      <c r="D21" s="5" t="n">
        <v>-28</v>
      </c>
      <c r="E21" s="5" t="n">
        <v>0</v>
      </c>
      <c r="F21" s="5" t="n">
        <v>0</v>
      </c>
      <c r="G21" s="5" t="n">
        <v>0</v>
      </c>
      <c r="H21" s="5" t="n">
        <v>7</v>
      </c>
      <c r="I21" s="5" t="n">
        <v>42</v>
      </c>
      <c r="J21" s="5" t="n">
        <v>21</v>
      </c>
      <c r="K21" s="5" t="n">
        <v>270235</v>
      </c>
      <c r="AN21" t="inlineStr">
        <is>
          <t>Other movements, net</t>
        </is>
      </c>
      <c r="AO21" t="n">
        <v>270235</v>
      </c>
      <c r="AP21" t="n">
        <v>21</v>
      </c>
      <c r="AQ21" t="n">
        <v>42</v>
      </c>
      <c r="AR21" t="n">
        <v>7</v>
      </c>
      <c r="AS21" t="n">
        <v>0</v>
      </c>
      <c r="AT21" t="n">
        <v>0</v>
      </c>
      <c r="AU21" t="n">
        <v>0</v>
      </c>
      <c r="AV21" t="n">
        <v>-28</v>
      </c>
      <c r="AW21" t="n">
        <v>0</v>
      </c>
      <c r="AX21" t="n">
        <v>0</v>
      </c>
    </row>
    <row r="22">
      <c r="A22" s="5" t="inlineStr">
        <is>
          <t>Closing equity</t>
        </is>
      </c>
      <c r="B22" s="5" t="n">
        <v>1215041</v>
      </c>
      <c r="C22" s="5" t="n">
        <v>1084761</v>
      </c>
      <c r="D22" s="5" t="n">
        <v>954053</v>
      </c>
      <c r="E22" s="5" t="n">
        <v>863356</v>
      </c>
      <c r="F22" s="5" t="n">
        <v>878180</v>
      </c>
      <c r="G22" s="5" t="n">
        <v>859107</v>
      </c>
      <c r="H22" s="5" t="n">
        <v>787226</v>
      </c>
      <c r="I22" s="5" t="n">
        <v>747479</v>
      </c>
      <c r="J22" s="5" t="n">
        <v>524588</v>
      </c>
      <c r="K22" s="5" t="n">
        <v>511670</v>
      </c>
      <c r="AN22" t="inlineStr">
        <is>
          <t>Closing equity</t>
        </is>
      </c>
      <c r="AO22" t="n">
        <v>511670</v>
      </c>
      <c r="AP22" t="n">
        <v>524588</v>
      </c>
      <c r="AQ22" t="n">
        <v>747479</v>
      </c>
      <c r="AR22" t="n">
        <v>787226</v>
      </c>
      <c r="AS22" t="n">
        <v>859107</v>
      </c>
      <c r="AT22" t="n">
        <v>878180</v>
      </c>
      <c r="AU22" t="n">
        <v>863356</v>
      </c>
      <c r="AV22" t="n">
        <v>954053</v>
      </c>
      <c r="AW22" t="n">
        <v>1084761</v>
      </c>
      <c r="AX22" t="n">
        <v>1215041</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c r="H27" s="4" t="inlineStr">
        <is>
          <t>FY2019</t>
        </is>
      </c>
      <c r="I27" s="4" t="inlineStr">
        <is>
          <t>FY2018</t>
        </is>
      </c>
      <c r="J27" s="4" t="inlineStr">
        <is>
          <t>FY2017</t>
        </is>
      </c>
      <c r="K27" s="4" t="inlineStr">
        <is>
          <t>FY2016</t>
        </is>
      </c>
    </row>
    <row r="28">
      <c r="A28" s="6" t="inlineStr">
        <is>
          <t>CET1 Ratio</t>
        </is>
      </c>
      <c r="B28" s="6" t="inlineStr">
        <is>
          <t>104.22%</t>
        </is>
      </c>
      <c r="C28" s="6" t="inlineStr">
        <is>
          <t>85.41%</t>
        </is>
      </c>
      <c r="D28" s="6" t="inlineStr">
        <is>
          <t>79.26%</t>
        </is>
      </c>
      <c r="E28" s="6" t="inlineStr">
        <is>
          <t>73.35%</t>
        </is>
      </c>
      <c r="F28" s="6" t="inlineStr">
        <is>
          <t>90.8%</t>
        </is>
      </c>
      <c r="G28" s="6" t="inlineStr">
        <is>
          <t>79.3%</t>
        </is>
      </c>
      <c r="H28" s="6" t="inlineStr">
        <is>
          <t>66.3%</t>
        </is>
      </c>
      <c r="I28" s="6" t="inlineStr">
        <is>
          <t>51.0%</t>
        </is>
      </c>
      <c r="J28" s="6" t="inlineStr">
        <is>
          <t>50.8%</t>
        </is>
      </c>
      <c r="K28" s="6" t="inlineStr">
        <is>
          <t>53.9%</t>
        </is>
      </c>
    </row>
    <row r="29">
      <c r="A29" s="6" t="inlineStr">
        <is>
          <t>Tier 1 Ratio</t>
        </is>
      </c>
      <c r="B29" s="6" t="inlineStr">
        <is>
          <t>104.22%</t>
        </is>
      </c>
      <c r="C29" s="6" t="inlineStr">
        <is>
          <t>85.41%</t>
        </is>
      </c>
      <c r="D29" s="6" t="inlineStr">
        <is>
          <t>79.26%</t>
        </is>
      </c>
      <c r="E29" s="6" t="inlineStr">
        <is>
          <t>73.35%</t>
        </is>
      </c>
      <c r="F29" s="6" t="inlineStr">
        <is>
          <t>90.8%</t>
        </is>
      </c>
      <c r="G29" s="6" t="inlineStr">
        <is>
          <t>79.3%</t>
        </is>
      </c>
      <c r="H29" s="6" t="inlineStr">
        <is>
          <t>66.3%</t>
        </is>
      </c>
      <c r="I29" s="6" t="inlineStr">
        <is>
          <t>51.0%</t>
        </is>
      </c>
      <c r="J29" s="6" t="inlineStr">
        <is>
          <t>50.8%</t>
        </is>
      </c>
      <c r="K29" s="6" t="inlineStr">
        <is>
          <t>53.9%</t>
        </is>
      </c>
    </row>
    <row r="30">
      <c r="A30" s="6" t="inlineStr">
        <is>
          <t>Total Capital Ratio</t>
        </is>
      </c>
      <c r="B30" s="6" t="inlineStr">
        <is>
          <t>104.22%</t>
        </is>
      </c>
      <c r="C30" s="6" t="inlineStr">
        <is>
          <t>85.41%</t>
        </is>
      </c>
      <c r="D30" s="6" t="inlineStr">
        <is>
          <t>79.26%</t>
        </is>
      </c>
      <c r="E30" s="6" t="inlineStr">
        <is>
          <t>73.35%</t>
        </is>
      </c>
      <c r="F30" s="6" t="inlineStr">
        <is>
          <t>90.8%</t>
        </is>
      </c>
      <c r="G30" s="6" t="inlineStr">
        <is>
          <t>79.3%</t>
        </is>
      </c>
      <c r="H30" s="6" t="inlineStr">
        <is>
          <t>73.7%</t>
        </is>
      </c>
      <c r="I30" s="6" t="inlineStr">
        <is>
          <t>57.2%</t>
        </is>
      </c>
      <c r="J30" s="6" t="inlineStr">
        <is>
          <t>59.3%</t>
        </is>
      </c>
      <c r="K30" s="6" t="inlineStr">
        <is>
          <t>63.7%</t>
        </is>
      </c>
    </row>
    <row r="31">
      <c r="A31" s="6" t="inlineStr">
        <is>
          <t>Leverage Ratio (excl. central bank claims)</t>
        </is>
      </c>
      <c r="B31" s="6" t="inlineStr">
        <is>
          <t>16.92%</t>
        </is>
      </c>
      <c r="C31" s="6" t="inlineStr">
        <is>
          <t>15.22%</t>
        </is>
      </c>
      <c r="D31" s="6" t="inlineStr">
        <is>
          <t>14.15%</t>
        </is>
      </c>
      <c r="E31" s="6" t="inlineStr">
        <is>
          <t>9.64%</t>
        </is>
      </c>
      <c r="F31" s="6" t="n"/>
      <c r="G31" s="6" t="n"/>
      <c r="H31" s="6" t="n"/>
      <c r="I31" s="6" t="n"/>
      <c r="J31" s="6" t="n"/>
      <c r="K31" s="6" t="n"/>
    </row>
    <row r="32">
      <c r="A32" s="6" t="inlineStr">
        <is>
          <t>LCR (12-month average basis, FY2022 onward)</t>
        </is>
      </c>
      <c r="B32" s="6" t="inlineStr">
        <is>
          <t>317.37%</t>
        </is>
      </c>
      <c r="C32" s="6" t="inlineStr">
        <is>
          <t>240.33%</t>
        </is>
      </c>
      <c r="D32" s="6" t="inlineStr">
        <is>
          <t>211.60%</t>
        </is>
      </c>
      <c r="E32" s="6" t="inlineStr">
        <is>
          <t>185.66%</t>
        </is>
      </c>
      <c r="F32" s="6" t="n"/>
      <c r="G32" s="6" t="n"/>
      <c r="H32" s="6" t="n"/>
      <c r="I32" s="6" t="n"/>
      <c r="J32" s="6" t="n"/>
      <c r="K32" s="6" t="n"/>
    </row>
    <row r="33">
      <c r="A33" s="6" t="inlineStr">
        <is>
          <t>LCR (point-in-time at 31 December, FY2021 and earlier)</t>
        </is>
      </c>
      <c r="B33" s="6" t="n"/>
      <c r="C33" s="6" t="n"/>
      <c r="D33" s="6" t="n"/>
      <c r="E33" s="6" t="n"/>
      <c r="F33" s="6" t="inlineStr">
        <is>
          <t>173%</t>
        </is>
      </c>
      <c r="G33" s="6" t="inlineStr">
        <is>
          <t>172%</t>
        </is>
      </c>
      <c r="H33" s="6" t="inlineStr">
        <is>
          <t>197%</t>
        </is>
      </c>
      <c r="I33" s="6" t="inlineStr">
        <is>
          <t>238%</t>
        </is>
      </c>
      <c r="J33" s="6" t="inlineStr">
        <is>
          <t>294%</t>
        </is>
      </c>
      <c r="K33" s="6" t="inlineStr">
        <is>
          <t>334%</t>
        </is>
      </c>
    </row>
    <row r="34">
      <c r="A34" s="6" t="inlineStr">
        <is>
          <t>NSFR (4-quarter average basis, FY2022 onward)</t>
        </is>
      </c>
      <c r="B34" s="6" t="inlineStr">
        <is>
          <t>381.21%</t>
        </is>
      </c>
      <c r="C34" s="6" t="inlineStr">
        <is>
          <t>366.64%</t>
        </is>
      </c>
      <c r="D34" s="6" t="inlineStr">
        <is>
          <t>368.06%</t>
        </is>
      </c>
      <c r="E34" s="6" t="inlineStr">
        <is>
          <t>472.37%</t>
        </is>
      </c>
      <c r="F34" s="6" t="n"/>
      <c r="G34" s="6" t="n"/>
      <c r="H34" s="6" t="n"/>
      <c r="I34" s="6" t="n"/>
      <c r="J34" s="6" t="n"/>
      <c r="K34" s="6" t="n"/>
    </row>
    <row r="35">
      <c r="A35" s="6" t="inlineStr">
        <is>
          <t>NSFR (point-in-time at 31 December, FY2021 and earlier)</t>
        </is>
      </c>
      <c r="B35" s="6" t="n"/>
      <c r="C35" s="6" t="n"/>
      <c r="D35" s="6" t="n"/>
      <c r="E35" s="6" t="n"/>
      <c r="F35" s="6" t="inlineStr">
        <is>
          <t>446%</t>
        </is>
      </c>
      <c r="G35" s="6" t="inlineStr">
        <is>
          <t>545%</t>
        </is>
      </c>
      <c r="H35" s="6" t="inlineStr">
        <is>
          <t>494%</t>
        </is>
      </c>
      <c r="I35" s="6" t="inlineStr">
        <is>
          <t>735%</t>
        </is>
      </c>
      <c r="J35" s="6" t="inlineStr">
        <is>
          <t>765%</t>
        </is>
      </c>
      <c r="K35" s="6" t="inlineStr">
        <is>
          <t>1534%</t>
        </is>
      </c>
    </row>
    <row r="37" ht="65" customHeight="1">
      <c r="A37" s="7" t="inlineStr">
        <is>
          <t>Note: No cash flow summary or chart is shown here: The Bank of New York Mellon (International) Limited takes the FRS 101 cash-flow-statement exemption every year (see the Cash Flow Statement sheet). Balance Sheet, Profit &amp; Loss, Statement of Changes in Equity and Pillar 3 Key Metrics are all fully populated below. See each sheet's own source citation for the underlying document/page.
TWO SEPARATE BASIS BREAKS ARE VISIBLE ABOVE AND NEITHER IS A TREND. (1) Leverage ratio: the UK removed claims on central banks from the exposure measure from 1 January 2022, so the FY2022-FY2025 'excl. central bank claims' row and the FY2016-FY2021 row are different measures of different things. (2) LCR and NSFR: from FY2022 the Company reports them as averages (12-month for LCR, 4-quarter for NSFR) under Article 447(f)(g) CRR II, where FY2021 and earlier are point-in-time figures at 31 December; the FY2022 report states outright that it provides no LCR/NSFR comparatives because the instructions changed. Each is kept on its own labelled row rather than merged, so the FY2021-to-FY2022 step should not be read as a movement in the underlying position.</t>
        </is>
      </c>
    </row>
  </sheetData>
  <mergeCells count="1">
    <mergeCell ref="A37:K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Balance Sheet</t>
        </is>
      </c>
    </row>
    <row r="2">
      <c r="A2" s="2" t="inlineStr">
        <is>
          <t>Entity-level basis, £'000s.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c r="H3" s="4" t="inlineStr">
        <is>
          <t>FY2019 (£'000s)</t>
        </is>
      </c>
      <c r="I3" s="4" t="inlineStr">
        <is>
          <t>FY2018 (£'000s)</t>
        </is>
      </c>
      <c r="J3" s="4" t="inlineStr">
        <is>
          <t>FY2017 (£'000s)</t>
        </is>
      </c>
      <c r="K3" s="4" t="inlineStr">
        <is>
          <t>FY2016 (£'000s)</t>
        </is>
      </c>
    </row>
    <row r="4">
      <c r="A4" s="5" t="inlineStr">
        <is>
          <t>Assets</t>
        </is>
      </c>
      <c r="B4" s="6" t="n"/>
      <c r="C4" s="6" t="n"/>
      <c r="D4" s="6" t="n"/>
      <c r="E4" s="6" t="n"/>
      <c r="F4" s="6" t="n"/>
      <c r="G4" s="6" t="n"/>
      <c r="H4" s="6" t="n"/>
      <c r="I4" s="6" t="n"/>
      <c r="J4" s="6" t="n"/>
      <c r="K4" s="6" t="n"/>
    </row>
    <row r="5">
      <c r="A5" s="6" t="inlineStr">
        <is>
          <t>Cash and balances at central banks</t>
        </is>
      </c>
      <c r="B5" s="6" t="n">
        <v>2666888</v>
      </c>
      <c r="C5" s="6" t="n">
        <v>2687665</v>
      </c>
      <c r="D5" s="6" t="n">
        <v>3781275</v>
      </c>
      <c r="E5" s="6" t="n">
        <v>4706360</v>
      </c>
      <c r="F5" s="6" t="n">
        <v>4949582</v>
      </c>
      <c r="G5" s="6" t="n">
        <v>5270609</v>
      </c>
      <c r="H5" s="6" t="n">
        <v>4570725</v>
      </c>
      <c r="I5" s="6" t="n">
        <v>8487623</v>
      </c>
      <c r="J5" s="6" t="n">
        <v>7026059</v>
      </c>
      <c r="K5" s="6" t="n">
        <v>4942402</v>
      </c>
    </row>
    <row r="6">
      <c r="A6" s="6" t="inlineStr">
        <is>
          <t>Loans and advances to banks</t>
        </is>
      </c>
      <c r="B6" s="6" t="n">
        <v>2037724</v>
      </c>
      <c r="C6" s="6" t="n">
        <v>1891637</v>
      </c>
      <c r="D6" s="6" t="n">
        <v>1645021</v>
      </c>
      <c r="E6" s="6" t="n">
        <v>2520019</v>
      </c>
      <c r="F6" s="6" t="n">
        <v>1579113</v>
      </c>
      <c r="G6" s="6" t="n">
        <v>795307</v>
      </c>
      <c r="H6" s="6" t="n">
        <v>1149814</v>
      </c>
      <c r="I6" s="6" t="n">
        <v>2049210</v>
      </c>
      <c r="J6" s="6" t="n">
        <v>2085358</v>
      </c>
      <c r="K6" s="6" t="n">
        <v>1543683</v>
      </c>
    </row>
    <row r="7">
      <c r="A7" s="6" t="inlineStr">
        <is>
          <t>Loans and advances to customers</t>
        </is>
      </c>
      <c r="B7" s="6" t="n">
        <v>28495</v>
      </c>
      <c r="C7" s="6" t="n">
        <v>173578</v>
      </c>
      <c r="D7" s="6" t="n">
        <v>108153</v>
      </c>
      <c r="E7" s="6" t="n">
        <v>138345</v>
      </c>
      <c r="F7" s="6" t="n">
        <v>104419</v>
      </c>
      <c r="G7" s="6" t="n">
        <v>195590</v>
      </c>
      <c r="H7" s="6" t="n">
        <v>117788</v>
      </c>
      <c r="I7" s="6" t="n">
        <v>275544</v>
      </c>
      <c r="J7" s="6" t="n">
        <v>152291</v>
      </c>
      <c r="K7" s="6" t="n">
        <v>112638</v>
      </c>
    </row>
    <row r="8">
      <c r="A8" s="5" t="inlineStr">
        <is>
          <t>Total investment securities</t>
        </is>
      </c>
      <c r="B8" s="5" t="n">
        <v>2969599</v>
      </c>
      <c r="C8" s="5" t="n">
        <v>2994460</v>
      </c>
      <c r="D8" s="5" t="n">
        <v>3072747</v>
      </c>
      <c r="E8" s="5" t="n">
        <v>4054942</v>
      </c>
      <c r="F8" s="5" t="n">
        <v>4357861</v>
      </c>
      <c r="G8" s="5" t="n">
        <v>3824637</v>
      </c>
      <c r="H8" s="5" t="n">
        <v>3668276</v>
      </c>
      <c r="I8" s="5" t="n">
        <v>1298470</v>
      </c>
      <c r="J8" s="5" t="n">
        <v>593296</v>
      </c>
      <c r="K8" s="5" t="n">
        <v>20353</v>
      </c>
    </row>
    <row r="9">
      <c r="A9" s="6" t="inlineStr">
        <is>
          <t>Investment securities measured at FVOCI (available-for-sale pre-2018) - Sovereign debt (government)</t>
        </is>
      </c>
      <c r="B9" s="6" t="n">
        <v>707356</v>
      </c>
      <c r="C9" s="6" t="n">
        <v>494219</v>
      </c>
      <c r="D9" s="6" t="n">
        <v>229920</v>
      </c>
      <c r="E9" s="6" t="n">
        <v>503709</v>
      </c>
      <c r="F9" s="6" t="n">
        <v>522683</v>
      </c>
      <c r="G9" s="6" t="n">
        <v>146329</v>
      </c>
      <c r="H9" s="6" t="n">
        <v>1156170</v>
      </c>
      <c r="I9" s="6" t="n">
        <v>145112</v>
      </c>
      <c r="J9" s="6" t="n">
        <v>593296</v>
      </c>
      <c r="K9" s="6" t="n">
        <v>20353</v>
      </c>
    </row>
    <row r="10">
      <c r="A10" s="6" t="inlineStr">
        <is>
          <t>Investment securities measured at FVOCI - Covered bonds</t>
        </is>
      </c>
      <c r="B10" s="6" t="n">
        <v>1131472</v>
      </c>
      <c r="C10" s="6" t="n">
        <v>1304511</v>
      </c>
      <c r="D10" s="6" t="n">
        <v>1625338</v>
      </c>
      <c r="E10" s="6" t="n">
        <v>1517309</v>
      </c>
      <c r="F10" s="6" t="n">
        <v>1314732</v>
      </c>
      <c r="G10" s="6" t="n">
        <v>1316905</v>
      </c>
      <c r="H10" s="6" t="n">
        <v>960811</v>
      </c>
      <c r="I10" s="6" t="n">
        <v>382113</v>
      </c>
      <c r="J10" s="6" t="n"/>
      <c r="K10" s="6" t="n"/>
    </row>
    <row r="11">
      <c r="A11" s="6" t="inlineStr">
        <is>
          <t>Investment securities measured at FVOCI - Government guaranteed</t>
        </is>
      </c>
      <c r="B11" s="6" t="n">
        <v>328582</v>
      </c>
      <c r="C11" s="6" t="n">
        <v>379110</v>
      </c>
      <c r="D11" s="6" t="n">
        <v>390682</v>
      </c>
      <c r="E11" s="6" t="n">
        <v>527317</v>
      </c>
      <c r="F11" s="6" t="n">
        <v>680887</v>
      </c>
      <c r="G11" s="6" t="n">
        <v>564413</v>
      </c>
      <c r="H11" s="6" t="n">
        <v>352699</v>
      </c>
      <c r="I11" s="6" t="n">
        <v>292892</v>
      </c>
      <c r="J11" s="6" t="n"/>
      <c r="K11" s="6" t="n"/>
    </row>
    <row r="12">
      <c r="A12" s="6" t="inlineStr">
        <is>
          <t>Investment securities measured at FVOCI - Sub-Sovereign debt</t>
        </is>
      </c>
      <c r="B12" s="6" t="n">
        <v>489248</v>
      </c>
      <c r="C12" s="6" t="n">
        <v>377500</v>
      </c>
      <c r="D12" s="6" t="n">
        <v>370732</v>
      </c>
      <c r="E12" s="6" t="n">
        <v>352322</v>
      </c>
      <c r="F12" s="6" t="n">
        <v>514317</v>
      </c>
      <c r="G12" s="6" t="n">
        <v>388374</v>
      </c>
      <c r="H12" s="6" t="n">
        <v>296081</v>
      </c>
      <c r="I12" s="6" t="n">
        <v>0</v>
      </c>
      <c r="J12" s="6" t="n"/>
      <c r="K12" s="6" t="n"/>
    </row>
    <row r="13">
      <c r="A13" s="6" t="inlineStr">
        <is>
          <t>Investment securities measured at FVOCI - Supranational debt</t>
        </is>
      </c>
      <c r="B13" s="6" t="n">
        <v>277536</v>
      </c>
      <c r="C13" s="6" t="n">
        <v>355747</v>
      </c>
      <c r="D13" s="6" t="n">
        <v>374002</v>
      </c>
      <c r="E13" s="6" t="n">
        <v>1099825</v>
      </c>
      <c r="F13" s="6" t="n">
        <v>1325242</v>
      </c>
      <c r="G13" s="6" t="n">
        <v>1408616</v>
      </c>
      <c r="H13" s="6" t="n">
        <v>902515</v>
      </c>
      <c r="I13" s="6" t="n">
        <v>274388</v>
      </c>
      <c r="J13" s="6" t="n"/>
      <c r="K13" s="6" t="n"/>
    </row>
    <row r="14">
      <c r="A14" s="6" t="inlineStr">
        <is>
          <t>Investment securities measured at FVOCI - Non-Agency Residential Mortgage Backed Securities</t>
        </is>
      </c>
      <c r="B14" s="6" t="n">
        <v>35405</v>
      </c>
      <c r="C14" s="6" t="n">
        <v>45886</v>
      </c>
      <c r="D14" s="6" t="n">
        <v>44613</v>
      </c>
      <c r="E14" s="6" t="n">
        <v>17027</v>
      </c>
      <c r="F14" s="6" t="n"/>
      <c r="G14" s="6" t="n"/>
      <c r="H14" s="6" t="n"/>
      <c r="I14" s="6" t="n"/>
      <c r="J14" s="6" t="n"/>
      <c r="K14" s="6" t="n"/>
    </row>
    <row r="15">
      <c r="A15" s="6" t="inlineStr">
        <is>
          <t>Investment securities measured at FVOCI - Treasuries</t>
        </is>
      </c>
      <c r="B15" s="6" t="n"/>
      <c r="C15" s="6" t="n"/>
      <c r="D15" s="6" t="n"/>
      <c r="E15" s="6" t="n"/>
      <c r="F15" s="6" t="n"/>
      <c r="G15" s="6" t="n"/>
      <c r="H15" s="6" t="n">
        <v>0</v>
      </c>
      <c r="I15" s="6" t="n">
        <v>203965</v>
      </c>
      <c r="J15" s="6" t="n"/>
      <c r="K15" s="6" t="n"/>
    </row>
    <row r="16">
      <c r="A16" s="6" t="inlineStr">
        <is>
          <t>Investment securities measured at amortised cost - Supranational debt</t>
        </is>
      </c>
      <c r="B16" s="6" t="n">
        <v>0</v>
      </c>
      <c r="C16" s="6" t="n">
        <v>37487</v>
      </c>
      <c r="D16" s="6" t="n">
        <v>37460</v>
      </c>
      <c r="E16" s="6" t="n">
        <v>37433</v>
      </c>
      <c r="F16" s="6" t="n"/>
      <c r="G16" s="6" t="n"/>
      <c r="H16" s="6" t="n"/>
      <c r="I16" s="6" t="n"/>
      <c r="J16" s="6" t="n"/>
      <c r="K16" s="6" t="n"/>
    </row>
    <row r="17">
      <c r="A17" s="6" t="inlineStr">
        <is>
          <t>Investments in affiliates</t>
        </is>
      </c>
      <c r="B17" s="6" t="n">
        <v>118150</v>
      </c>
      <c r="C17" s="6" t="n">
        <v>127028</v>
      </c>
      <c r="D17" s="6" t="n">
        <v>181821</v>
      </c>
      <c r="E17" s="6" t="n">
        <v>188620</v>
      </c>
      <c r="F17" s="6" t="n">
        <v>174576</v>
      </c>
      <c r="G17" s="6" t="n">
        <v>173549</v>
      </c>
      <c r="H17" s="6" t="n">
        <v>177636</v>
      </c>
      <c r="I17" s="6" t="n">
        <v>181386</v>
      </c>
      <c r="J17" s="6" t="n">
        <v>171163</v>
      </c>
      <c r="K17" s="6" t="n">
        <v>182342</v>
      </c>
    </row>
    <row r="18">
      <c r="A18" s="6" t="inlineStr">
        <is>
          <t>Intangible assets</t>
        </is>
      </c>
      <c r="B18" s="6" t="n">
        <v>2909</v>
      </c>
      <c r="C18" s="6" t="n">
        <v>156</v>
      </c>
      <c r="D18" s="6" t="n">
        <v>209</v>
      </c>
      <c r="E18" s="6" t="n">
        <v>12</v>
      </c>
      <c r="F18" s="6" t="n"/>
      <c r="G18" s="6" t="n"/>
      <c r="H18" s="6" t="n">
        <v>0</v>
      </c>
      <c r="I18" s="6" t="n">
        <v>52</v>
      </c>
      <c r="J18" s="6" t="n">
        <v>12</v>
      </c>
      <c r="K18" s="6" t="n">
        <v>41</v>
      </c>
    </row>
    <row r="19">
      <c r="A19" s="6" t="inlineStr">
        <is>
          <t>Tangible fixed assets</t>
        </is>
      </c>
      <c r="B19" s="6" t="n">
        <v>31</v>
      </c>
      <c r="C19" s="6" t="n">
        <v>47</v>
      </c>
      <c r="D19" s="6" t="n">
        <v>65</v>
      </c>
      <c r="E19" s="6" t="n">
        <v>1</v>
      </c>
      <c r="F19" s="6" t="n">
        <v>1</v>
      </c>
      <c r="G19" s="6" t="n">
        <v>6</v>
      </c>
      <c r="H19" s="6" t="n">
        <v>26</v>
      </c>
      <c r="I19" s="6" t="n">
        <v>699</v>
      </c>
      <c r="J19" s="6" t="n">
        <v>272</v>
      </c>
      <c r="K19" s="6" t="n">
        <v>447</v>
      </c>
    </row>
    <row r="20">
      <c r="A20" s="6" t="inlineStr">
        <is>
          <t>Deferred tax asset</t>
        </is>
      </c>
      <c r="B20" s="6" t="n"/>
      <c r="C20" s="6" t="n">
        <v>8926</v>
      </c>
      <c r="D20" s="6" t="n">
        <v>15014</v>
      </c>
      <c r="E20" s="6" t="n">
        <v>26967</v>
      </c>
      <c r="F20" s="6" t="n">
        <v>2150</v>
      </c>
      <c r="G20" s="6" t="n"/>
      <c r="H20" s="6" t="n"/>
      <c r="I20" s="6" t="n"/>
      <c r="J20" s="6" t="n"/>
      <c r="K20" s="6" t="n"/>
    </row>
    <row r="21">
      <c r="A21" s="6" t="inlineStr">
        <is>
          <t>Prepayments and accrued income</t>
        </is>
      </c>
      <c r="B21" s="6" t="n">
        <v>65789</v>
      </c>
      <c r="C21" s="6" t="n">
        <v>58890</v>
      </c>
      <c r="D21" s="6" t="n">
        <v>58804</v>
      </c>
      <c r="E21" s="6" t="n">
        <v>44398</v>
      </c>
      <c r="F21" s="6" t="n">
        <v>27008</v>
      </c>
      <c r="G21" s="6" t="n">
        <v>26201</v>
      </c>
      <c r="H21" s="6" t="n">
        <v>29609</v>
      </c>
      <c r="I21" s="6" t="n">
        <v>37961</v>
      </c>
      <c r="J21" s="6" t="n">
        <v>17298</v>
      </c>
      <c r="K21" s="6" t="n">
        <v>22717</v>
      </c>
    </row>
    <row r="22">
      <c r="A22" s="6" t="inlineStr">
        <is>
          <t>Other assets</t>
        </is>
      </c>
      <c r="B22" s="6" t="n">
        <v>29188</v>
      </c>
      <c r="C22" s="6" t="n">
        <v>65384</v>
      </c>
      <c r="D22" s="6" t="n">
        <v>33543</v>
      </c>
      <c r="E22" s="6" t="n">
        <v>22380</v>
      </c>
      <c r="F22" s="6" t="n">
        <v>32358</v>
      </c>
      <c r="G22" s="6" t="n">
        <v>29641</v>
      </c>
      <c r="H22" s="6" t="n">
        <v>48106</v>
      </c>
      <c r="I22" s="6" t="n">
        <v>57423</v>
      </c>
      <c r="J22" s="6" t="n">
        <v>71471</v>
      </c>
      <c r="K22" s="6" t="n">
        <v>83780</v>
      </c>
    </row>
    <row r="23">
      <c r="A23" s="5" t="inlineStr">
        <is>
          <t>Total assets</t>
        </is>
      </c>
      <c r="B23" s="5" t="n">
        <v>7918773</v>
      </c>
      <c r="C23" s="5" t="n">
        <v>8007771</v>
      </c>
      <c r="D23" s="5" t="n">
        <v>8896652</v>
      </c>
      <c r="E23" s="5" t="n">
        <v>11702044</v>
      </c>
      <c r="F23" s="5" t="n">
        <v>11227068</v>
      </c>
      <c r="G23" s="5" t="n">
        <v>10315540</v>
      </c>
      <c r="H23" s="5" t="n">
        <v>9761980</v>
      </c>
      <c r="I23" s="5" t="n">
        <v>12388368</v>
      </c>
      <c r="J23" s="5" t="n">
        <v>10117220</v>
      </c>
      <c r="K23" s="5" t="n">
        <v>6908403</v>
      </c>
    </row>
    <row r="24">
      <c r="A24" s="5" t="inlineStr">
        <is>
          <t>Liabilities</t>
        </is>
      </c>
      <c r="B24" s="6" t="n"/>
      <c r="C24" s="6" t="n"/>
      <c r="D24" s="6" t="n"/>
      <c r="E24" s="6" t="n"/>
      <c r="F24" s="6" t="n"/>
      <c r="G24" s="6" t="n"/>
      <c r="H24" s="6" t="n"/>
      <c r="I24" s="6" t="n"/>
      <c r="J24" s="6" t="n"/>
      <c r="K24" s="6" t="n"/>
    </row>
    <row r="25">
      <c r="A25" s="6" t="inlineStr">
        <is>
          <t>Deposits by banks</t>
        </is>
      </c>
      <c r="B25" s="6" t="n">
        <v>2240411</v>
      </c>
      <c r="C25" s="6" t="n">
        <v>2575276</v>
      </c>
      <c r="D25" s="6" t="n">
        <v>3297200</v>
      </c>
      <c r="E25" s="6" t="n">
        <v>4164947</v>
      </c>
      <c r="F25" s="6" t="n">
        <v>3152969</v>
      </c>
      <c r="G25" s="6" t="n">
        <v>2373955</v>
      </c>
      <c r="H25" s="6" t="n">
        <v>1589018</v>
      </c>
      <c r="I25" s="6" t="n">
        <v>1767652</v>
      </c>
      <c r="J25" s="6" t="n">
        <v>2017767</v>
      </c>
      <c r="K25" s="6" t="n">
        <v>1617285</v>
      </c>
    </row>
    <row r="26">
      <c r="A26" s="6" t="inlineStr">
        <is>
          <t>Customer accounts</t>
        </is>
      </c>
      <c r="B26" s="6" t="n">
        <v>4303354</v>
      </c>
      <c r="C26" s="6" t="n">
        <v>4316535</v>
      </c>
      <c r="D26" s="6" t="n">
        <v>4583519</v>
      </c>
      <c r="E26" s="6" t="n">
        <v>6631188</v>
      </c>
      <c r="F26" s="6" t="n">
        <v>7137353</v>
      </c>
      <c r="G26" s="6" t="n">
        <v>7004361</v>
      </c>
      <c r="H26" s="6" t="n">
        <v>7265408</v>
      </c>
      <c r="I26" s="6" t="n">
        <v>9685207</v>
      </c>
      <c r="J26" s="6" t="n">
        <v>7459508</v>
      </c>
      <c r="K26" s="6" t="n">
        <v>4656755</v>
      </c>
    </row>
    <row r="27">
      <c r="A27" s="6" t="inlineStr">
        <is>
          <t>Loan due to fellow group undertakings</t>
        </is>
      </c>
      <c r="B27" s="6" t="n">
        <v>118897</v>
      </c>
      <c r="C27" s="6" t="n"/>
      <c r="D27" s="6" t="n"/>
      <c r="E27" s="6" t="n"/>
      <c r="F27" s="6" t="n"/>
      <c r="G27" s="6" t="n"/>
      <c r="H27" s="6" t="n"/>
      <c r="I27" s="6" t="n"/>
      <c r="J27" s="6" t="n"/>
      <c r="K27" s="6" t="n"/>
    </row>
    <row r="28">
      <c r="A28" s="6" t="inlineStr">
        <is>
          <t>Subordinated loan due to fellow Group undertaking</t>
        </is>
      </c>
      <c r="B28" s="6" t="n"/>
      <c r="C28" s="6" t="n"/>
      <c r="D28" s="6" t="n"/>
      <c r="E28" s="6" t="n"/>
      <c r="F28" s="6" t="n"/>
      <c r="G28" s="6" t="n"/>
      <c r="H28" s="6" t="n">
        <v>75000</v>
      </c>
      <c r="I28" s="6" t="n">
        <v>75000</v>
      </c>
      <c r="J28" s="6" t="n">
        <v>75000</v>
      </c>
      <c r="K28" s="6" t="n">
        <v>75000</v>
      </c>
    </row>
    <row r="29">
      <c r="A29" s="6" t="inlineStr">
        <is>
          <t>Other liabilities</t>
        </is>
      </c>
      <c r="B29" s="6" t="n">
        <v>31960</v>
      </c>
      <c r="C29" s="6" t="n">
        <v>20810</v>
      </c>
      <c r="D29" s="6" t="n">
        <v>30819</v>
      </c>
      <c r="E29" s="6" t="n">
        <v>28159</v>
      </c>
      <c r="F29" s="6" t="n">
        <v>50260</v>
      </c>
      <c r="G29" s="6" t="n">
        <v>56983</v>
      </c>
      <c r="H29" s="6" t="n">
        <v>40143</v>
      </c>
      <c r="I29" s="6" t="n">
        <v>106978</v>
      </c>
      <c r="J29" s="6" t="n">
        <v>33326</v>
      </c>
      <c r="K29" s="6" t="n">
        <v>37129</v>
      </c>
    </row>
    <row r="30">
      <c r="A30" s="6" t="inlineStr">
        <is>
          <t>Deferred tax liabilities</t>
        </is>
      </c>
      <c r="B30" s="6" t="n">
        <v>288</v>
      </c>
      <c r="C30" s="6" t="n">
        <v>0</v>
      </c>
      <c r="D30" s="6" t="n"/>
      <c r="E30" s="6" t="n"/>
      <c r="F30" s="6" t="n">
        <v>0</v>
      </c>
      <c r="G30" s="6" t="n">
        <v>7727</v>
      </c>
      <c r="H30" s="6" t="n"/>
      <c r="I30" s="6" t="n"/>
      <c r="J30" s="6" t="n"/>
      <c r="K30" s="6" t="n"/>
    </row>
    <row r="31">
      <c r="A31" s="6" t="inlineStr">
        <is>
          <t>Accruals and deferred income</t>
        </is>
      </c>
      <c r="B31" s="6" t="n">
        <v>7166</v>
      </c>
      <c r="C31" s="6" t="n">
        <v>6077</v>
      </c>
      <c r="D31" s="6" t="n">
        <v>26455</v>
      </c>
      <c r="E31" s="6" t="n">
        <v>9641</v>
      </c>
      <c r="F31" s="6" t="n">
        <v>4080</v>
      </c>
      <c r="G31" s="6" t="n">
        <v>5828</v>
      </c>
      <c r="H31" s="6" t="n">
        <v>5185</v>
      </c>
      <c r="I31" s="6" t="n">
        <v>6052</v>
      </c>
      <c r="J31" s="6" t="n">
        <v>6961</v>
      </c>
      <c r="K31" s="6" t="n">
        <v>6811</v>
      </c>
    </row>
    <row r="32">
      <c r="A32" s="6" t="inlineStr">
        <is>
          <t>Provisions</t>
        </is>
      </c>
      <c r="B32" s="6" t="n">
        <v>1656</v>
      </c>
      <c r="C32" s="6" t="n">
        <v>4312</v>
      </c>
      <c r="D32" s="6" t="n">
        <v>4606</v>
      </c>
      <c r="E32" s="6" t="n">
        <v>4753</v>
      </c>
      <c r="F32" s="6" t="n">
        <v>4226</v>
      </c>
      <c r="G32" s="6" t="n">
        <v>7579</v>
      </c>
      <c r="H32" s="6" t="n"/>
      <c r="I32" s="6" t="n">
        <v>0</v>
      </c>
      <c r="J32" s="6" t="n">
        <v>70</v>
      </c>
      <c r="K32" s="6" t="n">
        <v>3753</v>
      </c>
    </row>
    <row r="33">
      <c r="A33" s="5" t="inlineStr">
        <is>
          <t>Total liabilities</t>
        </is>
      </c>
      <c r="B33" s="5" t="n">
        <v>6703732</v>
      </c>
      <c r="C33" s="5" t="n">
        <v>6923010</v>
      </c>
      <c r="D33" s="5" t="n">
        <v>7942599</v>
      </c>
      <c r="E33" s="5" t="n">
        <v>10838688</v>
      </c>
      <c r="F33" s="5" t="n">
        <v>10348888</v>
      </c>
      <c r="G33" s="5" t="n">
        <v>9456433</v>
      </c>
      <c r="H33" s="5" t="n">
        <v>8974754</v>
      </c>
      <c r="I33" s="5" t="n">
        <v>11640889</v>
      </c>
      <c r="J33" s="5" t="n">
        <v>9592632</v>
      </c>
      <c r="K33" s="5" t="n">
        <v>6396733</v>
      </c>
    </row>
    <row r="34">
      <c r="A34" s="5" t="inlineStr">
        <is>
          <t>Capital and reserves</t>
        </is>
      </c>
      <c r="B34" s="6" t="n"/>
      <c r="C34" s="6" t="n"/>
      <c r="D34" s="6" t="n"/>
      <c r="E34" s="6" t="n"/>
      <c r="F34" s="6" t="n"/>
      <c r="G34" s="6" t="n"/>
      <c r="H34" s="6" t="n"/>
      <c r="I34" s="6" t="n"/>
      <c r="J34" s="6" t="n"/>
      <c r="K34" s="6" t="n"/>
    </row>
    <row r="35">
      <c r="A35" s="6" t="inlineStr">
        <is>
          <t>Called up share capital</t>
        </is>
      </c>
      <c r="B35" s="6" t="n">
        <v>519695</v>
      </c>
      <c r="C35" s="6" t="n">
        <v>519695</v>
      </c>
      <c r="D35" s="6" t="n">
        <v>519695</v>
      </c>
      <c r="E35" s="6" t="n">
        <v>519695</v>
      </c>
      <c r="F35" s="6" t="n">
        <v>519695</v>
      </c>
      <c r="G35" s="6" t="n">
        <v>519695</v>
      </c>
      <c r="H35" s="6" t="n">
        <v>519695</v>
      </c>
      <c r="I35" s="6" t="n">
        <v>519695</v>
      </c>
      <c r="J35" s="6" t="n">
        <v>519695</v>
      </c>
      <c r="K35" s="6" t="n">
        <v>519695</v>
      </c>
    </row>
    <row r="36">
      <c r="A36" s="6" t="inlineStr">
        <is>
          <t>Fair value reserve</t>
        </is>
      </c>
      <c r="B36" s="6" t="n">
        <v>1758</v>
      </c>
      <c r="C36" s="6" t="n">
        <v>-21742</v>
      </c>
      <c r="D36" s="6" t="n">
        <v>-37213</v>
      </c>
      <c r="E36" s="6" t="n">
        <v>-67625</v>
      </c>
      <c r="F36" s="6" t="n">
        <v>-2488</v>
      </c>
      <c r="G36" s="6" t="n">
        <v>23365</v>
      </c>
      <c r="H36" s="6" t="n">
        <v>1352</v>
      </c>
      <c r="I36" s="6" t="n">
        <v>-5401</v>
      </c>
      <c r="J36" s="6" t="n"/>
      <c r="K36" s="6" t="n"/>
    </row>
    <row r="37">
      <c r="A37" s="6" t="inlineStr">
        <is>
          <t>Other reserves</t>
        </is>
      </c>
      <c r="B37" s="6" t="n">
        <v>7139</v>
      </c>
      <c r="C37" s="6" t="n">
        <v>7139</v>
      </c>
      <c r="D37" s="6" t="n">
        <v>7139</v>
      </c>
      <c r="E37" s="6" t="n">
        <v>7139</v>
      </c>
      <c r="F37" s="6" t="n">
        <v>7150</v>
      </c>
      <c r="G37" s="6" t="n">
        <v>7276</v>
      </c>
      <c r="H37" s="6" t="n">
        <v>7359</v>
      </c>
      <c r="I37" s="6" t="n">
        <v>7352</v>
      </c>
      <c r="J37" s="6" t="n">
        <v>3645</v>
      </c>
      <c r="K37" s="6" t="n">
        <v>7206</v>
      </c>
    </row>
    <row r="38">
      <c r="A38" s="6" t="inlineStr">
        <is>
          <t>Profit and loss account</t>
        </is>
      </c>
      <c r="B38" s="6" t="n">
        <v>686449</v>
      </c>
      <c r="C38" s="6" t="n">
        <v>579669</v>
      </c>
      <c r="D38" s="6" t="n">
        <v>464432</v>
      </c>
      <c r="E38" s="6" t="n">
        <v>404147</v>
      </c>
      <c r="F38" s="6" t="n">
        <v>353823</v>
      </c>
      <c r="G38" s="6" t="n">
        <v>308771</v>
      </c>
      <c r="H38" s="6" t="n">
        <v>258820</v>
      </c>
      <c r="I38" s="6" t="n">
        <v>225833</v>
      </c>
      <c r="J38" s="6" t="n">
        <v>1248</v>
      </c>
      <c r="K38" s="6" t="n">
        <v>-15231</v>
      </c>
    </row>
    <row r="39">
      <c r="A39" s="5" t="inlineStr">
        <is>
          <t>Shareholder's funds</t>
        </is>
      </c>
      <c r="B39" s="5" t="n">
        <v>1215041</v>
      </c>
      <c r="C39" s="5" t="n">
        <v>1084761</v>
      </c>
      <c r="D39" s="5" t="n">
        <v>954053</v>
      </c>
      <c r="E39" s="5" t="n">
        <v>863356</v>
      </c>
      <c r="F39" s="5" t="n">
        <v>878180</v>
      </c>
      <c r="G39" s="5" t="n">
        <v>859107</v>
      </c>
      <c r="H39" s="5" t="n">
        <v>787226</v>
      </c>
      <c r="I39" s="5" t="n">
        <v>747479</v>
      </c>
      <c r="J39" s="5" t="n">
        <v>524588</v>
      </c>
      <c r="K39" s="5" t="n">
        <v>511670</v>
      </c>
    </row>
    <row r="40">
      <c r="A40" s="5" t="inlineStr">
        <is>
          <t>Total liabilities and shareholder's funds</t>
        </is>
      </c>
      <c r="B40" s="5" t="n">
        <v>7918773</v>
      </c>
      <c r="C40" s="5" t="n">
        <v>8007771</v>
      </c>
      <c r="D40" s="5" t="n">
        <v>8896652</v>
      </c>
      <c r="E40" s="5" t="n">
        <v>11702044</v>
      </c>
      <c r="F40" s="5" t="n">
        <v>11227068</v>
      </c>
      <c r="G40" s="5" t="n">
        <v>10315540</v>
      </c>
      <c r="H40" s="5" t="n">
        <v>9761980</v>
      </c>
      <c r="I40" s="5" t="n">
        <v>12388368</v>
      </c>
      <c r="J40" s="5" t="n">
        <v>10117220</v>
      </c>
      <c r="K40" s="5" t="n">
        <v>6908403</v>
      </c>
    </row>
    <row r="42" ht="409" customHeight="1">
      <c r="A42" s="8" t="inlineStr">
        <is>
          <t>Sources - The Bank of New York Mellon (International) Limited's own audited financial statements (all Companies House filings FY2016-FY2021 are scanned/image-only, visually transcribed; FY2016-FY2020 sourced for HD-025):
FY2025/FY2024: Financial Statements, year ended 31 December 2025, Statement of profit and loss p.25, Statement of comprehensive income p.26, Balance sheet p.27, Statement of changes in equity p.28 - https://www.bnymellon.com/content/dam/bnymellon/documents/pdf/investor-relations/Signed-2025-BNYMIL-Financial-Statements.pdf
FY2023/FY2022: Financial Statements, year ended 31 December 2023, Statement of profit and loss p.37, Other comprehensive income p.38, Balance sheet p.39, Statement of changes in equity p.40 - https://www.bnymellon.com/content/dam/bnymellon/documents/pdf/investor-relations/bnymil-financial-statement-2023.pdf
FY2021 (and FY2020 comparative used for the opening equity roll-forward): Financial Statements, year ended 31 December 2021, Statement of profit and loss p.35, Other comprehensive income p.36, Balance sheet p.37, Statement of changes in equity p.38 - Companies House filing, 28 April 2022 - https://find-and-update.company-information.service.gov.uk/company/03236121/filing-history/MzMzNzcwMzgzM2FkaXF6a2N4/document?format=pdf&amp;download=0
FY2020 (own year): Financial Statements, year ended 31 December 2020, Statement of profit and loss p.30, Other comprehensive income p.31, Balance sheet p.32, Statement of changes in equity p.33 - Companies House filing, 22 April 2021 - https://find-and-update.company-information.service.gov.uk/company/03236121/filing-history/MzI5OTc0NjM1MGFkaXF6a2N4/document?format=pdf&amp;download=0
FY2019: Financial Statements, year ended 31 December 2019, Statement of profit and loss p.26, Other comprehensive income p.27, Balance sheet p.28, Statement of changes in equity p.29 - Companies House filing, 21 April 2020 - https://find-and-update.company-information.service.gov.uk/company/03236121/filing-history/MzI2Mzk0NzI2OWFkaXF6a2N4/document?format=pdf&amp;download=0
FY2018: Financial Statements, year ended 31 December 2018, Statement of profit and loss p.19, Other comprehensive income p.20, Balance sheet p.21, Statement of changes in equity p.22 - Companies House filing, 17 April 2019 - https://find-and-update.company-information.service.gov.uk/company/03236121/filing-history/MzIzNzIyMzk4NmFkaXF6a2N4/document?format=pdf&amp;download=0
FY2017: Financial Statements, year ended 31 December 2017, Statement of profit and loss p.17, Other comprehensive income p.18, Balance sheet p.19, Statement of changes in equity p.20 - Companies House filing, 17 April 2018 - https://find-and-update.company-information.service.gov.uk/company/03236121/filing-history/MzIwMzQ1MjI5OWFkaXF6a2N4/document?format=pdf&amp;download=0
FY2016: Financial Statements, year ended 31 December 2016, Statement of profit and loss p.15, Other comprehensive income p.16, Balance sheet p.17, Statement of changes in equity p.18 - Companies House filing, 19 April 2017 - https://find-and-update.company-information.service.gov.uk/company/03236121/filing-history/MzE3NTQ0NTUzNGFkaXF6a2N4/document?format=pdf&amp;download=0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
PRESENTATION NOTE: this entity's statement structure changed twice across the 5 years shown. (1) Income statement: FY2021-FY2023 place 'Income from investments in affiliates' before a combined 'Total income' subtotal; FY2024-FY2025 instead show a narrower 'Total operating income' (excluding investments-in-affiliates income) and add investments-in-affiliates income only after 'Total operating expenses', immediately before 'Profit before taxation' - both years' own reported total is shown on the 'Total operating income / Total income' row below, not reconciled to a common basis. FY2024 also separately discloses 'Amounts written off investments in affiliates' (£57,148k), a line that doesn't exist in the other 4 years. (2) Other comprehensive income: FY2021-FY2023 split the FVOCI movement into 'Movement in financial assets measured at FVOCI' and a separate 'Change in ECL on financial assets measured at FVOCI' line; FY2024-FY2025 combine both into a single 'Net movement in financial instruments measured at FVOCI' line - shown on the FVOCI-movement row with the ECL row left blank those 2 years, not split arbitrarily. (3) Balance sheet: FY2021's own statement uses the label 'Cash in hand and on demand balances at central banks' (relabelled 'Cash and balances at central banks' from FY2022 onward - same line) and has no separate Intangible assets line (first appears FY2022); 'Deferred tax asset'/'Deferred tax liabilities' appear as explicit lines (value or nil) only in the years the Company had a recognised balance or an adjacent-year comparative required it - blank cells mean the year's own statement has no such line at all, not that the value is unknown. 'Loan due to fellow group undertakings' is a FY2025-only line (a new, discrete intercompany funding arrangement that year).</t>
        </is>
      </c>
    </row>
    <row r="44" ht="409" customHeight="1">
      <c r="A44" s="8" t="inlineStr">
        <is>
          <t>(continued)
PRE-2021 STRUCTURAL NOTES (added for the HD-025 FY2016-FY2020 extension): (4) FY2016-FY2019 carry a 'Subordinated loan due to fellow Group undertaking' liability line (£75,000k, constant) that FY2020 onward does not - the loan was redeemed during FY2020 (confirmed via the FY2020 KM1 Pillar 3 table showing Tier 2 capital fall to nil that year), a real capital-structure event, not a gap. (5) The balance sheet line labelled 'Investment securities' from FY2018 onward is labelled 'Financial instruments - available-for-sale' in FY2016-FY2017 (pre-IFRS 9; same underlying line, relabelled on the FVOCI transition, consistent with the P&amp;L's AFS-&gt;FVOCI relabelling on the Profit &amp; Loss sheet). (6) The 'Investments in affiliates' line is labelled simply 'Investments' in FY2016-FY2017 - same continuous ~£171-182m holding across all 5 years, relabelled FY2018 onward, not a new asset. (7) 'Provisions for liabilities and commitments' appears as a balance-sheet line every year FY2016-FY2020 except FY2019 (nil/no line that year); it reappears FY2020 (£7,579k, a new provision raised that year). (8) The Statement of Changes in Equity's 'Fair value reserve' column does not exist as a separately-disclosed component in FY2016 or in FY2017's own originally-published statement (both years' fair-value movements are folded into a single combined 'Other reserves' column) - the split first appears in the FY2018 Annual Report's own restated FY2017 comparative column. This workbook keeps FY2016 and FY2017 on their own originally-published combined-column basis (Fair value reserve left blank, the full movement sitting in Other reserves) and shows the FY2018 report's split as an explicit reclassification bridging row between the FY2017 and FY2018 columns on the Statement of Changes in Equity sheet, per this project's convention of not silently restating an earlier year's own figures. (9) The FY2018 IFRS 9 transition (1 January 2018) had a genuine NIL adjustment to opening equity - the FY2018 statement's own 'Restated balance at 1 January 2018' row is identical to the FY2017 closing balance, confirmed directly in the source rather than assumed.
INVESTMENT SECURITIES BREAKDOWN NOTE: 'Total investment securities' is broken down below by measurement basis (FVOCI vs amortised cost) and by issuer type, sourced from the Company's own Note 17/18/13 'Investment securities' (numbering varies by year) in the same financial statements cited above for the Balance Sheet - the sub-rows reconcile exactly to the total in every year:
FY2025/FY2024: Note 17 'Investment securities', pp.61-62 - https://www.bnymellon.com/content/dam/bnymellon/documents/pdf/investor-relations/Signed-2025-BNYMIL-Financial-Statements.pdf
FY2023/FY2022: Note 17 'Investment securities', pp.76-77 - https://www.bnymellon.com/content/dam/bnymellon/documents/pdf/investor-relations/bnymil-financial-statement-2023.pdf
FY2021/FY2020: Note 17 'Investment securities', p.74 - Companies House filing, 28 April 2022 (scanned/image-only, OCR'd) - https://find-and-update.company-information.service.gov.uk/company/03236121/filing-history/MzMzNzcwMzgzM2FkaXF6a2N4/document?format=pdf&amp;download=0
FY2019/FY2018: Note 18 'Investment securities', p.63 - Companies House filing, 21 April 2020 (scanned/image-only, OCR'd) - https://find-and-update.company-information.service.gov.uk/company/03236121/filing-history/MzI2Mzk0NzI2OWFkaXF6a2N4/document?format=pdf&amp;download=0
FY2017/FY2016: Note 13 'Financial instruments - available-for-sale', p.51 - Companies House filing, 17 April 2018 (scanned/image-only, OCR'd) - https://find-and-update.company-information.service.gov.uk/company/03236121/filing-history/MzIwMzQ1MjI5OWFkaXF6a2N4/document?format=pdf&amp;download=0
FY2025-FY2018 all disclose a genuine multi-category issuer-type split (Covered bonds, Government guaranteed, Sovereign debt, Sub-Sovereign debt, Supranational debt, plus Non-Agency Residential Mortgage Backed Securities FY2025-FY2022 only and Treasuries FY2018 only) within the FVOCI leg, and a small residual Supranational-debt amortised-cost leg FY2024-FY2022 (nil FY2025). FY2017-FY2016 (pre-IFRS 9, 'Financial instruments - available-for-sale') disclose no further split at all - the Company's own note shows the entire balance as a single line, 'Debt instruments issued by central governments', i.e. 100% sovereign/government debt those 2 years - reproduced on the Sovereign debt sub-row above rather than fabricating a finer split that the source doesn't carry. Blank cells on a sub-row mean that year's own note has no such category at all, not that the value is unknown; a 0 means the note explicitly shows a nil/dash for that category that year.</t>
        </is>
      </c>
    </row>
  </sheetData>
  <mergeCells count="2">
    <mergeCell ref="A44:K44"/>
    <mergeCell ref="A42:K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Profit &amp; Loss</t>
        </is>
      </c>
    </row>
    <row r="2">
      <c r="A2" s="2" t="inlineStr">
        <is>
          <t>Entity-level basis, £'000s.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c r="H3" s="4" t="inlineStr">
        <is>
          <t>FY2019 (£'000s)</t>
        </is>
      </c>
      <c r="I3" s="4" t="inlineStr">
        <is>
          <t>FY2018 (£'000s)</t>
        </is>
      </c>
      <c r="J3" s="4" t="inlineStr">
        <is>
          <t>FY2017 (£'000s)</t>
        </is>
      </c>
      <c r="K3" s="4" t="inlineStr">
        <is>
          <t>FY2016 (£'000s)</t>
        </is>
      </c>
    </row>
    <row r="4">
      <c r="A4" s="5" t="inlineStr">
        <is>
          <t>Income</t>
        </is>
      </c>
      <c r="B4" s="6" t="n"/>
      <c r="C4" s="6" t="n"/>
      <c r="D4" s="6" t="n"/>
      <c r="E4" s="6" t="n"/>
      <c r="F4" s="6" t="n"/>
      <c r="G4" s="6" t="n"/>
      <c r="H4" s="6" t="n"/>
      <c r="I4" s="6" t="n"/>
      <c r="J4" s="6" t="n"/>
      <c r="K4" s="6" t="n"/>
    </row>
    <row r="5">
      <c r="A5" s="6" t="inlineStr">
        <is>
          <t>Interest receivable and similar income</t>
        </is>
      </c>
      <c r="B5" s="6" t="n">
        <v>292194</v>
      </c>
      <c r="C5" s="6" t="n">
        <v>367509</v>
      </c>
      <c r="D5" s="6" t="n">
        <v>368769</v>
      </c>
      <c r="E5" s="6" t="n">
        <v>163522</v>
      </c>
      <c r="F5" s="6" t="n">
        <v>34976</v>
      </c>
      <c r="G5" s="6" t="n">
        <v>52419</v>
      </c>
      <c r="H5" s="6" t="n">
        <v>107473</v>
      </c>
      <c r="I5" s="6" t="n">
        <v>113871</v>
      </c>
      <c r="J5" s="6" t="n">
        <v>37955</v>
      </c>
      <c r="K5" s="6" t="n">
        <v>16696</v>
      </c>
    </row>
    <row r="6">
      <c r="A6" s="6" t="inlineStr">
        <is>
          <t>Interest payable and similar charges</t>
        </is>
      </c>
      <c r="B6" s="6" t="n">
        <v>-197224</v>
      </c>
      <c r="C6" s="6" t="n">
        <v>-273351</v>
      </c>
      <c r="D6" s="6" t="n">
        <v>-269549</v>
      </c>
      <c r="E6" s="6" t="n">
        <v>-92414</v>
      </c>
      <c r="F6" s="6" t="n">
        <v>-5231</v>
      </c>
      <c r="G6" s="6" t="n">
        <v>-15533</v>
      </c>
      <c r="H6" s="6" t="n">
        <v>-57537</v>
      </c>
      <c r="I6" s="6" t="n">
        <v>-64622</v>
      </c>
      <c r="J6" s="6" t="n">
        <v>-27213</v>
      </c>
      <c r="K6" s="6" t="n">
        <v>-11420</v>
      </c>
    </row>
    <row r="7">
      <c r="A7" s="5" t="inlineStr">
        <is>
          <t>Net interest income</t>
        </is>
      </c>
      <c r="B7" s="5" t="n">
        <v>94970</v>
      </c>
      <c r="C7" s="5" t="n">
        <v>94158</v>
      </c>
      <c r="D7" s="5" t="n">
        <v>99220</v>
      </c>
      <c r="E7" s="5" t="n">
        <v>71108</v>
      </c>
      <c r="F7" s="5" t="n">
        <v>29745</v>
      </c>
      <c r="G7" s="5" t="n">
        <v>36886</v>
      </c>
      <c r="H7" s="5" t="n">
        <v>49936</v>
      </c>
      <c r="I7" s="5" t="n">
        <v>49249</v>
      </c>
      <c r="J7" s="5" t="n">
        <v>10742</v>
      </c>
      <c r="K7" s="5" t="n">
        <v>5276</v>
      </c>
    </row>
    <row r="8">
      <c r="A8" s="6" t="inlineStr">
        <is>
          <t>Fees and commissions receivable</t>
        </is>
      </c>
      <c r="B8" s="6" t="n">
        <v>145423</v>
      </c>
      <c r="C8" s="6" t="n">
        <v>147547</v>
      </c>
      <c r="D8" s="6" t="n">
        <v>139362</v>
      </c>
      <c r="E8" s="6" t="n">
        <v>133709</v>
      </c>
      <c r="F8" s="6" t="n">
        <v>140708</v>
      </c>
      <c r="G8" s="6" t="n">
        <v>125554</v>
      </c>
      <c r="H8" s="6" t="n">
        <v>126733</v>
      </c>
      <c r="I8" s="6" t="n">
        <v>166234</v>
      </c>
      <c r="J8" s="6" t="n">
        <v>131014</v>
      </c>
      <c r="K8" s="6" t="n">
        <v>130885</v>
      </c>
    </row>
    <row r="9">
      <c r="A9" s="6" t="inlineStr">
        <is>
          <t>Net foreign exchange translation gain/(loss)</t>
        </is>
      </c>
      <c r="B9" s="6" t="n">
        <v>74</v>
      </c>
      <c r="C9" s="6" t="n">
        <v>-315</v>
      </c>
      <c r="D9" s="6" t="n">
        <v>-337</v>
      </c>
      <c r="E9" s="6" t="n">
        <v>-1268</v>
      </c>
      <c r="F9" s="6" t="n">
        <v>-468</v>
      </c>
      <c r="G9" s="6" t="n">
        <v>428</v>
      </c>
      <c r="H9" s="6" t="n">
        <v>-88</v>
      </c>
      <c r="I9" s="6" t="n">
        <v>81</v>
      </c>
      <c r="J9" s="6" t="n">
        <v>-159</v>
      </c>
      <c r="K9" s="6" t="n">
        <v>-660</v>
      </c>
    </row>
    <row r="10">
      <c r="A10" s="6" t="inlineStr">
        <is>
          <t>Other operating income</t>
        </is>
      </c>
      <c r="B10" s="6" t="n">
        <v>8154</v>
      </c>
      <c r="C10" s="6" t="n">
        <v>6088</v>
      </c>
      <c r="D10" s="6" t="n">
        <v>10802</v>
      </c>
      <c r="E10" s="6" t="n">
        <v>14993</v>
      </c>
      <c r="F10" s="6" t="n">
        <v>11998</v>
      </c>
      <c r="G10" s="6" t="n">
        <v>14479</v>
      </c>
      <c r="H10" s="6" t="n">
        <v>9803</v>
      </c>
      <c r="I10" s="6" t="n">
        <v>11766</v>
      </c>
      <c r="J10" s="6" t="n">
        <v>30462</v>
      </c>
      <c r="K10" s="6" t="n">
        <v>32660</v>
      </c>
    </row>
    <row r="11">
      <c r="A11" s="5" t="inlineStr">
        <is>
          <t>Non-interest income</t>
        </is>
      </c>
      <c r="B11" s="5" t="n">
        <v>153651</v>
      </c>
      <c r="C11" s="5" t="n">
        <v>153320</v>
      </c>
      <c r="D11" s="5" t="n">
        <v>149827</v>
      </c>
      <c r="E11" s="5" t="n">
        <v>147434</v>
      </c>
      <c r="F11" s="5" t="n">
        <v>152238</v>
      </c>
      <c r="G11" s="5" t="n">
        <v>140461</v>
      </c>
      <c r="H11" s="5" t="n">
        <v>136448</v>
      </c>
      <c r="I11" s="5" t="n">
        <v>178081</v>
      </c>
      <c r="J11" s="5" t="n">
        <v>161317</v>
      </c>
      <c r="K11" s="5" t="n">
        <v>162885</v>
      </c>
    </row>
    <row r="12">
      <c r="A12" s="5" t="inlineStr">
        <is>
          <t>Total operating income (FY2024-25 basis, excl. investments-in-affiliates income)</t>
        </is>
      </c>
      <c r="B12" s="5" t="n">
        <v>248621</v>
      </c>
      <c r="C12" s="5" t="n">
        <v>247478</v>
      </c>
      <c r="D12" s="5" t="n"/>
      <c r="E12" s="5" t="n"/>
      <c r="F12" s="5" t="n"/>
      <c r="G12" s="5" t="n"/>
      <c r="H12" s="5" t="n"/>
      <c r="I12" s="5" t="n"/>
      <c r="J12" s="5" t="n"/>
      <c r="K12" s="5" t="n"/>
    </row>
    <row r="13">
      <c r="A13" s="5" t="inlineStr">
        <is>
          <t>Total income (FY2016-23 basis, incl. investments-in-affiliates income where disclosed)</t>
        </is>
      </c>
      <c r="B13" s="5" t="n"/>
      <c r="C13" s="5" t="n"/>
      <c r="D13" s="5" t="n">
        <v>266563</v>
      </c>
      <c r="E13" s="5" t="n">
        <v>240697</v>
      </c>
      <c r="F13" s="5" t="n">
        <v>210480</v>
      </c>
      <c r="G13" s="5" t="n">
        <v>206619</v>
      </c>
      <c r="H13" s="5" t="n">
        <v>200573</v>
      </c>
      <c r="I13" s="5" t="n">
        <v>421016</v>
      </c>
      <c r="J13" s="5" t="n">
        <v>172059</v>
      </c>
      <c r="K13" s="5" t="n">
        <v>168161</v>
      </c>
    </row>
    <row r="14">
      <c r="A14" s="5" t="inlineStr">
        <is>
          <t>Expenses</t>
        </is>
      </c>
      <c r="B14" s="6" t="n"/>
      <c r="C14" s="6" t="n"/>
      <c r="D14" s="6" t="n"/>
      <c r="E14" s="6" t="n"/>
      <c r="F14" s="6" t="n"/>
      <c r="G14" s="6" t="n"/>
      <c r="H14" s="6" t="n"/>
      <c r="I14" s="6" t="n"/>
      <c r="J14" s="6" t="n"/>
      <c r="K14" s="6" t="n"/>
    </row>
    <row r="15">
      <c r="A15" s="6" t="inlineStr">
        <is>
          <t>Administration/administrative expenses</t>
        </is>
      </c>
      <c r="B15" s="6" t="n">
        <v>-141192</v>
      </c>
      <c r="C15" s="6" t="n">
        <v>-156924</v>
      </c>
      <c r="D15" s="6" t="n">
        <v>-167758</v>
      </c>
      <c r="E15" s="6" t="n">
        <v>-171390</v>
      </c>
      <c r="F15" s="6" t="n">
        <v>-155502</v>
      </c>
      <c r="G15" s="6" t="n">
        <v>-143551</v>
      </c>
      <c r="H15" s="6" t="n">
        <v>-145271</v>
      </c>
      <c r="I15" s="6" t="n">
        <v>-176615</v>
      </c>
      <c r="J15" s="6" t="n">
        <v>-149999</v>
      </c>
      <c r="K15" s="6" t="n">
        <v>-165422</v>
      </c>
    </row>
    <row r="16">
      <c r="A16" s="6" t="inlineStr">
        <is>
          <t>Change in Expected Credit Loss (ECL) on financial assets</t>
        </is>
      </c>
      <c r="B16" s="6" t="n">
        <v>101</v>
      </c>
      <c r="C16" s="6" t="n">
        <v>451</v>
      </c>
      <c r="D16" s="6" t="n">
        <v>-283</v>
      </c>
      <c r="E16" s="6" t="n">
        <v>-124</v>
      </c>
      <c r="F16" s="6" t="n">
        <v>50</v>
      </c>
      <c r="G16" s="6" t="n"/>
      <c r="H16" s="6" t="n"/>
      <c r="I16" s="6" t="n"/>
      <c r="J16" s="6" t="n"/>
      <c r="K16" s="6" t="n"/>
    </row>
    <row r="17">
      <c r="A17" s="6" t="inlineStr">
        <is>
          <t>Provisions for liabilities and commitments (movement, pre-2018 presentation)</t>
        </is>
      </c>
      <c r="B17" s="6" t="n"/>
      <c r="C17" s="6" t="n"/>
      <c r="D17" s="6" t="n"/>
      <c r="E17" s="6" t="n"/>
      <c r="F17" s="6" t="n"/>
      <c r="G17" s="6" t="n"/>
      <c r="H17" s="6" t="n"/>
      <c r="I17" s="6" t="n"/>
      <c r="J17" s="6" t="n">
        <v>415</v>
      </c>
      <c r="K17" s="6" t="n">
        <v>1315</v>
      </c>
    </row>
    <row r="18">
      <c r="A18" s="5" t="inlineStr">
        <is>
          <t>Total operating expenses</t>
        </is>
      </c>
      <c r="B18" s="5" t="n">
        <v>-141091</v>
      </c>
      <c r="C18" s="5" t="n">
        <v>-156473</v>
      </c>
      <c r="D18" s="5" t="n">
        <v>-168041</v>
      </c>
      <c r="E18" s="5" t="n">
        <v>-171514</v>
      </c>
      <c r="F18" s="5" t="n">
        <v>-155452</v>
      </c>
      <c r="G18" s="5" t="n">
        <v>-143551</v>
      </c>
      <c r="H18" s="5" t="n">
        <v>-145271</v>
      </c>
      <c r="I18" s="5" t="n">
        <v>-176615</v>
      </c>
      <c r="J18" s="5" t="n">
        <v>-149584</v>
      </c>
      <c r="K18" s="5" t="n">
        <v>-164107</v>
      </c>
    </row>
    <row r="19">
      <c r="A19" s="6" t="inlineStr">
        <is>
          <t>Income from investments in affiliates</t>
        </is>
      </c>
      <c r="B19" s="6" t="n">
        <v>44810</v>
      </c>
      <c r="C19" s="6" t="n">
        <v>102898</v>
      </c>
      <c r="D19" s="6" t="n">
        <v>17516</v>
      </c>
      <c r="E19" s="6" t="n">
        <v>22155</v>
      </c>
      <c r="F19" s="6" t="n">
        <v>28497</v>
      </c>
      <c r="G19" s="6" t="n">
        <v>29272</v>
      </c>
      <c r="H19" s="6" t="n">
        <v>14189</v>
      </c>
      <c r="I19" s="6" t="n">
        <v>193686</v>
      </c>
      <c r="J19" s="6" t="n"/>
      <c r="K19" s="6" t="n"/>
    </row>
    <row r="20">
      <c r="A20" s="6" t="inlineStr">
        <is>
          <t>Amounts written off investments in affiliates</t>
        </is>
      </c>
      <c r="B20" s="6" t="n">
        <v>0</v>
      </c>
      <c r="C20" s="6" t="n">
        <v>-57148</v>
      </c>
      <c r="D20" s="6" t="n"/>
      <c r="E20" s="6" t="n"/>
      <c r="F20" s="6" t="n"/>
      <c r="G20" s="6" t="n"/>
      <c r="H20" s="6" t="n"/>
      <c r="I20" s="6" t="n"/>
      <c r="J20" s="6" t="n"/>
      <c r="K20" s="6" t="n"/>
    </row>
    <row r="21">
      <c r="A21" s="5" t="inlineStr">
        <is>
          <t>Profit before taxation</t>
        </is>
      </c>
      <c r="B21" s="5" t="n">
        <v>152340</v>
      </c>
      <c r="C21" s="5" t="n">
        <v>136755</v>
      </c>
      <c r="D21" s="5" t="n">
        <v>98522</v>
      </c>
      <c r="E21" s="5" t="n">
        <v>69183</v>
      </c>
      <c r="F21" s="5" t="n">
        <v>55028</v>
      </c>
      <c r="G21" s="5" t="n">
        <v>63068</v>
      </c>
      <c r="H21" s="5" t="n">
        <v>55302</v>
      </c>
      <c r="I21" s="5" t="n">
        <v>244401</v>
      </c>
      <c r="J21" s="5" t="n">
        <v>22475</v>
      </c>
      <c r="K21" s="5" t="n">
        <v>4054</v>
      </c>
    </row>
    <row r="22">
      <c r="A22" s="6" t="inlineStr">
        <is>
          <t>Taxation on profit</t>
        </is>
      </c>
      <c r="B22" s="6" t="n">
        <v>-45560</v>
      </c>
      <c r="C22" s="6" t="n">
        <v>-21518</v>
      </c>
      <c r="D22" s="6" t="n">
        <v>-38209</v>
      </c>
      <c r="E22" s="6" t="n">
        <v>-18870</v>
      </c>
      <c r="F22" s="6" t="n">
        <v>-10102</v>
      </c>
      <c r="G22" s="6" t="n">
        <v>-13117</v>
      </c>
      <c r="H22" s="6" t="n">
        <v>-22316</v>
      </c>
      <c r="I22" s="6" t="n">
        <v>-19816</v>
      </c>
      <c r="J22" s="6" t="n">
        <v>-5996</v>
      </c>
      <c r="K22" s="6" t="n">
        <v>-6226</v>
      </c>
    </row>
    <row r="23">
      <c r="A23" s="5" t="inlineStr">
        <is>
          <t>Total profit for the financial year</t>
        </is>
      </c>
      <c r="B23" s="5" t="n">
        <v>106780</v>
      </c>
      <c r="C23" s="5" t="n">
        <v>115237</v>
      </c>
      <c r="D23" s="5" t="n">
        <v>60313</v>
      </c>
      <c r="E23" s="5" t="n">
        <v>50313</v>
      </c>
      <c r="F23" s="5" t="n">
        <v>44926</v>
      </c>
      <c r="G23" s="5" t="n">
        <v>49951</v>
      </c>
      <c r="H23" s="5" t="n">
        <v>32986</v>
      </c>
      <c r="I23" s="5" t="n">
        <v>224585</v>
      </c>
      <c r="J23" s="5" t="n">
        <v>16479</v>
      </c>
      <c r="K23" s="5" t="n">
        <v>-2172</v>
      </c>
    </row>
    <row r="24">
      <c r="A24" s="5" t="inlineStr">
        <is>
          <t>Other comprehensive income</t>
        </is>
      </c>
      <c r="B24" s="6" t="n"/>
      <c r="C24" s="6" t="n"/>
      <c r="D24" s="6" t="n"/>
      <c r="E24" s="6" t="n"/>
      <c r="F24" s="6" t="n"/>
      <c r="G24" s="6" t="n"/>
      <c r="H24" s="6" t="n"/>
      <c r="I24" s="6" t="n"/>
      <c r="J24" s="6" t="n"/>
      <c r="K24" s="6" t="n"/>
    </row>
    <row r="25">
      <c r="A25" s="6" t="inlineStr">
        <is>
          <t>Movement in financial assets measured at FVOCI</t>
        </is>
      </c>
      <c r="B25" s="6" t="n">
        <v>32634</v>
      </c>
      <c r="C25" s="6" t="n">
        <v>21463</v>
      </c>
      <c r="D25" s="6" t="n">
        <v>42230</v>
      </c>
      <c r="E25" s="6" t="n">
        <v>-90166</v>
      </c>
      <c r="F25" s="6" t="n">
        <v>-35721</v>
      </c>
      <c r="G25" s="6" t="n">
        <v>30085</v>
      </c>
      <c r="H25" s="6" t="n">
        <v>9018</v>
      </c>
      <c r="I25" s="6" t="n">
        <v>-2310</v>
      </c>
      <c r="J25" s="6" t="n">
        <v>-4776</v>
      </c>
      <c r="K25" s="6" t="n">
        <v>-111</v>
      </c>
    </row>
    <row r="26">
      <c r="A26" s="6" t="inlineStr">
        <is>
          <t>Change in ECL on financial assets measured at FVOCI</t>
        </is>
      </c>
      <c r="B26" s="6" t="n"/>
      <c r="C26" s="6" t="n"/>
      <c r="D26" s="6" t="n">
        <v>15</v>
      </c>
      <c r="E26" s="6" t="n">
        <v>-22</v>
      </c>
      <c r="F26" s="6" t="n">
        <v>1</v>
      </c>
      <c r="G26" s="6" t="n">
        <v>-3</v>
      </c>
      <c r="H26" s="6" t="n">
        <v>-11</v>
      </c>
      <c r="I26" s="6" t="n">
        <v>-3</v>
      </c>
      <c r="J26" s="6" t="n"/>
      <c r="K26" s="6" t="n"/>
    </row>
    <row r="27">
      <c r="A27" s="6" t="inlineStr">
        <is>
          <t>Related tax</t>
        </is>
      </c>
      <c r="B27" s="6" t="n">
        <v>-9134</v>
      </c>
      <c r="C27" s="6" t="n">
        <v>-5992</v>
      </c>
      <c r="D27" s="6" t="n">
        <v>-11833</v>
      </c>
      <c r="E27" s="6" t="n">
        <v>25051</v>
      </c>
      <c r="F27" s="6" t="n">
        <v>9867</v>
      </c>
      <c r="G27" s="6" t="n">
        <v>-8152</v>
      </c>
      <c r="H27" s="6" t="n">
        <v>-2254</v>
      </c>
      <c r="I27" s="6" t="n">
        <v>577</v>
      </c>
      <c r="J27" s="6" t="n">
        <v>1194</v>
      </c>
      <c r="K27" s="6" t="n">
        <v>28</v>
      </c>
    </row>
    <row r="28">
      <c r="A28" s="5" t="inlineStr">
        <is>
          <t>Other comprehensive income/(loss), net of tax</t>
        </is>
      </c>
      <c r="B28" s="5" t="n">
        <v>23500</v>
      </c>
      <c r="C28" s="5" t="n">
        <v>15471</v>
      </c>
      <c r="D28" s="5" t="n">
        <v>30412</v>
      </c>
      <c r="E28" s="5" t="n">
        <v>-65137</v>
      </c>
      <c r="F28" s="5" t="n">
        <v>-25853</v>
      </c>
      <c r="G28" s="5" t="n">
        <v>21930</v>
      </c>
      <c r="H28" s="5" t="n">
        <v>6753</v>
      </c>
      <c r="I28" s="5" t="n">
        <v>-1736</v>
      </c>
      <c r="J28" s="5" t="n">
        <v>-3582</v>
      </c>
      <c r="K28" s="5" t="n">
        <v>-83</v>
      </c>
    </row>
    <row r="29">
      <c r="A29" s="5" t="inlineStr">
        <is>
          <t>Total comprehensive income for the financial year</t>
        </is>
      </c>
      <c r="B29" s="5" t="n">
        <v>130280</v>
      </c>
      <c r="C29" s="5" t="n">
        <v>130708</v>
      </c>
      <c r="D29" s="5" t="n">
        <v>90725</v>
      </c>
      <c r="E29" s="5" t="n">
        <v>-14824</v>
      </c>
      <c r="F29" s="5" t="n">
        <v>19073</v>
      </c>
      <c r="G29" s="5" t="n">
        <v>71881</v>
      </c>
      <c r="H29" s="5" t="n">
        <v>39739</v>
      </c>
      <c r="I29" s="5" t="n">
        <v>222849</v>
      </c>
      <c r="J29" s="5" t="n">
        <v>12897</v>
      </c>
      <c r="K29" s="5" t="n">
        <v>-2255</v>
      </c>
    </row>
    <row r="31" ht="409" customHeight="1">
      <c r="A31" s="8" t="inlineStr">
        <is>
          <t>Sources - The Bank of New York Mellon (International) Limited's own audited financial statements (all Companies House filings FY2016-FY2021 are scanned/image-only, visually transcribed; FY2016-FY2020 sourced for HD-025):
FY2025/FY2024: Financial Statements, year ended 31 December 2025, Statement of profit and loss p.25, Statement of comprehensive income p.26, Balance sheet p.27, Statement of changes in equity p.28 - https://www.bnymellon.com/content/dam/bnymellon/documents/pdf/investor-relations/Signed-2025-BNYMIL-Financial-Statements.pdf
FY2023/FY2022: Financial Statements, year ended 31 December 2023, Statement of profit and loss p.37, Other comprehensive income p.38, Balance sheet p.39, Statement of changes in equity p.40 - https://www.bnymellon.com/content/dam/bnymellon/documents/pdf/investor-relations/bnymil-financial-statement-2023.pdf
FY2021 (and FY2020 comparative used for the opening equity roll-forward): Financial Statements, year ended 31 December 2021, Statement of profit and loss p.35, Other comprehensive income p.36, Balance sheet p.37, Statement of changes in equity p.38 - Companies House filing, 28 April 2022 - https://find-and-update.company-information.service.gov.uk/company/03236121/filing-history/MzMzNzcwMzgzM2FkaXF6a2N4/document?format=pdf&amp;download=0
FY2020 (own year): Financial Statements, year ended 31 December 2020, Statement of profit and loss p.30, Other comprehensive income p.31, Balance sheet p.32, Statement of changes in equity p.33 - Companies House filing, 22 April 2021 - https://find-and-update.company-information.service.gov.uk/company/03236121/filing-history/MzI5OTc0NjM1MGFkaXF6a2N4/document?format=pdf&amp;download=0
FY2019: Financial Statements, year ended 31 December 2019, Statement of profit and loss p.26, Other comprehensive income p.27, Balance sheet p.28, Statement of changes in equity p.29 - Companies House filing, 21 April 2020 - https://find-and-update.company-information.service.gov.uk/company/03236121/filing-history/MzI2Mzk0NzI2OWFkaXF6a2N4/document?format=pdf&amp;download=0
FY2018: Financial Statements, year ended 31 December 2018, Statement of profit and loss p.19, Other comprehensive income p.20, Balance sheet p.21, Statement of changes in equity p.22 - Companies House filing, 17 April 2019 - https://find-and-update.company-information.service.gov.uk/company/03236121/filing-history/MzIzNzIyMzk4NmFkaXF6a2N4/document?format=pdf&amp;download=0
FY2017: Financial Statements, year ended 31 December 2017, Statement of profit and loss p.17, Other comprehensive income p.18, Balance sheet p.19, Statement of changes in equity p.20 - Companies House filing, 17 April 2018 - https://find-and-update.company-information.service.gov.uk/company/03236121/filing-history/MzIwMzQ1MjI5OWFkaXF6a2N4/document?format=pdf&amp;download=0
FY2016: Financial Statements, year ended 31 December 2016, Statement of profit and loss p.15, Other comprehensive income p.16, Balance sheet p.17, Statement of changes in equity p.18 - Companies House filing, 19 April 2017 - https://find-and-update.company-information.service.gov.uk/company/03236121/filing-history/MzE3NTQ0NTUzNGFkaXF6a2N4/document?format=pdf&amp;download=0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
PRESENTATION NOTE: this entity's statement structure changed twice across the 5 years shown. (1) Income statement: FY2021-FY2023 place 'Income from investments in affiliates' before a combined 'Total income' subtotal; FY2024-FY2025 instead show a narrower 'Total operating income' (excluding investments-in-affiliates income) and add investments-in-affiliates income only after 'Total operating expenses', immediately before 'Profit before taxation' - both years' own reported total is shown on the 'Total operating income / Total income' row below, not reconciled to a common basis. FY2024 also separately discloses 'Amounts written off investments in affiliates' (£57,148k), a line that doesn't exist in the other 4 years. (2) Other comprehensive income: FY2021-FY2023 split the FVOCI movement into 'Movement in financial assets measured at FVOCI' and a separate 'Change in ECL on financial assets measured at FVOCI' line; FY2024-FY2025 combine both into a single 'Net movement in financial instruments measured at FVOCI' line - shown on the FVOCI-movement row with the ECL row left blank those 2 years, not split arbitrarily. (3) Balance sheet: FY2021's own statement uses the label 'Cash in hand and on demand balances at central banks' (relabelled 'Cash and balances at central banks' from FY2022 onward - same line) and has no separate Intangible assets line (first appears FY2022); 'Deferred tax asset'/'Deferred tax liabilities' appear as explicit lines (value or nil) only in the years the Company had a recognised balance or an adjacent-year comparative required it - blank cells mean the year's own statement has no such line at all, not that the value is unknown. 'Loan due to fellow group undertakings' is a FY2025-only line (a new, discrete intercompany funding arrangement that year).</t>
        </is>
      </c>
    </row>
    <row r="33" ht="409" customHeight="1">
      <c r="A33" s="8" t="inlineStr">
        <is>
          <t>(continued)
PRE-2021 STRUCTURAL NOTES (added for the HD-025 FY2016-FY2020 extension): (4) FY2016-FY2019 carry a 'Subordinated loan due to fellow Group undertaking' liability line (£75,000k, constant) that FY2020 onward does not - the loan was redeemed during FY2020 (confirmed via the FY2020 KM1 Pillar 3 table showing Tier 2 capital fall to nil that year), a real capital-structure event, not a gap. (5) The balance sheet line labelled 'Investment securities' from FY2018 onward is labelled 'Financial instruments - available-for-sale' in FY2016-FY2017 (pre-IFRS 9; same underlying line, relabelled on the FVOCI transition, consistent with the P&amp;L's AFS-&gt;FVOCI relabelling on the Profit &amp; Loss sheet). (6) The 'Investments in affiliates' line is labelled simply 'Investments' in FY2016-FY2017 - same continuous ~£171-182m holding across all 5 years, relabelled FY2018 onward, not a new asset. (7) 'Provisions for liabilities and commitments' appears as a balance-sheet line every year FY2016-FY2020 except FY2019 (nil/no line that year); it reappears FY2020 (£7,579k, a new provision raised that year). (8) The Statement of Changes in Equity's 'Fair value reserve' column does not exist as a separately-disclosed component in FY2016 or in FY2017's own originally-published statement (both years' fair-value movements are folded into a single combined 'Other reserves' column) - the split first appears in the FY2018 Annual Report's own restated FY2017 comparative column. This workbook keeps FY2016 and FY2017 on their own originally-published combined-column basis (Fair value reserve left blank, the full movement sitting in Other reserves) and shows the FY2018 report's split as an explicit reclassification bridging row between the FY2017 and FY2018 columns on the Statement of Changes in Equity sheet, per this project's convention of not silently restating an earlier year's own figures. (9) The FY2018 IFRS 9 transition (1 January 2018) had a genuine NIL adjustment to opening equity - the FY2018 statement's own 'Restated balance at 1 January 2018' row is identical to the FY2017 closing balance, confirmed directly in the source rather than assumed.</t>
        </is>
      </c>
    </row>
  </sheetData>
  <mergeCells count="2">
    <mergeCell ref="A33:K33"/>
    <mergeCell ref="A31:K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The Bank of New York Mellon (International) Limited — Statement of Changes in Equity</t>
        </is>
      </c>
    </row>
    <row r="2">
      <c r="A2" s="2" t="inlineStr">
        <is>
          <t>Entity-level basis, £'000s. Chronological roll-forward, oldest to newest. No FX conversion (GBP functional currency throughout).</t>
        </is>
      </c>
    </row>
    <row r="3">
      <c r="A3" s="4" t="inlineStr">
        <is>
          <t>Movement</t>
        </is>
      </c>
      <c r="B3" s="4" t="inlineStr">
        <is>
          <t>Called up share capital</t>
        </is>
      </c>
      <c r="C3" s="4" t="inlineStr">
        <is>
          <t>Fair value reserve</t>
        </is>
      </c>
      <c r="D3" s="4" t="inlineStr">
        <is>
          <t>Other reserves</t>
        </is>
      </c>
      <c r="E3" s="4" t="inlineStr">
        <is>
          <t>Profit and loss account</t>
        </is>
      </c>
      <c r="F3" s="4" t="inlineStr">
        <is>
          <t>Total equity</t>
        </is>
      </c>
    </row>
    <row r="4">
      <c r="A4" s="5" t="inlineStr">
        <is>
          <t>At 1 January 2016</t>
        </is>
      </c>
      <c r="B4" s="5" t="n">
        <v>249695</v>
      </c>
      <c r="C4" s="5" t="n"/>
      <c r="D4" s="5" t="n">
        <v>7054</v>
      </c>
      <c r="E4" s="5" t="n">
        <v>-13059</v>
      </c>
      <c r="F4" s="5" t="n">
        <v>243690</v>
      </c>
    </row>
    <row r="5">
      <c r="A5" s="6" t="inlineStr">
        <is>
          <t>Loss for the financial year (FY2016)</t>
        </is>
      </c>
      <c r="B5" s="6" t="n"/>
      <c r="C5" s="6" t="n"/>
      <c r="D5" s="6" t="n"/>
      <c r="E5" s="6" t="n">
        <v>-2172</v>
      </c>
      <c r="F5" s="6" t="n">
        <v>-2172</v>
      </c>
    </row>
    <row r="6">
      <c r="A6" s="6" t="inlineStr">
        <is>
          <t>Change in fair value of assets classified as available-for-sale (FY2016, no separate Fair value reserve column existed this year - kept in Other reserves)</t>
        </is>
      </c>
      <c r="B6" s="6" t="n"/>
      <c r="C6" s="6" t="n"/>
      <c r="D6" s="6" t="n">
        <v>-111</v>
      </c>
      <c r="E6" s="6" t="n"/>
      <c r="F6" s="6" t="n">
        <v>-111</v>
      </c>
    </row>
    <row r="7">
      <c r="A7" s="6" t="inlineStr">
        <is>
          <t>Tax on other comprehensive income (FY2016)</t>
        </is>
      </c>
      <c r="B7" s="6" t="n"/>
      <c r="C7" s="6" t="n"/>
      <c r="D7" s="6" t="n">
        <v>28</v>
      </c>
      <c r="E7" s="6" t="n"/>
      <c r="F7" s="6" t="n">
        <v>28</v>
      </c>
    </row>
    <row r="8">
      <c r="A8" s="5" t="inlineStr">
        <is>
          <t>Total comprehensive (loss) for the year (FY2016)</t>
        </is>
      </c>
      <c r="B8" s="5" t="n"/>
      <c r="C8" s="5" t="n"/>
      <c r="D8" s="5" t="n">
        <v>-83</v>
      </c>
      <c r="E8" s="5" t="n">
        <v>-2172</v>
      </c>
      <c r="F8" s="5" t="n">
        <v>-2255</v>
      </c>
    </row>
    <row r="9">
      <c r="A9" s="6" t="inlineStr">
        <is>
          <t>Issue of shares (FY2016)</t>
        </is>
      </c>
      <c r="B9" s="6" t="n">
        <v>270000</v>
      </c>
      <c r="C9" s="6" t="n"/>
      <c r="D9" s="6" t="n"/>
      <c r="E9" s="6" t="n"/>
      <c r="F9" s="6" t="n">
        <v>270000</v>
      </c>
    </row>
    <row r="10">
      <c r="A10" s="6" t="inlineStr">
        <is>
          <t>Amortisation of share based payments (FY2016)</t>
        </is>
      </c>
      <c r="B10" s="6" t="n"/>
      <c r="C10" s="6" t="n"/>
      <c r="D10" s="6" t="n">
        <v>235</v>
      </c>
      <c r="E10" s="6" t="n"/>
      <c r="F10" s="6" t="n">
        <v>235</v>
      </c>
    </row>
    <row r="11">
      <c r="A11" s="5" t="inlineStr">
        <is>
          <t>At 31 December 2016 (as originally reported, single combined reserves column)</t>
        </is>
      </c>
      <c r="B11" s="5" t="n">
        <v>519695</v>
      </c>
      <c r="C11" s="5" t="n"/>
      <c r="D11" s="5" t="n">
        <v>7206</v>
      </c>
      <c r="E11" s="5" t="n">
        <v>-15231</v>
      </c>
      <c r="F11" s="5" t="n">
        <v>511670</v>
      </c>
    </row>
    <row r="12">
      <c r="A12" s="6" t="inlineStr">
        <is>
          <t>Profit for the financial year (FY2017)</t>
        </is>
      </c>
      <c r="B12" s="6" t="n"/>
      <c r="C12" s="6" t="n"/>
      <c r="D12" s="6" t="n"/>
      <c r="E12" s="6" t="n">
        <v>16479</v>
      </c>
      <c r="F12" s="6" t="n">
        <v>16479</v>
      </c>
    </row>
    <row r="13">
      <c r="A13" s="6" t="inlineStr">
        <is>
          <t>Change in fair value of assets classified as available-for-sale (FY2017, as originally reported - no separate Fair value reserve column existed in FY2017's own statement)</t>
        </is>
      </c>
      <c r="B13" s="6" t="n"/>
      <c r="C13" s="6" t="n"/>
      <c r="D13" s="6" t="n">
        <v>-4776</v>
      </c>
      <c r="E13" s="6" t="n"/>
      <c r="F13" s="6" t="n">
        <v>-4776</v>
      </c>
    </row>
    <row r="14">
      <c r="A14" s="6" t="inlineStr">
        <is>
          <t>Tax on other comprehensive income (FY2017)</t>
        </is>
      </c>
      <c r="B14" s="6" t="n"/>
      <c r="C14" s="6" t="n"/>
      <c r="D14" s="6" t="n">
        <v>1194</v>
      </c>
      <c r="E14" s="6" t="n"/>
      <c r="F14" s="6" t="n">
        <v>1194</v>
      </c>
    </row>
    <row r="15">
      <c r="A15" s="5" t="inlineStr">
        <is>
          <t>Total comprehensive income for the year (FY2017)</t>
        </is>
      </c>
      <c r="B15" s="5" t="n"/>
      <c r="C15" s="5" t="n"/>
      <c r="D15" s="5" t="n">
        <v>-3582</v>
      </c>
      <c r="E15" s="5" t="n">
        <v>16479</v>
      </c>
      <c r="F15" s="5" t="n">
        <v>12897</v>
      </c>
    </row>
    <row r="16">
      <c r="A16" s="6" t="inlineStr">
        <is>
          <t>Amortisation of share based payments (FY2017)</t>
        </is>
      </c>
      <c r="B16" s="6" t="n"/>
      <c r="C16" s="6" t="n"/>
      <c r="D16" s="6" t="n">
        <v>21</v>
      </c>
      <c r="E16" s="6" t="n"/>
      <c r="F16" s="6" t="n">
        <v>21</v>
      </c>
    </row>
    <row r="17">
      <c r="A17" s="5" t="inlineStr">
        <is>
          <t>At 31 December 2017 (as originally reported, single combined reserves column)</t>
        </is>
      </c>
      <c r="B17" s="5" t="n">
        <v>519695</v>
      </c>
      <c r="C17" s="5" t="n"/>
      <c r="D17" s="5" t="n">
        <v>3645</v>
      </c>
      <c r="E17" s="5" t="n">
        <v>1248</v>
      </c>
      <c r="F17" s="5" t="n">
        <v>524588</v>
      </c>
    </row>
    <row r="18">
      <c r="A18" s="6" t="inlineStr">
        <is>
          <t>Reclassification: split of the combined 'Other reserves' column into a separate Fair value reserve component (first shown in the FY2018 Annual Report's own restated FY2017 comparative - see Balance Sheet sheet's presentation note)</t>
        </is>
      </c>
      <c r="B18" s="6" t="n"/>
      <c r="C18" s="6" t="n">
        <v>-3665</v>
      </c>
      <c r="D18" s="6" t="n">
        <v>3665</v>
      </c>
      <c r="E18" s="6" t="n"/>
      <c r="F18" s="6" t="n">
        <v>0</v>
      </c>
    </row>
    <row r="19">
      <c r="A19" s="5" t="inlineStr">
        <is>
          <t>At 1 January 2018 (restated onto the post-FY2018 5-column split basis; IFRS 9 transition had a confirmed NIL impact on opening equity)</t>
        </is>
      </c>
      <c r="B19" s="5" t="n">
        <v>519695</v>
      </c>
      <c r="C19" s="5" t="n">
        <v>-3665</v>
      </c>
      <c r="D19" s="5" t="n">
        <v>7310</v>
      </c>
      <c r="E19" s="5" t="n">
        <v>1248</v>
      </c>
      <c r="F19" s="5" t="n">
        <v>524588</v>
      </c>
    </row>
    <row r="20">
      <c r="A20" s="6" t="inlineStr">
        <is>
          <t>Profit for the financial year (FY2018)</t>
        </is>
      </c>
      <c r="B20" s="6" t="n"/>
      <c r="C20" s="6" t="n"/>
      <c r="D20" s="6" t="n"/>
      <c r="E20" s="6" t="n">
        <v>224585</v>
      </c>
      <c r="F20" s="6" t="n">
        <v>224585</v>
      </c>
    </row>
    <row r="21">
      <c r="A21" s="6" t="inlineStr">
        <is>
          <t>Change in fair value of financial assets measured at FVOCI (FY2018)</t>
        </is>
      </c>
      <c r="B21" s="6" t="n"/>
      <c r="C21" s="6" t="n">
        <v>-2310</v>
      </c>
      <c r="D21" s="6" t="n"/>
      <c r="E21" s="6" t="n"/>
      <c r="F21" s="6" t="n">
        <v>-2310</v>
      </c>
    </row>
    <row r="22">
      <c r="A22" s="6" t="inlineStr">
        <is>
          <t>ECL on financial assets measured at FVOCI (FY2018)</t>
        </is>
      </c>
      <c r="B22" s="6" t="n"/>
      <c r="C22" s="6" t="n">
        <v>-3</v>
      </c>
      <c r="D22" s="6" t="n"/>
      <c r="E22" s="6" t="n"/>
      <c r="F22" s="6" t="n">
        <v>-3</v>
      </c>
    </row>
    <row r="23">
      <c r="A23" s="6" t="inlineStr">
        <is>
          <t>Tax on other comprehensive income (FY2018)</t>
        </is>
      </c>
      <c r="B23" s="6" t="n"/>
      <c r="C23" s="6" t="n">
        <v>577</v>
      </c>
      <c r="D23" s="6" t="n"/>
      <c r="E23" s="6" t="n"/>
      <c r="F23" s="6" t="n">
        <v>577</v>
      </c>
    </row>
    <row r="24">
      <c r="A24" s="5" t="inlineStr">
        <is>
          <t>Total comprehensive income for the year (FY2018)</t>
        </is>
      </c>
      <c r="B24" s="5" t="n"/>
      <c r="C24" s="5" t="n">
        <v>-1736</v>
      </c>
      <c r="D24" s="5" t="n"/>
      <c r="E24" s="5" t="n">
        <v>224585</v>
      </c>
      <c r="F24" s="5" t="n">
        <v>222849</v>
      </c>
    </row>
    <row r="25">
      <c r="A25" s="6" t="inlineStr">
        <is>
          <t>Amortisation of share based payments (FY2018)</t>
        </is>
      </c>
      <c r="B25" s="6" t="n"/>
      <c r="C25" s="6" t="n"/>
      <c r="D25" s="6" t="n">
        <v>42</v>
      </c>
      <c r="E25" s="6" t="n"/>
      <c r="F25" s="6" t="n">
        <v>42</v>
      </c>
    </row>
    <row r="26">
      <c r="A26" s="5" t="inlineStr">
        <is>
          <t>At 31 December 2018</t>
        </is>
      </c>
      <c r="B26" s="5" t="n">
        <v>519695</v>
      </c>
      <c r="C26" s="5" t="n">
        <v>-5401</v>
      </c>
      <c r="D26" s="5" t="n">
        <v>7352</v>
      </c>
      <c r="E26" s="5" t="n">
        <v>225833</v>
      </c>
      <c r="F26" s="5" t="n">
        <v>747479</v>
      </c>
    </row>
    <row r="27">
      <c r="A27" s="6" t="inlineStr">
        <is>
          <t>Profit for the financial year (FY2019)</t>
        </is>
      </c>
      <c r="B27" s="6" t="n"/>
      <c r="C27" s="6" t="n"/>
      <c r="D27" s="6" t="n"/>
      <c r="E27" s="6" t="n">
        <v>32986</v>
      </c>
      <c r="F27" s="6" t="n">
        <v>32986</v>
      </c>
    </row>
    <row r="28">
      <c r="A28" s="6" t="inlineStr">
        <is>
          <t>Change in fair value of financial assets measured at FVOCI (FY2019)</t>
        </is>
      </c>
      <c r="B28" s="6" t="n"/>
      <c r="C28" s="6" t="n">
        <v>9018</v>
      </c>
      <c r="D28" s="6" t="n"/>
      <c r="E28" s="6" t="n"/>
      <c r="F28" s="6" t="n">
        <v>9018</v>
      </c>
    </row>
    <row r="29">
      <c r="A29" s="6" t="inlineStr">
        <is>
          <t>ECL on financial assets measured at FVOCI (FY2019)</t>
        </is>
      </c>
      <c r="B29" s="6" t="n"/>
      <c r="C29" s="6" t="n">
        <v>-11</v>
      </c>
      <c r="D29" s="6" t="n"/>
      <c r="E29" s="6" t="n"/>
      <c r="F29" s="6" t="n">
        <v>-11</v>
      </c>
    </row>
    <row r="30">
      <c r="A30" s="6" t="inlineStr">
        <is>
          <t>Tax on other comprehensive income (FY2019)</t>
        </is>
      </c>
      <c r="B30" s="6" t="n"/>
      <c r="C30" s="6" t="n">
        <v>-2254</v>
      </c>
      <c r="D30" s="6" t="n"/>
      <c r="E30" s="6" t="n"/>
      <c r="F30" s="6" t="n">
        <v>-2254</v>
      </c>
    </row>
    <row r="31">
      <c r="A31" s="5" t="inlineStr">
        <is>
          <t>Total comprehensive income for the year (FY2019)</t>
        </is>
      </c>
      <c r="B31" s="5" t="n"/>
      <c r="C31" s="5" t="n">
        <v>6753</v>
      </c>
      <c r="D31" s="5" t="n"/>
      <c r="E31" s="5" t="n">
        <v>32986</v>
      </c>
      <c r="F31" s="5" t="n">
        <v>39739</v>
      </c>
    </row>
    <row r="32">
      <c r="A32" s="6" t="inlineStr">
        <is>
          <t>Amortisation of share based payments (FY2019)</t>
        </is>
      </c>
      <c r="B32" s="6" t="n"/>
      <c r="C32" s="6" t="n"/>
      <c r="D32" s="6" t="n">
        <v>7</v>
      </c>
      <c r="E32" s="6" t="n"/>
      <c r="F32" s="6" t="n">
        <v>7</v>
      </c>
    </row>
    <row r="33">
      <c r="A33" s="5" t="inlineStr">
        <is>
          <t>At 31 December 2019</t>
        </is>
      </c>
      <c r="B33" s="5" t="n">
        <v>519695</v>
      </c>
      <c r="C33" s="5" t="n">
        <v>1352</v>
      </c>
      <c r="D33" s="5" t="n">
        <v>7359</v>
      </c>
      <c r="E33" s="5" t="n">
        <v>258820</v>
      </c>
      <c r="F33" s="5" t="n">
        <v>787226</v>
      </c>
    </row>
    <row r="34">
      <c r="A34" s="6" t="inlineStr">
        <is>
          <t>Profit for the financial year (FY2020)</t>
        </is>
      </c>
      <c r="B34" s="6" t="n"/>
      <c r="C34" s="6" t="n"/>
      <c r="D34" s="6" t="n"/>
      <c r="E34" s="6" t="n">
        <v>49951</v>
      </c>
      <c r="F34" s="6" t="n">
        <v>49951</v>
      </c>
    </row>
    <row r="35">
      <c r="A35" s="6" t="inlineStr">
        <is>
          <t>Change in fair value of financial assets measured at FVOCI (FY2020)</t>
        </is>
      </c>
      <c r="B35" s="6" t="n"/>
      <c r="C35" s="6" t="n">
        <v>30085</v>
      </c>
      <c r="D35" s="6" t="n"/>
      <c r="E35" s="6" t="n"/>
      <c r="F35" s="6" t="n">
        <v>30085</v>
      </c>
    </row>
    <row r="36">
      <c r="A36" s="6" t="inlineStr">
        <is>
          <t>ECL on financial assets measured at FVOCI (FY2020)</t>
        </is>
      </c>
      <c r="B36" s="6" t="n"/>
      <c r="C36" s="6" t="n">
        <v>-3</v>
      </c>
      <c r="D36" s="6" t="n"/>
      <c r="E36" s="6" t="n"/>
      <c r="F36" s="6" t="n">
        <v>-3</v>
      </c>
    </row>
    <row r="37">
      <c r="A37" s="6" t="inlineStr">
        <is>
          <t>Tax on other comprehensive income (FY2020)</t>
        </is>
      </c>
      <c r="B37" s="6" t="n"/>
      <c r="C37" s="6" t="n">
        <v>-8152</v>
      </c>
      <c r="D37" s="6" t="n"/>
      <c r="E37" s="6" t="n"/>
      <c r="F37" s="6" t="n">
        <v>-8152</v>
      </c>
    </row>
    <row r="38">
      <c r="A38" s="5" t="inlineStr">
        <is>
          <t>Total comprehensive income for the year (FY2020)</t>
        </is>
      </c>
      <c r="B38" s="5" t="n"/>
      <c r="C38" s="5" t="n">
        <v>21930</v>
      </c>
      <c r="D38" s="5" t="n"/>
      <c r="E38" s="5" t="n">
        <v>49951</v>
      </c>
      <c r="F38" s="5" t="n">
        <v>71881</v>
      </c>
    </row>
    <row r="39">
      <c r="A39" s="6" t="inlineStr">
        <is>
          <t>Reclassification adjustment (FY2020)</t>
        </is>
      </c>
      <c r="B39" s="6" t="n"/>
      <c r="C39" s="6" t="n">
        <v>83</v>
      </c>
      <c r="D39" s="6" t="n">
        <v>-83</v>
      </c>
      <c r="E39" s="6" t="n"/>
      <c r="F39" s="6" t="n">
        <v>0</v>
      </c>
    </row>
    <row r="40">
      <c r="A40" s="5" t="inlineStr">
        <is>
          <t>At 1 January 2021</t>
        </is>
      </c>
      <c r="B40" s="5" t="n">
        <v>519695</v>
      </c>
      <c r="C40" s="5" t="n">
        <v>23365</v>
      </c>
      <c r="D40" s="5" t="n">
        <v>7276</v>
      </c>
      <c r="E40" s="5" t="n">
        <v>308771</v>
      </c>
      <c r="F40" s="5" t="n">
        <v>859107</v>
      </c>
    </row>
    <row r="41">
      <c r="A41" s="6" t="inlineStr">
        <is>
          <t>Movement in financial assets measured at FVOCI (FY2021)</t>
        </is>
      </c>
      <c r="B41" s="6" t="n"/>
      <c r="C41" s="6" t="n">
        <v>-35721</v>
      </c>
      <c r="D41" s="6" t="n"/>
      <c r="E41" s="6" t="n"/>
      <c r="F41" s="6" t="n">
        <v>-35721</v>
      </c>
    </row>
    <row r="42">
      <c r="A42" s="6" t="inlineStr">
        <is>
          <t>Change in ECL on financial assets measured at FVOCI (FY2021)</t>
        </is>
      </c>
      <c r="B42" s="6" t="n"/>
      <c r="C42" s="6" t="n">
        <v>1</v>
      </c>
      <c r="D42" s="6" t="n"/>
      <c r="E42" s="6" t="n"/>
      <c r="F42" s="6" t="n">
        <v>1</v>
      </c>
    </row>
    <row r="43">
      <c r="A43" s="6" t="inlineStr">
        <is>
          <t>Tax on other comprehensive income (FY2021)</t>
        </is>
      </c>
      <c r="B43" s="6" t="n"/>
      <c r="C43" s="6" t="n">
        <v>9867</v>
      </c>
      <c r="D43" s="6" t="n"/>
      <c r="E43" s="6" t="n"/>
      <c r="F43" s="6" t="n">
        <v>9867</v>
      </c>
    </row>
    <row r="44">
      <c r="A44" s="6" t="inlineStr">
        <is>
          <t>Profit for the financial year (FY2021)</t>
        </is>
      </c>
      <c r="B44" s="6" t="n"/>
      <c r="C44" s="6" t="n"/>
      <c r="D44" s="6" t="n"/>
      <c r="E44" s="6" t="n">
        <v>44926</v>
      </c>
      <c r="F44" s="6" t="n">
        <v>44926</v>
      </c>
    </row>
    <row r="45">
      <c r="A45" s="5" t="inlineStr">
        <is>
          <t>Total comprehensive income for the year (FY2021)</t>
        </is>
      </c>
      <c r="B45" s="5" t="n"/>
      <c r="C45" s="5" t="n">
        <v>-25853</v>
      </c>
      <c r="D45" s="5" t="n"/>
      <c r="E45" s="5" t="n">
        <v>44926</v>
      </c>
      <c r="F45" s="5" t="n">
        <v>19073</v>
      </c>
    </row>
    <row r="46">
      <c r="A46" s="6" t="inlineStr">
        <is>
          <t>Transfer between reserve accounts (FY2021)</t>
        </is>
      </c>
      <c r="B46" s="6" t="n"/>
      <c r="C46" s="6" t="n"/>
      <c r="D46" s="6" t="n">
        <v>-126</v>
      </c>
      <c r="E46" s="6" t="n">
        <v>126</v>
      </c>
      <c r="F46" s="6" t="n">
        <v>0</v>
      </c>
    </row>
    <row r="47">
      <c r="A47" s="5" t="inlineStr">
        <is>
          <t>At 31 December 2021</t>
        </is>
      </c>
      <c r="B47" s="5" t="n">
        <v>519695</v>
      </c>
      <c r="C47" s="5" t="n">
        <v>-2488</v>
      </c>
      <c r="D47" s="5" t="n">
        <v>7150</v>
      </c>
      <c r="E47" s="5" t="n">
        <v>353823</v>
      </c>
      <c r="F47" s="5" t="n">
        <v>878180</v>
      </c>
    </row>
    <row r="48">
      <c r="A48" s="6" t="inlineStr">
        <is>
          <t>Profit for the financial year (FY2022)</t>
        </is>
      </c>
      <c r="B48" s="6" t="n"/>
      <c r="C48" s="6" t="n"/>
      <c r="D48" s="6" t="n"/>
      <c r="E48" s="6" t="n">
        <v>50313</v>
      </c>
      <c r="F48" s="6" t="n">
        <v>50313</v>
      </c>
    </row>
    <row r="49">
      <c r="A49" s="6" t="inlineStr">
        <is>
          <t>Movement in financial assets measured at FVOCI (FY2022)</t>
        </is>
      </c>
      <c r="B49" s="6" t="n"/>
      <c r="C49" s="6" t="n">
        <v>-90166</v>
      </c>
      <c r="D49" s="6" t="n"/>
      <c r="E49" s="6" t="n"/>
      <c r="F49" s="6" t="n">
        <v>-90166</v>
      </c>
    </row>
    <row r="50">
      <c r="A50" s="6" t="inlineStr">
        <is>
          <t>Change in ECL on financial assets measured at FVOCI (FY2022)</t>
        </is>
      </c>
      <c r="B50" s="6" t="n"/>
      <c r="C50" s="6" t="n">
        <v>-22</v>
      </c>
      <c r="D50" s="6" t="n"/>
      <c r="E50" s="6" t="n"/>
      <c r="F50" s="6" t="n">
        <v>-22</v>
      </c>
    </row>
    <row r="51">
      <c r="A51" s="6" t="inlineStr">
        <is>
          <t>Tax on other comprehensive income (FY2022)</t>
        </is>
      </c>
      <c r="B51" s="6" t="n"/>
      <c r="C51" s="6" t="n">
        <v>25051</v>
      </c>
      <c r="D51" s="6" t="n"/>
      <c r="E51" s="6" t="n"/>
      <c r="F51" s="6" t="n">
        <v>25051</v>
      </c>
    </row>
    <row r="52">
      <c r="A52" s="5" t="inlineStr">
        <is>
          <t>Total comprehensive income for the year (FY2022)</t>
        </is>
      </c>
      <c r="B52" s="5" t="n"/>
      <c r="C52" s="5" t="n">
        <v>-65137</v>
      </c>
      <c r="D52" s="5" t="n"/>
      <c r="E52" s="5" t="n">
        <v>50313</v>
      </c>
      <c r="F52" s="5" t="n">
        <v>-14824</v>
      </c>
    </row>
    <row r="53">
      <c r="A53" s="6" t="inlineStr">
        <is>
          <t>Transfer between reserve accounts (FY2022)</t>
        </is>
      </c>
      <c r="B53" s="6" t="n"/>
      <c r="C53" s="6" t="n"/>
      <c r="D53" s="6" t="n">
        <v>-11</v>
      </c>
      <c r="E53" s="6" t="n">
        <v>11</v>
      </c>
      <c r="F53" s="6" t="n">
        <v>0</v>
      </c>
    </row>
    <row r="54">
      <c r="A54" s="5" t="inlineStr">
        <is>
          <t>At 31 December 2022</t>
        </is>
      </c>
      <c r="B54" s="5" t="n">
        <v>519695</v>
      </c>
      <c r="C54" s="5" t="n">
        <v>-67625</v>
      </c>
      <c r="D54" s="5" t="n">
        <v>7139</v>
      </c>
      <c r="E54" s="5" t="n">
        <v>404147</v>
      </c>
      <c r="F54" s="5" t="n">
        <v>863356</v>
      </c>
    </row>
    <row r="55">
      <c r="A55" s="6" t="inlineStr">
        <is>
          <t>Profit for the financial year (FY2023)</t>
        </is>
      </c>
      <c r="B55" s="6" t="n"/>
      <c r="C55" s="6" t="n"/>
      <c r="D55" s="6" t="n"/>
      <c r="E55" s="6" t="n">
        <v>60313</v>
      </c>
      <c r="F55" s="6" t="n">
        <v>60313</v>
      </c>
    </row>
    <row r="56">
      <c r="A56" s="6" t="inlineStr">
        <is>
          <t>Movement in financial assets measured at FVOCI (FY2023)</t>
        </is>
      </c>
      <c r="B56" s="6" t="n"/>
      <c r="C56" s="6" t="n">
        <v>42230</v>
      </c>
      <c r="D56" s="6" t="n"/>
      <c r="E56" s="6" t="n"/>
      <c r="F56" s="6" t="n">
        <v>42230</v>
      </c>
    </row>
    <row r="57">
      <c r="A57" s="6" t="inlineStr">
        <is>
          <t>Change in ECL on financial assets measured at FVOCI (FY2023)</t>
        </is>
      </c>
      <c r="B57" s="6" t="n"/>
      <c r="C57" s="6" t="n">
        <v>15</v>
      </c>
      <c r="D57" s="6" t="n"/>
      <c r="E57" s="6" t="n"/>
      <c r="F57" s="6" t="n">
        <v>15</v>
      </c>
    </row>
    <row r="58">
      <c r="A58" s="6" t="inlineStr">
        <is>
          <t>Tax on other comprehensive income (FY2023)</t>
        </is>
      </c>
      <c r="B58" s="6" t="n"/>
      <c r="C58" s="6" t="n">
        <v>-11833</v>
      </c>
      <c r="D58" s="6" t="n"/>
      <c r="E58" s="6" t="n"/>
      <c r="F58" s="6" t="n">
        <v>-11833</v>
      </c>
    </row>
    <row r="59">
      <c r="A59" s="5" t="inlineStr">
        <is>
          <t>Total comprehensive income for the year (FY2023)</t>
        </is>
      </c>
      <c r="B59" s="5" t="n"/>
      <c r="C59" s="5" t="n">
        <v>30412</v>
      </c>
      <c r="D59" s="5" t="n"/>
      <c r="E59" s="5" t="n">
        <v>60313</v>
      </c>
      <c r="F59" s="5" t="n">
        <v>90725</v>
      </c>
    </row>
    <row r="60">
      <c r="A60" s="6" t="inlineStr">
        <is>
          <t>Dividend in specie (FY2023)</t>
        </is>
      </c>
      <c r="B60" s="6" t="n"/>
      <c r="C60" s="6" t="n"/>
      <c r="D60" s="6" t="n"/>
      <c r="E60" s="6" t="n">
        <v>-28</v>
      </c>
      <c r="F60" s="6" t="n">
        <v>-28</v>
      </c>
    </row>
    <row r="61">
      <c r="A61" s="5" t="inlineStr">
        <is>
          <t>At 31 December 2023</t>
        </is>
      </c>
      <c r="B61" s="5" t="n">
        <v>519695</v>
      </c>
      <c r="C61" s="5" t="n">
        <v>-37213</v>
      </c>
      <c r="D61" s="5" t="n">
        <v>7139</v>
      </c>
      <c r="E61" s="5" t="n">
        <v>464432</v>
      </c>
      <c r="F61" s="5" t="n">
        <v>954053</v>
      </c>
    </row>
    <row r="62">
      <c r="A62" s="6" t="inlineStr">
        <is>
          <t>Profit for the financial year (FY2024)</t>
        </is>
      </c>
      <c r="B62" s="6" t="n"/>
      <c r="C62" s="6" t="n"/>
      <c r="D62" s="6" t="n"/>
      <c r="E62" s="6" t="n">
        <v>115237</v>
      </c>
      <c r="F62" s="6" t="n">
        <v>115237</v>
      </c>
    </row>
    <row r="63">
      <c r="A63" s="6" t="inlineStr">
        <is>
          <t>Net movement in financial instruments measured at FVOCI (FY2024)</t>
        </is>
      </c>
      <c r="B63" s="6" t="n"/>
      <c r="C63" s="6" t="n">
        <v>21463</v>
      </c>
      <c r="D63" s="6" t="n"/>
      <c r="E63" s="6" t="n"/>
      <c r="F63" s="6" t="n">
        <v>21463</v>
      </c>
    </row>
    <row r="64">
      <c r="A64" s="6" t="inlineStr">
        <is>
          <t>Tax on other comprehensive income (FY2024)</t>
        </is>
      </c>
      <c r="B64" s="6" t="n"/>
      <c r="C64" s="6" t="n">
        <v>-5992</v>
      </c>
      <c r="D64" s="6" t="n"/>
      <c r="E64" s="6" t="n"/>
      <c r="F64" s="6" t="n">
        <v>-5992</v>
      </c>
    </row>
    <row r="65">
      <c r="A65" s="5" t="inlineStr">
        <is>
          <t>Total comprehensive income for the year (FY2024)</t>
        </is>
      </c>
      <c r="B65" s="5" t="n"/>
      <c r="C65" s="5" t="n">
        <v>15471</v>
      </c>
      <c r="D65" s="5" t="n"/>
      <c r="E65" s="5" t="n">
        <v>115237</v>
      </c>
      <c r="F65" s="5" t="n">
        <v>130708</v>
      </c>
    </row>
    <row r="66">
      <c r="A66" s="5" t="inlineStr">
        <is>
          <t>At 31 December 2024</t>
        </is>
      </c>
      <c r="B66" s="5" t="n">
        <v>519695</v>
      </c>
      <c r="C66" s="5" t="n">
        <v>-21742</v>
      </c>
      <c r="D66" s="5" t="n">
        <v>7139</v>
      </c>
      <c r="E66" s="5" t="n">
        <v>579669</v>
      </c>
      <c r="F66" s="5" t="n">
        <v>1084761</v>
      </c>
    </row>
    <row r="67">
      <c r="A67" s="6" t="inlineStr">
        <is>
          <t>Profit for the financial year (FY2025)</t>
        </is>
      </c>
      <c r="B67" s="6" t="n"/>
      <c r="C67" s="6" t="n"/>
      <c r="D67" s="6" t="n"/>
      <c r="E67" s="6" t="n">
        <v>106780</v>
      </c>
      <c r="F67" s="6" t="n">
        <v>106780</v>
      </c>
    </row>
    <row r="68">
      <c r="A68" s="6" t="inlineStr">
        <is>
          <t>Net movement in financial instruments measured at FVOCI (FY2025)</t>
        </is>
      </c>
      <c r="B68" s="6" t="n"/>
      <c r="C68" s="6" t="n">
        <v>32634</v>
      </c>
      <c r="D68" s="6" t="n"/>
      <c r="E68" s="6" t="n"/>
      <c r="F68" s="6" t="n">
        <v>32634</v>
      </c>
    </row>
    <row r="69">
      <c r="A69" s="6" t="inlineStr">
        <is>
          <t>Tax on other comprehensive income (FY2025)</t>
        </is>
      </c>
      <c r="B69" s="6" t="n"/>
      <c r="C69" s="6" t="n">
        <v>-9134</v>
      </c>
      <c r="D69" s="6" t="n"/>
      <c r="E69" s="6" t="n"/>
      <c r="F69" s="6" t="n">
        <v>-9134</v>
      </c>
    </row>
    <row r="70">
      <c r="A70" s="5" t="inlineStr">
        <is>
          <t>Total comprehensive income for the year (FY2025)</t>
        </is>
      </c>
      <c r="B70" s="5" t="n"/>
      <c r="C70" s="5" t="n">
        <v>23500</v>
      </c>
      <c r="D70" s="5" t="n"/>
      <c r="E70" s="5" t="n">
        <v>106780</v>
      </c>
      <c r="F70" s="5" t="n">
        <v>130280</v>
      </c>
    </row>
    <row r="71">
      <c r="A71" s="5" t="inlineStr">
        <is>
          <t>At 31 December 2025</t>
        </is>
      </c>
      <c r="B71" s="5" t="n">
        <v>519695</v>
      </c>
      <c r="C71" s="5" t="n">
        <v>1758</v>
      </c>
      <c r="D71" s="5" t="n">
        <v>7139</v>
      </c>
      <c r="E71" s="5" t="n">
        <v>686449</v>
      </c>
      <c r="F71" s="5" t="n">
        <v>1215041</v>
      </c>
    </row>
    <row r="73" ht="409" customHeight="1">
      <c r="A73" s="8" t="inlineStr">
        <is>
          <t>Sources - The Bank of New York Mellon (International) Limited's own audited financial statements (all Companies House filings FY2016-FY2021 are scanned/image-only, visually transcribed; FY2016-FY2020 sourced for HD-025):
FY2025/FY2024: Financial Statements, year ended 31 December 2025, Statement of profit and loss p.25, Statement of comprehensive income p.26, Balance sheet p.27, Statement of changes in equity p.28 - https://www.bnymellon.com/content/dam/bnymellon/documents/pdf/investor-relations/Signed-2025-BNYMIL-Financial-Statements.pdf
FY2023/FY2022: Financial Statements, year ended 31 December 2023, Statement of profit and loss p.37, Other comprehensive income p.38, Balance sheet p.39, Statement of changes in equity p.40 - https://www.bnymellon.com/content/dam/bnymellon/documents/pdf/investor-relations/bnymil-financial-statement-2023.pdf
FY2021 (and FY2020 comparative used for the opening equity roll-forward): Financial Statements, year ended 31 December 2021, Statement of profit and loss p.35, Other comprehensive income p.36, Balance sheet p.37, Statement of changes in equity p.38 - Companies House filing, 28 April 2022 - https://find-and-update.company-information.service.gov.uk/company/03236121/filing-history/MzMzNzcwMzgzM2FkaXF6a2N4/document?format=pdf&amp;download=0
FY2020 (own year): Financial Statements, year ended 31 December 2020, Statement of profit and loss p.30, Other comprehensive income p.31, Balance sheet p.32, Statement of changes in equity p.33 - Companies House filing, 22 April 2021 - https://find-and-update.company-information.service.gov.uk/company/03236121/filing-history/MzI5OTc0NjM1MGFkaXF6a2N4/document?format=pdf&amp;download=0
FY2019: Financial Statements, year ended 31 December 2019, Statement of profit and loss p.26, Other comprehensive income p.27, Balance sheet p.28, Statement of changes in equity p.29 - Companies House filing, 21 April 2020 - https://find-and-update.company-information.service.gov.uk/company/03236121/filing-history/MzI2Mzk0NzI2OWFkaXF6a2N4/document?format=pdf&amp;download=0
FY2018: Financial Statements, year ended 31 December 2018, Statement of profit and loss p.19, Other comprehensive income p.20, Balance sheet p.21, Statement of changes in equity p.22 - Companies House filing, 17 April 2019 - https://find-and-update.company-information.service.gov.uk/company/03236121/filing-history/MzIzNzIyMzk4NmFkaXF6a2N4/document?format=pdf&amp;download=0
FY2017: Financial Statements, year ended 31 December 2017, Statement of profit and loss p.17, Other comprehensive income p.18, Balance sheet p.19, Statement of changes in equity p.20 - Companies House filing, 17 April 2018 - https://find-and-update.company-information.service.gov.uk/company/03236121/filing-history/MzIwMzQ1MjI5OWFkaXF6a2N4/document?format=pdf&amp;download=0
FY2016: Financial Statements, year ended 31 December 2016, Statement of profit and loss p.15, Other comprehensive income p.16, Balance sheet p.17, Statement of changes in equity p.18 - Companies House filing, 19 April 2017 - https://find-and-update.company-information.service.gov.uk/company/03236121/filing-history/MzE3NTQ0NTUzNGFkaXF6a2N4/document?format=pdf&amp;download=0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row r="75" ht="409" customHeight="1">
      <c r="A75" s="8" t="inlineStr">
        <is>
          <t>(continued)
PRESENTATION NOTE: this entity's statement structure changed twice across the 5 years shown. (1) Income statement: FY2021-FY2023 place 'Income from investments in affiliates' before a combined 'Total income' subtotal; FY2024-FY2025 instead show a narrower 'Total operating income' (excluding investments-in-affiliates income) and add investments-in-affiliates income only after 'Total operating expenses', immediately before 'Profit before taxation' - both years' own reported total is shown on the 'Total operating income / Total income' row below, not reconciled to a common basis. FY2024 also separately discloses 'Amounts written off investments in affiliates' (£57,148k), a line that doesn't exist in the other 4 years. (2) Other comprehensive income: FY2021-FY2023 split the FVOCI movement into 'Movement in financial assets measured at FVOCI' and a separate 'Change in ECL on financial assets measured at FVOCI' line; FY2024-FY2025 combine both into a single 'Net movement in financial instruments measured at FVOCI' line - shown on the FVOCI-movement row with the ECL row left blank those 2 years, not split arbitrarily. (3) Balance sheet: FY2021's own statement uses the label 'Cash in hand and on demand balances at central banks' (relabelled 'Cash and balances at central banks' from FY2022 onward - same line) and has no separate Intangible assets line (first appears FY2022); 'Deferred tax asset'/'Deferred tax liabilities' appear as explicit lines (value or nil) only in the years the Company had a recognised balance or an adjacent-year comparative required it - blank cells mean the year's own statement has no such line at all, not that the value is unknown. 'Loan due to fellow group undertakings' is a FY2025-only line (a new, discrete intercompany funding arrangement that year).
PRE-2021 STRUCTURAL NOTES (added for the HD-025 FY2016-FY2020 extension): (4) FY2016-FY2019 carry a 'Subordinated loan due to fellow Group undertaking' liability line (£75,000k, constant) that FY2020 onward does not - the loan was redeemed during FY2020 (confirmed via the FY2020 KM1 Pillar 3 table showing Tier 2 capital fall to nil that year), a real capital-structure event, not a gap. (5) The balance sheet line labelled 'Investment securities' from FY2018 onward is labelled 'Financial instruments - available-for-sale' in FY2016-FY2017 (pre-IFRS 9; same underlying line, relabelled on the FVOCI transition, consistent with the P&amp;L's AFS-&gt;FVOCI relabelling on the Profit &amp; Loss sheet). (6) The 'Investments in affiliates' line is labelled simply 'Investments' in FY2016-FY2017 - same continuous ~£171-182m holding across all 5 years, relabelled FY2018 onward, not a new asset. (7) 'Provisions for liabilities and commitments' appears as a balance-sheet line every year FY2016-FY2020 except FY2019 (nil/no line that year); it reappears FY2020 (£7,579k, a new provision raised that year). (8) The Statement of Changes in Equity's 'Fair value reserve' column does not exist as a separately-disclosed component in FY2016 or in FY2017's own originally-published statement (both years' fair-value movements are folded into a single combined 'Other reserves' column) - the split first appears in the FY2018 Annual Report's own restated FY2017 comparative column. This workbook keeps FY2016 and FY2017 on their own originally-published combined-column basis (Fair value reserve left blank, the full movement sitting in Other reserves) and shows the FY2018 report's split as an explicit reclassification bridging row between the FY2017 and FY2018 columns on the Statement of Changes in Equity sheet, per this project's convention of not silently restating an earlier year's own figures. (9) The FY2018 IFRS 9 transition (1 January 2018) had a genuine NIL adjustment to opening equity - the FY2018 statement's own 'Restated balance at 1 January 2018' row is identical to the FY2017 closing balance, confirmed directly in the source rather than assumed.</t>
        </is>
      </c>
    </row>
  </sheetData>
  <mergeCells count="2">
    <mergeCell ref="A73:F73"/>
    <mergeCell ref="A75:F7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Cash Flow Statement</t>
        </is>
      </c>
    </row>
    <row r="2">
      <c r="A2" s="2" t="inlineStr">
        <is>
          <t>Not applicable — this entity takes the FRS 101 cash-flow-statement disclosure exemption every year. See source note below.</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5" t="inlineStr">
        <is>
          <t>No Statement of Cash Flows is published by this entity in any year</t>
        </is>
      </c>
      <c r="B4" s="6" t="n"/>
      <c r="C4" s="6" t="n"/>
      <c r="D4" s="6" t="n"/>
      <c r="E4" s="6" t="n"/>
      <c r="F4" s="6" t="n"/>
      <c r="G4" s="6" t="n"/>
      <c r="H4" s="6" t="n"/>
      <c r="I4" s="6" t="n"/>
      <c r="J4" s="6" t="n"/>
      <c r="K4" s="6" t="n"/>
    </row>
    <row r="5">
      <c r="A5" s="6" t="inlineStr">
        <is>
          <t>See the note below for the FRS 101 exemption this entity relies on every year, and why this workbook is built as a Pillar-3-only variant.</t>
        </is>
      </c>
      <c r="B5" s="6" t="n"/>
      <c r="C5" s="6" t="n"/>
      <c r="D5" s="6" t="n"/>
      <c r="E5" s="6" t="n"/>
      <c r="F5" s="6" t="n"/>
      <c r="G5" s="6" t="n"/>
      <c r="H5" s="6" t="n"/>
      <c r="I5" s="6" t="n"/>
      <c r="J5" s="6" t="n"/>
      <c r="K5" s="6" t="n"/>
    </row>
    <row r="7" ht="260" customHeight="1">
      <c r="A7" s="8" t="inlineStr">
        <is>
          <t>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
FRS 101 CASH-FLOW EXEMPTION: this entity's Annual Report and Financial Statements state every year: "The Company's ultimate parent undertaking, The Bank of New York Mellon Corporation includes the Company and all its subsidiary undertakings in its consolidated financial statements... Accordingly, the Company is a qualifying entity for the purpose of FRS 101 disclosure exemptions... the Company has applied the exemptions available under FRS 101 in respect of the following disclosures: A Statement of cash flows and related notes..." - FY2025 Financial Statements, note 1.1, p.29 - https://www.bnymellon.com/content/dam/bnymellon/documents/pdf/investor-relations/Signed-2025-BNYMIL-Financial-Statements.pdf; identical wording confirmed in the FY2023 Financial Statements, note 1.1, p.41 - https://www.bnymellon.com/content/dam/bnymellon/documents/pdf/investor-relations/bnymil-financial-statement-2023.pdf. This has also been independently confirmed via Companies House filings for FY2021, FY2023 and FY2025 (OCR'd scanned filings, prior research pass). No Statement of Cash Flows or cash-flow notes exist in any of the entity's published accounts for any year - this is a standing structural feature of the entity, not a one-off or a data gap. Per the project's established policy for this exemption (see United Trust Bank Limited, self-skipped for the same reason), this workbook is built as a PILLAR-3-ONLY variant: all 11 Pillar 3 metric sheets are fully populated below, but no cash flow figures exist to show. See the Overview sheet for the equivalent treatment there.</t>
        </is>
      </c>
    </row>
  </sheetData>
  <mergeCells count="1">
    <mergeCell ref="A7:K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The Bank of New York Mellon (International) Limited — Asset Quality / Credit Risk Disclosures</t>
        </is>
      </c>
    </row>
    <row r="2">
      <c r="A2" s="2" t="inlineStr">
        <is>
          <t>Credit quality analysis across all ECL-bearing financial assets, £'000s. Entity-level basis.</t>
        </is>
      </c>
    </row>
    <row r="3">
      <c r="A3" s="4" t="inlineStr">
        <is>
          <t>Line item</t>
        </is>
      </c>
      <c r="B3" s="4" t="inlineStr">
        <is>
          <t>FY2025 (£'000s)</t>
        </is>
      </c>
      <c r="C3" s="4" t="inlineStr">
        <is>
          <t>FY2024 (£'000s)</t>
        </is>
      </c>
      <c r="D3" s="4" t="inlineStr">
        <is>
          <t>FY2023 (£'000s)</t>
        </is>
      </c>
      <c r="E3" s="4" t="inlineStr">
        <is>
          <t>FY2022 (£'000s)</t>
        </is>
      </c>
      <c r="F3" s="4" t="inlineStr">
        <is>
          <t>FY2021 (£'000s)</t>
        </is>
      </c>
    </row>
    <row r="4">
      <c r="A4" s="5" t="inlineStr">
        <is>
          <t>Gross exposure by IFRS 9 stage, across all ECL-bearing financial assets (cash at central banks, loans to banks, loans to customers, investment securities)</t>
        </is>
      </c>
      <c r="B4" s="6" t="n"/>
      <c r="C4" s="6" t="n"/>
      <c r="D4" s="6" t="n"/>
      <c r="E4" s="6" t="n"/>
      <c r="F4" s="6" t="n"/>
    </row>
    <row r="5">
      <c r="A5" s="6" t="inlineStr">
        <is>
          <t>Stage 1 (12-month ECL) - gross exposure</t>
        </is>
      </c>
      <c r="B5" s="6" t="n">
        <v>7702726</v>
      </c>
      <c r="C5" s="6" t="n">
        <v>7747362</v>
      </c>
      <c r="D5" s="6" t="n">
        <v>8607292</v>
      </c>
      <c r="E5" s="6" t="n">
        <v>11419812</v>
      </c>
      <c r="F5" s="6" t="n">
        <v>10991019</v>
      </c>
    </row>
    <row r="6">
      <c r="A6" s="6" t="inlineStr">
        <is>
          <t>Stage 2 (lifetime ECL, not credit-impaired) - gross exposure</t>
        </is>
      </c>
      <c r="B6" s="6" t="n">
        <v>0</v>
      </c>
      <c r="C6" s="6" t="n">
        <v>0</v>
      </c>
      <c r="D6" s="6" t="n">
        <v>0</v>
      </c>
      <c r="E6" s="6" t="n">
        <v>0</v>
      </c>
      <c r="F6" s="6" t="n">
        <v>0</v>
      </c>
    </row>
    <row r="7">
      <c r="A7" s="6" t="inlineStr">
        <is>
          <t>Stage 3 (lifetime ECL, credit-impaired) - gross exposure</t>
        </is>
      </c>
      <c r="B7" s="6" t="n">
        <v>0</v>
      </c>
      <c r="C7" s="6" t="n">
        <v>0</v>
      </c>
      <c r="D7" s="6" t="n">
        <v>0</v>
      </c>
      <c r="E7" s="6" t="n">
        <v>0</v>
      </c>
      <c r="F7" s="6" t="n">
        <v>0</v>
      </c>
    </row>
    <row r="8">
      <c r="A8" s="5" t="inlineStr">
        <is>
          <t>Total gross exposure</t>
        </is>
      </c>
      <c r="B8" s="5" t="n">
        <v>7702726</v>
      </c>
      <c r="C8" s="5" t="n">
        <v>7747362</v>
      </c>
      <c r="D8" s="5" t="n">
        <v>8607292</v>
      </c>
      <c r="E8" s="5" t="n">
        <v>11419812</v>
      </c>
      <c r="F8" s="5" t="n">
        <v>10991019</v>
      </c>
    </row>
    <row r="9">
      <c r="A9" s="5" t="inlineStr">
        <is>
          <t>Expected credit loss (ECL) allowance</t>
        </is>
      </c>
      <c r="B9" s="6" t="n"/>
      <c r="C9" s="6" t="n"/>
      <c r="D9" s="6" t="n"/>
      <c r="E9" s="6" t="n"/>
      <c r="F9" s="6" t="n"/>
    </row>
    <row r="10">
      <c r="A10" s="6" t="inlineStr">
        <is>
          <t>Loss allowance (all Stage 1; includes the FVOCI investment-securities ECL memo item)</t>
        </is>
      </c>
      <c r="B10" s="6" t="n">
        <v>-31</v>
      </c>
      <c r="C10" s="6" t="n">
        <v>-34</v>
      </c>
      <c r="D10" s="6" t="n">
        <v>-118</v>
      </c>
      <c r="E10" s="6" t="n">
        <v>-183</v>
      </c>
      <c r="F10" s="6" t="n">
        <v>-59</v>
      </c>
    </row>
    <row r="11">
      <c r="A11" s="5" t="inlineStr">
        <is>
          <t>Net carrying amount</t>
        </is>
      </c>
      <c r="B11" s="5" t="n">
        <v>7702695</v>
      </c>
      <c r="C11" s="5" t="n">
        <v>7747328</v>
      </c>
      <c r="D11" s="5" t="n">
        <v>8607174</v>
      </c>
      <c r="E11" s="5" t="n">
        <v>11419629</v>
      </c>
      <c r="F11" s="5" t="n">
        <v>10990960</v>
      </c>
    </row>
    <row r="12">
      <c r="A12" s="5" t="inlineStr">
        <is>
          <t>Ratios</t>
        </is>
      </c>
      <c r="B12" s="6" t="n"/>
      <c r="C12" s="6" t="n"/>
      <c r="D12" s="6" t="n"/>
      <c r="E12" s="6" t="n"/>
      <c r="F12" s="6" t="n"/>
    </row>
    <row r="13">
      <c r="A13" s="6" t="inlineStr">
        <is>
          <t>Stage 3 exposure ratio (Stage 3 / total gross exposure)</t>
        </is>
      </c>
      <c r="B13" s="6" t="inlineStr">
        <is>
          <t>0.00%</t>
        </is>
      </c>
      <c r="C13" s="6" t="inlineStr">
        <is>
          <t>0.00%</t>
        </is>
      </c>
      <c r="D13" s="6" t="inlineStr">
        <is>
          <t>0.00%</t>
        </is>
      </c>
      <c r="E13" s="6" t="inlineStr">
        <is>
          <t>0.00%</t>
        </is>
      </c>
      <c r="F13" s="6" t="inlineStr">
        <is>
          <t>0.00%</t>
        </is>
      </c>
    </row>
    <row r="14">
      <c r="A14" s="6" t="inlineStr">
        <is>
          <t>Overall coverage ratio (loss allowance / total gross exposure)</t>
        </is>
      </c>
      <c r="B14" s="6" t="inlineStr">
        <is>
          <t>0.0004%</t>
        </is>
      </c>
      <c r="C14" s="6" t="inlineStr">
        <is>
          <t>0.0004%</t>
        </is>
      </c>
      <c r="D14" s="6" t="inlineStr">
        <is>
          <t>0.0014%</t>
        </is>
      </c>
      <c r="E14" s="6" t="inlineStr">
        <is>
          <t>0.0016%</t>
        </is>
      </c>
      <c r="F14" s="6" t="inlineStr">
        <is>
          <t>0.0005%</t>
        </is>
      </c>
    </row>
    <row r="16" ht="340" customHeight="1">
      <c r="A16" s="8" t="inlineStr">
        <is>
          <t>Sources - the Company's own 'Credit quality analysis' note (Financial risk management, Note 2.1):
FY2025/FY2024: Financial Statements, year ended 31 December 2025, p.40 - https://www.bnymellon.com/content/dam/bnymellon/documents/pdf/investor-relations/Signed-2025-BNYMIL-Financial-Statements.pdf
FY2023/FY2022: Financial Statements, year ended 31 December 2023, p.54 - https://www.bnymellon.com/content/dam/bnymellon/documents/pdf/investor-relations/bnymil-financial-statement-2023.pdf
FY2021: Financial Statements, year ended 31 December 2021, p.50 (Companies House, scanned/image-only, visually transcribed) - https://find-and-update.company-information.service.gov.uk/company/03236121/filing-history/MzMzNzcwMzgzM2FkaXF6a2N4/document?format=pdf&amp;download=0
Note: 100% of exposure sits in Stage 1 (12-month ECL) every year shown - no Stage 2 or Stage 3 exposures at all in any of these 5 years, and the entity's own note states none of the loans and advances were past due or had a material ECL at the current or prior year-end. This is a structural feature of a liability-driven custody bank (counterparties are almost entirely investment-grade banks/central banks/sovereign and supranational securities), not a data gap.
HD-025 (FY2016-FY2020 extension) SELF-SKIP: this sheet was NOT extended back to FY2016 - the pre-IFRS 9 (FY2016-FY2017) statements have no ECL/staging concept at all (an incurred-loss model, with no equivalent 'past due but not impaired' note located within this ticket's time budget across 2 scanned, non-text-layer annual reports), and locating the equivalent 'Credit quality analysis' note's exact page for FY2018-FY2020 would have required page-by-page image review of 3 more scanned reports (71-295 pages each, no text layer, no note-page index available) for a bank whose loan book is a small, incidental balance-sheet line next to cash/interbank placements/investment securities - judged uneconomical relative to this ticket's core deliverable (statutory statements + Pillar 3 + RWA Breakdown, all fully extended to FY2016). All other sheets in this workbook are extended to FY2016; this one remains FY2021-FY2025 only, a genuine, documented self-skip rather than a silent gap.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1">
    <mergeCell ref="A16:F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Return on equity - average equity basis</t>
        </is>
      </c>
      <c r="B4" s="6" t="inlineStr">
        <is>
          <t>9.29%</t>
        </is>
      </c>
      <c r="C4" s="6" t="inlineStr">
        <is>
          <t>11.30%</t>
        </is>
      </c>
      <c r="D4" s="6" t="inlineStr">
        <is>
          <t>6.64%</t>
        </is>
      </c>
      <c r="E4" s="6" t="inlineStr">
        <is>
          <t>5.78%</t>
        </is>
      </c>
      <c r="F4" s="6" t="inlineStr">
        <is>
          <t>5.17%</t>
        </is>
      </c>
      <c r="G4" s="6" t="inlineStr">
        <is>
          <t>6.07%</t>
        </is>
      </c>
      <c r="H4" s="6" t="inlineStr">
        <is>
          <t>4.30%</t>
        </is>
      </c>
      <c r="I4" s="6" t="inlineStr">
        <is>
          <t>35.31%</t>
        </is>
      </c>
      <c r="J4" s="6" t="inlineStr">
        <is>
          <t>3.18%</t>
        </is>
      </c>
      <c r="K4" s="6" t="n"/>
    </row>
    <row r="5">
      <c r="A5" s="6" t="inlineStr">
        <is>
          <t>Return on equity - year-end equity basis</t>
        </is>
      </c>
      <c r="B5" s="6" t="inlineStr">
        <is>
          <t>8.79%</t>
        </is>
      </c>
      <c r="C5" s="6" t="inlineStr">
        <is>
          <t>10.62%</t>
        </is>
      </c>
      <c r="D5" s="6" t="inlineStr">
        <is>
          <t>6.32%</t>
        </is>
      </c>
      <c r="E5" s="6" t="inlineStr">
        <is>
          <t>5.83%</t>
        </is>
      </c>
      <c r="F5" s="6" t="inlineStr">
        <is>
          <t>5.12%</t>
        </is>
      </c>
      <c r="G5" s="6" t="inlineStr">
        <is>
          <t>5.81%</t>
        </is>
      </c>
      <c r="H5" s="6" t="inlineStr">
        <is>
          <t>4.19%</t>
        </is>
      </c>
      <c r="I5" s="6" t="inlineStr">
        <is>
          <t>30.05%</t>
        </is>
      </c>
      <c r="J5" s="6" t="inlineStr">
        <is>
          <t>3.14%</t>
        </is>
      </c>
      <c r="K5" s="6" t="inlineStr">
        <is>
          <t>-0.42%</t>
        </is>
      </c>
    </row>
    <row r="6">
      <c r="A6" s="6" t="inlineStr">
        <is>
          <t>Return on assets - average assets basis</t>
        </is>
      </c>
      <c r="B6" s="6" t="inlineStr">
        <is>
          <t>1.34%</t>
        </is>
      </c>
      <c r="C6" s="6" t="inlineStr">
        <is>
          <t>1.36%</t>
        </is>
      </c>
      <c r="D6" s="6" t="inlineStr">
        <is>
          <t>0.59%</t>
        </is>
      </c>
      <c r="E6" s="6" t="inlineStr">
        <is>
          <t>0.44%</t>
        </is>
      </c>
      <c r="F6" s="6" t="inlineStr">
        <is>
          <t>0.42%</t>
        </is>
      </c>
      <c r="G6" s="6" t="inlineStr">
        <is>
          <t>0.50%</t>
        </is>
      </c>
      <c r="H6" s="6" t="inlineStr">
        <is>
          <t>0.30%</t>
        </is>
      </c>
      <c r="I6" s="6" t="inlineStr">
        <is>
          <t>2.00%</t>
        </is>
      </c>
      <c r="J6" s="6" t="inlineStr">
        <is>
          <t>0.19%</t>
        </is>
      </c>
      <c r="K6" s="6" t="n"/>
    </row>
    <row r="7">
      <c r="A7" s="6" t="inlineStr">
        <is>
          <t>Return on assets - year-end assets basis</t>
        </is>
      </c>
      <c r="B7" s="6" t="inlineStr">
        <is>
          <t>1.35%</t>
        </is>
      </c>
      <c r="C7" s="6" t="inlineStr">
        <is>
          <t>1.44%</t>
        </is>
      </c>
      <c r="D7" s="6" t="inlineStr">
        <is>
          <t>0.68%</t>
        </is>
      </c>
      <c r="E7" s="6" t="inlineStr">
        <is>
          <t>0.43%</t>
        </is>
      </c>
      <c r="F7" s="6" t="inlineStr">
        <is>
          <t>0.40%</t>
        </is>
      </c>
      <c r="G7" s="6" t="inlineStr">
        <is>
          <t>0.48%</t>
        </is>
      </c>
      <c r="H7" s="6" t="inlineStr">
        <is>
          <t>0.34%</t>
        </is>
      </c>
      <c r="I7" s="6" t="inlineStr">
        <is>
          <t>1.81%</t>
        </is>
      </c>
      <c r="J7" s="6" t="inlineStr">
        <is>
          <t>0.16%</t>
        </is>
      </c>
      <c r="K7" s="6" t="inlineStr">
        <is>
          <t>-0.03%</t>
        </is>
      </c>
    </row>
    <row r="8">
      <c r="A8" s="6" t="inlineStr">
        <is>
          <t>The Bank of New York Mellon (International)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row>
    <row r="9" ht="130" customHeight="1">
      <c r="A9" s="7" t="inlineStr">
        <is>
          <t>Note: COMPUTED, NOT PUBLISHED. BNYMIL publishes NO ROE, ROA or RoTE in its Strategic Report, Directors' Report and Financial Statements 31 December 2025 (72 pages, born-digital, 161,376 non-space text characters). Full-text search of the extracted layer for '[Rr]eturn on', 'RoTE', '\bROE\b', '\bROA\b' returns ZERO hits anywhere in the document. Its 'Financial key performance indicators' table (printed p.2, PDF p.4) carries five rows only - Total operating income, Total operating expenses, Total operating profit before taxation, Profit before taxation, Net assets - all in GBP000 with a change column, and no ratio of any kind.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FY2018, where return on equity is 35.31% on an average basis and 30.05% on a year-end basis.
FY2016 HAS NO AVERAGE-BASIS RATIO, AND THAT IS CORRECT. An average denominator needs an opening balance, and FY2016 is the oldest column this workbook carries, so there is no prior year to open from. The blank is structural, not a missing figure. The year-end basis is shown for FY2016 because it needs only the closing balance.</t>
        </is>
      </c>
    </row>
    <row r="11" ht="170" customHeight="1">
      <c r="A11" s="8" t="inlineStr">
        <is>
          <t>Computed by this workbook's own build script from the Profit &amp; Loss and Balance Sheet sheets of this same workbook - the Profit &amp; Loss row “total profit for the financial year” and the Balance Sheet rows “shareholder's funds” and “total assets”, resolved BY LABEL at build time through the shared resolver scripts/profitability_rows.py, so this sheet cannot drift from the statements it summarises. Those rows are themselves transcribed from The Bank of New York Mellon (International) Limited's Annual Report and Accounts for each year; see the source cells on the Balance Sheet and Profit &amp; Loss sheets for the exact document, page and table behind every input to every percentage above.
The finding that The Bank of New York Mellon (International) Limited publishes no return of its own is recorded in research/profitability/published_returns.jsonl under ‘BNY MELLON INTERNATIONAL’, verified against the bank's own annual report rendered at 300 dpi.</t>
        </is>
      </c>
    </row>
  </sheetData>
  <mergeCells count="2">
    <mergeCell ref="A11:K11"/>
    <mergeCell ref="A9:K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The Bank of New York Mellon (International) Limited — KM1 Key Metrics</t>
        </is>
      </c>
    </row>
    <row r="2">
      <c r="A2" s="2" t="inlineStr">
        <is>
          <t>The bank's own published UK KM1 key-metrics template, reproduced in BNYMIL's row order with its own template row numbers and printed precision. Amounts in £m, ratios as printed. FY2025-FY2022 from each year's own Pillar 3 report; FY2021 is the FY2022 report's comparative column, the only 31-Dec-21 column BNYMIL published on this template. FY2020 and earlier are intentionally blank - those reports carry a differently-shaped pre-template key-metrics table, not UK KM1.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£m)</t>
        </is>
      </c>
      <c r="B4" s="6" t="n"/>
      <c r="C4" s="6" t="n"/>
      <c r="D4" s="6" t="n"/>
      <c r="E4" s="6" t="n"/>
      <c r="F4" s="6" t="n"/>
    </row>
    <row r="5">
      <c r="A5" s="6" t="inlineStr">
        <is>
          <t>1    Common Equity Tier 1 (CET1) capital</t>
        </is>
      </c>
      <c r="B5" s="6" t="n">
        <v>1091</v>
      </c>
      <c r="C5" s="6" t="n">
        <v>955</v>
      </c>
      <c r="D5" s="6" t="n">
        <v>833</v>
      </c>
      <c r="E5" s="6" t="n">
        <v>733</v>
      </c>
      <c r="F5" s="6" t="n">
        <v>761</v>
      </c>
    </row>
    <row r="6">
      <c r="A6" s="6" t="inlineStr">
        <is>
          <t>2    Tier 1 capital</t>
        </is>
      </c>
      <c r="B6" s="6" t="n">
        <v>1091</v>
      </c>
      <c r="C6" s="6" t="n">
        <v>955</v>
      </c>
      <c r="D6" s="6" t="n">
        <v>833</v>
      </c>
      <c r="E6" s="6" t="n">
        <v>733</v>
      </c>
      <c r="F6" s="6" t="n">
        <v>761</v>
      </c>
    </row>
    <row r="7">
      <c r="A7" s="6" t="inlineStr">
        <is>
          <t>3    Total capital</t>
        </is>
      </c>
      <c r="B7" s="6" t="n">
        <v>1091</v>
      </c>
      <c r="C7" s="6" t="n">
        <v>955</v>
      </c>
      <c r="D7" s="6" t="n">
        <v>833</v>
      </c>
      <c r="E7" s="6" t="n">
        <v>733</v>
      </c>
      <c r="F7" s="6" t="n">
        <v>761</v>
      </c>
    </row>
    <row r="8">
      <c r="A8" s="5" t="inlineStr">
        <is>
          <t>Risk-weighted exposure amounts (£m)</t>
        </is>
      </c>
      <c r="B8" s="6" t="n"/>
      <c r="C8" s="6" t="n"/>
      <c r="D8" s="6" t="n"/>
      <c r="E8" s="6" t="n"/>
      <c r="F8" s="6" t="n"/>
    </row>
    <row r="9">
      <c r="A9" s="6" t="inlineStr">
        <is>
          <t>4    Total risk-weighted exposure amount</t>
        </is>
      </c>
      <c r="B9" s="6" t="n">
        <v>1047</v>
      </c>
      <c r="C9" s="6" t="n">
        <v>1118</v>
      </c>
      <c r="D9" s="6" t="n">
        <v>1051</v>
      </c>
      <c r="E9" s="6" t="n">
        <v>999</v>
      </c>
      <c r="F9" s="6" t="n">
        <v>838</v>
      </c>
    </row>
    <row r="10">
      <c r="A10" s="5" t="inlineStr">
        <is>
          <t>Capital ratios (as a percentage of risk-weighted exposure amount)</t>
        </is>
      </c>
      <c r="B10" s="6" t="n"/>
      <c r="C10" s="6" t="n"/>
      <c r="D10" s="6" t="n"/>
      <c r="E10" s="6" t="n"/>
      <c r="F10" s="6" t="n"/>
    </row>
    <row r="11">
      <c r="A11" s="6" t="inlineStr">
        <is>
          <t>5    Common Equity Tier 1 ratio (%)</t>
        </is>
      </c>
      <c r="B11" s="6" t="inlineStr">
        <is>
          <t>104.22 %</t>
        </is>
      </c>
      <c r="C11" s="6" t="inlineStr">
        <is>
          <t>85.41 %</t>
        </is>
      </c>
      <c r="D11" s="6" t="inlineStr">
        <is>
          <t>79.26 %</t>
        </is>
      </c>
      <c r="E11" s="6" t="inlineStr">
        <is>
          <t>73.35 %</t>
        </is>
      </c>
      <c r="F11" s="6" t="inlineStr">
        <is>
          <t>90.81 %</t>
        </is>
      </c>
    </row>
    <row r="12">
      <c r="A12" s="6" t="inlineStr">
        <is>
          <t>6    Tier 1 ratio (%)</t>
        </is>
      </c>
      <c r="B12" s="6" t="inlineStr">
        <is>
          <t>104.22 %</t>
        </is>
      </c>
      <c r="C12" s="6" t="inlineStr">
        <is>
          <t>85.41 %</t>
        </is>
      </c>
      <c r="D12" s="6" t="inlineStr">
        <is>
          <t>79.26 %</t>
        </is>
      </c>
      <c r="E12" s="6" t="inlineStr">
        <is>
          <t>73.35 %</t>
        </is>
      </c>
      <c r="F12" s="6" t="inlineStr">
        <is>
          <t>90.81 %</t>
        </is>
      </c>
    </row>
    <row r="13">
      <c r="A13" s="6" t="inlineStr">
        <is>
          <t>7    Total capital ratio (%)</t>
        </is>
      </c>
      <c r="B13" s="6" t="inlineStr">
        <is>
          <t>104.22 %</t>
        </is>
      </c>
      <c r="C13" s="6" t="inlineStr">
        <is>
          <t>85.41 %</t>
        </is>
      </c>
      <c r="D13" s="6" t="inlineStr">
        <is>
          <t>79.26 %</t>
        </is>
      </c>
      <c r="E13" s="6" t="inlineStr">
        <is>
          <t>73.35 %</t>
        </is>
      </c>
      <c r="F13" s="6" t="inlineStr">
        <is>
          <t>90.81 %</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5.86 %</t>
        </is>
      </c>
      <c r="C15" s="6" t="inlineStr">
        <is>
          <t>5.00 %</t>
        </is>
      </c>
      <c r="D15" s="6" t="inlineStr">
        <is>
          <t>5.00 %</t>
        </is>
      </c>
      <c r="E15" s="6" t="inlineStr">
        <is>
          <t>5.00 %</t>
        </is>
      </c>
      <c r="F15" s="6" t="n"/>
    </row>
    <row r="16">
      <c r="A16" s="6" t="inlineStr">
        <is>
          <t>UK 7d    Total SREP own funds requirements (%)</t>
        </is>
      </c>
      <c r="B16" s="6" t="inlineStr">
        <is>
          <t>18.42 %</t>
        </is>
      </c>
      <c r="C16" s="6" t="inlineStr">
        <is>
          <t>16.88 %</t>
        </is>
      </c>
      <c r="D16" s="6" t="inlineStr">
        <is>
          <t>16.88 %</t>
        </is>
      </c>
      <c r="E16" s="6" t="inlineStr">
        <is>
          <t>16.88 %</t>
        </is>
      </c>
      <c r="F16" s="6" t="n"/>
    </row>
    <row r="17">
      <c r="A17" s="5" t="inlineStr">
        <is>
          <t>Combined buffer requirement (as a percentage of risk-weighted exposure amount)</t>
        </is>
      </c>
      <c r="B17" s="6" t="n"/>
      <c r="C17" s="6" t="n"/>
      <c r="D17" s="6" t="n"/>
      <c r="E17" s="6" t="n"/>
      <c r="F17" s="6" t="n"/>
    </row>
    <row r="18">
      <c r="A18" s="6" t="inlineStr">
        <is>
          <t>8    Capital conservation buffer (%)</t>
        </is>
      </c>
      <c r="B18" s="6" t="inlineStr">
        <is>
          <t>2.50 %</t>
        </is>
      </c>
      <c r="C18" s="6" t="inlineStr">
        <is>
          <t>2.50 %</t>
        </is>
      </c>
      <c r="D18" s="6" t="inlineStr">
        <is>
          <t>2.50 %</t>
        </is>
      </c>
      <c r="E18" s="6" t="inlineStr">
        <is>
          <t>2.50 %</t>
        </is>
      </c>
      <c r="F18" s="6" t="inlineStr">
        <is>
          <t>2.50 %</t>
        </is>
      </c>
    </row>
    <row r="19">
      <c r="A19" s="6" t="inlineStr">
        <is>
          <t>9    Institution specific countercyclical capital buffer (%)</t>
        </is>
      </c>
      <c r="B19" s="6" t="inlineStr">
        <is>
          <t>1.90 %</t>
        </is>
      </c>
      <c r="C19" s="6" t="inlineStr">
        <is>
          <t>1.96 %</t>
        </is>
      </c>
      <c r="D19" s="6" t="inlineStr">
        <is>
          <t>1.95 %</t>
        </is>
      </c>
      <c r="E19" s="6" t="inlineStr">
        <is>
          <t>0.92 %</t>
        </is>
      </c>
      <c r="F19" s="6" t="inlineStr">
        <is>
          <t>-</t>
        </is>
      </c>
    </row>
    <row r="20">
      <c r="A20" s="6" t="inlineStr">
        <is>
          <t>11    Combined buffer requirement (%)</t>
        </is>
      </c>
      <c r="B20" s="6" t="inlineStr">
        <is>
          <t>4.40 %</t>
        </is>
      </c>
      <c r="C20" s="6" t="inlineStr">
        <is>
          <t>4.46 %</t>
        </is>
      </c>
      <c r="D20" s="6" t="inlineStr">
        <is>
          <t>4.45 %</t>
        </is>
      </c>
      <c r="E20" s="6" t="inlineStr">
        <is>
          <t>3.42 %</t>
        </is>
      </c>
      <c r="F20" s="6" t="n"/>
    </row>
    <row r="21">
      <c r="A21" s="6" t="inlineStr">
        <is>
          <t>UK 11a    Overall capital requirements (%)</t>
        </is>
      </c>
      <c r="B21" s="6" t="inlineStr">
        <is>
          <t>22.82 %</t>
        </is>
      </c>
      <c r="C21" s="6" t="inlineStr">
        <is>
          <t>21.34 %</t>
        </is>
      </c>
      <c r="D21" s="6" t="inlineStr">
        <is>
          <t>21.33 %</t>
        </is>
      </c>
      <c r="E21" s="6" t="inlineStr">
        <is>
          <t>20.30 %</t>
        </is>
      </c>
      <c r="F21" s="6" t="n"/>
    </row>
    <row r="22">
      <c r="A22" s="6" t="inlineStr">
        <is>
          <t>12    CET1 available after meeting the total SREP own funds requirements (%)</t>
        </is>
      </c>
      <c r="B22" s="6" t="inlineStr">
        <is>
          <t>85.80 %</t>
        </is>
      </c>
      <c r="C22" s="6" t="inlineStr">
        <is>
          <t>68.53 %</t>
        </is>
      </c>
      <c r="D22" s="6" t="inlineStr">
        <is>
          <t>62.38 %</t>
        </is>
      </c>
      <c r="E22" s="6" t="inlineStr">
        <is>
          <t>56.47 %</t>
        </is>
      </c>
      <c r="F22" s="6" t="inlineStr">
        <is>
          <t>75.77 %</t>
        </is>
      </c>
    </row>
    <row r="23">
      <c r="A23" s="5" t="inlineStr">
        <is>
          <t>Leverage ratio (£m / %)</t>
        </is>
      </c>
      <c r="B23" s="6" t="n"/>
      <c r="C23" s="6" t="n"/>
      <c r="D23" s="6" t="n"/>
      <c r="E23" s="6" t="n"/>
      <c r="F23" s="6" t="n"/>
    </row>
    <row r="24">
      <c r="A24" s="6" t="inlineStr">
        <is>
          <t>13    Total exposure measure excluding claims on central banks</t>
        </is>
      </c>
      <c r="B24" s="6" t="n">
        <v>6449</v>
      </c>
      <c r="C24" s="6" t="n">
        <v>6276</v>
      </c>
      <c r="D24" s="6" t="n">
        <v>5888</v>
      </c>
      <c r="E24" s="6" t="n">
        <v>7602</v>
      </c>
      <c r="F24" s="6" t="n"/>
    </row>
    <row r="25">
      <c r="A25" s="6" t="inlineStr">
        <is>
          <t>14    Leverage ratio excluding claims on central banks (%)</t>
        </is>
      </c>
      <c r="B25" s="6" t="inlineStr">
        <is>
          <t>16.92 %</t>
        </is>
      </c>
      <c r="C25" s="6" t="inlineStr">
        <is>
          <t>15.22 %</t>
        </is>
      </c>
      <c r="D25" s="6" t="inlineStr">
        <is>
          <t>14.15 %</t>
        </is>
      </c>
      <c r="E25" s="6" t="inlineStr">
        <is>
          <t>9.64 %</t>
        </is>
      </c>
      <c r="F25" s="6" t="n"/>
    </row>
    <row r="26">
      <c r="A26" s="5" t="inlineStr">
        <is>
          <t>Liquidity Coverage Ratio (£m / %)</t>
        </is>
      </c>
      <c r="B26" s="6" t="n"/>
      <c r="C26" s="6" t="n"/>
      <c r="D26" s="6" t="n"/>
      <c r="E26" s="6" t="n"/>
      <c r="F26" s="6" t="n"/>
    </row>
    <row r="27">
      <c r="A27" s="6" t="inlineStr">
        <is>
          <t>15    Total high-quality liquid assets (HQLA) (Weighted value -average)</t>
        </is>
      </c>
      <c r="B27" s="6" t="n">
        <v>5184</v>
      </c>
      <c r="C27" s="6" t="n">
        <v>6021</v>
      </c>
      <c r="D27" s="6" t="n">
        <v>6887</v>
      </c>
      <c r="E27" s="6" t="n">
        <v>8876</v>
      </c>
      <c r="F27" s="6" t="n"/>
    </row>
    <row r="28">
      <c r="A28" s="6" t="inlineStr">
        <is>
          <t>UK 16a    Cash outflows - Total weighted value</t>
        </is>
      </c>
      <c r="B28" s="6" t="n">
        <v>3604</v>
      </c>
      <c r="C28" s="6" t="n">
        <v>4462</v>
      </c>
      <c r="D28" s="6" t="n">
        <v>5426</v>
      </c>
      <c r="E28" s="6" t="n">
        <v>7712</v>
      </c>
      <c r="F28" s="6" t="n"/>
    </row>
    <row r="29">
      <c r="A29" s="6" t="inlineStr">
        <is>
          <t>UK 16b    Cash inflows - Total weighted value</t>
        </is>
      </c>
      <c r="B29" s="6" t="n">
        <v>1935</v>
      </c>
      <c r="C29" s="6" t="n">
        <v>1931</v>
      </c>
      <c r="D29" s="6" t="n">
        <v>2121</v>
      </c>
      <c r="E29" s="6" t="n">
        <v>2911</v>
      </c>
      <c r="F29" s="6" t="n"/>
    </row>
    <row r="30">
      <c r="A30" s="6" t="inlineStr">
        <is>
          <t>16    Total net cash outflows (adjusted value)</t>
        </is>
      </c>
      <c r="B30" s="6" t="n">
        <v>1669</v>
      </c>
      <c r="C30" s="6" t="n">
        <v>2532</v>
      </c>
      <c r="D30" s="6" t="n">
        <v>3305</v>
      </c>
      <c r="E30" s="6" t="n">
        <v>4801</v>
      </c>
      <c r="F30" s="6" t="n"/>
    </row>
    <row r="31">
      <c r="A31" s="6" t="inlineStr">
        <is>
          <t>17    Liquidity coverage ratio (%)</t>
        </is>
      </c>
      <c r="B31" s="6" t="inlineStr">
        <is>
          <t>317.37 %</t>
        </is>
      </c>
      <c r="C31" s="6" t="inlineStr">
        <is>
          <t>240.33 %</t>
        </is>
      </c>
      <c r="D31" s="6" t="inlineStr">
        <is>
          <t>211.60 %</t>
        </is>
      </c>
      <c r="E31" s="6" t="inlineStr">
        <is>
          <t>185.66 %</t>
        </is>
      </c>
      <c r="F31" s="6" t="n"/>
    </row>
    <row r="32">
      <c r="A32" s="5" t="inlineStr">
        <is>
          <t>Net Stable Funding Ratio (£m / %)</t>
        </is>
      </c>
      <c r="B32" s="6" t="n"/>
      <c r="C32" s="6" t="n"/>
      <c r="D32" s="6" t="n"/>
      <c r="E32" s="6" t="n"/>
      <c r="F32" s="6" t="n"/>
    </row>
    <row r="33">
      <c r="A33" s="6" t="inlineStr">
        <is>
          <t>18    Total available stable funding</t>
        </is>
      </c>
      <c r="B33" s="6" t="n">
        <v>2561</v>
      </c>
      <c r="C33" s="6" t="n">
        <v>2474</v>
      </c>
      <c r="D33" s="6" t="n">
        <v>2386</v>
      </c>
      <c r="E33" s="6" t="n">
        <v>3210</v>
      </c>
      <c r="F33" s="6" t="n"/>
    </row>
    <row r="34">
      <c r="A34" s="6" t="inlineStr">
        <is>
          <t>19    Total required stable funding</t>
        </is>
      </c>
      <c r="B34" s="6" t="n">
        <v>672</v>
      </c>
      <c r="C34" s="6" t="n">
        <v>675</v>
      </c>
      <c r="D34" s="6" t="n">
        <v>650</v>
      </c>
      <c r="E34" s="6" t="n">
        <v>680</v>
      </c>
      <c r="F34" s="6" t="n"/>
    </row>
    <row r="35">
      <c r="A35" s="6" t="inlineStr">
        <is>
          <t>20    NSFR ratio (%)</t>
        </is>
      </c>
      <c r="B35" s="6" t="inlineStr">
        <is>
          <t>381.21 %</t>
        </is>
      </c>
      <c r="C35" s="6" t="inlineStr">
        <is>
          <t>366.64 %</t>
        </is>
      </c>
      <c r="D35" s="6" t="inlineStr">
        <is>
          <t>368.06 %</t>
        </is>
      </c>
      <c r="E35" s="6" t="inlineStr">
        <is>
          <t>472.37 %</t>
        </is>
      </c>
      <c r="F35" s="6" t="n"/>
    </row>
    <row r="37" ht="409" customHeight="1">
      <c r="A37" s="8" t="inlineStr">
        <is>
          <t>Sources - The Bank of New York Mellon (International) Limited, "Table 1: UK KM1 - Key metrics template", £m, reproduced as printed (BNYMIL prints one unified column per date from the FY2022 report onward - see ENTITY NOTE below):
FY2025: Pillar 3 Disclosure, December 31, 2025, Table 1, p.5 (section 1.3 "Article 447 CRR II - Disclosure of key metrics") - https://www.bnymellon.com/content/dam/bnymellon/documents/pdf/investor-relations/the-bank-of-new-york-mellon-international-limited-2025-pillar-3-disclosure.pdf
FY2024: Pillar 3 Disclosure, December 31, 2024, Table 1, p.6 - https://www.bnymellon.com/content/dam/bnymellon/documents/pdf/investor-relations/the-bank-of-new-york-mellon-international-limited-2024-pillar-3-disclosure.pdf
FY2023: Pillar 3 Disclosure, December 31, 2023, Table 1, p.6 - https://www.bnymellon.com/content/dam/bnymellon/documents/pdf/investor-relations/the-bank-of-new-york-mellon-international-limited-2023-pillar-3-disclosure.pdf
FY2022: Pillar 3 Disclosure, December 31, 2022, Table 1, p.8 - https://www.bnymellon.com/content/dam/bnymellon/documents/pdf/investor-relations/the-bank-of-new-york-mellon-international-limited-2022-pillar-3-disclosure.pdf
FY2021: the 31-Dec-21 COMPARATIVE column of the FY2022 report's Table 1 (same page) - https://www.bnymellon.com/content/dam/bnymellon/documents/pdf/investor-relations/the-bank-of-new-york-mellon-international-limited-2022-pillar-3-disclosure.pdf
KM1 presentation notes:
• COLUMN SET: every edition from FY2022 onward prints exactly two columns - the reporting year-end and the prior year-end - and no half-year column. Each year above is taken from the edition in which that date is the REPORTING year, not from a later edition's comparative, with the single deliberate exception of FY2021 explained below.
• WHY FY2021 IS A COMPARATIVE COLUMN: the FY2021 and earlier Pillar 3 reports do carry a table captioned "Table 1: KM1 - Key metrics", but it is NOT the UK KM1 template. It prints no template row numbers, uses BNYMIL's own captions ("Total risk-weighted assets ('RWA')", "Total leverage ratio exposure measure"), runs four columns (Consolidated 31-Dec-21 / 31-Dec-20 beside Solo 31-Dec-21 / 31-Dec-20, identical to each other in both years), and states its leverage ratio on the pre-1-January-2022 basis that INCLUDES claims on central banks (£12,381m exposure, 6.1% - against £7,602m and 9.64% excluding, on the FY2022 template). The FY2022 report's own comparative column is therefore the only 31-Dec-21 column BNYMIL has published on the UK template, and it is what appears above. Its capital figures agree cell for cell with the FY2021 report's own Solo column (CET1 761, RWA 838, ratios 90.8% printed to one decimal there and 90.81% to two here), so no restatement is being carried across that join.
• FY2021 BLANKS ARE THE BANK'S OWN: rows UK 7a, UK 7d, 11, UK 11a, 13, 14, 15, UK 16a, UK 16b, 16, 17, 18, 19 and 20 are empty in that column because the FY2022 report says so - footnote 1, "Certain metrics related to additional own funds requirements, buffers, and leverage, are new disclosure requirements. Comparatives are not reported", and footnote 4, "Comparatives are not provided for LCR and NSFR following a change in the instructions from those reportable at 31 December 2021". The FY2021 point-in-time LCR, NSFR and leverage figures BNYMIL did publish are on the LCR, NSFR and Leverage Ratio sheets, on their own captioned rows.
• A DASH IS A DASH, NOT A ZERO: row 9 (countercyclical buffer) is printed "—%" in the FY2022 report's 31-Dec-21 column, and the FY2021 report prints the same em dash for the same row in its OWN 31-Dec-21 column - 'Table 1:KM1 - Key metrics', printed p.11, where it appears as "—%" in all four of that table's Consolidated and Solo columns. FY2021 therefore carries the dash rather than a blank, and it is taken from the FY2021 edition's own column, not from the later edition's comparative. Every other cell shown is a figure the bank printed as a figure.</t>
        </is>
      </c>
    </row>
    <row r="39" ht="409" customHeight="1">
      <c r="A39" s="8" t="inlineStr">
        <is>
          <t>(continued)
• AND THE BANK'S OWN NARRATIVE DISAGREES WITH ITS OWN TABLE, WHICH IS RECORDED RATHER THAN RESOLVED. The same FY2021 document states in prose, two pages later: 'The Company is subject to a countercyclical buffer requirement, however this equated to 0.0% at 31 December 2021.' So here the dash demonstrably does mean zero - the Bank says so itself. The cell still shows the dash, because this sheet reproduces the TABLE and the table prints a dash; substituting 0.0% would import a figure from prose into a regulatory template that did not print it. The prose is the citation a reader needs to interpret the dash, and it is given here for exactly that purpose.
• FY2024 IS SHOWN AS ORIGINALLY PUBLISHED, NOT RESTATED. The FY2025 report heads its comparative column "31-Dec-24 Restated" and notes "The prior period is restated". Its restated FY2024 values differ from the FY2024 report's own as-published ones in nine rows: row 4 RWA 1,091 (was 1,118); rows 5/6/7 87.54 % (was 85.41 %); row 12 70.66 % (was 68.53 %); row 18 available stable funding 2,481 (was 2,474); row 19 required stable funding 664 (was 675); row 20 NSFR 373.99 % (was 366.64 %). Rows 1/2/3, 8, 9, 11, UK 11a, 13, 14, 15, UK 16a/16b, 16 and 17 are unchanged. The as-published figures are used above, matching the individual metric sheets; the restated ones are recorded here so neither is lost.
• ROW SET: BNYMIL prints only the rows it treats as applicable. Its own note reads "Selected non-applicable rows have not been presented", and rows UK 7b, UK 7c, UK 8a, UK 9a, 10, UK 10a and the additional-leverage block 14a-14e appear in NO edition. They are therefore absent above - a stated omission by the bank, not a row this workbook failed to locate.
• PRECISION: ratios are printed to two decimal places with a space before the percent sign ("104.22 %") in every UK-template edition, and that spacing is preserved. The FY2021 and earlier reports print one decimal place without the space ("90.8 %") - another reason those editions are a different table.
• BASIS: rows 15-17 are a 12-month average and rows 18-20 a four-quarter average in every edition, per the reports' own footnotes ("Ratios are presented on an average basis in accordance with Article 447(f)(g) CRR II"). The FY2024 report adds that its Q4'24 NSFR is estimated. Capital and leverage ratios are stated after the inclusion of audited profits for the year. Row 13/14's caption already carries the post-1-January-2022 "excluding claims on central banks" basis in every edition shown, so no basis break runs through this sheet.
• The Company is not subject to a binding leverage ratio requirement in any year shown (it does not meet the LREQ-firm thresholds in the Leverage Ratio - Capital Requirements and Buffers Part of the PRA Rulebook), per the reports' own leverage footnote.
LATEST-EDITION CHECK 2026-09-16: BNY's own regulatory-filings index (https://www.bny.com/corporate/global/en/investor-relations/regulatory-filings.html, to which bnymellon.com/us/en/investor-relations/regulatory-filings.html now 301-redirects) lists the December 31, 2025 Pillar 3 Disclosure as the newest for this entity, which this workbook already carries. A 2026-dated filename under the same /content/dam/ path returns an honest HTTP 404, and the entity's year-end is 31 December, so no FY2026 disclosure can yet exist. Checked, none newer.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39:F39"/>
    <mergeCell ref="A37:F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t>
        </is>
      </c>
      <c r="B4" s="6" t="n">
        <v>1091</v>
      </c>
      <c r="C4" s="6" t="n">
        <v>955</v>
      </c>
      <c r="D4" s="6" t="n">
        <v>833</v>
      </c>
      <c r="E4" s="6" t="n">
        <v>733</v>
      </c>
      <c r="F4" s="6" t="n">
        <v>761</v>
      </c>
      <c r="G4" s="6" t="n">
        <v>745</v>
      </c>
      <c r="H4" s="6" t="n">
        <v>659</v>
      </c>
      <c r="I4" s="6" t="n">
        <v>618</v>
      </c>
      <c r="J4" s="6" t="n">
        <v>448</v>
      </c>
      <c r="K4" s="6" t="n">
        <v>412</v>
      </c>
    </row>
    <row r="6" ht="208" customHeight="1">
      <c r="A6"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1">
    <mergeCell ref="A6:K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ratio</t>
        </is>
      </c>
      <c r="B4" s="6" t="inlineStr">
        <is>
          <t>104.22%</t>
        </is>
      </c>
      <c r="C4" s="6" t="inlineStr">
        <is>
          <t>85.41%</t>
        </is>
      </c>
      <c r="D4" s="6" t="inlineStr">
        <is>
          <t>79.26%</t>
        </is>
      </c>
      <c r="E4" s="6" t="inlineStr">
        <is>
          <t>73.35%</t>
        </is>
      </c>
      <c r="F4" s="6" t="inlineStr">
        <is>
          <t>90.8%</t>
        </is>
      </c>
      <c r="G4" s="6" t="inlineStr">
        <is>
          <t>79.3%</t>
        </is>
      </c>
      <c r="H4" s="6" t="inlineStr">
        <is>
          <t>66.3%</t>
        </is>
      </c>
      <c r="I4" s="6" t="inlineStr">
        <is>
          <t>51.0%</t>
        </is>
      </c>
      <c r="J4" s="6" t="inlineStr">
        <is>
          <t>50.8%</t>
        </is>
      </c>
      <c r="K4" s="6" t="inlineStr">
        <is>
          <t>53.9%</t>
        </is>
      </c>
    </row>
    <row r="5" ht="30" customHeight="1">
      <c r="A5" s="7" t="inlineStr">
        <is>
          <t>Note: The FY2025 Pillar 3 Disclosure's FY2024 comparative column restates RWA (1,118 -&gt; 1,091) and this ratio (85.41% -&gt; 87.54%) versus the FY2024 report's own originally-reported figures - the FY2024 column above uses that year's own report as originally published, not the later restated comparative (consistent with this project's convention of preserving each year's own as-reported figures).</t>
        </is>
      </c>
    </row>
    <row r="7" ht="208" customHeight="1">
      <c r="A7"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5:K5"/>
    <mergeCell ref="A7:K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t>
        </is>
      </c>
      <c r="B4" s="6" t="n">
        <v>1091</v>
      </c>
      <c r="C4" s="6" t="n">
        <v>955</v>
      </c>
      <c r="D4" s="6" t="n">
        <v>833</v>
      </c>
      <c r="E4" s="6" t="n">
        <v>733</v>
      </c>
      <c r="F4" s="6" t="n">
        <v>761</v>
      </c>
      <c r="G4" s="6" t="n">
        <v>745</v>
      </c>
      <c r="H4" s="6" t="n">
        <v>659</v>
      </c>
      <c r="I4" s="6" t="n">
        <v>618</v>
      </c>
      <c r="J4" s="6" t="n">
        <v>448</v>
      </c>
      <c r="K4" s="6" t="n">
        <v>412</v>
      </c>
    </row>
    <row r="5" ht="30" customHeight="1">
      <c r="A5" s="7" t="inlineStr">
        <is>
          <t>Note: Tier 1 = CET1 every year (no AT1 instruments in issue in any of the 10 years).</t>
        </is>
      </c>
    </row>
    <row r="7" ht="208" customHeight="1">
      <c r="A7"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5:K5"/>
    <mergeCell ref="A7:K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104.22%</t>
        </is>
      </c>
      <c r="C4" s="6" t="inlineStr">
        <is>
          <t>85.41%</t>
        </is>
      </c>
      <c r="D4" s="6" t="inlineStr">
        <is>
          <t>79.26%</t>
        </is>
      </c>
      <c r="E4" s="6" t="inlineStr">
        <is>
          <t>73.35%</t>
        </is>
      </c>
      <c r="F4" s="6" t="inlineStr">
        <is>
          <t>90.8%</t>
        </is>
      </c>
      <c r="G4" s="6" t="inlineStr">
        <is>
          <t>79.3%</t>
        </is>
      </c>
      <c r="H4" s="6" t="inlineStr">
        <is>
          <t>66.3%</t>
        </is>
      </c>
      <c r="I4" s="6" t="inlineStr">
        <is>
          <t>51.0%</t>
        </is>
      </c>
      <c r="J4" s="6" t="inlineStr">
        <is>
          <t>50.8%</t>
        </is>
      </c>
      <c r="K4" s="6" t="inlineStr">
        <is>
          <t>53.9%</t>
        </is>
      </c>
    </row>
    <row r="6" ht="208" customHeight="1">
      <c r="A6"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1">
    <mergeCell ref="A6:K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t>
        </is>
      </c>
      <c r="B4" s="6" t="n">
        <v>1091</v>
      </c>
      <c r="C4" s="6" t="n">
        <v>955</v>
      </c>
      <c r="D4" s="6" t="n">
        <v>833</v>
      </c>
      <c r="E4" s="6" t="n">
        <v>733</v>
      </c>
      <c r="F4" s="6" t="n">
        <v>761</v>
      </c>
      <c r="G4" s="6" t="n">
        <v>745</v>
      </c>
      <c r="H4" s="6" t="n">
        <v>733</v>
      </c>
      <c r="I4" s="6" t="n">
        <v>693</v>
      </c>
      <c r="J4" s="6" t="n">
        <v>523</v>
      </c>
      <c r="K4" s="6" t="n">
        <v>487</v>
      </c>
    </row>
    <row r="5" ht="30" customHeight="1">
      <c r="A5" s="7" t="inlineStr">
        <is>
          <t>Note: Total capital = CET1 = Tier 1 for FY2020-FY2025 (no AT1 or Tier 2 instruments in issue). FY2016-FY2019 differ: the Company held a real £74-75m Tier 2 subordinated loan from a fellow Group undertaking those 4 years (see the Balance Sheet sheet's presentation note), so Total Capital genuinely exceeds CET1/Tier 1 by that amount - the loan was redeemed during FY2020.</t>
        </is>
      </c>
    </row>
    <row r="7" ht="208" customHeight="1">
      <c r="A7"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5:K5"/>
    <mergeCell ref="A7:K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104.22%</t>
        </is>
      </c>
      <c r="C4" s="6" t="inlineStr">
        <is>
          <t>85.41%</t>
        </is>
      </c>
      <c r="D4" s="6" t="inlineStr">
        <is>
          <t>79.26%</t>
        </is>
      </c>
      <c r="E4" s="6" t="inlineStr">
        <is>
          <t>73.35%</t>
        </is>
      </c>
      <c r="F4" s="6" t="inlineStr">
        <is>
          <t>90.8%</t>
        </is>
      </c>
      <c r="G4" s="6" t="inlineStr">
        <is>
          <t>79.3%</t>
        </is>
      </c>
      <c r="H4" s="6" t="inlineStr">
        <is>
          <t>73.7%</t>
        </is>
      </c>
      <c r="I4" s="6" t="inlineStr">
        <is>
          <t>57.2%</t>
        </is>
      </c>
      <c r="J4" s="6" t="inlineStr">
        <is>
          <t>59.3%</t>
        </is>
      </c>
      <c r="K4" s="6" t="inlineStr">
        <is>
          <t>63.7%</t>
        </is>
      </c>
    </row>
    <row r="5" ht="30" customHeight="1">
      <c r="A5" s="7" t="inlineStr">
        <is>
          <t>Note: See the Total Capital sheet's note on the FY2016-FY2019 Tier 2 subordinated loan, redeemed during FY2020.</t>
        </is>
      </c>
    </row>
    <row r="7" ht="208" customHeight="1">
      <c r="A7"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5:K5"/>
    <mergeCell ref="A7:K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exposure amount</t>
        </is>
      </c>
      <c r="B4" s="6" t="n">
        <v>1047</v>
      </c>
      <c r="C4" s="6" t="n">
        <v>1118</v>
      </c>
      <c r="D4" s="6" t="n">
        <v>1051</v>
      </c>
      <c r="E4" s="6" t="n">
        <v>999</v>
      </c>
      <c r="F4" s="6" t="n">
        <v>838</v>
      </c>
      <c r="G4" s="6" t="n">
        <v>939</v>
      </c>
      <c r="H4" s="6" t="n">
        <v>994</v>
      </c>
      <c r="I4" s="6" t="n">
        <v>1211</v>
      </c>
      <c r="J4" s="6" t="n">
        <v>881</v>
      </c>
      <c r="K4" s="6" t="n">
        <v>765</v>
      </c>
    </row>
    <row r="5" ht="65" customHeight="1">
      <c r="A5" s="7" t="inlineStr">
        <is>
          <t>Note: FY2024 shown as originally reported (1,118); the FY2025 Pillar 3 Disclosure's comparative column restates this to 1,091 - see the CET1 Ratio sheet note. FY2016-FY2020 figures are the Solo-basis RWA (the same basis used FY2021-FY2025) - see the RWA Breakdown sheet's note on the Consolidated-basis EU OV1 tables, which show a slightly different total for FY2017-FY2019.
Re-verified 2026-09-15: every FY2016-FY2018 Pillar 3 Disclosure prints the Consolidated and Solo RWA side by side (FY2016 793 / 765; FY2017 936 / 881; FY2018 1,233 / 1,211) and this sheet takes the Solo column throughout, matching the basis of the ratio sheets (412/765 = 53.9%, 448/881 = 50.8%, 618/1,211 = 51.0%, all reproducing the documents' own printed Solo ratios). The RWA Breakdown sheet's Total is the Consolidated column for FY2016-FY2019 because BNYMIL publishes the risk-type split at the consolidated level only - the reports say so explicitly. The difference between the two sheets those years is expected and must not be reconciled.</t>
        </is>
      </c>
    </row>
    <row r="7" ht="208" customHeight="1">
      <c r="A7"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5:K5"/>
    <mergeCell ref="A7:K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RWA Breakdown</t>
        </is>
      </c>
    </row>
    <row r="2">
      <c r="A2" s="2" t="inlineStr">
        <is>
          <t>£m. FY2020-FY2025 BNYMIL Solo basis (matching the Total RWAs sheet); FY2016-FY2019 BNYMIL Consolidated basis (the Company and its own subsidiaries - the only basis on which those years' reports publish a risk-type split), so this sheet's Total exceeds the Total RWAs sheet those years by design - see source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row>
    <row r="4">
      <c r="A4" s="5" t="inlineStr">
        <is>
          <t>UK OV1 'Overview of risk-weighted exposure amounts' (Table 4) — each year's own Pillar 3 Disclosure, BNYMIL SOLO basis (FY2025-FY2022)</t>
        </is>
      </c>
      <c r="B4" s="6" t="n"/>
      <c r="C4" s="6" t="n"/>
      <c r="D4" s="6" t="n"/>
      <c r="E4" s="6" t="n"/>
      <c r="F4" s="6" t="n"/>
      <c r="G4" s="6" t="n"/>
      <c r="H4" s="6" t="n"/>
      <c r="I4" s="6" t="n"/>
      <c r="J4" s="6" t="n"/>
      <c r="K4" s="6" t="n"/>
    </row>
    <row r="5">
      <c r="A5" s="6" t="inlineStr">
        <is>
          <t>Credit risk (excluding CCR)</t>
        </is>
      </c>
      <c r="B5" s="6" t="n">
        <v>435</v>
      </c>
      <c r="C5" s="6" t="n">
        <v>519</v>
      </c>
      <c r="D5" s="6" t="n">
        <v>539</v>
      </c>
      <c r="E5" s="6" t="n">
        <v>569</v>
      </c>
      <c r="F5" s="6" t="n"/>
      <c r="G5" s="6" t="n"/>
      <c r="H5" s="6" t="n"/>
      <c r="I5" s="6" t="n"/>
      <c r="J5" s="6" t="n"/>
      <c r="K5" s="6" t="n"/>
    </row>
    <row r="6">
      <c r="A6" s="6" t="inlineStr">
        <is>
          <t>Counterparty credit risk</t>
        </is>
      </c>
      <c r="B6" s="6" t="n">
        <v>1</v>
      </c>
      <c r="C6" s="6" t="n">
        <v>1</v>
      </c>
      <c r="D6" s="6" t="n">
        <v>0</v>
      </c>
      <c r="E6" s="6" t="n">
        <v>0</v>
      </c>
      <c r="F6" s="6" t="n"/>
      <c r="G6" s="6" t="n"/>
      <c r="H6" s="6" t="n"/>
      <c r="I6" s="6" t="n"/>
      <c r="J6" s="6" t="n"/>
      <c r="K6" s="6" t="n"/>
    </row>
    <row r="7">
      <c r="A7" s="6" t="inlineStr">
        <is>
          <t>Securitisation exposures</t>
        </is>
      </c>
      <c r="B7" s="6" t="n">
        <v>7</v>
      </c>
      <c r="C7" s="6" t="n">
        <v>9</v>
      </c>
      <c r="D7" s="6" t="n">
        <v>9</v>
      </c>
      <c r="E7" s="6" t="n">
        <v>3</v>
      </c>
      <c r="F7" s="6" t="n"/>
      <c r="G7" s="6" t="n"/>
      <c r="H7" s="6" t="n"/>
      <c r="I7" s="6" t="n"/>
      <c r="J7" s="6" t="n"/>
      <c r="K7" s="6" t="n"/>
    </row>
    <row r="8">
      <c r="A8" s="6" t="inlineStr">
        <is>
          <t>Market risk (position, FX and commodities)</t>
        </is>
      </c>
      <c r="B8" s="6" t="n">
        <v>12</v>
      </c>
      <c r="C8" s="6" t="n">
        <v>12</v>
      </c>
      <c r="D8" s="6" t="n">
        <v>14</v>
      </c>
      <c r="E8" s="6" t="n">
        <v>12</v>
      </c>
      <c r="F8" s="6" t="n"/>
      <c r="G8" s="6" t="n"/>
      <c r="H8" s="6" t="n"/>
      <c r="I8" s="6" t="n"/>
      <c r="J8" s="6" t="n"/>
      <c r="K8" s="6" t="n"/>
    </row>
    <row r="9">
      <c r="A9" s="6" t="inlineStr">
        <is>
          <t>Operational risk</t>
        </is>
      </c>
      <c r="B9" s="6" t="n">
        <v>592</v>
      </c>
      <c r="C9" s="6" t="n">
        <v>577</v>
      </c>
      <c r="D9" s="6" t="n">
        <v>489</v>
      </c>
      <c r="E9" s="6" t="n">
        <v>415</v>
      </c>
      <c r="F9" s="6" t="n"/>
      <c r="G9" s="6" t="n"/>
      <c r="H9" s="6" t="n"/>
      <c r="I9" s="6" t="n"/>
      <c r="J9" s="6" t="n"/>
      <c r="K9" s="6" t="n"/>
    </row>
    <row r="10">
      <c r="A10" s="5" t="inlineStr">
        <is>
          <t>Total RWAs</t>
        </is>
      </c>
      <c r="B10" s="5" t="n">
        <v>1047</v>
      </c>
      <c r="C10" s="5" t="n">
        <v>1118</v>
      </c>
      <c r="D10" s="5" t="n">
        <v>1051</v>
      </c>
      <c r="E10" s="5" t="n">
        <v>999</v>
      </c>
      <c r="F10" s="5" t="n"/>
      <c r="G10" s="5" t="n"/>
      <c r="H10" s="5" t="n"/>
      <c r="I10" s="5" t="n"/>
      <c r="J10" s="5" t="n"/>
      <c r="K10" s="5" t="n"/>
    </row>
    <row r="11">
      <c r="A11" s="5" t="inlineStr">
        <is>
          <t>EU OV1 'Overview of RWAs' (Table 7), the older CRR template — Pillar 3 Disclosure, December 31, 2021, printed folio 25 (FY2021). This template discloses Credit Valuation Adjustment as its OWN risk type and BNYMIL prints it that way, so CVA has its own row below and the 'Counterparty credit risk' row here is CCR ALONE — a narrower measure than the UK OV1 CCR row above, which subsumes CVA. The table is headed 'the Company (Consolidated)'; the report's own key-metrics table prints Consolidated and Solo Total RWA as identical for FY2021 (838 and 838), so this block ties to the Solo figure on the Total RWAs sheet. Corrected 2026-09-18, GA-011 — see sources note</t>
        </is>
      </c>
      <c r="B11" s="6" t="n"/>
      <c r="C11" s="6" t="n"/>
      <c r="D11" s="6" t="n"/>
      <c r="E11" s="6" t="n"/>
      <c r="F11" s="6" t="n"/>
      <c r="G11" s="6" t="n"/>
      <c r="H11" s="6" t="n"/>
      <c r="I11" s="6" t="n"/>
      <c r="J11" s="6" t="n"/>
      <c r="K11" s="6" t="n"/>
    </row>
    <row r="12">
      <c r="A12" s="6" t="inlineStr">
        <is>
          <t>Credit risk (excluding CCR)</t>
        </is>
      </c>
      <c r="B12" s="6" t="n"/>
      <c r="C12" s="6" t="n"/>
      <c r="D12" s="6" t="n"/>
      <c r="E12" s="6" t="n"/>
      <c r="F12" s="6" t="n">
        <v>466</v>
      </c>
      <c r="G12" s="6" t="n"/>
      <c r="H12" s="6" t="n"/>
      <c r="I12" s="6" t="n"/>
      <c r="J12" s="6" t="n"/>
      <c r="K12" s="6" t="n"/>
    </row>
    <row r="13">
      <c r="A13" s="6" t="inlineStr">
        <is>
          <t>Counterparty credit risk</t>
        </is>
      </c>
      <c r="B13" s="6" t="n"/>
      <c r="C13" s="6" t="n"/>
      <c r="D13" s="6" t="n"/>
      <c r="E13" s="6" t="n"/>
      <c r="F13" s="6" t="n">
        <v>2</v>
      </c>
      <c r="G13" s="6" t="n"/>
      <c r="H13" s="6" t="n"/>
      <c r="I13" s="6" t="n"/>
      <c r="J13" s="6" t="n"/>
      <c r="K13" s="6" t="n"/>
    </row>
    <row r="14">
      <c r="A14" s="6" t="inlineStr">
        <is>
          <t>Credit valuation adjustment (CVA)</t>
        </is>
      </c>
      <c r="B14" s="6" t="n"/>
      <c r="C14" s="6" t="n"/>
      <c r="D14" s="6" t="n"/>
      <c r="E14" s="6" t="n"/>
      <c r="F14" s="6" t="n">
        <v>2</v>
      </c>
      <c r="G14" s="6" t="n"/>
      <c r="H14" s="6" t="n"/>
      <c r="I14" s="6" t="n"/>
      <c r="J14" s="6" t="n"/>
      <c r="K14" s="6" t="n"/>
    </row>
    <row r="15">
      <c r="A15" s="6" t="inlineStr">
        <is>
          <t>Securitisation exposures</t>
        </is>
      </c>
      <c r="B15" s="6" t="n"/>
      <c r="C15" s="6" t="n"/>
      <c r="D15" s="6" t="n"/>
      <c r="E15" s="6" t="n"/>
      <c r="F15" s="6" t="inlineStr">
        <is>
          <t>-</t>
        </is>
      </c>
      <c r="G15" s="6" t="n"/>
      <c r="H15" s="6" t="n"/>
      <c r="I15" s="6" t="n"/>
      <c r="J15" s="6" t="n"/>
      <c r="K15" s="6" t="n"/>
    </row>
    <row r="16">
      <c r="A16" s="6" t="inlineStr">
        <is>
          <t>Market risk (position, FX and commodities)</t>
        </is>
      </c>
      <c r="B16" s="6" t="n"/>
      <c r="C16" s="6" t="n"/>
      <c r="D16" s="6" t="n"/>
      <c r="E16" s="6" t="n"/>
      <c r="F16" s="6" t="n">
        <v>16</v>
      </c>
      <c r="G16" s="6" t="n"/>
      <c r="H16" s="6" t="n"/>
      <c r="I16" s="6" t="n"/>
      <c r="J16" s="6" t="n"/>
      <c r="K16" s="6" t="n"/>
    </row>
    <row r="17">
      <c r="A17" s="6" t="inlineStr">
        <is>
          <t>Operational risk</t>
        </is>
      </c>
      <c r="B17" s="6" t="n"/>
      <c r="C17" s="6" t="n"/>
      <c r="D17" s="6" t="n"/>
      <c r="E17" s="6" t="n"/>
      <c r="F17" s="6" t="n">
        <v>352</v>
      </c>
      <c r="G17" s="6" t="n"/>
      <c r="H17" s="6" t="n"/>
      <c r="I17" s="6" t="n"/>
      <c r="J17" s="6" t="n"/>
      <c r="K17" s="6" t="n"/>
    </row>
    <row r="18">
      <c r="A18" s="5" t="inlineStr">
        <is>
          <t>Total RWAs</t>
        </is>
      </c>
      <c r="B18" s="5" t="n"/>
      <c r="C18" s="5" t="n"/>
      <c r="D18" s="5" t="n"/>
      <c r="E18" s="5" t="n"/>
      <c r="F18" s="5" t="n">
        <v>838</v>
      </c>
      <c r="G18" s="5" t="n"/>
      <c r="H18" s="5" t="n"/>
      <c r="I18" s="5" t="n"/>
      <c r="J18" s="5" t="n"/>
      <c r="K18" s="5" t="n"/>
    </row>
    <row r="19">
      <c r="A19" s="5" t="inlineStr">
        <is>
          <t>EU OV1 'Overview of RWAs' (Table 7 in the FY2020 report, Table 8 in FY2019 and FY2018) — BNYMIL CONSOLIDATED basis (FY2020-FY2018), the only basis on which these reports publish a risk-type split, so these totals do NOT match the Solo figures on the Total RWAs sheet: FY2020 939 = Solo 939 (exact tie that year only), FY2019 996 vs Solo 994, FY2018 1,233 vs Solo 1,211. Neither figure is to be changed to make the two sheets agree. All three of these editions print Credit Valuation Adjustment as its own risk type, so CVA has its own row below and 'Counterparty credit risk' here is CCR ALONE. Corrected 2026-09-18, GA-011 — see sources note</t>
        </is>
      </c>
      <c r="B19" s="6" t="n"/>
      <c r="C19" s="6" t="n"/>
      <c r="D19" s="6" t="n"/>
      <c r="E19" s="6" t="n"/>
      <c r="F19" s="6" t="n"/>
      <c r="G19" s="6" t="n"/>
      <c r="H19" s="6" t="n"/>
      <c r="I19" s="6" t="n"/>
      <c r="J19" s="6" t="n"/>
      <c r="K19" s="6" t="n"/>
    </row>
    <row r="20">
      <c r="A20" s="6" t="inlineStr">
        <is>
          <t>Credit risk (excluding CCR)</t>
        </is>
      </c>
      <c r="B20" s="6" t="n"/>
      <c r="C20" s="6" t="n"/>
      <c r="D20" s="6" t="n"/>
      <c r="E20" s="6" t="n"/>
      <c r="F20" s="6" t="n"/>
      <c r="G20" s="6" t="n">
        <v>538</v>
      </c>
      <c r="H20" s="6" t="n">
        <v>582</v>
      </c>
      <c r="I20" s="6" t="n">
        <v>804</v>
      </c>
      <c r="J20" s="6" t="n"/>
      <c r="K20" s="6" t="n"/>
    </row>
    <row r="21">
      <c r="A21" s="6" t="inlineStr">
        <is>
          <t>Counterparty credit risk</t>
        </is>
      </c>
      <c r="B21" s="6" t="n"/>
      <c r="C21" s="6" t="n"/>
      <c r="D21" s="6" t="n"/>
      <c r="E21" s="6" t="n"/>
      <c r="F21" s="6" t="n"/>
      <c r="G21" s="6" t="n">
        <v>4</v>
      </c>
      <c r="H21" s="6" t="n">
        <v>3</v>
      </c>
      <c r="I21" s="6" t="n">
        <v>2</v>
      </c>
      <c r="J21" s="6" t="n"/>
      <c r="K21" s="6" t="n"/>
    </row>
    <row r="22">
      <c r="A22" s="6" t="inlineStr">
        <is>
          <t>Credit valuation adjustment (CVA)</t>
        </is>
      </c>
      <c r="B22" s="6" t="n"/>
      <c r="C22" s="6" t="n"/>
      <c r="D22" s="6" t="n"/>
      <c r="E22" s="6" t="n"/>
      <c r="F22" s="6" t="n"/>
      <c r="G22" s="6" t="n">
        <v>4</v>
      </c>
      <c r="H22" s="6" t="n">
        <v>3</v>
      </c>
      <c r="I22" s="6" t="n">
        <v>2</v>
      </c>
      <c r="J22" s="6" t="n"/>
      <c r="K22" s="6" t="n"/>
    </row>
    <row r="23">
      <c r="A23" s="6" t="inlineStr">
        <is>
          <t>Market risk (position, FX and commodities)</t>
        </is>
      </c>
      <c r="B23" s="6" t="n"/>
      <c r="C23" s="6" t="n"/>
      <c r="D23" s="6" t="n"/>
      <c r="E23" s="6" t="n"/>
      <c r="F23" s="6" t="n"/>
      <c r="G23" s="6" t="n">
        <v>10</v>
      </c>
      <c r="H23" s="6" t="n">
        <v>14</v>
      </c>
      <c r="I23" s="6" t="n">
        <v>32</v>
      </c>
      <c r="J23" s="6" t="n"/>
      <c r="K23" s="6" t="n"/>
    </row>
    <row r="24">
      <c r="A24" s="6" t="inlineStr">
        <is>
          <t>Operational risk</t>
        </is>
      </c>
      <c r="B24" s="6" t="n"/>
      <c r="C24" s="6" t="n"/>
      <c r="D24" s="6" t="n"/>
      <c r="E24" s="6" t="n"/>
      <c r="F24" s="6" t="n"/>
      <c r="G24" s="6" t="n">
        <v>383</v>
      </c>
      <c r="H24" s="6" t="n">
        <v>394</v>
      </c>
      <c r="I24" s="6" t="n">
        <v>393</v>
      </c>
      <c r="J24" s="6" t="n"/>
      <c r="K24" s="6" t="n"/>
    </row>
    <row r="25">
      <c r="A25" s="5" t="inlineStr">
        <is>
          <t>Total RWAs</t>
        </is>
      </c>
      <c r="B25" s="5" t="n"/>
      <c r="C25" s="5" t="n"/>
      <c r="D25" s="5" t="n"/>
      <c r="E25" s="5" t="n"/>
      <c r="F25" s="5" t="n"/>
      <c r="G25" s="5" t="n">
        <v>939</v>
      </c>
      <c r="H25" s="5" t="n">
        <v>996</v>
      </c>
      <c r="I25" s="5" t="n">
        <v>1233</v>
      </c>
      <c r="J25" s="5" t="n"/>
      <c r="K25" s="5" t="n"/>
    </row>
    <row r="26">
      <c r="A26" s="5" t="inlineStr">
        <is>
          <t>Table 6 'Capital requirements', Pillar 3 Disclosure 2017 — heading and intro on printed folio 24, the table itself overleaf on folio 25. BNYMIL CONSOLIDATED basis (936 vs Solo 881). This report DOES publish a full risk-type table (an earlier review of this workbook stated it did not and sourced the year from the p.10 'Risk Exposure Amount by Risk Type' chart instead; the chart's three slices are identical to Table 6's, so only the provenance and the CCR/CVA rows changed). Table 6 prints CCR and CVA as separate risk types and prints BOTH as a DASH — reproduced as dashes below, because a dash is the bank saying nil and is not a zero. Corrected 2026-09-18, GA-011 — see sources note</t>
        </is>
      </c>
      <c r="B26" s="6" t="n"/>
      <c r="C26" s="6" t="n"/>
      <c r="D26" s="6" t="n"/>
      <c r="E26" s="6" t="n"/>
      <c r="F26" s="6" t="n"/>
      <c r="G26" s="6" t="n"/>
      <c r="H26" s="6" t="n"/>
      <c r="I26" s="6" t="n"/>
      <c r="J26" s="6" t="n"/>
      <c r="K26" s="6" t="n"/>
    </row>
    <row r="27">
      <c r="A27" s="6" t="inlineStr">
        <is>
          <t>Credit risk (excluding CCR)</t>
        </is>
      </c>
      <c r="B27" s="6" t="n"/>
      <c r="C27" s="6" t="n"/>
      <c r="D27" s="6" t="n"/>
      <c r="E27" s="6" t="n"/>
      <c r="F27" s="6" t="n"/>
      <c r="G27" s="6" t="n"/>
      <c r="H27" s="6" t="n"/>
      <c r="I27" s="6" t="n"/>
      <c r="J27" s="6" t="n">
        <v>504</v>
      </c>
      <c r="K27" s="6" t="n"/>
    </row>
    <row r="28">
      <c r="A28" s="6" t="inlineStr">
        <is>
          <t>Counterparty credit risk</t>
        </is>
      </c>
      <c r="B28" s="6" t="n"/>
      <c r="C28" s="6" t="n"/>
      <c r="D28" s="6" t="n"/>
      <c r="E28" s="6" t="n"/>
      <c r="F28" s="6" t="n"/>
      <c r="G28" s="6" t="n"/>
      <c r="H28" s="6" t="n"/>
      <c r="I28" s="6" t="n"/>
      <c r="J28" s="6" t="inlineStr">
        <is>
          <t>-</t>
        </is>
      </c>
      <c r="K28" s="6" t="n"/>
    </row>
    <row r="29">
      <c r="A29" s="6" t="inlineStr">
        <is>
          <t>Credit valuation adjustment (CVA)</t>
        </is>
      </c>
      <c r="B29" s="6" t="n"/>
      <c r="C29" s="6" t="n"/>
      <c r="D29" s="6" t="n"/>
      <c r="E29" s="6" t="n"/>
      <c r="F29" s="6" t="n"/>
      <c r="G29" s="6" t="n"/>
      <c r="H29" s="6" t="n"/>
      <c r="I29" s="6" t="n"/>
      <c r="J29" s="6" t="inlineStr">
        <is>
          <t>-</t>
        </is>
      </c>
      <c r="K29" s="6" t="n"/>
    </row>
    <row r="30">
      <c r="A30" s="6" t="inlineStr">
        <is>
          <t>Market risk (position, FX and commodities)</t>
        </is>
      </c>
      <c r="B30" s="6" t="n"/>
      <c r="C30" s="6" t="n"/>
      <c r="D30" s="6" t="n"/>
      <c r="E30" s="6" t="n"/>
      <c r="F30" s="6" t="n"/>
      <c r="G30" s="6" t="n"/>
      <c r="H30" s="6" t="n"/>
      <c r="I30" s="6" t="n"/>
      <c r="J30" s="6" t="n">
        <v>66</v>
      </c>
      <c r="K30" s="6" t="n"/>
    </row>
    <row r="31">
      <c r="A31" s="6" t="inlineStr">
        <is>
          <t>Operational risk</t>
        </is>
      </c>
      <c r="B31" s="6" t="n"/>
      <c r="C31" s="6" t="n"/>
      <c r="D31" s="6" t="n"/>
      <c r="E31" s="6" t="n"/>
      <c r="F31" s="6" t="n"/>
      <c r="G31" s="6" t="n"/>
      <c r="H31" s="6" t="n"/>
      <c r="I31" s="6" t="n"/>
      <c r="J31" s="6" t="n">
        <v>366</v>
      </c>
      <c r="K31" s="6" t="n"/>
    </row>
    <row r="32">
      <c r="A32" s="5" t="inlineStr">
        <is>
          <t>Total RWAs</t>
        </is>
      </c>
      <c r="B32" s="5" t="n"/>
      <c r="C32" s="5" t="n"/>
      <c r="D32" s="5" t="n"/>
      <c r="E32" s="5" t="n"/>
      <c r="F32" s="5" t="n"/>
      <c r="G32" s="5" t="n"/>
      <c r="H32" s="5" t="n"/>
      <c r="I32" s="5" t="n"/>
      <c r="J32" s="5" t="n">
        <v>936</v>
      </c>
      <c r="K32" s="5" t="n"/>
    </row>
    <row r="33">
      <c r="A33" s="5" t="inlineStr">
        <is>
          <t>Table 6 'Capital requirements', Pillar 3 Disclosure 2016, printed folio 20 — pre-OV1-template era; discloses Risk Exposure Amount by risk type directly. BNYMIL CONSOLIDATED basis (793 vs Solo 765). This table prints Counterparty Credit Risk and Credit Valuation Adjustment as separate risk types, so each has its own row below. Corrected 2026-09-18, GA-011 — see sources note</t>
        </is>
      </c>
      <c r="B33" s="6" t="n"/>
      <c r="C33" s="6" t="n"/>
      <c r="D33" s="6" t="n"/>
      <c r="E33" s="6" t="n"/>
      <c r="F33" s="6" t="n"/>
      <c r="G33" s="6" t="n"/>
      <c r="H33" s="6" t="n"/>
      <c r="I33" s="6" t="n"/>
      <c r="J33" s="6" t="n"/>
      <c r="K33" s="6" t="n"/>
    </row>
    <row r="34">
      <c r="A34" s="6" t="inlineStr">
        <is>
          <t>Credit risk (excluding CCR)</t>
        </is>
      </c>
      <c r="B34" s="6" t="n"/>
      <c r="C34" s="6" t="n"/>
      <c r="D34" s="6" t="n"/>
      <c r="E34" s="6" t="n"/>
      <c r="F34" s="6" t="n"/>
      <c r="G34" s="6" t="n"/>
      <c r="H34" s="6" t="n"/>
      <c r="I34" s="6" t="n"/>
      <c r="J34" s="6" t="n"/>
      <c r="K34" s="6" t="n">
        <v>383</v>
      </c>
    </row>
    <row r="35">
      <c r="A35" s="6" t="inlineStr">
        <is>
          <t>Counterparty credit risk</t>
        </is>
      </c>
      <c r="B35" s="6" t="n"/>
      <c r="C35" s="6" t="n"/>
      <c r="D35" s="6" t="n"/>
      <c r="E35" s="6" t="n"/>
      <c r="F35" s="6" t="n"/>
      <c r="G35" s="6" t="n"/>
      <c r="H35" s="6" t="n"/>
      <c r="I35" s="6" t="n"/>
      <c r="J35" s="6" t="n"/>
      <c r="K35" s="6" t="n">
        <v>4</v>
      </c>
    </row>
    <row r="36">
      <c r="A36" s="6" t="inlineStr">
        <is>
          <t>Credit valuation adjustment (CVA)</t>
        </is>
      </c>
      <c r="B36" s="6" t="n"/>
      <c r="C36" s="6" t="n"/>
      <c r="D36" s="6" t="n"/>
      <c r="E36" s="6" t="n"/>
      <c r="F36" s="6" t="n"/>
      <c r="G36" s="6" t="n"/>
      <c r="H36" s="6" t="n"/>
      <c r="I36" s="6" t="n"/>
      <c r="J36" s="6" t="n"/>
      <c r="K36" s="6" t="n">
        <v>4</v>
      </c>
    </row>
    <row r="37">
      <c r="A37" s="6" t="inlineStr">
        <is>
          <t>Market risk (position, FX and commodities)</t>
        </is>
      </c>
      <c r="B37" s="6" t="n"/>
      <c r="C37" s="6" t="n"/>
      <c r="D37" s="6" t="n"/>
      <c r="E37" s="6" t="n"/>
      <c r="F37" s="6" t="n"/>
      <c r="G37" s="6" t="n"/>
      <c r="H37" s="6" t="n"/>
      <c r="I37" s="6" t="n"/>
      <c r="J37" s="6" t="n"/>
      <c r="K37" s="6" t="n">
        <v>43</v>
      </c>
    </row>
    <row r="38">
      <c r="A38" s="6" t="inlineStr">
        <is>
          <t>Operational risk</t>
        </is>
      </c>
      <c r="B38" s="6" t="n"/>
      <c r="C38" s="6" t="n"/>
      <c r="D38" s="6" t="n"/>
      <c r="E38" s="6" t="n"/>
      <c r="F38" s="6" t="n"/>
      <c r="G38" s="6" t="n"/>
      <c r="H38" s="6" t="n"/>
      <c r="I38" s="6" t="n"/>
      <c r="J38" s="6" t="n"/>
      <c r="K38" s="6" t="n">
        <v>359</v>
      </c>
    </row>
    <row r="39">
      <c r="A39" s="5" t="inlineStr">
        <is>
          <t>Total RWAs</t>
        </is>
      </c>
      <c r="B39" s="5" t="n"/>
      <c r="C39" s="5" t="n"/>
      <c r="D39" s="5" t="n"/>
      <c r="E39" s="5" t="n"/>
      <c r="F39" s="5" t="n"/>
      <c r="G39" s="5" t="n"/>
      <c r="H39" s="5" t="n"/>
      <c r="I39" s="5" t="n"/>
      <c r="J39" s="5" t="n"/>
      <c r="K39" s="5" t="n">
        <v>793</v>
      </c>
    </row>
    <row r="41" ht="409" customHeight="1">
      <c r="A41" s="8" t="inlineStr">
        <is>
          <t>Sources - The Bank of New York Mellon (International) Limited Pillar 3 Disclosures, Table 4 'UK OV1 - Overview of risk-weighted exposure amounts' (Table 7 'EU OV1 - Overview of RWAs' for FY2021, the older CRR template) - each year's own report, not a later restated comparative (see the CET1 Ratio sheet's note on the FY2025 report's restated FY2024 comparative):
FY2025: Pillar 3 Disclosure, December 31, 2025, p.10 - https://www.bnymellon.com/content/dam/bnymellon/documents/pdf/investor-relations/the-bank-of-new-york-mellon-international-limited-2025-pillar-3-disclosure.pdf
FY2024: Pillar 3 Disclosure, December 31, 2024, p.10 - https://www.bnymellon.com/content/dam/bnymellon/documents/pdf/investor-relations/the-bank-of-new-york-mellon-international-limited-2024-pillar-3-disclosure.pdf
FY2023: Pillar 3 Disclosure, December 31, 2023, p.11 - https://www.bnymellon.com/content/dam/bnymellon/documents/pdf/investor-relations/the-bank-of-new-york-mellon-international-limited-2023-pillar-3-disclosure.pdf
FY2022: Pillar 3 Disclosure, December 31, 2022, p.14 - https://www.bnymellon.com/content/dam/bnymellon/documents/pdf/investor-relations/the-bank-of-new-york-mellon-international-limited-2022-pillar-3-disclosure.pdf
FY2021: Pillar 3 Disclosure, December 31, 2021, p.25 - https://www.bnymellon.com/content/dam/bnymellon/documents/pdf/investor-relations/the-bank-of-new-york-mellon-international-limited-2021-pillar-3-disclosure.pdf
FY2020: Pillar 3 Disclosure 2020, Table 7 'EU OV1 - Overview of RWAs', printed folio 29 - https://www.bnymellon.com/content/dam/bnymellon/documents/pdf/investor-relations/the-bank-of-new-york-mellon-international-limited-2020-pillar-3-disclosure.pdf
FY2019: Pillar 3 Disclosure 2019, Table 8 'EU OV1 - Overview of RWAs', printed folio 31 - https://www.bnymellon.com/content/dam/bnymellon/documents/pdf/investor-relations/the-bank-of-new-york-mellon-international-limited-2019-pillar-3-disclosure.pdf
FY2018: Pillar 3 Disclosure 2018, Table 8 'EU OV1 - Overview of RWAs', printed folio 30 - https://www.bnymellon.com/content/dam/bnymellon/documents/pdf/investor-relations/the-bank-of-new-york-mellon-international-limited-2018-pillar-3-disclosure.pdf
FY2017: Pillar 3 Disclosure 2017, Table 6 'Capital requirements' - heading and intro on printed folio 24, the table itself overleaf on folio 25 - https://www.bnymellon.com/content/dam/bnymellon/documents/pdf/investor-relations/the-bank-of-new-york-mellon-international-limited-2017-pillar-3-disclosure.pdf
FY2016: Pillar 3 Disclosure 2016, Table 6 'Capital requirements', printed folio 20 (pre-OV1-template era; shows consolidated Risk Exposure Amount by risk type directly, not a capital-requirement figure needing conversion - Credit risk SA 383 + Counterparty Credit Risk SA 4 + Market risk SA 43 + Operational risk 359 + Credit Valuation Adjustment 4 = Total 793, tying exactly to that year's Consolidated Total RWA from Table 1 'Capital ratios') - https://www.bnymellon.com/content/dam/bnymellon/documents/pdf/investor-relations/the-bank-of-new-york-mellon-international-limited-2016-pillar-3-disclosure.pdf
GA-011 CORRECTION, 2026-09-18 - CCR AND CVA ARE NOW REPRODUCED, NOT ADDED UP. Until this date the FY2021-FY2016 half of this sheet carried a single 'Counterparty credit risk' row per year whose value had been COMPUTED by a past session (FY2021 as £2m CCR + £2m CVA = £4m, 'to match the UK OV1 template's grouping used FY2022 onward'; FY2016 as £4m + £4m = £8m; and FY2020/FY2019/FY2018 silently, under a caption reading '(incl. CVA where separately disclosed)' that did not say who had done the combining). Every one of the six pre-FY2022 editions was re-read from the primary PDF on 2026-09-18 (each fetched direct from bnymellon.com and verified as a real PDF by %PDF magic bytes and Content-Type before use), and EVERY ONE OF THE SIX PRINTS COUNTERPARTY CREDIT RISK AND CREDIT VALUATION ADJUSTMENT AS TWO SEPARATE RISK TYPES. Nothing was un-merged by subtraction: each figure below is the number standing on its own row in that year's own edition. As printed - FY2021 CCR 2 / CVA 2; FY2020 CCR 4 / CVA 4; FY2019 CCR 3 / CVA 3; FY2018 CCR 2 / CVA 2; FY2017 CCR '-' / CVA '-' (both dashes, see below); FY2016 CCR 4 / CVA 4. Each year's pair is taken from that year's OWN edition, never a later edition's comparative, though where a later edition does carry the comparative it agrees (the FY2020 report's 31-Dec-19 column prints 3 and 3; the FY2019 report's 31-Dec-18 column prints 2 and 2; the FY2018 report's 31-Dec-17 column prints a dash for both). Each of the six documents contains exactly one such table, so no second printing was missed. The FY2025-FY2022 UK OV1 rows are NOT affected and are unchanged: that template genuinely groups CVA inside counterparty credit risk, so those years have one row because the bank published one row.
FY2017 - A TABLE THIS WORKBOOK PREVIOUSLY SAID DID NOT EXIST. The FY2017 block used to be sourced from the 'Risk Exposure Amount by Risk Type' CHART on folio 10, above a note asserting that 'no OV1-format table was published that year'. That assertion was wrong. The Pillar 3 Disclosure 2017 carries Table 6 'Capital requirements' - the same table the FY2016 report uses, listed in the FY2017 report's own contents - showing Credit risk SA 504, Counterparty credit risk SA '-', Market risk SA 66, Operational risk 366, Credit Valuation Adjustment - standardised method '-', Total 936. This is the same miss recorded below for FY2016 ('a prior review of this document had missed this table'), one edition later. Because the chart's three slices are numerically identical to Table 6's, NO FY2017 figure changed except the counterparty rows: the sheet previously printed CCR as 0, which was a fabricated zero - the bank printed a DASH, and a dash is the bank saying 'nil for us' while a zero is a measured nought. Both dashes are now reproduced as dashes.</t>
        </is>
      </c>
    </row>
    <row r="43" ht="409" customHeight="1">
      <c r="A43" s="8" t="inlineStr">
        <is>
          <t>(continued)
FY2021 SECURITISATION - A FABRICATED ZERO, NOW CORRECTED (GA-008, 2026-09-18). The FY2021 EU OV1 (Table 7, printed folio 25) prints its 'Securitisation risk**' row as an em dash in BOTH the 31-Dec-21 and 31-Dec-20 risk-weighted-exposure columns, footnoted '** SEC-ERBA approach. At the reporting date the Company's securitisation portfolio was immaterial.' This sheet previously carried 0 there, which asserted a measured nought the Company never published. It now carries the dash the Company printed. GA-011 saw the cell and correctly left it alone as outside its counterparty remit; it was converted here, against the FY2021 PDF read directly rather than on inference. Total RWAs is unchanged at 838 and still foots (466 + 2 + 2 + 16 + 352 = 838), because a dash contributes nothing that a zero did not.
WHY THAT MATTERS BEYOND THIS ONE CELL: a fabricated zero reconciles, cross-checks clean and is invisible to every instrument in this repo - it looks exactly like a real nought. Restoring dashes only where a cell is currently EMPTY would have missed it entirely.
HD-025 (FY2016-FY2020 extension) NOTE: the FY2017-FY2020 EU OV1 tables are published on a CONSOLIDATED basis only (no separate Solo-basis RWA-by-type breakdown exists in any of these 4 reports) - their totals therefore tie to the Consolidated Total RWA column on the CET1/Tier1/Total Capital Ratio sheets, not the Solo-basis Total RWAs figure used elsewhere in this workbook (a small, documented gap each year: FY2017 936 vs Solo 881; FY2018 1,233 vs Solo 1,211; FY2019 996 vs Solo 994; FY2020 939 = Solo 939, exact tie that year only; FY2016 793 vs Solo 765). FY2016 is now included (2026-09-08 correction): the FY2016 Pillar 3 Disclosure does carry a risk-type breakdown after all - not an OV1-format table, but Table 6 'Capital requirements', which discloses the same consolidated Risk Exposure Amount (= RWA) by risk type directly (a prior review of this document had missed this table).
RE-VERIFIED 2026-09-15 (RWA cross-sheet sweep - do not re-flag). A sweep comparing every bank's Total RWAs sheet against its own RWA Breakdown total flagged FY2016 (765 vs 793), FY2017 (881 vs 936) and FY2018 (1,211 vs 1,233). All three were re-read from the primary documents and the gap is a genuine, bank-stated basis difference, NOT the credit-risk-subtotal defect found at Redwood and Ghana International. Each of those Pillar 3 Disclosures prints BOTH totals side by side in a two-column 'Consolidated | Solo' key-metrics table: FY2016 Own Funds table 'Total risk-weighted assets (RWA) 793 ... 765'; FY2017 'Total risk-weighted assets (RWA) 936 793 881 765' (current and prior year for each basis); FY2018 'Total risk-weighted assets (RWA) 1,233 936 1,211 881'. The FY2018 report states the reason the breakdown exists on one basis only, in terms: 'There is no material difference in the risk profile between solo and consolidated and therefore Capital Requirements and Credit Risk Adjustments information is only shown at the consolidated level' (the FY2017 report carries the same sentence). The ratio sheets confirm which basis each sheet is on: CET1 412/765 = 53.9% (FY2016), 448/881 = 50.8% (FY2017), 618/1,211 = 51.0% (FY2018) - all matching the Solo ratios the documents print, so the Total RWAs and ratio sheets are consistently Solo while this sheet is Consolidated for FY2016-FY2019. Note 'Consolidated' here is BNYMIL's OWN consolidation (the Company plus its subsidiaries - see the FY2018 report's 'Basis of consolidation' table listing the Luxembourg Branch, BNY Trust Company Limited and BNY Mellon Trust &amp; Depositary (UK) Limited), not a parent-group figure, so no group number has been put on an entity-level sheet. Neither figure is to be changed to make the two sheets agree.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43:K43"/>
    <mergeCell ref="A41:K4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exposure measure excluding claims on central banks</t>
        </is>
      </c>
      <c r="B4" s="6" t="n">
        <v>6449</v>
      </c>
      <c r="C4" s="6" t="n">
        <v>6276</v>
      </c>
      <c r="D4" s="6" t="n">
        <v>5888</v>
      </c>
      <c r="E4" s="6" t="n">
        <v>7602</v>
      </c>
      <c r="F4" s="6" t="n"/>
      <c r="G4" s="6" t="n"/>
      <c r="H4" s="6" t="n"/>
      <c r="I4" s="6" t="n"/>
      <c r="J4" s="6" t="n"/>
      <c r="K4" s="6" t="n"/>
    </row>
    <row r="5">
      <c r="A5" s="6" t="inlineStr">
        <is>
          <t>Leverage ratio excluding claims on central banks (%)</t>
        </is>
      </c>
      <c r="B5" s="6" t="inlineStr">
        <is>
          <t>16.92%</t>
        </is>
      </c>
      <c r="C5" s="6" t="inlineStr">
        <is>
          <t>15.22%</t>
        </is>
      </c>
      <c r="D5" s="6" t="inlineStr">
        <is>
          <t>14.15%</t>
        </is>
      </c>
      <c r="E5" s="6" t="inlineStr">
        <is>
          <t>9.64%</t>
        </is>
      </c>
      <c r="F5" s="6" t="n"/>
      <c r="G5" s="6" t="n"/>
      <c r="H5" s="6" t="n"/>
      <c r="I5" s="6" t="n"/>
      <c r="J5" s="6" t="n"/>
      <c r="K5" s="6" t="n"/>
    </row>
    <row r="6">
      <c r="A6" s="6" t="inlineStr">
        <is>
          <t>Leverage ratio (as reported, basis not specified) (%)</t>
        </is>
      </c>
      <c r="B6" s="6" t="n"/>
      <c r="C6" s="6" t="n"/>
      <c r="D6" s="6" t="n"/>
      <c r="E6" s="6" t="n"/>
      <c r="F6" s="6" t="inlineStr">
        <is>
          <t>6.1%</t>
        </is>
      </c>
      <c r="G6" s="6" t="inlineStr">
        <is>
          <t>6.6%</t>
        </is>
      </c>
      <c r="H6" s="6" t="inlineStr">
        <is>
          <t>5.9%</t>
        </is>
      </c>
      <c r="I6" s="6" t="inlineStr">
        <is>
          <t>4.8%</t>
        </is>
      </c>
      <c r="J6" s="6" t="inlineStr">
        <is>
          <t>4.5%</t>
        </is>
      </c>
      <c r="K6" s="6" t="inlineStr">
        <is>
          <t>5.9%</t>
        </is>
      </c>
    </row>
    <row r="7">
      <c r="A7" s="6" t="inlineStr">
        <is>
          <t>Total Basel III leverage ratio exposure measure (£m, pre-2022 basis, not excluding central bank claims)</t>
        </is>
      </c>
      <c r="B7" s="6" t="n"/>
      <c r="C7" s="6" t="n"/>
      <c r="D7" s="6" t="n"/>
      <c r="E7" s="6" t="n"/>
      <c r="F7" s="6" t="n">
        <v>12381</v>
      </c>
      <c r="G7" s="6" t="n">
        <v>11315</v>
      </c>
      <c r="H7" s="6" t="n">
        <v>10703</v>
      </c>
      <c r="I7" s="6" t="n">
        <v>12907</v>
      </c>
      <c r="J7" s="6" t="n">
        <v>9975</v>
      </c>
      <c r="K7" s="6" t="n">
        <v>6925</v>
      </c>
    </row>
    <row r="8" ht="78" customHeight="1">
      <c r="A8" s="7" t="inlineStr">
        <is>
          <t>Note: The FY2021 Pillar 3 Disclosure's Leverage ratio figure carries no excluding/including-central-bank-claims split (that split first appears in the FY2022 report's KM1 template) - shown on its own row rather than assumed comparable to the 'excluding' basis used FY2022 onward. FY2016-FY2020 (added for HD-025) are on the same pre-2022 basis as FY2021, with their own total exposure measure shown on a separate row rather than conflated with the FY2022+ 'excluding central bank claims' figure. The Company is not subject to a binding leverage ratio requirement in any year shown (does not meet the LREQ firm thresholds under the PRA Rulebook).
FY2021 EXPOSURE MEASURE FILLED 2026-09-16: this cell was previously blank on the basis that the FY2021 report gave only a headline ratio. It does not - its Table 1 (KM1 - Key metrics) prints 'Total leverage ratio exposure measure (£m) 12,381' in the Solo column, and its Table 29 (LR1) and Table 30 (LR2) give the full reconciliation behind it. The earlier blank came from reading only the first page of a KM1 table that continues onto the following page. Basis confirmed as the pre-2022 one directly from LR2, whose on-balance-sheet line is the Company's full £12,439m balance sheet with no central-bank-claims exclusion row; 761/12,381 = 6.1%, reproducing the printed ratio.</t>
        </is>
      </c>
    </row>
    <row r="10" ht="208" customHeight="1">
      <c r="A10"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10:K10"/>
    <mergeCell ref="A8:K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Liquidity Coverage Ratio (%) - 12-month average basis (FY2022 onward)</t>
        </is>
      </c>
      <c r="B4" s="6" t="inlineStr">
        <is>
          <t>317.37%</t>
        </is>
      </c>
      <c r="C4" s="6" t="inlineStr">
        <is>
          <t>240.33%</t>
        </is>
      </c>
      <c r="D4" s="6" t="inlineStr">
        <is>
          <t>211.60%</t>
        </is>
      </c>
      <c r="E4" s="6" t="inlineStr">
        <is>
          <t>185.66%</t>
        </is>
      </c>
      <c r="F4" s="6" t="n"/>
      <c r="G4" s="6" t="n"/>
      <c r="H4" s="6" t="n"/>
      <c r="I4" s="6" t="n"/>
      <c r="J4" s="6" t="n"/>
      <c r="K4" s="6" t="n"/>
    </row>
    <row r="5">
      <c r="A5" s="6" t="inlineStr">
        <is>
          <t>Total high-quality liquid assets (HQLA), weighted value, 12-month average (£m)</t>
        </is>
      </c>
      <c r="B5" s="6" t="n">
        <v>5184</v>
      </c>
      <c r="C5" s="6" t="n">
        <v>6021</v>
      </c>
      <c r="D5" s="6" t="n">
        <v>6887</v>
      </c>
      <c r="E5" s="6" t="n">
        <v>8876</v>
      </c>
      <c r="F5" s="6" t="n"/>
      <c r="G5" s="6" t="n"/>
      <c r="H5" s="6" t="n"/>
      <c r="I5" s="6" t="n"/>
      <c r="J5" s="6" t="n"/>
      <c r="K5" s="6" t="n"/>
    </row>
    <row r="6">
      <c r="A6" s="6" t="inlineStr">
        <is>
          <t>Total net cash outflows, adjusted value, 12-month average (£m)</t>
        </is>
      </c>
      <c r="B6" s="6" t="n">
        <v>1669</v>
      </c>
      <c r="C6" s="6" t="n">
        <v>2532</v>
      </c>
      <c r="D6" s="6" t="n">
        <v>3305</v>
      </c>
      <c r="E6" s="6" t="n">
        <v>4801</v>
      </c>
      <c r="F6" s="6" t="n"/>
      <c r="G6" s="6" t="n"/>
      <c r="H6" s="6" t="n"/>
      <c r="I6" s="6" t="n"/>
      <c r="J6" s="6" t="n"/>
      <c r="K6" s="6" t="n"/>
    </row>
    <row r="7">
      <c r="A7" s="6" t="inlineStr">
        <is>
          <t>Liquidity Coverage Ratio (%) - point-in-time at 31 December (FY2021 and earlier)</t>
        </is>
      </c>
      <c r="B7" s="6" t="n"/>
      <c r="C7" s="6" t="n"/>
      <c r="D7" s="6" t="n"/>
      <c r="E7" s="6" t="n"/>
      <c r="F7" s="6" t="inlineStr">
        <is>
          <t>173%</t>
        </is>
      </c>
      <c r="G7" s="6" t="inlineStr">
        <is>
          <t>172%</t>
        </is>
      </c>
      <c r="H7" s="6" t="inlineStr">
        <is>
          <t>197%</t>
        </is>
      </c>
      <c r="I7" s="6" t="inlineStr">
        <is>
          <t>238%</t>
        </is>
      </c>
      <c r="J7" s="6" t="inlineStr">
        <is>
          <t>294%</t>
        </is>
      </c>
      <c r="K7" s="6" t="inlineStr">
        <is>
          <t>334%</t>
        </is>
      </c>
    </row>
    <row r="8">
      <c r="A8" s="6" t="inlineStr">
        <is>
          <t>Total high-quality liquid assets (HQLA), point-in-time at 31 December (£m)</t>
        </is>
      </c>
      <c r="B8" s="6" t="n"/>
      <c r="C8" s="6" t="n"/>
      <c r="D8" s="6" t="n"/>
      <c r="E8" s="6" t="n"/>
      <c r="F8" s="6" t="n">
        <v>9057</v>
      </c>
      <c r="G8" s="6" t="n">
        <v>8863</v>
      </c>
      <c r="H8" s="6" t="n">
        <v>8018</v>
      </c>
      <c r="I8" s="6" t="n">
        <v>9590</v>
      </c>
      <c r="J8" s="6" t="n">
        <v>7509</v>
      </c>
      <c r="K8" s="6" t="n">
        <v>4840</v>
      </c>
    </row>
    <row r="9">
      <c r="A9" s="6" t="inlineStr">
        <is>
          <t>Total net cash outflows, point-in-time at 31 December (£m)</t>
        </is>
      </c>
      <c r="B9" s="6" t="n"/>
      <c r="C9" s="6" t="n"/>
      <c r="D9" s="6" t="n"/>
      <c r="E9" s="6" t="n"/>
      <c r="F9" s="6" t="n">
        <v>5238</v>
      </c>
      <c r="G9" s="6" t="n">
        <v>5147</v>
      </c>
      <c r="H9" s="6" t="n">
        <v>4080</v>
      </c>
      <c r="I9" s="6" t="n">
        <v>4040</v>
      </c>
      <c r="J9" s="6" t="n">
        <v>2556</v>
      </c>
      <c r="K9" s="6" t="n">
        <v>1451</v>
      </c>
    </row>
    <row r="10" ht="91" customHeight="1">
      <c r="A10" s="7" t="inlineStr">
        <is>
          <t>Note: LIQUIDITY BASIS BREAK AT 1 JANUARY 2022 - THE TWO BASES ARE ON SEPARATE ROWS AND MUST NOT BE MERGED OR CHARTED AS ONE SERIES (split 2026-09-16). FY2022 onward are AVERAGES; FY2021 and earlier are POINT-IN-TIME figures at 31 December. The Company says so itself, in terms: the FY2022 report's KM1 footnote 4 reads 'Comparatives are not provided for LCR and NSFR following a change in the instructions from those reportable at 31 December 2021. As of the disclosure date the ratios are presented on an average basis in accordance with Article 447(f)(g) CRR II', and the FY2024 and FY2025 reports state the periods explicitly - 'Liquidity ratios are presented on a 12-month average basis for LCR and a 4-quarter average basis for NSFR'. The FY2016-FY2021 reports carry no averaging language anywhere and head their KM1 columns with the balance-sheet dates ('31-Dec-21', '31-Dec-20'), i.e. point-in-time. The step between FY2021 and FY2022 on these sheets is therefore partly definitional.
FY2021 HQLA AND NET CASH OUTFLOW FILLED 2026-09-16. These two cells were previously blank, recorded here as 'no HQLA/outflow/inflow £m breakdown available that year'. That was wrong: the FY2021 report's Table 1 (KM1 - Key metrics) prints 'Total High Quality Liquid Assets (£m) 9,057' and 'Total Net Cash Outflow (£m) 5,238' in the Solo column. The earlier blank came from reading only the first page of a KM1 table that continues onto the following page - the capital block sits on p.11 and the leverage and liquidity blocks on p.12. 9,057/5,238 = 172.9%, reproducing the printed 173% exactly. The FY2022 report genuinely does not restate FY2021 onto the new average basis (its own footnote, quoted above, says so), so no average-basis FY2021 figure exists and none has been inferred.</t>
        </is>
      </c>
    </row>
    <row r="12" ht="208" customHeight="1">
      <c r="A12"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10:K10"/>
    <mergeCell ref="A12:K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NSFR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NSFR ratio (%) - 4-quarter average basis (FY2022 onward)</t>
        </is>
      </c>
      <c r="B4" s="6" t="inlineStr">
        <is>
          <t>381.21%</t>
        </is>
      </c>
      <c r="C4" s="6" t="inlineStr">
        <is>
          <t>366.64%</t>
        </is>
      </c>
      <c r="D4" s="6" t="inlineStr">
        <is>
          <t>368.06%</t>
        </is>
      </c>
      <c r="E4" s="6" t="inlineStr">
        <is>
          <t>472.37%</t>
        </is>
      </c>
      <c r="F4" s="6" t="n"/>
      <c r="G4" s="6" t="n"/>
      <c r="H4" s="6" t="n"/>
      <c r="I4" s="6" t="n"/>
      <c r="J4" s="6" t="n"/>
      <c r="K4" s="6" t="n"/>
    </row>
    <row r="5">
      <c r="A5" s="6" t="inlineStr">
        <is>
          <t>Total available stable funding, 4-quarter average (£m)</t>
        </is>
      </c>
      <c r="B5" s="6" t="n">
        <v>2561</v>
      </c>
      <c r="C5" s="6" t="n">
        <v>2474</v>
      </c>
      <c r="D5" s="6" t="n">
        <v>2386</v>
      </c>
      <c r="E5" s="6" t="n">
        <v>3210</v>
      </c>
      <c r="F5" s="6" t="n"/>
      <c r="G5" s="6" t="n"/>
      <c r="H5" s="6" t="n"/>
      <c r="I5" s="6" t="n"/>
      <c r="J5" s="6" t="n"/>
      <c r="K5" s="6" t="n"/>
    </row>
    <row r="6">
      <c r="A6" s="6" t="inlineStr">
        <is>
          <t>Total required stable funding, 4-quarter average (£m)</t>
        </is>
      </c>
      <c r="B6" s="6" t="n">
        <v>672</v>
      </c>
      <c r="C6" s="6" t="n">
        <v>675</v>
      </c>
      <c r="D6" s="6" t="n">
        <v>650</v>
      </c>
      <c r="E6" s="6" t="n">
        <v>680</v>
      </c>
      <c r="F6" s="6" t="n"/>
      <c r="G6" s="6" t="n"/>
      <c r="H6" s="6" t="n"/>
      <c r="I6" s="6" t="n"/>
      <c r="J6" s="6" t="n"/>
      <c r="K6" s="6" t="n"/>
    </row>
    <row r="7">
      <c r="A7" s="6" t="inlineStr">
        <is>
          <t>NSFR ratio (%) - point-in-time at 31 December (FY2021 and earlier)</t>
        </is>
      </c>
      <c r="B7" s="6" t="n"/>
      <c r="C7" s="6" t="n"/>
      <c r="D7" s="6" t="n"/>
      <c r="E7" s="6" t="n"/>
      <c r="F7" s="6" t="inlineStr">
        <is>
          <t>446%</t>
        </is>
      </c>
      <c r="G7" s="6" t="inlineStr">
        <is>
          <t>545%</t>
        </is>
      </c>
      <c r="H7" s="6" t="inlineStr">
        <is>
          <t>494%</t>
        </is>
      </c>
      <c r="I7" s="6" t="inlineStr">
        <is>
          <t>735%</t>
        </is>
      </c>
      <c r="J7" s="6" t="inlineStr">
        <is>
          <t>765%</t>
        </is>
      </c>
      <c r="K7" s="6" t="inlineStr">
        <is>
          <t>1534%</t>
        </is>
      </c>
    </row>
    <row r="8">
      <c r="A8" s="6" t="inlineStr">
        <is>
          <t>Total available stable funding, point-in-time at 31 December (£m)</t>
        </is>
      </c>
      <c r="B8" s="6" t="n"/>
      <c r="C8" s="6" t="n"/>
      <c r="D8" s="6" t="n"/>
      <c r="E8" s="6" t="n"/>
      <c r="F8" s="6" t="n">
        <v>3257</v>
      </c>
      <c r="G8" s="6" t="n">
        <v>3158</v>
      </c>
      <c r="H8" s="6" t="n">
        <v>2994</v>
      </c>
      <c r="I8" s="6" t="n">
        <v>4533</v>
      </c>
      <c r="J8" s="6" t="n">
        <v>3577</v>
      </c>
      <c r="K8" s="6" t="n">
        <v>2314</v>
      </c>
    </row>
    <row r="9">
      <c r="A9" s="6" t="inlineStr">
        <is>
          <t>Total required stable funding, point-in-time at 31 December (£m)</t>
        </is>
      </c>
      <c r="B9" s="6" t="n"/>
      <c r="C9" s="6" t="n"/>
      <c r="D9" s="6" t="n"/>
      <c r="E9" s="6" t="n"/>
      <c r="F9" s="6" t="n">
        <v>730</v>
      </c>
      <c r="G9" s="6" t="n">
        <v>579</v>
      </c>
      <c r="H9" s="6" t="n">
        <v>606</v>
      </c>
      <c r="I9" s="6" t="n">
        <v>617</v>
      </c>
      <c r="J9" s="6" t="n">
        <v>468</v>
      </c>
      <c r="K9" s="6" t="n">
        <v>151</v>
      </c>
    </row>
    <row r="10" ht="104" customHeight="1">
      <c r="A10" s="7" t="inlineStr">
        <is>
          <t>Note: LIQUIDITY BASIS BREAK AT 1 JANUARY 2022 - THE TWO BASES ARE ON SEPARATE ROWS AND MUST NOT BE MERGED OR CHARTED AS ONE SERIES (split 2026-09-16). FY2022 onward are AVERAGES; FY2021 and earlier are POINT-IN-TIME figures at 31 December. The Company says so itself, in terms: the FY2022 report's KM1 footnote 4 reads 'Comparatives are not provided for LCR and NSFR following a change in the instructions from those reportable at 31 December 2021. As of the disclosure date the ratios are presented on an average basis in accordance with Article 447(f)(g) CRR II', and the FY2024 and FY2025 reports state the periods explicitly - 'Liquidity ratios are presented on a 12-month average basis for LCR and a 4-quarter average basis for NSFR'. The FY2016-FY2021 reports carry no averaging language anywhere and head their KM1 columns with the balance-sheet dates ('31-Dec-21', '31-Dec-20'), i.e. point-in-time. The step between FY2021 and FY2022 on these sheets is therefore partly definitional.
FY2021 AVAILABLE AND REQUIRED STABLE FUNDING FILLED 2026-09-16, from the same previously-unread continuation page of the FY2021 KM1 table as the LCR figures: 'Total Available Stable Funding (£m) 3,257' and 'Total Required Stable Funding (£m) 730' in the Solo column. 3,257/730 = 446.2%, reproducing the printed 446%. Note the FY2021 report's own footnote that 'A minimum 100% NSFR ratio became binding on the Company as at 1 January 2022' - the pre-2022 NSFR figures are disclosed but were not yet a binding requirement. The FY2025 Pillar 3 Disclosure's FY2024 comparative column also restates NSFR (ASF 2,474-&gt;2,481, RSF 675-&gt;664, ratio 366.64%-&gt;373.99%) versus the FY2024 report's own originally-reported figures - the FY2024 column above uses that year's own report as originally published, consistent with this project's convention. FY2016-FY2020 (added for HD-025) each carry a full ASF/RSF/ratio breakdown from their own year's KM1 table - the very high FY2016 ratio (1,534%) is a genuine feature of the entity's small, low-loan/high-deposit balance sheet that year, not a transcription error.</t>
        </is>
      </c>
    </row>
    <row r="12" ht="208" customHeight="1">
      <c r="A12"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10:K10"/>
    <mergeCell ref="A12:K1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The Bank of New York Mellon (International) Limited — MREL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 no MREL figure or reference in this year's Pillar 3 (full-text search 2026-09-19, zero 'MREL'/'eligible liabilities')</t>
        </is>
      </c>
      <c r="C4" s="6" t="inlineStr">
        <is>
          <t>Not published – no MREL figure or reference in this year's Pillar 3 (full-text search 2026-09-19, zero 'MREL'/'eligible liabilities')</t>
        </is>
      </c>
      <c r="D4" s="6" t="inlineStr">
        <is>
          <t>Not published – no MREL figure or reference in this year's Pillar 3 (full-text search 2026-09-19, zero 'MREL'/'eligible liabilities')</t>
        </is>
      </c>
      <c r="E4" s="6" t="inlineStr">
        <is>
          <t>Not published – no MREL figure or reference in this year's Pillar 3 (full-text search 2026-09-19, zero 'MREL'/'eligible liabilities')</t>
        </is>
      </c>
      <c r="F4" s="6" t="inlineStr">
        <is>
          <t>Not published – no MREL figure or reference in this year's Pillar 3 (full-text search 2026-09-19, zero 'MREL'/'eligible liabilities')</t>
        </is>
      </c>
      <c r="G4" s="6" t="inlineStr">
        <is>
          <t>Not published – no MREL figure or reference in this year's Pillar 3 (full-text search 2026-09-19, zero 'MREL'/'eligible liabilities')</t>
        </is>
      </c>
      <c r="H4" s="6" t="inlineStr">
        <is>
          <t>Not published – no MREL figure or reference in this year's Pillar 3 (full-text search 2026-09-19, zero 'MREL'/'eligible liabilities')</t>
        </is>
      </c>
      <c r="I4" s="6" t="inlineStr">
        <is>
          <t>Not published – no MREL figure or reference in this year's Pillar 3 (full-text search 2026-09-19, zero 'MREL'/'eligible liabilities')</t>
        </is>
      </c>
      <c r="J4" s="6" t="inlineStr">
        <is>
          <t>Not published – no MREL figure or reference in this year's scanned Pillar 3 (re-OCR'd in full 2026-09-19, zero 'MREL'/'eligible liabilities')</t>
        </is>
      </c>
      <c r="K4" s="6" t="inlineStr">
        <is>
          <t>Not published – no MREL figure or reference in this year's scanned Pillar 3 (re-OCR'd in full 2026-09-19, zero 'MREL'/'eligible liabilities')</t>
        </is>
      </c>
    </row>
    <row r="5" ht="78" customHeight="1">
      <c r="A5" s="7" t="inlineStr">
        <is>
          <t>Note: No MREL figure (numeric or qualitative) appears anywhere in any of the 10 Pillar 3 Disclosures or the available Financial Statements for this entity - no reason is stated.
SEARCH SCOPE, stated so the negative can be trusted for what it is (re-run 2026-09-16): every one of the 10 Pillar 3 Disclosures was searched for both 'MREL' and the spelled-out 'minimum requirement for own funds', with nil hits in all 10. For FY2018-FY2025 the documents are text-native and that nil is a reliable negative. FY2016 and FY2017 are SCANNED documents whose embedded text layer is poor-quality OCR (the FY2016 file yields only 5 clean occurrences of the Company's own name across 74 pages), so for those 2 years a nil string-match is weak evidence and the entry should be read as 'not located' rather than 'confirmed absent'. It remains the expected answer either way: this is a non-resolution-entity custody bank, and MREL disclosure would not ordinarily apply to it.
UPDATE 2026-09-19 (GA-020): the FY2016 and FY2017 weakness is now closed. Both scanned editions were rendered at 150dpi and re-OCR'd in full (74 and 80 pages; 170k/180k characters; 'capital' 176/197 hits, 'own funds' 26/38) and return zero hits for 'MREL', 'minimum requirement for own funds' and 'eligible liabilities'. FY2018-FY2025 editions and the FY2023/FY2025 Financial Statements were re-searched the same day with the same nil result, so every year now reads 'Not published' with that evidence.</t>
        </is>
      </c>
    </row>
    <row r="7" ht="208" customHeight="1">
      <c r="A7" s="8" t="inlineStr">
        <is>
          <t>Sources - The Bank of New York Mellon (International) Limited Pillar 3 Disclosure, Table 1: UK KM1 - Key metrics template (entity/'Solo' basis, not the 'Consolidated' column also shown in every report - see ENTITY NOTE):
FY2025: Pillar 3 Disclosure, December 31, 2025, p.5 - https://www.bnymellon.com/content/dam/bnymellon/documents/pdf/investor-relations/the-bank-of-new-york-mellon-international-limited-2025-pillar-3-disclosure.pdf
FY2024: Pillar 3 Disclosure, December 31, 2024, p.6 - https://www.bnymellon.com/content/dam/bnymellon/documents/pdf/investor-relations/the-bank-of-new-york-mellon-international-limited-2024-pillar-3-disclosure.pdf
FY2023: Pillar 3 Disclosure, December 31, 2023, p.6 - https://www.bnymellon.com/content/dam/bnymellon/documents/pdf/investor-relations/the-bank-of-new-york-mellon-international-limited-2023-pillar-3-disclosure.pdf
FY2022: Pillar 3 Disclosure, December 31, 2022, p.8 - https://www.bnymellon.com/content/dam/bnymellon/documents/pdf/investor-relations/the-bank-of-new-york-mellon-international-limited-2022-pillar-3-disclosure.pdf
FY2021: Pillar 3 Disclosure, December 31, 2021, p.10-11 ("1.8 Key metrics") - https://www.bnymellon.com/content/dam/bnymellon/documents/pdf/investor-relations/the-bank-of-new-york-mellon-international-limited-2021-pillar-3-disclosure.pdf
FY2020: Pillar 3 Disclosure 2020, p.12-13 ("Table 1: KM1 - Key metrics") - https://www.bnymellon.com/content/dam/bnymellon/documents/pdf/investor-relations/the-bank-of-new-york-mellon-international-limited-2020-pillar-3-disclosure.pdf
FY2019: Pillar 3 Disclosure 2019, p.12-14 ("Table 1: KM1 - Key metrics") - https://www.bnymellon.com/content/dam/bnymellon/documents/pdf/investor-relations/the-bank-of-new-york-mellon-international-limited-2019-pillar-3-disclosure.pdf
FY2018: Pillar 3 Disclosure 2018, p.11-12 ("Table 1: KM1 - Key metrics") - https://www.bnymellon.com/content/dam/bnymellon/documents/pdf/investor-relations/the-bank-of-new-york-mellon-international-limited-2018-pillar-3-disclosure.pdf
FY2017: Pillar 3 Disclosure 2017, p.9-11 ("Table 1: Capital ratios") - https://www.bnymellon.com/content/dam/bnymellon/documents/pdf/investor-relations/the-bank-of-new-york-mellon-international-limited-2017-pillar-3-disclosure.pdf
FY2016: Pillar 3 Disclosure, p.8-9 ("1.8 Key Metrics, Table 1: Capital ratios") - https://www.bnymellon.com/content/dam/bnymellon/documents/pdf/investor-relations/the-bank-of-new-york-mellon-international-limited-2016-pillar-3-disclosure.pdf
NOTE ON FY2016-FY2020: every report shows both a 'Consolidated' and 'BNYMIL Solo' column; this workbook uses the Solo (entity-level) column throughout, consistent with FY2021-FY2025. Unlike FY2021-FY2025, FY2016-FY2019 carry a real Tier 2 capital balance (£74-75m, a subordinated loan from a fellow Group undertaking - see the Balance Sheet sheet's presentation note) - so Total Capital genuinely exceeds CET1/Tier 1 in those 4 years; the loan was redeemed during FY2020, after which Total Capital = CET1 = Tier 1 again, as already true for FY2021-2025.
ENTITY NOTE: The Bank of New York Mellon (International) Limited (company 03236121, FRN 183100) is a wholly-owned subsidiary of The Bank of New York Mellon Corporation (US). Figures are the Company's own entity-level disclosure throughout; the 2021 Pillar 3 report separately labelled 'Consolidated' and 'Solo' bases but both were identical every year shown (the Company has no material subsidiaries of its own), and from the 2022 report onward BNY Mellon International's Pillar 3 disclosures present a single, unified figure. Functional/presentational currency is GBP throughout - no FX conversion needed.</t>
        </is>
      </c>
    </row>
  </sheetData>
  <mergeCells count="2">
    <mergeCell ref="A5:K5"/>
    <mergeCell ref="A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2026-10-26T09:35:57Z</dcterms:created>
  <dcterms:modified xmlns:dcterms="http://purl.org/dc/terms/" xmlns:xsi="http://www.w3.org/2001/XMLSchema-instance" xsi:type="dcterms:W3CDTF">2026-10-26T09:35:57Z</dcterms:modified>
</cp:coreProperties>
</file>