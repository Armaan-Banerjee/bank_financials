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0" fillId="0" borderId="1" pivotButton="0" quotePrefix="0" xfId="0"/>
    <xf numFmtId="0" fontId="2" fillId="0" borderId="0" applyAlignment="1" pivotButton="0" quotePrefix="0" xfId="0">
      <alignment vertical="top" wrapText="1"/>
    </xf>
    <xf numFmtId="0" fontId="4"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The Bank of New York Mellon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'Overview'!Q8</f>
            </strRef>
          </tx>
          <spPr>
            <a:ln>
              <a:prstDash val="solid"/>
            </a:ln>
          </spPr>
          <marker>
            <symbol val="none"/>
            <spPr>
              <a:ln>
                <a:prstDash val="solid"/>
              </a:ln>
            </spPr>
          </marker>
          <cat>
            <numRef>
              <f>'Overview'!$R$7:$V$7</f>
            </numRef>
          </cat>
          <val>
            <numRef>
              <f>'Overview'!$R$8:$V$8</f>
            </numRef>
          </val>
          <smooth val="0"/>
        </ser>
        <ser>
          <idx val="1"/>
          <order val="1"/>
          <tx>
            <strRef>
              <f>'Overview'!Q9</f>
            </strRef>
          </tx>
          <spPr>
            <a:ln>
              <a:prstDash val="solid"/>
            </a:ln>
          </spPr>
          <marker>
            <symbol val="none"/>
            <spPr>
              <a:ln>
                <a:prstDash val="solid"/>
              </a:ln>
            </spPr>
          </marker>
          <cat>
            <numRef>
              <f>'Overview'!$R$7:$V$7</f>
            </numRef>
          </cat>
          <val>
            <numRef>
              <f>'Overview'!$R$9:$V$9</f>
            </numRef>
          </val>
          <smooth val="0"/>
        </ser>
        <ser>
          <idx val="2"/>
          <order val="2"/>
          <tx>
            <strRef>
              <f>'Overview'!Q10</f>
            </strRef>
          </tx>
          <spPr>
            <a:ln>
              <a:prstDash val="solid"/>
            </a:ln>
          </spPr>
          <marker>
            <symbol val="none"/>
            <spPr>
              <a:ln>
                <a:prstDash val="solid"/>
              </a:ln>
            </spPr>
          </marker>
          <cat>
            <numRef>
              <f>'Overview'!$R$7:$V$7</f>
            </numRef>
          </cat>
          <val>
            <numRef>
              <f>'Overview'!$R$10:$V$10</f>
            </numRef>
          </val>
          <smooth val="0"/>
        </ser>
        <ser>
          <idx val="3"/>
          <order val="3"/>
          <tx>
            <strRef>
              <f>'Overview'!Q11</f>
            </strRef>
          </tx>
          <spPr>
            <a:ln>
              <a:prstDash val="solid"/>
            </a:ln>
          </spPr>
          <marker>
            <symbol val="none"/>
            <spPr>
              <a:ln>
                <a:prstDash val="solid"/>
              </a:ln>
            </spPr>
          </marker>
          <cat>
            <numRef>
              <f>'Overview'!$R$7:$V$7</f>
            </numRef>
          </cat>
          <val>
            <numRef>
              <f>'Overview'!$R$11:$V$11</f>
            </numRef>
          </val>
          <smooth val="0"/>
        </ser>
        <ser>
          <idx val="4"/>
          <order val="4"/>
          <tx>
            <strRef>
              <f>'Overview'!Q12</f>
            </strRef>
          </tx>
          <spPr>
            <a:ln>
              <a:prstDash val="solid"/>
            </a:ln>
          </spPr>
          <marker>
            <symbol val="none"/>
            <spPr>
              <a:ln>
                <a:prstDash val="solid"/>
              </a:ln>
            </spPr>
          </marker>
          <cat>
            <numRef>
              <f>'Overview'!$R$7:$V$7</f>
            </numRef>
          </cat>
          <val>
            <numRef>
              <f>'Overview'!$R$12:$V$12</f>
            </numRef>
          </val>
          <smooth val="0"/>
        </ser>
        <ser>
          <idx val="5"/>
          <order val="5"/>
          <tx>
            <strRef>
              <f>'Overview'!Q13</f>
            </strRef>
          </tx>
          <spPr>
            <a:ln>
              <a:prstDash val="solid"/>
            </a:ln>
          </spPr>
          <marker>
            <symbol val="none"/>
            <spPr>
              <a:ln>
                <a:prstDash val="solid"/>
              </a:ln>
            </spPr>
          </marker>
          <cat>
            <numRef>
              <f>'Overview'!$R$7:$V$7</f>
            </numRef>
          </cat>
          <val>
            <numRef>
              <f>'Overview'!$R$13:$V$13</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864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The Bank of New York Mellon (International) Limited — Overview</t>
        </is>
      </c>
    </row>
    <row r="2">
      <c r="A2" s="2" t="inlineStr">
        <is>
          <t>Summary of cash flow and Pillar 3 disclosures across all years covered in this workbook</t>
        </is>
      </c>
    </row>
    <row r="4">
      <c r="A4" s="3" t="inlineStr">
        <is>
          <t>Cash Flow Summary: not applicable — this entity does not publish a cash flow statement (see the Cash Flow Statement sheet for the exemption basis).</t>
        </is>
      </c>
    </row>
    <row r="6">
      <c r="A6" s="3" t="inlineStr">
        <is>
          <t>Pillar 3 Key Metrics</t>
        </is>
      </c>
    </row>
    <row r="7">
      <c r="A7" s="4" t="inlineStr">
        <is>
          <t>Line item</t>
        </is>
      </c>
      <c r="B7" s="4" t="inlineStr">
        <is>
          <t>FY2025</t>
        </is>
      </c>
      <c r="C7" s="4" t="inlineStr">
        <is>
          <t>FY2024</t>
        </is>
      </c>
      <c r="D7" s="4" t="inlineStr">
        <is>
          <t>FY2023</t>
        </is>
      </c>
      <c r="E7" s="4" t="inlineStr">
        <is>
          <t>FY2022</t>
        </is>
      </c>
      <c r="F7" s="4" t="inlineStr">
        <is>
          <t>FY2021</t>
        </is>
      </c>
      <c r="R7" t="inlineStr">
        <is>
          <t>FY2021</t>
        </is>
      </c>
      <c r="S7" t="inlineStr">
        <is>
          <t>FY2022</t>
        </is>
      </c>
      <c r="T7" t="inlineStr">
        <is>
          <t>FY2023</t>
        </is>
      </c>
      <c r="U7" t="inlineStr">
        <is>
          <t>FY2024</t>
        </is>
      </c>
      <c r="V7" t="inlineStr">
        <is>
          <t>FY2025</t>
        </is>
      </c>
    </row>
    <row r="8">
      <c r="A8" s="5" t="inlineStr">
        <is>
          <t>CET1 Ratio</t>
        </is>
      </c>
      <c r="B8" s="5" t="inlineStr">
        <is>
          <t>104.22%</t>
        </is>
      </c>
      <c r="C8" s="5" t="inlineStr">
        <is>
          <t>85.41%</t>
        </is>
      </c>
      <c r="D8" s="5" t="inlineStr">
        <is>
          <t>79.26%</t>
        </is>
      </c>
      <c r="E8" s="5" t="inlineStr">
        <is>
          <t>73.35%</t>
        </is>
      </c>
      <c r="F8" s="5" t="inlineStr">
        <is>
          <t>90.8%</t>
        </is>
      </c>
      <c r="Q8" t="inlineStr">
        <is>
          <t>CET1 Ratio</t>
        </is>
      </c>
      <c r="R8" t="n">
        <v>90.8</v>
      </c>
      <c r="S8" t="n">
        <v>73.34999999999999</v>
      </c>
      <c r="T8" t="n">
        <v>79.26000000000001</v>
      </c>
      <c r="U8" t="n">
        <v>85.41</v>
      </c>
      <c r="V8" t="n">
        <v>104.22</v>
      </c>
    </row>
    <row r="9">
      <c r="A9" s="5" t="inlineStr">
        <is>
          <t>Tier 1 Ratio</t>
        </is>
      </c>
      <c r="B9" s="5" t="inlineStr">
        <is>
          <t>104.22%</t>
        </is>
      </c>
      <c r="C9" s="5" t="inlineStr">
        <is>
          <t>85.41%</t>
        </is>
      </c>
      <c r="D9" s="5" t="inlineStr">
        <is>
          <t>79.26%</t>
        </is>
      </c>
      <c r="E9" s="5" t="inlineStr">
        <is>
          <t>73.35%</t>
        </is>
      </c>
      <c r="F9" s="5" t="inlineStr">
        <is>
          <t>90.8%</t>
        </is>
      </c>
      <c r="Q9" t="inlineStr">
        <is>
          <t>Tier 1 Ratio</t>
        </is>
      </c>
      <c r="R9" t="n">
        <v>90.8</v>
      </c>
      <c r="S9" t="n">
        <v>73.34999999999999</v>
      </c>
      <c r="T9" t="n">
        <v>79.26000000000001</v>
      </c>
      <c r="U9" t="n">
        <v>85.41</v>
      </c>
      <c r="V9" t="n">
        <v>104.22</v>
      </c>
    </row>
    <row r="10">
      <c r="A10" s="5" t="inlineStr">
        <is>
          <t>Total Capital Ratio</t>
        </is>
      </c>
      <c r="B10" s="5" t="inlineStr">
        <is>
          <t>104.22%</t>
        </is>
      </c>
      <c r="C10" s="5" t="inlineStr">
        <is>
          <t>85.41%</t>
        </is>
      </c>
      <c r="D10" s="5" t="inlineStr">
        <is>
          <t>79.26%</t>
        </is>
      </c>
      <c r="E10" s="5" t="inlineStr">
        <is>
          <t>73.35%</t>
        </is>
      </c>
      <c r="F10" s="5" t="inlineStr">
        <is>
          <t>90.8%</t>
        </is>
      </c>
      <c r="Q10" t="inlineStr">
        <is>
          <t>Total Capital Ratio</t>
        </is>
      </c>
      <c r="R10" t="n">
        <v>90.8</v>
      </c>
      <c r="S10" t="n">
        <v>73.34999999999999</v>
      </c>
      <c r="T10" t="n">
        <v>79.26000000000001</v>
      </c>
      <c r="U10" t="n">
        <v>85.41</v>
      </c>
      <c r="V10" t="n">
        <v>104.22</v>
      </c>
    </row>
    <row r="11">
      <c r="A11" s="5" t="inlineStr">
        <is>
          <t>Leverage Ratio (excl. central bank claims)</t>
        </is>
      </c>
      <c r="B11" s="5" t="inlineStr">
        <is>
          <t>16.92%</t>
        </is>
      </c>
      <c r="C11" s="5" t="inlineStr">
        <is>
          <t>15.22%</t>
        </is>
      </c>
      <c r="D11" s="5" t="inlineStr">
        <is>
          <t>14.15%</t>
        </is>
      </c>
      <c r="E11" s="5" t="inlineStr">
        <is>
          <t>9.64%</t>
        </is>
      </c>
      <c r="F11" s="5" t="n"/>
      <c r="Q11" t="inlineStr">
        <is>
          <t>Leverage Ratio (excl. central bank claims)</t>
        </is>
      </c>
      <c r="S11" t="n">
        <v>9.640000000000001</v>
      </c>
      <c r="T11" t="n">
        <v>14.15</v>
      </c>
      <c r="U11" t="n">
        <v>15.22</v>
      </c>
      <c r="V11" t="n">
        <v>16.92</v>
      </c>
    </row>
    <row r="12">
      <c r="A12" s="5" t="inlineStr">
        <is>
          <t>LCR</t>
        </is>
      </c>
      <c r="B12" s="5" t="inlineStr">
        <is>
          <t>317.37%</t>
        </is>
      </c>
      <c r="C12" s="5" t="inlineStr">
        <is>
          <t>240.33%</t>
        </is>
      </c>
      <c r="D12" s="5" t="inlineStr">
        <is>
          <t>211.60%</t>
        </is>
      </c>
      <c r="E12" s="5" t="inlineStr">
        <is>
          <t>185.66%</t>
        </is>
      </c>
      <c r="F12" s="5" t="inlineStr">
        <is>
          <t>173%</t>
        </is>
      </c>
      <c r="Q12" t="inlineStr">
        <is>
          <t>LCR</t>
        </is>
      </c>
      <c r="R12" t="n">
        <v>173</v>
      </c>
      <c r="S12" t="n">
        <v>185.66</v>
      </c>
      <c r="T12" t="n">
        <v>211.6</v>
      </c>
      <c r="U12" t="n">
        <v>240.33</v>
      </c>
      <c r="V12" t="n">
        <v>317.37</v>
      </c>
    </row>
    <row r="13">
      <c r="A13" s="5" t="inlineStr">
        <is>
          <t>NSFR</t>
        </is>
      </c>
      <c r="B13" s="5" t="inlineStr">
        <is>
          <t>381.21%</t>
        </is>
      </c>
      <c r="C13" s="5" t="inlineStr">
        <is>
          <t>366.64%</t>
        </is>
      </c>
      <c r="D13" s="5" t="inlineStr">
        <is>
          <t>368.06%</t>
        </is>
      </c>
      <c r="E13" s="5" t="inlineStr">
        <is>
          <t>472.37%</t>
        </is>
      </c>
      <c r="F13" s="5" t="inlineStr">
        <is>
          <t>446%</t>
        </is>
      </c>
      <c r="Q13" t="inlineStr">
        <is>
          <t>NSFR</t>
        </is>
      </c>
      <c r="R13" t="n">
        <v>446</v>
      </c>
      <c r="S13" t="n">
        <v>472.37</v>
      </c>
      <c r="T13" t="n">
        <v>368.06</v>
      </c>
      <c r="U13" t="n">
        <v>366.64</v>
      </c>
      <c r="V13" t="n">
        <v>381.21</v>
      </c>
    </row>
    <row r="15" ht="45" customHeight="1">
      <c r="A15" s="6" t="inlineStr">
        <is>
          <t>Note: This is a PILLAR-3-ONLY workbook: The Bank of New York Mellon (International) Limited takes the FRS 101 cash-flow-statement exemption every year (see the Cash Flow Statement sheet), so no cash flow summary or chart is shown here - only the Pillar 3 Key Metrics trend chart below. See each Pillar 3 sheet's own source citation for the underlying document/page.</t>
        </is>
      </c>
    </row>
  </sheetData>
  <mergeCells count="1">
    <mergeCell ref="A15:F1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7" t="inlineStr">
        <is>
          <t>No Statement of Cash Flows is published by this entity in any year</t>
        </is>
      </c>
      <c r="B4" s="5" t="n"/>
      <c r="C4" s="5" t="n"/>
      <c r="D4" s="5" t="n"/>
      <c r="E4" s="5" t="n"/>
      <c r="F4" s="5" t="n"/>
    </row>
    <row r="5">
      <c r="A5" s="5" t="inlineStr">
        <is>
          <t>See the note below for the FRS 101 exemption this entity relies on every year, and why this workbook is built as a Pillar-3-only variant.</t>
        </is>
      </c>
      <c r="B5" s="5" t="n"/>
      <c r="C5" s="5" t="n"/>
      <c r="D5" s="5" t="n"/>
      <c r="E5" s="5" t="n"/>
      <c r="F5" s="5" t="n"/>
    </row>
    <row r="7" ht="260" customHeight="1">
      <c r="A7" s="8" t="inlineStr">
        <is>
          <t>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FRS 101 CASH-FLOW EXEMPTION: this entity's Annual Report and Financial Statements state every year: "The Company's ultimate parent undertaking, The Bank of New York Mellon Corporation includes the Company and all its subsidiary undertakings in its consolidated financial statements... Accordingly, the Company is a qualifying entity for the purpose of FRS 101 disclosure exemptions... the Company has applied the exemptions available under FRS 101 in respect of the following disclosures: A Statement of cash flows and related notes..." - FY2025 Financial Statements, note 1.1, p.29 - https://www.bnymellon.com/content/dam/bnymellon/documents/pdf/investor-relations/Signed-2025-BNYMIL-Financial-Statements.pdf; identical wording confirmed in the FY2023 Financial Statements, note 1.1, p.41 - https://www.bnymellon.com/content/dam/bnymellon/documents/pdf/investor-relations/bnymil-financial-statement-2023.pdf. This has also been independently confirmed via Companies House filings for FY2021, FY2023 and FY2025 (OCR'd scanned filings, prior research pass). No Statement of Cash Flows or cash-flow notes exist in any of the entity's published accounts for any year - this is a standing structural feature of the entity, not a one-off or a data gap. Per the project's established policy for this exemption (see United Trust Bank Limited, self-skipped for the same reason), this workbook is built as a PILLAR-3-ONLY variant: all 11 Pillar 3 metric sheets are fully populated below, but no cash flow figures exist to show. See the Overview sheet for the equivalent treatment there.</t>
        </is>
      </c>
    </row>
  </sheetData>
  <mergeCells count="1">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capital</t>
        </is>
      </c>
      <c r="B4" s="5" t="n">
        <v>1091</v>
      </c>
      <c r="C4" s="5" t="n">
        <v>955</v>
      </c>
      <c r="D4" s="5" t="n">
        <v>833</v>
      </c>
      <c r="E4" s="5" t="n">
        <v>733</v>
      </c>
      <c r="F4" s="5" t="n">
        <v>761</v>
      </c>
    </row>
    <row r="6" ht="130" customHeight="1">
      <c r="A6"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ratio</t>
        </is>
      </c>
      <c r="B4" s="5" t="inlineStr">
        <is>
          <t>104.22%</t>
        </is>
      </c>
      <c r="C4" s="5" t="inlineStr">
        <is>
          <t>85.41%</t>
        </is>
      </c>
      <c r="D4" s="5" t="inlineStr">
        <is>
          <t>79.26%</t>
        </is>
      </c>
      <c r="E4" s="5" t="inlineStr">
        <is>
          <t>73.35%</t>
        </is>
      </c>
      <c r="F4" s="5" t="inlineStr">
        <is>
          <t>90.8%</t>
        </is>
      </c>
    </row>
    <row r="5" ht="60" customHeight="1">
      <c r="A5" s="6" t="inlineStr">
        <is>
          <t>Note: The FY2025 Pillar 3 Disclosure's FY2024 comparative column restates RWA (1,118 -&gt; 1,091) and this ratio (85.41% -&gt; 87.54%) versus the FY2024 report's own originally-reported figures - the FY2024 column above uses that year's own report as originally published, not the later restated comparative (consistent with this project's convention of preserving each year's own as-reported figures).</t>
        </is>
      </c>
    </row>
    <row r="7" ht="130" customHeight="1">
      <c r="A7"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t>
        </is>
      </c>
      <c r="B4" s="5" t="n">
        <v>1091</v>
      </c>
      <c r="C4" s="5" t="n">
        <v>955</v>
      </c>
      <c r="D4" s="5" t="n">
        <v>833</v>
      </c>
      <c r="E4" s="5" t="n">
        <v>733</v>
      </c>
      <c r="F4" s="5" t="n">
        <v>761</v>
      </c>
    </row>
    <row r="5" ht="60" customHeight="1">
      <c r="A5" s="6" t="inlineStr">
        <is>
          <t>Note: Tier 1 = CET1 every year (no AT1 instruments in issue).</t>
        </is>
      </c>
    </row>
    <row r="7" ht="130" customHeight="1">
      <c r="A7"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ratio</t>
        </is>
      </c>
      <c r="B4" s="5" t="inlineStr">
        <is>
          <t>104.22%</t>
        </is>
      </c>
      <c r="C4" s="5" t="inlineStr">
        <is>
          <t>85.41%</t>
        </is>
      </c>
      <c r="D4" s="5" t="inlineStr">
        <is>
          <t>79.26%</t>
        </is>
      </c>
      <c r="E4" s="5" t="inlineStr">
        <is>
          <t>73.35%</t>
        </is>
      </c>
      <c r="F4" s="5" t="inlineStr">
        <is>
          <t>90.8%</t>
        </is>
      </c>
    </row>
    <row r="6" ht="130" customHeight="1">
      <c r="A6"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t>
        </is>
      </c>
      <c r="B4" s="5" t="n">
        <v>1091</v>
      </c>
      <c r="C4" s="5" t="n">
        <v>955</v>
      </c>
      <c r="D4" s="5" t="n">
        <v>833</v>
      </c>
      <c r="E4" s="5" t="n">
        <v>733</v>
      </c>
      <c r="F4" s="5" t="n">
        <v>761</v>
      </c>
    </row>
    <row r="5" ht="60" customHeight="1">
      <c r="A5" s="6" t="inlineStr">
        <is>
          <t>Note: Total capital = CET1 = Tier 1 every year (no AT1 or Tier 2 instruments in issue).</t>
        </is>
      </c>
    </row>
    <row r="7" ht="130" customHeight="1">
      <c r="A7"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 ratio</t>
        </is>
      </c>
      <c r="B4" s="5" t="inlineStr">
        <is>
          <t>104.22%</t>
        </is>
      </c>
      <c r="C4" s="5" t="inlineStr">
        <is>
          <t>85.41%</t>
        </is>
      </c>
      <c r="D4" s="5" t="inlineStr">
        <is>
          <t>79.26%</t>
        </is>
      </c>
      <c r="E4" s="5" t="inlineStr">
        <is>
          <t>73.35%</t>
        </is>
      </c>
      <c r="F4" s="5" t="inlineStr">
        <is>
          <t>90.8%</t>
        </is>
      </c>
    </row>
    <row r="6" ht="130" customHeight="1">
      <c r="A6"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risk-weighted exposure amount</t>
        </is>
      </c>
      <c r="B4" s="5" t="n">
        <v>1047</v>
      </c>
      <c r="C4" s="5" t="n">
        <v>1118</v>
      </c>
      <c r="D4" s="5" t="n">
        <v>1051</v>
      </c>
      <c r="E4" s="5" t="n">
        <v>999</v>
      </c>
      <c r="F4" s="5" t="n">
        <v>838</v>
      </c>
    </row>
    <row r="5" ht="60" customHeight="1">
      <c r="A5" s="6" t="inlineStr">
        <is>
          <t>Note: FY2024 shown as originally reported (1,118); the FY2025 Pillar 3 Disclosure's comparative column restates this to 1,091 - see the CET1 Ratio sheet note.</t>
        </is>
      </c>
    </row>
    <row r="7" ht="130" customHeight="1">
      <c r="A7"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exposure measure excluding claims on central banks</t>
        </is>
      </c>
      <c r="B4" s="5" t="n">
        <v>6449</v>
      </c>
      <c r="C4" s="5" t="n">
        <v>6276</v>
      </c>
      <c r="D4" s="5" t="n">
        <v>5888</v>
      </c>
      <c r="E4" s="5" t="n">
        <v>7602</v>
      </c>
      <c r="F4" s="5" t="n"/>
    </row>
    <row r="5">
      <c r="A5" s="5" t="inlineStr">
        <is>
          <t>Leverage ratio excluding claims on central banks (%)</t>
        </is>
      </c>
      <c r="B5" s="5" t="inlineStr">
        <is>
          <t>16.92%</t>
        </is>
      </c>
      <c r="C5" s="5" t="inlineStr">
        <is>
          <t>15.22%</t>
        </is>
      </c>
      <c r="D5" s="5" t="inlineStr">
        <is>
          <t>14.15%</t>
        </is>
      </c>
      <c r="E5" s="5" t="inlineStr">
        <is>
          <t>9.64%</t>
        </is>
      </c>
      <c r="F5" s="5" t="n"/>
    </row>
    <row r="6">
      <c r="A6" s="5" t="inlineStr">
        <is>
          <t>Leverage ratio (as reported, basis not specified) (%)</t>
        </is>
      </c>
      <c r="B6" s="5" t="n"/>
      <c r="C6" s="5" t="n"/>
      <c r="D6" s="5" t="n"/>
      <c r="E6" s="5" t="n"/>
      <c r="F6" s="5" t="inlineStr">
        <is>
          <t>6.1%</t>
        </is>
      </c>
    </row>
    <row r="7" ht="60" customHeight="1">
      <c r="A7" s="6" t="inlineStr">
        <is>
          <t>Note: The FY2021 Pillar 3 Disclosure's 'Key metrics' page discloses only a single Leverage ratio figure without specifying an excluding/including-central-bank-claims split (that split, and the exposure-measure £m figure, first appear in the FY2022 report's KM1 template) - shown on its own row rather than assumed comparable to the 'excluding' basis used FY2022 onward. The Company is not subject to a binding leverage ratio requirement (does not meet the LREQ firm thresholds under the PRA Rulebook).</t>
        </is>
      </c>
    </row>
    <row r="9" ht="130" customHeight="1">
      <c r="A9"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7:F7"/>
    <mergeCell ref="A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high-quality liquid assets (HQLA), weighted value (average)</t>
        </is>
      </c>
      <c r="B4" s="5" t="n">
        <v>5184</v>
      </c>
      <c r="C4" s="5" t="n">
        <v>6021</v>
      </c>
      <c r="D4" s="5" t="n">
        <v>6887</v>
      </c>
      <c r="E4" s="5" t="n">
        <v>8876</v>
      </c>
      <c r="F4" s="5" t="n"/>
    </row>
    <row r="5">
      <c r="A5" s="5" t="inlineStr">
        <is>
          <t>Total net cash outflows, adjusted value</t>
        </is>
      </c>
      <c r="B5" s="5" t="n">
        <v>1669</v>
      </c>
      <c r="C5" s="5" t="n">
        <v>2532</v>
      </c>
      <c r="D5" s="5" t="n">
        <v>3305</v>
      </c>
      <c r="E5" s="5" t="n">
        <v>4801</v>
      </c>
      <c r="F5" s="5" t="n"/>
    </row>
    <row r="6">
      <c r="A6" s="5" t="inlineStr">
        <is>
          <t>Liquidity Coverage Ratio (%)</t>
        </is>
      </c>
      <c r="B6" s="5" t="inlineStr">
        <is>
          <t>317.37%</t>
        </is>
      </c>
      <c r="C6" s="5" t="inlineStr">
        <is>
          <t>240.33%</t>
        </is>
      </c>
      <c r="D6" s="5" t="inlineStr">
        <is>
          <t>211.60%</t>
        </is>
      </c>
      <c r="E6" s="5" t="inlineStr">
        <is>
          <t>185.66%</t>
        </is>
      </c>
      <c r="F6" s="5" t="inlineStr">
        <is>
          <t>173%</t>
        </is>
      </c>
    </row>
    <row r="7" ht="60" customHeight="1">
      <c r="A7" s="6" t="inlineStr">
        <is>
          <t>Note: LCR is presented on a 12-month average basis (4-quarter average for FY2022, per that report's own note). FY2021's Pillar 3 report discloses only the headline ratio (173%, Solo basis) on its 'Key metrics' chart page, with no HQLA/outflow/inflow £m breakdown available that year and no FY2021 comparative shown in the FY2022 report (which explicitly states comparatives were not provided for LCR/NSFR due to a change in reporting instructions) - left blank rather than guessed.</t>
        </is>
      </c>
    </row>
    <row r="9" ht="130" customHeight="1">
      <c r="A9"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available stable funding</t>
        </is>
      </c>
      <c r="B4" s="5" t="n">
        <v>2561</v>
      </c>
      <c r="C4" s="5" t="n">
        <v>2474</v>
      </c>
      <c r="D4" s="5" t="n">
        <v>2386</v>
      </c>
      <c r="E4" s="5" t="n">
        <v>3210</v>
      </c>
      <c r="F4" s="5" t="n"/>
    </row>
    <row r="5">
      <c r="A5" s="5" t="inlineStr">
        <is>
          <t>Total required stable funding</t>
        </is>
      </c>
      <c r="B5" s="5" t="n">
        <v>672</v>
      </c>
      <c r="C5" s="5" t="n">
        <v>675</v>
      </c>
      <c r="D5" s="5" t="n">
        <v>650</v>
      </c>
      <c r="E5" s="5" t="n">
        <v>680</v>
      </c>
      <c r="F5" s="5" t="n"/>
    </row>
    <row r="6">
      <c r="A6" s="5" t="inlineStr">
        <is>
          <t>NSFR ratio (%)</t>
        </is>
      </c>
      <c r="B6" s="5" t="inlineStr">
        <is>
          <t>381.21%</t>
        </is>
      </c>
      <c r="C6" s="5" t="inlineStr">
        <is>
          <t>366.64%</t>
        </is>
      </c>
      <c r="D6" s="5" t="inlineStr">
        <is>
          <t>368.06%</t>
        </is>
      </c>
      <c r="E6" s="5" t="inlineStr">
        <is>
          <t>472.37%</t>
        </is>
      </c>
      <c r="F6" s="5" t="inlineStr">
        <is>
          <t>446%</t>
        </is>
      </c>
    </row>
    <row r="7" ht="60" customHeight="1">
      <c r="A7" s="6" t="inlineStr">
        <is>
          <t>Note: NSFR is presented on a 4-quarter average basis. FY2021's Pillar 3 report discloses only the headline ratio (446%, Solo basis) with no £m breakdown, and no FY2021 comparative appears in the FY2022 report (same reporting-instruction change noted on the LCR sheet). The FY2025 Pillar 3 Disclosure's FY2024 comparative column also restates NSFR (ASF 2,474-&gt;2,481, RSF 675-&gt;664, ratio 366.64%-&gt;373.99%) versus the FY2024 report's own originally-reported figures - the FY2024 column above uses that year's own report as originally published, consistent with this project's convention.</t>
        </is>
      </c>
    </row>
    <row r="9" ht="130" customHeight="1">
      <c r="A9"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5" t="inlineStr">
        <is>
          <t>MREL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MREL figure (numeric or qualitative) appears anywhere in any of the 5 Pillar 3 Disclosures or the available Financial Statements for this entity - no reason is stated.</t>
        </is>
      </c>
    </row>
    <row r="7" ht="130" customHeight="1">
      <c r="A7" s="8" t="inlineStr">
        <is>
          <t>Sources - The Bank of New York Mellon (International) Limited Pillar 3 Disclosure, Table 1: UK KM1 - Key metrics template (entity-level basis):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2026-08-27T23:19:51Z</dcterms:created>
  <dcterms:modified xsi:type="dcterms:W3CDTF">2026-08-27T23:19:51Z</dcterms:modified>
</cp:coreProperties>
</file>