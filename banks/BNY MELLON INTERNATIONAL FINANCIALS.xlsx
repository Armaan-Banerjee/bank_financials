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7918773</v>
      </c>
      <c r="C6" s="5" t="n">
        <v>8007771</v>
      </c>
      <c r="D6" s="5" t="n">
        <v>8896652</v>
      </c>
      <c r="E6" s="5" t="n">
        <v>11702044</v>
      </c>
      <c r="F6" s="5" t="n">
        <v>11227068</v>
      </c>
      <c r="I6" t="inlineStr">
        <is>
          <t>Total assets</t>
        </is>
      </c>
      <c r="J6" t="n">
        <v>11227068</v>
      </c>
      <c r="K6" t="n">
        <v>11702044</v>
      </c>
      <c r="L6" t="n">
        <v>8896652</v>
      </c>
      <c r="M6" t="n">
        <v>8007771</v>
      </c>
      <c r="N6" t="n">
        <v>7918773</v>
      </c>
      <c r="AG6" t="inlineStr">
        <is>
          <t>CET1 Ratio</t>
        </is>
      </c>
      <c r="AH6" t="n">
        <v>90.8</v>
      </c>
      <c r="AI6" t="n">
        <v>73.34999999999999</v>
      </c>
      <c r="AJ6" t="n">
        <v>79.26000000000001</v>
      </c>
      <c r="AK6" t="n">
        <v>85.41</v>
      </c>
      <c r="AL6" t="n">
        <v>104.22</v>
      </c>
    </row>
    <row r="7">
      <c r="A7" s="5" t="inlineStr">
        <is>
          <t>Loans and advances to customers</t>
        </is>
      </c>
      <c r="B7" s="5" t="n">
        <v>28495</v>
      </c>
      <c r="C7" s="5" t="n">
        <v>173578</v>
      </c>
      <c r="D7" s="5" t="n">
        <v>108153</v>
      </c>
      <c r="E7" s="5" t="n">
        <v>138345</v>
      </c>
      <c r="F7" s="5" t="n">
        <v>104419</v>
      </c>
      <c r="I7" t="inlineStr">
        <is>
          <t>Loans and advances to customers</t>
        </is>
      </c>
      <c r="J7" t="n">
        <v>104419</v>
      </c>
      <c r="K7" t="n">
        <v>138345</v>
      </c>
      <c r="L7" t="n">
        <v>108153</v>
      </c>
      <c r="M7" t="n">
        <v>173578</v>
      </c>
      <c r="N7" t="n">
        <v>28495</v>
      </c>
      <c r="AG7" t="inlineStr">
        <is>
          <t>Tier 1 Ratio</t>
        </is>
      </c>
      <c r="AH7" t="n">
        <v>90.8</v>
      </c>
      <c r="AI7" t="n">
        <v>73.34999999999999</v>
      </c>
      <c r="AJ7" t="n">
        <v>79.26000000000001</v>
      </c>
      <c r="AK7" t="n">
        <v>85.41</v>
      </c>
      <c r="AL7" t="n">
        <v>104.22</v>
      </c>
    </row>
    <row r="8">
      <c r="A8" s="5" t="inlineStr">
        <is>
          <t>Customer accounts</t>
        </is>
      </c>
      <c r="B8" s="5" t="n">
        <v>4303354</v>
      </c>
      <c r="C8" s="5" t="n">
        <v>4316535</v>
      </c>
      <c r="D8" s="5" t="n">
        <v>4583519</v>
      </c>
      <c r="E8" s="5" t="n">
        <v>6631188</v>
      </c>
      <c r="F8" s="5" t="n">
        <v>7137353</v>
      </c>
      <c r="I8" t="inlineStr">
        <is>
          <t>Customer accounts</t>
        </is>
      </c>
      <c r="J8" t="n">
        <v>7137353</v>
      </c>
      <c r="K8" t="n">
        <v>6631188</v>
      </c>
      <c r="L8" t="n">
        <v>4583519</v>
      </c>
      <c r="M8" t="n">
        <v>4316535</v>
      </c>
      <c r="N8" t="n">
        <v>4303354</v>
      </c>
      <c r="AG8" t="inlineStr">
        <is>
          <t>Total Capital Ratio</t>
        </is>
      </c>
      <c r="AH8" t="n">
        <v>90.8</v>
      </c>
      <c r="AI8" t="n">
        <v>73.34999999999999</v>
      </c>
      <c r="AJ8" t="n">
        <v>79.26000000000001</v>
      </c>
      <c r="AK8" t="n">
        <v>85.41</v>
      </c>
      <c r="AL8" t="n">
        <v>104.22</v>
      </c>
    </row>
    <row r="9">
      <c r="A9" s="5" t="inlineStr">
        <is>
          <t>Shareholder's funds</t>
        </is>
      </c>
      <c r="B9" s="5" t="n">
        <v>1215041</v>
      </c>
      <c r="C9" s="5" t="n">
        <v>1084761</v>
      </c>
      <c r="D9" s="5" t="n">
        <v>954053</v>
      </c>
      <c r="E9" s="5" t="n">
        <v>863356</v>
      </c>
      <c r="F9" s="5" t="n">
        <v>878180</v>
      </c>
      <c r="I9" t="inlineStr">
        <is>
          <t>Shareholder's funds</t>
        </is>
      </c>
      <c r="J9" t="n">
        <v>878180</v>
      </c>
      <c r="K9" t="n">
        <v>863356</v>
      </c>
      <c r="L9" t="n">
        <v>954053</v>
      </c>
      <c r="M9" t="n">
        <v>1084761</v>
      </c>
      <c r="N9" t="n">
        <v>1215041</v>
      </c>
      <c r="AG9" t="inlineStr">
        <is>
          <t>Leverage Ratio (excl. central bank claims)</t>
        </is>
      </c>
      <c r="AI9" t="n">
        <v>9.640000000000001</v>
      </c>
      <c r="AJ9" t="n">
        <v>14.15</v>
      </c>
      <c r="AK9" t="n">
        <v>15.22</v>
      </c>
      <c r="AL9" t="n">
        <v>16.92</v>
      </c>
    </row>
    <row r="10">
      <c r="AG10" t="inlineStr">
        <is>
          <t>LCR</t>
        </is>
      </c>
      <c r="AH10" t="n">
        <v>173</v>
      </c>
      <c r="AI10" t="n">
        <v>185.66</v>
      </c>
      <c r="AJ10" t="n">
        <v>211.6</v>
      </c>
      <c r="AK10" t="n">
        <v>240.33</v>
      </c>
      <c r="AL10" t="n">
        <v>317.37</v>
      </c>
    </row>
    <row r="11">
      <c r="A11" s="3" t="inlineStr">
        <is>
          <t>Profit &amp; Loss Summary (£'000s)</t>
        </is>
      </c>
      <c r="AG11" t="inlineStr">
        <is>
          <t>NSFR</t>
        </is>
      </c>
      <c r="AH11" t="n">
        <v>446</v>
      </c>
      <c r="AI11" t="n">
        <v>472.37</v>
      </c>
      <c r="AJ11" t="n">
        <v>368.06</v>
      </c>
      <c r="AK11" t="n">
        <v>366.64</v>
      </c>
      <c r="AL11" t="n">
        <v>381.21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Non-interest income</t>
        </is>
      </c>
      <c r="B13" s="5" t="n">
        <v>153651</v>
      </c>
      <c r="C13" s="5" t="n">
        <v>153320</v>
      </c>
      <c r="D13" s="5" t="n">
        <v>149827</v>
      </c>
      <c r="E13" s="5" t="n">
        <v>147434</v>
      </c>
      <c r="F13" s="5" t="n">
        <v>152238</v>
      </c>
      <c r="Q13" t="inlineStr">
        <is>
          <t>Non-interest income</t>
        </is>
      </c>
      <c r="R13" t="n">
        <v>152238</v>
      </c>
      <c r="S13" t="n">
        <v>147434</v>
      </c>
      <c r="T13" t="n">
        <v>149827</v>
      </c>
      <c r="U13" t="n">
        <v>153320</v>
      </c>
      <c r="V13" t="n">
        <v>153651</v>
      </c>
    </row>
    <row r="14">
      <c r="A14" s="5" t="inlineStr">
        <is>
          <t>Total operating expenses</t>
        </is>
      </c>
      <c r="B14" s="5" t="n">
        <v>-141091</v>
      </c>
      <c r="C14" s="5" t="n">
        <v>-156473</v>
      </c>
      <c r="D14" s="5" t="n">
        <v>-168041</v>
      </c>
      <c r="E14" s="5" t="n">
        <v>-171514</v>
      </c>
      <c r="F14" s="5" t="n">
        <v>-155452</v>
      </c>
      <c r="Q14" t="inlineStr">
        <is>
          <t>Total operating expenses</t>
        </is>
      </c>
      <c r="R14" t="n">
        <v>-155452</v>
      </c>
      <c r="S14" t="n">
        <v>-171514</v>
      </c>
      <c r="T14" t="n">
        <v>-168041</v>
      </c>
      <c r="U14" t="n">
        <v>-156473</v>
      </c>
      <c r="V14" t="n">
        <v>-141091</v>
      </c>
    </row>
    <row r="15">
      <c r="A15" s="5" t="inlineStr">
        <is>
          <t>Total profit for the financial year</t>
        </is>
      </c>
      <c r="B15" s="5" t="n">
        <v>106780</v>
      </c>
      <c r="C15" s="5" t="n">
        <v>115237</v>
      </c>
      <c r="D15" s="5" t="n">
        <v>60313</v>
      </c>
      <c r="E15" s="5" t="n">
        <v>50313</v>
      </c>
      <c r="F15" s="5" t="n">
        <v>44926</v>
      </c>
      <c r="Q15" t="inlineStr">
        <is>
          <t>Total profit for the financial year</t>
        </is>
      </c>
      <c r="R15" t="n">
        <v>44926</v>
      </c>
      <c r="S15" t="n">
        <v>50313</v>
      </c>
      <c r="T15" t="n">
        <v>60313</v>
      </c>
      <c r="U15" t="n">
        <v>115237</v>
      </c>
      <c r="V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1084761</v>
      </c>
      <c r="C19" s="5" t="n">
        <v>954053</v>
      </c>
      <c r="D19" s="5" t="n">
        <v>863356</v>
      </c>
      <c r="E19" s="5" t="n">
        <v>878180</v>
      </c>
      <c r="F19" s="5" t="n">
        <v>859107</v>
      </c>
      <c r="Y19" t="inlineStr">
        <is>
          <t>Opening equity</t>
        </is>
      </c>
      <c r="Z19" t="n">
        <v>859107</v>
      </c>
      <c r="AA19" t="n">
        <v>878180</v>
      </c>
      <c r="AB19" t="n">
        <v>863356</v>
      </c>
      <c r="AC19" t="n">
        <v>954053</v>
      </c>
      <c r="AD19" t="n">
        <v>1084761</v>
      </c>
    </row>
    <row r="20">
      <c r="A20" s="5" t="inlineStr">
        <is>
          <t>Total comprehensive income/(loss) for the year</t>
        </is>
      </c>
      <c r="B20" s="5" t="n">
        <v>130280</v>
      </c>
      <c r="C20" s="5" t="n">
        <v>130708</v>
      </c>
      <c r="D20" s="5" t="n">
        <v>90725</v>
      </c>
      <c r="E20" s="5" t="n">
        <v>-14824</v>
      </c>
      <c r="F20" s="5" t="n">
        <v>19073</v>
      </c>
      <c r="Y20" t="inlineStr">
        <is>
          <t>Total comprehensive income/(loss) for the year</t>
        </is>
      </c>
      <c r="Z20" t="n">
        <v>19073</v>
      </c>
      <c r="AA20" t="n">
        <v>-14824</v>
      </c>
      <c r="AB20" t="n">
        <v>90725</v>
      </c>
      <c r="AC20" t="n">
        <v>130708</v>
      </c>
      <c r="AD20" t="n">
        <v>130280</v>
      </c>
    </row>
    <row r="21">
      <c r="A21" s="5" t="inlineStr">
        <is>
          <t>Other movements, net</t>
        </is>
      </c>
      <c r="B21" s="5" t="n">
        <v>0</v>
      </c>
      <c r="C21" s="5" t="n">
        <v>0</v>
      </c>
      <c r="D21" s="5" t="n">
        <v>-28</v>
      </c>
      <c r="E21" s="5" t="n">
        <v>0</v>
      </c>
      <c r="F21" s="5" t="n">
        <v>0</v>
      </c>
      <c r="Y21" t="inlineStr">
        <is>
          <t>Other movements, net</t>
        </is>
      </c>
      <c r="Z21" t="n">
        <v>0</v>
      </c>
      <c r="AA21" t="n">
        <v>0</v>
      </c>
      <c r="AB21" t="n">
        <v>-28</v>
      </c>
      <c r="AC21" t="n">
        <v>0</v>
      </c>
      <c r="AD21" t="n">
        <v>0</v>
      </c>
    </row>
    <row r="22">
      <c r="A22" s="5" t="inlineStr">
        <is>
          <t>Closing equity</t>
        </is>
      </c>
      <c r="B22" s="5" t="n">
        <v>1215041</v>
      </c>
      <c r="C22" s="5" t="n">
        <v>1084761</v>
      </c>
      <c r="D22" s="5" t="n">
        <v>954053</v>
      </c>
      <c r="E22" s="5" t="n">
        <v>863356</v>
      </c>
      <c r="F22" s="5" t="n">
        <v>878180</v>
      </c>
      <c r="Y22" t="inlineStr">
        <is>
          <t>Closing equity</t>
        </is>
      </c>
      <c r="Z22" t="n">
        <v>878180</v>
      </c>
      <c r="AA22" t="n">
        <v>863356</v>
      </c>
      <c r="AB22" t="n">
        <v>954053</v>
      </c>
      <c r="AC22" t="n">
        <v>1084761</v>
      </c>
      <c r="AD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inlineStr">
        <is>
          <t>104.22%</t>
        </is>
      </c>
      <c r="C28" s="6" t="inlineStr">
        <is>
          <t>85.41%</t>
        </is>
      </c>
      <c r="D28" s="6" t="inlineStr">
        <is>
          <t>79.26%</t>
        </is>
      </c>
      <c r="E28" s="6" t="inlineStr">
        <is>
          <t>73.35%</t>
        </is>
      </c>
      <c r="F28" s="6" t="inlineStr">
        <is>
          <t>90.8%</t>
        </is>
      </c>
    </row>
    <row r="29">
      <c r="A29" s="6" t="inlineStr">
        <is>
          <t>Tier 1 Ratio</t>
        </is>
      </c>
      <c r="B29" s="6" t="inlineStr">
        <is>
          <t>104.22%</t>
        </is>
      </c>
      <c r="C29" s="6" t="inlineStr">
        <is>
          <t>85.41%</t>
        </is>
      </c>
      <c r="D29" s="6" t="inlineStr">
        <is>
          <t>79.26%</t>
        </is>
      </c>
      <c r="E29" s="6" t="inlineStr">
        <is>
          <t>73.35%</t>
        </is>
      </c>
      <c r="F29" s="6" t="inlineStr">
        <is>
          <t>90.8%</t>
        </is>
      </c>
    </row>
    <row r="30">
      <c r="A30" s="6" t="inlineStr">
        <is>
          <t>Total Capital Ratio</t>
        </is>
      </c>
      <c r="B30" s="6" t="inlineStr">
        <is>
          <t>104.22%</t>
        </is>
      </c>
      <c r="C30" s="6" t="inlineStr">
        <is>
          <t>85.41%</t>
        </is>
      </c>
      <c r="D30" s="6" t="inlineStr">
        <is>
          <t>79.26%</t>
        </is>
      </c>
      <c r="E30" s="6" t="inlineStr">
        <is>
          <t>73.35%</t>
        </is>
      </c>
      <c r="F30" s="6" t="inlineStr">
        <is>
          <t>90.8%</t>
        </is>
      </c>
    </row>
    <row r="31">
      <c r="A31" s="6" t="inlineStr">
        <is>
          <t>Leverage Ratio (excl. central bank claims)</t>
        </is>
      </c>
      <c r="B31" s="6" t="inlineStr">
        <is>
          <t>16.92%</t>
        </is>
      </c>
      <c r="C31" s="6" t="inlineStr">
        <is>
          <t>15.22%</t>
        </is>
      </c>
      <c r="D31" s="6" t="inlineStr">
        <is>
          <t>14.15%</t>
        </is>
      </c>
      <c r="E31" s="6" t="inlineStr">
        <is>
          <t>9.64%</t>
        </is>
      </c>
      <c r="F31" s="6" t="n"/>
    </row>
    <row r="32">
      <c r="A32" s="6" t="inlineStr">
        <is>
          <t>LCR</t>
        </is>
      </c>
      <c r="B32" s="6" t="inlineStr">
        <is>
          <t>317.37%</t>
        </is>
      </c>
      <c r="C32" s="6" t="inlineStr">
        <is>
          <t>240.33%</t>
        </is>
      </c>
      <c r="D32" s="6" t="inlineStr">
        <is>
          <t>211.60%</t>
        </is>
      </c>
      <c r="E32" s="6" t="inlineStr">
        <is>
          <t>185.66%</t>
        </is>
      </c>
      <c r="F32" s="6" t="inlineStr">
        <is>
          <t>173%</t>
        </is>
      </c>
    </row>
    <row r="33">
      <c r="A33" s="6" t="inlineStr">
        <is>
          <t>NSFR</t>
        </is>
      </c>
      <c r="B33" s="6" t="inlineStr">
        <is>
          <t>381.21%</t>
        </is>
      </c>
      <c r="C33" s="6" t="inlineStr">
        <is>
          <t>366.64%</t>
        </is>
      </c>
      <c r="D33" s="6" t="inlineStr">
        <is>
          <t>368.06%</t>
        </is>
      </c>
      <c r="E33" s="6" t="inlineStr">
        <is>
          <t>472.37%</t>
        </is>
      </c>
      <c r="F33" s="6" t="inlineStr">
        <is>
          <t>446%</t>
        </is>
      </c>
    </row>
    <row r="35" ht="45" customHeight="1">
      <c r="A35"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Assets</t>
        </is>
      </c>
      <c r="B4" s="6" t="n"/>
      <c r="C4" s="6" t="n"/>
      <c r="D4" s="6" t="n"/>
      <c r="E4" s="6" t="n"/>
      <c r="F4" s="6" t="n"/>
    </row>
    <row r="5">
      <c r="A5" s="6" t="inlineStr">
        <is>
          <t>Cash and balances at central banks</t>
        </is>
      </c>
      <c r="B5" s="6" t="n">
        <v>2666888</v>
      </c>
      <c r="C5" s="6" t="n">
        <v>2687665</v>
      </c>
      <c r="D5" s="6" t="n">
        <v>3781275</v>
      </c>
      <c r="E5" s="6" t="n">
        <v>4706360</v>
      </c>
      <c r="F5" s="6" t="n">
        <v>4949582</v>
      </c>
    </row>
    <row r="6">
      <c r="A6" s="6" t="inlineStr">
        <is>
          <t>Loans and advances to banks</t>
        </is>
      </c>
      <c r="B6" s="6" t="n">
        <v>2037724</v>
      </c>
      <c r="C6" s="6" t="n">
        <v>1891637</v>
      </c>
      <c r="D6" s="6" t="n">
        <v>1645021</v>
      </c>
      <c r="E6" s="6" t="n">
        <v>2520019</v>
      </c>
      <c r="F6" s="6" t="n">
        <v>1579113</v>
      </c>
    </row>
    <row r="7">
      <c r="A7" s="6" t="inlineStr">
        <is>
          <t>Loans and advances to customers</t>
        </is>
      </c>
      <c r="B7" s="6" t="n">
        <v>28495</v>
      </c>
      <c r="C7" s="6" t="n">
        <v>173578</v>
      </c>
      <c r="D7" s="6" t="n">
        <v>108153</v>
      </c>
      <c r="E7" s="6" t="n">
        <v>138345</v>
      </c>
      <c r="F7" s="6" t="n">
        <v>104419</v>
      </c>
    </row>
    <row r="8">
      <c r="A8" s="6" t="inlineStr">
        <is>
          <t>Investment securities</t>
        </is>
      </c>
      <c r="B8" s="6" t="n">
        <v>2969599</v>
      </c>
      <c r="C8" s="6" t="n">
        <v>2994460</v>
      </c>
      <c r="D8" s="6" t="n">
        <v>3072747</v>
      </c>
      <c r="E8" s="6" t="n">
        <v>4054942</v>
      </c>
      <c r="F8" s="6" t="n">
        <v>4357861</v>
      </c>
    </row>
    <row r="9">
      <c r="A9" s="6" t="inlineStr">
        <is>
          <t>Investments in affiliates</t>
        </is>
      </c>
      <c r="B9" s="6" t="n">
        <v>118150</v>
      </c>
      <c r="C9" s="6" t="n">
        <v>127028</v>
      </c>
      <c r="D9" s="6" t="n">
        <v>181821</v>
      </c>
      <c r="E9" s="6" t="n">
        <v>188620</v>
      </c>
      <c r="F9" s="6" t="n">
        <v>174576</v>
      </c>
    </row>
    <row r="10">
      <c r="A10" s="6" t="inlineStr">
        <is>
          <t>Intangible assets</t>
        </is>
      </c>
      <c r="B10" s="6" t="n">
        <v>2909</v>
      </c>
      <c r="C10" s="6" t="n">
        <v>156</v>
      </c>
      <c r="D10" s="6" t="n">
        <v>209</v>
      </c>
      <c r="E10" s="6" t="n">
        <v>12</v>
      </c>
      <c r="F10" s="6" t="n"/>
    </row>
    <row r="11">
      <c r="A11" s="6" t="inlineStr">
        <is>
          <t>Tangible fixed assets</t>
        </is>
      </c>
      <c r="B11" s="6" t="n">
        <v>31</v>
      </c>
      <c r="C11" s="6" t="n">
        <v>47</v>
      </c>
      <c r="D11" s="6" t="n">
        <v>65</v>
      </c>
      <c r="E11" s="6" t="n">
        <v>1</v>
      </c>
      <c r="F11" s="6" t="n">
        <v>1</v>
      </c>
    </row>
    <row r="12">
      <c r="A12" s="6" t="inlineStr">
        <is>
          <t>Deferred tax asset</t>
        </is>
      </c>
      <c r="B12" s="6" t="n"/>
      <c r="C12" s="6" t="n">
        <v>8926</v>
      </c>
      <c r="D12" s="6" t="n">
        <v>15014</v>
      </c>
      <c r="E12" s="6" t="n">
        <v>26967</v>
      </c>
      <c r="F12" s="6" t="n">
        <v>2150</v>
      </c>
    </row>
    <row r="13">
      <c r="A13" s="6" t="inlineStr">
        <is>
          <t>Prepayments and accrued income</t>
        </is>
      </c>
      <c r="B13" s="6" t="n">
        <v>65789</v>
      </c>
      <c r="C13" s="6" t="n">
        <v>58890</v>
      </c>
      <c r="D13" s="6" t="n">
        <v>58804</v>
      </c>
      <c r="E13" s="6" t="n">
        <v>44398</v>
      </c>
      <c r="F13" s="6" t="n">
        <v>27008</v>
      </c>
    </row>
    <row r="14">
      <c r="A14" s="6" t="inlineStr">
        <is>
          <t>Other assets</t>
        </is>
      </c>
      <c r="B14" s="6" t="n">
        <v>29188</v>
      </c>
      <c r="C14" s="6" t="n">
        <v>65384</v>
      </c>
      <c r="D14" s="6" t="n">
        <v>33543</v>
      </c>
      <c r="E14" s="6" t="n">
        <v>22380</v>
      </c>
      <c r="F14" s="6" t="n">
        <v>32358</v>
      </c>
    </row>
    <row r="15">
      <c r="A15" s="5" t="inlineStr">
        <is>
          <t>Total assets</t>
        </is>
      </c>
      <c r="B15" s="5" t="n">
        <v>7918773</v>
      </c>
      <c r="C15" s="5" t="n">
        <v>8007771</v>
      </c>
      <c r="D15" s="5" t="n">
        <v>8896652</v>
      </c>
      <c r="E15" s="5" t="n">
        <v>11702044</v>
      </c>
      <c r="F15" s="5" t="n">
        <v>11227068</v>
      </c>
    </row>
    <row r="16">
      <c r="A16" s="5" t="inlineStr">
        <is>
          <t>Liabilities</t>
        </is>
      </c>
      <c r="B16" s="6" t="n"/>
      <c r="C16" s="6" t="n"/>
      <c r="D16" s="6" t="n"/>
      <c r="E16" s="6" t="n"/>
      <c r="F16" s="6" t="n"/>
    </row>
    <row r="17">
      <c r="A17" s="6" t="inlineStr">
        <is>
          <t>Deposits by banks</t>
        </is>
      </c>
      <c r="B17" s="6" t="n">
        <v>2240411</v>
      </c>
      <c r="C17" s="6" t="n">
        <v>2575276</v>
      </c>
      <c r="D17" s="6" t="n">
        <v>3297200</v>
      </c>
      <c r="E17" s="6" t="n">
        <v>4164947</v>
      </c>
      <c r="F17" s="6" t="n">
        <v>3152969</v>
      </c>
    </row>
    <row r="18">
      <c r="A18" s="6" t="inlineStr">
        <is>
          <t>Customer accounts</t>
        </is>
      </c>
      <c r="B18" s="6" t="n">
        <v>4303354</v>
      </c>
      <c r="C18" s="6" t="n">
        <v>4316535</v>
      </c>
      <c r="D18" s="6" t="n">
        <v>4583519</v>
      </c>
      <c r="E18" s="6" t="n">
        <v>6631188</v>
      </c>
      <c r="F18" s="6" t="n">
        <v>7137353</v>
      </c>
    </row>
    <row r="19">
      <c r="A19" s="6" t="inlineStr">
        <is>
          <t>Loan due to fellow group undertakings</t>
        </is>
      </c>
      <c r="B19" s="6" t="n">
        <v>118897</v>
      </c>
      <c r="C19" s="6" t="n"/>
      <c r="D19" s="6" t="n"/>
      <c r="E19" s="6" t="n"/>
      <c r="F19" s="6" t="n"/>
    </row>
    <row r="20">
      <c r="A20" s="6" t="inlineStr">
        <is>
          <t>Other liabilities</t>
        </is>
      </c>
      <c r="B20" s="6" t="n">
        <v>31960</v>
      </c>
      <c r="C20" s="6" t="n">
        <v>20810</v>
      </c>
      <c r="D20" s="6" t="n">
        <v>30819</v>
      </c>
      <c r="E20" s="6" t="n">
        <v>28159</v>
      </c>
      <c r="F20" s="6" t="n">
        <v>50260</v>
      </c>
    </row>
    <row r="21">
      <c r="A21" s="6" t="inlineStr">
        <is>
          <t>Deferred tax liabilities</t>
        </is>
      </c>
      <c r="B21" s="6" t="n">
        <v>288</v>
      </c>
      <c r="C21" s="6" t="n">
        <v>0</v>
      </c>
      <c r="D21" s="6" t="n"/>
      <c r="E21" s="6" t="n"/>
      <c r="F21" s="6" t="n">
        <v>0</v>
      </c>
    </row>
    <row r="22">
      <c r="A22" s="6" t="inlineStr">
        <is>
          <t>Accruals and deferred income</t>
        </is>
      </c>
      <c r="B22" s="6" t="n">
        <v>7166</v>
      </c>
      <c r="C22" s="6" t="n">
        <v>6077</v>
      </c>
      <c r="D22" s="6" t="n">
        <v>26455</v>
      </c>
      <c r="E22" s="6" t="n">
        <v>9641</v>
      </c>
      <c r="F22" s="6" t="n">
        <v>4080</v>
      </c>
    </row>
    <row r="23">
      <c r="A23" s="6" t="inlineStr">
        <is>
          <t>Provisions</t>
        </is>
      </c>
      <c r="B23" s="6" t="n">
        <v>1656</v>
      </c>
      <c r="C23" s="6" t="n">
        <v>4312</v>
      </c>
      <c r="D23" s="6" t="n">
        <v>4606</v>
      </c>
      <c r="E23" s="6" t="n">
        <v>4753</v>
      </c>
      <c r="F23" s="6" t="n">
        <v>4226</v>
      </c>
    </row>
    <row r="24">
      <c r="A24" s="5" t="inlineStr">
        <is>
          <t>Total liabilities</t>
        </is>
      </c>
      <c r="B24" s="5" t="n">
        <v>6703732</v>
      </c>
      <c r="C24" s="5" t="n">
        <v>6923010</v>
      </c>
      <c r="D24" s="5" t="n">
        <v>7942599</v>
      </c>
      <c r="E24" s="5" t="n">
        <v>10838688</v>
      </c>
      <c r="F24" s="5" t="n">
        <v>10348888</v>
      </c>
    </row>
    <row r="25">
      <c r="A25" s="5" t="inlineStr">
        <is>
          <t>Capital and reserves</t>
        </is>
      </c>
      <c r="B25" s="6" t="n"/>
      <c r="C25" s="6" t="n"/>
      <c r="D25" s="6" t="n"/>
      <c r="E25" s="6" t="n"/>
      <c r="F25" s="6" t="n"/>
    </row>
    <row r="26">
      <c r="A26" s="6" t="inlineStr">
        <is>
          <t>Called up share capital</t>
        </is>
      </c>
      <c r="B26" s="6" t="n">
        <v>519695</v>
      </c>
      <c r="C26" s="6" t="n">
        <v>519695</v>
      </c>
      <c r="D26" s="6" t="n">
        <v>519695</v>
      </c>
      <c r="E26" s="6" t="n">
        <v>519695</v>
      </c>
      <c r="F26" s="6" t="n">
        <v>519695</v>
      </c>
    </row>
    <row r="27">
      <c r="A27" s="6" t="inlineStr">
        <is>
          <t>Fair value reserve</t>
        </is>
      </c>
      <c r="B27" s="6" t="n">
        <v>1758</v>
      </c>
      <c r="C27" s="6" t="n">
        <v>-21742</v>
      </c>
      <c r="D27" s="6" t="n">
        <v>-37213</v>
      </c>
      <c r="E27" s="6" t="n">
        <v>-67625</v>
      </c>
      <c r="F27" s="6" t="n">
        <v>-2488</v>
      </c>
    </row>
    <row r="28">
      <c r="A28" s="6" t="inlineStr">
        <is>
          <t>Other reserves</t>
        </is>
      </c>
      <c r="B28" s="6" t="n">
        <v>7139</v>
      </c>
      <c r="C28" s="6" t="n">
        <v>7139</v>
      </c>
      <c r="D28" s="6" t="n">
        <v>7139</v>
      </c>
      <c r="E28" s="6" t="n">
        <v>7139</v>
      </c>
      <c r="F28" s="6" t="n">
        <v>7150</v>
      </c>
    </row>
    <row r="29">
      <c r="A29" s="6" t="inlineStr">
        <is>
          <t>Profit and loss account</t>
        </is>
      </c>
      <c r="B29" s="6" t="n">
        <v>686449</v>
      </c>
      <c r="C29" s="6" t="n">
        <v>579669</v>
      </c>
      <c r="D29" s="6" t="n">
        <v>464432</v>
      </c>
      <c r="E29" s="6" t="n">
        <v>404147</v>
      </c>
      <c r="F29" s="6" t="n">
        <v>353823</v>
      </c>
    </row>
    <row r="30">
      <c r="A30" s="5" t="inlineStr">
        <is>
          <t>Shareholder's funds</t>
        </is>
      </c>
      <c r="B30" s="5" t="n">
        <v>1215041</v>
      </c>
      <c r="C30" s="5" t="n">
        <v>1084761</v>
      </c>
      <c r="D30" s="5" t="n">
        <v>954053</v>
      </c>
      <c r="E30" s="5" t="n">
        <v>863356</v>
      </c>
      <c r="F30" s="5" t="n">
        <v>878180</v>
      </c>
    </row>
    <row r="31">
      <c r="A31" s="5" t="inlineStr">
        <is>
          <t>Total liabilities and shareholder's funds</t>
        </is>
      </c>
      <c r="B31" s="5" t="n">
        <v>7918773</v>
      </c>
      <c r="C31" s="5" t="n">
        <v>8007771</v>
      </c>
      <c r="D31" s="5" t="n">
        <v>8896652</v>
      </c>
      <c r="E31" s="5" t="n">
        <v>11702044</v>
      </c>
      <c r="F31" s="5" t="n">
        <v>11227068</v>
      </c>
    </row>
    <row r="33" ht="440" customHeight="1">
      <c r="A33" s="8" t="inlineStr">
        <is>
          <t>Sources - The Bank of New York Mellon (International) Limited's own audited financial statements: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(scanned/image-only, visually transcribed) - https://find-and-update.company-information.service.gov.uk/company/03236121/filing-history/MzMzNzcwMzgzM2FkaXF6a2N4/document?format=pdf&amp;download=0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Income</t>
        </is>
      </c>
      <c r="B4" s="6" t="n"/>
      <c r="C4" s="6" t="n"/>
      <c r="D4" s="6" t="n"/>
      <c r="E4" s="6" t="n"/>
      <c r="F4" s="6" t="n"/>
    </row>
    <row r="5">
      <c r="A5" s="6" t="inlineStr">
        <is>
          <t>Interest receivable and similar income</t>
        </is>
      </c>
      <c r="B5" s="6" t="n">
        <v>292194</v>
      </c>
      <c r="C5" s="6" t="n">
        <v>367509</v>
      </c>
      <c r="D5" s="6" t="n">
        <v>368769</v>
      </c>
      <c r="E5" s="6" t="n">
        <v>163522</v>
      </c>
      <c r="F5" s="6" t="n">
        <v>34976</v>
      </c>
    </row>
    <row r="6">
      <c r="A6" s="6" t="inlineStr">
        <is>
          <t>Interest payable and similar charges</t>
        </is>
      </c>
      <c r="B6" s="6" t="n">
        <v>-197224</v>
      </c>
      <c r="C6" s="6" t="n">
        <v>-273351</v>
      </c>
      <c r="D6" s="6" t="n">
        <v>-269549</v>
      </c>
      <c r="E6" s="6" t="n">
        <v>-92414</v>
      </c>
      <c r="F6" s="6" t="n">
        <v>-5231</v>
      </c>
    </row>
    <row r="7">
      <c r="A7" s="5" t="inlineStr">
        <is>
          <t>Net interest income</t>
        </is>
      </c>
      <c r="B7" s="5" t="n">
        <v>94970</v>
      </c>
      <c r="C7" s="5" t="n">
        <v>94158</v>
      </c>
      <c r="D7" s="5" t="n">
        <v>99220</v>
      </c>
      <c r="E7" s="5" t="n">
        <v>71108</v>
      </c>
      <c r="F7" s="5" t="n">
        <v>29745</v>
      </c>
    </row>
    <row r="8">
      <c r="A8" s="6" t="inlineStr">
        <is>
          <t>Fees and commissions receivable</t>
        </is>
      </c>
      <c r="B8" s="6" t="n">
        <v>145423</v>
      </c>
      <c r="C8" s="6" t="n">
        <v>147547</v>
      </c>
      <c r="D8" s="6" t="n">
        <v>139362</v>
      </c>
      <c r="E8" s="6" t="n">
        <v>133709</v>
      </c>
      <c r="F8" s="6" t="n">
        <v>140708</v>
      </c>
    </row>
    <row r="9">
      <c r="A9" s="6" t="inlineStr">
        <is>
          <t>Net foreign exchange translation gain/(loss)</t>
        </is>
      </c>
      <c r="B9" s="6" t="n">
        <v>74</v>
      </c>
      <c r="C9" s="6" t="n">
        <v>-315</v>
      </c>
      <c r="D9" s="6" t="n">
        <v>-337</v>
      </c>
      <c r="E9" s="6" t="n">
        <v>-1268</v>
      </c>
      <c r="F9" s="6" t="n">
        <v>-468</v>
      </c>
    </row>
    <row r="10">
      <c r="A10" s="6" t="inlineStr">
        <is>
          <t>Other operating income</t>
        </is>
      </c>
      <c r="B10" s="6" t="n">
        <v>8154</v>
      </c>
      <c r="C10" s="6" t="n">
        <v>6088</v>
      </c>
      <c r="D10" s="6" t="n">
        <v>10802</v>
      </c>
      <c r="E10" s="6" t="n">
        <v>14993</v>
      </c>
      <c r="F10" s="6" t="n">
        <v>11998</v>
      </c>
    </row>
    <row r="11">
      <c r="A11" s="5" t="inlineStr">
        <is>
          <t>Non-interest income</t>
        </is>
      </c>
      <c r="B11" s="5" t="n">
        <v>153651</v>
      </c>
      <c r="C11" s="5" t="n">
        <v>153320</v>
      </c>
      <c r="D11" s="5" t="n">
        <v>149827</v>
      </c>
      <c r="E11" s="5" t="n">
        <v>147434</v>
      </c>
      <c r="F11" s="5" t="n">
        <v>152238</v>
      </c>
    </row>
    <row r="12">
      <c r="A12" s="5" t="inlineStr">
        <is>
          <t>Total operating income (FY2024-25 basis, excl. investments-in-affiliates income)</t>
        </is>
      </c>
      <c r="B12" s="5" t="n">
        <v>248621</v>
      </c>
      <c r="C12" s="5" t="n">
        <v>247478</v>
      </c>
      <c r="D12" s="5" t="n"/>
      <c r="E12" s="5" t="n"/>
      <c r="F12" s="5" t="n"/>
    </row>
    <row r="13">
      <c r="A13" s="5" t="inlineStr">
        <is>
          <t>Total income (FY2021-23 basis, incl. investments-in-affiliates income)</t>
        </is>
      </c>
      <c r="B13" s="5" t="n"/>
      <c r="C13" s="5" t="n"/>
      <c r="D13" s="5" t="n">
        <v>266563</v>
      </c>
      <c r="E13" s="5" t="n">
        <v>240697</v>
      </c>
      <c r="F13" s="5" t="n">
        <v>210480</v>
      </c>
    </row>
    <row r="14">
      <c r="A14" s="5" t="inlineStr">
        <is>
          <t>Expenses</t>
        </is>
      </c>
      <c r="B14" s="6" t="n"/>
      <c r="C14" s="6" t="n"/>
      <c r="D14" s="6" t="n"/>
      <c r="E14" s="6" t="n"/>
      <c r="F14" s="6" t="n"/>
    </row>
    <row r="15">
      <c r="A15" s="6" t="inlineStr">
        <is>
          <t>Administration/administrative expenses</t>
        </is>
      </c>
      <c r="B15" s="6" t="n">
        <v>-141192</v>
      </c>
      <c r="C15" s="6" t="n">
        <v>-156924</v>
      </c>
      <c r="D15" s="6" t="n">
        <v>-167758</v>
      </c>
      <c r="E15" s="6" t="n">
        <v>-171390</v>
      </c>
      <c r="F15" s="6" t="n">
        <v>-155502</v>
      </c>
    </row>
    <row r="16">
      <c r="A16" s="6" t="inlineStr">
        <is>
          <t>Change in Expected Credit Loss (ECL) on financial assets</t>
        </is>
      </c>
      <c r="B16" s="6" t="n">
        <v>101</v>
      </c>
      <c r="C16" s="6" t="n">
        <v>451</v>
      </c>
      <c r="D16" s="6" t="n">
        <v>-283</v>
      </c>
      <c r="E16" s="6" t="n">
        <v>-124</v>
      </c>
      <c r="F16" s="6" t="n">
        <v>50</v>
      </c>
    </row>
    <row r="17">
      <c r="A17" s="5" t="inlineStr">
        <is>
          <t>Total operating expenses</t>
        </is>
      </c>
      <c r="B17" s="5" t="n">
        <v>-141091</v>
      </c>
      <c r="C17" s="5" t="n">
        <v>-156473</v>
      </c>
      <c r="D17" s="5" t="n">
        <v>-168041</v>
      </c>
      <c r="E17" s="5" t="n">
        <v>-171514</v>
      </c>
      <c r="F17" s="5" t="n">
        <v>-155452</v>
      </c>
    </row>
    <row r="18">
      <c r="A18" s="6" t="inlineStr">
        <is>
          <t>Income from investments in affiliates</t>
        </is>
      </c>
      <c r="B18" s="6" t="n">
        <v>44810</v>
      </c>
      <c r="C18" s="6" t="n">
        <v>102898</v>
      </c>
      <c r="D18" s="6" t="n">
        <v>17516</v>
      </c>
      <c r="E18" s="6" t="n">
        <v>22155</v>
      </c>
      <c r="F18" s="6" t="n">
        <v>28497</v>
      </c>
    </row>
    <row r="19">
      <c r="A19" s="6" t="inlineStr">
        <is>
          <t>Amounts written off investments in affiliates</t>
        </is>
      </c>
      <c r="B19" s="6" t="n">
        <v>0</v>
      </c>
      <c r="C19" s="6" t="n">
        <v>-57148</v>
      </c>
      <c r="D19" s="6" t="n"/>
      <c r="E19" s="6" t="n"/>
      <c r="F19" s="6" t="n"/>
    </row>
    <row r="20">
      <c r="A20" s="5" t="inlineStr">
        <is>
          <t>Profit before taxation</t>
        </is>
      </c>
      <c r="B20" s="5" t="n">
        <v>152340</v>
      </c>
      <c r="C20" s="5" t="n">
        <v>136755</v>
      </c>
      <c r="D20" s="5" t="n">
        <v>98522</v>
      </c>
      <c r="E20" s="5" t="n">
        <v>69183</v>
      </c>
      <c r="F20" s="5" t="n">
        <v>55028</v>
      </c>
    </row>
    <row r="21">
      <c r="A21" s="6" t="inlineStr">
        <is>
          <t>Taxation on profit</t>
        </is>
      </c>
      <c r="B21" s="6" t="n">
        <v>-45560</v>
      </c>
      <c r="C21" s="6" t="n">
        <v>-21518</v>
      </c>
      <c r="D21" s="6" t="n">
        <v>-38209</v>
      </c>
      <c r="E21" s="6" t="n">
        <v>-18870</v>
      </c>
      <c r="F21" s="6" t="n">
        <v>-10102</v>
      </c>
    </row>
    <row r="22">
      <c r="A22" s="5" t="inlineStr">
        <is>
          <t>Total profit for the financial year</t>
        </is>
      </c>
      <c r="B22" s="5" t="n">
        <v>106780</v>
      </c>
      <c r="C22" s="5" t="n">
        <v>115237</v>
      </c>
      <c r="D22" s="5" t="n">
        <v>60313</v>
      </c>
      <c r="E22" s="5" t="n">
        <v>50313</v>
      </c>
      <c r="F22" s="5" t="n">
        <v>44926</v>
      </c>
    </row>
    <row r="23">
      <c r="A23" s="5" t="inlineStr">
        <is>
          <t>Other comprehensive income</t>
        </is>
      </c>
      <c r="B23" s="6" t="n"/>
      <c r="C23" s="6" t="n"/>
      <c r="D23" s="6" t="n"/>
      <c r="E23" s="6" t="n"/>
      <c r="F23" s="6" t="n"/>
    </row>
    <row r="24">
      <c r="A24" s="6" t="inlineStr">
        <is>
          <t>Movement in financial assets measured at FVOCI</t>
        </is>
      </c>
      <c r="B24" s="6" t="n">
        <v>32634</v>
      </c>
      <c r="C24" s="6" t="n">
        <v>21463</v>
      </c>
      <c r="D24" s="6" t="n">
        <v>42230</v>
      </c>
      <c r="E24" s="6" t="n">
        <v>-90166</v>
      </c>
      <c r="F24" s="6" t="n">
        <v>-35721</v>
      </c>
    </row>
    <row r="25">
      <c r="A25" s="6" t="inlineStr">
        <is>
          <t>Change in ECL on financial assets measured at FVOCI</t>
        </is>
      </c>
      <c r="B25" s="6" t="n"/>
      <c r="C25" s="6" t="n"/>
      <c r="D25" s="6" t="n">
        <v>15</v>
      </c>
      <c r="E25" s="6" t="n">
        <v>-22</v>
      </c>
      <c r="F25" s="6" t="n">
        <v>1</v>
      </c>
    </row>
    <row r="26">
      <c r="A26" s="6" t="inlineStr">
        <is>
          <t>Related tax</t>
        </is>
      </c>
      <c r="B26" s="6" t="n">
        <v>-9134</v>
      </c>
      <c r="C26" s="6" t="n">
        <v>-5992</v>
      </c>
      <c r="D26" s="6" t="n">
        <v>-11833</v>
      </c>
      <c r="E26" s="6" t="n">
        <v>25051</v>
      </c>
      <c r="F26" s="6" t="n">
        <v>9867</v>
      </c>
    </row>
    <row r="27">
      <c r="A27" s="5" t="inlineStr">
        <is>
          <t>Other comprehensive income/(loss), net of tax</t>
        </is>
      </c>
      <c r="B27" s="5" t="n">
        <v>23500</v>
      </c>
      <c r="C27" s="5" t="n">
        <v>15471</v>
      </c>
      <c r="D27" s="5" t="n">
        <v>30412</v>
      </c>
      <c r="E27" s="5" t="n">
        <v>-65137</v>
      </c>
      <c r="F27" s="5" t="n">
        <v>-25853</v>
      </c>
    </row>
    <row r="28">
      <c r="A28" s="5" t="inlineStr">
        <is>
          <t>Total comprehensive income for the financial year</t>
        </is>
      </c>
      <c r="B28" s="5" t="n">
        <v>130280</v>
      </c>
      <c r="C28" s="5" t="n">
        <v>130708</v>
      </c>
      <c r="D28" s="5" t="n">
        <v>90725</v>
      </c>
      <c r="E28" s="5" t="n">
        <v>-14824</v>
      </c>
      <c r="F28" s="5" t="n">
        <v>19073</v>
      </c>
    </row>
    <row r="30" ht="440" customHeight="1">
      <c r="A30" s="8" t="inlineStr">
        <is>
          <t>Sources - The Bank of New York Mellon (International) Limited's own audited financial statements: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(scanned/image-only, visually transcribed) - https://find-and-update.company-information.service.gov.uk/company/03236121/filing-history/MzMzNzcwMzgzM2FkaXF6a2N4/document?format=pdf&amp;download=0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2021</t>
        </is>
      </c>
      <c r="B4" s="5" t="n">
        <v>519695</v>
      </c>
      <c r="C4" s="5" t="n">
        <v>23365</v>
      </c>
      <c r="D4" s="5" t="n">
        <v>7276</v>
      </c>
      <c r="E4" s="5" t="n">
        <v>308771</v>
      </c>
      <c r="F4" s="5" t="n">
        <v>859107</v>
      </c>
    </row>
    <row r="5">
      <c r="A5" s="6" t="inlineStr">
        <is>
          <t>Movement in financial assets measured at FVOCI (FY2021)</t>
        </is>
      </c>
      <c r="B5" s="6" t="n"/>
      <c r="C5" s="6" t="n">
        <v>-35721</v>
      </c>
      <c r="D5" s="6" t="n"/>
      <c r="E5" s="6" t="n"/>
      <c r="F5" s="6" t="n">
        <v>-35721</v>
      </c>
    </row>
    <row r="6">
      <c r="A6" s="6" t="inlineStr">
        <is>
          <t>Change in ECL on financial assets measured at FVOCI (FY2021)</t>
        </is>
      </c>
      <c r="B6" s="6" t="n"/>
      <c r="C6" s="6" t="n">
        <v>1</v>
      </c>
      <c r="D6" s="6" t="n"/>
      <c r="E6" s="6" t="n"/>
      <c r="F6" s="6" t="n">
        <v>1</v>
      </c>
    </row>
    <row r="7">
      <c r="A7" s="6" t="inlineStr">
        <is>
          <t>Tax on other comprehensive income (FY2021)</t>
        </is>
      </c>
      <c r="B7" s="6" t="n"/>
      <c r="C7" s="6" t="n">
        <v>9867</v>
      </c>
      <c r="D7" s="6" t="n"/>
      <c r="E7" s="6" t="n"/>
      <c r="F7" s="6" t="n">
        <v>9867</v>
      </c>
    </row>
    <row r="8">
      <c r="A8" s="6" t="inlineStr">
        <is>
          <t>Profit for the financial year (FY2021)</t>
        </is>
      </c>
      <c r="B8" s="6" t="n"/>
      <c r="C8" s="6" t="n"/>
      <c r="D8" s="6" t="n"/>
      <c r="E8" s="6" t="n">
        <v>44926</v>
      </c>
      <c r="F8" s="6" t="n">
        <v>44926</v>
      </c>
    </row>
    <row r="9">
      <c r="A9" s="5" t="inlineStr">
        <is>
          <t>Total comprehensive income for the year (FY2021)</t>
        </is>
      </c>
      <c r="B9" s="5" t="n"/>
      <c r="C9" s="5" t="n">
        <v>-25853</v>
      </c>
      <c r="D9" s="5" t="n"/>
      <c r="E9" s="5" t="n">
        <v>44926</v>
      </c>
      <c r="F9" s="5" t="n">
        <v>19073</v>
      </c>
    </row>
    <row r="10">
      <c r="A10" s="6" t="inlineStr">
        <is>
          <t>Transfer between reserve accounts (FY2021)</t>
        </is>
      </c>
      <c r="B10" s="6" t="n"/>
      <c r="C10" s="6" t="n"/>
      <c r="D10" s="6" t="n">
        <v>-126</v>
      </c>
      <c r="E10" s="6" t="n">
        <v>126</v>
      </c>
      <c r="F10" s="6" t="n">
        <v>0</v>
      </c>
    </row>
    <row r="11">
      <c r="A11" s="5" t="inlineStr">
        <is>
          <t>At 31 December 2021</t>
        </is>
      </c>
      <c r="B11" s="5" t="n">
        <v>519695</v>
      </c>
      <c r="C11" s="5" t="n">
        <v>-2488</v>
      </c>
      <c r="D11" s="5" t="n">
        <v>7150</v>
      </c>
      <c r="E11" s="5" t="n">
        <v>353823</v>
      </c>
      <c r="F11" s="5" t="n">
        <v>878180</v>
      </c>
    </row>
    <row r="12">
      <c r="A12" s="6" t="inlineStr">
        <is>
          <t>Profit for the financial year (FY2022)</t>
        </is>
      </c>
      <c r="B12" s="6" t="n"/>
      <c r="C12" s="6" t="n"/>
      <c r="D12" s="6" t="n"/>
      <c r="E12" s="6" t="n">
        <v>50313</v>
      </c>
      <c r="F12" s="6" t="n">
        <v>50313</v>
      </c>
    </row>
    <row r="13">
      <c r="A13" s="6" t="inlineStr">
        <is>
          <t>Movement in financial assets measured at FVOCI (FY2022)</t>
        </is>
      </c>
      <c r="B13" s="6" t="n"/>
      <c r="C13" s="6" t="n">
        <v>-90166</v>
      </c>
      <c r="D13" s="6" t="n"/>
      <c r="E13" s="6" t="n"/>
      <c r="F13" s="6" t="n">
        <v>-90166</v>
      </c>
    </row>
    <row r="14">
      <c r="A14" s="6" t="inlineStr">
        <is>
          <t>Change in ECL on financial assets measured at FVOCI (FY2022)</t>
        </is>
      </c>
      <c r="B14" s="6" t="n"/>
      <c r="C14" s="6" t="n">
        <v>-22</v>
      </c>
      <c r="D14" s="6" t="n"/>
      <c r="E14" s="6" t="n"/>
      <c r="F14" s="6" t="n">
        <v>-22</v>
      </c>
    </row>
    <row r="15">
      <c r="A15" s="6" t="inlineStr">
        <is>
          <t>Tax on other comprehensive income (FY2022)</t>
        </is>
      </c>
      <c r="B15" s="6" t="n"/>
      <c r="C15" s="6" t="n">
        <v>25051</v>
      </c>
      <c r="D15" s="6" t="n"/>
      <c r="E15" s="6" t="n"/>
      <c r="F15" s="6" t="n">
        <v>25051</v>
      </c>
    </row>
    <row r="16">
      <c r="A16" s="5" t="inlineStr">
        <is>
          <t>Total comprehensive income for the year (FY2022)</t>
        </is>
      </c>
      <c r="B16" s="5" t="n"/>
      <c r="C16" s="5" t="n">
        <v>-65137</v>
      </c>
      <c r="D16" s="5" t="n"/>
      <c r="E16" s="5" t="n">
        <v>50313</v>
      </c>
      <c r="F16" s="5" t="n">
        <v>-14824</v>
      </c>
    </row>
    <row r="17">
      <c r="A17" s="6" t="inlineStr">
        <is>
          <t>Transfer between reserve accounts (FY2022)</t>
        </is>
      </c>
      <c r="B17" s="6" t="n"/>
      <c r="C17" s="6" t="n"/>
      <c r="D17" s="6" t="n">
        <v>-11</v>
      </c>
      <c r="E17" s="6" t="n">
        <v>11</v>
      </c>
      <c r="F17" s="6" t="n">
        <v>0</v>
      </c>
    </row>
    <row r="18">
      <c r="A18" s="5" t="inlineStr">
        <is>
          <t>At 31 December 2022</t>
        </is>
      </c>
      <c r="B18" s="5" t="n">
        <v>519695</v>
      </c>
      <c r="C18" s="5" t="n">
        <v>-67625</v>
      </c>
      <c r="D18" s="5" t="n">
        <v>7139</v>
      </c>
      <c r="E18" s="5" t="n">
        <v>404147</v>
      </c>
      <c r="F18" s="5" t="n">
        <v>863356</v>
      </c>
    </row>
    <row r="19">
      <c r="A19" s="6" t="inlineStr">
        <is>
          <t>Profit for the financial year (FY2023)</t>
        </is>
      </c>
      <c r="B19" s="6" t="n"/>
      <c r="C19" s="6" t="n"/>
      <c r="D19" s="6" t="n"/>
      <c r="E19" s="6" t="n">
        <v>60313</v>
      </c>
      <c r="F19" s="6" t="n">
        <v>60313</v>
      </c>
    </row>
    <row r="20">
      <c r="A20" s="6" t="inlineStr">
        <is>
          <t>Movement in financial assets measured at FVOCI (FY2023)</t>
        </is>
      </c>
      <c r="B20" s="6" t="n"/>
      <c r="C20" s="6" t="n">
        <v>42230</v>
      </c>
      <c r="D20" s="6" t="n"/>
      <c r="E20" s="6" t="n"/>
      <c r="F20" s="6" t="n">
        <v>42230</v>
      </c>
    </row>
    <row r="21">
      <c r="A21" s="6" t="inlineStr">
        <is>
          <t>Change in ECL on financial assets measured at FVOCI (FY2023)</t>
        </is>
      </c>
      <c r="B21" s="6" t="n"/>
      <c r="C21" s="6" t="n">
        <v>15</v>
      </c>
      <c r="D21" s="6" t="n"/>
      <c r="E21" s="6" t="n"/>
      <c r="F21" s="6" t="n">
        <v>15</v>
      </c>
    </row>
    <row r="22">
      <c r="A22" s="6" t="inlineStr">
        <is>
          <t>Tax on other comprehensive income (FY2023)</t>
        </is>
      </c>
      <c r="B22" s="6" t="n"/>
      <c r="C22" s="6" t="n">
        <v>-11833</v>
      </c>
      <c r="D22" s="6" t="n"/>
      <c r="E22" s="6" t="n"/>
      <c r="F22" s="6" t="n">
        <v>-11833</v>
      </c>
    </row>
    <row r="23">
      <c r="A23" s="5" t="inlineStr">
        <is>
          <t>Total comprehensive income for the year (FY2023)</t>
        </is>
      </c>
      <c r="B23" s="5" t="n"/>
      <c r="C23" s="5" t="n">
        <v>30412</v>
      </c>
      <c r="D23" s="5" t="n"/>
      <c r="E23" s="5" t="n">
        <v>60313</v>
      </c>
      <c r="F23" s="5" t="n">
        <v>90725</v>
      </c>
    </row>
    <row r="24">
      <c r="A24" s="6" t="inlineStr">
        <is>
          <t>Dividend in specie (FY2023)</t>
        </is>
      </c>
      <c r="B24" s="6" t="n"/>
      <c r="C24" s="6" t="n"/>
      <c r="D24" s="6" t="n"/>
      <c r="E24" s="6" t="n">
        <v>-28</v>
      </c>
      <c r="F24" s="6" t="n">
        <v>-28</v>
      </c>
    </row>
    <row r="25">
      <c r="A25" s="5" t="inlineStr">
        <is>
          <t>At 31 December 2023</t>
        </is>
      </c>
      <c r="B25" s="5" t="n">
        <v>519695</v>
      </c>
      <c r="C25" s="5" t="n">
        <v>-37213</v>
      </c>
      <c r="D25" s="5" t="n">
        <v>7139</v>
      </c>
      <c r="E25" s="5" t="n">
        <v>464432</v>
      </c>
      <c r="F25" s="5" t="n">
        <v>954053</v>
      </c>
    </row>
    <row r="26">
      <c r="A26" s="6" t="inlineStr">
        <is>
          <t>Profit for the financial year (FY2024)</t>
        </is>
      </c>
      <c r="B26" s="6" t="n"/>
      <c r="C26" s="6" t="n"/>
      <c r="D26" s="6" t="n"/>
      <c r="E26" s="6" t="n">
        <v>115237</v>
      </c>
      <c r="F26" s="6" t="n">
        <v>115237</v>
      </c>
    </row>
    <row r="27">
      <c r="A27" s="6" t="inlineStr">
        <is>
          <t>Net movement in financial instruments measured at FVOCI (FY2024)</t>
        </is>
      </c>
      <c r="B27" s="6" t="n"/>
      <c r="C27" s="6" t="n">
        <v>21463</v>
      </c>
      <c r="D27" s="6" t="n"/>
      <c r="E27" s="6" t="n"/>
      <c r="F27" s="6" t="n">
        <v>21463</v>
      </c>
    </row>
    <row r="28">
      <c r="A28" s="6" t="inlineStr">
        <is>
          <t>Tax on other comprehensive income (FY2024)</t>
        </is>
      </c>
      <c r="B28" s="6" t="n"/>
      <c r="C28" s="6" t="n">
        <v>-5992</v>
      </c>
      <c r="D28" s="6" t="n"/>
      <c r="E28" s="6" t="n"/>
      <c r="F28" s="6" t="n">
        <v>-5992</v>
      </c>
    </row>
    <row r="29">
      <c r="A29" s="5" t="inlineStr">
        <is>
          <t>Total comprehensive income for the year (FY2024)</t>
        </is>
      </c>
      <c r="B29" s="5" t="n"/>
      <c r="C29" s="5" t="n">
        <v>15471</v>
      </c>
      <c r="D29" s="5" t="n"/>
      <c r="E29" s="5" t="n">
        <v>115237</v>
      </c>
      <c r="F29" s="5" t="n">
        <v>130708</v>
      </c>
    </row>
    <row r="30">
      <c r="A30" s="5" t="inlineStr">
        <is>
          <t>At 31 December 2024</t>
        </is>
      </c>
      <c r="B30" s="5" t="n">
        <v>519695</v>
      </c>
      <c r="C30" s="5" t="n">
        <v>-21742</v>
      </c>
      <c r="D30" s="5" t="n">
        <v>7139</v>
      </c>
      <c r="E30" s="5" t="n">
        <v>579669</v>
      </c>
      <c r="F30" s="5" t="n">
        <v>1084761</v>
      </c>
    </row>
    <row r="31">
      <c r="A31" s="6" t="inlineStr">
        <is>
          <t>Profit for the financial year (FY2025)</t>
        </is>
      </c>
      <c r="B31" s="6" t="n"/>
      <c r="C31" s="6" t="n"/>
      <c r="D31" s="6" t="n"/>
      <c r="E31" s="6" t="n">
        <v>106780</v>
      </c>
      <c r="F31" s="6" t="n">
        <v>106780</v>
      </c>
    </row>
    <row r="32">
      <c r="A32" s="6" t="inlineStr">
        <is>
          <t>Net movement in financial instruments measured at FVOCI (FY2025)</t>
        </is>
      </c>
      <c r="B32" s="6" t="n"/>
      <c r="C32" s="6" t="n">
        <v>32634</v>
      </c>
      <c r="D32" s="6" t="n"/>
      <c r="E32" s="6" t="n"/>
      <c r="F32" s="6" t="n">
        <v>32634</v>
      </c>
    </row>
    <row r="33">
      <c r="A33" s="6" t="inlineStr">
        <is>
          <t>Tax on other comprehensive income (FY2025)</t>
        </is>
      </c>
      <c r="B33" s="6" t="n"/>
      <c r="C33" s="6" t="n">
        <v>-9134</v>
      </c>
      <c r="D33" s="6" t="n"/>
      <c r="E33" s="6" t="n"/>
      <c r="F33" s="6" t="n">
        <v>-9134</v>
      </c>
    </row>
    <row r="34">
      <c r="A34" s="5" t="inlineStr">
        <is>
          <t>Total comprehensive income for the year (FY2025)</t>
        </is>
      </c>
      <c r="B34" s="5" t="n"/>
      <c r="C34" s="5" t="n">
        <v>23500</v>
      </c>
      <c r="D34" s="5" t="n"/>
      <c r="E34" s="5" t="n">
        <v>106780</v>
      </c>
      <c r="F34" s="5" t="n">
        <v>130280</v>
      </c>
    </row>
    <row r="35">
      <c r="A35" s="5" t="inlineStr">
        <is>
          <t>At 31 December 2025</t>
        </is>
      </c>
      <c r="B35" s="5" t="n">
        <v>519695</v>
      </c>
      <c r="C35" s="5" t="n">
        <v>1758</v>
      </c>
      <c r="D35" s="5" t="n">
        <v>7139</v>
      </c>
      <c r="E35" s="5" t="n">
        <v>686449</v>
      </c>
      <c r="F35" s="5" t="n">
        <v>1215041</v>
      </c>
    </row>
    <row r="37" ht="440" customHeight="1">
      <c r="A37" s="8" t="inlineStr">
        <is>
          <t>Sources - The Bank of New York Mellon (International) Limited's own audited financial statements: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(scanned/image-only, visually transcribed) - https://find-and-update.company-information.service.gov.uk/company/03236121/filing-history/MzMzNzcwMzgzM2FkaXF6a2N4/document?format=pdf&amp;download=0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Gross exposure by IFRS 9 stage, across all ECL-bearing financial assets (cash at central banks, loans to banks, loans to customers, investment securities)</t>
        </is>
      </c>
      <c r="B4" s="6" t="n"/>
      <c r="C4" s="6" t="n"/>
      <c r="D4" s="6" t="n"/>
      <c r="E4" s="6" t="n"/>
      <c r="F4" s="6" t="n"/>
    </row>
    <row r="5">
      <c r="A5" s="6" t="inlineStr">
        <is>
          <t>Stage 1 (12-month ECL) - gross exposure</t>
        </is>
      </c>
      <c r="B5" s="6" t="n">
        <v>7702726</v>
      </c>
      <c r="C5" s="6" t="n">
        <v>7747362</v>
      </c>
      <c r="D5" s="6" t="n">
        <v>8607292</v>
      </c>
      <c r="E5" s="6" t="n">
        <v>11419812</v>
      </c>
      <c r="F5" s="6" t="n">
        <v>10991019</v>
      </c>
    </row>
    <row r="6">
      <c r="A6" s="6" t="inlineStr">
        <is>
          <t>Stage 2 (lifetime ECL, not credit-impaired) - gross exposure</t>
        </is>
      </c>
      <c r="B6" s="6" t="n">
        <v>0</v>
      </c>
      <c r="C6" s="6" t="n">
        <v>0</v>
      </c>
      <c r="D6" s="6" t="n">
        <v>0</v>
      </c>
      <c r="E6" s="6" t="n">
        <v>0</v>
      </c>
      <c r="F6" s="6" t="n">
        <v>0</v>
      </c>
    </row>
    <row r="7">
      <c r="A7" s="6" t="inlineStr">
        <is>
          <t>Stage 3 (lifetime ECL, credit-impaired) - gross exposure</t>
        </is>
      </c>
      <c r="B7" s="6" t="n">
        <v>0</v>
      </c>
      <c r="C7" s="6" t="n">
        <v>0</v>
      </c>
      <c r="D7" s="6" t="n">
        <v>0</v>
      </c>
      <c r="E7" s="6" t="n">
        <v>0</v>
      </c>
      <c r="F7" s="6" t="n">
        <v>0</v>
      </c>
    </row>
    <row r="8">
      <c r="A8" s="5" t="inlineStr">
        <is>
          <t>Total gross exposure</t>
        </is>
      </c>
      <c r="B8" s="5" t="n">
        <v>7702726</v>
      </c>
      <c r="C8" s="5" t="n">
        <v>7747362</v>
      </c>
      <c r="D8" s="5" t="n">
        <v>8607292</v>
      </c>
      <c r="E8" s="5" t="n">
        <v>11419812</v>
      </c>
      <c r="F8" s="5" t="n">
        <v>10991019</v>
      </c>
    </row>
    <row r="9">
      <c r="A9" s="5" t="inlineStr">
        <is>
          <t>Expected credit loss (ECL) allowance</t>
        </is>
      </c>
      <c r="B9" s="6" t="n"/>
      <c r="C9" s="6" t="n"/>
      <c r="D9" s="6" t="n"/>
      <c r="E9" s="6" t="n"/>
      <c r="F9" s="6" t="n"/>
    </row>
    <row r="10">
      <c r="A10" s="6" t="inlineStr">
        <is>
          <t>Loss allowance (all Stage 1; includes the FVOCI investment-securities ECL memo item)</t>
        </is>
      </c>
      <c r="B10" s="6" t="n">
        <v>-31</v>
      </c>
      <c r="C10" s="6" t="n">
        <v>-34</v>
      </c>
      <c r="D10" s="6" t="n">
        <v>-118</v>
      </c>
      <c r="E10" s="6" t="n">
        <v>-183</v>
      </c>
      <c r="F10" s="6" t="n">
        <v>-59</v>
      </c>
    </row>
    <row r="11">
      <c r="A11" s="5" t="inlineStr">
        <is>
          <t>Net carrying amount</t>
        </is>
      </c>
      <c r="B11" s="5" t="n">
        <v>7702695</v>
      </c>
      <c r="C11" s="5" t="n">
        <v>7747328</v>
      </c>
      <c r="D11" s="5" t="n">
        <v>8607174</v>
      </c>
      <c r="E11" s="5" t="n">
        <v>11419629</v>
      </c>
      <c r="F11" s="5" t="n">
        <v>10990960</v>
      </c>
    </row>
    <row r="12">
      <c r="A12" s="5" t="inlineStr">
        <is>
          <t>Ratios</t>
        </is>
      </c>
      <c r="B12" s="6" t="n"/>
      <c r="C12" s="6" t="n"/>
      <c r="D12" s="6" t="n"/>
      <c r="E12" s="6" t="n"/>
      <c r="F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 no Stage 2 or Stage 3 exposures at all in any of the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1091</v>
      </c>
      <c r="C4" s="6" t="n">
        <v>955</v>
      </c>
      <c r="D4" s="6" t="n">
        <v>833</v>
      </c>
      <c r="E4" s="6" t="n">
        <v>733</v>
      </c>
      <c r="F4" s="6" t="n">
        <v>761</v>
      </c>
    </row>
    <row r="6" ht="130" customHeight="1">
      <c r="A6"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104.22%</t>
        </is>
      </c>
      <c r="C4" s="6" t="inlineStr">
        <is>
          <t>85.41%</t>
        </is>
      </c>
      <c r="D4" s="6" t="inlineStr">
        <is>
          <t>79.26%</t>
        </is>
      </c>
      <c r="E4" s="6" t="inlineStr">
        <is>
          <t>73.35%</t>
        </is>
      </c>
      <c r="F4" s="6" t="inlineStr">
        <is>
          <t>90.8%</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1091</v>
      </c>
      <c r="C4" s="6" t="n">
        <v>955</v>
      </c>
      <c r="D4" s="6" t="n">
        <v>833</v>
      </c>
      <c r="E4" s="6" t="n">
        <v>733</v>
      </c>
      <c r="F4" s="6" t="n">
        <v>761</v>
      </c>
    </row>
    <row r="5" ht="60" customHeight="1">
      <c r="A5" s="7" t="inlineStr">
        <is>
          <t>Note: Tier 1 = CET1 every year (no AT1 instruments in issue).</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104.22%</t>
        </is>
      </c>
      <c r="C4" s="6" t="inlineStr">
        <is>
          <t>85.41%</t>
        </is>
      </c>
      <c r="D4" s="6" t="inlineStr">
        <is>
          <t>79.26%</t>
        </is>
      </c>
      <c r="E4" s="6" t="inlineStr">
        <is>
          <t>73.35%</t>
        </is>
      </c>
      <c r="F4" s="6" t="inlineStr">
        <is>
          <t>90.8%</t>
        </is>
      </c>
    </row>
    <row r="6" ht="130" customHeight="1">
      <c r="A6"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1091</v>
      </c>
      <c r="C4" s="6" t="n">
        <v>955</v>
      </c>
      <c r="D4" s="6" t="n">
        <v>833</v>
      </c>
      <c r="E4" s="6" t="n">
        <v>733</v>
      </c>
      <c r="F4" s="6" t="n">
        <v>761</v>
      </c>
    </row>
    <row r="5" ht="60" customHeight="1">
      <c r="A5" s="7" t="inlineStr">
        <is>
          <t>Note: Total capital = CET1 = Tier 1 every year (no AT1 or Tier 2 instruments in issue).</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104.22%</t>
        </is>
      </c>
      <c r="C4" s="6" t="inlineStr">
        <is>
          <t>85.41%</t>
        </is>
      </c>
      <c r="D4" s="6" t="inlineStr">
        <is>
          <t>79.26%</t>
        </is>
      </c>
      <c r="E4" s="6" t="inlineStr">
        <is>
          <t>73.35%</t>
        </is>
      </c>
      <c r="F4" s="6" t="inlineStr">
        <is>
          <t>90.8%</t>
        </is>
      </c>
    </row>
    <row r="6" ht="130" customHeight="1">
      <c r="A6"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1047</v>
      </c>
      <c r="C4" s="6" t="n">
        <v>1118</v>
      </c>
      <c r="D4" s="6" t="n">
        <v>1051</v>
      </c>
      <c r="E4" s="6" t="n">
        <v>999</v>
      </c>
      <c r="F4" s="6" t="n">
        <v>838</v>
      </c>
    </row>
    <row r="5" ht="60" customHeight="1">
      <c r="A5" s="7" t="inlineStr">
        <is>
          <t>Note: FY2024 shown as originally reported (1,118); the FY2025 Pillar 3 Disclosure's comparative column restates this to 1,091 - see the CET1 Ratio sheet note.</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RWA Breakdown</t>
        </is>
      </c>
    </row>
    <row r="2">
      <c r="A2" s="2" t="inlineStr">
        <is>
          <t>Entity-level basis, £m.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(£m)</t>
        </is>
      </c>
      <c r="B4" s="6" t="n"/>
      <c r="C4" s="6" t="n"/>
      <c r="D4" s="6" t="n"/>
      <c r="E4" s="6" t="n"/>
      <c r="F4" s="6" t="n"/>
    </row>
    <row r="5">
      <c r="A5" s="6" t="inlineStr">
        <is>
          <t>Credit risk (excluding CCR)</t>
        </is>
      </c>
      <c r="B5" s="6" t="n">
        <v>435</v>
      </c>
      <c r="C5" s="6" t="n">
        <v>519</v>
      </c>
      <c r="D5" s="6" t="n">
        <v>539</v>
      </c>
      <c r="E5" s="6" t="n">
        <v>569</v>
      </c>
      <c r="F5" s="6" t="n">
        <v>466</v>
      </c>
    </row>
    <row r="6">
      <c r="A6" s="6" t="inlineStr">
        <is>
          <t>Counterparty credit risk (incl. CVA where separately disclosed)</t>
        </is>
      </c>
      <c r="B6" s="6" t="n">
        <v>1</v>
      </c>
      <c r="C6" s="6" t="n">
        <v>1</v>
      </c>
      <c r="D6" s="6" t="n">
        <v>0</v>
      </c>
      <c r="E6" s="6" t="n">
        <v>0</v>
      </c>
      <c r="F6" s="6" t="n">
        <v>4</v>
      </c>
    </row>
    <row r="7">
      <c r="A7" s="6" t="inlineStr">
        <is>
          <t>Securitisation exposures</t>
        </is>
      </c>
      <c r="B7" s="6" t="n">
        <v>7</v>
      </c>
      <c r="C7" s="6" t="n">
        <v>9</v>
      </c>
      <c r="D7" s="6" t="n">
        <v>9</v>
      </c>
      <c r="E7" s="6" t="n">
        <v>3</v>
      </c>
      <c r="F7" s="6" t="n">
        <v>0</v>
      </c>
    </row>
    <row r="8">
      <c r="A8" s="6" t="inlineStr">
        <is>
          <t>Market risk (position, FX and commodities)</t>
        </is>
      </c>
      <c r="B8" s="6" t="n">
        <v>12</v>
      </c>
      <c r="C8" s="6" t="n">
        <v>12</v>
      </c>
      <c r="D8" s="6" t="n">
        <v>14</v>
      </c>
      <c r="E8" s="6" t="n">
        <v>12</v>
      </c>
      <c r="F8" s="6" t="n">
        <v>16</v>
      </c>
    </row>
    <row r="9">
      <c r="A9" s="6" t="inlineStr">
        <is>
          <t>Operational risk</t>
        </is>
      </c>
      <c r="B9" s="6" t="n">
        <v>592</v>
      </c>
      <c r="C9" s="6" t="n">
        <v>577</v>
      </c>
      <c r="D9" s="6" t="n">
        <v>489</v>
      </c>
      <c r="E9" s="6" t="n">
        <v>415</v>
      </c>
      <c r="F9" s="6" t="n">
        <v>352</v>
      </c>
    </row>
    <row r="10">
      <c r="A10" s="5" t="inlineStr">
        <is>
          <t>Total RWAs</t>
        </is>
      </c>
      <c r="B10" s="5" t="n">
        <v>1047</v>
      </c>
      <c r="C10" s="5" t="n">
        <v>1118</v>
      </c>
      <c r="D10" s="5" t="n">
        <v>1051</v>
      </c>
      <c r="E10" s="5" t="n">
        <v>999</v>
      </c>
      <c r="F10" s="5" t="n">
        <v>838</v>
      </c>
    </row>
    <row r="12" ht="280" customHeight="1">
      <c r="A12"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Note: FY2021's own report uses the older EU OV1 template, which separately discloses Credit Valuation Adjustment (CVA) as its own risk type; combined here into the 'Counterparty credit risk' row (£2m CCR + £2m CVA = £4m) to match the UK OV1 template's grouping used FY2022 onward - the combined figure ties to that year's own Total RWA (£838m). FY2021's securitisation exposure is a genuine disclosed zero ('the Company's securitisation portfolio was immaterial'), not a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6449</v>
      </c>
      <c r="C4" s="6" t="n">
        <v>6276</v>
      </c>
      <c r="D4" s="6" t="n">
        <v>5888</v>
      </c>
      <c r="E4" s="6" t="n">
        <v>7602</v>
      </c>
      <c r="F4" s="6" t="n"/>
    </row>
    <row r="5">
      <c r="A5" s="6" t="inlineStr">
        <is>
          <t>Leverage ratio excluding claims on central banks (%)</t>
        </is>
      </c>
      <c r="B5" s="6" t="inlineStr">
        <is>
          <t>16.92%</t>
        </is>
      </c>
      <c r="C5" s="6" t="inlineStr">
        <is>
          <t>15.22%</t>
        </is>
      </c>
      <c r="D5" s="6" t="inlineStr">
        <is>
          <t>14.15%</t>
        </is>
      </c>
      <c r="E5" s="6" t="inlineStr">
        <is>
          <t>9.64%</t>
        </is>
      </c>
      <c r="F5" s="6" t="n"/>
    </row>
    <row r="6">
      <c r="A6" s="6" t="inlineStr">
        <is>
          <t>Leverage ratio (as reported, basis not specified) (%)</t>
        </is>
      </c>
      <c r="B6" s="6" t="n"/>
      <c r="C6" s="6" t="n"/>
      <c r="D6" s="6" t="n"/>
      <c r="E6" s="6" t="n"/>
      <c r="F6" s="6" t="inlineStr">
        <is>
          <t>6.1%</t>
        </is>
      </c>
    </row>
    <row r="7" ht="60" customHeight="1">
      <c r="A7" s="7" t="inlineStr">
        <is>
          <t>Note: The FY2021 Pillar 3 Disclosure's 'Key metrics' page discloses only a single Leverage ratio figure without specifying an excluding/including-central-bank-claims split (that split, and the exposure-measure £m figure, first appear in the FY2022 report's KM1 template) - shown on its own row rather than assumed comparable to the 'excluding' basis used FY2022 onward. The Company is not subject to a binding leverage ratio requirement (does not meet the LREQ firm thresholds under the PRA Rulebook).</t>
        </is>
      </c>
    </row>
    <row r="9" ht="130" customHeight="1">
      <c r="A9"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5184</v>
      </c>
      <c r="C4" s="6" t="n">
        <v>6021</v>
      </c>
      <c r="D4" s="6" t="n">
        <v>6887</v>
      </c>
      <c r="E4" s="6" t="n">
        <v>8876</v>
      </c>
      <c r="F4" s="6" t="n"/>
    </row>
    <row r="5">
      <c r="A5" s="6" t="inlineStr">
        <is>
          <t>Total net cash outflows, adjusted value</t>
        </is>
      </c>
      <c r="B5" s="6" t="n">
        <v>1669</v>
      </c>
      <c r="C5" s="6" t="n">
        <v>2532</v>
      </c>
      <c r="D5" s="6" t="n">
        <v>3305</v>
      </c>
      <c r="E5" s="6" t="n">
        <v>4801</v>
      </c>
      <c r="F5" s="6" t="n"/>
    </row>
    <row r="6">
      <c r="A6" s="6" t="inlineStr">
        <is>
          <t>Liquidity Coverage Ratio (%)</t>
        </is>
      </c>
      <c r="B6" s="6" t="inlineStr">
        <is>
          <t>317.37%</t>
        </is>
      </c>
      <c r="C6" s="6" t="inlineStr">
        <is>
          <t>240.33%</t>
        </is>
      </c>
      <c r="D6" s="6" t="inlineStr">
        <is>
          <t>211.60%</t>
        </is>
      </c>
      <c r="E6" s="6" t="inlineStr">
        <is>
          <t>185.66%</t>
        </is>
      </c>
      <c r="F6" s="6" t="inlineStr">
        <is>
          <t>173%</t>
        </is>
      </c>
    </row>
    <row r="7" ht="60" customHeight="1">
      <c r="A7" s="7" t="inlineStr">
        <is>
          <t>Note: LCR is presented on a 12-month average basis (4-quarter average for FY2022, per that report's own note). FY2021's Pillar 3 report discloses only the headline ratio (173%, Solo basis) on its 'Key metrics' chart page, with no HQLA/outflow/inflow £m breakdown available that year and no FY2021 comparative shown in the FY2022 report (which explicitly states comparatives were not provided for LCR/NSFR due to a change in reporting instructions) - left blank rather than guessed.</t>
        </is>
      </c>
    </row>
    <row r="9" ht="130" customHeight="1">
      <c r="A9"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2561</v>
      </c>
      <c r="C4" s="6" t="n">
        <v>2474</v>
      </c>
      <c r="D4" s="6" t="n">
        <v>2386</v>
      </c>
      <c r="E4" s="6" t="n">
        <v>3210</v>
      </c>
      <c r="F4" s="6" t="n"/>
    </row>
    <row r="5">
      <c r="A5" s="6" t="inlineStr">
        <is>
          <t>Total required stable funding</t>
        </is>
      </c>
      <c r="B5" s="6" t="n">
        <v>672</v>
      </c>
      <c r="C5" s="6" t="n">
        <v>675</v>
      </c>
      <c r="D5" s="6" t="n">
        <v>650</v>
      </c>
      <c r="E5" s="6" t="n">
        <v>680</v>
      </c>
      <c r="F5" s="6" t="n"/>
    </row>
    <row r="6">
      <c r="A6" s="6" t="inlineStr">
        <is>
          <t>NSFR ratio (%)</t>
        </is>
      </c>
      <c r="B6" s="6" t="inlineStr">
        <is>
          <t>381.21%</t>
        </is>
      </c>
      <c r="C6" s="6" t="inlineStr">
        <is>
          <t>366.64%</t>
        </is>
      </c>
      <c r="D6" s="6" t="inlineStr">
        <is>
          <t>368.06%</t>
        </is>
      </c>
      <c r="E6" s="6" t="inlineStr">
        <is>
          <t>472.37%</t>
        </is>
      </c>
      <c r="F6" s="6" t="inlineStr">
        <is>
          <t>446%</t>
        </is>
      </c>
    </row>
    <row r="7" ht="60" customHeight="1">
      <c r="A7" s="7" t="inlineStr">
        <is>
          <t>Note: NSFR is presented on a 4-quarter average basis. FY2021's Pillar 3 report discloses only the headline ratio (446%, Solo basis) with no £m breakdown, and no FY2021 comparative appears in the FY2022 report (same reporting-instruction change noted on the LCR sheet).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t>
        </is>
      </c>
    </row>
    <row r="9" ht="130" customHeight="1">
      <c r="A9"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(numeric or qualitative) appears anywhere in any of the 5 Pillar 3 Disclosures or the available Financial Statements for this entity - no reason is stated.</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2026-09-03T12:08:16Z</dcterms:created>
  <dcterms:modified xmlns:dcterms="http://purl.org/dc/terms/" xmlns:xsi="http://www.w3.org/2001/XMLSchema-instance" xsi:type="dcterms:W3CDTF">2026-09-03T12:08:16Z</dcterms:modified>
</cp:coreProperties>
</file>