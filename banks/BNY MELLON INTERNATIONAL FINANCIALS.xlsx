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'Overview'!$BB$6:$BK$6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'Overview'!$BB$7:$BK$7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'Overview'!$BB$8:$BK$8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'Overview'!$BB$9:$BK$9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'Overview'!$BB$10:$BK$10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'Overview'!$BB$11:$BK$11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K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s>
  <sheetData>
    <row r="1">
      <c r="A1" s="1" t="inlineStr">
        <is>
          <t>The Bank of New York Mellon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B5" t="inlineStr">
        <is>
          <t>FY2016</t>
        </is>
      </c>
      <c r="BC5" t="inlineStr">
        <is>
          <t>FY2017</t>
        </is>
      </c>
      <c r="BD5" t="inlineStr">
        <is>
          <t>FY2018</t>
        </is>
      </c>
      <c r="BE5" t="inlineStr">
        <is>
          <t>FY2019</t>
        </is>
      </c>
      <c r="BF5" t="inlineStr">
        <is>
          <t>FY2020</t>
        </is>
      </c>
      <c r="BG5" t="inlineStr">
        <is>
          <t>FY2021</t>
        </is>
      </c>
      <c r="BH5" t="inlineStr">
        <is>
          <t>FY2022</t>
        </is>
      </c>
      <c r="BI5" t="inlineStr">
        <is>
          <t>FY2023</t>
        </is>
      </c>
      <c r="BJ5" t="inlineStr">
        <is>
          <t>FY2024</t>
        </is>
      </c>
      <c r="BK5" t="inlineStr">
        <is>
          <t>FY2025</t>
        </is>
      </c>
    </row>
    <row r="6">
      <c r="A6" s="5" t="inlineStr">
        <is>
          <t>Total assets</t>
        </is>
      </c>
      <c r="B6" s="5" t="n">
        <v>7918773</v>
      </c>
      <c r="C6" s="5" t="n">
        <v>8007771</v>
      </c>
      <c r="D6" s="5" t="n">
        <v>8896652</v>
      </c>
      <c r="E6" s="5" t="n">
        <v>11702044</v>
      </c>
      <c r="F6" s="5" t="n">
        <v>11227068</v>
      </c>
      <c r="G6" s="5" t="n">
        <v>10315540</v>
      </c>
      <c r="H6" s="5" t="n">
        <v>9761980</v>
      </c>
      <c r="I6" s="5" t="n">
        <v>12388368</v>
      </c>
      <c r="J6" s="5" t="n">
        <v>10117220</v>
      </c>
      <c r="K6" s="5" t="n">
        <v>6908403</v>
      </c>
      <c r="N6" t="inlineStr">
        <is>
          <t>Total assets</t>
        </is>
      </c>
      <c r="O6" t="n">
        <v>6908403</v>
      </c>
      <c r="P6" t="n">
        <v>10117220</v>
      </c>
      <c r="Q6" t="n">
        <v>12388368</v>
      </c>
      <c r="R6" t="n">
        <v>9761980</v>
      </c>
      <c r="S6" t="n">
        <v>10315540</v>
      </c>
      <c r="T6" t="n">
        <v>11227068</v>
      </c>
      <c r="U6" t="n">
        <v>11702044</v>
      </c>
      <c r="V6" t="n">
        <v>8896652</v>
      </c>
      <c r="W6" t="n">
        <v>8007771</v>
      </c>
      <c r="X6" t="n">
        <v>7918773</v>
      </c>
      <c r="BA6" t="inlineStr">
        <is>
          <t>CET1 Ratio</t>
        </is>
      </c>
      <c r="BB6" t="n">
        <v>53.9</v>
      </c>
      <c r="BC6" t="n">
        <v>50.8</v>
      </c>
      <c r="BD6" t="n">
        <v>51</v>
      </c>
      <c r="BE6" t="n">
        <v>66.3</v>
      </c>
      <c r="BF6" t="n">
        <v>79.3</v>
      </c>
      <c r="BG6" t="n">
        <v>90.8</v>
      </c>
      <c r="BH6" t="n">
        <v>73.34999999999999</v>
      </c>
      <c r="BI6" t="n">
        <v>79.26000000000001</v>
      </c>
      <c r="BJ6" t="n">
        <v>85.41</v>
      </c>
      <c r="BK6" t="n">
        <v>104.22</v>
      </c>
    </row>
    <row r="7">
      <c r="A7" s="5" t="inlineStr">
        <is>
          <t>Loans and advances to customers</t>
        </is>
      </c>
      <c r="B7" s="5" t="n">
        <v>28495</v>
      </c>
      <c r="C7" s="5" t="n">
        <v>173578</v>
      </c>
      <c r="D7" s="5" t="n">
        <v>108153</v>
      </c>
      <c r="E7" s="5" t="n">
        <v>138345</v>
      </c>
      <c r="F7" s="5" t="n">
        <v>104419</v>
      </c>
      <c r="G7" s="5" t="n">
        <v>195590</v>
      </c>
      <c r="H7" s="5" t="n">
        <v>117788</v>
      </c>
      <c r="I7" s="5" t="n">
        <v>275544</v>
      </c>
      <c r="J7" s="5" t="n">
        <v>152291</v>
      </c>
      <c r="K7" s="5" t="n">
        <v>112638</v>
      </c>
      <c r="N7" t="inlineStr">
        <is>
          <t>Loans and advances to customers</t>
        </is>
      </c>
      <c r="O7" t="n">
        <v>112638</v>
      </c>
      <c r="P7" t="n">
        <v>152291</v>
      </c>
      <c r="Q7" t="n">
        <v>275544</v>
      </c>
      <c r="R7" t="n">
        <v>117788</v>
      </c>
      <c r="S7" t="n">
        <v>195590</v>
      </c>
      <c r="T7" t="n">
        <v>104419</v>
      </c>
      <c r="U7" t="n">
        <v>138345</v>
      </c>
      <c r="V7" t="n">
        <v>108153</v>
      </c>
      <c r="W7" t="n">
        <v>173578</v>
      </c>
      <c r="X7" t="n">
        <v>28495</v>
      </c>
      <c r="BA7" t="inlineStr">
        <is>
          <t>Tier 1 Ratio</t>
        </is>
      </c>
      <c r="BB7" t="n">
        <v>53.9</v>
      </c>
      <c r="BC7" t="n">
        <v>50.8</v>
      </c>
      <c r="BD7" t="n">
        <v>51</v>
      </c>
      <c r="BE7" t="n">
        <v>66.3</v>
      </c>
      <c r="BF7" t="n">
        <v>79.3</v>
      </c>
      <c r="BG7" t="n">
        <v>90.8</v>
      </c>
      <c r="BH7" t="n">
        <v>73.34999999999999</v>
      </c>
      <c r="BI7" t="n">
        <v>79.26000000000001</v>
      </c>
      <c r="BJ7" t="n">
        <v>85.41</v>
      </c>
      <c r="BK7" t="n">
        <v>104.22</v>
      </c>
    </row>
    <row r="8">
      <c r="A8" s="5" t="inlineStr">
        <is>
          <t>Customer accounts</t>
        </is>
      </c>
      <c r="B8" s="5" t="n">
        <v>4303354</v>
      </c>
      <c r="C8" s="5" t="n">
        <v>4316535</v>
      </c>
      <c r="D8" s="5" t="n">
        <v>4583519</v>
      </c>
      <c r="E8" s="5" t="n">
        <v>6631188</v>
      </c>
      <c r="F8" s="5" t="n">
        <v>7137353</v>
      </c>
      <c r="G8" s="5" t="n">
        <v>7004361</v>
      </c>
      <c r="H8" s="5" t="n">
        <v>7265408</v>
      </c>
      <c r="I8" s="5" t="n">
        <v>9685207</v>
      </c>
      <c r="J8" s="5" t="n">
        <v>7459508</v>
      </c>
      <c r="K8" s="5" t="n">
        <v>4656755</v>
      </c>
      <c r="N8" t="inlineStr">
        <is>
          <t>Customer accounts</t>
        </is>
      </c>
      <c r="O8" t="n">
        <v>4656755</v>
      </c>
      <c r="P8" t="n">
        <v>7459508</v>
      </c>
      <c r="Q8" t="n">
        <v>9685207</v>
      </c>
      <c r="R8" t="n">
        <v>7265408</v>
      </c>
      <c r="S8" t="n">
        <v>7004361</v>
      </c>
      <c r="T8" t="n">
        <v>7137353</v>
      </c>
      <c r="U8" t="n">
        <v>6631188</v>
      </c>
      <c r="V8" t="n">
        <v>4583519</v>
      </c>
      <c r="W8" t="n">
        <v>4316535</v>
      </c>
      <c r="X8" t="n">
        <v>4303354</v>
      </c>
      <c r="BA8" t="inlineStr">
        <is>
          <t>Total Capital Ratio</t>
        </is>
      </c>
      <c r="BB8" t="n">
        <v>63.7</v>
      </c>
      <c r="BC8" t="n">
        <v>59.3</v>
      </c>
      <c r="BD8" t="n">
        <v>57.2</v>
      </c>
      <c r="BE8" t="n">
        <v>73.7</v>
      </c>
      <c r="BF8" t="n">
        <v>79.3</v>
      </c>
      <c r="BG8" t="n">
        <v>90.8</v>
      </c>
      <c r="BH8" t="n">
        <v>73.34999999999999</v>
      </c>
      <c r="BI8" t="n">
        <v>79.26000000000001</v>
      </c>
      <c r="BJ8" t="n">
        <v>85.41</v>
      </c>
      <c r="BK8" t="n">
        <v>104.22</v>
      </c>
    </row>
    <row r="9">
      <c r="A9" s="5" t="inlineStr">
        <is>
          <t>Shareholder's funds</t>
        </is>
      </c>
      <c r="B9" s="5" t="n">
        <v>1215041</v>
      </c>
      <c r="C9" s="5" t="n">
        <v>1084761</v>
      </c>
      <c r="D9" s="5" t="n">
        <v>954053</v>
      </c>
      <c r="E9" s="5" t="n">
        <v>863356</v>
      </c>
      <c r="F9" s="5" t="n">
        <v>878180</v>
      </c>
      <c r="G9" s="5" t="n">
        <v>859107</v>
      </c>
      <c r="H9" s="5" t="n">
        <v>787226</v>
      </c>
      <c r="I9" s="5" t="n">
        <v>747479</v>
      </c>
      <c r="J9" s="5" t="n">
        <v>524588</v>
      </c>
      <c r="K9" s="5" t="n">
        <v>511670</v>
      </c>
      <c r="N9" t="inlineStr">
        <is>
          <t>Shareholder's funds</t>
        </is>
      </c>
      <c r="O9" t="n">
        <v>511670</v>
      </c>
      <c r="P9" t="n">
        <v>524588</v>
      </c>
      <c r="Q9" t="n">
        <v>747479</v>
      </c>
      <c r="R9" t="n">
        <v>787226</v>
      </c>
      <c r="S9" t="n">
        <v>859107</v>
      </c>
      <c r="T9" t="n">
        <v>878180</v>
      </c>
      <c r="U9" t="n">
        <v>863356</v>
      </c>
      <c r="V9" t="n">
        <v>954053</v>
      </c>
      <c r="W9" t="n">
        <v>1084761</v>
      </c>
      <c r="X9" t="n">
        <v>1215041</v>
      </c>
      <c r="BA9" t="inlineStr">
        <is>
          <t>Leverage Ratio (excl. central bank claims)</t>
        </is>
      </c>
      <c r="BH9" t="n">
        <v>9.640000000000001</v>
      </c>
      <c r="BI9" t="n">
        <v>14.15</v>
      </c>
      <c r="BJ9" t="n">
        <v>15.22</v>
      </c>
      <c r="BK9" t="n">
        <v>16.92</v>
      </c>
    </row>
    <row r="10">
      <c r="BA10" t="inlineStr">
        <is>
          <t>LCR</t>
        </is>
      </c>
      <c r="BB10" t="n">
        <v>334</v>
      </c>
      <c r="BC10" t="n">
        <v>294</v>
      </c>
      <c r="BD10" t="n">
        <v>238</v>
      </c>
      <c r="BE10" t="n">
        <v>197</v>
      </c>
      <c r="BF10" t="n">
        <v>172</v>
      </c>
      <c r="BG10" t="n">
        <v>173</v>
      </c>
      <c r="BH10" t="n">
        <v>185.66</v>
      </c>
      <c r="BI10" t="n">
        <v>211.6</v>
      </c>
      <c r="BJ10" t="n">
        <v>240.33</v>
      </c>
      <c r="BK10" t="n">
        <v>317.37</v>
      </c>
    </row>
    <row r="11">
      <c r="A11" s="3" t="inlineStr">
        <is>
          <t>Profit &amp; Loss Summary (£'000s)</t>
        </is>
      </c>
      <c r="BA11" t="inlineStr">
        <is>
          <t>NSFR</t>
        </is>
      </c>
      <c r="BB11" t="n">
        <v>1534</v>
      </c>
      <c r="BC11" t="n">
        <v>765</v>
      </c>
      <c r="BD11" t="n">
        <v>735</v>
      </c>
      <c r="BE11" t="n">
        <v>494</v>
      </c>
      <c r="BF11" t="n">
        <v>545</v>
      </c>
      <c r="BG11" t="n">
        <v>446</v>
      </c>
      <c r="BH11" t="n">
        <v>472.37</v>
      </c>
      <c r="BI11" t="n">
        <v>368.06</v>
      </c>
      <c r="BJ11" t="n">
        <v>366.64</v>
      </c>
      <c r="BK11" t="n">
        <v>381.21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Non-interest income</t>
        </is>
      </c>
      <c r="B13" s="5" t="n">
        <v>153651</v>
      </c>
      <c r="C13" s="5" t="n">
        <v>153320</v>
      </c>
      <c r="D13" s="5" t="n">
        <v>149827</v>
      </c>
      <c r="E13" s="5" t="n">
        <v>147434</v>
      </c>
      <c r="F13" s="5" t="n">
        <v>152238</v>
      </c>
      <c r="G13" s="5" t="n">
        <v>140461</v>
      </c>
      <c r="H13" s="5" t="n">
        <v>136448</v>
      </c>
      <c r="I13" s="5" t="n">
        <v>178081</v>
      </c>
      <c r="J13" s="5" t="n">
        <v>161317</v>
      </c>
      <c r="K13" s="5" t="n">
        <v>162885</v>
      </c>
      <c r="AA13" t="inlineStr">
        <is>
          <t>Non-interest income</t>
        </is>
      </c>
      <c r="AB13" t="n">
        <v>162885</v>
      </c>
      <c r="AC13" t="n">
        <v>161317</v>
      </c>
      <c r="AD13" t="n">
        <v>178081</v>
      </c>
      <c r="AE13" t="n">
        <v>136448</v>
      </c>
      <c r="AF13" t="n">
        <v>140461</v>
      </c>
      <c r="AG13" t="n">
        <v>152238</v>
      </c>
      <c r="AH13" t="n">
        <v>147434</v>
      </c>
      <c r="AI13" t="n">
        <v>149827</v>
      </c>
      <c r="AJ13" t="n">
        <v>153320</v>
      </c>
      <c r="AK13" t="n">
        <v>153651</v>
      </c>
    </row>
    <row r="14">
      <c r="A14" s="5" t="inlineStr">
        <is>
          <t>Total operating expenses</t>
        </is>
      </c>
      <c r="B14" s="5" t="n">
        <v>-141091</v>
      </c>
      <c r="C14" s="5" t="n">
        <v>-156473</v>
      </c>
      <c r="D14" s="5" t="n">
        <v>-168041</v>
      </c>
      <c r="E14" s="5" t="n">
        <v>-171514</v>
      </c>
      <c r="F14" s="5" t="n">
        <v>-155452</v>
      </c>
      <c r="G14" s="5" t="n">
        <v>-143551</v>
      </c>
      <c r="H14" s="5" t="n">
        <v>-145271</v>
      </c>
      <c r="I14" s="5" t="n">
        <v>-176615</v>
      </c>
      <c r="J14" s="5" t="n">
        <v>-149584</v>
      </c>
      <c r="K14" s="5" t="n">
        <v>-164107</v>
      </c>
      <c r="AA14" t="inlineStr">
        <is>
          <t>Total operating expenses</t>
        </is>
      </c>
      <c r="AB14" t="n">
        <v>-164107</v>
      </c>
      <c r="AC14" t="n">
        <v>-149584</v>
      </c>
      <c r="AD14" t="n">
        <v>-176615</v>
      </c>
      <c r="AE14" t="n">
        <v>-145271</v>
      </c>
      <c r="AF14" t="n">
        <v>-143551</v>
      </c>
      <c r="AG14" t="n">
        <v>-155452</v>
      </c>
      <c r="AH14" t="n">
        <v>-171514</v>
      </c>
      <c r="AI14" t="n">
        <v>-168041</v>
      </c>
      <c r="AJ14" t="n">
        <v>-156473</v>
      </c>
      <c r="AK14" t="n">
        <v>-141091</v>
      </c>
    </row>
    <row r="15">
      <c r="A15" s="5" t="inlineStr">
        <is>
          <t>Total profit for the financial year</t>
        </is>
      </c>
      <c r="B15" s="5" t="n">
        <v>106780</v>
      </c>
      <c r="C15" s="5" t="n">
        <v>115237</v>
      </c>
      <c r="D15" s="5" t="n">
        <v>60313</v>
      </c>
      <c r="E15" s="5" t="n">
        <v>50313</v>
      </c>
      <c r="F15" s="5" t="n">
        <v>44926</v>
      </c>
      <c r="G15" s="5" t="n">
        <v>49951</v>
      </c>
      <c r="H15" s="5" t="n">
        <v>32986</v>
      </c>
      <c r="I15" s="5" t="n">
        <v>224585</v>
      </c>
      <c r="J15" s="5" t="n">
        <v>16479</v>
      </c>
      <c r="K15" s="5" t="n">
        <v>-2172</v>
      </c>
      <c r="AA15" t="inlineStr">
        <is>
          <t>Total profit for the financial year</t>
        </is>
      </c>
      <c r="AB15" t="n">
        <v>-2172</v>
      </c>
      <c r="AC15" t="n">
        <v>16479</v>
      </c>
      <c r="AD15" t="n">
        <v>224585</v>
      </c>
      <c r="AE15" t="n">
        <v>32986</v>
      </c>
      <c r="AF15" t="n">
        <v>49951</v>
      </c>
      <c r="AG15" t="n">
        <v>44926</v>
      </c>
      <c r="AH15" t="n">
        <v>50313</v>
      </c>
      <c r="AI15" t="n">
        <v>60313</v>
      </c>
      <c r="AJ15" t="n">
        <v>115237</v>
      </c>
      <c r="AK15" t="n">
        <v>106780</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1084761</v>
      </c>
      <c r="C19" s="5" t="n">
        <v>954053</v>
      </c>
      <c r="D19" s="5" t="n">
        <v>863356</v>
      </c>
      <c r="E19" s="5" t="n">
        <v>878180</v>
      </c>
      <c r="F19" s="5" t="n">
        <v>859107</v>
      </c>
      <c r="G19" s="5" t="n">
        <v>787226</v>
      </c>
      <c r="H19" s="5" t="n">
        <v>747479</v>
      </c>
      <c r="I19" s="5" t="n">
        <v>524588</v>
      </c>
      <c r="J19" s="5" t="n">
        <v>511670</v>
      </c>
      <c r="K19" s="5" t="n">
        <v>243690</v>
      </c>
      <c r="AN19" t="inlineStr">
        <is>
          <t>Opening equity</t>
        </is>
      </c>
      <c r="AO19" t="n">
        <v>243690</v>
      </c>
      <c r="AP19" t="n">
        <v>511670</v>
      </c>
      <c r="AQ19" t="n">
        <v>524588</v>
      </c>
      <c r="AR19" t="n">
        <v>747479</v>
      </c>
      <c r="AS19" t="n">
        <v>787226</v>
      </c>
      <c r="AT19" t="n">
        <v>859107</v>
      </c>
      <c r="AU19" t="n">
        <v>878180</v>
      </c>
      <c r="AV19" t="n">
        <v>863356</v>
      </c>
      <c r="AW19" t="n">
        <v>954053</v>
      </c>
      <c r="AX19" t="n">
        <v>1084761</v>
      </c>
    </row>
    <row r="20">
      <c r="A20" s="5" t="inlineStr">
        <is>
          <t>Total comprehensive income/(loss) for the year</t>
        </is>
      </c>
      <c r="B20" s="5" t="n">
        <v>130280</v>
      </c>
      <c r="C20" s="5" t="n">
        <v>130708</v>
      </c>
      <c r="D20" s="5" t="n">
        <v>90725</v>
      </c>
      <c r="E20" s="5" t="n">
        <v>-14824</v>
      </c>
      <c r="F20" s="5" t="n">
        <v>19073</v>
      </c>
      <c r="G20" s="5" t="n">
        <v>71881</v>
      </c>
      <c r="H20" s="5" t="n">
        <v>39739</v>
      </c>
      <c r="I20" s="5" t="n">
        <v>222849</v>
      </c>
      <c r="J20" s="5" t="n">
        <v>12897</v>
      </c>
      <c r="K20" s="5" t="n">
        <v>-2255</v>
      </c>
      <c r="AN20" t="inlineStr">
        <is>
          <t>Total comprehensive income/(loss) for the year</t>
        </is>
      </c>
      <c r="AO20" t="n">
        <v>-2255</v>
      </c>
      <c r="AP20" t="n">
        <v>12897</v>
      </c>
      <c r="AQ20" t="n">
        <v>222849</v>
      </c>
      <c r="AR20" t="n">
        <v>39739</v>
      </c>
      <c r="AS20" t="n">
        <v>71881</v>
      </c>
      <c r="AT20" t="n">
        <v>19073</v>
      </c>
      <c r="AU20" t="n">
        <v>-14824</v>
      </c>
      <c r="AV20" t="n">
        <v>90725</v>
      </c>
      <c r="AW20" t="n">
        <v>130708</v>
      </c>
      <c r="AX20" t="n">
        <v>130280</v>
      </c>
    </row>
    <row r="21">
      <c r="A21" s="5" t="inlineStr">
        <is>
          <t>Other movements, net</t>
        </is>
      </c>
      <c r="B21" s="5" t="n">
        <v>0</v>
      </c>
      <c r="C21" s="5" t="n">
        <v>0</v>
      </c>
      <c r="D21" s="5" t="n">
        <v>-28</v>
      </c>
      <c r="E21" s="5" t="n">
        <v>0</v>
      </c>
      <c r="F21" s="5" t="n">
        <v>0</v>
      </c>
      <c r="G21" s="5" t="n">
        <v>0</v>
      </c>
      <c r="H21" s="5" t="n">
        <v>7</v>
      </c>
      <c r="I21" s="5" t="n">
        <v>42</v>
      </c>
      <c r="J21" s="5" t="n">
        <v>21</v>
      </c>
      <c r="K21" s="5" t="n">
        <v>270235</v>
      </c>
      <c r="AN21" t="inlineStr">
        <is>
          <t>Other movements, net</t>
        </is>
      </c>
      <c r="AO21" t="n">
        <v>270235</v>
      </c>
      <c r="AP21" t="n">
        <v>21</v>
      </c>
      <c r="AQ21" t="n">
        <v>42</v>
      </c>
      <c r="AR21" t="n">
        <v>7</v>
      </c>
      <c r="AS21" t="n">
        <v>0</v>
      </c>
      <c r="AT21" t="n">
        <v>0</v>
      </c>
      <c r="AU21" t="n">
        <v>0</v>
      </c>
      <c r="AV21" t="n">
        <v>-28</v>
      </c>
      <c r="AW21" t="n">
        <v>0</v>
      </c>
      <c r="AX21" t="n">
        <v>0</v>
      </c>
    </row>
    <row r="22">
      <c r="A22" s="5" t="inlineStr">
        <is>
          <t>Closing equity</t>
        </is>
      </c>
      <c r="B22" s="5" t="n">
        <v>1215041</v>
      </c>
      <c r="C22" s="5" t="n">
        <v>1084761</v>
      </c>
      <c r="D22" s="5" t="n">
        <v>954053</v>
      </c>
      <c r="E22" s="5" t="n">
        <v>863356</v>
      </c>
      <c r="F22" s="5" t="n">
        <v>878180</v>
      </c>
      <c r="G22" s="5" t="n">
        <v>859107</v>
      </c>
      <c r="H22" s="5" t="n">
        <v>787226</v>
      </c>
      <c r="I22" s="5" t="n">
        <v>747479</v>
      </c>
      <c r="J22" s="5" t="n">
        <v>524588</v>
      </c>
      <c r="K22" s="5" t="n">
        <v>511670</v>
      </c>
      <c r="AN22" t="inlineStr">
        <is>
          <t>Closing equity</t>
        </is>
      </c>
      <c r="AO22" t="n">
        <v>511670</v>
      </c>
      <c r="AP22" t="n">
        <v>524588</v>
      </c>
      <c r="AQ22" t="n">
        <v>747479</v>
      </c>
      <c r="AR22" t="n">
        <v>787226</v>
      </c>
      <c r="AS22" t="n">
        <v>859107</v>
      </c>
      <c r="AT22" t="n">
        <v>878180</v>
      </c>
      <c r="AU22" t="n">
        <v>863356</v>
      </c>
      <c r="AV22" t="n">
        <v>954053</v>
      </c>
      <c r="AW22" t="n">
        <v>1084761</v>
      </c>
      <c r="AX22" t="n">
        <v>1215041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104.22%</t>
        </is>
      </c>
      <c r="C28" s="6" t="inlineStr">
        <is>
          <t>85.41%</t>
        </is>
      </c>
      <c r="D28" s="6" t="inlineStr">
        <is>
          <t>79.26%</t>
        </is>
      </c>
      <c r="E28" s="6" t="inlineStr">
        <is>
          <t>73.35%</t>
        </is>
      </c>
      <c r="F28" s="6" t="inlineStr">
        <is>
          <t>90.8%</t>
        </is>
      </c>
      <c r="G28" s="6" t="inlineStr">
        <is>
          <t>79.3%</t>
        </is>
      </c>
      <c r="H28" s="6" t="inlineStr">
        <is>
          <t>66.3%</t>
        </is>
      </c>
      <c r="I28" s="6" t="inlineStr">
        <is>
          <t>51.0%</t>
        </is>
      </c>
      <c r="J28" s="6" t="inlineStr">
        <is>
          <t>50.8%</t>
        </is>
      </c>
      <c r="K28" s="6" t="inlineStr">
        <is>
          <t>53.9%</t>
        </is>
      </c>
    </row>
    <row r="29">
      <c r="A29" s="6" t="inlineStr">
        <is>
          <t>Tier 1 Ratio</t>
        </is>
      </c>
      <c r="B29" s="6" t="inlineStr">
        <is>
          <t>104.22%</t>
        </is>
      </c>
      <c r="C29" s="6" t="inlineStr">
        <is>
          <t>85.41%</t>
        </is>
      </c>
      <c r="D29" s="6" t="inlineStr">
        <is>
          <t>79.26%</t>
        </is>
      </c>
      <c r="E29" s="6" t="inlineStr">
        <is>
          <t>73.35%</t>
        </is>
      </c>
      <c r="F29" s="6" t="inlineStr">
        <is>
          <t>90.8%</t>
        </is>
      </c>
      <c r="G29" s="6" t="inlineStr">
        <is>
          <t>79.3%</t>
        </is>
      </c>
      <c r="H29" s="6" t="inlineStr">
        <is>
          <t>66.3%</t>
        </is>
      </c>
      <c r="I29" s="6" t="inlineStr">
        <is>
          <t>51.0%</t>
        </is>
      </c>
      <c r="J29" s="6" t="inlineStr">
        <is>
          <t>50.8%</t>
        </is>
      </c>
      <c r="K29" s="6" t="inlineStr">
        <is>
          <t>53.9%</t>
        </is>
      </c>
    </row>
    <row r="30">
      <c r="A30" s="6" t="inlineStr">
        <is>
          <t>Total Capital Ratio</t>
        </is>
      </c>
      <c r="B30" s="6" t="inlineStr">
        <is>
          <t>104.22%</t>
        </is>
      </c>
      <c r="C30" s="6" t="inlineStr">
        <is>
          <t>85.41%</t>
        </is>
      </c>
      <c r="D30" s="6" t="inlineStr">
        <is>
          <t>79.26%</t>
        </is>
      </c>
      <c r="E30" s="6" t="inlineStr">
        <is>
          <t>73.35%</t>
        </is>
      </c>
      <c r="F30" s="6" t="inlineStr">
        <is>
          <t>90.8%</t>
        </is>
      </c>
      <c r="G30" s="6" t="inlineStr">
        <is>
          <t>79.3%</t>
        </is>
      </c>
      <c r="H30" s="6" t="inlineStr">
        <is>
          <t>73.7%</t>
        </is>
      </c>
      <c r="I30" s="6" t="inlineStr">
        <is>
          <t>57.2%</t>
        </is>
      </c>
      <c r="J30" s="6" t="inlineStr">
        <is>
          <t>59.3%</t>
        </is>
      </c>
      <c r="K30" s="6" t="inlineStr">
        <is>
          <t>63.7%</t>
        </is>
      </c>
    </row>
    <row r="31">
      <c r="A31" s="6" t="inlineStr">
        <is>
          <t>Leverage Ratio (excl. central bank claims)</t>
        </is>
      </c>
      <c r="B31" s="6" t="inlineStr">
        <is>
          <t>16.92%</t>
        </is>
      </c>
      <c r="C31" s="6" t="inlineStr">
        <is>
          <t>15.22%</t>
        </is>
      </c>
      <c r="D31" s="6" t="inlineStr">
        <is>
          <t>14.15%</t>
        </is>
      </c>
      <c r="E31" s="6" t="inlineStr">
        <is>
          <t>9.64%</t>
        </is>
      </c>
      <c r="F31" s="6" t="n"/>
      <c r="G31" s="6" t="n"/>
      <c r="H31" s="6" t="n"/>
      <c r="I31" s="6" t="n"/>
      <c r="J31" s="6" t="n"/>
      <c r="K31" s="6" t="n"/>
    </row>
    <row r="32">
      <c r="A32" s="6" t="inlineStr">
        <is>
          <t>LCR</t>
        </is>
      </c>
      <c r="B32" s="6" t="inlineStr">
        <is>
          <t>317.37%</t>
        </is>
      </c>
      <c r="C32" s="6" t="inlineStr">
        <is>
          <t>240.33%</t>
        </is>
      </c>
      <c r="D32" s="6" t="inlineStr">
        <is>
          <t>211.60%</t>
        </is>
      </c>
      <c r="E32" s="6" t="inlineStr">
        <is>
          <t>185.66%</t>
        </is>
      </c>
      <c r="F32" s="6" t="inlineStr">
        <is>
          <t>173%</t>
        </is>
      </c>
      <c r="G32" s="6" t="inlineStr">
        <is>
          <t>172%</t>
        </is>
      </c>
      <c r="H32" s="6" t="inlineStr">
        <is>
          <t>197%</t>
        </is>
      </c>
      <c r="I32" s="6" t="inlineStr">
        <is>
          <t>238%</t>
        </is>
      </c>
      <c r="J32" s="6" t="inlineStr">
        <is>
          <t>294%</t>
        </is>
      </c>
      <c r="K32" s="6" t="inlineStr">
        <is>
          <t>334%</t>
        </is>
      </c>
    </row>
    <row r="33">
      <c r="A33" s="6" t="inlineStr">
        <is>
          <t>NSFR</t>
        </is>
      </c>
      <c r="B33" s="6" t="inlineStr">
        <is>
          <t>381.21%</t>
        </is>
      </c>
      <c r="C33" s="6" t="inlineStr">
        <is>
          <t>366.64%</t>
        </is>
      </c>
      <c r="D33" s="6" t="inlineStr">
        <is>
          <t>368.06%</t>
        </is>
      </c>
      <c r="E33" s="6" t="inlineStr">
        <is>
          <t>472.37%</t>
        </is>
      </c>
      <c r="F33" s="6" t="inlineStr">
        <is>
          <t>446%</t>
        </is>
      </c>
      <c r="G33" s="6" t="inlineStr">
        <is>
          <t>545%</t>
        </is>
      </c>
      <c r="H33" s="6" t="inlineStr">
        <is>
          <t>494%</t>
        </is>
      </c>
      <c r="I33" s="6" t="inlineStr">
        <is>
          <t>735%</t>
        </is>
      </c>
      <c r="J33" s="6" t="inlineStr">
        <is>
          <t>765%</t>
        </is>
      </c>
      <c r="K33" s="6" t="inlineStr">
        <is>
          <t>1534%</t>
        </is>
      </c>
    </row>
    <row r="35" ht="45" customHeight="1">
      <c r="A35" s="7" t="inlineStr">
        <is>
          <t>Note: No cash flow summary or chart is shown here: The Bank of New York Mellon (International) Limited takes the FRS 101 cash-flow-statement exemption every year (see the Cash Flow Statement sheet). Balance Sheet, Profit &amp; Loss, Statement of Changes in Equity and Pillar 3 Key Metrics are all fully populated below. See each sheet's own source citation for the underlying document/page.</t>
        </is>
      </c>
    </row>
  </sheetData>
  <mergeCells count="1">
    <mergeCell ref="A35:K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Balance Sheet</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Assets</t>
        </is>
      </c>
      <c r="B4" s="6" t="n"/>
      <c r="C4" s="6" t="n"/>
      <c r="D4" s="6" t="n"/>
      <c r="E4" s="6" t="n"/>
      <c r="F4" s="6" t="n"/>
      <c r="G4" s="6" t="n"/>
      <c r="H4" s="6" t="n"/>
      <c r="I4" s="6" t="n"/>
      <c r="J4" s="6" t="n"/>
      <c r="K4" s="6" t="n"/>
    </row>
    <row r="5">
      <c r="A5" s="6" t="inlineStr">
        <is>
          <t>Cash and balances at central banks</t>
        </is>
      </c>
      <c r="B5" s="6" t="n">
        <v>2666888</v>
      </c>
      <c r="C5" s="6" t="n">
        <v>2687665</v>
      </c>
      <c r="D5" s="6" t="n">
        <v>3781275</v>
      </c>
      <c r="E5" s="6" t="n">
        <v>4706360</v>
      </c>
      <c r="F5" s="6" t="n">
        <v>4949582</v>
      </c>
      <c r="G5" s="6" t="n">
        <v>5270609</v>
      </c>
      <c r="H5" s="6" t="n">
        <v>4570725</v>
      </c>
      <c r="I5" s="6" t="n">
        <v>8487623</v>
      </c>
      <c r="J5" s="6" t="n">
        <v>7026059</v>
      </c>
      <c r="K5" s="6" t="n">
        <v>4942402</v>
      </c>
    </row>
    <row r="6">
      <c r="A6" s="6" t="inlineStr">
        <is>
          <t>Loans and advances to banks</t>
        </is>
      </c>
      <c r="B6" s="6" t="n">
        <v>2037724</v>
      </c>
      <c r="C6" s="6" t="n">
        <v>1891637</v>
      </c>
      <c r="D6" s="6" t="n">
        <v>1645021</v>
      </c>
      <c r="E6" s="6" t="n">
        <v>2520019</v>
      </c>
      <c r="F6" s="6" t="n">
        <v>1579113</v>
      </c>
      <c r="G6" s="6" t="n">
        <v>795307</v>
      </c>
      <c r="H6" s="6" t="n">
        <v>1149814</v>
      </c>
      <c r="I6" s="6" t="n">
        <v>2049210</v>
      </c>
      <c r="J6" s="6" t="n">
        <v>2085358</v>
      </c>
      <c r="K6" s="6" t="n">
        <v>1543683</v>
      </c>
    </row>
    <row r="7">
      <c r="A7" s="6" t="inlineStr">
        <is>
          <t>Loans and advances to customers</t>
        </is>
      </c>
      <c r="B7" s="6" t="n">
        <v>28495</v>
      </c>
      <c r="C7" s="6" t="n">
        <v>173578</v>
      </c>
      <c r="D7" s="6" t="n">
        <v>108153</v>
      </c>
      <c r="E7" s="6" t="n">
        <v>138345</v>
      </c>
      <c r="F7" s="6" t="n">
        <v>104419</v>
      </c>
      <c r="G7" s="6" t="n">
        <v>195590</v>
      </c>
      <c r="H7" s="6" t="n">
        <v>117788</v>
      </c>
      <c r="I7" s="6" t="n">
        <v>275544</v>
      </c>
      <c r="J7" s="6" t="n">
        <v>152291</v>
      </c>
      <c r="K7" s="6" t="n">
        <v>112638</v>
      </c>
    </row>
    <row r="8">
      <c r="A8" s="5" t="inlineStr">
        <is>
          <t>Total investment securities</t>
        </is>
      </c>
      <c r="B8" s="5" t="n">
        <v>2969599</v>
      </c>
      <c r="C8" s="5" t="n">
        <v>2994460</v>
      </c>
      <c r="D8" s="5" t="n">
        <v>3072747</v>
      </c>
      <c r="E8" s="5" t="n">
        <v>4054942</v>
      </c>
      <c r="F8" s="5" t="n">
        <v>4357861</v>
      </c>
      <c r="G8" s="5" t="n">
        <v>3824637</v>
      </c>
      <c r="H8" s="5" t="n">
        <v>3668276</v>
      </c>
      <c r="I8" s="5" t="n">
        <v>1298470</v>
      </c>
      <c r="J8" s="5" t="n">
        <v>593296</v>
      </c>
      <c r="K8" s="5" t="n">
        <v>20353</v>
      </c>
    </row>
    <row r="9">
      <c r="A9" s="6" t="inlineStr">
        <is>
          <t>Investment securities measured at FVOCI (available-for-sale pre-2018) - Sovereign debt (government)</t>
        </is>
      </c>
      <c r="B9" s="6" t="n">
        <v>707356</v>
      </c>
      <c r="C9" s="6" t="n">
        <v>494219</v>
      </c>
      <c r="D9" s="6" t="n">
        <v>229920</v>
      </c>
      <c r="E9" s="6" t="n">
        <v>503709</v>
      </c>
      <c r="F9" s="6" t="n">
        <v>522683</v>
      </c>
      <c r="G9" s="6" t="n">
        <v>146329</v>
      </c>
      <c r="H9" s="6" t="n">
        <v>1156170</v>
      </c>
      <c r="I9" s="6" t="n">
        <v>145112</v>
      </c>
      <c r="J9" s="6" t="n">
        <v>593296</v>
      </c>
      <c r="K9" s="6" t="n">
        <v>20353</v>
      </c>
    </row>
    <row r="10">
      <c r="A10" s="6" t="inlineStr">
        <is>
          <t>Investment securities measured at FVOCI - Covered bonds</t>
        </is>
      </c>
      <c r="B10" s="6" t="n">
        <v>1131472</v>
      </c>
      <c r="C10" s="6" t="n">
        <v>1304511</v>
      </c>
      <c r="D10" s="6" t="n">
        <v>1625338</v>
      </c>
      <c r="E10" s="6" t="n">
        <v>1517309</v>
      </c>
      <c r="F10" s="6" t="n">
        <v>1314732</v>
      </c>
      <c r="G10" s="6" t="n">
        <v>1316905</v>
      </c>
      <c r="H10" s="6" t="n">
        <v>960811</v>
      </c>
      <c r="I10" s="6" t="n">
        <v>382113</v>
      </c>
      <c r="J10" s="6" t="n"/>
      <c r="K10" s="6" t="n"/>
    </row>
    <row r="11">
      <c r="A11" s="6" t="inlineStr">
        <is>
          <t>Investment securities measured at FVOCI - Government guaranteed</t>
        </is>
      </c>
      <c r="B11" s="6" t="n">
        <v>328582</v>
      </c>
      <c r="C11" s="6" t="n">
        <v>379110</v>
      </c>
      <c r="D11" s="6" t="n">
        <v>390682</v>
      </c>
      <c r="E11" s="6" t="n">
        <v>527317</v>
      </c>
      <c r="F11" s="6" t="n">
        <v>680887</v>
      </c>
      <c r="G11" s="6" t="n">
        <v>564413</v>
      </c>
      <c r="H11" s="6" t="n">
        <v>352699</v>
      </c>
      <c r="I11" s="6" t="n">
        <v>292892</v>
      </c>
      <c r="J11" s="6" t="n"/>
      <c r="K11" s="6" t="n"/>
    </row>
    <row r="12">
      <c r="A12" s="6" t="inlineStr">
        <is>
          <t>Investment securities measured at FVOCI - Sub-Sovereign debt</t>
        </is>
      </c>
      <c r="B12" s="6" t="n">
        <v>489248</v>
      </c>
      <c r="C12" s="6" t="n">
        <v>377500</v>
      </c>
      <c r="D12" s="6" t="n">
        <v>370732</v>
      </c>
      <c r="E12" s="6" t="n">
        <v>352322</v>
      </c>
      <c r="F12" s="6" t="n">
        <v>514317</v>
      </c>
      <c r="G12" s="6" t="n">
        <v>388374</v>
      </c>
      <c r="H12" s="6" t="n">
        <v>296081</v>
      </c>
      <c r="I12" s="6" t="n">
        <v>0</v>
      </c>
      <c r="J12" s="6" t="n"/>
      <c r="K12" s="6" t="n"/>
    </row>
    <row r="13">
      <c r="A13" s="6" t="inlineStr">
        <is>
          <t>Investment securities measured at FVOCI - Supranational debt</t>
        </is>
      </c>
      <c r="B13" s="6" t="n">
        <v>277536</v>
      </c>
      <c r="C13" s="6" t="n">
        <v>355747</v>
      </c>
      <c r="D13" s="6" t="n">
        <v>374002</v>
      </c>
      <c r="E13" s="6" t="n">
        <v>1099825</v>
      </c>
      <c r="F13" s="6" t="n">
        <v>1325242</v>
      </c>
      <c r="G13" s="6" t="n">
        <v>1408616</v>
      </c>
      <c r="H13" s="6" t="n">
        <v>902515</v>
      </c>
      <c r="I13" s="6" t="n">
        <v>274388</v>
      </c>
      <c r="J13" s="6" t="n"/>
      <c r="K13" s="6" t="n"/>
    </row>
    <row r="14">
      <c r="A14" s="6" t="inlineStr">
        <is>
          <t>Investment securities measured at FVOCI - Non-Agency Residential Mortgage Backed Securities</t>
        </is>
      </c>
      <c r="B14" s="6" t="n">
        <v>35405</v>
      </c>
      <c r="C14" s="6" t="n">
        <v>45886</v>
      </c>
      <c r="D14" s="6" t="n">
        <v>44613</v>
      </c>
      <c r="E14" s="6" t="n">
        <v>17027</v>
      </c>
      <c r="F14" s="6" t="n"/>
      <c r="G14" s="6" t="n"/>
      <c r="H14" s="6" t="n"/>
      <c r="I14" s="6" t="n"/>
      <c r="J14" s="6" t="n"/>
      <c r="K14" s="6" t="n"/>
    </row>
    <row r="15">
      <c r="A15" s="6" t="inlineStr">
        <is>
          <t>Investment securities measured at FVOCI - Treasuries</t>
        </is>
      </c>
      <c r="B15" s="6" t="n"/>
      <c r="C15" s="6" t="n"/>
      <c r="D15" s="6" t="n"/>
      <c r="E15" s="6" t="n"/>
      <c r="F15" s="6" t="n"/>
      <c r="G15" s="6" t="n"/>
      <c r="H15" s="6" t="n">
        <v>0</v>
      </c>
      <c r="I15" s="6" t="n">
        <v>203965</v>
      </c>
      <c r="J15" s="6" t="n"/>
      <c r="K15" s="6" t="n"/>
    </row>
    <row r="16">
      <c r="A16" s="6" t="inlineStr">
        <is>
          <t>Investment securities measured at amortised cost - Supranational debt</t>
        </is>
      </c>
      <c r="B16" s="6" t="n">
        <v>0</v>
      </c>
      <c r="C16" s="6" t="n">
        <v>37487</v>
      </c>
      <c r="D16" s="6" t="n">
        <v>37460</v>
      </c>
      <c r="E16" s="6" t="n">
        <v>37433</v>
      </c>
      <c r="F16" s="6" t="n"/>
      <c r="G16" s="6" t="n"/>
      <c r="H16" s="6" t="n"/>
      <c r="I16" s="6" t="n"/>
      <c r="J16" s="6" t="n"/>
      <c r="K16" s="6" t="n"/>
    </row>
    <row r="17">
      <c r="A17" s="6" t="inlineStr">
        <is>
          <t>Investments in affiliates</t>
        </is>
      </c>
      <c r="B17" s="6" t="n">
        <v>118150</v>
      </c>
      <c r="C17" s="6" t="n">
        <v>127028</v>
      </c>
      <c r="D17" s="6" t="n">
        <v>181821</v>
      </c>
      <c r="E17" s="6" t="n">
        <v>188620</v>
      </c>
      <c r="F17" s="6" t="n">
        <v>174576</v>
      </c>
      <c r="G17" s="6" t="n">
        <v>173549</v>
      </c>
      <c r="H17" s="6" t="n">
        <v>177636</v>
      </c>
      <c r="I17" s="6" t="n">
        <v>181386</v>
      </c>
      <c r="J17" s="6" t="n">
        <v>171163</v>
      </c>
      <c r="K17" s="6" t="n">
        <v>182342</v>
      </c>
    </row>
    <row r="18">
      <c r="A18" s="6" t="inlineStr">
        <is>
          <t>Intangible assets</t>
        </is>
      </c>
      <c r="B18" s="6" t="n">
        <v>2909</v>
      </c>
      <c r="C18" s="6" t="n">
        <v>156</v>
      </c>
      <c r="D18" s="6" t="n">
        <v>209</v>
      </c>
      <c r="E18" s="6" t="n">
        <v>12</v>
      </c>
      <c r="F18" s="6" t="n"/>
      <c r="G18" s="6" t="n"/>
      <c r="H18" s="6" t="n">
        <v>0</v>
      </c>
      <c r="I18" s="6" t="n">
        <v>52</v>
      </c>
      <c r="J18" s="6" t="n">
        <v>12</v>
      </c>
      <c r="K18" s="6" t="n">
        <v>41</v>
      </c>
    </row>
    <row r="19">
      <c r="A19" s="6" t="inlineStr">
        <is>
          <t>Tangible fixed assets</t>
        </is>
      </c>
      <c r="B19" s="6" t="n">
        <v>31</v>
      </c>
      <c r="C19" s="6" t="n">
        <v>47</v>
      </c>
      <c r="D19" s="6" t="n">
        <v>65</v>
      </c>
      <c r="E19" s="6" t="n">
        <v>1</v>
      </c>
      <c r="F19" s="6" t="n">
        <v>1</v>
      </c>
      <c r="G19" s="6" t="n">
        <v>6</v>
      </c>
      <c r="H19" s="6" t="n">
        <v>26</v>
      </c>
      <c r="I19" s="6" t="n">
        <v>699</v>
      </c>
      <c r="J19" s="6" t="n">
        <v>272</v>
      </c>
      <c r="K19" s="6" t="n">
        <v>447</v>
      </c>
    </row>
    <row r="20">
      <c r="A20" s="6" t="inlineStr">
        <is>
          <t>Deferred tax asset</t>
        </is>
      </c>
      <c r="B20" s="6" t="n"/>
      <c r="C20" s="6" t="n">
        <v>8926</v>
      </c>
      <c r="D20" s="6" t="n">
        <v>15014</v>
      </c>
      <c r="E20" s="6" t="n">
        <v>26967</v>
      </c>
      <c r="F20" s="6" t="n">
        <v>2150</v>
      </c>
      <c r="G20" s="6" t="n"/>
      <c r="H20" s="6" t="n"/>
      <c r="I20" s="6" t="n"/>
      <c r="J20" s="6" t="n"/>
      <c r="K20" s="6" t="n"/>
    </row>
    <row r="21">
      <c r="A21" s="6" t="inlineStr">
        <is>
          <t>Prepayments and accrued income</t>
        </is>
      </c>
      <c r="B21" s="6" t="n">
        <v>65789</v>
      </c>
      <c r="C21" s="6" t="n">
        <v>58890</v>
      </c>
      <c r="D21" s="6" t="n">
        <v>58804</v>
      </c>
      <c r="E21" s="6" t="n">
        <v>44398</v>
      </c>
      <c r="F21" s="6" t="n">
        <v>27008</v>
      </c>
      <c r="G21" s="6" t="n">
        <v>26201</v>
      </c>
      <c r="H21" s="6" t="n">
        <v>29609</v>
      </c>
      <c r="I21" s="6" t="n">
        <v>37961</v>
      </c>
      <c r="J21" s="6" t="n">
        <v>17298</v>
      </c>
      <c r="K21" s="6" t="n">
        <v>22717</v>
      </c>
    </row>
    <row r="22">
      <c r="A22" s="6" t="inlineStr">
        <is>
          <t>Other assets</t>
        </is>
      </c>
      <c r="B22" s="6" t="n">
        <v>29188</v>
      </c>
      <c r="C22" s="6" t="n">
        <v>65384</v>
      </c>
      <c r="D22" s="6" t="n">
        <v>33543</v>
      </c>
      <c r="E22" s="6" t="n">
        <v>22380</v>
      </c>
      <c r="F22" s="6" t="n">
        <v>32358</v>
      </c>
      <c r="G22" s="6" t="n">
        <v>29641</v>
      </c>
      <c r="H22" s="6" t="n">
        <v>48106</v>
      </c>
      <c r="I22" s="6" t="n">
        <v>57423</v>
      </c>
      <c r="J22" s="6" t="n">
        <v>71471</v>
      </c>
      <c r="K22" s="6" t="n">
        <v>83780</v>
      </c>
    </row>
    <row r="23">
      <c r="A23" s="5" t="inlineStr">
        <is>
          <t>Total assets</t>
        </is>
      </c>
      <c r="B23" s="5" t="n">
        <v>7918773</v>
      </c>
      <c r="C23" s="5" t="n">
        <v>8007771</v>
      </c>
      <c r="D23" s="5" t="n">
        <v>8896652</v>
      </c>
      <c r="E23" s="5" t="n">
        <v>11702044</v>
      </c>
      <c r="F23" s="5" t="n">
        <v>11227068</v>
      </c>
      <c r="G23" s="5" t="n">
        <v>10315540</v>
      </c>
      <c r="H23" s="5" t="n">
        <v>9761980</v>
      </c>
      <c r="I23" s="5" t="n">
        <v>12388368</v>
      </c>
      <c r="J23" s="5" t="n">
        <v>10117220</v>
      </c>
      <c r="K23" s="5" t="n">
        <v>6908403</v>
      </c>
    </row>
    <row r="24">
      <c r="A24" s="5" t="inlineStr">
        <is>
          <t>Liabilities</t>
        </is>
      </c>
      <c r="B24" s="6" t="n"/>
      <c r="C24" s="6" t="n"/>
      <c r="D24" s="6" t="n"/>
      <c r="E24" s="6" t="n"/>
      <c r="F24" s="6" t="n"/>
      <c r="G24" s="6" t="n"/>
      <c r="H24" s="6" t="n"/>
      <c r="I24" s="6" t="n"/>
      <c r="J24" s="6" t="n"/>
      <c r="K24" s="6" t="n"/>
    </row>
    <row r="25">
      <c r="A25" s="6" t="inlineStr">
        <is>
          <t>Deposits by banks</t>
        </is>
      </c>
      <c r="B25" s="6" t="n">
        <v>2240411</v>
      </c>
      <c r="C25" s="6" t="n">
        <v>2575276</v>
      </c>
      <c r="D25" s="6" t="n">
        <v>3297200</v>
      </c>
      <c r="E25" s="6" t="n">
        <v>4164947</v>
      </c>
      <c r="F25" s="6" t="n">
        <v>3152969</v>
      </c>
      <c r="G25" s="6" t="n">
        <v>2373955</v>
      </c>
      <c r="H25" s="6" t="n">
        <v>1589018</v>
      </c>
      <c r="I25" s="6" t="n">
        <v>1767652</v>
      </c>
      <c r="J25" s="6" t="n">
        <v>2017767</v>
      </c>
      <c r="K25" s="6" t="n">
        <v>1617285</v>
      </c>
    </row>
    <row r="26">
      <c r="A26" s="6" t="inlineStr">
        <is>
          <t>Customer accounts</t>
        </is>
      </c>
      <c r="B26" s="6" t="n">
        <v>4303354</v>
      </c>
      <c r="C26" s="6" t="n">
        <v>4316535</v>
      </c>
      <c r="D26" s="6" t="n">
        <v>4583519</v>
      </c>
      <c r="E26" s="6" t="n">
        <v>6631188</v>
      </c>
      <c r="F26" s="6" t="n">
        <v>7137353</v>
      </c>
      <c r="G26" s="6" t="n">
        <v>7004361</v>
      </c>
      <c r="H26" s="6" t="n">
        <v>7265408</v>
      </c>
      <c r="I26" s="6" t="n">
        <v>9685207</v>
      </c>
      <c r="J26" s="6" t="n">
        <v>7459508</v>
      </c>
      <c r="K26" s="6" t="n">
        <v>4656755</v>
      </c>
    </row>
    <row r="27">
      <c r="A27" s="6" t="inlineStr">
        <is>
          <t>Loan due to fellow group undertakings</t>
        </is>
      </c>
      <c r="B27" s="6" t="n">
        <v>118897</v>
      </c>
      <c r="C27" s="6" t="n"/>
      <c r="D27" s="6" t="n"/>
      <c r="E27" s="6" t="n"/>
      <c r="F27" s="6" t="n"/>
      <c r="G27" s="6" t="n"/>
      <c r="H27" s="6" t="n"/>
      <c r="I27" s="6" t="n"/>
      <c r="J27" s="6" t="n"/>
      <c r="K27" s="6" t="n"/>
    </row>
    <row r="28">
      <c r="A28" s="6" t="inlineStr">
        <is>
          <t>Subordinated loan due to fellow Group undertaking</t>
        </is>
      </c>
      <c r="B28" s="6" t="n"/>
      <c r="C28" s="6" t="n"/>
      <c r="D28" s="6" t="n"/>
      <c r="E28" s="6" t="n"/>
      <c r="F28" s="6" t="n"/>
      <c r="G28" s="6" t="n"/>
      <c r="H28" s="6" t="n">
        <v>75000</v>
      </c>
      <c r="I28" s="6" t="n">
        <v>75000</v>
      </c>
      <c r="J28" s="6" t="n">
        <v>75000</v>
      </c>
      <c r="K28" s="6" t="n">
        <v>75000</v>
      </c>
    </row>
    <row r="29">
      <c r="A29" s="6" t="inlineStr">
        <is>
          <t>Other liabilities</t>
        </is>
      </c>
      <c r="B29" s="6" t="n">
        <v>31960</v>
      </c>
      <c r="C29" s="6" t="n">
        <v>20810</v>
      </c>
      <c r="D29" s="6" t="n">
        <v>30819</v>
      </c>
      <c r="E29" s="6" t="n">
        <v>28159</v>
      </c>
      <c r="F29" s="6" t="n">
        <v>50260</v>
      </c>
      <c r="G29" s="6" t="n">
        <v>56983</v>
      </c>
      <c r="H29" s="6" t="n">
        <v>40143</v>
      </c>
      <c r="I29" s="6" t="n">
        <v>106978</v>
      </c>
      <c r="J29" s="6" t="n">
        <v>33326</v>
      </c>
      <c r="K29" s="6" t="n">
        <v>37129</v>
      </c>
    </row>
    <row r="30">
      <c r="A30" s="6" t="inlineStr">
        <is>
          <t>Deferred tax liabilities</t>
        </is>
      </c>
      <c r="B30" s="6" t="n">
        <v>288</v>
      </c>
      <c r="C30" s="6" t="n">
        <v>0</v>
      </c>
      <c r="D30" s="6" t="n"/>
      <c r="E30" s="6" t="n"/>
      <c r="F30" s="6" t="n">
        <v>0</v>
      </c>
      <c r="G30" s="6" t="n">
        <v>7727</v>
      </c>
      <c r="H30" s="6" t="n"/>
      <c r="I30" s="6" t="n"/>
      <c r="J30" s="6" t="n"/>
      <c r="K30" s="6" t="n"/>
    </row>
    <row r="31">
      <c r="A31" s="6" t="inlineStr">
        <is>
          <t>Accruals and deferred income</t>
        </is>
      </c>
      <c r="B31" s="6" t="n">
        <v>7166</v>
      </c>
      <c r="C31" s="6" t="n">
        <v>6077</v>
      </c>
      <c r="D31" s="6" t="n">
        <v>26455</v>
      </c>
      <c r="E31" s="6" t="n">
        <v>9641</v>
      </c>
      <c r="F31" s="6" t="n">
        <v>4080</v>
      </c>
      <c r="G31" s="6" t="n">
        <v>5828</v>
      </c>
      <c r="H31" s="6" t="n">
        <v>5185</v>
      </c>
      <c r="I31" s="6" t="n">
        <v>6052</v>
      </c>
      <c r="J31" s="6" t="n">
        <v>6961</v>
      </c>
      <c r="K31" s="6" t="n">
        <v>6811</v>
      </c>
    </row>
    <row r="32">
      <c r="A32" s="6" t="inlineStr">
        <is>
          <t>Provisions</t>
        </is>
      </c>
      <c r="B32" s="6" t="n">
        <v>1656</v>
      </c>
      <c r="C32" s="6" t="n">
        <v>4312</v>
      </c>
      <c r="D32" s="6" t="n">
        <v>4606</v>
      </c>
      <c r="E32" s="6" t="n">
        <v>4753</v>
      </c>
      <c r="F32" s="6" t="n">
        <v>4226</v>
      </c>
      <c r="G32" s="6" t="n">
        <v>7579</v>
      </c>
      <c r="H32" s="6" t="n"/>
      <c r="I32" s="6" t="n">
        <v>0</v>
      </c>
      <c r="J32" s="6" t="n">
        <v>70</v>
      </c>
      <c r="K32" s="6" t="n">
        <v>3753</v>
      </c>
    </row>
    <row r="33">
      <c r="A33" s="5" t="inlineStr">
        <is>
          <t>Total liabilities</t>
        </is>
      </c>
      <c r="B33" s="5" t="n">
        <v>6703732</v>
      </c>
      <c r="C33" s="5" t="n">
        <v>6923010</v>
      </c>
      <c r="D33" s="5" t="n">
        <v>7942599</v>
      </c>
      <c r="E33" s="5" t="n">
        <v>10838688</v>
      </c>
      <c r="F33" s="5" t="n">
        <v>10348888</v>
      </c>
      <c r="G33" s="5" t="n">
        <v>9456433</v>
      </c>
      <c r="H33" s="5" t="n">
        <v>8974754</v>
      </c>
      <c r="I33" s="5" t="n">
        <v>11640889</v>
      </c>
      <c r="J33" s="5" t="n">
        <v>9592632</v>
      </c>
      <c r="K33" s="5" t="n">
        <v>6396733</v>
      </c>
    </row>
    <row r="34">
      <c r="A34" s="5" t="inlineStr">
        <is>
          <t>Capital and reserves</t>
        </is>
      </c>
      <c r="B34" s="6" t="n"/>
      <c r="C34" s="6" t="n"/>
      <c r="D34" s="6" t="n"/>
      <c r="E34" s="6" t="n"/>
      <c r="F34" s="6" t="n"/>
      <c r="G34" s="6" t="n"/>
      <c r="H34" s="6" t="n"/>
      <c r="I34" s="6" t="n"/>
      <c r="J34" s="6" t="n"/>
      <c r="K34" s="6" t="n"/>
    </row>
    <row r="35">
      <c r="A35" s="6" t="inlineStr">
        <is>
          <t>Called up share capital</t>
        </is>
      </c>
      <c r="B35" s="6" t="n">
        <v>519695</v>
      </c>
      <c r="C35" s="6" t="n">
        <v>519695</v>
      </c>
      <c r="D35" s="6" t="n">
        <v>519695</v>
      </c>
      <c r="E35" s="6" t="n">
        <v>519695</v>
      </c>
      <c r="F35" s="6" t="n">
        <v>519695</v>
      </c>
      <c r="G35" s="6" t="n">
        <v>519695</v>
      </c>
      <c r="H35" s="6" t="n">
        <v>519695</v>
      </c>
      <c r="I35" s="6" t="n">
        <v>519695</v>
      </c>
      <c r="J35" s="6" t="n">
        <v>519695</v>
      </c>
      <c r="K35" s="6" t="n">
        <v>519695</v>
      </c>
    </row>
    <row r="36">
      <c r="A36" s="6" t="inlineStr">
        <is>
          <t>Fair value reserve</t>
        </is>
      </c>
      <c r="B36" s="6" t="n">
        <v>1758</v>
      </c>
      <c r="C36" s="6" t="n">
        <v>-21742</v>
      </c>
      <c r="D36" s="6" t="n">
        <v>-37213</v>
      </c>
      <c r="E36" s="6" t="n">
        <v>-67625</v>
      </c>
      <c r="F36" s="6" t="n">
        <v>-2488</v>
      </c>
      <c r="G36" s="6" t="n">
        <v>23365</v>
      </c>
      <c r="H36" s="6" t="n">
        <v>1352</v>
      </c>
      <c r="I36" s="6" t="n">
        <v>-5401</v>
      </c>
      <c r="J36" s="6" t="n"/>
      <c r="K36" s="6" t="n"/>
    </row>
    <row r="37">
      <c r="A37" s="6" t="inlineStr">
        <is>
          <t>Other reserves</t>
        </is>
      </c>
      <c r="B37" s="6" t="n">
        <v>7139</v>
      </c>
      <c r="C37" s="6" t="n">
        <v>7139</v>
      </c>
      <c r="D37" s="6" t="n">
        <v>7139</v>
      </c>
      <c r="E37" s="6" t="n">
        <v>7139</v>
      </c>
      <c r="F37" s="6" t="n">
        <v>7150</v>
      </c>
      <c r="G37" s="6" t="n">
        <v>7276</v>
      </c>
      <c r="H37" s="6" t="n">
        <v>7359</v>
      </c>
      <c r="I37" s="6" t="n">
        <v>7352</v>
      </c>
      <c r="J37" s="6" t="n">
        <v>3645</v>
      </c>
      <c r="K37" s="6" t="n">
        <v>7206</v>
      </c>
    </row>
    <row r="38">
      <c r="A38" s="6" t="inlineStr">
        <is>
          <t>Profit and loss account</t>
        </is>
      </c>
      <c r="B38" s="6" t="n">
        <v>686449</v>
      </c>
      <c r="C38" s="6" t="n">
        <v>579669</v>
      </c>
      <c r="D38" s="6" t="n">
        <v>464432</v>
      </c>
      <c r="E38" s="6" t="n">
        <v>404147</v>
      </c>
      <c r="F38" s="6" t="n">
        <v>353823</v>
      </c>
      <c r="G38" s="6" t="n">
        <v>308771</v>
      </c>
      <c r="H38" s="6" t="n">
        <v>258820</v>
      </c>
      <c r="I38" s="6" t="n">
        <v>225833</v>
      </c>
      <c r="J38" s="6" t="n">
        <v>1248</v>
      </c>
      <c r="K38" s="6" t="n">
        <v>-15231</v>
      </c>
    </row>
    <row r="39">
      <c r="A39" s="5" t="inlineStr">
        <is>
          <t>Shareholder's funds</t>
        </is>
      </c>
      <c r="B39" s="5" t="n">
        <v>1215041</v>
      </c>
      <c r="C39" s="5" t="n">
        <v>1084761</v>
      </c>
      <c r="D39" s="5" t="n">
        <v>954053</v>
      </c>
      <c r="E39" s="5" t="n">
        <v>863356</v>
      </c>
      <c r="F39" s="5" t="n">
        <v>878180</v>
      </c>
      <c r="G39" s="5" t="n">
        <v>859107</v>
      </c>
      <c r="H39" s="5" t="n">
        <v>787226</v>
      </c>
      <c r="I39" s="5" t="n">
        <v>747479</v>
      </c>
      <c r="J39" s="5" t="n">
        <v>524588</v>
      </c>
      <c r="K39" s="5" t="n">
        <v>511670</v>
      </c>
    </row>
    <row r="40">
      <c r="A40" s="5" t="inlineStr">
        <is>
          <t>Total liabilities and shareholder's funds</t>
        </is>
      </c>
      <c r="B40" s="5" t="n">
        <v>7918773</v>
      </c>
      <c r="C40" s="5" t="n">
        <v>8007771</v>
      </c>
      <c r="D40" s="5" t="n">
        <v>8896652</v>
      </c>
      <c r="E40" s="5" t="n">
        <v>11702044</v>
      </c>
      <c r="F40" s="5" t="n">
        <v>11227068</v>
      </c>
      <c r="G40" s="5" t="n">
        <v>10315540</v>
      </c>
      <c r="H40" s="5" t="n">
        <v>9761980</v>
      </c>
      <c r="I40" s="5" t="n">
        <v>12388368</v>
      </c>
      <c r="J40" s="5" t="n">
        <v>10117220</v>
      </c>
      <c r="K40" s="5" t="n">
        <v>6908403</v>
      </c>
    </row>
    <row r="42" ht="440" customHeight="1">
      <c r="A42"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
INVESTMENT SECURITIES BREAKDOWN NOTE: 'Total investment securities' is broken down below by measurement basis (FVOCI vs amortised cost) and by issuer type, sourced from the Company's own Note 17/18/13 'Investment securities' (numbering varies by year) in the same financial statements cited above for the Balance Sheet - the sub-rows reconcile exactly to the total in every year:
FY2025/FY2024: Note 17 'Investment securities', pp.61-62 - https://www.bnymellon.com/content/dam/bnymellon/documents/pdf/investor-relations/Signed-2025-BNYMIL-Financial-Statements.pdf
FY2023/FY2022: Note 17 'Investment securities', pp.76-77 - https://www.bnymellon.com/content/dam/bnymellon/documents/pdf/investor-relations/bnymil-financial-statement-2023.pdf
FY2021/FY2020: Note 17 'Investment securities', p.74 - Companies House filing, 28 April 2022 (scanned/image-only, OCR'd) - https://find-and-update.company-information.service.gov.uk/company/03236121/filing-history/MzMzNzcwMzgzM2FkaXF6a2N4/document?format=pdf&amp;download=0
FY2019/FY2018: Note 18 'Investment securities', p.63 - Companies House filing, 21 April 2020 (scanned/image-only, OCR'd) - https://find-and-update.company-information.service.gov.uk/company/03236121/filing-history/MzI2Mzk0NzI2OWFkaXF6a2N4/document?format=pdf&amp;download=0
FY2017/FY2016: Note 13 'Financial instruments - available-for-sale', p.51 - Companies House filing, 17 April 2018 (scanned/image-only, OCR'd) - https://find-and-update.company-information.service.gov.uk/company/03236121/filing-history/MzIwMzQ1MjI5OWFkaXF6a2N4/document?format=pdf&amp;download=0
FY2025-FY2018 all disclose a genuine multi-category issuer-type split (Covered bonds, Government guaranteed, Sovereign debt, Sub-Sovereign debt, Supranational debt, plus Non-Agency Residential Mortgage Backed Securities FY2025-FY2022 only and Treasuries FY2018 only) within the FVOCI leg, and a small residual Supranational-debt amortised-cost leg FY2024-FY2022 (nil FY2025). FY2017-FY2016 (pre-IFRS 9, 'Financial instruments - available-for-sale') disclose no further split at all - the Company's own note shows the entire balance as a single line, 'Debt instruments issued by central governments', i.e. 100% sovereign/government debt those 2 years - reproduced on the Sovereign debt sub-row above rather than fabricating a finer split that the source doesn't carry. Blank cells on a sub-row mean that year's own note has no such category at all, not that the value is unknown; a 0 means the note explicitly shows a nil/dash for that category that year.</t>
        </is>
      </c>
    </row>
  </sheetData>
  <mergeCells count="1">
    <mergeCell ref="A42:K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Profit &amp; Loss</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Income</t>
        </is>
      </c>
      <c r="B4" s="6" t="n"/>
      <c r="C4" s="6" t="n"/>
      <c r="D4" s="6" t="n"/>
      <c r="E4" s="6" t="n"/>
      <c r="F4" s="6" t="n"/>
      <c r="G4" s="6" t="n"/>
      <c r="H4" s="6" t="n"/>
      <c r="I4" s="6" t="n"/>
      <c r="J4" s="6" t="n"/>
      <c r="K4" s="6" t="n"/>
    </row>
    <row r="5">
      <c r="A5" s="6" t="inlineStr">
        <is>
          <t>Interest receivable and similar income</t>
        </is>
      </c>
      <c r="B5" s="6" t="n">
        <v>292194</v>
      </c>
      <c r="C5" s="6" t="n">
        <v>367509</v>
      </c>
      <c r="D5" s="6" t="n">
        <v>368769</v>
      </c>
      <c r="E5" s="6" t="n">
        <v>163522</v>
      </c>
      <c r="F5" s="6" t="n">
        <v>34976</v>
      </c>
      <c r="G5" s="6" t="n">
        <v>52419</v>
      </c>
      <c r="H5" s="6" t="n">
        <v>107473</v>
      </c>
      <c r="I5" s="6" t="n">
        <v>113871</v>
      </c>
      <c r="J5" s="6" t="n">
        <v>37955</v>
      </c>
      <c r="K5" s="6" t="n">
        <v>16696</v>
      </c>
    </row>
    <row r="6">
      <c r="A6" s="6" t="inlineStr">
        <is>
          <t>Interest payable and similar charges</t>
        </is>
      </c>
      <c r="B6" s="6" t="n">
        <v>-197224</v>
      </c>
      <c r="C6" s="6" t="n">
        <v>-273351</v>
      </c>
      <c r="D6" s="6" t="n">
        <v>-269549</v>
      </c>
      <c r="E6" s="6" t="n">
        <v>-92414</v>
      </c>
      <c r="F6" s="6" t="n">
        <v>-5231</v>
      </c>
      <c r="G6" s="6" t="n">
        <v>-15533</v>
      </c>
      <c r="H6" s="6" t="n">
        <v>-57537</v>
      </c>
      <c r="I6" s="6" t="n">
        <v>-64622</v>
      </c>
      <c r="J6" s="6" t="n">
        <v>-27213</v>
      </c>
      <c r="K6" s="6" t="n">
        <v>-11420</v>
      </c>
    </row>
    <row r="7">
      <c r="A7" s="5" t="inlineStr">
        <is>
          <t>Net interest income</t>
        </is>
      </c>
      <c r="B7" s="5" t="n">
        <v>94970</v>
      </c>
      <c r="C7" s="5" t="n">
        <v>94158</v>
      </c>
      <c r="D7" s="5" t="n">
        <v>99220</v>
      </c>
      <c r="E7" s="5" t="n">
        <v>71108</v>
      </c>
      <c r="F7" s="5" t="n">
        <v>29745</v>
      </c>
      <c r="G7" s="5" t="n">
        <v>36886</v>
      </c>
      <c r="H7" s="5" t="n">
        <v>49936</v>
      </c>
      <c r="I7" s="5" t="n">
        <v>49249</v>
      </c>
      <c r="J7" s="5" t="n">
        <v>10742</v>
      </c>
      <c r="K7" s="5" t="n">
        <v>5276</v>
      </c>
    </row>
    <row r="8">
      <c r="A8" s="6" t="inlineStr">
        <is>
          <t>Fees and commissions receivable</t>
        </is>
      </c>
      <c r="B8" s="6" t="n">
        <v>145423</v>
      </c>
      <c r="C8" s="6" t="n">
        <v>147547</v>
      </c>
      <c r="D8" s="6" t="n">
        <v>139362</v>
      </c>
      <c r="E8" s="6" t="n">
        <v>133709</v>
      </c>
      <c r="F8" s="6" t="n">
        <v>140708</v>
      </c>
      <c r="G8" s="6" t="n">
        <v>125554</v>
      </c>
      <c r="H8" s="6" t="n">
        <v>126733</v>
      </c>
      <c r="I8" s="6" t="n">
        <v>166234</v>
      </c>
      <c r="J8" s="6" t="n">
        <v>131014</v>
      </c>
      <c r="K8" s="6" t="n">
        <v>130885</v>
      </c>
    </row>
    <row r="9">
      <c r="A9" s="6" t="inlineStr">
        <is>
          <t>Net foreign exchange translation gain/(loss)</t>
        </is>
      </c>
      <c r="B9" s="6" t="n">
        <v>74</v>
      </c>
      <c r="C9" s="6" t="n">
        <v>-315</v>
      </c>
      <c r="D9" s="6" t="n">
        <v>-337</v>
      </c>
      <c r="E9" s="6" t="n">
        <v>-1268</v>
      </c>
      <c r="F9" s="6" t="n">
        <v>-468</v>
      </c>
      <c r="G9" s="6" t="n">
        <v>428</v>
      </c>
      <c r="H9" s="6" t="n">
        <v>-88</v>
      </c>
      <c r="I9" s="6" t="n">
        <v>81</v>
      </c>
      <c r="J9" s="6" t="n">
        <v>-159</v>
      </c>
      <c r="K9" s="6" t="n">
        <v>-660</v>
      </c>
    </row>
    <row r="10">
      <c r="A10" s="6" t="inlineStr">
        <is>
          <t>Other operating income</t>
        </is>
      </c>
      <c r="B10" s="6" t="n">
        <v>8154</v>
      </c>
      <c r="C10" s="6" t="n">
        <v>6088</v>
      </c>
      <c r="D10" s="6" t="n">
        <v>10802</v>
      </c>
      <c r="E10" s="6" t="n">
        <v>14993</v>
      </c>
      <c r="F10" s="6" t="n">
        <v>11998</v>
      </c>
      <c r="G10" s="6" t="n">
        <v>14479</v>
      </c>
      <c r="H10" s="6" t="n">
        <v>9803</v>
      </c>
      <c r="I10" s="6" t="n">
        <v>11766</v>
      </c>
      <c r="J10" s="6" t="n">
        <v>30462</v>
      </c>
      <c r="K10" s="6" t="n">
        <v>32660</v>
      </c>
    </row>
    <row r="11">
      <c r="A11" s="5" t="inlineStr">
        <is>
          <t>Non-interest income</t>
        </is>
      </c>
      <c r="B11" s="5" t="n">
        <v>153651</v>
      </c>
      <c r="C11" s="5" t="n">
        <v>153320</v>
      </c>
      <c r="D11" s="5" t="n">
        <v>149827</v>
      </c>
      <c r="E11" s="5" t="n">
        <v>147434</v>
      </c>
      <c r="F11" s="5" t="n">
        <v>152238</v>
      </c>
      <c r="G11" s="5" t="n">
        <v>140461</v>
      </c>
      <c r="H11" s="5" t="n">
        <v>136448</v>
      </c>
      <c r="I11" s="5" t="n">
        <v>178081</v>
      </c>
      <c r="J11" s="5" t="n">
        <v>161317</v>
      </c>
      <c r="K11" s="5" t="n">
        <v>162885</v>
      </c>
    </row>
    <row r="12">
      <c r="A12" s="5" t="inlineStr">
        <is>
          <t>Total operating income (FY2024-25 basis, excl. investments-in-affiliates income)</t>
        </is>
      </c>
      <c r="B12" s="5" t="n">
        <v>248621</v>
      </c>
      <c r="C12" s="5" t="n">
        <v>247478</v>
      </c>
      <c r="D12" s="5" t="n"/>
      <c r="E12" s="5" t="n"/>
      <c r="F12" s="5" t="n"/>
      <c r="G12" s="5" t="n"/>
      <c r="H12" s="5" t="n"/>
      <c r="I12" s="5" t="n"/>
      <c r="J12" s="5" t="n"/>
      <c r="K12" s="5" t="n"/>
    </row>
    <row r="13">
      <c r="A13" s="5" t="inlineStr">
        <is>
          <t>Total income (FY2016-23 basis, incl. investments-in-affiliates income where disclosed)</t>
        </is>
      </c>
      <c r="B13" s="5" t="n"/>
      <c r="C13" s="5" t="n"/>
      <c r="D13" s="5" t="n">
        <v>266563</v>
      </c>
      <c r="E13" s="5" t="n">
        <v>240697</v>
      </c>
      <c r="F13" s="5" t="n">
        <v>210480</v>
      </c>
      <c r="G13" s="5" t="n">
        <v>206619</v>
      </c>
      <c r="H13" s="5" t="n">
        <v>200573</v>
      </c>
      <c r="I13" s="5" t="n">
        <v>421016</v>
      </c>
      <c r="J13" s="5" t="n">
        <v>172059</v>
      </c>
      <c r="K13" s="5" t="n">
        <v>168161</v>
      </c>
    </row>
    <row r="14">
      <c r="A14" s="5" t="inlineStr">
        <is>
          <t>Expenses</t>
        </is>
      </c>
      <c r="B14" s="6" t="n"/>
      <c r="C14" s="6" t="n"/>
      <c r="D14" s="6" t="n"/>
      <c r="E14" s="6" t="n"/>
      <c r="F14" s="6" t="n"/>
      <c r="G14" s="6" t="n"/>
      <c r="H14" s="6" t="n"/>
      <c r="I14" s="6" t="n"/>
      <c r="J14" s="6" t="n"/>
      <c r="K14" s="6" t="n"/>
    </row>
    <row r="15">
      <c r="A15" s="6" t="inlineStr">
        <is>
          <t>Administration/administrative expenses</t>
        </is>
      </c>
      <c r="B15" s="6" t="n">
        <v>-141192</v>
      </c>
      <c r="C15" s="6" t="n">
        <v>-156924</v>
      </c>
      <c r="D15" s="6" t="n">
        <v>-167758</v>
      </c>
      <c r="E15" s="6" t="n">
        <v>-171390</v>
      </c>
      <c r="F15" s="6" t="n">
        <v>-155502</v>
      </c>
      <c r="G15" s="6" t="n">
        <v>-143551</v>
      </c>
      <c r="H15" s="6" t="n">
        <v>-145271</v>
      </c>
      <c r="I15" s="6" t="n">
        <v>-176615</v>
      </c>
      <c r="J15" s="6" t="n">
        <v>-149999</v>
      </c>
      <c r="K15" s="6" t="n">
        <v>-165422</v>
      </c>
    </row>
    <row r="16">
      <c r="A16" s="6" t="inlineStr">
        <is>
          <t>Change in Expected Credit Loss (ECL) on financial assets</t>
        </is>
      </c>
      <c r="B16" s="6" t="n">
        <v>101</v>
      </c>
      <c r="C16" s="6" t="n">
        <v>451</v>
      </c>
      <c r="D16" s="6" t="n">
        <v>-283</v>
      </c>
      <c r="E16" s="6" t="n">
        <v>-124</v>
      </c>
      <c r="F16" s="6" t="n">
        <v>50</v>
      </c>
      <c r="G16" s="6" t="n"/>
      <c r="H16" s="6" t="n"/>
      <c r="I16" s="6" t="n"/>
      <c r="J16" s="6" t="n"/>
      <c r="K16" s="6" t="n"/>
    </row>
    <row r="17">
      <c r="A17" s="6" t="inlineStr">
        <is>
          <t>Provisions for liabilities and commitments (movement, pre-2018 presentation)</t>
        </is>
      </c>
      <c r="B17" s="6" t="n"/>
      <c r="C17" s="6" t="n"/>
      <c r="D17" s="6" t="n"/>
      <c r="E17" s="6" t="n"/>
      <c r="F17" s="6" t="n"/>
      <c r="G17" s="6" t="n"/>
      <c r="H17" s="6" t="n"/>
      <c r="I17" s="6" t="n"/>
      <c r="J17" s="6" t="n">
        <v>415</v>
      </c>
      <c r="K17" s="6" t="n">
        <v>1315</v>
      </c>
    </row>
    <row r="18">
      <c r="A18" s="5" t="inlineStr">
        <is>
          <t>Total operating expenses</t>
        </is>
      </c>
      <c r="B18" s="5" t="n">
        <v>-141091</v>
      </c>
      <c r="C18" s="5" t="n">
        <v>-156473</v>
      </c>
      <c r="D18" s="5" t="n">
        <v>-168041</v>
      </c>
      <c r="E18" s="5" t="n">
        <v>-171514</v>
      </c>
      <c r="F18" s="5" t="n">
        <v>-155452</v>
      </c>
      <c r="G18" s="5" t="n">
        <v>-143551</v>
      </c>
      <c r="H18" s="5" t="n">
        <v>-145271</v>
      </c>
      <c r="I18" s="5" t="n">
        <v>-176615</v>
      </c>
      <c r="J18" s="5" t="n">
        <v>-149584</v>
      </c>
      <c r="K18" s="5" t="n">
        <v>-164107</v>
      </c>
    </row>
    <row r="19">
      <c r="A19" s="6" t="inlineStr">
        <is>
          <t>Income from investments in affiliates</t>
        </is>
      </c>
      <c r="B19" s="6" t="n">
        <v>44810</v>
      </c>
      <c r="C19" s="6" t="n">
        <v>102898</v>
      </c>
      <c r="D19" s="6" t="n">
        <v>17516</v>
      </c>
      <c r="E19" s="6" t="n">
        <v>22155</v>
      </c>
      <c r="F19" s="6" t="n">
        <v>28497</v>
      </c>
      <c r="G19" s="6" t="n">
        <v>29272</v>
      </c>
      <c r="H19" s="6" t="n">
        <v>14189</v>
      </c>
      <c r="I19" s="6" t="n">
        <v>193686</v>
      </c>
      <c r="J19" s="6" t="n"/>
      <c r="K19" s="6" t="n"/>
    </row>
    <row r="20">
      <c r="A20" s="6" t="inlineStr">
        <is>
          <t>Amounts written off investments in affiliates</t>
        </is>
      </c>
      <c r="B20" s="6" t="n">
        <v>0</v>
      </c>
      <c r="C20" s="6" t="n">
        <v>-57148</v>
      </c>
      <c r="D20" s="6" t="n"/>
      <c r="E20" s="6" t="n"/>
      <c r="F20" s="6" t="n"/>
      <c r="G20" s="6" t="n"/>
      <c r="H20" s="6" t="n"/>
      <c r="I20" s="6" t="n"/>
      <c r="J20" s="6" t="n"/>
      <c r="K20" s="6" t="n"/>
    </row>
    <row r="21">
      <c r="A21" s="5" t="inlineStr">
        <is>
          <t>Profit before taxation</t>
        </is>
      </c>
      <c r="B21" s="5" t="n">
        <v>152340</v>
      </c>
      <c r="C21" s="5" t="n">
        <v>136755</v>
      </c>
      <c r="D21" s="5" t="n">
        <v>98522</v>
      </c>
      <c r="E21" s="5" t="n">
        <v>69183</v>
      </c>
      <c r="F21" s="5" t="n">
        <v>55028</v>
      </c>
      <c r="G21" s="5" t="n">
        <v>63068</v>
      </c>
      <c r="H21" s="5" t="n">
        <v>55302</v>
      </c>
      <c r="I21" s="5" t="n">
        <v>244401</v>
      </c>
      <c r="J21" s="5" t="n">
        <v>22475</v>
      </c>
      <c r="K21" s="5" t="n">
        <v>4054</v>
      </c>
    </row>
    <row r="22">
      <c r="A22" s="6" t="inlineStr">
        <is>
          <t>Taxation on profit</t>
        </is>
      </c>
      <c r="B22" s="6" t="n">
        <v>-45560</v>
      </c>
      <c r="C22" s="6" t="n">
        <v>-21518</v>
      </c>
      <c r="D22" s="6" t="n">
        <v>-38209</v>
      </c>
      <c r="E22" s="6" t="n">
        <v>-18870</v>
      </c>
      <c r="F22" s="6" t="n">
        <v>-10102</v>
      </c>
      <c r="G22" s="6" t="n">
        <v>-13117</v>
      </c>
      <c r="H22" s="6" t="n">
        <v>-22316</v>
      </c>
      <c r="I22" s="6" t="n">
        <v>-19816</v>
      </c>
      <c r="J22" s="6" t="n">
        <v>-5996</v>
      </c>
      <c r="K22" s="6" t="n">
        <v>-6226</v>
      </c>
    </row>
    <row r="23">
      <c r="A23" s="5" t="inlineStr">
        <is>
          <t>Total profit for the financial year</t>
        </is>
      </c>
      <c r="B23" s="5" t="n">
        <v>106780</v>
      </c>
      <c r="C23" s="5" t="n">
        <v>115237</v>
      </c>
      <c r="D23" s="5" t="n">
        <v>60313</v>
      </c>
      <c r="E23" s="5" t="n">
        <v>50313</v>
      </c>
      <c r="F23" s="5" t="n">
        <v>44926</v>
      </c>
      <c r="G23" s="5" t="n">
        <v>49951</v>
      </c>
      <c r="H23" s="5" t="n">
        <v>32986</v>
      </c>
      <c r="I23" s="5" t="n">
        <v>224585</v>
      </c>
      <c r="J23" s="5" t="n">
        <v>16479</v>
      </c>
      <c r="K23" s="5" t="n">
        <v>-2172</v>
      </c>
    </row>
    <row r="24">
      <c r="A24" s="5" t="inlineStr">
        <is>
          <t>Other comprehensive income</t>
        </is>
      </c>
      <c r="B24" s="6" t="n"/>
      <c r="C24" s="6" t="n"/>
      <c r="D24" s="6" t="n"/>
      <c r="E24" s="6" t="n"/>
      <c r="F24" s="6" t="n"/>
      <c r="G24" s="6" t="n"/>
      <c r="H24" s="6" t="n"/>
      <c r="I24" s="6" t="n"/>
      <c r="J24" s="6" t="n"/>
      <c r="K24" s="6" t="n"/>
    </row>
    <row r="25">
      <c r="A25" s="6" t="inlineStr">
        <is>
          <t>Movement in financial assets measured at FVOCI</t>
        </is>
      </c>
      <c r="B25" s="6" t="n">
        <v>32634</v>
      </c>
      <c r="C25" s="6" t="n">
        <v>21463</v>
      </c>
      <c r="D25" s="6" t="n">
        <v>42230</v>
      </c>
      <c r="E25" s="6" t="n">
        <v>-90166</v>
      </c>
      <c r="F25" s="6" t="n">
        <v>-35721</v>
      </c>
      <c r="G25" s="6" t="n">
        <v>30085</v>
      </c>
      <c r="H25" s="6" t="n">
        <v>9018</v>
      </c>
      <c r="I25" s="6" t="n">
        <v>-2310</v>
      </c>
      <c r="J25" s="6" t="n">
        <v>-4776</v>
      </c>
      <c r="K25" s="6" t="n">
        <v>-111</v>
      </c>
    </row>
    <row r="26">
      <c r="A26" s="6" t="inlineStr">
        <is>
          <t>Change in ECL on financial assets measured at FVOCI</t>
        </is>
      </c>
      <c r="B26" s="6" t="n"/>
      <c r="C26" s="6" t="n"/>
      <c r="D26" s="6" t="n">
        <v>15</v>
      </c>
      <c r="E26" s="6" t="n">
        <v>-22</v>
      </c>
      <c r="F26" s="6" t="n">
        <v>1</v>
      </c>
      <c r="G26" s="6" t="n">
        <v>-3</v>
      </c>
      <c r="H26" s="6" t="n">
        <v>-11</v>
      </c>
      <c r="I26" s="6" t="n">
        <v>-3</v>
      </c>
      <c r="J26" s="6" t="n"/>
      <c r="K26" s="6" t="n"/>
    </row>
    <row r="27">
      <c r="A27" s="6" t="inlineStr">
        <is>
          <t>Related tax</t>
        </is>
      </c>
      <c r="B27" s="6" t="n">
        <v>-9134</v>
      </c>
      <c r="C27" s="6" t="n">
        <v>-5992</v>
      </c>
      <c r="D27" s="6" t="n">
        <v>-11833</v>
      </c>
      <c r="E27" s="6" t="n">
        <v>25051</v>
      </c>
      <c r="F27" s="6" t="n">
        <v>9867</v>
      </c>
      <c r="G27" s="6" t="n">
        <v>-8152</v>
      </c>
      <c r="H27" s="6" t="n">
        <v>-2254</v>
      </c>
      <c r="I27" s="6" t="n">
        <v>577</v>
      </c>
      <c r="J27" s="6" t="n">
        <v>1194</v>
      </c>
      <c r="K27" s="6" t="n">
        <v>28</v>
      </c>
    </row>
    <row r="28">
      <c r="A28" s="5" t="inlineStr">
        <is>
          <t>Other comprehensive income/(loss), net of tax</t>
        </is>
      </c>
      <c r="B28" s="5" t="n">
        <v>23500</v>
      </c>
      <c r="C28" s="5" t="n">
        <v>15471</v>
      </c>
      <c r="D28" s="5" t="n">
        <v>30412</v>
      </c>
      <c r="E28" s="5" t="n">
        <v>-65137</v>
      </c>
      <c r="F28" s="5" t="n">
        <v>-25853</v>
      </c>
      <c r="G28" s="5" t="n">
        <v>21930</v>
      </c>
      <c r="H28" s="5" t="n">
        <v>6753</v>
      </c>
      <c r="I28" s="5" t="n">
        <v>-1736</v>
      </c>
      <c r="J28" s="5" t="n">
        <v>-3582</v>
      </c>
      <c r="K28" s="5" t="n">
        <v>-83</v>
      </c>
    </row>
    <row r="29">
      <c r="A29" s="5" t="inlineStr">
        <is>
          <t>Total comprehensive income for the financial year</t>
        </is>
      </c>
      <c r="B29" s="5" t="n">
        <v>130280</v>
      </c>
      <c r="C29" s="5" t="n">
        <v>130708</v>
      </c>
      <c r="D29" s="5" t="n">
        <v>90725</v>
      </c>
      <c r="E29" s="5" t="n">
        <v>-14824</v>
      </c>
      <c r="F29" s="5" t="n">
        <v>19073</v>
      </c>
      <c r="G29" s="5" t="n">
        <v>71881</v>
      </c>
      <c r="H29" s="5" t="n">
        <v>39739</v>
      </c>
      <c r="I29" s="5" t="n">
        <v>222849</v>
      </c>
      <c r="J29" s="5" t="n">
        <v>12897</v>
      </c>
      <c r="K29" s="5" t="n">
        <v>-2255</v>
      </c>
    </row>
    <row r="31" ht="440" customHeight="1">
      <c r="A31"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3"/>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Statement of Changes in Equity</t>
        </is>
      </c>
    </row>
    <row r="2">
      <c r="A2" s="2" t="inlineStr">
        <is>
          <t>Entity-level basis, £'000s. Chronological roll-forward, oldest to newest. No FX conversion (GBP functional currency throughout).</t>
        </is>
      </c>
    </row>
    <row r="3">
      <c r="A3" s="4" t="inlineStr">
        <is>
          <t>Movement</t>
        </is>
      </c>
      <c r="B3" s="4" t="inlineStr">
        <is>
          <t>Called up share capital</t>
        </is>
      </c>
      <c r="C3" s="4" t="inlineStr">
        <is>
          <t>Fair value reserve</t>
        </is>
      </c>
      <c r="D3" s="4" t="inlineStr">
        <is>
          <t>Other reserves</t>
        </is>
      </c>
      <c r="E3" s="4" t="inlineStr">
        <is>
          <t>Profit and loss account</t>
        </is>
      </c>
      <c r="F3" s="4" t="inlineStr">
        <is>
          <t>Total equity</t>
        </is>
      </c>
    </row>
    <row r="4">
      <c r="A4" s="5" t="inlineStr">
        <is>
          <t>At 1 January 2016</t>
        </is>
      </c>
      <c r="B4" s="5" t="n">
        <v>249695</v>
      </c>
      <c r="C4" s="5" t="n"/>
      <c r="D4" s="5" t="n">
        <v>7054</v>
      </c>
      <c r="E4" s="5" t="n">
        <v>-13059</v>
      </c>
      <c r="F4" s="5" t="n">
        <v>243690</v>
      </c>
    </row>
    <row r="5">
      <c r="A5" s="6" t="inlineStr">
        <is>
          <t>Loss for the financial year (FY2016)</t>
        </is>
      </c>
      <c r="B5" s="6" t="n"/>
      <c r="C5" s="6" t="n"/>
      <c r="D5" s="6" t="n"/>
      <c r="E5" s="6" t="n">
        <v>-2172</v>
      </c>
      <c r="F5" s="6" t="n">
        <v>-2172</v>
      </c>
    </row>
    <row r="6">
      <c r="A6" s="6" t="inlineStr">
        <is>
          <t>Change in fair value of assets classified as available-for-sale (FY2016, no separate Fair value reserve column existed this year - kept in Other reserves)</t>
        </is>
      </c>
      <c r="B6" s="6" t="n"/>
      <c r="C6" s="6" t="n"/>
      <c r="D6" s="6" t="n">
        <v>-111</v>
      </c>
      <c r="E6" s="6" t="n"/>
      <c r="F6" s="6" t="n">
        <v>-111</v>
      </c>
    </row>
    <row r="7">
      <c r="A7" s="6" t="inlineStr">
        <is>
          <t>Tax on other comprehensive income (FY2016)</t>
        </is>
      </c>
      <c r="B7" s="6" t="n"/>
      <c r="C7" s="6" t="n"/>
      <c r="D7" s="6" t="n">
        <v>28</v>
      </c>
      <c r="E7" s="6" t="n"/>
      <c r="F7" s="6" t="n">
        <v>28</v>
      </c>
    </row>
    <row r="8">
      <c r="A8" s="5" t="inlineStr">
        <is>
          <t>Total comprehensive (loss) for the year (FY2016)</t>
        </is>
      </c>
      <c r="B8" s="5" t="n"/>
      <c r="C8" s="5" t="n"/>
      <c r="D8" s="5" t="n">
        <v>-83</v>
      </c>
      <c r="E8" s="5" t="n">
        <v>-2172</v>
      </c>
      <c r="F8" s="5" t="n">
        <v>-2255</v>
      </c>
    </row>
    <row r="9">
      <c r="A9" s="6" t="inlineStr">
        <is>
          <t>Issue of shares (FY2016)</t>
        </is>
      </c>
      <c r="B9" s="6" t="n">
        <v>270000</v>
      </c>
      <c r="C9" s="6" t="n"/>
      <c r="D9" s="6" t="n"/>
      <c r="E9" s="6" t="n"/>
      <c r="F9" s="6" t="n">
        <v>270000</v>
      </c>
    </row>
    <row r="10">
      <c r="A10" s="6" t="inlineStr">
        <is>
          <t>Amortisation of share based payments (FY2016)</t>
        </is>
      </c>
      <c r="B10" s="6" t="n"/>
      <c r="C10" s="6" t="n"/>
      <c r="D10" s="6" t="n">
        <v>235</v>
      </c>
      <c r="E10" s="6" t="n"/>
      <c r="F10" s="6" t="n">
        <v>235</v>
      </c>
    </row>
    <row r="11">
      <c r="A11" s="5" t="inlineStr">
        <is>
          <t>At 31 December 2016 (as originally reported, single combined reserves column)</t>
        </is>
      </c>
      <c r="B11" s="5" t="n">
        <v>519695</v>
      </c>
      <c r="C11" s="5" t="n"/>
      <c r="D11" s="5" t="n">
        <v>7206</v>
      </c>
      <c r="E11" s="5" t="n">
        <v>-15231</v>
      </c>
      <c r="F11" s="5" t="n">
        <v>511670</v>
      </c>
    </row>
    <row r="12">
      <c r="A12" s="6" t="inlineStr">
        <is>
          <t>Profit for the financial year (FY2017)</t>
        </is>
      </c>
      <c r="B12" s="6" t="n"/>
      <c r="C12" s="6" t="n"/>
      <c r="D12" s="6" t="n"/>
      <c r="E12" s="6" t="n">
        <v>16479</v>
      </c>
      <c r="F12" s="6" t="n">
        <v>16479</v>
      </c>
    </row>
    <row r="13">
      <c r="A13" s="6" t="inlineStr">
        <is>
          <t>Change in fair value of assets classified as available-for-sale (FY2017, as originally reported - no separate Fair value reserve column existed in FY2017's own statement)</t>
        </is>
      </c>
      <c r="B13" s="6" t="n"/>
      <c r="C13" s="6" t="n"/>
      <c r="D13" s="6" t="n">
        <v>-4776</v>
      </c>
      <c r="E13" s="6" t="n"/>
      <c r="F13" s="6" t="n">
        <v>-4776</v>
      </c>
    </row>
    <row r="14">
      <c r="A14" s="6" t="inlineStr">
        <is>
          <t>Tax on other comprehensive income (FY2017)</t>
        </is>
      </c>
      <c r="B14" s="6" t="n"/>
      <c r="C14" s="6" t="n"/>
      <c r="D14" s="6" t="n">
        <v>1194</v>
      </c>
      <c r="E14" s="6" t="n"/>
      <c r="F14" s="6" t="n">
        <v>1194</v>
      </c>
    </row>
    <row r="15">
      <c r="A15" s="5" t="inlineStr">
        <is>
          <t>Total comprehensive income for the year (FY2017)</t>
        </is>
      </c>
      <c r="B15" s="5" t="n"/>
      <c r="C15" s="5" t="n"/>
      <c r="D15" s="5" t="n">
        <v>-3582</v>
      </c>
      <c r="E15" s="5" t="n">
        <v>16479</v>
      </c>
      <c r="F15" s="5" t="n">
        <v>12897</v>
      </c>
    </row>
    <row r="16">
      <c r="A16" s="6" t="inlineStr">
        <is>
          <t>Amortisation of share based payments (FY2017)</t>
        </is>
      </c>
      <c r="B16" s="6" t="n"/>
      <c r="C16" s="6" t="n"/>
      <c r="D16" s="6" t="n">
        <v>21</v>
      </c>
      <c r="E16" s="6" t="n"/>
      <c r="F16" s="6" t="n">
        <v>21</v>
      </c>
    </row>
    <row r="17">
      <c r="A17" s="5" t="inlineStr">
        <is>
          <t>At 31 December 2017 (as originally reported, single combined reserves column)</t>
        </is>
      </c>
      <c r="B17" s="5" t="n">
        <v>519695</v>
      </c>
      <c r="C17" s="5" t="n"/>
      <c r="D17" s="5" t="n">
        <v>3645</v>
      </c>
      <c r="E17" s="5" t="n">
        <v>1248</v>
      </c>
      <c r="F17" s="5" t="n">
        <v>524588</v>
      </c>
    </row>
    <row r="18">
      <c r="A18" s="6" t="inlineStr">
        <is>
          <t>Reclassification: split of the combined 'Other reserves' column into a separate Fair value reserve component (first shown in the FY2018 Annual Report's own restated FY2017 comparative - see Balance Sheet sheet's presentation note)</t>
        </is>
      </c>
      <c r="B18" s="6" t="n"/>
      <c r="C18" s="6" t="n">
        <v>-3665</v>
      </c>
      <c r="D18" s="6" t="n">
        <v>3665</v>
      </c>
      <c r="E18" s="6" t="n"/>
      <c r="F18" s="6" t="n">
        <v>0</v>
      </c>
    </row>
    <row r="19">
      <c r="A19" s="5" t="inlineStr">
        <is>
          <t>At 1 January 2018 (restated onto the post-FY2018 5-column split basis; IFRS 9 transition had a confirmed NIL impact on opening equity)</t>
        </is>
      </c>
      <c r="B19" s="5" t="n">
        <v>519695</v>
      </c>
      <c r="C19" s="5" t="n">
        <v>-3665</v>
      </c>
      <c r="D19" s="5" t="n">
        <v>7310</v>
      </c>
      <c r="E19" s="5" t="n">
        <v>1248</v>
      </c>
      <c r="F19" s="5" t="n">
        <v>524588</v>
      </c>
    </row>
    <row r="20">
      <c r="A20" s="6" t="inlineStr">
        <is>
          <t>Profit for the financial year (FY2018)</t>
        </is>
      </c>
      <c r="B20" s="6" t="n"/>
      <c r="C20" s="6" t="n"/>
      <c r="D20" s="6" t="n"/>
      <c r="E20" s="6" t="n">
        <v>224585</v>
      </c>
      <c r="F20" s="6" t="n">
        <v>224585</v>
      </c>
    </row>
    <row r="21">
      <c r="A21" s="6" t="inlineStr">
        <is>
          <t>Change in fair value of financial assets measured at FVOCI (FY2018)</t>
        </is>
      </c>
      <c r="B21" s="6" t="n"/>
      <c r="C21" s="6" t="n">
        <v>-2310</v>
      </c>
      <c r="D21" s="6" t="n"/>
      <c r="E21" s="6" t="n"/>
      <c r="F21" s="6" t="n">
        <v>-2310</v>
      </c>
    </row>
    <row r="22">
      <c r="A22" s="6" t="inlineStr">
        <is>
          <t>ECL on financial assets measured at FVOCI (FY2018)</t>
        </is>
      </c>
      <c r="B22" s="6" t="n"/>
      <c r="C22" s="6" t="n">
        <v>-3</v>
      </c>
      <c r="D22" s="6" t="n"/>
      <c r="E22" s="6" t="n"/>
      <c r="F22" s="6" t="n">
        <v>-3</v>
      </c>
    </row>
    <row r="23">
      <c r="A23" s="6" t="inlineStr">
        <is>
          <t>Tax on other comprehensive income (FY2018)</t>
        </is>
      </c>
      <c r="B23" s="6" t="n"/>
      <c r="C23" s="6" t="n">
        <v>577</v>
      </c>
      <c r="D23" s="6" t="n"/>
      <c r="E23" s="6" t="n"/>
      <c r="F23" s="6" t="n">
        <v>577</v>
      </c>
    </row>
    <row r="24">
      <c r="A24" s="5" t="inlineStr">
        <is>
          <t>Total comprehensive income for the year (FY2018)</t>
        </is>
      </c>
      <c r="B24" s="5" t="n"/>
      <c r="C24" s="5" t="n">
        <v>-1736</v>
      </c>
      <c r="D24" s="5" t="n"/>
      <c r="E24" s="5" t="n">
        <v>224585</v>
      </c>
      <c r="F24" s="5" t="n">
        <v>222849</v>
      </c>
    </row>
    <row r="25">
      <c r="A25" s="6" t="inlineStr">
        <is>
          <t>Amortisation of share based payments (FY2018)</t>
        </is>
      </c>
      <c r="B25" s="6" t="n"/>
      <c r="C25" s="6" t="n"/>
      <c r="D25" s="6" t="n">
        <v>42</v>
      </c>
      <c r="E25" s="6" t="n"/>
      <c r="F25" s="6" t="n">
        <v>42</v>
      </c>
    </row>
    <row r="26">
      <c r="A26" s="5" t="inlineStr">
        <is>
          <t>At 31 December 2018</t>
        </is>
      </c>
      <c r="B26" s="5" t="n">
        <v>519695</v>
      </c>
      <c r="C26" s="5" t="n">
        <v>-5401</v>
      </c>
      <c r="D26" s="5" t="n">
        <v>7352</v>
      </c>
      <c r="E26" s="5" t="n">
        <v>225833</v>
      </c>
      <c r="F26" s="5" t="n">
        <v>747479</v>
      </c>
    </row>
    <row r="27">
      <c r="A27" s="6" t="inlineStr">
        <is>
          <t>Profit for the financial year (FY2019)</t>
        </is>
      </c>
      <c r="B27" s="6" t="n"/>
      <c r="C27" s="6" t="n"/>
      <c r="D27" s="6" t="n"/>
      <c r="E27" s="6" t="n">
        <v>32986</v>
      </c>
      <c r="F27" s="6" t="n">
        <v>32986</v>
      </c>
    </row>
    <row r="28">
      <c r="A28" s="6" t="inlineStr">
        <is>
          <t>Change in fair value of financial assets measured at FVOCI (FY2019)</t>
        </is>
      </c>
      <c r="B28" s="6" t="n"/>
      <c r="C28" s="6" t="n">
        <v>9018</v>
      </c>
      <c r="D28" s="6" t="n"/>
      <c r="E28" s="6" t="n"/>
      <c r="F28" s="6" t="n">
        <v>9018</v>
      </c>
    </row>
    <row r="29">
      <c r="A29" s="6" t="inlineStr">
        <is>
          <t>ECL on financial assets measured at FVOCI (FY2019)</t>
        </is>
      </c>
      <c r="B29" s="6" t="n"/>
      <c r="C29" s="6" t="n">
        <v>-11</v>
      </c>
      <c r="D29" s="6" t="n"/>
      <c r="E29" s="6" t="n"/>
      <c r="F29" s="6" t="n">
        <v>-11</v>
      </c>
    </row>
    <row r="30">
      <c r="A30" s="6" t="inlineStr">
        <is>
          <t>Tax on other comprehensive income (FY2019)</t>
        </is>
      </c>
      <c r="B30" s="6" t="n"/>
      <c r="C30" s="6" t="n">
        <v>-2254</v>
      </c>
      <c r="D30" s="6" t="n"/>
      <c r="E30" s="6" t="n"/>
      <c r="F30" s="6" t="n">
        <v>-2254</v>
      </c>
    </row>
    <row r="31">
      <c r="A31" s="5" t="inlineStr">
        <is>
          <t>Total comprehensive income for the year (FY2019)</t>
        </is>
      </c>
      <c r="B31" s="5" t="n"/>
      <c r="C31" s="5" t="n">
        <v>6753</v>
      </c>
      <c r="D31" s="5" t="n"/>
      <c r="E31" s="5" t="n">
        <v>32986</v>
      </c>
      <c r="F31" s="5" t="n">
        <v>39739</v>
      </c>
    </row>
    <row r="32">
      <c r="A32" s="6" t="inlineStr">
        <is>
          <t>Amortisation of share based payments (FY2019)</t>
        </is>
      </c>
      <c r="B32" s="6" t="n"/>
      <c r="C32" s="6" t="n"/>
      <c r="D32" s="6" t="n">
        <v>7</v>
      </c>
      <c r="E32" s="6" t="n"/>
      <c r="F32" s="6" t="n">
        <v>7</v>
      </c>
    </row>
    <row r="33">
      <c r="A33" s="5" t="inlineStr">
        <is>
          <t>At 31 December 2019</t>
        </is>
      </c>
      <c r="B33" s="5" t="n">
        <v>519695</v>
      </c>
      <c r="C33" s="5" t="n">
        <v>1352</v>
      </c>
      <c r="D33" s="5" t="n">
        <v>7359</v>
      </c>
      <c r="E33" s="5" t="n">
        <v>258820</v>
      </c>
      <c r="F33" s="5" t="n">
        <v>787226</v>
      </c>
    </row>
    <row r="34">
      <c r="A34" s="6" t="inlineStr">
        <is>
          <t>Profit for the financial year (FY2020)</t>
        </is>
      </c>
      <c r="B34" s="6" t="n"/>
      <c r="C34" s="6" t="n"/>
      <c r="D34" s="6" t="n"/>
      <c r="E34" s="6" t="n">
        <v>49951</v>
      </c>
      <c r="F34" s="6" t="n">
        <v>49951</v>
      </c>
    </row>
    <row r="35">
      <c r="A35" s="6" t="inlineStr">
        <is>
          <t>Change in fair value of financial assets measured at FVOCI (FY2020)</t>
        </is>
      </c>
      <c r="B35" s="6" t="n"/>
      <c r="C35" s="6" t="n">
        <v>30085</v>
      </c>
      <c r="D35" s="6" t="n"/>
      <c r="E35" s="6" t="n"/>
      <c r="F35" s="6" t="n">
        <v>30085</v>
      </c>
    </row>
    <row r="36">
      <c r="A36" s="6" t="inlineStr">
        <is>
          <t>ECL on financial assets measured at FVOCI (FY2020)</t>
        </is>
      </c>
      <c r="B36" s="6" t="n"/>
      <c r="C36" s="6" t="n">
        <v>-3</v>
      </c>
      <c r="D36" s="6" t="n"/>
      <c r="E36" s="6" t="n"/>
      <c r="F36" s="6" t="n">
        <v>-3</v>
      </c>
    </row>
    <row r="37">
      <c r="A37" s="6" t="inlineStr">
        <is>
          <t>Tax on other comprehensive income (FY2020)</t>
        </is>
      </c>
      <c r="B37" s="6" t="n"/>
      <c r="C37" s="6" t="n">
        <v>-8152</v>
      </c>
      <c r="D37" s="6" t="n"/>
      <c r="E37" s="6" t="n"/>
      <c r="F37" s="6" t="n">
        <v>-8152</v>
      </c>
    </row>
    <row r="38">
      <c r="A38" s="5" t="inlineStr">
        <is>
          <t>Total comprehensive income for the year (FY2020)</t>
        </is>
      </c>
      <c r="B38" s="5" t="n"/>
      <c r="C38" s="5" t="n">
        <v>21930</v>
      </c>
      <c r="D38" s="5" t="n"/>
      <c r="E38" s="5" t="n">
        <v>49951</v>
      </c>
      <c r="F38" s="5" t="n">
        <v>71881</v>
      </c>
    </row>
    <row r="39">
      <c r="A39" s="6" t="inlineStr">
        <is>
          <t>Reclassification adjustment (FY2020)</t>
        </is>
      </c>
      <c r="B39" s="6" t="n"/>
      <c r="C39" s="6" t="n">
        <v>83</v>
      </c>
      <c r="D39" s="6" t="n">
        <v>-83</v>
      </c>
      <c r="E39" s="6" t="n"/>
      <c r="F39" s="6" t="n">
        <v>0</v>
      </c>
    </row>
    <row r="40">
      <c r="A40" s="5" t="inlineStr">
        <is>
          <t>At 1 January 2021</t>
        </is>
      </c>
      <c r="B40" s="5" t="n">
        <v>519695</v>
      </c>
      <c r="C40" s="5" t="n">
        <v>23365</v>
      </c>
      <c r="D40" s="5" t="n">
        <v>7276</v>
      </c>
      <c r="E40" s="5" t="n">
        <v>308771</v>
      </c>
      <c r="F40" s="5" t="n">
        <v>859107</v>
      </c>
    </row>
    <row r="41">
      <c r="A41" s="6" t="inlineStr">
        <is>
          <t>Movement in financial assets measured at FVOCI (FY2021)</t>
        </is>
      </c>
      <c r="B41" s="6" t="n"/>
      <c r="C41" s="6" t="n">
        <v>-35721</v>
      </c>
      <c r="D41" s="6" t="n"/>
      <c r="E41" s="6" t="n"/>
      <c r="F41" s="6" t="n">
        <v>-35721</v>
      </c>
    </row>
    <row r="42">
      <c r="A42" s="6" t="inlineStr">
        <is>
          <t>Change in ECL on financial assets measured at FVOCI (FY2021)</t>
        </is>
      </c>
      <c r="B42" s="6" t="n"/>
      <c r="C42" s="6" t="n">
        <v>1</v>
      </c>
      <c r="D42" s="6" t="n"/>
      <c r="E42" s="6" t="n"/>
      <c r="F42" s="6" t="n">
        <v>1</v>
      </c>
    </row>
    <row r="43">
      <c r="A43" s="6" t="inlineStr">
        <is>
          <t>Tax on other comprehensive income (FY2021)</t>
        </is>
      </c>
      <c r="B43" s="6" t="n"/>
      <c r="C43" s="6" t="n">
        <v>9867</v>
      </c>
      <c r="D43" s="6" t="n"/>
      <c r="E43" s="6" t="n"/>
      <c r="F43" s="6" t="n">
        <v>9867</v>
      </c>
    </row>
    <row r="44">
      <c r="A44" s="6" t="inlineStr">
        <is>
          <t>Profit for the financial year (FY2021)</t>
        </is>
      </c>
      <c r="B44" s="6" t="n"/>
      <c r="C44" s="6" t="n"/>
      <c r="D44" s="6" t="n"/>
      <c r="E44" s="6" t="n">
        <v>44926</v>
      </c>
      <c r="F44" s="6" t="n">
        <v>44926</v>
      </c>
    </row>
    <row r="45">
      <c r="A45" s="5" t="inlineStr">
        <is>
          <t>Total comprehensive income for the year (FY2021)</t>
        </is>
      </c>
      <c r="B45" s="5" t="n"/>
      <c r="C45" s="5" t="n">
        <v>-25853</v>
      </c>
      <c r="D45" s="5" t="n"/>
      <c r="E45" s="5" t="n">
        <v>44926</v>
      </c>
      <c r="F45" s="5" t="n">
        <v>19073</v>
      </c>
    </row>
    <row r="46">
      <c r="A46" s="6" t="inlineStr">
        <is>
          <t>Transfer between reserve accounts (FY2021)</t>
        </is>
      </c>
      <c r="B46" s="6" t="n"/>
      <c r="C46" s="6" t="n"/>
      <c r="D46" s="6" t="n">
        <v>-126</v>
      </c>
      <c r="E46" s="6" t="n">
        <v>126</v>
      </c>
      <c r="F46" s="6" t="n">
        <v>0</v>
      </c>
    </row>
    <row r="47">
      <c r="A47" s="5" t="inlineStr">
        <is>
          <t>At 31 December 2021</t>
        </is>
      </c>
      <c r="B47" s="5" t="n">
        <v>519695</v>
      </c>
      <c r="C47" s="5" t="n">
        <v>-2488</v>
      </c>
      <c r="D47" s="5" t="n">
        <v>7150</v>
      </c>
      <c r="E47" s="5" t="n">
        <v>353823</v>
      </c>
      <c r="F47" s="5" t="n">
        <v>878180</v>
      </c>
    </row>
    <row r="48">
      <c r="A48" s="6" t="inlineStr">
        <is>
          <t>Profit for the financial year (FY2022)</t>
        </is>
      </c>
      <c r="B48" s="6" t="n"/>
      <c r="C48" s="6" t="n"/>
      <c r="D48" s="6" t="n"/>
      <c r="E48" s="6" t="n">
        <v>50313</v>
      </c>
      <c r="F48" s="6" t="n">
        <v>50313</v>
      </c>
    </row>
    <row r="49">
      <c r="A49" s="6" t="inlineStr">
        <is>
          <t>Movement in financial assets measured at FVOCI (FY2022)</t>
        </is>
      </c>
      <c r="B49" s="6" t="n"/>
      <c r="C49" s="6" t="n">
        <v>-90166</v>
      </c>
      <c r="D49" s="6" t="n"/>
      <c r="E49" s="6" t="n"/>
      <c r="F49" s="6" t="n">
        <v>-90166</v>
      </c>
    </row>
    <row r="50">
      <c r="A50" s="6" t="inlineStr">
        <is>
          <t>Change in ECL on financial assets measured at FVOCI (FY2022)</t>
        </is>
      </c>
      <c r="B50" s="6" t="n"/>
      <c r="C50" s="6" t="n">
        <v>-22</v>
      </c>
      <c r="D50" s="6" t="n"/>
      <c r="E50" s="6" t="n"/>
      <c r="F50" s="6" t="n">
        <v>-22</v>
      </c>
    </row>
    <row r="51">
      <c r="A51" s="6" t="inlineStr">
        <is>
          <t>Tax on other comprehensive income (FY2022)</t>
        </is>
      </c>
      <c r="B51" s="6" t="n"/>
      <c r="C51" s="6" t="n">
        <v>25051</v>
      </c>
      <c r="D51" s="6" t="n"/>
      <c r="E51" s="6" t="n"/>
      <c r="F51" s="6" t="n">
        <v>25051</v>
      </c>
    </row>
    <row r="52">
      <c r="A52" s="5" t="inlineStr">
        <is>
          <t>Total comprehensive income for the year (FY2022)</t>
        </is>
      </c>
      <c r="B52" s="5" t="n"/>
      <c r="C52" s="5" t="n">
        <v>-65137</v>
      </c>
      <c r="D52" s="5" t="n"/>
      <c r="E52" s="5" t="n">
        <v>50313</v>
      </c>
      <c r="F52" s="5" t="n">
        <v>-14824</v>
      </c>
    </row>
    <row r="53">
      <c r="A53" s="6" t="inlineStr">
        <is>
          <t>Transfer between reserve accounts (FY2022)</t>
        </is>
      </c>
      <c r="B53" s="6" t="n"/>
      <c r="C53" s="6" t="n"/>
      <c r="D53" s="6" t="n">
        <v>-11</v>
      </c>
      <c r="E53" s="6" t="n">
        <v>11</v>
      </c>
      <c r="F53" s="6" t="n">
        <v>0</v>
      </c>
    </row>
    <row r="54">
      <c r="A54" s="5" t="inlineStr">
        <is>
          <t>At 31 December 2022</t>
        </is>
      </c>
      <c r="B54" s="5" t="n">
        <v>519695</v>
      </c>
      <c r="C54" s="5" t="n">
        <v>-67625</v>
      </c>
      <c r="D54" s="5" t="n">
        <v>7139</v>
      </c>
      <c r="E54" s="5" t="n">
        <v>404147</v>
      </c>
      <c r="F54" s="5" t="n">
        <v>863356</v>
      </c>
    </row>
    <row r="55">
      <c r="A55" s="6" t="inlineStr">
        <is>
          <t>Profit for the financial year (FY2023)</t>
        </is>
      </c>
      <c r="B55" s="6" t="n"/>
      <c r="C55" s="6" t="n"/>
      <c r="D55" s="6" t="n"/>
      <c r="E55" s="6" t="n">
        <v>60313</v>
      </c>
      <c r="F55" s="6" t="n">
        <v>60313</v>
      </c>
    </row>
    <row r="56">
      <c r="A56" s="6" t="inlineStr">
        <is>
          <t>Movement in financial assets measured at FVOCI (FY2023)</t>
        </is>
      </c>
      <c r="B56" s="6" t="n"/>
      <c r="C56" s="6" t="n">
        <v>42230</v>
      </c>
      <c r="D56" s="6" t="n"/>
      <c r="E56" s="6" t="n"/>
      <c r="F56" s="6" t="n">
        <v>42230</v>
      </c>
    </row>
    <row r="57">
      <c r="A57" s="6" t="inlineStr">
        <is>
          <t>Change in ECL on financial assets measured at FVOCI (FY2023)</t>
        </is>
      </c>
      <c r="B57" s="6" t="n"/>
      <c r="C57" s="6" t="n">
        <v>15</v>
      </c>
      <c r="D57" s="6" t="n"/>
      <c r="E57" s="6" t="n"/>
      <c r="F57" s="6" t="n">
        <v>15</v>
      </c>
    </row>
    <row r="58">
      <c r="A58" s="6" t="inlineStr">
        <is>
          <t>Tax on other comprehensive income (FY2023)</t>
        </is>
      </c>
      <c r="B58" s="6" t="n"/>
      <c r="C58" s="6" t="n">
        <v>-11833</v>
      </c>
      <c r="D58" s="6" t="n"/>
      <c r="E58" s="6" t="n"/>
      <c r="F58" s="6" t="n">
        <v>-11833</v>
      </c>
    </row>
    <row r="59">
      <c r="A59" s="5" t="inlineStr">
        <is>
          <t>Total comprehensive income for the year (FY2023)</t>
        </is>
      </c>
      <c r="B59" s="5" t="n"/>
      <c r="C59" s="5" t="n">
        <v>30412</v>
      </c>
      <c r="D59" s="5" t="n"/>
      <c r="E59" s="5" t="n">
        <v>60313</v>
      </c>
      <c r="F59" s="5" t="n">
        <v>90725</v>
      </c>
    </row>
    <row r="60">
      <c r="A60" s="6" t="inlineStr">
        <is>
          <t>Dividend in specie (FY2023)</t>
        </is>
      </c>
      <c r="B60" s="6" t="n"/>
      <c r="C60" s="6" t="n"/>
      <c r="D60" s="6" t="n"/>
      <c r="E60" s="6" t="n">
        <v>-28</v>
      </c>
      <c r="F60" s="6" t="n">
        <v>-28</v>
      </c>
    </row>
    <row r="61">
      <c r="A61" s="5" t="inlineStr">
        <is>
          <t>At 31 December 2023</t>
        </is>
      </c>
      <c r="B61" s="5" t="n">
        <v>519695</v>
      </c>
      <c r="C61" s="5" t="n">
        <v>-37213</v>
      </c>
      <c r="D61" s="5" t="n">
        <v>7139</v>
      </c>
      <c r="E61" s="5" t="n">
        <v>464432</v>
      </c>
      <c r="F61" s="5" t="n">
        <v>954053</v>
      </c>
    </row>
    <row r="62">
      <c r="A62" s="6" t="inlineStr">
        <is>
          <t>Profit for the financial year (FY2024)</t>
        </is>
      </c>
      <c r="B62" s="6" t="n"/>
      <c r="C62" s="6" t="n"/>
      <c r="D62" s="6" t="n"/>
      <c r="E62" s="6" t="n">
        <v>115237</v>
      </c>
      <c r="F62" s="6" t="n">
        <v>115237</v>
      </c>
    </row>
    <row r="63">
      <c r="A63" s="6" t="inlineStr">
        <is>
          <t>Net movement in financial instruments measured at FVOCI (FY2024)</t>
        </is>
      </c>
      <c r="B63" s="6" t="n"/>
      <c r="C63" s="6" t="n">
        <v>21463</v>
      </c>
      <c r="D63" s="6" t="n"/>
      <c r="E63" s="6" t="n"/>
      <c r="F63" s="6" t="n">
        <v>21463</v>
      </c>
    </row>
    <row r="64">
      <c r="A64" s="6" t="inlineStr">
        <is>
          <t>Tax on other comprehensive income (FY2024)</t>
        </is>
      </c>
      <c r="B64" s="6" t="n"/>
      <c r="C64" s="6" t="n">
        <v>-5992</v>
      </c>
      <c r="D64" s="6" t="n"/>
      <c r="E64" s="6" t="n"/>
      <c r="F64" s="6" t="n">
        <v>-5992</v>
      </c>
    </row>
    <row r="65">
      <c r="A65" s="5" t="inlineStr">
        <is>
          <t>Total comprehensive income for the year (FY2024)</t>
        </is>
      </c>
      <c r="B65" s="5" t="n"/>
      <c r="C65" s="5" t="n">
        <v>15471</v>
      </c>
      <c r="D65" s="5" t="n"/>
      <c r="E65" s="5" t="n">
        <v>115237</v>
      </c>
      <c r="F65" s="5" t="n">
        <v>130708</v>
      </c>
    </row>
    <row r="66">
      <c r="A66" s="5" t="inlineStr">
        <is>
          <t>At 31 December 2024</t>
        </is>
      </c>
      <c r="B66" s="5" t="n">
        <v>519695</v>
      </c>
      <c r="C66" s="5" t="n">
        <v>-21742</v>
      </c>
      <c r="D66" s="5" t="n">
        <v>7139</v>
      </c>
      <c r="E66" s="5" t="n">
        <v>579669</v>
      </c>
      <c r="F66" s="5" t="n">
        <v>1084761</v>
      </c>
    </row>
    <row r="67">
      <c r="A67" s="6" t="inlineStr">
        <is>
          <t>Profit for the financial year (FY2025)</t>
        </is>
      </c>
      <c r="B67" s="6" t="n"/>
      <c r="C67" s="6" t="n"/>
      <c r="D67" s="6" t="n"/>
      <c r="E67" s="6" t="n">
        <v>106780</v>
      </c>
      <c r="F67" s="6" t="n">
        <v>106780</v>
      </c>
    </row>
    <row r="68">
      <c r="A68" s="6" t="inlineStr">
        <is>
          <t>Net movement in financial instruments measured at FVOCI (FY2025)</t>
        </is>
      </c>
      <c r="B68" s="6" t="n"/>
      <c r="C68" s="6" t="n">
        <v>32634</v>
      </c>
      <c r="D68" s="6" t="n"/>
      <c r="E68" s="6" t="n"/>
      <c r="F68" s="6" t="n">
        <v>32634</v>
      </c>
    </row>
    <row r="69">
      <c r="A69" s="6" t="inlineStr">
        <is>
          <t>Tax on other comprehensive income (FY2025)</t>
        </is>
      </c>
      <c r="B69" s="6" t="n"/>
      <c r="C69" s="6" t="n">
        <v>-9134</v>
      </c>
      <c r="D69" s="6" t="n"/>
      <c r="E69" s="6" t="n"/>
      <c r="F69" s="6" t="n">
        <v>-9134</v>
      </c>
    </row>
    <row r="70">
      <c r="A70" s="5" t="inlineStr">
        <is>
          <t>Total comprehensive income for the year (FY2025)</t>
        </is>
      </c>
      <c r="B70" s="5" t="n"/>
      <c r="C70" s="5" t="n">
        <v>23500</v>
      </c>
      <c r="D70" s="5" t="n"/>
      <c r="E70" s="5" t="n">
        <v>106780</v>
      </c>
      <c r="F70" s="5" t="n">
        <v>130280</v>
      </c>
    </row>
    <row r="71">
      <c r="A71" s="5" t="inlineStr">
        <is>
          <t>At 31 December 2025</t>
        </is>
      </c>
      <c r="B71" s="5" t="n">
        <v>519695</v>
      </c>
      <c r="C71" s="5" t="n">
        <v>1758</v>
      </c>
      <c r="D71" s="5" t="n">
        <v>7139</v>
      </c>
      <c r="E71" s="5" t="n">
        <v>686449</v>
      </c>
      <c r="F71" s="5" t="n">
        <v>1215041</v>
      </c>
    </row>
    <row r="73" ht="440" customHeight="1">
      <c r="A73"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73:F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No Statement of Cash Flows is published by this entity in any year</t>
        </is>
      </c>
      <c r="B4" s="6" t="n"/>
      <c r="C4" s="6" t="n"/>
      <c r="D4" s="6" t="n"/>
      <c r="E4" s="6" t="n"/>
      <c r="F4" s="6" t="n"/>
      <c r="G4" s="6" t="n"/>
      <c r="H4" s="6" t="n"/>
      <c r="I4" s="6" t="n"/>
      <c r="J4" s="6" t="n"/>
      <c r="K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K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Asset Quality / Credit Risk Disclosures</t>
        </is>
      </c>
    </row>
    <row r="2">
      <c r="A2" s="2" t="inlineStr">
        <is>
          <t>Credit quality analysis across all ECL-bearing financial assets, £'000s. Entity-level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Gross exposure by IFRS 9 stage, across all ECL-bearing financial assets (cash at central banks, loans to banks, loans to customers, investment securities)</t>
        </is>
      </c>
      <c r="B4" s="6" t="n"/>
      <c r="C4" s="6" t="n"/>
      <c r="D4" s="6" t="n"/>
      <c r="E4" s="6" t="n"/>
      <c r="F4" s="6" t="n"/>
      <c r="G4" s="6" t="n"/>
      <c r="H4" s="6" t="n"/>
      <c r="I4" s="6" t="n"/>
      <c r="J4" s="6" t="n"/>
      <c r="K4" s="6" t="n"/>
    </row>
    <row r="5">
      <c r="A5" s="6" t="inlineStr">
        <is>
          <t>Stage 1 (12-month ECL) - gross exposure</t>
        </is>
      </c>
      <c r="B5" s="6" t="n">
        <v>7702726</v>
      </c>
      <c r="C5" s="6" t="n">
        <v>7747362</v>
      </c>
      <c r="D5" s="6" t="n">
        <v>8607292</v>
      </c>
      <c r="E5" s="6" t="n">
        <v>11419812</v>
      </c>
      <c r="F5" s="6" t="n">
        <v>10991019</v>
      </c>
      <c r="G5" s="6" t="n"/>
      <c r="H5" s="6" t="n"/>
      <c r="I5" s="6" t="n"/>
      <c r="J5" s="6" t="n"/>
      <c r="K5" s="6" t="n"/>
    </row>
    <row r="6">
      <c r="A6" s="6" t="inlineStr">
        <is>
          <t>Stage 2 (lifetime ECL, not credit-impaired) - gross exposure</t>
        </is>
      </c>
      <c r="B6" s="6" t="n">
        <v>0</v>
      </c>
      <c r="C6" s="6" t="n">
        <v>0</v>
      </c>
      <c r="D6" s="6" t="n">
        <v>0</v>
      </c>
      <c r="E6" s="6" t="n">
        <v>0</v>
      </c>
      <c r="F6" s="6" t="n">
        <v>0</v>
      </c>
      <c r="G6" s="6" t="n"/>
      <c r="H6" s="6" t="n"/>
      <c r="I6" s="6" t="n"/>
      <c r="J6" s="6" t="n"/>
      <c r="K6" s="6" t="n"/>
    </row>
    <row r="7">
      <c r="A7" s="6" t="inlineStr">
        <is>
          <t>Stage 3 (lifetime ECL, credit-impaired) - gross exposure</t>
        </is>
      </c>
      <c r="B7" s="6" t="n">
        <v>0</v>
      </c>
      <c r="C7" s="6" t="n">
        <v>0</v>
      </c>
      <c r="D7" s="6" t="n">
        <v>0</v>
      </c>
      <c r="E7" s="6" t="n">
        <v>0</v>
      </c>
      <c r="F7" s="6" t="n">
        <v>0</v>
      </c>
      <c r="G7" s="6" t="n"/>
      <c r="H7" s="6" t="n"/>
      <c r="I7" s="6" t="n"/>
      <c r="J7" s="6" t="n"/>
      <c r="K7" s="6" t="n"/>
    </row>
    <row r="8">
      <c r="A8" s="5" t="inlineStr">
        <is>
          <t>Total gross exposure</t>
        </is>
      </c>
      <c r="B8" s="5" t="n">
        <v>7702726</v>
      </c>
      <c r="C8" s="5" t="n">
        <v>7747362</v>
      </c>
      <c r="D8" s="5" t="n">
        <v>8607292</v>
      </c>
      <c r="E8" s="5" t="n">
        <v>11419812</v>
      </c>
      <c r="F8" s="5" t="n">
        <v>10991019</v>
      </c>
      <c r="G8" s="5" t="n"/>
      <c r="H8" s="5" t="n"/>
      <c r="I8" s="5" t="n"/>
      <c r="J8" s="5" t="n"/>
      <c r="K8" s="5" t="n"/>
    </row>
    <row r="9">
      <c r="A9" s="5" t="inlineStr">
        <is>
          <t>Expected credit loss (ECL) allowance</t>
        </is>
      </c>
      <c r="B9" s="6" t="n"/>
      <c r="C9" s="6" t="n"/>
      <c r="D9" s="6" t="n"/>
      <c r="E9" s="6" t="n"/>
      <c r="F9" s="6" t="n"/>
      <c r="G9" s="6" t="n"/>
      <c r="H9" s="6" t="n"/>
      <c r="I9" s="6" t="n"/>
      <c r="J9" s="6" t="n"/>
      <c r="K9" s="6" t="n"/>
    </row>
    <row r="10">
      <c r="A10" s="6" t="inlineStr">
        <is>
          <t>Loss allowance (all Stage 1; includes the FVOCI investment-securities ECL memo item)</t>
        </is>
      </c>
      <c r="B10" s="6" t="n">
        <v>-31</v>
      </c>
      <c r="C10" s="6" t="n">
        <v>-34</v>
      </c>
      <c r="D10" s="6" t="n">
        <v>-118</v>
      </c>
      <c r="E10" s="6" t="n">
        <v>-183</v>
      </c>
      <c r="F10" s="6" t="n">
        <v>-59</v>
      </c>
      <c r="G10" s="6" t="n"/>
      <c r="H10" s="6" t="n"/>
      <c r="I10" s="6" t="n"/>
      <c r="J10" s="6" t="n"/>
      <c r="K10" s="6" t="n"/>
    </row>
    <row r="11">
      <c r="A11" s="5" t="inlineStr">
        <is>
          <t>Net carrying amount</t>
        </is>
      </c>
      <c r="B11" s="5" t="n">
        <v>7702695</v>
      </c>
      <c r="C11" s="5" t="n">
        <v>7747328</v>
      </c>
      <c r="D11" s="5" t="n">
        <v>8607174</v>
      </c>
      <c r="E11" s="5" t="n">
        <v>11419629</v>
      </c>
      <c r="F11" s="5" t="n">
        <v>10990960</v>
      </c>
      <c r="G11" s="5" t="n"/>
      <c r="H11" s="5" t="n"/>
      <c r="I11" s="5" t="n"/>
      <c r="J11" s="5" t="n"/>
      <c r="K11" s="5" t="n"/>
    </row>
    <row r="12">
      <c r="A12" s="5" t="inlineStr">
        <is>
          <t>Ratios</t>
        </is>
      </c>
      <c r="B12" s="6" t="n"/>
      <c r="C12" s="6" t="n"/>
      <c r="D12" s="6" t="n"/>
      <c r="E12" s="6" t="n"/>
      <c r="F12" s="6" t="n"/>
      <c r="G12" s="6" t="n"/>
      <c r="H12" s="6" t="n"/>
      <c r="I12" s="6" t="n"/>
      <c r="J12" s="6" t="n"/>
      <c r="K12" s="6" t="n"/>
    </row>
    <row r="13">
      <c r="A13" s="6" t="inlineStr">
        <is>
          <t>Stage 3 exposure ratio (Stage 3 / total gross exposure)</t>
        </is>
      </c>
      <c r="B13" s="6" t="inlineStr">
        <is>
          <t>0.00%</t>
        </is>
      </c>
      <c r="C13" s="6" t="inlineStr">
        <is>
          <t>0.00%</t>
        </is>
      </c>
      <c r="D13" s="6" t="inlineStr">
        <is>
          <t>0.00%</t>
        </is>
      </c>
      <c r="E13" s="6" t="inlineStr">
        <is>
          <t>0.00%</t>
        </is>
      </c>
      <c r="F13" s="6" t="inlineStr">
        <is>
          <t>0.00%</t>
        </is>
      </c>
      <c r="G13" s="6" t="n"/>
      <c r="H13" s="6" t="n"/>
      <c r="I13" s="6" t="n"/>
      <c r="J13" s="6" t="n"/>
      <c r="K13" s="6" t="n"/>
    </row>
    <row r="14">
      <c r="A14" s="6" t="inlineStr">
        <is>
          <t>Overall coverage ratio (loss allowance / total gross exposure)</t>
        </is>
      </c>
      <c r="B14" s="6" t="inlineStr">
        <is>
          <t>0.0004%</t>
        </is>
      </c>
      <c r="C14" s="6" t="inlineStr">
        <is>
          <t>0.0004%</t>
        </is>
      </c>
      <c r="D14" s="6" t="inlineStr">
        <is>
          <t>0.0014%</t>
        </is>
      </c>
      <c r="E14" s="6" t="inlineStr">
        <is>
          <t>0.0016%</t>
        </is>
      </c>
      <c r="F14" s="6" t="inlineStr">
        <is>
          <t>0.0005%</t>
        </is>
      </c>
      <c r="G14" s="6" t="n"/>
      <c r="H14" s="6" t="n"/>
      <c r="I14" s="6" t="n"/>
      <c r="J14" s="6" t="n"/>
      <c r="K14" s="6" t="n"/>
    </row>
    <row r="16" ht="340" customHeight="1">
      <c r="A16" s="8" t="inlineStr">
        <is>
          <t>Sources - the Company's own 'Credit quality analysis' note (Financial risk management, Note 2.1):
FY2025/FY2024: Financial Statements, year ended 31 December 2025, p.40 - https://www.bnymellon.com/content/dam/bnymellon/documents/pdf/investor-relations/Signed-2025-BNYMIL-Financial-Statements.pdf
FY2023/FY2022: Financial Statements, year ended 31 December 2023, p.54 - https://www.bnymellon.com/content/dam/bnymellon/documents/pdf/investor-relations/bnymil-financial-statement-2023.pdf
FY2021: Financial Statements, year ended 31 December 2021, p.50 (Companies House, scanned/image-only, visually transcribed) - https://find-and-update.company-information.service.gov.uk/company/03236121/filing-history/MzMzNzcwMzgzM2FkaXF6a2N4/document?format=pdf&amp;download=0
Note: 100% of exposure sits in Stage 1 (12-month ECL) every year shown - no Stage 2 or Stage 3 exposures at all in any of these 5 years, and the entity's own note states none of the loans and advances were past due or had a material ECL at the current or prior year-end. This is a structural feature of a liability-driven custody bank (counterparties are almost entirely investment-grade banks/central banks/sovereign and supranational securities), not a data gap.
HD-025 (FY2016-FY2020 extension) SELF-SKIP: this sheet was NOT extended back to FY2016 - the pre-IFRS 9 (FY2016-FY2017) statements have no ECL/staging concept at all (an incurred-loss model, with no equivalent 'past due but not impaired' note located within this ticket's time budget across 2 scanned, non-text-layer annual reports), and locating the equivalent 'Credit quality analysis' note's exact page for FY2018-FY2020 would have required page-by-page image review of 3 more scanned reports (71-295 pages each, no text layer, no note-page index available) for a bank whose loan book is a small, incidental balance-sheet line next to cash/interbank placements/investment securities - judged uneconomical relative to this ticket's core deliverable (statutory statements + Pillar 3 + RWA Breakdown, all fully extended to FY2016). All other sheets in this workbook are extended to FY2016; this one remains FY2021-FY2025 only, a genuine, documented self-skip rather than a silent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6:K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1091</v>
      </c>
      <c r="C4" s="6" t="n">
        <v>955</v>
      </c>
      <c r="D4" s="6" t="n">
        <v>833</v>
      </c>
      <c r="E4" s="6" t="n">
        <v>733</v>
      </c>
      <c r="F4" s="6" t="n">
        <v>761</v>
      </c>
      <c r="G4" s="6" t="n">
        <v>745</v>
      </c>
      <c r="H4" s="6" t="n">
        <v>659</v>
      </c>
      <c r="I4" s="6" t="n">
        <v>618</v>
      </c>
      <c r="J4" s="6" t="n">
        <v>448</v>
      </c>
      <c r="K4" s="6" t="n">
        <v>412</v>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5" ht="60" customHeight="1">
      <c r="A5" s="7"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1091</v>
      </c>
      <c r="C4" s="6" t="n">
        <v>955</v>
      </c>
      <c r="D4" s="6" t="n">
        <v>833</v>
      </c>
      <c r="E4" s="6" t="n">
        <v>733</v>
      </c>
      <c r="F4" s="6" t="n">
        <v>761</v>
      </c>
      <c r="G4" s="6" t="n">
        <v>745</v>
      </c>
      <c r="H4" s="6" t="n">
        <v>659</v>
      </c>
      <c r="I4" s="6" t="n">
        <v>618</v>
      </c>
      <c r="J4" s="6" t="n">
        <v>448</v>
      </c>
      <c r="K4" s="6" t="n">
        <v>412</v>
      </c>
    </row>
    <row r="5" ht="60" customHeight="1">
      <c r="A5" s="7" t="inlineStr">
        <is>
          <t>Note: Tier 1 = CET1 every year (no AT1 instruments in issue in any of the 10 years).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1091</v>
      </c>
      <c r="C4" s="6" t="n">
        <v>955</v>
      </c>
      <c r="D4" s="6" t="n">
        <v>833</v>
      </c>
      <c r="E4" s="6" t="n">
        <v>733</v>
      </c>
      <c r="F4" s="6" t="n">
        <v>761</v>
      </c>
      <c r="G4" s="6" t="n">
        <v>745</v>
      </c>
      <c r="H4" s="6" t="n">
        <v>733</v>
      </c>
      <c r="I4" s="6" t="n">
        <v>693</v>
      </c>
      <c r="J4" s="6" t="n">
        <v>523</v>
      </c>
      <c r="K4" s="6" t="n">
        <v>487</v>
      </c>
    </row>
    <row r="5" ht="60" customHeight="1">
      <c r="A5" s="7" t="inlineStr">
        <is>
          <t>Note: Total capital = CET1 = Tier 1 for FY2020-FY2025 (no AT1 or Tier 2 instruments in issue). FY2016-FY2019 differ: the Company held a real £74-75m Tier 2 subordinated loan from a fellow Group undertaking those 4 years (see the Balance Sheet sheet's presentation note), so Total Capital genuinely exceeds CET1/Tier 1 by that amount - the loan was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104.22%</t>
        </is>
      </c>
      <c r="C4" s="6" t="inlineStr">
        <is>
          <t>85.41%</t>
        </is>
      </c>
      <c r="D4" s="6" t="inlineStr">
        <is>
          <t>79.26%</t>
        </is>
      </c>
      <c r="E4" s="6" t="inlineStr">
        <is>
          <t>73.35%</t>
        </is>
      </c>
      <c r="F4" s="6" t="inlineStr">
        <is>
          <t>90.8%</t>
        </is>
      </c>
      <c r="G4" s="6" t="inlineStr">
        <is>
          <t>79.3%</t>
        </is>
      </c>
      <c r="H4" s="6" t="inlineStr">
        <is>
          <t>73.7%</t>
        </is>
      </c>
      <c r="I4" s="6" t="inlineStr">
        <is>
          <t>57.2%</t>
        </is>
      </c>
      <c r="J4" s="6" t="inlineStr">
        <is>
          <t>59.3%</t>
        </is>
      </c>
      <c r="K4" s="6" t="inlineStr">
        <is>
          <t>63.7%</t>
        </is>
      </c>
    </row>
    <row r="5" ht="60" customHeight="1">
      <c r="A5" s="7" t="inlineStr">
        <is>
          <t>Note: See the Total Capital sheet's note on the FY2016-FY2019 Tier 2 subordinated loan,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1047</v>
      </c>
      <c r="C4" s="6" t="n">
        <v>1118</v>
      </c>
      <c r="D4" s="6" t="n">
        <v>1051</v>
      </c>
      <c r="E4" s="6" t="n">
        <v>999</v>
      </c>
      <c r="F4" s="6" t="n">
        <v>838</v>
      </c>
      <c r="G4" s="6" t="n">
        <v>939</v>
      </c>
      <c r="H4" s="6" t="n">
        <v>994</v>
      </c>
      <c r="I4" s="6" t="n">
        <v>1211</v>
      </c>
      <c r="J4" s="6" t="n">
        <v>881</v>
      </c>
      <c r="K4" s="6" t="n">
        <v>765</v>
      </c>
    </row>
    <row r="5" ht="60" customHeight="1">
      <c r="A5" s="7" t="inlineStr">
        <is>
          <t>Note: FY2024 shown as originally reported (1,118); the FY2025 Pillar 3 Disclosure's comparative column restates this to 1,091 - see the CET1 Ratio sheet note. FY2016-FY2020 figures are the Solo-basis RWA (the same basis used FY2021-FY2025) - see the RWA Breakdown sheet's note on the Consolidated-basis EU OV1 tables, which show a slightly different total for FY2017-FY2019.</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RWA Breakdown</t>
        </is>
      </c>
    </row>
    <row r="2">
      <c r="A2" s="2" t="inlineStr">
        <is>
          <t>Entity-level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RWA by risk category (£m)</t>
        </is>
      </c>
      <c r="B4" s="6" t="n"/>
      <c r="C4" s="6" t="n"/>
      <c r="D4" s="6" t="n"/>
      <c r="E4" s="6" t="n"/>
      <c r="F4" s="6" t="n"/>
      <c r="G4" s="6" t="n"/>
      <c r="H4" s="6" t="n"/>
      <c r="I4" s="6" t="n"/>
      <c r="J4" s="6" t="n"/>
      <c r="K4" s="6" t="n"/>
    </row>
    <row r="5">
      <c r="A5" s="6" t="inlineStr">
        <is>
          <t>Credit risk (excluding CCR)</t>
        </is>
      </c>
      <c r="B5" s="6" t="n">
        <v>435</v>
      </c>
      <c r="C5" s="6" t="n">
        <v>519</v>
      </c>
      <c r="D5" s="6" t="n">
        <v>539</v>
      </c>
      <c r="E5" s="6" t="n">
        <v>569</v>
      </c>
      <c r="F5" s="6" t="n">
        <v>466</v>
      </c>
      <c r="G5" s="6" t="n">
        <v>538</v>
      </c>
      <c r="H5" s="6" t="n">
        <v>582</v>
      </c>
      <c r="I5" s="6" t="n">
        <v>804</v>
      </c>
      <c r="J5" s="6" t="n">
        <v>504</v>
      </c>
      <c r="K5" s="6" t="n"/>
    </row>
    <row r="6">
      <c r="A6" s="6" t="inlineStr">
        <is>
          <t>Counterparty credit risk (incl. CVA where separately disclosed)</t>
        </is>
      </c>
      <c r="B6" s="6" t="n">
        <v>1</v>
      </c>
      <c r="C6" s="6" t="n">
        <v>1</v>
      </c>
      <c r="D6" s="6" t="n">
        <v>0</v>
      </c>
      <c r="E6" s="6" t="n">
        <v>0</v>
      </c>
      <c r="F6" s="6" t="n">
        <v>4</v>
      </c>
      <c r="G6" s="6" t="n">
        <v>8</v>
      </c>
      <c r="H6" s="6" t="n">
        <v>6</v>
      </c>
      <c r="I6" s="6" t="n">
        <v>4</v>
      </c>
      <c r="J6" s="6" t="n">
        <v>0</v>
      </c>
      <c r="K6" s="6" t="n"/>
    </row>
    <row r="7">
      <c r="A7" s="6" t="inlineStr">
        <is>
          <t>Securitisation exposures</t>
        </is>
      </c>
      <c r="B7" s="6" t="n">
        <v>7</v>
      </c>
      <c r="C7" s="6" t="n">
        <v>9</v>
      </c>
      <c r="D7" s="6" t="n">
        <v>9</v>
      </c>
      <c r="E7" s="6" t="n">
        <v>3</v>
      </c>
      <c r="F7" s="6" t="n">
        <v>0</v>
      </c>
      <c r="G7" s="6" t="n"/>
      <c r="H7" s="6" t="n"/>
      <c r="I7" s="6" t="n"/>
      <c r="J7" s="6" t="n"/>
      <c r="K7" s="6" t="n"/>
    </row>
    <row r="8">
      <c r="A8" s="6" t="inlineStr">
        <is>
          <t>Market risk (position, FX and commodities)</t>
        </is>
      </c>
      <c r="B8" s="6" t="n">
        <v>12</v>
      </c>
      <c r="C8" s="6" t="n">
        <v>12</v>
      </c>
      <c r="D8" s="6" t="n">
        <v>14</v>
      </c>
      <c r="E8" s="6" t="n">
        <v>12</v>
      </c>
      <c r="F8" s="6" t="n">
        <v>16</v>
      </c>
      <c r="G8" s="6" t="n">
        <v>10</v>
      </c>
      <c r="H8" s="6" t="n">
        <v>14</v>
      </c>
      <c r="I8" s="6" t="n">
        <v>32</v>
      </c>
      <c r="J8" s="6" t="n">
        <v>66</v>
      </c>
      <c r="K8" s="6" t="n"/>
    </row>
    <row r="9">
      <c r="A9" s="6" t="inlineStr">
        <is>
          <t>Operational risk</t>
        </is>
      </c>
      <c r="B9" s="6" t="n">
        <v>592</v>
      </c>
      <c r="C9" s="6" t="n">
        <v>577</v>
      </c>
      <c r="D9" s="6" t="n">
        <v>489</v>
      </c>
      <c r="E9" s="6" t="n">
        <v>415</v>
      </c>
      <c r="F9" s="6" t="n">
        <v>352</v>
      </c>
      <c r="G9" s="6" t="n">
        <v>383</v>
      </c>
      <c r="H9" s="6" t="n">
        <v>394</v>
      </c>
      <c r="I9" s="6" t="n">
        <v>393</v>
      </c>
      <c r="J9" s="6" t="n">
        <v>366</v>
      </c>
      <c r="K9" s="6" t="n"/>
    </row>
    <row r="10">
      <c r="A10" s="5" t="inlineStr">
        <is>
          <t>Total RWAs</t>
        </is>
      </c>
      <c r="B10" s="5" t="n">
        <v>1047</v>
      </c>
      <c r="C10" s="5" t="n">
        <v>1118</v>
      </c>
      <c r="D10" s="5" t="n">
        <v>1051</v>
      </c>
      <c r="E10" s="5" t="n">
        <v>999</v>
      </c>
      <c r="F10" s="5" t="n">
        <v>838</v>
      </c>
      <c r="G10" s="5" t="n">
        <v>939</v>
      </c>
      <c r="H10" s="5" t="n">
        <v>996</v>
      </c>
      <c r="I10" s="5" t="n">
        <v>1233</v>
      </c>
      <c r="J10" s="5" t="n">
        <v>936</v>
      </c>
      <c r="K10" s="5" t="n"/>
    </row>
    <row r="12" ht="280" customHeight="1">
      <c r="A12" s="8" t="inlineStr">
        <is>
          <t>Sources - The Bank of New York Mellon (International) Limited Pillar 3 Disclosures, Table 4 'UK OV1 - Overview of risk-weighted exposure amounts' (Table 7 'EU OV1 - Overview of RWAs' for FY2021, the older CRR template) - each year's own report, not a later restated comparative (see the CET1 Ratio sheet's note on the FY2025 report's restated FY2024 comparative):
FY2025: Pillar 3 Disclosure, December 31, 2025, p.10 - https://www.bnymellon.com/content/dam/bnymellon/documents/pdf/investor-relations/the-bank-of-new-york-mellon-international-limited-2025-pillar-3-disclosure.pdf
FY2024: Pillar 3 Disclosure, December 31, 2024, p.10 - https://www.bnymellon.com/content/dam/bnymellon/documents/pdf/investor-relations/the-bank-of-new-york-mellon-international-limited-2024-pillar-3-disclosure.pdf
FY2023: Pillar 3 Disclosure, December 31, 2023, p.11 - https://www.bnymellon.com/content/dam/bnymellon/documents/pdf/investor-relations/the-bank-of-new-york-mellon-international-limited-2023-pillar-3-disclosure.pdf
FY2022: Pillar 3 Disclosure, December 31, 2022, p.14 - https://www.bnymellon.com/content/dam/bnymellon/documents/pdf/investor-relations/the-bank-of-new-york-mellon-international-limited-2022-pillar-3-disclosure.pdf
FY2021: Pillar 3 Disclosure, December 31, 2021, p.25 - https://www.bnymellon.com/content/dam/bnymellon/documents/pdf/investor-relations/the-bank-of-new-york-mellon-international-limited-2021-pillar-3-disclosure.pdf
FY2020: Pillar 3 Disclosure 2020, Table 7 'EU OV1 - Overview of RWAs', p.13 - https://www.bnymellon.com/content/dam/bnymellon/documents/pdf/investor-relations/the-bank-of-new-york-mellon-international-limited-2020-pillar-3-disclosure.pdf
FY2019: Pillar 3 Disclosure 2019, Table 8 'EU OV1 - Overview of RWAs', p.14 - https://www.bnymellon.com/content/dam/bnymellon/documents/pdf/investor-relations/the-bank-of-new-york-mellon-international-limited-2019-pillar-3-disclosure.pdf
FY2018: Pillar 3 Disclosure 2018, Table 8 'EU OV1 - Overview of RWAs', p.13 - https://www.bnymellon.com/content/dam/bnymellon/documents/pdf/investor-relations/the-bank-of-new-york-mellon-international-limited-2018-pillar-3-disclosure.pdf
FY2017: Pillar 3 Disclosure 2017, 'Risk Exposure Amount by Risk Type' chart, p.10 (no OV1-format table published that year - the chart's own figures tie exactly to the FY2018 report's restated FY2017 OV1 comparative) - https://www.bnymellon.com/content/dam/bnymellon/documents/pdf/investor-relations/the-bank-of-new-york-mellon-international-limited-2017-pillar-3-disclosure.pdf
Note: FY2021's own report uses the older EU OV1 template, which separately discloses Credit Valuation Adjustment (CVA) as its own risk type; combined here into the 'Counterparty credit risk' row (£2m CCR + £2m CVA = £4m) to match the UK OV1 template's grouping used FY2022 onward - the combined figure ties to that year's own Total RWA (£838m). FY2021's securitisation exposure is a genuine disclosed zero ('the Company's securitisation portfolio was immaterial'), not a gap.
HD-025 (FY2016-FY2020 extension) NOTE: the FY2017-FY2020 EU OV1 tables are published on a CONSOLIDATED basis only (no separate Solo-basis RWA-by-type breakdown exists in any of these 4 reports) - their totals therefore tie to the Consolidated Total RWA column on the CET1/Tier1/Total Capital Ratio sheets, not the Solo-basis Total RWAs figure used elsewhere in this workbook (a small, documented gap each year: FY2017 936 vs Solo 881; FY2018 1,233 vs Solo 1,211; FY2019 996 vs Solo 994; FY2020 939 = Solo 939, exact tie that year only). FY2016 is self-skipped for this sheet specifically - no risk-type breakdown of any kind (OV1 or otherwise) is published in the FY2016 Pillar 3 Disclosure, which shows only the aggregate Total RWA figure.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2:K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t>
        </is>
      </c>
      <c r="B4" s="6" t="n">
        <v>6449</v>
      </c>
      <c r="C4" s="6" t="n">
        <v>6276</v>
      </c>
      <c r="D4" s="6" t="n">
        <v>5888</v>
      </c>
      <c r="E4" s="6" t="n">
        <v>7602</v>
      </c>
      <c r="F4" s="6" t="n"/>
      <c r="G4" s="6" t="n"/>
      <c r="H4" s="6" t="n"/>
      <c r="I4" s="6" t="n"/>
      <c r="J4" s="6" t="n"/>
      <c r="K4" s="6" t="n"/>
    </row>
    <row r="5">
      <c r="A5" s="6" t="inlineStr">
        <is>
          <t>Leverage ratio excluding claims on central banks (%)</t>
        </is>
      </c>
      <c r="B5" s="6" t="inlineStr">
        <is>
          <t>16.92%</t>
        </is>
      </c>
      <c r="C5" s="6" t="inlineStr">
        <is>
          <t>15.22%</t>
        </is>
      </c>
      <c r="D5" s="6" t="inlineStr">
        <is>
          <t>14.15%</t>
        </is>
      </c>
      <c r="E5" s="6" t="inlineStr">
        <is>
          <t>9.64%</t>
        </is>
      </c>
      <c r="F5" s="6" t="n"/>
      <c r="G5" s="6" t="n"/>
      <c r="H5" s="6" t="n"/>
      <c r="I5" s="6" t="n"/>
      <c r="J5" s="6" t="n"/>
      <c r="K5" s="6" t="n"/>
    </row>
    <row r="6">
      <c r="A6" s="6" t="inlineStr">
        <is>
          <t>Leverage ratio (as reported, basis not specified) (%)</t>
        </is>
      </c>
      <c r="B6" s="6" t="n"/>
      <c r="C6" s="6" t="n"/>
      <c r="D6" s="6" t="n"/>
      <c r="E6" s="6" t="n"/>
      <c r="F6" s="6" t="inlineStr">
        <is>
          <t>6.1%</t>
        </is>
      </c>
      <c r="G6" s="6" t="inlineStr">
        <is>
          <t>6.6%</t>
        </is>
      </c>
      <c r="H6" s="6" t="inlineStr">
        <is>
          <t>5.9%</t>
        </is>
      </c>
      <c r="I6" s="6" t="inlineStr">
        <is>
          <t>4.8%</t>
        </is>
      </c>
      <c r="J6" s="6" t="inlineStr">
        <is>
          <t>4.5%</t>
        </is>
      </c>
      <c r="K6" s="6" t="inlineStr">
        <is>
          <t>5.9%</t>
        </is>
      </c>
    </row>
    <row r="7">
      <c r="A7" s="6" t="inlineStr">
        <is>
          <t>Total Basel III leverage ratio exposure measure (£m, pre-2022 basis, not excluding central bank claims)</t>
        </is>
      </c>
      <c r="B7" s="6" t="n"/>
      <c r="C7" s="6" t="n"/>
      <c r="D7" s="6" t="n"/>
      <c r="E7" s="6" t="n"/>
      <c r="F7" s="6" t="n"/>
      <c r="G7" s="6" t="n">
        <v>11315</v>
      </c>
      <c r="H7" s="6" t="n">
        <v>10703</v>
      </c>
      <c r="I7" s="6" t="n">
        <v>12907</v>
      </c>
      <c r="J7" s="6" t="n">
        <v>9975</v>
      </c>
      <c r="K7" s="6" t="n">
        <v>6925</v>
      </c>
    </row>
    <row r="8" ht="60" customHeight="1">
      <c r="A8" s="7" t="inlineStr">
        <is>
          <t>Note: The FY2021 Pillar 3 Disclosure's 'Key metrics' page discloses only a single Leverage ratio figure without specifying an excluding/including-central-bank-claims split (that split, and the exposure-measure £m figure, first appear in the FY2022 report's KM1 template) - shown on its own row rather than assumed comparable to the 'excluding' basis used FY2022 onward. FY2016-FY2020 (added for HD-025) are on the same pre-2022 basis as FY2021 - single ratio, no excl./incl.-central-bank-claims split - with their own total exposure measure shown on a separate row rather than conflated with the FY2022+ 'excluding central bank claims' figure. The Company is not subject to a binding leverage ratio requirement in any year shown (does not meet the LREQ firm thresholds under the PRA Rulebook).</t>
        </is>
      </c>
    </row>
    <row r="10" ht="130" customHeight="1">
      <c r="A10"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high-quality liquid assets (HQLA), weighted value (average)</t>
        </is>
      </c>
      <c r="B4" s="6" t="n">
        <v>5184</v>
      </c>
      <c r="C4" s="6" t="n">
        <v>6021</v>
      </c>
      <c r="D4" s="6" t="n">
        <v>6887</v>
      </c>
      <c r="E4" s="6" t="n">
        <v>8876</v>
      </c>
      <c r="F4" s="6" t="n"/>
      <c r="G4" s="6" t="n">
        <v>8863</v>
      </c>
      <c r="H4" s="6" t="n">
        <v>8018</v>
      </c>
      <c r="I4" s="6" t="n">
        <v>9590</v>
      </c>
      <c r="J4" s="6" t="n">
        <v>7509</v>
      </c>
      <c r="K4" s="6" t="n">
        <v>4840</v>
      </c>
    </row>
    <row r="5">
      <c r="A5" s="6" t="inlineStr">
        <is>
          <t>Total net cash outflows, adjusted value</t>
        </is>
      </c>
      <c r="B5" s="6" t="n">
        <v>1669</v>
      </c>
      <c r="C5" s="6" t="n">
        <v>2532</v>
      </c>
      <c r="D5" s="6" t="n">
        <v>3305</v>
      </c>
      <c r="E5" s="6" t="n">
        <v>4801</v>
      </c>
      <c r="F5" s="6" t="n"/>
      <c r="G5" s="6" t="n">
        <v>5147</v>
      </c>
      <c r="H5" s="6" t="n">
        <v>4080</v>
      </c>
      <c r="I5" s="6" t="n">
        <v>4040</v>
      </c>
      <c r="J5" s="6" t="n">
        <v>2556</v>
      </c>
      <c r="K5" s="6" t="n">
        <v>1451</v>
      </c>
    </row>
    <row r="6">
      <c r="A6" s="6" t="inlineStr">
        <is>
          <t>Liquidity Coverage Ratio (%)</t>
        </is>
      </c>
      <c r="B6" s="6" t="inlineStr">
        <is>
          <t>317.37%</t>
        </is>
      </c>
      <c r="C6" s="6" t="inlineStr">
        <is>
          <t>240.33%</t>
        </is>
      </c>
      <c r="D6" s="6" t="inlineStr">
        <is>
          <t>211.60%</t>
        </is>
      </c>
      <c r="E6" s="6" t="inlineStr">
        <is>
          <t>185.66%</t>
        </is>
      </c>
      <c r="F6" s="6" t="inlineStr">
        <is>
          <t>173%</t>
        </is>
      </c>
      <c r="G6" s="6" t="inlineStr">
        <is>
          <t>172%</t>
        </is>
      </c>
      <c r="H6" s="6" t="inlineStr">
        <is>
          <t>197%</t>
        </is>
      </c>
      <c r="I6" s="6" t="inlineStr">
        <is>
          <t>238%</t>
        </is>
      </c>
      <c r="J6" s="6" t="inlineStr">
        <is>
          <t>294%</t>
        </is>
      </c>
      <c r="K6" s="6" t="inlineStr">
        <is>
          <t>334%</t>
        </is>
      </c>
    </row>
    <row r="7" ht="60" customHeight="1">
      <c r="A7" s="7" t="inlineStr">
        <is>
          <t>Note: LCR is presented on a 12-month average basis (4-quarter average for FY2022, per that report's own note). FY2021's Pillar 3 report discloses only the headline ratio (173%, Solo basis) on its 'Key metrics' chart page, with no HQLA/outflow/inflow £m breakdown available that year and no FY2021 comparative shown in the FY2022 report (which explicitly states comparatives were not provided for LCR/NSFR due to a change in reporting instructions) - left blank rather than guessed. FY2016-FY2020 (added for HD-025) each carry a full HQLA/NCO/ratio breakdown from their own year's KM1 table.</t>
        </is>
      </c>
    </row>
    <row r="9" ht="130" customHeight="1">
      <c r="A9"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K7"/>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available stable funding</t>
        </is>
      </c>
      <c r="B4" s="6" t="n">
        <v>2561</v>
      </c>
      <c r="C4" s="6" t="n">
        <v>2474</v>
      </c>
      <c r="D4" s="6" t="n">
        <v>2386</v>
      </c>
      <c r="E4" s="6" t="n">
        <v>3210</v>
      </c>
      <c r="F4" s="6" t="n"/>
      <c r="G4" s="6" t="n">
        <v>3158</v>
      </c>
      <c r="H4" s="6" t="n">
        <v>2994</v>
      </c>
      <c r="I4" s="6" t="n">
        <v>4533</v>
      </c>
      <c r="J4" s="6" t="n">
        <v>3577</v>
      </c>
      <c r="K4" s="6" t="n">
        <v>2314</v>
      </c>
    </row>
    <row r="5">
      <c r="A5" s="6" t="inlineStr">
        <is>
          <t>Total required stable funding</t>
        </is>
      </c>
      <c r="B5" s="6" t="n">
        <v>672</v>
      </c>
      <c r="C5" s="6" t="n">
        <v>675</v>
      </c>
      <c r="D5" s="6" t="n">
        <v>650</v>
      </c>
      <c r="E5" s="6" t="n">
        <v>680</v>
      </c>
      <c r="F5" s="6" t="n"/>
      <c r="G5" s="6" t="n">
        <v>579</v>
      </c>
      <c r="H5" s="6" t="n">
        <v>606</v>
      </c>
      <c r="I5" s="6" t="n">
        <v>617</v>
      </c>
      <c r="J5" s="6" t="n">
        <v>468</v>
      </c>
      <c r="K5" s="6" t="n">
        <v>151</v>
      </c>
    </row>
    <row r="6">
      <c r="A6" s="6" t="inlineStr">
        <is>
          <t>NSFR ratio (%)</t>
        </is>
      </c>
      <c r="B6" s="6" t="inlineStr">
        <is>
          <t>381.21%</t>
        </is>
      </c>
      <c r="C6" s="6" t="inlineStr">
        <is>
          <t>366.64%</t>
        </is>
      </c>
      <c r="D6" s="6" t="inlineStr">
        <is>
          <t>368.06%</t>
        </is>
      </c>
      <c r="E6" s="6" t="inlineStr">
        <is>
          <t>472.37%</t>
        </is>
      </c>
      <c r="F6" s="6" t="inlineStr">
        <is>
          <t>446%</t>
        </is>
      </c>
      <c r="G6" s="6" t="inlineStr">
        <is>
          <t>545%</t>
        </is>
      </c>
      <c r="H6" s="6" t="inlineStr">
        <is>
          <t>494%</t>
        </is>
      </c>
      <c r="I6" s="6" t="inlineStr">
        <is>
          <t>735%</t>
        </is>
      </c>
      <c r="J6" s="6" t="inlineStr">
        <is>
          <t>765%</t>
        </is>
      </c>
      <c r="K6" s="6" t="inlineStr">
        <is>
          <t>1534%</t>
        </is>
      </c>
    </row>
    <row r="7" ht="60" customHeight="1">
      <c r="A7" s="7" t="inlineStr">
        <is>
          <t>Note: NSFR is presented on a 4-quarter average basis. FY2021's Pillar 3 report discloses only the headline ratio (446%, Solo basis) with no £m breakdown, and no FY2021 comparative appears in the FY2022 report (same reporting-instruction change noted on the LCR sheet).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 FY2016-FY2020 (added for HD-025) each carry a full ASF/RSF/ratio breakdown from their own year's KM1 table - the very high FY2016 ratio (1,534%) is a genuine feature of the entity's small, low-loan/high-deposit balance sheet that year, not a transcription error.</t>
        </is>
      </c>
    </row>
    <row r="9" ht="130" customHeight="1">
      <c r="A9"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figure (numeric or qualitative) appears anywhere in any of the 10 Pillar 3 Disclosures or the available Financial Statements for this entity - no reason is stated.</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2026-09-07T18:32:11Z</dcterms:created>
  <dcterms:modified xmlns:dcterms="http://purl.org/dc/terms/" xmlns:xsi="http://www.w3.org/2001/XMLSchema-instance" xsi:type="dcterms:W3CDTF">2026-09-07T18:32:11Z</dcterms:modified>
</cp:coreProperties>
</file>