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15911954</v>
      </c>
      <c r="C6" s="5" t="n">
        <v>14474391</v>
      </c>
      <c r="D6" s="5" t="n">
        <v>13697367</v>
      </c>
      <c r="E6" s="5" t="n">
        <v>13420391</v>
      </c>
      <c r="F6" s="5" t="n">
        <v>13125173</v>
      </c>
      <c r="G6" s="5" t="n">
        <v>12250189</v>
      </c>
      <c r="J6" t="inlineStr">
        <is>
          <t>Total assets</t>
        </is>
      </c>
      <c r="K6" t="n">
        <v>12250189</v>
      </c>
      <c r="L6" t="n">
        <v>13125173</v>
      </c>
      <c r="M6" t="n">
        <v>13420391</v>
      </c>
      <c r="N6" t="n">
        <v>13697367</v>
      </c>
      <c r="O6" t="n">
        <v>14474391</v>
      </c>
      <c r="P6" t="n">
        <v>15911954</v>
      </c>
      <c r="AT6" t="inlineStr">
        <is>
          <t>CET1 Ratio</t>
        </is>
      </c>
      <c r="AU6" t="n">
        <v>16.1</v>
      </c>
      <c r="AV6" t="n">
        <v>14.4</v>
      </c>
      <c r="AW6" t="n">
        <v>13.6</v>
      </c>
      <c r="AX6" t="n">
        <v>15.6</v>
      </c>
      <c r="AY6" t="n">
        <v>16.1</v>
      </c>
      <c r="AZ6" t="n">
        <v>14.9</v>
      </c>
    </row>
    <row r="7">
      <c r="A7" s="5" t="inlineStr">
        <is>
          <t>Loans and advances to customers</t>
        </is>
      </c>
      <c r="B7" s="5" t="n">
        <v>8054390</v>
      </c>
      <c r="C7" s="5" t="n">
        <v>7030843</v>
      </c>
      <c r="D7" s="5" t="n">
        <v>6739732</v>
      </c>
      <c r="E7" s="5" t="n">
        <v>6334707</v>
      </c>
      <c r="F7" s="5" t="n">
        <v>6206664</v>
      </c>
      <c r="G7" s="5" t="n">
        <v>6229841</v>
      </c>
      <c r="J7" t="inlineStr">
        <is>
          <t>Loans and advances to customers</t>
        </is>
      </c>
      <c r="K7" t="n">
        <v>6229841</v>
      </c>
      <c r="L7" t="n">
        <v>6206664</v>
      </c>
      <c r="M7" t="n">
        <v>6334707</v>
      </c>
      <c r="N7" t="n">
        <v>6739732</v>
      </c>
      <c r="O7" t="n">
        <v>7030843</v>
      </c>
      <c r="P7" t="n">
        <v>8054390</v>
      </c>
      <c r="AT7" t="inlineStr">
        <is>
          <t>Tier 1 Ratio</t>
        </is>
      </c>
      <c r="AU7" t="n">
        <v>18.1</v>
      </c>
      <c r="AV7" t="n">
        <v>16.3</v>
      </c>
      <c r="AW7" t="n">
        <v>18</v>
      </c>
      <c r="AX7" t="n">
        <v>19.6</v>
      </c>
      <c r="AY7" t="n">
        <v>20.2</v>
      </c>
      <c r="AZ7" t="n">
        <v>19</v>
      </c>
    </row>
    <row r="8">
      <c r="A8" s="5" t="inlineStr">
        <is>
          <t>Deposits from customers</t>
        </is>
      </c>
      <c r="B8" s="5" t="n">
        <v>13440624</v>
      </c>
      <c r="C8" s="5" t="n">
        <v>12053498</v>
      </c>
      <c r="D8" s="5" t="n">
        <v>11333715</v>
      </c>
      <c r="E8" s="5" t="n">
        <v>11229589</v>
      </c>
      <c r="F8" s="5" t="n">
        <v>11161358</v>
      </c>
      <c r="G8" s="5" t="n">
        <v>10228137</v>
      </c>
      <c r="J8" t="inlineStr">
        <is>
          <t>Deposits from customers</t>
        </is>
      </c>
      <c r="K8" t="n">
        <v>10228137</v>
      </c>
      <c r="L8" t="n">
        <v>11161358</v>
      </c>
      <c r="M8" t="n">
        <v>11229589</v>
      </c>
      <c r="N8" t="n">
        <v>11333715</v>
      </c>
      <c r="O8" t="n">
        <v>12053498</v>
      </c>
      <c r="P8" t="n">
        <v>13440624</v>
      </c>
      <c r="AT8" t="inlineStr">
        <is>
          <t>Total Capital Ratio</t>
        </is>
      </c>
      <c r="AU8" t="n">
        <v>20.7</v>
      </c>
      <c r="AV8" t="n">
        <v>18.8</v>
      </c>
      <c r="AW8" t="n">
        <v>18</v>
      </c>
      <c r="AX8" t="n">
        <v>19.6</v>
      </c>
      <c r="AY8" t="n">
        <v>20.2</v>
      </c>
      <c r="AZ8" t="n">
        <v>19</v>
      </c>
    </row>
    <row r="9">
      <c r="A9" s="5" t="inlineStr">
        <is>
          <t>Total equity and shareholders' equity</t>
        </is>
      </c>
      <c r="B9" s="5" t="n">
        <v>968860</v>
      </c>
      <c r="C9" s="5" t="n">
        <v>943995</v>
      </c>
      <c r="D9" s="5" t="n">
        <v>929341</v>
      </c>
      <c r="E9" s="5" t="n">
        <v>837192</v>
      </c>
      <c r="F9" s="5" t="n">
        <v>749199</v>
      </c>
      <c r="G9" s="5" t="n">
        <v>850867</v>
      </c>
      <c r="J9" t="inlineStr">
        <is>
          <t>Total equity and shareholders' equity</t>
        </is>
      </c>
      <c r="K9" t="n">
        <v>850867</v>
      </c>
      <c r="L9" t="n">
        <v>749199</v>
      </c>
      <c r="M9" t="n">
        <v>837192</v>
      </c>
      <c r="N9" t="n">
        <v>929341</v>
      </c>
      <c r="O9" t="n">
        <v>943995</v>
      </c>
      <c r="P9" t="n">
        <v>968860</v>
      </c>
      <c r="AT9" t="inlineStr">
        <is>
          <t>Leverage Ratio (BASIS BREAK at FY2021/FY2022 - see note; not a like-for-like series)</t>
        </is>
      </c>
      <c r="AU9" t="n">
        <v>5.2</v>
      </c>
      <c r="AV9" t="n">
        <v>4.2</v>
      </c>
      <c r="AW9" t="n">
        <v>6.7</v>
      </c>
      <c r="AX9" t="n">
        <v>7.4</v>
      </c>
      <c r="AY9" t="n">
        <v>7.2</v>
      </c>
      <c r="AZ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434292</v>
      </c>
      <c r="C13" s="5" t="n">
        <v>388384</v>
      </c>
      <c r="D13" s="5" t="n">
        <v>333521</v>
      </c>
      <c r="E13" s="5" t="n">
        <v>273505</v>
      </c>
      <c r="F13" s="5" t="n">
        <v>200047</v>
      </c>
      <c r="G13" s="5" t="n">
        <v>205119</v>
      </c>
      <c r="S13" t="inlineStr">
        <is>
          <t>Operating income</t>
        </is>
      </c>
      <c r="T13" t="n">
        <v>205119</v>
      </c>
      <c r="U13" t="n">
        <v>200047</v>
      </c>
      <c r="V13" t="n">
        <v>273505</v>
      </c>
      <c r="W13" t="n">
        <v>333521</v>
      </c>
      <c r="X13" t="n">
        <v>388384</v>
      </c>
      <c r="Y13" t="n">
        <v>434292</v>
      </c>
    </row>
    <row r="14">
      <c r="A14" s="5" t="inlineStr">
        <is>
          <t>Operating expenses (incl. depreciation &amp; amortisation)</t>
        </is>
      </c>
      <c r="B14" s="5" t="n">
        <v>-183647</v>
      </c>
      <c r="C14" s="5" t="n">
        <v>-179807</v>
      </c>
      <c r="D14" s="5" t="n">
        <v>-160666</v>
      </c>
      <c r="E14" s="5" t="n">
        <v>-150345</v>
      </c>
      <c r="F14" s="5" t="n">
        <v>-153438</v>
      </c>
      <c r="G14" s="5" t="n">
        <v>-146616</v>
      </c>
      <c r="S14" t="inlineStr">
        <is>
          <t>Operating expenses (incl. depreciation &amp; amortisation)</t>
        </is>
      </c>
      <c r="T14" t="n">
        <v>-146616</v>
      </c>
      <c r="U14" t="n">
        <v>-153438</v>
      </c>
      <c r="V14" t="n">
        <v>-150345</v>
      </c>
      <c r="W14" t="n">
        <v>-160666</v>
      </c>
      <c r="X14" t="n">
        <v>-179807</v>
      </c>
      <c r="Y14" t="n">
        <v>-183647</v>
      </c>
    </row>
    <row r="15">
      <c r="A15" s="5" t="inlineStr">
        <is>
          <t>Profit for the year</t>
        </is>
      </c>
      <c r="B15" s="5" t="n">
        <v>189231</v>
      </c>
      <c r="C15" s="5" t="n">
        <v>165495</v>
      </c>
      <c r="D15" s="5" t="n">
        <v>156719</v>
      </c>
      <c r="E15" s="5" t="n">
        <v>103410</v>
      </c>
      <c r="F15" s="5" t="n">
        <v>41534</v>
      </c>
      <c r="G15" s="5" t="n">
        <v>7552</v>
      </c>
      <c r="S15" t="inlineStr">
        <is>
          <t>Profit for the year</t>
        </is>
      </c>
      <c r="T15" t="n">
        <v>7552</v>
      </c>
      <c r="U15" t="n">
        <v>41534</v>
      </c>
      <c r="V15" t="n">
        <v>103410</v>
      </c>
      <c r="W15" t="n">
        <v>156719</v>
      </c>
      <c r="X15" t="n">
        <v>165495</v>
      </c>
      <c r="Y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943995</v>
      </c>
      <c r="C19" s="5" t="n">
        <v>929341</v>
      </c>
      <c r="D19" s="5" t="n">
        <v>837192</v>
      </c>
      <c r="E19" s="5" t="n">
        <v>749199</v>
      </c>
      <c r="F19" s="5" t="n">
        <v>850867</v>
      </c>
      <c r="G19" s="5" t="n">
        <v>826655</v>
      </c>
      <c r="AB19" t="inlineStr">
        <is>
          <t>Opening equity</t>
        </is>
      </c>
      <c r="AC19" t="n">
        <v>826655</v>
      </c>
      <c r="AD19" t="n">
        <v>850867</v>
      </c>
      <c r="AE19" t="n">
        <v>749199</v>
      </c>
      <c r="AF19" t="n">
        <v>837192</v>
      </c>
      <c r="AG19" t="n">
        <v>929341</v>
      </c>
      <c r="AH19" t="n">
        <v>943995</v>
      </c>
    </row>
    <row r="20">
      <c r="A20" s="5" t="inlineStr">
        <is>
          <t>Total comprehensive income for the year</t>
        </is>
      </c>
      <c r="B20" s="5" t="n">
        <v>194948</v>
      </c>
      <c r="C20" s="5" t="n">
        <v>169665</v>
      </c>
      <c r="D20" s="5" t="n">
        <v>111890</v>
      </c>
      <c r="E20" s="5" t="n">
        <v>11371</v>
      </c>
      <c r="F20" s="5" t="n">
        <v>-21699</v>
      </c>
      <c r="G20" s="5" t="n">
        <v>29348</v>
      </c>
      <c r="AB20" t="inlineStr">
        <is>
          <t>Total comprehensive income for the year</t>
        </is>
      </c>
      <c r="AC20" t="n">
        <v>29348</v>
      </c>
      <c r="AD20" t="n">
        <v>-21699</v>
      </c>
      <c r="AE20" t="n">
        <v>11371</v>
      </c>
      <c r="AF20" t="n">
        <v>111890</v>
      </c>
      <c r="AG20" t="n">
        <v>169665</v>
      </c>
      <c r="AH20" t="n">
        <v>194948</v>
      </c>
    </row>
    <row r="21">
      <c r="A21" s="5" t="inlineStr">
        <is>
          <t>Other equity movements, net</t>
        </is>
      </c>
      <c r="B21" s="5" t="n">
        <v>-170083</v>
      </c>
      <c r="C21" s="5" t="n">
        <v>-155011</v>
      </c>
      <c r="D21" s="5" t="n">
        <v>-19741</v>
      </c>
      <c r="E21" s="5" t="n">
        <v>76622</v>
      </c>
      <c r="F21" s="5" t="n">
        <v>-79969</v>
      </c>
      <c r="G21" s="5" t="n">
        <v>-5137</v>
      </c>
      <c r="AB21" t="inlineStr">
        <is>
          <t>Other equity movements, net</t>
        </is>
      </c>
      <c r="AC21" t="n">
        <v>-5137</v>
      </c>
      <c r="AD21" t="n">
        <v>-79969</v>
      </c>
      <c r="AE21" t="n">
        <v>76622</v>
      </c>
      <c r="AF21" t="n">
        <v>-19741</v>
      </c>
      <c r="AG21" t="n">
        <v>-155011</v>
      </c>
      <c r="AH21" t="n">
        <v>-170083</v>
      </c>
    </row>
    <row r="22">
      <c r="A22" s="5" t="inlineStr">
        <is>
          <t>Closing equity</t>
        </is>
      </c>
      <c r="B22" s="5" t="n">
        <v>968860</v>
      </c>
      <c r="C22" s="5" t="n">
        <v>943995</v>
      </c>
      <c r="D22" s="5" t="n">
        <v>929341</v>
      </c>
      <c r="E22" s="5" t="n">
        <v>837192</v>
      </c>
      <c r="F22" s="5" t="n">
        <v>749199</v>
      </c>
      <c r="G22" s="5" t="n">
        <v>850867</v>
      </c>
      <c r="AB22" t="inlineStr">
        <is>
          <t>Closing equity</t>
        </is>
      </c>
      <c r="AC22" t="n">
        <v>850867</v>
      </c>
      <c r="AD22" t="n">
        <v>749199</v>
      </c>
      <c r="AE22" t="n">
        <v>837192</v>
      </c>
      <c r="AF22" t="n">
        <v>929341</v>
      </c>
      <c r="AG22" t="n">
        <v>943995</v>
      </c>
      <c r="AH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 provided by operating activities</t>
        </is>
      </c>
      <c r="B26" s="5" t="n">
        <v>295380</v>
      </c>
      <c r="C26" s="5" t="n">
        <v>441840</v>
      </c>
      <c r="D26" s="5" t="n">
        <v>-236114</v>
      </c>
      <c r="E26" s="5" t="n">
        <v>-29212</v>
      </c>
      <c r="F26" s="5" t="n">
        <v>929604</v>
      </c>
      <c r="G26" s="5" t="n">
        <v>2046601</v>
      </c>
      <c r="AK26" t="inlineStr">
        <is>
          <t>Net cash flow provided by operating activities</t>
        </is>
      </c>
      <c r="AL26" t="n">
        <v>2046601</v>
      </c>
      <c r="AM26" t="n">
        <v>929604</v>
      </c>
      <c r="AN26" t="n">
        <v>-29212</v>
      </c>
      <c r="AO26" t="n">
        <v>-236114</v>
      </c>
      <c r="AP26" t="n">
        <v>441840</v>
      </c>
      <c r="AQ26" t="n">
        <v>295380</v>
      </c>
    </row>
    <row r="27">
      <c r="A27" s="5" t="inlineStr">
        <is>
          <t>Net cash flow provided by investing activities</t>
        </is>
      </c>
      <c r="B27" s="5" t="n">
        <v>-838444</v>
      </c>
      <c r="C27" s="5" t="n">
        <v>-340002</v>
      </c>
      <c r="D27" s="5" t="n">
        <v>47639</v>
      </c>
      <c r="E27" s="5" t="n">
        <v>-1184140</v>
      </c>
      <c r="F27" s="5" t="n">
        <v>-841417</v>
      </c>
      <c r="G27" s="5" t="n">
        <v>-85177</v>
      </c>
      <c r="AK27" t="inlineStr">
        <is>
          <t>Net cash flow provided by investing activities</t>
        </is>
      </c>
      <c r="AL27" t="n">
        <v>-85177</v>
      </c>
      <c r="AM27" t="n">
        <v>-841417</v>
      </c>
      <c r="AN27" t="n">
        <v>-1184140</v>
      </c>
      <c r="AO27" t="n">
        <v>47639</v>
      </c>
      <c r="AP27" t="n">
        <v>-340002</v>
      </c>
      <c r="AQ27" t="n">
        <v>-838444</v>
      </c>
    </row>
    <row r="28">
      <c r="A28" s="5" t="inlineStr">
        <is>
          <t>Net cash flow provided by financing activities</t>
        </is>
      </c>
      <c r="B28" s="5" t="n">
        <v>-201187</v>
      </c>
      <c r="C28" s="5" t="n">
        <v>-155922</v>
      </c>
      <c r="D28" s="5" t="n">
        <v>-20740</v>
      </c>
      <c r="E28" s="5" t="n">
        <v>79642</v>
      </c>
      <c r="F28" s="5" t="n">
        <v>-81038</v>
      </c>
      <c r="G28" s="5" t="n">
        <v>-6250</v>
      </c>
      <c r="AK28" t="inlineStr">
        <is>
          <t>Net cash flow provided by financing activities</t>
        </is>
      </c>
      <c r="AL28" t="n">
        <v>-6250</v>
      </c>
      <c r="AM28" t="n">
        <v>-81038</v>
      </c>
      <c r="AN28" t="n">
        <v>79642</v>
      </c>
      <c r="AO28" t="n">
        <v>-20740</v>
      </c>
      <c r="AP28" t="n">
        <v>-155922</v>
      </c>
      <c r="AQ28" t="n">
        <v>-201187</v>
      </c>
    </row>
    <row r="29">
      <c r="A29" s="5" t="inlineStr">
        <is>
          <t>Cash and cash equivalents, end of year</t>
        </is>
      </c>
      <c r="B29" s="5" t="n">
        <v>2980035</v>
      </c>
      <c r="C29" s="5" t="n">
        <v>3473906</v>
      </c>
      <c r="D29" s="5" t="n">
        <v>3309826</v>
      </c>
      <c r="E29" s="5" t="n">
        <v>3392539</v>
      </c>
      <c r="F29" s="5" t="n">
        <v>2969677</v>
      </c>
      <c r="G29" s="5" t="n">
        <v>2962528</v>
      </c>
      <c r="AK29" t="inlineStr">
        <is>
          <t>Cash and cash equivalents, end of year</t>
        </is>
      </c>
      <c r="AL29" t="n">
        <v>2962528</v>
      </c>
      <c r="AM29" t="n">
        <v>2969677</v>
      </c>
      <c r="AN29" t="n">
        <v>3392539</v>
      </c>
      <c r="AO29" t="n">
        <v>3309826</v>
      </c>
      <c r="AP29" t="n">
        <v>3473906</v>
      </c>
      <c r="AQ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14.9%</t>
        </is>
      </c>
      <c r="C33" s="6" t="inlineStr">
        <is>
          <t>16.1%</t>
        </is>
      </c>
      <c r="D33" s="6" t="inlineStr">
        <is>
          <t>15.6%</t>
        </is>
      </c>
      <c r="E33" s="6" t="inlineStr">
        <is>
          <t>13.6%</t>
        </is>
      </c>
      <c r="F33" s="6" t="inlineStr">
        <is>
          <t>14.4%</t>
        </is>
      </c>
      <c r="G33" s="6" t="inlineStr">
        <is>
          <t>16.1%</t>
        </is>
      </c>
    </row>
    <row r="34">
      <c r="A34" s="6" t="inlineStr">
        <is>
          <t>Tier 1 Ratio</t>
        </is>
      </c>
      <c r="B34" s="6" t="inlineStr">
        <is>
          <t>19.0%</t>
        </is>
      </c>
      <c r="C34" s="6" t="inlineStr">
        <is>
          <t>20.2%</t>
        </is>
      </c>
      <c r="D34" s="6" t="inlineStr">
        <is>
          <t>19.6%</t>
        </is>
      </c>
      <c r="E34" s="6" t="inlineStr">
        <is>
          <t>18.0%</t>
        </is>
      </c>
      <c r="F34" s="6" t="inlineStr">
        <is>
          <t>16.3%</t>
        </is>
      </c>
      <c r="G34" s="6" t="inlineStr">
        <is>
          <t>18.1%</t>
        </is>
      </c>
    </row>
    <row r="35">
      <c r="A35" s="6" t="inlineStr">
        <is>
          <t>Total Capital Ratio</t>
        </is>
      </c>
      <c r="B35" s="6" t="inlineStr">
        <is>
          <t>19.0%</t>
        </is>
      </c>
      <c r="C35" s="6" t="inlineStr">
        <is>
          <t>20.2%</t>
        </is>
      </c>
      <c r="D35" s="6" t="inlineStr">
        <is>
          <t>19.6%</t>
        </is>
      </c>
      <c r="E35" s="6" t="inlineStr">
        <is>
          <t>18.0%</t>
        </is>
      </c>
      <c r="F35" s="6" t="inlineStr">
        <is>
          <t>18.8%</t>
        </is>
      </c>
      <c r="G35" s="6" t="inlineStr">
        <is>
          <t>20.7%</t>
        </is>
      </c>
    </row>
    <row r="36">
      <c r="A36" s="6" t="inlineStr">
        <is>
          <t>Leverage Ratio (BASIS BREAK at FY2021/FY2022 - see note; not a like-for-like series)</t>
        </is>
      </c>
      <c r="B36" s="6" t="inlineStr">
        <is>
          <t>6.4%</t>
        </is>
      </c>
      <c r="C36" s="6" t="inlineStr">
        <is>
          <t>7.2%</t>
        </is>
      </c>
      <c r="D36" s="6" t="inlineStr">
        <is>
          <t>7.4%</t>
        </is>
      </c>
      <c r="E36" s="6" t="inlineStr">
        <is>
          <t>6.7%</t>
        </is>
      </c>
      <c r="F36" s="6" t="inlineStr">
        <is>
          <t>4.2%</t>
        </is>
      </c>
      <c r="G36" s="6" t="inlineStr">
        <is>
          <t>5.2%</t>
        </is>
      </c>
    </row>
    <row r="38" ht="45" customHeight="1">
      <c r="A38" s="7" t="inlineStr">
        <is>
          <t>Note: All figures are duplicated from the detail sheets for trend viewing. See each detail sheet for the exact annual-report source citation.
LEVERAGE RATIO - DO NOT READ THE 4.2% -&gt; 6.7% STEP AS DELEVERAGING. This sheet is a copy and its chart would otherwise draw a false trend. From 1 January 2022 the PRA's UK Leverage Ratio Framework (PS21/21) removed central bank reserves, and the Bank's government-guaranteed Bounce Back Loans, from the leverage exposure measure. The Bank's own FY2022 Annual Report (p.52) attributes the entire increase to that: 'the leverage exposure measure excludes central bank reserves and the government guaranteed lending through Bounce Bank [sic] Loans (BBLs). This has resulted in an increase in the leverage ratio to 6.7% at 31 December 2022 (2021: 4.2%).' FY2020-FY2021 are on the old (including) basis and FY2022-FY2025 on the new (excluding) one; the Bank published neither basis for the other years, so no comparable six-year series exists. The Leverage Ratio sheet splits the two bases onto separate rows.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Balance Sheet</t>
        </is>
      </c>
    </row>
    <row r="2">
      <c r="A2" s="2" t="inlineStr">
        <is>
          <t>Entity-level. £'000. Trading name: Danske Bank. FY2020 and FY2021 both carry a 'Deferred tax liabilities' line (34,194 and 13,900 respectively)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t>
        </is>
      </c>
      <c r="B5" s="6" t="n">
        <v>2975799</v>
      </c>
      <c r="C5" s="6" t="n">
        <v>3468175</v>
      </c>
      <c r="D5" s="6" t="n">
        <v>3299543</v>
      </c>
      <c r="E5" s="6" t="n">
        <v>3350828</v>
      </c>
      <c r="F5" s="6" t="n">
        <v>4388161</v>
      </c>
      <c r="G5" s="6" t="n">
        <v>4225153</v>
      </c>
    </row>
    <row r="6">
      <c r="A6" s="6" t="inlineStr">
        <is>
          <t>Items in the course of collection from other banks</t>
        </is>
      </c>
      <c r="B6" s="6" t="n">
        <v>23389</v>
      </c>
      <c r="C6" s="6" t="n">
        <v>25069</v>
      </c>
      <c r="D6" s="6" t="n">
        <v>41191</v>
      </c>
      <c r="E6" s="6" t="n">
        <v>32139</v>
      </c>
      <c r="F6" s="6" t="n">
        <v>21839</v>
      </c>
      <c r="G6" s="6" t="n">
        <v>20190</v>
      </c>
    </row>
    <row r="7">
      <c r="A7" s="6" t="inlineStr">
        <is>
          <t>Due from other banks</t>
        </is>
      </c>
      <c r="B7" s="6" t="n">
        <v>4236</v>
      </c>
      <c r="C7" s="6" t="n">
        <v>5731</v>
      </c>
      <c r="D7" s="6" t="n">
        <v>10283</v>
      </c>
      <c r="E7" s="6" t="n">
        <v>41711</v>
      </c>
      <c r="F7" s="6" t="n">
        <v>48023</v>
      </c>
      <c r="G7" s="6" t="n">
        <v>50639</v>
      </c>
    </row>
    <row r="8">
      <c r="A8" s="6" t="inlineStr">
        <is>
          <t>Derivative financial instruments</t>
        </is>
      </c>
      <c r="B8" s="6" t="n">
        <v>77518</v>
      </c>
      <c r="C8" s="6" t="n">
        <v>76537</v>
      </c>
      <c r="D8" s="6" t="n">
        <v>75457</v>
      </c>
      <c r="E8" s="6" t="n">
        <v>89324</v>
      </c>
      <c r="F8" s="6" t="n">
        <v>8586</v>
      </c>
      <c r="G8" s="6" t="n">
        <v>17284</v>
      </c>
    </row>
    <row r="9">
      <c r="A9" s="6" t="inlineStr">
        <is>
          <t>Total investment securities</t>
        </is>
      </c>
      <c r="B9" s="6" t="n">
        <v>4637481</v>
      </c>
      <c r="C9" s="6" t="n">
        <v>3724852</v>
      </c>
      <c r="D9" s="6" t="n">
        <v>3367408</v>
      </c>
      <c r="E9" s="6" t="n">
        <v>3369156</v>
      </c>
      <c r="F9" s="6" t="n">
        <v>2226346</v>
      </c>
      <c r="G9" s="6" t="n">
        <v>1409536</v>
      </c>
    </row>
    <row r="10">
      <c r="A10" s="6" t="inlineStr">
        <is>
          <t>Investment securities - Hold to collect (amortised cost)</t>
        </is>
      </c>
      <c r="B10" s="6" t="n">
        <v>3130670</v>
      </c>
      <c r="C10" s="6" t="n">
        <v>2951816</v>
      </c>
      <c r="D10" s="6" t="n">
        <v>2403390</v>
      </c>
      <c r="E10" s="6" t="n">
        <v>2294601</v>
      </c>
      <c r="F10" s="6" t="n">
        <v>1318484</v>
      </c>
      <c r="G10" s="6" t="n">
        <v>531555</v>
      </c>
    </row>
    <row r="11">
      <c r="A11" s="6" t="inlineStr">
        <is>
          <t>Investment securities - Hold to collect and sell (FVOCI)</t>
        </is>
      </c>
      <c r="B11" s="6" t="n">
        <v>1506811</v>
      </c>
      <c r="C11" s="6" t="n">
        <v>773036</v>
      </c>
      <c r="D11" s="6" t="n">
        <v>964018</v>
      </c>
      <c r="E11" s="6" t="n">
        <v>1074555</v>
      </c>
      <c r="F11" s="6" t="n">
        <v>907862</v>
      </c>
      <c r="G11" s="6" t="n">
        <v>877981</v>
      </c>
    </row>
    <row r="12">
      <c r="A12" s="6" t="inlineStr">
        <is>
          <t>Loans and advances to customers</t>
        </is>
      </c>
      <c r="B12" s="6" t="n">
        <v>8054390</v>
      </c>
      <c r="C12" s="6" t="n">
        <v>7030843</v>
      </c>
      <c r="D12" s="6" t="n">
        <v>6739732</v>
      </c>
      <c r="E12" s="6" t="n">
        <v>6334707</v>
      </c>
      <c r="F12" s="6" t="n">
        <v>6206664</v>
      </c>
      <c r="G12" s="6" t="n">
        <v>6229841</v>
      </c>
    </row>
    <row r="13">
      <c r="A13" s="6" t="inlineStr">
        <is>
          <t>Investment in subsidiaries</t>
        </is>
      </c>
      <c r="B13" s="6" t="n">
        <v>250</v>
      </c>
      <c r="C13" s="6" t="n">
        <v>250</v>
      </c>
      <c r="D13" s="6" t="n">
        <v>250</v>
      </c>
      <c r="E13" s="6" t="n">
        <v>250</v>
      </c>
      <c r="F13" s="6" t="n">
        <v>250</v>
      </c>
      <c r="G13" s="6" t="n">
        <v>250</v>
      </c>
    </row>
    <row r="14">
      <c r="A14" s="6" t="inlineStr">
        <is>
          <t>Intangible assets</t>
        </is>
      </c>
      <c r="B14" s="6" t="n">
        <v>2466</v>
      </c>
      <c r="C14" s="6" t="n">
        <v>1859</v>
      </c>
      <c r="D14" s="6" t="n">
        <v>1608</v>
      </c>
      <c r="E14" s="6" t="n">
        <v>522</v>
      </c>
      <c r="F14" s="6" t="n">
        <v>34</v>
      </c>
      <c r="G14" s="6" t="n">
        <v>157</v>
      </c>
    </row>
    <row r="15">
      <c r="A15" s="6" t="inlineStr">
        <is>
          <t>Property, plant and equipment</t>
        </is>
      </c>
      <c r="B15" s="6" t="n">
        <v>32177</v>
      </c>
      <c r="C15" s="6" t="n">
        <v>35153</v>
      </c>
      <c r="D15" s="6" t="n">
        <v>36823</v>
      </c>
      <c r="E15" s="6" t="n">
        <v>38822</v>
      </c>
      <c r="F15" s="6" t="n">
        <v>40272</v>
      </c>
      <c r="G15" s="6" t="n">
        <v>41818</v>
      </c>
    </row>
    <row r="16">
      <c r="A16" s="6" t="inlineStr">
        <is>
          <t>Right-of-use assets</t>
        </is>
      </c>
      <c r="B16" s="6" t="n">
        <v>4067</v>
      </c>
      <c r="C16" s="6" t="n">
        <v>3782</v>
      </c>
      <c r="D16" s="6" t="n">
        <v>4783</v>
      </c>
      <c r="E16" s="6" t="n">
        <v>4618</v>
      </c>
      <c r="F16" s="6" t="n">
        <v>4253</v>
      </c>
      <c r="G16" s="6" t="n">
        <v>5568</v>
      </c>
    </row>
    <row r="17">
      <c r="A17" s="6" t="inlineStr">
        <is>
          <t>Assets held for sale</t>
        </is>
      </c>
      <c r="B17" s="6" t="n"/>
      <c r="C17" s="6" t="n">
        <v>376</v>
      </c>
      <c r="D17" s="6" t="n">
        <v>588</v>
      </c>
      <c r="E17" s="6" t="n">
        <v>707</v>
      </c>
      <c r="F17" s="6" t="n">
        <v>1399</v>
      </c>
      <c r="G17" s="6" t="n">
        <v>360</v>
      </c>
    </row>
    <row r="18">
      <c r="A18" s="6" t="inlineStr">
        <is>
          <t>Defined benefit pension asset</t>
        </is>
      </c>
      <c r="B18" s="6" t="n">
        <v>7025</v>
      </c>
      <c r="C18" s="6" t="n">
        <v>2822</v>
      </c>
      <c r="D18" s="6" t="n">
        <v>4804</v>
      </c>
      <c r="E18" s="6" t="n">
        <v>78009</v>
      </c>
      <c r="F18" s="6" t="n">
        <v>154208</v>
      </c>
      <c r="G18" s="6" t="n">
        <v>219679</v>
      </c>
    </row>
    <row r="19">
      <c r="A19" s="6" t="inlineStr">
        <is>
          <t>Current tax asset</t>
        </is>
      </c>
      <c r="B19" s="6" t="n">
        <v>9724</v>
      </c>
      <c r="C19" s="6" t="n">
        <v>5678</v>
      </c>
      <c r="D19" s="6" t="n">
        <v>1314</v>
      </c>
      <c r="E19" s="6" t="n">
        <v>6785</v>
      </c>
      <c r="F19" s="6" t="n">
        <v>1092</v>
      </c>
      <c r="G19" s="6" t="n">
        <v>3008</v>
      </c>
    </row>
    <row r="20">
      <c r="A20" s="6" t="inlineStr">
        <is>
          <t>Deferred tax asset</t>
        </is>
      </c>
      <c r="B20" s="6" t="n">
        <v>22394</v>
      </c>
      <c r="C20" s="6" t="n">
        <v>39348</v>
      </c>
      <c r="D20" s="6" t="n">
        <v>55404</v>
      </c>
      <c r="E20" s="6" t="n">
        <v>36533</v>
      </c>
      <c r="F20" s="6" t="n"/>
      <c r="G20" s="6" t="n"/>
    </row>
    <row r="21">
      <c r="A21" s="6" t="inlineStr">
        <is>
          <t>Other assets</t>
        </is>
      </c>
      <c r="B21" s="6" t="n">
        <v>61038</v>
      </c>
      <c r="C21" s="6" t="n">
        <v>53916</v>
      </c>
      <c r="D21" s="6" t="n">
        <v>58179</v>
      </c>
      <c r="E21" s="6" t="n">
        <v>36280</v>
      </c>
      <c r="F21" s="6" t="n">
        <v>24046</v>
      </c>
      <c r="G21" s="6" t="n">
        <v>26706</v>
      </c>
    </row>
    <row r="22">
      <c r="A22" s="5" t="inlineStr">
        <is>
          <t>Total assets</t>
        </is>
      </c>
      <c r="B22" s="5" t="n">
        <v>15911954</v>
      </c>
      <c r="C22" s="5" t="n">
        <v>14474391</v>
      </c>
      <c r="D22" s="5" t="n">
        <v>13697367</v>
      </c>
      <c r="E22" s="5" t="n">
        <v>13420391</v>
      </c>
      <c r="F22" s="5" t="n">
        <v>13125173</v>
      </c>
      <c r="G22" s="5" t="n">
        <v>12250189</v>
      </c>
    </row>
    <row r="23">
      <c r="A23" s="5" t="inlineStr">
        <is>
          <t>Liabilities</t>
        </is>
      </c>
      <c r="B23" s="6" t="n"/>
      <c r="C23" s="6" t="n"/>
      <c r="D23" s="6" t="n"/>
      <c r="E23" s="6" t="n"/>
      <c r="F23" s="6" t="n"/>
      <c r="G23" s="6" t="n"/>
    </row>
    <row r="24">
      <c r="A24" s="6" t="inlineStr">
        <is>
          <t>Due to other banks</t>
        </is>
      </c>
      <c r="B24" s="6" t="n">
        <v>329724</v>
      </c>
      <c r="C24" s="6" t="n">
        <v>414631</v>
      </c>
      <c r="D24" s="6" t="n">
        <v>431125</v>
      </c>
      <c r="E24" s="6" t="n">
        <v>404807</v>
      </c>
      <c r="F24" s="6" t="n">
        <v>366611</v>
      </c>
      <c r="G24" s="6" t="n">
        <v>373032</v>
      </c>
    </row>
    <row r="25">
      <c r="A25" s="6" t="inlineStr">
        <is>
          <t>Items in course of transmission to other banks</t>
        </is>
      </c>
      <c r="B25" s="6" t="n">
        <v>18661</v>
      </c>
      <c r="C25" s="6" t="n">
        <v>14231</v>
      </c>
      <c r="D25" s="6" t="n">
        <v>44130</v>
      </c>
      <c r="E25" s="6" t="n">
        <v>26068</v>
      </c>
      <c r="F25" s="6" t="n">
        <v>15267</v>
      </c>
      <c r="G25" s="6" t="n">
        <v>12147</v>
      </c>
    </row>
    <row r="26">
      <c r="A26" s="6" t="inlineStr">
        <is>
          <t>Derivative financial instruments</t>
        </is>
      </c>
      <c r="B26" s="6" t="n">
        <v>27178</v>
      </c>
      <c r="C26" s="6" t="n">
        <v>46074</v>
      </c>
      <c r="D26" s="6" t="n">
        <v>48519</v>
      </c>
      <c r="E26" s="6" t="n">
        <v>82808</v>
      </c>
      <c r="F26" s="6" t="n">
        <v>22487</v>
      </c>
      <c r="G26" s="6" t="n">
        <v>28199</v>
      </c>
    </row>
    <row r="27">
      <c r="A27" s="6" t="inlineStr">
        <is>
          <t>Deposits from customers</t>
        </is>
      </c>
      <c r="B27" s="6" t="n">
        <v>13440624</v>
      </c>
      <c r="C27" s="6" t="n">
        <v>12053498</v>
      </c>
      <c r="D27" s="6" t="n">
        <v>11333715</v>
      </c>
      <c r="E27" s="6" t="n">
        <v>11229589</v>
      </c>
      <c r="F27" s="6" t="n">
        <v>11161358</v>
      </c>
      <c r="G27" s="6" t="n">
        <v>10228137</v>
      </c>
    </row>
    <row r="28">
      <c r="A28" s="6" t="inlineStr">
        <is>
          <t>Notes in circulation</t>
        </is>
      </c>
      <c r="B28" s="6" t="n">
        <v>938572</v>
      </c>
      <c r="C28" s="6" t="n">
        <v>784961</v>
      </c>
      <c r="D28" s="6" t="n">
        <v>711125</v>
      </c>
      <c r="E28" s="6" t="n">
        <v>664728</v>
      </c>
      <c r="F28" s="6" t="n">
        <v>634036</v>
      </c>
      <c r="G28" s="6" t="n">
        <v>557942</v>
      </c>
    </row>
    <row r="29">
      <c r="A29" s="6" t="inlineStr">
        <is>
          <t>Deferred tax liabilities</t>
        </is>
      </c>
      <c r="B29" s="6" t="n"/>
      <c r="C29" s="6" t="n"/>
      <c r="D29" s="6" t="n"/>
      <c r="E29" s="6" t="n"/>
      <c r="F29" s="6" t="n">
        <v>13900</v>
      </c>
      <c r="G29" s="6" t="n">
        <v>34194</v>
      </c>
    </row>
    <row r="30">
      <c r="A30" s="6" t="inlineStr">
        <is>
          <t>Other liabilities</t>
        </is>
      </c>
      <c r="B30" s="6" t="n">
        <v>86459</v>
      </c>
      <c r="C30" s="6" t="n">
        <v>85430</v>
      </c>
      <c r="D30" s="6" t="n">
        <v>68156</v>
      </c>
      <c r="E30" s="6" t="n">
        <v>43049</v>
      </c>
      <c r="F30" s="6" t="n">
        <v>33558</v>
      </c>
      <c r="G30" s="6" t="n">
        <v>36317</v>
      </c>
    </row>
    <row r="31">
      <c r="A31" s="6" t="inlineStr">
        <is>
          <t>Provisions</t>
        </is>
      </c>
      <c r="B31" s="6" t="n">
        <v>1876</v>
      </c>
      <c r="C31" s="6" t="n">
        <v>1571</v>
      </c>
      <c r="D31" s="6" t="n">
        <v>1256</v>
      </c>
      <c r="E31" s="6" t="n">
        <v>2150</v>
      </c>
      <c r="F31" s="6" t="n">
        <v>2757</v>
      </c>
      <c r="G31" s="6" t="n">
        <v>3354</v>
      </c>
    </row>
    <row r="32">
      <c r="A32" s="6" t="inlineStr">
        <is>
          <t>Subordinated debt instruments / Non-preferred senior securities issued</t>
        </is>
      </c>
      <c r="B32" s="6" t="n">
        <v>100000</v>
      </c>
      <c r="C32" s="6" t="n">
        <v>130000</v>
      </c>
      <c r="D32" s="6" t="n">
        <v>130000</v>
      </c>
      <c r="E32" s="6" t="n">
        <v>130000</v>
      </c>
      <c r="F32" s="6" t="n">
        <v>126000</v>
      </c>
      <c r="G32" s="6" t="n">
        <v>126000</v>
      </c>
    </row>
    <row r="33">
      <c r="A33" s="5" t="inlineStr">
        <is>
          <t>Total liabilities</t>
        </is>
      </c>
      <c r="B33" s="5" t="n">
        <v>14943094</v>
      </c>
      <c r="C33" s="5" t="n">
        <v>13530396</v>
      </c>
      <c r="D33" s="5" t="n">
        <v>12768026</v>
      </c>
      <c r="E33" s="5" t="n">
        <v>12583199</v>
      </c>
      <c r="F33" s="5" t="n">
        <v>12375974</v>
      </c>
      <c r="G33" s="5" t="n">
        <v>11399322</v>
      </c>
    </row>
    <row r="34">
      <c r="A34" s="5" t="inlineStr">
        <is>
          <t>Equity</t>
        </is>
      </c>
      <c r="B34" s="6" t="n"/>
      <c r="C34" s="6" t="n"/>
      <c r="D34" s="6" t="n"/>
      <c r="E34" s="6" t="n"/>
      <c r="F34" s="6" t="n"/>
      <c r="G34" s="6" t="n"/>
    </row>
    <row r="35">
      <c r="A35" s="6" t="inlineStr">
        <is>
          <t>Share capital</t>
        </is>
      </c>
      <c r="B35" s="6" t="n">
        <v>218170</v>
      </c>
      <c r="C35" s="6" t="n">
        <v>218170</v>
      </c>
      <c r="D35" s="6" t="n">
        <v>218170</v>
      </c>
      <c r="E35" s="6" t="n">
        <v>218170</v>
      </c>
      <c r="F35" s="6" t="n">
        <v>218170</v>
      </c>
      <c r="G35" s="6" t="n">
        <v>218170</v>
      </c>
    </row>
    <row r="36">
      <c r="A36" s="6" t="inlineStr">
        <is>
          <t>Other equity instruments (AT1)</t>
        </is>
      </c>
      <c r="B36" s="6" t="n">
        <v>226190</v>
      </c>
      <c r="C36" s="6" t="n">
        <v>226526</v>
      </c>
      <c r="D36" s="6" t="n">
        <v>226895</v>
      </c>
      <c r="E36" s="6" t="n">
        <v>225953</v>
      </c>
      <c r="F36" s="6" t="n">
        <v>96974</v>
      </c>
      <c r="G36" s="6" t="n">
        <v>96958</v>
      </c>
    </row>
    <row r="37">
      <c r="A37" s="6" t="inlineStr">
        <is>
          <t>Share premium account</t>
        </is>
      </c>
      <c r="B37" s="6" t="n">
        <v>306590</v>
      </c>
      <c r="C37" s="6" t="n">
        <v>306590</v>
      </c>
      <c r="D37" s="6" t="n">
        <v>306590</v>
      </c>
      <c r="E37" s="6" t="n">
        <v>306590</v>
      </c>
      <c r="F37" s="6" t="n">
        <v>306590</v>
      </c>
      <c r="G37" s="6" t="n">
        <v>306590</v>
      </c>
    </row>
    <row r="38">
      <c r="A38" s="6" t="inlineStr">
        <is>
          <t>Revaluation reserve</t>
        </is>
      </c>
      <c r="B38" s="6" t="n">
        <v>28706</v>
      </c>
      <c r="C38" s="6" t="n">
        <v>30697</v>
      </c>
      <c r="D38" s="6" t="n">
        <v>32506</v>
      </c>
      <c r="E38" s="6" t="n">
        <v>33418</v>
      </c>
      <c r="F38" s="6" t="n">
        <v>33892</v>
      </c>
      <c r="G38" s="6" t="n">
        <v>34965</v>
      </c>
    </row>
    <row r="39">
      <c r="A39" s="6" t="inlineStr">
        <is>
          <t>Reserve for investment securities at fair value</t>
        </is>
      </c>
      <c r="B39" s="6" t="n">
        <v>3104</v>
      </c>
      <c r="C39" s="6" t="n">
        <v>948</v>
      </c>
      <c r="D39" s="6" t="n">
        <v>-2970</v>
      </c>
      <c r="E39" s="6" t="n">
        <v>-29070</v>
      </c>
      <c r="F39" s="6" t="n">
        <v>-2446</v>
      </c>
      <c r="G39" s="6" t="n">
        <v>7190</v>
      </c>
    </row>
    <row r="40">
      <c r="A40" s="6" t="inlineStr">
        <is>
          <t>Cash flow hedge reserve</t>
        </is>
      </c>
      <c r="B40" s="6" t="n">
        <v>733</v>
      </c>
      <c r="C40" s="6" t="n">
        <v>-173</v>
      </c>
      <c r="D40" s="6" t="n">
        <v>-1676</v>
      </c>
      <c r="E40" s="6" t="n">
        <v>-8449</v>
      </c>
      <c r="F40" s="6" t="n">
        <v>-2115</v>
      </c>
      <c r="G40" s="6" t="n">
        <v>4712</v>
      </c>
    </row>
    <row r="41">
      <c r="A41" s="6" t="inlineStr">
        <is>
          <t>Retained earnings</t>
        </is>
      </c>
      <c r="B41" s="6" t="n">
        <v>185367</v>
      </c>
      <c r="C41" s="6" t="n">
        <v>161237</v>
      </c>
      <c r="D41" s="6" t="n">
        <v>149826</v>
      </c>
      <c r="E41" s="6" t="n">
        <v>90580</v>
      </c>
      <c r="F41" s="6" t="n">
        <v>98134</v>
      </c>
      <c r="G41" s="6" t="n">
        <v>182282</v>
      </c>
    </row>
    <row r="42">
      <c r="A42" s="5" t="inlineStr">
        <is>
          <t>Total equity and shareholders' equity</t>
        </is>
      </c>
      <c r="B42" s="5" t="n">
        <v>968860</v>
      </c>
      <c r="C42" s="5" t="n">
        <v>943995</v>
      </c>
      <c r="D42" s="5" t="n">
        <v>929341</v>
      </c>
      <c r="E42" s="5" t="n">
        <v>837192</v>
      </c>
      <c r="F42" s="5" t="n">
        <v>749199</v>
      </c>
      <c r="G42" s="5" t="n">
        <v>850867</v>
      </c>
    </row>
    <row r="43">
      <c r="A43" s="5" t="inlineStr">
        <is>
          <t>Total liabilities and equity</t>
        </is>
      </c>
      <c r="B43" s="5" t="n">
        <v>15911954</v>
      </c>
      <c r="C43" s="5" t="n">
        <v>14474391</v>
      </c>
      <c r="D43" s="5" t="n">
        <v>13697367</v>
      </c>
      <c r="E43" s="5" t="n">
        <v>13420391</v>
      </c>
      <c r="F43" s="5" t="n">
        <v>13125173</v>
      </c>
      <c r="G43" s="5" t="n">
        <v>12250189</v>
      </c>
    </row>
    <row r="45" ht="340" customHeight="1">
      <c r="A45"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INVESTMENT SECURITIES BREAKDOWN: the 'Investment securities - ...' sub-rows below the headline 'Total investment securities' line are transcribed from each year's own Note 15 'Investment securities' (Note 13 in the FY2020-FY2022 reports, renumbered to Note 15 from FY2023 onward), which splits the balance solely by IFRS 9 measurement basis/business model - Note 15(a) 'Hold to collect' (securities measured at amortised cost) and Note 15(b) 'Hold to collect and sell' (securities measured FVOCI). Each note states the underlying bonds are 'primarily UK government securities and highly rated covered, sovereign, supra-national and agency bonds' but does NOT itemise the balance numerically by issuer type - only the measurement-basis split is disclosed as figures, so no issuer-type sub-rows are shown here.
FY2025: Note 15(a)/15(b), p.108 - https://danskebank.co.uk/-/media/danske-bank/uk/about-us/corporate-governance/annual-reports/northern-bank-annual-report-accounts-2025.pdf?hash=FAA2D970352C7AB5893C6D09B997681A&amp;rev=a79a533060b745c682e1796ed929cab5
FY2024: Note 15(a)/15(b), p.153 - https://danskebank.co.uk/-/media/danske-bank/uk/about-us/corporate-governance/annual-reports/northern-bank-annual-report-og-accounts-2024.pdf?hash=C989E05EAE7993B66B70ADF26AB11BF7&amp;rev=1a1acede77ae425a8222ac3395302b9d
FY2023: Note 15(a)/15(b), p.153 - https://danskebank.co.uk/-/media/danske-bank/uk/about-us/corporate-governance/annual-reports/northern-bank-annual-report-og-accounts-2023.pdf?hash=7CEA5F947D848F4BD9C1E97211AFF9CE&amp;rev=4202add3decb471fbed08666ff6e307b
FY2022: Note 13(a)/13(b), p.140 - https://danskebank.co.uk/-/media/danske-bank/uk/about-us/corporate-governance/annual-reports/northern-bank-annual-report-og-accounts-2022.pdf?rev=9aa72868afb1433d9e9df8f0959d630f
FY2021: Note 13(a)/13(b), p.124 - https://danskebank.co.uk/-/media/danske-bank/uk/about-us/corporate-governance/annual-reports/northern-bank---annual-report-og-accounts-2021.pdf?rev=6bfedd29bb0d488ea30ffce998073674
FY2020: Note 13(a)/13(b), p.91 - https://danskebank.co.uk/-/media/danske-bank/uk/about-us/corporate-governance/annual-reports/northern-bank---annual-report-og-accounts-2020.pdf
Each year's two sub-rows sum exactly to that year's own headline 'Total investment securities' line (verified for all 6 years, including cross-checks against each report's own prior-year comparative column).</t>
        </is>
      </c>
    </row>
  </sheetData>
  <mergeCells count="1">
    <mergeCell ref="A45:G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 (FY2020's own OCI note prints a -8,451 combined tax figure and a 21,796 total OCI figure; the FY2020 Statement of Changes in Equity's own tax row instead nets to -8,450/21,797 - a 1-unit rounding artifact already present in the Bank's own FY2020 report,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624405</v>
      </c>
      <c r="C5" s="6" t="n">
        <v>573484</v>
      </c>
      <c r="D5" s="6" t="n">
        <v>456611</v>
      </c>
      <c r="E5" s="6" t="n">
        <v>242626</v>
      </c>
      <c r="F5" s="6" t="n">
        <v>160651</v>
      </c>
      <c r="G5" s="6" t="n">
        <v>175408</v>
      </c>
    </row>
    <row r="6">
      <c r="A6" s="6" t="inlineStr">
        <is>
          <t>Interest expense</t>
        </is>
      </c>
      <c r="B6" s="6" t="n">
        <v>-238907</v>
      </c>
      <c r="C6" s="6" t="n">
        <v>-230921</v>
      </c>
      <c r="D6" s="6" t="n">
        <v>-159585</v>
      </c>
      <c r="E6" s="6" t="n">
        <v>-23809</v>
      </c>
      <c r="F6" s="6" t="n">
        <v>-5895</v>
      </c>
      <c r="G6" s="6" t="n">
        <v>-13487</v>
      </c>
    </row>
    <row r="7">
      <c r="A7" s="5" t="inlineStr">
        <is>
          <t>Net interest income</t>
        </is>
      </c>
      <c r="B7" s="5" t="n">
        <v>385498</v>
      </c>
      <c r="C7" s="5" t="n">
        <v>342563</v>
      </c>
      <c r="D7" s="5" t="n">
        <v>297026</v>
      </c>
      <c r="E7" s="5" t="n">
        <v>218817</v>
      </c>
      <c r="F7" s="5" t="n">
        <v>154756</v>
      </c>
      <c r="G7" s="5" t="n">
        <v>161921</v>
      </c>
    </row>
    <row r="8">
      <c r="A8" s="6" t="inlineStr">
        <is>
          <t>Fee and commission income</t>
        </is>
      </c>
      <c r="B8" s="6" t="n">
        <v>44535</v>
      </c>
      <c r="C8" s="6" t="n">
        <v>46179</v>
      </c>
      <c r="D8" s="6" t="n">
        <v>46020</v>
      </c>
      <c r="E8" s="6" t="n">
        <v>46232</v>
      </c>
      <c r="F8" s="6" t="n">
        <v>40835</v>
      </c>
      <c r="G8" s="6" t="n">
        <v>38701</v>
      </c>
    </row>
    <row r="9">
      <c r="A9" s="6" t="inlineStr">
        <is>
          <t>Fee and commission expense</t>
        </is>
      </c>
      <c r="B9" s="6" t="n">
        <v>-8095</v>
      </c>
      <c r="C9" s="6" t="n">
        <v>-8808</v>
      </c>
      <c r="D9" s="6" t="n">
        <v>-7532</v>
      </c>
      <c r="E9" s="6" t="n">
        <v>-5684</v>
      </c>
      <c r="F9" s="6" t="n">
        <v>-5841</v>
      </c>
      <c r="G9" s="6" t="n">
        <v>-5306</v>
      </c>
    </row>
    <row r="10">
      <c r="A10" s="6" t="inlineStr">
        <is>
          <t>Net trading income</t>
        </is>
      </c>
      <c r="B10" s="6" t="n">
        <v>10887</v>
      </c>
      <c r="C10" s="6" t="n">
        <v>7059</v>
      </c>
      <c r="D10" s="6" t="n">
        <v>-3805</v>
      </c>
      <c r="E10" s="6" t="n">
        <v>11706</v>
      </c>
      <c r="F10" s="6" t="n">
        <v>8962</v>
      </c>
      <c r="G10" s="6" t="n">
        <v>7850</v>
      </c>
    </row>
    <row r="11">
      <c r="A11" s="6" t="inlineStr">
        <is>
          <t>Other operating income</t>
        </is>
      </c>
      <c r="B11" s="6" t="n">
        <v>1467</v>
      </c>
      <c r="C11" s="6" t="n">
        <v>1391</v>
      </c>
      <c r="D11" s="6" t="n">
        <v>1812</v>
      </c>
      <c r="E11" s="6" t="n">
        <v>2434</v>
      </c>
      <c r="F11" s="6" t="n">
        <v>1335</v>
      </c>
      <c r="G11" s="6" t="n">
        <v>1953</v>
      </c>
    </row>
    <row r="12">
      <c r="A12" s="5" t="inlineStr">
        <is>
          <t>Non-interest income</t>
        </is>
      </c>
      <c r="B12" s="5" t="n">
        <v>48794</v>
      </c>
      <c r="C12" s="5" t="n">
        <v>45821</v>
      </c>
      <c r="D12" s="5" t="n">
        <v>36495</v>
      </c>
      <c r="E12" s="5" t="n">
        <v>54688</v>
      </c>
      <c r="F12" s="5" t="n">
        <v>45291</v>
      </c>
      <c r="G12" s="5" t="n">
        <v>43198</v>
      </c>
    </row>
    <row r="13">
      <c r="A13" s="5" t="inlineStr">
        <is>
          <t>Operating income</t>
        </is>
      </c>
      <c r="B13" s="5" t="n">
        <v>434292</v>
      </c>
      <c r="C13" s="5" t="n">
        <v>388384</v>
      </c>
      <c r="D13" s="5" t="n">
        <v>333521</v>
      </c>
      <c r="E13" s="5" t="n">
        <v>273505</v>
      </c>
      <c r="F13" s="5" t="n">
        <v>200047</v>
      </c>
      <c r="G13" s="5" t="n">
        <v>205119</v>
      </c>
    </row>
    <row r="14">
      <c r="A14" s="6" t="inlineStr">
        <is>
          <t>Operating expenses</t>
        </is>
      </c>
      <c r="B14" s="6" t="n">
        <v>-177643</v>
      </c>
      <c r="C14" s="6" t="n">
        <v>-175365</v>
      </c>
      <c r="D14" s="6" t="n">
        <v>-157020</v>
      </c>
      <c r="E14" s="6" t="n">
        <v>-146981</v>
      </c>
      <c r="F14" s="6" t="n">
        <v>-150005</v>
      </c>
      <c r="G14" s="6" t="n">
        <v>-142240</v>
      </c>
    </row>
    <row r="15">
      <c r="A15" s="6" t="inlineStr">
        <is>
          <t>Depreciation and amortisation expense</t>
        </is>
      </c>
      <c r="B15" s="6" t="n">
        <v>-6004</v>
      </c>
      <c r="C15" s="6" t="n">
        <v>-4442</v>
      </c>
      <c r="D15" s="6" t="n">
        <v>-3646</v>
      </c>
      <c r="E15" s="6" t="n">
        <v>-3364</v>
      </c>
      <c r="F15" s="6" t="n">
        <v>-3433</v>
      </c>
      <c r="G15" s="6" t="n">
        <v>-4376</v>
      </c>
    </row>
    <row r="16">
      <c r="A16" s="5" t="inlineStr">
        <is>
          <t>Profit before loan impairment (charge)/credit</t>
        </is>
      </c>
      <c r="B16" s="5" t="n">
        <v>250645</v>
      </c>
      <c r="C16" s="5" t="n">
        <v>208577</v>
      </c>
      <c r="D16" s="5" t="n">
        <v>172855</v>
      </c>
      <c r="E16" s="5" t="n">
        <v>123160</v>
      </c>
      <c r="F16" s="5" t="n">
        <v>46609</v>
      </c>
      <c r="G16" s="5" t="n">
        <v>58503</v>
      </c>
    </row>
    <row r="17">
      <c r="A17" s="6" t="inlineStr">
        <is>
          <t>Loan impairment (charge)/credit</t>
        </is>
      </c>
      <c r="B17" s="6" t="n">
        <v>-267</v>
      </c>
      <c r="C17" s="6" t="n">
        <v>9587</v>
      </c>
      <c r="D17" s="6" t="n">
        <v>13105</v>
      </c>
      <c r="E17" s="6" t="n">
        <v>-19859</v>
      </c>
      <c r="F17" s="6" t="n">
        <v>14660</v>
      </c>
      <c r="G17" s="6" t="n">
        <v>-45426</v>
      </c>
    </row>
    <row r="18">
      <c r="A18" s="5" t="inlineStr">
        <is>
          <t>Profit before tax</t>
        </is>
      </c>
      <c r="B18" s="5" t="n">
        <v>250378</v>
      </c>
      <c r="C18" s="5" t="n">
        <v>218164</v>
      </c>
      <c r="D18" s="5" t="n">
        <v>185960</v>
      </c>
      <c r="E18" s="5" t="n">
        <v>103301</v>
      </c>
      <c r="F18" s="5" t="n">
        <v>61269</v>
      </c>
      <c r="G18" s="5" t="n">
        <v>13077</v>
      </c>
    </row>
    <row r="19">
      <c r="A19" s="6" t="inlineStr">
        <is>
          <t>Tax (charge)/credit</t>
        </is>
      </c>
      <c r="B19" s="6" t="n">
        <v>-61147</v>
      </c>
      <c r="C19" s="6" t="n">
        <v>-52669</v>
      </c>
      <c r="D19" s="6" t="n">
        <v>-29241</v>
      </c>
      <c r="E19" s="6" t="n">
        <v>109</v>
      </c>
      <c r="F19" s="6" t="n">
        <v>-19735</v>
      </c>
      <c r="G19" s="6" t="n">
        <v>-5525</v>
      </c>
    </row>
    <row r="20">
      <c r="A20" s="5" t="inlineStr">
        <is>
          <t>Profit for the year</t>
        </is>
      </c>
      <c r="B20" s="5" t="n">
        <v>189231</v>
      </c>
      <c r="C20" s="5" t="n">
        <v>165495</v>
      </c>
      <c r="D20" s="5" t="n">
        <v>156719</v>
      </c>
      <c r="E20" s="5" t="n">
        <v>103410</v>
      </c>
      <c r="F20" s="5" t="n">
        <v>41534</v>
      </c>
      <c r="G20" s="5" t="n">
        <v>7552</v>
      </c>
    </row>
    <row r="21">
      <c r="A21" s="5" t="inlineStr">
        <is>
          <t>Other comprehensive income, net of tax</t>
        </is>
      </c>
      <c r="B21" s="6" t="n"/>
      <c r="C21" s="6" t="n"/>
      <c r="D21" s="6" t="n"/>
      <c r="E21" s="6" t="n"/>
      <c r="F21" s="6" t="n"/>
      <c r="G21" s="6" t="n"/>
    </row>
    <row r="22">
      <c r="A22" s="6" t="inlineStr">
        <is>
          <t>Actuarial gain/(loss) on retirement benefit scheme (pre-tax)</t>
        </is>
      </c>
      <c r="B22" s="6" t="n">
        <v>5836</v>
      </c>
      <c r="C22" s="6" t="n">
        <v>-404</v>
      </c>
      <c r="D22" s="6" t="n">
        <v>-106904</v>
      </c>
      <c r="E22" s="6" t="n">
        <v>-80050</v>
      </c>
      <c r="F22" s="6" t="n">
        <v>-69792</v>
      </c>
      <c r="G22" s="6" t="n">
        <v>19865</v>
      </c>
    </row>
    <row r="23">
      <c r="A23" s="6" t="inlineStr">
        <is>
          <t>Property revaluation gain/(loss) (pre-tax)</t>
        </is>
      </c>
      <c r="B23" s="6" t="n">
        <v>-1940</v>
      </c>
      <c r="C23" s="6" t="n">
        <v>-1479</v>
      </c>
      <c r="D23" s="6" t="n">
        <v>-1155</v>
      </c>
      <c r="E23" s="6" t="n">
        <v>243</v>
      </c>
      <c r="F23" s="6" t="n">
        <v>571</v>
      </c>
      <c r="G23" s="6" t="n">
        <v>-954</v>
      </c>
    </row>
    <row r="24">
      <c r="A24" s="6" t="inlineStr">
        <is>
          <t>Unrealised value adjustments of investment securities at fair value (pre-tax)</t>
        </is>
      </c>
      <c r="B24" s="6" t="n">
        <v>3173</v>
      </c>
      <c r="C24" s="6" t="n">
        <v>-571</v>
      </c>
      <c r="D24" s="6" t="n">
        <v>21919</v>
      </c>
      <c r="E24" s="6" t="n">
        <v>-36724</v>
      </c>
      <c r="F24" s="6" t="n">
        <v>-13500</v>
      </c>
      <c r="G24" s="6" t="n">
        <v>7724</v>
      </c>
    </row>
    <row r="25">
      <c r="A25" s="6" t="inlineStr">
        <is>
          <t>Transfer to income statement on disposal of investment securities (pre-tax)</t>
        </is>
      </c>
      <c r="B25" s="6" t="n">
        <v>-28</v>
      </c>
      <c r="C25" s="6" t="n">
        <v>6013</v>
      </c>
      <c r="D25" s="6" t="n">
        <v>14330</v>
      </c>
      <c r="E25" s="6" t="n"/>
      <c r="F25" s="6" t="n"/>
      <c r="G25" s="6" t="n"/>
    </row>
    <row r="26">
      <c r="A26" s="6" t="inlineStr">
        <is>
          <t>Movement on interest rate hedge adjustment (pre-tax)</t>
        </is>
      </c>
      <c r="B26" s="6" t="n">
        <v>-150</v>
      </c>
      <c r="C26" s="6" t="n"/>
      <c r="D26" s="6" t="n"/>
      <c r="E26" s="6" t="n"/>
      <c r="F26" s="6" t="n"/>
      <c r="G26" s="6" t="n"/>
    </row>
    <row r="27">
      <c r="A27" s="6" t="inlineStr">
        <is>
          <t>Cash flow hedge reserve gains/(losses) (pre-tax)</t>
        </is>
      </c>
      <c r="B27" s="6" t="n">
        <v>1258</v>
      </c>
      <c r="C27" s="6" t="n">
        <v>2088</v>
      </c>
      <c r="D27" s="6" t="n">
        <v>9406</v>
      </c>
      <c r="E27" s="6" t="n">
        <v>-8578</v>
      </c>
      <c r="F27" s="6" t="n">
        <v>-9611</v>
      </c>
      <c r="G27" s="6" t="n">
        <v>3612</v>
      </c>
    </row>
    <row r="28">
      <c r="A28" s="6" t="inlineStr">
        <is>
          <t>Taxation impact (total, all OCI components)</t>
        </is>
      </c>
      <c r="B28" s="6" t="n">
        <v>-2432</v>
      </c>
      <c r="C28" s="6" t="n">
        <v>-1477</v>
      </c>
      <c r="D28" s="6" t="n">
        <v>17575</v>
      </c>
      <c r="E28" s="6" t="n">
        <v>33070</v>
      </c>
      <c r="F28" s="6" t="n">
        <v>29099</v>
      </c>
      <c r="G28" s="6" t="n">
        <v>-8451</v>
      </c>
    </row>
    <row r="29">
      <c r="A29" s="5" t="inlineStr">
        <is>
          <t>Total other comprehensive income, net of tax</t>
        </is>
      </c>
      <c r="B29" s="5" t="n">
        <v>5717</v>
      </c>
      <c r="C29" s="5" t="n">
        <v>4170</v>
      </c>
      <c r="D29" s="5" t="n">
        <v>-44829</v>
      </c>
      <c r="E29" s="5" t="n">
        <v>-92039</v>
      </c>
      <c r="F29" s="5" t="n">
        <v>-63233</v>
      </c>
      <c r="G29" s="5" t="n">
        <v>21796</v>
      </c>
    </row>
    <row r="30">
      <c r="A30" s="5" t="inlineStr">
        <is>
          <t>Total comprehensive income for the year</t>
        </is>
      </c>
      <c r="B30" s="5" t="n">
        <v>194948</v>
      </c>
      <c r="C30" s="5" t="n">
        <v>169665</v>
      </c>
      <c r="D30" s="5" t="n">
        <v>111890</v>
      </c>
      <c r="E30" s="5" t="n">
        <v>11371</v>
      </c>
      <c r="F30" s="5" t="n">
        <v>-21699</v>
      </c>
      <c r="G30" s="5" t="n">
        <v>29348</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6 years. FY2020's own Taxation impact row nets to -8,450 (Total attributable) / -8,451 (Total equity), a 1-unit rounding artifact already present in the Bank's own FY2020 Statement of Changes in Equity, not a transcription error.</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2020 (FY2020 opening)</t>
        </is>
      </c>
      <c r="B4" s="5" t="n">
        <v>218170</v>
      </c>
      <c r="C4" s="5" t="n">
        <v>306590</v>
      </c>
      <c r="D4" s="5" t="n">
        <v>35906</v>
      </c>
      <c r="E4" s="5" t="n">
        <v>2132</v>
      </c>
      <c r="F4" s="5" t="n">
        <v>1594</v>
      </c>
      <c r="G4" s="5" t="n">
        <v>165194</v>
      </c>
      <c r="H4" s="5" t="n">
        <v>729586</v>
      </c>
      <c r="I4" s="5" t="n">
        <v>97069</v>
      </c>
      <c r="J4" s="5" t="n">
        <v>826655</v>
      </c>
    </row>
    <row r="5">
      <c r="A5" s="6" t="inlineStr">
        <is>
          <t>Profit for the year</t>
        </is>
      </c>
      <c r="B5" s="6" t="n"/>
      <c r="C5" s="6" t="n"/>
      <c r="D5" s="6" t="n"/>
      <c r="E5" s="6" t="n"/>
      <c r="F5" s="6" t="n"/>
      <c r="G5" s="6" t="n">
        <v>2526</v>
      </c>
      <c r="H5" s="6" t="n">
        <v>2526</v>
      </c>
      <c r="I5" s="6" t="n">
        <v>5026</v>
      </c>
      <c r="J5" s="6" t="n">
        <v>7552</v>
      </c>
    </row>
    <row r="6">
      <c r="A6" s="6" t="inlineStr">
        <is>
          <t>Actuarial gain recognised in retirement benefit scheme</t>
        </is>
      </c>
      <c r="B6" s="6" t="n"/>
      <c r="C6" s="6" t="n"/>
      <c r="D6" s="6" t="n"/>
      <c r="E6" s="6" t="n"/>
      <c r="F6" s="6" t="n"/>
      <c r="G6" s="6" t="n">
        <v>19865</v>
      </c>
      <c r="H6" s="6" t="n">
        <v>19865</v>
      </c>
      <c r="I6" s="6" t="n"/>
      <c r="J6" s="6" t="n">
        <v>19865</v>
      </c>
    </row>
    <row r="7">
      <c r="A7" s="6" t="inlineStr">
        <is>
          <t>Transfer re property disposals</t>
        </is>
      </c>
      <c r="B7" s="6" t="n"/>
      <c r="C7" s="6" t="n"/>
      <c r="D7" s="6" t="n">
        <v>-60</v>
      </c>
      <c r="E7" s="6" t="n"/>
      <c r="F7" s="6" t="n"/>
      <c r="G7" s="6" t="n">
        <v>60</v>
      </c>
      <c r="H7" s="6" t="n"/>
      <c r="I7" s="6" t="n"/>
      <c r="J7" s="6" t="n"/>
    </row>
    <row r="8">
      <c r="A8" s="6" t="inlineStr">
        <is>
          <t>Property revaluation</t>
        </is>
      </c>
      <c r="B8" s="6" t="n"/>
      <c r="C8" s="6" t="n"/>
      <c r="D8" s="6" t="n">
        <v>-954</v>
      </c>
      <c r="E8" s="6" t="n"/>
      <c r="F8" s="6" t="n"/>
      <c r="G8" s="6" t="n"/>
      <c r="H8" s="6" t="n">
        <v>-954</v>
      </c>
      <c r="I8" s="6" t="n"/>
      <c r="J8" s="6" t="n">
        <v>-954</v>
      </c>
    </row>
    <row r="9">
      <c r="A9" s="6" t="inlineStr">
        <is>
          <t>Investment securities at fair value</t>
        </is>
      </c>
      <c r="B9" s="6" t="n"/>
      <c r="C9" s="6" t="n"/>
      <c r="D9" s="6" t="n"/>
      <c r="E9" s="6" t="n"/>
      <c r="F9" s="6" t="n">
        <v>7724</v>
      </c>
      <c r="G9" s="6" t="n"/>
      <c r="H9" s="6" t="n">
        <v>7724</v>
      </c>
      <c r="I9" s="6" t="n"/>
      <c r="J9" s="6" t="n">
        <v>7724</v>
      </c>
    </row>
    <row r="10">
      <c r="A10" s="6" t="inlineStr">
        <is>
          <t>Cash flow hedge reserve</t>
        </is>
      </c>
      <c r="B10" s="6" t="n"/>
      <c r="C10" s="6" t="n"/>
      <c r="D10" s="6" t="n"/>
      <c r="E10" s="6" t="n">
        <v>3612</v>
      </c>
      <c r="F10" s="6" t="n"/>
      <c r="G10" s="6" t="n"/>
      <c r="H10" s="6" t="n">
        <v>3612</v>
      </c>
      <c r="I10" s="6" t="n"/>
      <c r="J10" s="6" t="n">
        <v>3612</v>
      </c>
    </row>
    <row r="11">
      <c r="A11" s="6" t="inlineStr">
        <is>
          <t>Taxation impact</t>
        </is>
      </c>
      <c r="B11" s="6" t="n"/>
      <c r="C11" s="6" t="n"/>
      <c r="D11" s="6" t="n">
        <v>73</v>
      </c>
      <c r="E11" s="6" t="n">
        <v>-1032</v>
      </c>
      <c r="F11" s="6" t="n">
        <v>-2128</v>
      </c>
      <c r="G11" s="6" t="n">
        <v>-5363</v>
      </c>
      <c r="H11" s="6" t="n">
        <v>-8450</v>
      </c>
      <c r="I11" s="6" t="n"/>
      <c r="J11" s="6" t="n">
        <v>-8451</v>
      </c>
    </row>
    <row r="12">
      <c r="A12" s="6" t="inlineStr">
        <is>
          <t>AT1 distributions paid</t>
        </is>
      </c>
      <c r="B12" s="6" t="n"/>
      <c r="C12" s="6" t="n"/>
      <c r="D12" s="6" t="n"/>
      <c r="E12" s="6" t="n"/>
      <c r="F12" s="6" t="n"/>
      <c r="G12" s="6" t="n"/>
      <c r="H12" s="6" t="n"/>
      <c r="I12" s="6" t="n">
        <v>-5137</v>
      </c>
      <c r="J12" s="6" t="n">
        <v>-5137</v>
      </c>
    </row>
    <row r="13">
      <c r="A13" s="5" t="inlineStr">
        <is>
          <t>At 31 December 2020 (FY2020 closing) / At 1 January 2021 (FY2021 opening)</t>
        </is>
      </c>
      <c r="B13" s="5" t="n">
        <v>218170</v>
      </c>
      <c r="C13" s="5" t="n">
        <v>306590</v>
      </c>
      <c r="D13" s="5" t="n">
        <v>34965</v>
      </c>
      <c r="E13" s="5" t="n">
        <v>4712</v>
      </c>
      <c r="F13" s="5" t="n">
        <v>7190</v>
      </c>
      <c r="G13" s="5" t="n">
        <v>182282</v>
      </c>
      <c r="H13" s="5" t="n">
        <v>753909</v>
      </c>
      <c r="I13" s="5" t="n">
        <v>96958</v>
      </c>
      <c r="J13" s="5" t="n">
        <v>850867</v>
      </c>
    </row>
    <row r="14">
      <c r="A14" s="6" t="inlineStr">
        <is>
          <t>Profit for the year</t>
        </is>
      </c>
      <c r="B14" s="6" t="n"/>
      <c r="C14" s="6" t="n"/>
      <c r="D14" s="6" t="n"/>
      <c r="E14" s="6" t="n"/>
      <c r="F14" s="6" t="n"/>
      <c r="G14" s="6" t="n">
        <v>36549</v>
      </c>
      <c r="H14" s="6" t="n">
        <v>36549</v>
      </c>
      <c r="I14" s="6" t="n">
        <v>4985</v>
      </c>
      <c r="J14" s="6" t="n">
        <v>41534</v>
      </c>
    </row>
    <row r="15">
      <c r="A15" s="6" t="inlineStr">
        <is>
          <t>Actuarial loss recognised in retirement benefit scheme</t>
        </is>
      </c>
      <c r="B15" s="6" t="n"/>
      <c r="C15" s="6" t="n"/>
      <c r="D15" s="6" t="n"/>
      <c r="E15" s="6" t="n"/>
      <c r="F15" s="6" t="n"/>
      <c r="G15" s="6" t="n">
        <v>-69792</v>
      </c>
      <c r="H15" s="6" t="n">
        <v>-69792</v>
      </c>
      <c r="I15" s="6" t="n"/>
      <c r="J15" s="6" t="n">
        <v>-69792</v>
      </c>
    </row>
    <row r="16">
      <c r="A16" s="6" t="inlineStr">
        <is>
          <t>Transfer re property disposals</t>
        </is>
      </c>
      <c r="B16" s="6" t="n"/>
      <c r="C16" s="6" t="n"/>
      <c r="D16" s="6" t="n">
        <v>-1063</v>
      </c>
      <c r="E16" s="6" t="n"/>
      <c r="F16" s="6" t="n"/>
      <c r="G16" s="6" t="n">
        <v>1063</v>
      </c>
      <c r="H16" s="6" t="n"/>
      <c r="I16" s="6" t="n"/>
      <c r="J16" s="6" t="n"/>
    </row>
    <row r="17">
      <c r="A17" s="6" t="inlineStr">
        <is>
          <t>Property revaluation</t>
        </is>
      </c>
      <c r="B17" s="6" t="n"/>
      <c r="C17" s="6" t="n"/>
      <c r="D17" s="6" t="n">
        <v>571</v>
      </c>
      <c r="E17" s="6" t="n"/>
      <c r="F17" s="6" t="n"/>
      <c r="G17" s="6" t="n"/>
      <c r="H17" s="6" t="n">
        <v>571</v>
      </c>
      <c r="I17" s="6" t="n"/>
      <c r="J17" s="6" t="n">
        <v>571</v>
      </c>
    </row>
    <row r="18">
      <c r="A18" s="6" t="inlineStr">
        <is>
          <t>Investment securities at fair value</t>
        </is>
      </c>
      <c r="B18" s="6" t="n"/>
      <c r="C18" s="6" t="n"/>
      <c r="D18" s="6" t="n"/>
      <c r="E18" s="6" t="n"/>
      <c r="F18" s="6" t="n">
        <v>-13500</v>
      </c>
      <c r="G18" s="6" t="n"/>
      <c r="H18" s="6" t="n">
        <v>-13500</v>
      </c>
      <c r="I18" s="6" t="n"/>
      <c r="J18" s="6" t="n">
        <v>-13500</v>
      </c>
    </row>
    <row r="19">
      <c r="A19" s="6" t="inlineStr">
        <is>
          <t>Cash flow hedge reserve</t>
        </is>
      </c>
      <c r="B19" s="6" t="n"/>
      <c r="C19" s="6" t="n"/>
      <c r="D19" s="6" t="n"/>
      <c r="E19" s="6" t="n">
        <v>-9611</v>
      </c>
      <c r="F19" s="6" t="n"/>
      <c r="G19" s="6" t="n"/>
      <c r="H19" s="6" t="n">
        <v>-9611</v>
      </c>
      <c r="I19" s="6" t="n"/>
      <c r="J19" s="6" t="n">
        <v>-9611</v>
      </c>
    </row>
    <row r="20">
      <c r="A20" s="6" t="inlineStr">
        <is>
          <t>Taxation impact</t>
        </is>
      </c>
      <c r="B20" s="6" t="n"/>
      <c r="C20" s="6" t="n"/>
      <c r="D20" s="6" t="n">
        <v>-581</v>
      </c>
      <c r="E20" s="6" t="n">
        <v>2784</v>
      </c>
      <c r="F20" s="6" t="n">
        <v>3864</v>
      </c>
      <c r="G20" s="6" t="n">
        <v>23032</v>
      </c>
      <c r="H20" s="6" t="n">
        <v>29099</v>
      </c>
      <c r="I20" s="6" t="n"/>
      <c r="J20" s="6" t="n">
        <v>29099</v>
      </c>
    </row>
    <row r="21">
      <c r="A21" s="6" t="inlineStr">
        <is>
          <t>Dividends paid</t>
        </is>
      </c>
      <c r="B21" s="6" t="n"/>
      <c r="C21" s="6" t="n"/>
      <c r="D21" s="6" t="n"/>
      <c r="E21" s="6" t="n"/>
      <c r="F21" s="6" t="n"/>
      <c r="G21" s="6" t="n">
        <v>-75000</v>
      </c>
      <c r="H21" s="6" t="n">
        <v>-75000</v>
      </c>
      <c r="I21" s="6" t="n"/>
      <c r="J21" s="6" t="n">
        <v>-75000</v>
      </c>
    </row>
    <row r="22">
      <c r="A22" s="6" t="inlineStr">
        <is>
          <t>AT1 distributions paid</t>
        </is>
      </c>
      <c r="B22" s="6" t="n"/>
      <c r="C22" s="6" t="n"/>
      <c r="D22" s="6" t="n"/>
      <c r="E22" s="6" t="n"/>
      <c r="F22" s="6" t="n"/>
      <c r="G22" s="6" t="n"/>
      <c r="H22" s="6" t="n"/>
      <c r="I22" s="6" t="n">
        <v>-4969</v>
      </c>
      <c r="J22" s="6" t="n">
        <v>-4969</v>
      </c>
    </row>
    <row r="23">
      <c r="A23" s="5" t="inlineStr">
        <is>
          <t>At 31 December 2021 (FY2021 closing)</t>
        </is>
      </c>
      <c r="B23" s="5" t="n">
        <v>218170</v>
      </c>
      <c r="C23" s="5" t="n">
        <v>306590</v>
      </c>
      <c r="D23" s="5" t="n">
        <v>33892</v>
      </c>
      <c r="E23" s="5" t="n">
        <v>-2115</v>
      </c>
      <c r="F23" s="5" t="n">
        <v>-2446</v>
      </c>
      <c r="G23" s="5" t="n">
        <v>98134</v>
      </c>
      <c r="H23" s="5" t="n">
        <v>652225</v>
      </c>
      <c r="I23" s="5" t="n">
        <v>96974</v>
      </c>
      <c r="J23" s="5" t="n">
        <v>749199</v>
      </c>
    </row>
    <row r="24">
      <c r="A24" s="6" t="inlineStr">
        <is>
          <t>Profit for the year</t>
        </is>
      </c>
      <c r="B24" s="6" t="n"/>
      <c r="C24" s="6" t="n"/>
      <c r="D24" s="6" t="n"/>
      <c r="E24" s="6" t="n"/>
      <c r="F24" s="6" t="n"/>
      <c r="G24" s="6" t="n">
        <v>91053</v>
      </c>
      <c r="H24" s="6" t="n">
        <v>91053</v>
      </c>
      <c r="I24" s="6" t="n">
        <v>12357</v>
      </c>
      <c r="J24" s="6" t="n">
        <v>103410</v>
      </c>
    </row>
    <row r="25">
      <c r="A25" s="6" t="inlineStr">
        <is>
          <t>Actuarial loss recognised in retirement benefit scheme</t>
        </is>
      </c>
      <c r="B25" s="6" t="n"/>
      <c r="C25" s="6" t="n"/>
      <c r="D25" s="6" t="n"/>
      <c r="E25" s="6" t="n"/>
      <c r="F25" s="6" t="n"/>
      <c r="G25" s="6" t="n">
        <v>-80050</v>
      </c>
      <c r="H25" s="6" t="n">
        <v>-80050</v>
      </c>
      <c r="I25" s="6" t="n"/>
      <c r="J25" s="6" t="n">
        <v>-80050</v>
      </c>
    </row>
    <row r="26">
      <c r="A26" s="6" t="inlineStr">
        <is>
          <t>Transfer re property disposals</t>
        </is>
      </c>
      <c r="B26" s="6" t="n"/>
      <c r="C26" s="6" t="n"/>
      <c r="D26" s="6" t="n">
        <v>-1394</v>
      </c>
      <c r="E26" s="6" t="n"/>
      <c r="F26" s="6" t="n"/>
      <c r="G26" s="6" t="n">
        <v>1394</v>
      </c>
      <c r="H26" s="6" t="n"/>
      <c r="I26" s="6" t="n"/>
      <c r="J26" s="6" t="n"/>
    </row>
    <row r="27">
      <c r="A27" s="6" t="inlineStr">
        <is>
          <t>Property revaluation</t>
        </is>
      </c>
      <c r="B27" s="6" t="n"/>
      <c r="C27" s="6" t="n"/>
      <c r="D27" s="6" t="n">
        <v>243</v>
      </c>
      <c r="E27" s="6" t="n"/>
      <c r="F27" s="6" t="n"/>
      <c r="G27" s="6" t="n"/>
      <c r="H27" s="6" t="n">
        <v>243</v>
      </c>
      <c r="I27" s="6" t="n"/>
      <c r="J27" s="6" t="n">
        <v>243</v>
      </c>
    </row>
    <row r="28">
      <c r="A28" s="6" t="inlineStr">
        <is>
          <t>Investment securities at fair value</t>
        </is>
      </c>
      <c r="B28" s="6" t="n"/>
      <c r="C28" s="6" t="n"/>
      <c r="D28" s="6" t="n"/>
      <c r="E28" s="6" t="n"/>
      <c r="F28" s="6" t="n">
        <v>-36724</v>
      </c>
      <c r="G28" s="6" t="n"/>
      <c r="H28" s="6" t="n">
        <v>-36724</v>
      </c>
      <c r="I28" s="6" t="n"/>
      <c r="J28" s="6" t="n">
        <v>-36724</v>
      </c>
    </row>
    <row r="29">
      <c r="A29" s="6" t="inlineStr">
        <is>
          <t>Cash flow hedge reserve</t>
        </is>
      </c>
      <c r="B29" s="6" t="n"/>
      <c r="C29" s="6" t="n"/>
      <c r="D29" s="6" t="n"/>
      <c r="E29" s="6" t="n">
        <v>-8578</v>
      </c>
      <c r="F29" s="6" t="n"/>
      <c r="G29" s="6" t="n"/>
      <c r="H29" s="6" t="n">
        <v>-8578</v>
      </c>
      <c r="I29" s="6" t="n"/>
      <c r="J29" s="6" t="n">
        <v>-8578</v>
      </c>
    </row>
    <row r="30">
      <c r="A30" s="6" t="inlineStr">
        <is>
          <t>Taxation impact</t>
        </is>
      </c>
      <c r="B30" s="6" t="n"/>
      <c r="C30" s="6" t="n"/>
      <c r="D30" s="6" t="n">
        <v>677</v>
      </c>
      <c r="E30" s="6" t="n">
        <v>2244</v>
      </c>
      <c r="F30" s="6" t="n">
        <v>10100</v>
      </c>
      <c r="G30" s="6" t="n">
        <v>20049</v>
      </c>
      <c r="H30" s="6" t="n">
        <v>33070</v>
      </c>
      <c r="I30" s="6" t="n"/>
      <c r="J30" s="6" t="n">
        <v>33070</v>
      </c>
    </row>
    <row r="31">
      <c r="A31" s="6" t="inlineStr">
        <is>
          <t>Dividends paid to shareholders</t>
        </is>
      </c>
      <c r="B31" s="6" t="n"/>
      <c r="C31" s="6" t="n"/>
      <c r="D31" s="6" t="n"/>
      <c r="E31" s="6" t="n"/>
      <c r="F31" s="6" t="n"/>
      <c r="G31" s="6" t="n">
        <v>-40000</v>
      </c>
      <c r="H31" s="6" t="n">
        <v>-40000</v>
      </c>
      <c r="I31" s="6" t="n"/>
      <c r="J31" s="6" t="n">
        <v>-40000</v>
      </c>
    </row>
    <row r="32">
      <c r="A32" s="6" t="inlineStr">
        <is>
          <t>AT1 issuance</t>
        </is>
      </c>
      <c r="B32" s="6" t="n"/>
      <c r="C32" s="6" t="n"/>
      <c r="D32" s="6" t="n"/>
      <c r="E32" s="6" t="n"/>
      <c r="F32" s="6" t="n"/>
      <c r="G32" s="6" t="n"/>
      <c r="H32" s="6" t="n"/>
      <c r="I32" s="6" t="n">
        <v>222000</v>
      </c>
      <c r="J32" s="6" t="n">
        <v>222000</v>
      </c>
    </row>
    <row r="33">
      <c r="A33" s="6" t="inlineStr">
        <is>
          <t>AT1 redemption</t>
        </is>
      </c>
      <c r="B33" s="6" t="n"/>
      <c r="C33" s="6" t="n"/>
      <c r="D33" s="6" t="n"/>
      <c r="E33" s="6" t="n"/>
      <c r="F33" s="6" t="n"/>
      <c r="G33" s="6" t="n"/>
      <c r="H33" s="6" t="n"/>
      <c r="I33" s="6" t="n">
        <v>-96000</v>
      </c>
      <c r="J33" s="6" t="n">
        <v>-96000</v>
      </c>
    </row>
    <row r="34">
      <c r="A34" s="6" t="inlineStr">
        <is>
          <t>AT1 distributions paid</t>
        </is>
      </c>
      <c r="B34" s="6" t="n"/>
      <c r="C34" s="6" t="n"/>
      <c r="D34" s="6" t="n"/>
      <c r="E34" s="6" t="n"/>
      <c r="F34" s="6" t="n"/>
      <c r="G34" s="6" t="n"/>
      <c r="H34" s="6" t="n"/>
      <c r="I34" s="6" t="n">
        <v>-9378</v>
      </c>
      <c r="J34" s="6" t="n">
        <v>-9378</v>
      </c>
    </row>
    <row r="35">
      <c r="A35" s="5" t="inlineStr">
        <is>
          <t>At 31 December 2022 (FY2022 closing)</t>
        </is>
      </c>
      <c r="B35" s="5" t="n">
        <v>218170</v>
      </c>
      <c r="C35" s="5" t="n">
        <v>306590</v>
      </c>
      <c r="D35" s="5" t="n">
        <v>33418</v>
      </c>
      <c r="E35" s="5" t="n">
        <v>-8449</v>
      </c>
      <c r="F35" s="5" t="n">
        <v>-29070</v>
      </c>
      <c r="G35" s="5" t="n">
        <v>90580</v>
      </c>
      <c r="H35" s="5" t="n">
        <v>611239</v>
      </c>
      <c r="I35" s="5" t="n">
        <v>225953</v>
      </c>
      <c r="J35" s="5" t="n">
        <v>837192</v>
      </c>
    </row>
    <row r="36">
      <c r="A36" s="6" t="inlineStr">
        <is>
          <t>Profit for the year</t>
        </is>
      </c>
      <c r="B36" s="6" t="n"/>
      <c r="C36" s="6" t="n"/>
      <c r="D36" s="6" t="n"/>
      <c r="E36" s="6" t="n"/>
      <c r="F36" s="6" t="n"/>
      <c r="G36" s="6" t="n">
        <v>136036</v>
      </c>
      <c r="H36" s="6" t="n">
        <v>136036</v>
      </c>
      <c r="I36" s="6" t="n">
        <v>20683</v>
      </c>
      <c r="J36" s="6" t="n">
        <v>156719</v>
      </c>
    </row>
    <row r="37">
      <c r="A37" s="6" t="inlineStr">
        <is>
          <t>Actuarial loss recognised in retirement benefit scheme</t>
        </is>
      </c>
      <c r="B37" s="6" t="n"/>
      <c r="C37" s="6" t="n"/>
      <c r="D37" s="6" t="n"/>
      <c r="E37" s="6" t="n"/>
      <c r="F37" s="6" t="n"/>
      <c r="G37" s="6" t="n">
        <v>-106904</v>
      </c>
      <c r="H37" s="6" t="n">
        <v>-106904</v>
      </c>
      <c r="I37" s="6" t="n"/>
      <c r="J37" s="6" t="n">
        <v>-106904</v>
      </c>
    </row>
    <row r="38">
      <c r="A38" s="6" t="inlineStr">
        <is>
          <t>Transfer re property disposals</t>
        </is>
      </c>
      <c r="B38" s="6" t="n"/>
      <c r="C38" s="6" t="n"/>
      <c r="D38" s="6" t="n">
        <v>-183</v>
      </c>
      <c r="E38" s="6" t="n"/>
      <c r="F38" s="6" t="n"/>
      <c r="G38" s="6" t="n">
        <v>183</v>
      </c>
      <c r="H38" s="6" t="n"/>
      <c r="I38" s="6" t="n"/>
      <c r="J38" s="6" t="n"/>
    </row>
    <row r="39">
      <c r="A39" s="6" t="inlineStr">
        <is>
          <t>Property revaluation</t>
        </is>
      </c>
      <c r="B39" s="6" t="n"/>
      <c r="C39" s="6" t="n"/>
      <c r="D39" s="6" t="n">
        <v>-1155</v>
      </c>
      <c r="E39" s="6" t="n"/>
      <c r="F39" s="6" t="n"/>
      <c r="G39" s="6" t="n"/>
      <c r="H39" s="6" t="n">
        <v>-1155</v>
      </c>
      <c r="I39" s="6" t="n"/>
      <c r="J39" s="6" t="n">
        <v>-1155</v>
      </c>
    </row>
    <row r="40">
      <c r="A40" s="6" t="inlineStr">
        <is>
          <t>Investment securities at fair value: changes in fair value</t>
        </is>
      </c>
      <c r="B40" s="6" t="n"/>
      <c r="C40" s="6" t="n"/>
      <c r="D40" s="6" t="n"/>
      <c r="E40" s="6" t="n"/>
      <c r="F40" s="6" t="n">
        <v>21919</v>
      </c>
      <c r="G40" s="6" t="n"/>
      <c r="H40" s="6" t="n">
        <v>21919</v>
      </c>
      <c r="I40" s="6" t="n"/>
      <c r="J40" s="6" t="n">
        <v>21919</v>
      </c>
    </row>
    <row r="41">
      <c r="A41" s="6" t="inlineStr">
        <is>
          <t>Investment securities at fair value: transfer to income statement</t>
        </is>
      </c>
      <c r="B41" s="6" t="n"/>
      <c r="C41" s="6" t="n"/>
      <c r="D41" s="6" t="n"/>
      <c r="E41" s="6" t="n"/>
      <c r="F41" s="6" t="n">
        <v>14330</v>
      </c>
      <c r="G41" s="6" t="n"/>
      <c r="H41" s="6" t="n">
        <v>14330</v>
      </c>
      <c r="I41" s="6" t="n"/>
      <c r="J41" s="6" t="n">
        <v>14330</v>
      </c>
    </row>
    <row r="42">
      <c r="A42" s="6" t="inlineStr">
        <is>
          <t>Cash flow hedge reserve</t>
        </is>
      </c>
      <c r="B42" s="6" t="n"/>
      <c r="C42" s="6" t="n"/>
      <c r="D42" s="6" t="n"/>
      <c r="E42" s="6" t="n">
        <v>9406</v>
      </c>
      <c r="F42" s="6" t="n"/>
      <c r="G42" s="6" t="n"/>
      <c r="H42" s="6" t="n">
        <v>9406</v>
      </c>
      <c r="I42" s="6" t="n"/>
      <c r="J42" s="6" t="n">
        <v>9406</v>
      </c>
    </row>
    <row r="43">
      <c r="A43" s="6" t="inlineStr">
        <is>
          <t>Taxation impact</t>
        </is>
      </c>
      <c r="B43" s="6" t="n"/>
      <c r="C43" s="6" t="n"/>
      <c r="D43" s="6" t="n">
        <v>426</v>
      </c>
      <c r="E43" s="6" t="n">
        <v>-2633</v>
      </c>
      <c r="F43" s="6" t="n">
        <v>-10149</v>
      </c>
      <c r="G43" s="6" t="n">
        <v>29931</v>
      </c>
      <c r="H43" s="6" t="n">
        <v>17575</v>
      </c>
      <c r="I43" s="6" t="n"/>
      <c r="J43" s="6" t="n">
        <v>17575</v>
      </c>
    </row>
    <row r="44">
      <c r="A44" s="6" t="inlineStr">
        <is>
          <t>AT1 distributions paid</t>
        </is>
      </c>
      <c r="B44" s="6" t="n"/>
      <c r="C44" s="6" t="n"/>
      <c r="D44" s="6" t="n"/>
      <c r="E44" s="6" t="n"/>
      <c r="F44" s="6" t="n"/>
      <c r="G44" s="6" t="n"/>
      <c r="H44" s="6" t="n"/>
      <c r="I44" s="6" t="n">
        <v>-19741</v>
      </c>
      <c r="J44" s="6" t="n">
        <v>-19741</v>
      </c>
    </row>
    <row r="45">
      <c r="A45" s="5" t="inlineStr">
        <is>
          <t>At 31 December 2023 (FY2023 closing)</t>
        </is>
      </c>
      <c r="B45" s="5" t="n">
        <v>218170</v>
      </c>
      <c r="C45" s="5" t="n">
        <v>306590</v>
      </c>
      <c r="D45" s="5" t="n">
        <v>32506</v>
      </c>
      <c r="E45" s="5" t="n">
        <v>-1676</v>
      </c>
      <c r="F45" s="5" t="n">
        <v>-2970</v>
      </c>
      <c r="G45" s="5" t="n">
        <v>149826</v>
      </c>
      <c r="H45" s="5" t="n">
        <v>702446</v>
      </c>
      <c r="I45" s="5" t="n">
        <v>226895</v>
      </c>
      <c r="J45" s="5" t="n">
        <v>929341</v>
      </c>
    </row>
    <row r="46">
      <c r="A46" s="6" t="inlineStr">
        <is>
          <t>Profit for the year</t>
        </is>
      </c>
      <c r="B46" s="6" t="n"/>
      <c r="C46" s="6" t="n"/>
      <c r="D46" s="6" t="n"/>
      <c r="E46" s="6" t="n"/>
      <c r="F46" s="6" t="n"/>
      <c r="G46" s="6" t="n">
        <v>143853</v>
      </c>
      <c r="H46" s="6" t="n">
        <v>143853</v>
      </c>
      <c r="I46" s="6" t="n">
        <v>21642</v>
      </c>
      <c r="J46" s="6" t="n">
        <v>165495</v>
      </c>
    </row>
    <row r="47">
      <c r="A47" s="6" t="inlineStr">
        <is>
          <t>Actuarial loss recognised in retirement benefit scheme</t>
        </is>
      </c>
      <c r="B47" s="6" t="n"/>
      <c r="C47" s="6" t="n"/>
      <c r="D47" s="6" t="n"/>
      <c r="E47" s="6" t="n"/>
      <c r="F47" s="6" t="n"/>
      <c r="G47" s="6" t="n">
        <v>-404</v>
      </c>
      <c r="H47" s="6" t="n">
        <v>-404</v>
      </c>
      <c r="I47" s="6" t="n"/>
      <c r="J47" s="6" t="n">
        <v>-404</v>
      </c>
    </row>
    <row r="48">
      <c r="A48" s="6" t="inlineStr">
        <is>
          <t>Transfer re property disposals</t>
        </is>
      </c>
      <c r="B48" s="6" t="n"/>
      <c r="C48" s="6" t="n"/>
      <c r="D48" s="6" t="n">
        <v>-848</v>
      </c>
      <c r="E48" s="6" t="n"/>
      <c r="F48" s="6" t="n"/>
      <c r="G48" s="6" t="n">
        <v>848</v>
      </c>
      <c r="H48" s="6" t="n"/>
      <c r="I48" s="6" t="n"/>
      <c r="J48" s="6" t="n"/>
    </row>
    <row r="49">
      <c r="A49" s="6" t="inlineStr">
        <is>
          <t>Property revaluation</t>
        </is>
      </c>
      <c r="B49" s="6" t="n"/>
      <c r="C49" s="6" t="n"/>
      <c r="D49" s="6" t="n">
        <v>-1479</v>
      </c>
      <c r="E49" s="6" t="n"/>
      <c r="F49" s="6" t="n"/>
      <c r="G49" s="6" t="n"/>
      <c r="H49" s="6" t="n">
        <v>-1479</v>
      </c>
      <c r="I49" s="6" t="n"/>
      <c r="J49" s="6" t="n">
        <v>-1479</v>
      </c>
    </row>
    <row r="50">
      <c r="A50" s="6" t="inlineStr">
        <is>
          <t>Investment securities at fair value: changes in fair value</t>
        </is>
      </c>
      <c r="B50" s="6" t="n"/>
      <c r="C50" s="6" t="n"/>
      <c r="D50" s="6" t="n"/>
      <c r="E50" s="6" t="n"/>
      <c r="F50" s="6" t="n">
        <v>-571</v>
      </c>
      <c r="G50" s="6" t="n"/>
      <c r="H50" s="6" t="n">
        <v>-571</v>
      </c>
      <c r="I50" s="6" t="n"/>
      <c r="J50" s="6" t="n">
        <v>-571</v>
      </c>
    </row>
    <row r="51">
      <c r="A51" s="6" t="inlineStr">
        <is>
          <t>Investment securities at fair value: transfer to income statement</t>
        </is>
      </c>
      <c r="B51" s="6" t="n"/>
      <c r="C51" s="6" t="n"/>
      <c r="D51" s="6" t="n"/>
      <c r="E51" s="6" t="n"/>
      <c r="F51" s="6" t="n">
        <v>6013</v>
      </c>
      <c r="G51" s="6" t="n"/>
      <c r="H51" s="6" t="n">
        <v>6013</v>
      </c>
      <c r="I51" s="6" t="n"/>
      <c r="J51" s="6" t="n">
        <v>6013</v>
      </c>
    </row>
    <row r="52">
      <c r="A52" s="6" t="inlineStr">
        <is>
          <t>Cash flow hedge reserve</t>
        </is>
      </c>
      <c r="B52" s="6" t="n"/>
      <c r="C52" s="6" t="n"/>
      <c r="D52" s="6" t="n"/>
      <c r="E52" s="6" t="n">
        <v>2088</v>
      </c>
      <c r="F52" s="6" t="n"/>
      <c r="G52" s="6" t="n"/>
      <c r="H52" s="6" t="n">
        <v>2088</v>
      </c>
      <c r="I52" s="6" t="n"/>
      <c r="J52" s="6" t="n">
        <v>2088</v>
      </c>
    </row>
    <row r="53">
      <c r="A53" s="6" t="inlineStr">
        <is>
          <t>Taxation impact</t>
        </is>
      </c>
      <c r="B53" s="6" t="n"/>
      <c r="C53" s="6" t="n"/>
      <c r="D53" s="6" t="n">
        <v>518</v>
      </c>
      <c r="E53" s="6" t="n">
        <v>-585</v>
      </c>
      <c r="F53" s="6" t="n">
        <v>-1524</v>
      </c>
      <c r="G53" s="6" t="n">
        <v>114</v>
      </c>
      <c r="H53" s="6" t="n">
        <v>-1477</v>
      </c>
      <c r="I53" s="6" t="n"/>
      <c r="J53" s="6" t="n">
        <v>-1477</v>
      </c>
    </row>
    <row r="54">
      <c r="A54" s="6" t="inlineStr">
        <is>
          <t>Dividends paid to shareholders</t>
        </is>
      </c>
      <c r="B54" s="6" t="n"/>
      <c r="C54" s="6" t="n"/>
      <c r="D54" s="6" t="n"/>
      <c r="E54" s="6" t="n"/>
      <c r="F54" s="6" t="n"/>
      <c r="G54" s="6" t="n">
        <v>-133000</v>
      </c>
      <c r="H54" s="6" t="n">
        <v>-133000</v>
      </c>
      <c r="I54" s="6" t="n"/>
      <c r="J54" s="6" t="n">
        <v>-133000</v>
      </c>
    </row>
    <row r="55">
      <c r="A55" s="6" t="inlineStr">
        <is>
          <t>AT1 distributions paid</t>
        </is>
      </c>
      <c r="B55" s="6" t="n"/>
      <c r="C55" s="6" t="n"/>
      <c r="D55" s="6" t="n"/>
      <c r="E55" s="6" t="n"/>
      <c r="F55" s="6" t="n"/>
      <c r="G55" s="6" t="n"/>
      <c r="H55" s="6" t="n"/>
      <c r="I55" s="6" t="n">
        <v>-22011</v>
      </c>
      <c r="J55" s="6" t="n">
        <v>-22011</v>
      </c>
    </row>
    <row r="56">
      <c r="A56" s="5" t="inlineStr">
        <is>
          <t>At 31 December 2024 (FY2024 closing)</t>
        </is>
      </c>
      <c r="B56" s="5" t="n">
        <v>218170</v>
      </c>
      <c r="C56" s="5" t="n">
        <v>306590</v>
      </c>
      <c r="D56" s="5" t="n">
        <v>30697</v>
      </c>
      <c r="E56" s="5" t="n">
        <v>-173</v>
      </c>
      <c r="F56" s="5" t="n">
        <v>948</v>
      </c>
      <c r="G56" s="5" t="n">
        <v>161237</v>
      </c>
      <c r="H56" s="5" t="n">
        <v>717469</v>
      </c>
      <c r="I56" s="5" t="n">
        <v>226526</v>
      </c>
      <c r="J56" s="5" t="n">
        <v>943995</v>
      </c>
    </row>
    <row r="57">
      <c r="A57" s="6" t="inlineStr">
        <is>
          <t>Profit for the year</t>
        </is>
      </c>
      <c r="B57" s="6" t="n"/>
      <c r="C57" s="6" t="n"/>
      <c r="D57" s="6" t="n"/>
      <c r="E57" s="6" t="n"/>
      <c r="F57" s="6" t="n"/>
      <c r="G57" s="6" t="n">
        <v>169484</v>
      </c>
      <c r="H57" s="6" t="n">
        <v>169484</v>
      </c>
      <c r="I57" s="6" t="n">
        <v>19747</v>
      </c>
      <c r="J57" s="6" t="n">
        <v>189231</v>
      </c>
    </row>
    <row r="58">
      <c r="A58" s="6" t="inlineStr">
        <is>
          <t>Actuarial gain recognised in retirement benefit scheme</t>
        </is>
      </c>
      <c r="B58" s="6" t="n"/>
      <c r="C58" s="6" t="n"/>
      <c r="D58" s="6" t="n"/>
      <c r="E58" s="6" t="n"/>
      <c r="F58" s="6" t="n"/>
      <c r="G58" s="6" t="n">
        <v>5836</v>
      </c>
      <c r="H58" s="6" t="n">
        <v>5836</v>
      </c>
      <c r="I58" s="6" t="n"/>
      <c r="J58" s="6" t="n">
        <v>5836</v>
      </c>
    </row>
    <row r="59">
      <c r="A59" s="6" t="inlineStr">
        <is>
          <t>Transfer re property disposals</t>
        </is>
      </c>
      <c r="B59" s="6" t="n"/>
      <c r="C59" s="6" t="n"/>
      <c r="D59" s="6" t="n">
        <v>-444</v>
      </c>
      <c r="E59" s="6" t="n"/>
      <c r="F59" s="6" t="n"/>
      <c r="G59" s="6" t="n">
        <v>444</v>
      </c>
      <c r="H59" s="6" t="n"/>
      <c r="I59" s="6" t="n"/>
      <c r="J59" s="6" t="n"/>
    </row>
    <row r="60">
      <c r="A60" s="6" t="inlineStr">
        <is>
          <t>Property revaluation</t>
        </is>
      </c>
      <c r="B60" s="6" t="n"/>
      <c r="C60" s="6" t="n"/>
      <c r="D60" s="6" t="n">
        <v>-1940</v>
      </c>
      <c r="E60" s="6" t="n"/>
      <c r="F60" s="6" t="n"/>
      <c r="G60" s="6" t="n"/>
      <c r="H60" s="6" t="n">
        <v>-1940</v>
      </c>
      <c r="I60" s="6" t="n"/>
      <c r="J60" s="6" t="n">
        <v>-1940</v>
      </c>
    </row>
    <row r="61">
      <c r="A61" s="6" t="inlineStr">
        <is>
          <t>Investment securities at fair value: changes in fair value</t>
        </is>
      </c>
      <c r="B61" s="6" t="n"/>
      <c r="C61" s="6" t="n"/>
      <c r="D61" s="6" t="n"/>
      <c r="E61" s="6" t="n"/>
      <c r="F61" s="6" t="n">
        <v>3173</v>
      </c>
      <c r="G61" s="6" t="n"/>
      <c r="H61" s="6" t="n">
        <v>3173</v>
      </c>
      <c r="I61" s="6" t="n"/>
      <c r="J61" s="6" t="n">
        <v>3173</v>
      </c>
    </row>
    <row r="62">
      <c r="A62" s="6" t="inlineStr">
        <is>
          <t>Investment securities at fair value: movement on interest rate hedge adjustment</t>
        </is>
      </c>
      <c r="B62" s="6" t="n"/>
      <c r="C62" s="6" t="n"/>
      <c r="D62" s="6" t="n"/>
      <c r="E62" s="6" t="n"/>
      <c r="F62" s="6" t="n">
        <v>-150</v>
      </c>
      <c r="G62" s="6" t="n"/>
      <c r="H62" s="6" t="n">
        <v>-150</v>
      </c>
      <c r="I62" s="6" t="n"/>
      <c r="J62" s="6" t="n">
        <v>-150</v>
      </c>
    </row>
    <row r="63">
      <c r="A63" s="6" t="inlineStr">
        <is>
          <t>Investment securities at fair value: transfer to income statement</t>
        </is>
      </c>
      <c r="B63" s="6" t="n"/>
      <c r="C63" s="6" t="n"/>
      <c r="D63" s="6" t="n"/>
      <c r="E63" s="6" t="n"/>
      <c r="F63" s="6" t="n">
        <v>-28</v>
      </c>
      <c r="G63" s="6" t="n"/>
      <c r="H63" s="6" t="n">
        <v>-28</v>
      </c>
      <c r="I63" s="6" t="n"/>
      <c r="J63" s="6" t="n">
        <v>-28</v>
      </c>
    </row>
    <row r="64">
      <c r="A64" s="6" t="inlineStr">
        <is>
          <t>Cash flow hedge reserve</t>
        </is>
      </c>
      <c r="B64" s="6" t="n"/>
      <c r="C64" s="6" t="n"/>
      <c r="D64" s="6" t="n"/>
      <c r="E64" s="6" t="n">
        <v>1258</v>
      </c>
      <c r="F64" s="6" t="n"/>
      <c r="G64" s="6" t="n"/>
      <c r="H64" s="6" t="n">
        <v>1258</v>
      </c>
      <c r="I64" s="6" t="n"/>
      <c r="J64" s="6" t="n">
        <v>1258</v>
      </c>
    </row>
    <row r="65">
      <c r="A65" s="6" t="inlineStr">
        <is>
          <t>Taxation impact</t>
        </is>
      </c>
      <c r="B65" s="6" t="n"/>
      <c r="C65" s="6" t="n"/>
      <c r="D65" s="6" t="n">
        <v>393</v>
      </c>
      <c r="E65" s="6" t="n">
        <v>-352</v>
      </c>
      <c r="F65" s="6" t="n">
        <v>-839</v>
      </c>
      <c r="G65" s="6" t="n">
        <v>-1634</v>
      </c>
      <c r="H65" s="6" t="n">
        <v>-2432</v>
      </c>
      <c r="I65" s="6" t="n"/>
      <c r="J65" s="6" t="n">
        <v>-2432</v>
      </c>
    </row>
    <row r="66">
      <c r="A66" s="6" t="inlineStr">
        <is>
          <t>Dividends paid to shareholders</t>
        </is>
      </c>
      <c r="B66" s="6" t="n"/>
      <c r="C66" s="6" t="n"/>
      <c r="D66" s="6" t="n"/>
      <c r="E66" s="6" t="n"/>
      <c r="F66" s="6" t="n"/>
      <c r="G66" s="6" t="n">
        <v>-150000</v>
      </c>
      <c r="H66" s="6" t="n">
        <v>-150000</v>
      </c>
      <c r="I66" s="6" t="n"/>
      <c r="J66" s="6" t="n">
        <v>-150000</v>
      </c>
    </row>
    <row r="67">
      <c r="A67" s="6" t="inlineStr">
        <is>
          <t>AT1 distributions paid</t>
        </is>
      </c>
      <c r="B67" s="6" t="n"/>
      <c r="C67" s="6" t="n"/>
      <c r="D67" s="6" t="n"/>
      <c r="E67" s="6" t="n"/>
      <c r="F67" s="6" t="n"/>
      <c r="G67" s="6" t="n"/>
      <c r="H67" s="6" t="n"/>
      <c r="I67" s="6" t="n">
        <v>-20083</v>
      </c>
      <c r="J67" s="6" t="n">
        <v>-20083</v>
      </c>
    </row>
    <row r="68">
      <c r="A68" s="5" t="inlineStr">
        <is>
          <t>At 31 December 2025 (FY2025 closing)</t>
        </is>
      </c>
      <c r="B68" s="5" t="n">
        <v>218170</v>
      </c>
      <c r="C68" s="5" t="n">
        <v>306590</v>
      </c>
      <c r="D68" s="5" t="n">
        <v>28706</v>
      </c>
      <c r="E68" s="5" t="n">
        <v>733</v>
      </c>
      <c r="F68" s="5" t="n">
        <v>3104</v>
      </c>
      <c r="G68" s="5" t="n">
        <v>185367</v>
      </c>
      <c r="H68" s="5" t="n">
        <v>742670</v>
      </c>
      <c r="I68" s="5" t="n">
        <v>226190</v>
      </c>
      <c r="J68" s="5" t="n">
        <v>968860</v>
      </c>
    </row>
    <row r="70" ht="150" customHeight="1">
      <c r="A7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 before tax</t>
        </is>
      </c>
      <c r="B5" s="6" t="n">
        <v>250380</v>
      </c>
      <c r="C5" s="6" t="n">
        <v>218164</v>
      </c>
      <c r="D5" s="6" t="n">
        <v>185960</v>
      </c>
      <c r="E5" s="6" t="n">
        <v>103301</v>
      </c>
      <c r="F5" s="6" t="n">
        <v>61269</v>
      </c>
      <c r="G5" s="6" t="n">
        <v>13077</v>
      </c>
    </row>
    <row r="6">
      <c r="A6" s="5" t="inlineStr">
        <is>
          <t>Net cash flow provided by operating activities</t>
        </is>
      </c>
      <c r="B6" s="5" t="n">
        <v>295380</v>
      </c>
      <c r="C6" s="5" t="n">
        <v>441840</v>
      </c>
      <c r="D6" s="5" t="n">
        <v>-236114</v>
      </c>
      <c r="E6" s="5" t="n">
        <v>-29212</v>
      </c>
      <c r="F6" s="5" t="n">
        <v>929604</v>
      </c>
      <c r="G6" s="5" t="n">
        <v>2046601</v>
      </c>
    </row>
    <row r="7">
      <c r="A7" s="5" t="inlineStr">
        <is>
          <t>Investing activities</t>
        </is>
      </c>
      <c r="B7" s="6" t="n"/>
      <c r="C7" s="6" t="n"/>
      <c r="D7" s="6" t="n"/>
      <c r="E7" s="6" t="n"/>
      <c r="F7" s="6" t="n"/>
      <c r="G7" s="6" t="n"/>
    </row>
    <row r="8">
      <c r="A8" s="6" t="inlineStr">
        <is>
          <t>Purchase of investments - hold to collect</t>
        </is>
      </c>
      <c r="B8" s="6" t="n">
        <v>-3171759</v>
      </c>
      <c r="C8" s="6" t="n">
        <v>-958368</v>
      </c>
      <c r="D8" s="6" t="n">
        <v>-439077</v>
      </c>
      <c r="E8" s="6" t="n">
        <v>-1113378</v>
      </c>
      <c r="F8" s="6" t="n">
        <v>-943850</v>
      </c>
      <c r="G8" s="6" t="n">
        <v>-127567</v>
      </c>
    </row>
    <row r="9">
      <c r="A9" s="6" t="inlineStr">
        <is>
          <t>Maturity of investments - hold to collect</t>
        </is>
      </c>
      <c r="B9" s="6" t="n">
        <v>3070000</v>
      </c>
      <c r="C9" s="6" t="n">
        <v>430500</v>
      </c>
      <c r="D9" s="6" t="n">
        <v>343800</v>
      </c>
      <c r="E9" s="6" t="n">
        <v>135000</v>
      </c>
      <c r="F9" s="6" t="n">
        <v>150000</v>
      </c>
      <c r="G9" s="6" t="n">
        <v>186000</v>
      </c>
    </row>
    <row r="10">
      <c r="A10" s="6" t="inlineStr">
        <is>
          <t>Purchase of investments - hold to collect and sell</t>
        </is>
      </c>
      <c r="B10" s="6" t="n">
        <v>-822418</v>
      </c>
      <c r="C10" s="6" t="n">
        <v>-99541</v>
      </c>
      <c r="D10" s="6" t="n">
        <v>-316956</v>
      </c>
      <c r="E10" s="6" t="n">
        <v>-365859</v>
      </c>
      <c r="F10" s="6" t="n">
        <v>-301761</v>
      </c>
      <c r="G10" s="6" t="n">
        <v>-287543</v>
      </c>
    </row>
    <row r="11">
      <c r="A11" s="6" t="inlineStr">
        <is>
          <t>Maturity and sale of investments - hold to collect and sell</t>
        </is>
      </c>
      <c r="B11" s="6" t="n">
        <v>91071</v>
      </c>
      <c r="C11" s="6" t="n">
        <v>290568</v>
      </c>
      <c r="D11" s="6" t="n">
        <v>462521</v>
      </c>
      <c r="E11" s="6" t="n">
        <v>159491</v>
      </c>
      <c r="F11" s="6" t="n">
        <v>255005</v>
      </c>
      <c r="G11" s="6" t="n">
        <v>145354</v>
      </c>
    </row>
    <row r="12">
      <c r="A12" s="5" t="inlineStr">
        <is>
          <t>Net cash flow provided by investing activities</t>
        </is>
      </c>
      <c r="B12" s="5" t="n">
        <v>-838444</v>
      </c>
      <c r="C12" s="5" t="n">
        <v>-340002</v>
      </c>
      <c r="D12" s="5" t="n">
        <v>47639</v>
      </c>
      <c r="E12" s="5" t="n">
        <v>-1184140</v>
      </c>
      <c r="F12" s="5" t="n">
        <v>-841417</v>
      </c>
      <c r="G12" s="5" t="n">
        <v>-85177</v>
      </c>
    </row>
    <row r="13">
      <c r="A13" s="5" t="inlineStr">
        <is>
          <t>Financing activities</t>
        </is>
      </c>
      <c r="B13" s="6" t="n"/>
      <c r="C13" s="6" t="n"/>
      <c r="D13" s="6" t="n"/>
      <c r="E13" s="6" t="n"/>
      <c r="F13" s="6" t="n"/>
      <c r="G13" s="6" t="n"/>
    </row>
    <row r="14">
      <c r="A14" s="6" t="inlineStr">
        <is>
          <t>Dividends paid to shareholders</t>
        </is>
      </c>
      <c r="B14" s="6" t="n">
        <v>-150000</v>
      </c>
      <c r="C14" s="6" t="n">
        <v>-133000</v>
      </c>
      <c r="D14" s="6" t="n">
        <v>0</v>
      </c>
      <c r="E14" s="6" t="n">
        <v>-40000</v>
      </c>
      <c r="F14" s="6" t="n">
        <v>-75000</v>
      </c>
      <c r="G14" s="6" t="n">
        <v>0</v>
      </c>
    </row>
    <row r="15">
      <c r="A15" s="6" t="inlineStr">
        <is>
          <t>Payments of interest to AT1 capital holders</t>
        </is>
      </c>
      <c r="B15" s="6" t="n">
        <v>-20083</v>
      </c>
      <c r="C15" s="6" t="n">
        <v>-22011</v>
      </c>
      <c r="D15" s="6" t="n">
        <v>-19741</v>
      </c>
      <c r="E15" s="6" t="n">
        <v>-9377</v>
      </c>
      <c r="F15" s="6" t="n">
        <v>-4970</v>
      </c>
      <c r="G15" s="6" t="n">
        <v>-5137</v>
      </c>
    </row>
    <row r="16">
      <c r="A16" s="5" t="inlineStr">
        <is>
          <t>Net cash flow provided by financing activities</t>
        </is>
      </c>
      <c r="B16" s="5" t="n">
        <v>-201187</v>
      </c>
      <c r="C16" s="5" t="n">
        <v>-155922</v>
      </c>
      <c r="D16" s="5" t="n">
        <v>-20740</v>
      </c>
      <c r="E16" s="5" t="n">
        <v>79642</v>
      </c>
      <c r="F16" s="5" t="n">
        <v>-81038</v>
      </c>
      <c r="G16" s="5" t="n">
        <v>-6250</v>
      </c>
    </row>
    <row r="17">
      <c r="A17" s="5" t="inlineStr">
        <is>
          <t>Net change in cash and cash equivalents</t>
        </is>
      </c>
      <c r="B17" s="5" t="n">
        <v>-493871</v>
      </c>
      <c r="C17" s="5" t="n">
        <v>164080</v>
      </c>
      <c r="D17" s="5" t="n">
        <v>-82713</v>
      </c>
      <c r="E17" s="5" t="n">
        <v>-1043645</v>
      </c>
      <c r="F17" s="5" t="n">
        <v>7149</v>
      </c>
      <c r="G17" s="5" t="n">
        <v>1955174</v>
      </c>
    </row>
    <row r="18">
      <c r="A18" s="6" t="inlineStr">
        <is>
          <t>Cash and cash equivalents, beginning of year</t>
        </is>
      </c>
      <c r="B18" s="6" t="n">
        <v>3473906</v>
      </c>
      <c r="C18" s="6" t="n">
        <v>3309826</v>
      </c>
      <c r="D18" s="6" t="n">
        <v>3392539</v>
      </c>
      <c r="E18" s="6" t="n">
        <v>4436184</v>
      </c>
      <c r="F18" s="6" t="n">
        <v>2962528</v>
      </c>
      <c r="G18" s="6" t="n">
        <v>1007354</v>
      </c>
    </row>
    <row r="19">
      <c r="A19" s="5" t="inlineStr">
        <is>
          <t>Cash and cash equivalents, end of year</t>
        </is>
      </c>
      <c r="B19" s="5" t="n">
        <v>2980035</v>
      </c>
      <c r="C19" s="5" t="n">
        <v>3473906</v>
      </c>
      <c r="D19" s="5" t="n">
        <v>3309826</v>
      </c>
      <c r="E19" s="5" t="n">
        <v>3392539</v>
      </c>
      <c r="F19" s="5" t="n">
        <v>2969677</v>
      </c>
      <c r="G19" s="5" t="n">
        <v>2962528</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FY2020: Northern Bank Limited Annual Report and Financial Statements 2020, p.75 -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
FY2021/FY2022 CASH-DEFINITION RECLASSIFICATION NOTE (re-checked in full per HD-081, 2026-09-07): FY2021's own Annual Report (p.107) reports 'Cash and cash equivalents, end of year' of £2,969,677k, made up of non-mandatory deposits with central banks (£2,921,654k) and deposits with credit institutions with terms shorter than 3 months (£48,023k) - mandatory central-bank deposits are explicitly excluded from that year's own definition of cash equivalents. FY2022's own Annual Report (p.119) restates the FY2021 comparative 'Cash and cash equivalents, end of year' as £4,436,184k - the same £2,921,654k and £48,023k components plus a newly-added £1,466,507k of 'mandatory deposits' with central banks (its own Note 10 balance), which FY2021's report held outside the cash-equivalents boundary. The £1,466,507k gap (~£1.47bn) between this sheet's FY2021 closing cash (2,969,677) and FY2022 opening cash (4,436,184) is exactly this mandatory-deposits component - i.e. a genuine, source-documented change in which balances the Bank classifies as 'cash and cash equivalents' between report vintages (FY2022's report does not flag this as a formal restatement or describe the change in its Note 1(c) 'Changes to accounting policies and presentation', so the cause is inferred from directly comparing both years' own reconciliation tables, not from an explicit restatement disclosure). Consistent with this workbook's standing practice, each year's own originally-published figure is retained on this sheet rather than force-matched; FY2020-FY2021 and FY2022-FY2023 both tie exactly within their own report vintage.</t>
        </is>
      </c>
    </row>
  </sheetData>
  <mergeCells count="1">
    <mergeCell ref="A21:G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t>
        </is>
      </c>
      <c r="B5" s="6" t="n">
        <v>7639874</v>
      </c>
      <c r="C5" s="6" t="n">
        <v>6618811</v>
      </c>
      <c r="D5" s="6" t="n">
        <v>6115316</v>
      </c>
      <c r="E5" s="6" t="n">
        <v>5480235</v>
      </c>
      <c r="F5" s="6" t="n">
        <v>5501521</v>
      </c>
      <c r="G5" s="6" t="n">
        <v>5263981</v>
      </c>
    </row>
    <row r="6">
      <c r="A6" s="6" t="inlineStr">
        <is>
          <t>Stage 2</t>
        </is>
      </c>
      <c r="B6" s="6" t="n">
        <v>347793</v>
      </c>
      <c r="C6" s="6" t="n">
        <v>328902</v>
      </c>
      <c r="D6" s="6" t="n">
        <v>489900</v>
      </c>
      <c r="E6" s="6" t="n">
        <v>758653</v>
      </c>
      <c r="F6" s="6" t="n">
        <v>479569</v>
      </c>
      <c r="G6" s="6" t="n">
        <v>551088</v>
      </c>
    </row>
    <row r="7">
      <c r="A7" s="6" t="inlineStr">
        <is>
          <t>Stage 3</t>
        </is>
      </c>
      <c r="B7" s="6" t="n">
        <v>148814</v>
      </c>
      <c r="C7" s="6" t="n">
        <v>165234</v>
      </c>
      <c r="D7" s="6" t="n">
        <v>222529</v>
      </c>
      <c r="E7" s="6" t="n">
        <v>194154</v>
      </c>
      <c r="F7" s="6" t="n">
        <v>316083</v>
      </c>
      <c r="G7" s="6" t="n">
        <v>522902</v>
      </c>
    </row>
    <row r="8">
      <c r="A8" s="5" t="inlineStr">
        <is>
          <t>Gross carrying amount</t>
        </is>
      </c>
      <c r="B8" s="5" t="n">
        <v>8136481</v>
      </c>
      <c r="C8" s="5" t="n">
        <v>7112947</v>
      </c>
      <c r="D8" s="5" t="n">
        <v>6827745</v>
      </c>
      <c r="E8" s="5" t="n">
        <v>6433042</v>
      </c>
      <c r="F8" s="5" t="n">
        <v>6297173</v>
      </c>
      <c r="G8" s="5" t="n">
        <v>6337971</v>
      </c>
    </row>
    <row r="9">
      <c r="A9" s="6" t="inlineStr">
        <is>
          <t>ECL allowance on loans at amortised cost</t>
        </is>
      </c>
      <c r="B9" s="6" t="n">
        <v>-82091</v>
      </c>
      <c r="C9" s="6" t="n">
        <v>-82104</v>
      </c>
      <c r="D9" s="6" t="n">
        <v>-88013</v>
      </c>
      <c r="E9" s="6" t="n">
        <v>-98335</v>
      </c>
      <c r="F9" s="6" t="n">
        <v>-90509</v>
      </c>
      <c r="G9" s="6" t="n">
        <v>-108130</v>
      </c>
    </row>
    <row r="10">
      <c r="A10" s="5" t="inlineStr">
        <is>
          <t>Net carrying amount (Balance Sheet loans and advances to customers)</t>
        </is>
      </c>
      <c r="B10" s="5" t="n">
        <v>8054390</v>
      </c>
      <c r="C10" s="5" t="n">
        <v>7030843</v>
      </c>
      <c r="D10" s="5" t="n">
        <v>6739732</v>
      </c>
      <c r="E10" s="5" t="n">
        <v>6334707</v>
      </c>
      <c r="F10" s="5" t="n">
        <v>6206664</v>
      </c>
      <c r="G10" s="5" t="n">
        <v>6229841</v>
      </c>
    </row>
    <row r="11">
      <c r="A11" s="6" t="inlineStr">
        <is>
          <t>Stage 3 as % of gross carrying amount (NPL ratio)</t>
        </is>
      </c>
      <c r="B11" s="6" t="inlineStr">
        <is>
          <t>1.83%</t>
        </is>
      </c>
      <c r="C11" s="6" t="inlineStr">
        <is>
          <t>2.32%</t>
        </is>
      </c>
      <c r="D11" s="6" t="inlineStr">
        <is>
          <t>3.26%</t>
        </is>
      </c>
      <c r="E11" s="6" t="inlineStr">
        <is>
          <t>3.02%</t>
        </is>
      </c>
      <c r="F11" s="6" t="inlineStr">
        <is>
          <t>5.02%</t>
        </is>
      </c>
      <c r="G11" s="6" t="inlineStr">
        <is>
          <t>8.25%</t>
        </is>
      </c>
    </row>
    <row r="12">
      <c r="A12" s="6" t="inlineStr">
        <is>
          <t>Stage 2 as % of gross carrying amount</t>
        </is>
      </c>
      <c r="B12" s="6" t="inlineStr">
        <is>
          <t>4.28%</t>
        </is>
      </c>
      <c r="C12" s="6" t="inlineStr">
        <is>
          <t>4.62%</t>
        </is>
      </c>
      <c r="D12" s="6" t="inlineStr">
        <is>
          <t>7.18%</t>
        </is>
      </c>
      <c r="E12" s="6" t="inlineStr">
        <is>
          <t>11.79%</t>
        </is>
      </c>
      <c r="F12" s="6" t="inlineStr">
        <is>
          <t>7.62%</t>
        </is>
      </c>
      <c r="G12" s="6" t="inlineStr">
        <is>
          <t>8.69%</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c r="G13" s="6" t="inlineStr">
        <is>
          <t>1.71%</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c r="G14" s="6" t="n"/>
    </row>
    <row r="15">
      <c r="A15" s="6" t="inlineStr">
        <is>
          <t>Stage 1 (all categories)</t>
        </is>
      </c>
      <c r="B15" s="6" t="n">
        <v>15373</v>
      </c>
      <c r="C15" s="6" t="n">
        <v>13317</v>
      </c>
      <c r="D15" s="6" t="n">
        <v>13459</v>
      </c>
      <c r="E15" s="6" t="n">
        <v>13322</v>
      </c>
      <c r="F15" s="6" t="n">
        <v>5210</v>
      </c>
      <c r="G15" s="6" t="n">
        <v>13113</v>
      </c>
    </row>
    <row r="16">
      <c r="A16" s="6" t="inlineStr">
        <is>
          <t>Stage 2 (all categories)</t>
        </is>
      </c>
      <c r="B16" s="6" t="n">
        <v>25921</v>
      </c>
      <c r="C16" s="6" t="n">
        <v>22220</v>
      </c>
      <c r="D16" s="6" t="n">
        <v>26395</v>
      </c>
      <c r="E16" s="6" t="n">
        <v>38399</v>
      </c>
      <c r="F16" s="6" t="n">
        <v>9258</v>
      </c>
      <c r="G16" s="6" t="n">
        <v>14449</v>
      </c>
    </row>
    <row r="17">
      <c r="A17" s="6" t="inlineStr">
        <is>
          <t>Stage 3 (all categories)</t>
        </is>
      </c>
      <c r="B17" s="6" t="n">
        <v>45251</v>
      </c>
      <c r="C17" s="6" t="n">
        <v>51823</v>
      </c>
      <c r="D17" s="6" t="n">
        <v>52750</v>
      </c>
      <c r="E17" s="6" t="n">
        <v>51288</v>
      </c>
      <c r="F17" s="6" t="n">
        <v>81514</v>
      </c>
      <c r="G17" s="6" t="n">
        <v>92806</v>
      </c>
    </row>
    <row r="18">
      <c r="A18" s="5" t="inlineStr">
        <is>
          <t>Total ECL allowance account (all categories)</t>
        </is>
      </c>
      <c r="B18" s="5" t="n">
        <v>86545</v>
      </c>
      <c r="C18" s="5" t="n">
        <v>87360</v>
      </c>
      <c r="D18" s="5" t="n">
        <v>92604</v>
      </c>
      <c r="E18" s="5" t="n">
        <v>103009</v>
      </c>
      <c r="F18" s="5" t="n">
        <v>95982</v>
      </c>
      <c r="G18" s="5" t="n">
        <v>120368</v>
      </c>
    </row>
    <row r="20" ht="340"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FY2020: p.94 (gross carrying, Note 14), p.93 (loans-only allowance account, Note 14), p.97 (total allowance account reconciliation, Note 14) - https://danskebank.co.uk/-/media/danske-bank/uk/about-us/corporate-governance/annual-reports/northern-bank---annual-report-og-accounts-2020.pdf (the FY2020 report's own note numbering for this disclosure is Note 14, renumbered to Note 16 from FY2021 onward).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capital after deductions</t>
        </is>
      </c>
      <c r="B4" s="6" t="n">
        <v>655970</v>
      </c>
      <c r="C4" s="6" t="n">
        <v>636698</v>
      </c>
      <c r="D4" s="6" t="n">
        <v>616879</v>
      </c>
      <c r="E4" s="6" t="n">
        <v>504118</v>
      </c>
      <c r="F4" s="6" t="n">
        <v>496106</v>
      </c>
      <c r="G4" s="6" t="n">
        <v>585834</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14.9%</t>
        </is>
      </c>
      <c r="C4" s="6" t="inlineStr">
        <is>
          <t>16.1%</t>
        </is>
      </c>
      <c r="D4" s="6" t="inlineStr">
        <is>
          <t>15.6%</t>
        </is>
      </c>
      <c r="E4" s="6" t="inlineStr">
        <is>
          <t>13.6%</t>
        </is>
      </c>
      <c r="F4" s="6" t="inlineStr">
        <is>
          <t>14.4%</t>
        </is>
      </c>
      <c r="G4" s="6" t="inlineStr">
        <is>
          <t>16.1%</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835421</v>
      </c>
      <c r="C4" s="6" t="n">
        <v>797744</v>
      </c>
      <c r="D4" s="6" t="n">
        <v>774046</v>
      </c>
      <c r="E4" s="6" t="n">
        <v>666724</v>
      </c>
      <c r="F4" s="6" t="n">
        <v>561291</v>
      </c>
      <c r="G4" s="6" t="n">
        <v>657729</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19.0%</t>
        </is>
      </c>
      <c r="C4" s="6" t="inlineStr">
        <is>
          <t>20.2%</t>
        </is>
      </c>
      <c r="D4" s="6" t="inlineStr">
        <is>
          <t>19.6%</t>
        </is>
      </c>
      <c r="E4" s="6" t="inlineStr">
        <is>
          <t>18.0%</t>
        </is>
      </c>
      <c r="F4" s="6" t="inlineStr">
        <is>
          <t>16.3%</t>
        </is>
      </c>
      <c r="G4" s="6" t="inlineStr">
        <is>
          <t>18.1%</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after deductions</t>
        </is>
      </c>
      <c r="B4" s="6" t="n">
        <v>835421</v>
      </c>
      <c r="C4" s="6" t="n">
        <v>797744</v>
      </c>
      <c r="D4" s="6" t="n">
        <v>774046</v>
      </c>
      <c r="E4" s="6" t="n">
        <v>666724</v>
      </c>
      <c r="F4" s="6" t="n">
        <v>648203</v>
      </c>
      <c r="G4" s="6" t="n">
        <v>753588</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19.0%</t>
        </is>
      </c>
      <c r="C4" s="6" t="inlineStr">
        <is>
          <t>20.2%</t>
        </is>
      </c>
      <c r="D4" s="6" t="inlineStr">
        <is>
          <t>19.6%</t>
        </is>
      </c>
      <c r="E4" s="6" t="inlineStr">
        <is>
          <t>18.0%</t>
        </is>
      </c>
      <c r="F4" s="6" t="inlineStr">
        <is>
          <t>18.8%</t>
        </is>
      </c>
      <c r="G4" s="6" t="inlineStr">
        <is>
          <t>20.7%</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4401004</v>
      </c>
      <c r="C4" s="6" t="n">
        <v>3949640</v>
      </c>
      <c r="D4" s="6" t="n">
        <v>3947673</v>
      </c>
      <c r="E4" s="6" t="n">
        <v>3694531</v>
      </c>
      <c r="F4" s="6" t="n">
        <v>3455735</v>
      </c>
      <c r="G4" s="6" t="n">
        <v>3634478</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3849058</v>
      </c>
      <c r="C4" s="6" t="n">
        <v>3482122</v>
      </c>
      <c r="D4" s="6" t="n">
        <v>3546324</v>
      </c>
      <c r="E4" s="6" t="n">
        <v>3317928</v>
      </c>
      <c r="F4" s="6" t="n">
        <v>3090753</v>
      </c>
      <c r="G4" s="6" t="n">
        <v>3249042</v>
      </c>
    </row>
    <row r="5">
      <c r="A5" s="6" t="inlineStr">
        <is>
          <t>Operational risk</t>
        </is>
      </c>
      <c r="B5" s="6" t="n">
        <v>546447</v>
      </c>
      <c r="C5" s="6" t="n">
        <v>467065</v>
      </c>
      <c r="D5" s="6" t="n">
        <v>401329</v>
      </c>
      <c r="E5" s="6" t="n">
        <v>376579</v>
      </c>
      <c r="F5" s="6" t="n">
        <v>364961</v>
      </c>
      <c r="G5" s="6" t="n">
        <v>384135</v>
      </c>
    </row>
    <row r="6">
      <c r="A6" s="6" t="inlineStr">
        <is>
          <t>Market risk</t>
        </is>
      </c>
      <c r="B6" s="6" t="n">
        <v>4620</v>
      </c>
      <c r="C6" s="6" t="n">
        <v>19</v>
      </c>
      <c r="D6" s="6" t="n">
        <v>20</v>
      </c>
      <c r="E6" s="6" t="n">
        <v>24</v>
      </c>
      <c r="F6" s="6" t="n">
        <v>21</v>
      </c>
      <c r="G6" s="6" t="n">
        <v>0</v>
      </c>
    </row>
    <row r="7">
      <c r="A7" s="6" t="inlineStr">
        <is>
          <t>Credit value adjustment</t>
        </is>
      </c>
      <c r="B7" s="6" t="n">
        <v>879</v>
      </c>
      <c r="C7" s="6" t="n">
        <v>434</v>
      </c>
      <c r="D7" s="6" t="n">
        <v>0</v>
      </c>
      <c r="E7" s="6" t="n">
        <v>0</v>
      </c>
      <c r="F7" s="6" t="n">
        <v>0</v>
      </c>
      <c r="G7" s="6" t="n">
        <v>1301</v>
      </c>
    </row>
    <row r="8">
      <c r="A8" s="5" t="inlineStr">
        <is>
          <t>Total risk-weighted exposure amount</t>
        </is>
      </c>
      <c r="B8" s="5" t="n">
        <v>4401004</v>
      </c>
      <c r="C8" s="5" t="n">
        <v>3949640</v>
      </c>
      <c r="D8" s="5" t="n">
        <v>3947673</v>
      </c>
      <c r="E8" s="5" t="n">
        <v>3694531</v>
      </c>
      <c r="F8" s="5" t="n">
        <v>3455735</v>
      </c>
      <c r="G8" s="5" t="n">
        <v>3634478</v>
      </c>
    </row>
    <row r="10" ht="18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FY2020: Northern Bank Limited Annual Report and Financial Statements 2020, p.49 -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 UK Leverage Ratio Framework basis, exposure measure EXCLUDES central bank reserves and government-guaranteed Bounce Back Loans (FY2022 onward)</t>
        </is>
      </c>
      <c r="B4" s="6" t="inlineStr">
        <is>
          <t>6.4%</t>
        </is>
      </c>
      <c r="C4" s="6" t="inlineStr">
        <is>
          <t>7.2%</t>
        </is>
      </c>
      <c r="D4" s="6" t="inlineStr">
        <is>
          <t>7.4%</t>
        </is>
      </c>
      <c r="E4" s="6" t="inlineStr">
        <is>
          <t>6.7%</t>
        </is>
      </c>
      <c r="F4" s="6" t="n"/>
      <c r="G4" s="6" t="n"/>
    </row>
    <row r="5">
      <c r="A5" s="6" t="inlineStr">
        <is>
          <t>Leverage ratio - pre-2022 basis, exposure measure INCLUDES central bank reserves and BBLs, as originally reported (FY2020-FY2021)</t>
        </is>
      </c>
      <c r="B5" s="6" t="n"/>
      <c r="C5" s="6" t="n"/>
      <c r="D5" s="6" t="n"/>
      <c r="E5" s="6" t="n"/>
      <c r="F5" s="6" t="inlineStr">
        <is>
          <t>4.2%</t>
        </is>
      </c>
      <c r="G5" s="6" t="inlineStr">
        <is>
          <t>5.2%</t>
        </is>
      </c>
    </row>
    <row r="6" ht="60" customHeight="1">
      <c r="A6" s="7" t="inlineStr">
        <is>
          <t>Note: THESE TWO ROWS ARE NOT A LIKE-FOR-LIKE SERIES. The Bank says so itself, in the FY2022 Annual Report's 'Capital and leverage position (unaudited)' section (p.52): 'On 8 October 2021, the FPC and PRA jointly published PS21/21 "The UK Leverage Ratio Framework", with an implementation date for certain requirements of 1 January 2022. As a result, the Bank is no longer subject to a regulatory leverage ratio requirement, but instead a supervisory expectation to maintain a leverage ratio above 3.25%. In addition, the leverage exposure measure excludes central bank reserves and the government guaranteed lending through Bounce Bank [sic] Loans (BBLs). This has resulted in an increase in the leverage ratio to 6.7% at 31 December 2022 (2021: 4.2%).' The Bank therefore attributes the whole 4.2% -&gt; 6.7% step to the change of denominator, not to any change in the Bank - which is why the two bases are on separate rows here and must never be read, charted or trended as one series. Note the exclusion is TWO items, not just central bank claims: BBL lending is excluded as well. The Bank did NOT restate FY2020 or FY2021 onto the excluding basis and did not publish an including-basis figure for FY2022 onward, so each row stops where the Bank's own disclosure stops; nothing here is back-solved from the other basis. The FY2022 report is the only edition that states the exclusion explicitly - the FY2023, FY2024 and FY2025 reports simply carry the ratio forward on the framework basis then in force.</t>
        </is>
      </c>
    </row>
    <row r="8" ht="260" customHeight="1">
      <c r="A8"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(pillar 1 + 2)</t>
        </is>
      </c>
      <c r="B4" s="6" t="inlineStr">
        <is>
          <t>287%</t>
        </is>
      </c>
      <c r="C4" s="6" t="inlineStr">
        <is>
          <t>318%</t>
        </is>
      </c>
      <c r="D4" s="6" t="inlineStr">
        <is>
          <t>309%</t>
        </is>
      </c>
      <c r="E4" s="6" t="inlineStr">
        <is>
          <t>290%</t>
        </is>
      </c>
      <c r="F4" s="6" t="inlineStr">
        <is>
          <t>293%</t>
        </is>
      </c>
      <c r="G4" s="6" t="inlineStr">
        <is>
          <t>264%</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200%</t>
        </is>
      </c>
      <c r="C4" s="6" t="inlineStr">
        <is>
          <t>207%</t>
        </is>
      </c>
      <c r="D4" s="6" t="inlineStr">
        <is>
          <t>203%</t>
        </is>
      </c>
      <c r="E4" s="6" t="inlineStr">
        <is>
          <t>217%</t>
        </is>
      </c>
      <c r="F4" s="6" t="inlineStr">
        <is>
          <t>213%</t>
        </is>
      </c>
      <c r="G4" s="6" t="inlineStr">
        <is>
          <t>199%</t>
        </is>
      </c>
    </row>
    <row r="5" ht="60" customHeight="1">
      <c r="A5" s="7" t="inlineStr">
        <is>
          <t>Note: The FY2020 figure (199%) is not disclosed in the Bank's own FY2020 Annual Report (which predates the Bank's NSFR disclosure) - it is the FY2021 Annual Report's own '31 December 2020' comparative (p.70), corroborated as the same NSFR metric introduced that year (a binding NSFR requirement came into force in Q1 2022).</t>
        </is>
      </c>
    </row>
    <row r="7" ht="180" customHeight="1">
      <c r="A7"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127%</t>
        </is>
      </c>
      <c r="C4" s="6" t="inlineStr">
        <is>
          <t>148%</t>
        </is>
      </c>
      <c r="D4" s="6" t="inlineStr">
        <is>
          <t>148%</t>
        </is>
      </c>
      <c r="E4" s="6" t="inlineStr">
        <is>
          <t>146%</t>
        </is>
      </c>
      <c r="F4" s="6" t="inlineStr">
        <is>
          <t>134%</t>
        </is>
      </c>
      <c r="G4" s="6" t="n"/>
    </row>
    <row r="5" ht="60" customHeight="1">
      <c r="A5" s="7" t="inlineStr">
        <is>
          <t>Note: MREL ratios are the Bank's own annual internal-MREL disclosures. The 2021 figure is the 2021 comparative in the 2022 report and is corroborated by the 2021 report's MREL discussion. FY2020 SELF-SKIP: no numeric MREL ratio for FY2020 is disclosed anywhere - not in the Bank's own FY2020 Annual Report (p.47-48 discusses MREL only qualitatively, 'the Bank did not require any additional MREL funds'), not in the FY2021 Annual Report (same qualitative-only treatment, p.65), and the FY2022 Annual Report's own MREL reconciliation table (p.55) only tables FY2022 and FY2021, with no FY2020 comparative column. This is a genuine non-disclosure, not an access gap - all three primary-source PDFs were read in full.</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p.47 -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2026-09-16T00:42:43Z</dcterms:created>
  <dcterms:modified xmlns:dcterms="http://purl.org/dc/terms/" xmlns:xsi="http://www.w3.org/2001/XMLSchema-instance" xsi:type="dcterms:W3CDTF">2026-09-16T00:42:43Z</dcterms:modified>
</cp:coreProperties>
</file>