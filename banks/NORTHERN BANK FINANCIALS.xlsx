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KM1 Key Metrics" sheetId="7" state="visible" r:id="rId7"/>
    <sheet xmlns:r="http://schemas.openxmlformats.org/officeDocument/2006/relationships" name="CET1 Capital" sheetId="8" state="visible" r:id="rId8"/>
    <sheet xmlns:r="http://schemas.openxmlformats.org/officeDocument/2006/relationships" name="CET1 Ratio" sheetId="9" state="visible" r:id="rId9"/>
    <sheet xmlns:r="http://schemas.openxmlformats.org/officeDocument/2006/relationships" name="Tier 1 Capital" sheetId="10" state="visible" r:id="rId10"/>
    <sheet xmlns:r="http://schemas.openxmlformats.org/officeDocument/2006/relationships" name="Tier 1 Ratio" sheetId="11" state="visible" r:id="rId11"/>
    <sheet xmlns:r="http://schemas.openxmlformats.org/officeDocument/2006/relationships" name="Total Capital" sheetId="12" state="visible" r:id="rId12"/>
    <sheet xmlns:r="http://schemas.openxmlformats.org/officeDocument/2006/relationships" name="Total Capital Ratio" sheetId="13" state="visible" r:id="rId13"/>
    <sheet xmlns:r="http://schemas.openxmlformats.org/officeDocument/2006/relationships" name="Total RWAs" sheetId="14" state="visible" r:id="rId14"/>
    <sheet xmlns:r="http://schemas.openxmlformats.org/officeDocument/2006/relationships" name="RWA Breakdown" sheetId="15" state="visible" r:id="rId15"/>
    <sheet xmlns:r="http://schemas.openxmlformats.org/officeDocument/2006/relationships" name="Leverage Ratio" sheetId="16" state="visible" r:id="rId16"/>
    <sheet xmlns:r="http://schemas.openxmlformats.org/officeDocument/2006/relationships" name="LCR" sheetId="17" state="visible" r:id="rId17"/>
    <sheet xmlns:r="http://schemas.openxmlformats.org/officeDocument/2006/relationships" name="NSFR" sheetId="18" state="visible" r:id="rId18"/>
    <sheet xmlns:r="http://schemas.openxmlformats.org/officeDocument/2006/relationships" name="MREL Ratio" sheetId="19" state="visible" r:id="rId1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1D3557"/>
        <bgColor rgb="001D3557"/>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Northern Bank Limited (trading as Danske Bank)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'Overview'!J6</f>
            </strRef>
          </tx>
          <spPr>
            <a:ln xmlns:a="http://schemas.openxmlformats.org/drawingml/2006/main">
              <a:prstDash val="solid"/>
            </a:ln>
          </spPr>
          <cat>
            <numRef>
              <f>'Overview'!$K$5:$P$5</f>
            </numRef>
          </cat>
          <val>
            <numRef>
              <f>'Overview'!$K$6:$P$6</f>
            </numRef>
          </val>
        </ser>
        <ser>
          <idx val="1"/>
          <order val="1"/>
          <tx>
            <strRef>
              <f>'Overview'!J7</f>
            </strRef>
          </tx>
          <spPr>
            <a:ln xmlns:a="http://schemas.openxmlformats.org/drawingml/2006/main">
              <a:prstDash val="solid"/>
            </a:ln>
          </spPr>
          <cat>
            <numRef>
              <f>'Overview'!$K$5:$P$5</f>
            </numRef>
          </cat>
          <val>
            <numRef>
              <f>'Overview'!$K$7:$P$7</f>
            </numRef>
          </val>
        </ser>
        <ser>
          <idx val="2"/>
          <order val="2"/>
          <tx>
            <strRef>
              <f>'Overview'!J8</f>
            </strRef>
          </tx>
          <spPr>
            <a:ln xmlns:a="http://schemas.openxmlformats.org/drawingml/2006/main">
              <a:prstDash val="solid"/>
            </a:ln>
          </spPr>
          <cat>
            <numRef>
              <f>'Overview'!$K$5:$P$5</f>
            </numRef>
          </cat>
          <val>
            <numRef>
              <f>'Overview'!$K$8:$P$8</f>
            </numRef>
          </val>
        </ser>
        <ser>
          <idx val="3"/>
          <order val="3"/>
          <tx>
            <strRef>
              <f>'Overview'!J9</f>
            </strRef>
          </tx>
          <spPr>
            <a:ln xmlns:a="http://schemas.openxmlformats.org/drawingml/2006/main">
              <a:prstDash val="solid"/>
            </a:ln>
          </spPr>
          <cat>
            <numRef>
              <f>'Overview'!$K$5:$P$5</f>
            </numRef>
          </cat>
          <val>
            <numRef>
              <f>'Overview'!$K$9:$P$9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Northern Bank Limited (trading as Danske Bank)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'Overview'!S13</f>
            </strRef>
          </tx>
          <spPr>
            <a:ln xmlns:a="http://schemas.openxmlformats.org/drawingml/2006/main">
              <a:prstDash val="solid"/>
            </a:ln>
          </spPr>
          <cat>
            <numRef>
              <f>'Overview'!$T$12:$Y$12</f>
            </numRef>
          </cat>
          <val>
            <numRef>
              <f>'Overview'!$T$13:$Y$13</f>
            </numRef>
          </val>
        </ser>
        <ser>
          <idx val="1"/>
          <order val="1"/>
          <tx>
            <strRef>
              <f>'Overview'!S14</f>
            </strRef>
          </tx>
          <spPr>
            <a:ln xmlns:a="http://schemas.openxmlformats.org/drawingml/2006/main">
              <a:prstDash val="solid"/>
            </a:ln>
          </spPr>
          <cat>
            <numRef>
              <f>'Overview'!$T$12:$Y$12</f>
            </numRef>
          </cat>
          <val>
            <numRef>
              <f>'Overview'!$T$14:$Y$14</f>
            </numRef>
          </val>
        </ser>
        <ser>
          <idx val="2"/>
          <order val="2"/>
          <tx>
            <strRef>
              <f>'Overview'!S15</f>
            </strRef>
          </tx>
          <spPr>
            <a:ln xmlns:a="http://schemas.openxmlformats.org/drawingml/2006/main">
              <a:prstDash val="solid"/>
            </a:ln>
          </spPr>
          <cat>
            <numRef>
              <f>'Overview'!$T$12:$Y$12</f>
            </numRef>
          </cat>
          <val>
            <numRef>
              <f>'Overview'!$T$15:$Y$15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Northern Bank Limited (trading as Danske Bank)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'Overview'!AB19</f>
            </strRef>
          </tx>
          <spPr>
            <a:ln xmlns:a="http://schemas.openxmlformats.org/drawingml/2006/main">
              <a:prstDash val="solid"/>
            </a:ln>
          </spPr>
          <cat>
            <numRef>
              <f>'Overview'!$AC$18:$AH$18</f>
            </numRef>
          </cat>
          <val>
            <numRef>
              <f>'Overview'!$AC$19:$AH$19</f>
            </numRef>
          </val>
        </ser>
        <ser>
          <idx val="1"/>
          <order val="1"/>
          <tx>
            <strRef>
              <f>'Overview'!AB20</f>
            </strRef>
          </tx>
          <spPr>
            <a:ln xmlns:a="http://schemas.openxmlformats.org/drawingml/2006/main">
              <a:prstDash val="solid"/>
            </a:ln>
          </spPr>
          <cat>
            <numRef>
              <f>'Overview'!$AC$18:$AH$18</f>
            </numRef>
          </cat>
          <val>
            <numRef>
              <f>'Overview'!$AC$20:$AH$20</f>
            </numRef>
          </val>
        </ser>
        <ser>
          <idx val="2"/>
          <order val="2"/>
          <tx>
            <strRef>
              <f>'Overview'!AB21</f>
            </strRef>
          </tx>
          <spPr>
            <a:ln xmlns:a="http://schemas.openxmlformats.org/drawingml/2006/main">
              <a:prstDash val="solid"/>
            </a:ln>
          </spPr>
          <cat>
            <numRef>
              <f>'Overview'!$AC$18:$AH$18</f>
            </numRef>
          </cat>
          <val>
            <numRef>
              <f>'Overview'!$AC$21:$AH$21</f>
            </numRef>
          </val>
        </ser>
        <ser>
          <idx val="3"/>
          <order val="3"/>
          <tx>
            <strRef>
              <f>'Overview'!AB22</f>
            </strRef>
          </tx>
          <spPr>
            <a:ln xmlns:a="http://schemas.openxmlformats.org/drawingml/2006/main">
              <a:prstDash val="solid"/>
            </a:ln>
          </spPr>
          <cat>
            <numRef>
              <f>'Overview'!$AC$18:$AH$18</f>
            </numRef>
          </cat>
          <val>
            <numRef>
              <f>'Overview'!$AC$22:$AH$22</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Northern Bank Limited (trading as Danske Bank)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'Overview'!AK26</f>
            </strRef>
          </tx>
          <spPr>
            <a:ln xmlns:a="http://schemas.openxmlformats.org/drawingml/2006/main">
              <a:prstDash val="solid"/>
            </a:ln>
          </spPr>
          <cat>
            <numRef>
              <f>'Overview'!$AL$25:$AQ$25</f>
            </numRef>
          </cat>
          <val>
            <numRef>
              <f>'Overview'!$AL$26:$AQ$26</f>
            </numRef>
          </val>
        </ser>
        <ser>
          <idx val="1"/>
          <order val="1"/>
          <tx>
            <strRef>
              <f>'Overview'!AK27</f>
            </strRef>
          </tx>
          <spPr>
            <a:ln xmlns:a="http://schemas.openxmlformats.org/drawingml/2006/main">
              <a:prstDash val="solid"/>
            </a:ln>
          </spPr>
          <cat>
            <numRef>
              <f>'Overview'!$AL$25:$AQ$25</f>
            </numRef>
          </cat>
          <val>
            <numRef>
              <f>'Overview'!$AL$27:$AQ$27</f>
            </numRef>
          </val>
        </ser>
        <ser>
          <idx val="2"/>
          <order val="2"/>
          <tx>
            <strRef>
              <f>'Overview'!AK28</f>
            </strRef>
          </tx>
          <spPr>
            <a:ln xmlns:a="http://schemas.openxmlformats.org/drawingml/2006/main">
              <a:prstDash val="solid"/>
            </a:ln>
          </spPr>
          <cat>
            <numRef>
              <f>'Overview'!$AL$25:$AQ$25</f>
            </numRef>
          </cat>
          <val>
            <numRef>
              <f>'Overview'!$AL$28:$AQ$28</f>
            </numRef>
          </val>
        </ser>
        <ser>
          <idx val="3"/>
          <order val="3"/>
          <tx>
            <strRef>
              <f>'Overview'!AK29</f>
            </strRef>
          </tx>
          <spPr>
            <a:ln xmlns:a="http://schemas.openxmlformats.org/drawingml/2006/main">
              <a:prstDash val="solid"/>
            </a:ln>
          </spPr>
          <cat>
            <numRef>
              <f>'Overview'!$AL$25:$AQ$25</f>
            </numRef>
          </cat>
          <val>
            <numRef>
              <f>'Overview'!$AL$29:$AQ$29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Northern Bank Limited (trading as Danske Bank)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'Overview'!AT6</f>
            </strRef>
          </tx>
          <spPr>
            <a:ln xmlns:a="http://schemas.openxmlformats.org/drawingml/2006/main">
              <a:prstDash val="solid"/>
            </a:ln>
          </spPr>
          <marker>
            <symbol val="none"/>
            <spPr>
              <a:ln xmlns:a="http://schemas.openxmlformats.org/drawingml/2006/main">
                <a:prstDash val="solid"/>
              </a:ln>
            </spPr>
          </marker>
          <cat>
            <numRef>
              <f>'Overview'!$AU$5:$AZ$5</f>
            </numRef>
          </cat>
          <val>
            <numRef>
              <f>'Overview'!$AU$6:$AZ$6</f>
            </numRef>
          </val>
          <smooth val="0"/>
        </ser>
        <ser>
          <idx val="1"/>
          <order val="1"/>
          <tx>
            <strRef>
              <f>'Overview'!AT7</f>
            </strRef>
          </tx>
          <spPr>
            <a:ln xmlns:a="http://schemas.openxmlformats.org/drawingml/2006/main">
              <a:prstDash val="solid"/>
            </a:ln>
          </spPr>
          <marker>
            <symbol val="none"/>
            <spPr>
              <a:ln xmlns:a="http://schemas.openxmlformats.org/drawingml/2006/main">
                <a:prstDash val="solid"/>
              </a:ln>
            </spPr>
          </marker>
          <cat>
            <numRef>
              <f>'Overview'!$AU$5:$AZ$5</f>
            </numRef>
          </cat>
          <val>
            <numRef>
              <f>'Overview'!$AU$7:$AZ$7</f>
            </numRef>
          </val>
          <smooth val="0"/>
        </ser>
        <ser>
          <idx val="2"/>
          <order val="2"/>
          <tx>
            <strRef>
              <f>'Overview'!AT8</f>
            </strRef>
          </tx>
          <spPr>
            <a:ln xmlns:a="http://schemas.openxmlformats.org/drawingml/2006/main">
              <a:prstDash val="solid"/>
            </a:ln>
          </spPr>
          <marker>
            <symbol val="none"/>
            <spPr>
              <a:ln xmlns:a="http://schemas.openxmlformats.org/drawingml/2006/main">
                <a:prstDash val="solid"/>
              </a:ln>
            </spPr>
          </marker>
          <cat>
            <numRef>
              <f>'Overview'!$AU$5:$AZ$5</f>
            </numRef>
          </cat>
          <val>
            <numRef>
              <f>'Overview'!$AU$8:$AZ$8</f>
            </numRef>
          </val>
          <smooth val="0"/>
        </ser>
        <ser>
          <idx val="3"/>
          <order val="3"/>
          <tx>
            <strRef>
              <f>'Overview'!AT9</f>
            </strRef>
          </tx>
          <spPr>
            <a:ln xmlns:a="http://schemas.openxmlformats.org/drawingml/2006/main">
              <a:prstDash val="solid"/>
            </a:ln>
          </spPr>
          <marker>
            <symbol val="none"/>
            <spPr>
              <a:ln xmlns:a="http://schemas.openxmlformats.org/drawingml/2006/main">
                <a:prstDash val="solid"/>
              </a:ln>
            </spPr>
          </marker>
          <cat>
            <numRef>
              <f>'Overview'!$AU$5:$AZ$5</f>
            </numRef>
          </cat>
          <val>
            <numRef>
              <f>'Overview'!$AU$9:$AZ$9</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40</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62</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84</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106</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128</row>
      <rowOff>0</rowOff>
    </from>
    <ext cx="8640000" cy="57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Z38"/>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s>
  <sheetData>
    <row r="1">
      <c r="A1" s="1" t="inlineStr">
        <is>
          <t>Northern Bank Limited (trading as Danske Bank)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(£'000)</t>
        </is>
      </c>
    </row>
    <row r="5">
      <c r="A5" s="4" t="inlineStr">
        <is>
          <t>Line item</t>
        </is>
      </c>
      <c r="B5" s="4" t="inlineStr">
        <is>
          <t>FY2025</t>
        </is>
      </c>
      <c r="C5" s="4" t="inlineStr">
        <is>
          <t>FY2024</t>
        </is>
      </c>
      <c r="D5" s="4" t="inlineStr">
        <is>
          <t>FY2023</t>
        </is>
      </c>
      <c r="E5" s="4" t="inlineStr">
        <is>
          <t>FY2022</t>
        </is>
      </c>
      <c r="F5" s="4" t="inlineStr">
        <is>
          <t>FY2021</t>
        </is>
      </c>
      <c r="G5" s="4" t="inlineStr">
        <is>
          <t>FY2020</t>
        </is>
      </c>
      <c r="K5" t="inlineStr">
        <is>
          <t>FY2020</t>
        </is>
      </c>
      <c r="L5" t="inlineStr">
        <is>
          <t>FY2021</t>
        </is>
      </c>
      <c r="M5" t="inlineStr">
        <is>
          <t>FY2022</t>
        </is>
      </c>
      <c r="N5" t="inlineStr">
        <is>
          <t>FY2023</t>
        </is>
      </c>
      <c r="O5" t="inlineStr">
        <is>
          <t>FY2024</t>
        </is>
      </c>
      <c r="P5" t="inlineStr">
        <is>
          <t>FY2025</t>
        </is>
      </c>
      <c r="AU5" t="inlineStr">
        <is>
          <t>FY2020</t>
        </is>
      </c>
      <c r="AV5" t="inlineStr">
        <is>
          <t>FY2021</t>
        </is>
      </c>
      <c r="AW5" t="inlineStr">
        <is>
          <t>FY2022</t>
        </is>
      </c>
      <c r="AX5" t="inlineStr">
        <is>
          <t>FY2023</t>
        </is>
      </c>
      <c r="AY5" t="inlineStr">
        <is>
          <t>FY2024</t>
        </is>
      </c>
      <c r="AZ5" t="inlineStr">
        <is>
          <t>FY2025</t>
        </is>
      </c>
    </row>
    <row r="6">
      <c r="A6" s="5" t="inlineStr">
        <is>
          <t>Total assets</t>
        </is>
      </c>
      <c r="B6" s="5" t="n">
        <v>15911954</v>
      </c>
      <c r="C6" s="5" t="n">
        <v>14474391</v>
      </c>
      <c r="D6" s="5" t="n">
        <v>13697367</v>
      </c>
      <c r="E6" s="5" t="n">
        <v>13420391</v>
      </c>
      <c r="F6" s="5" t="n">
        <v>13125173</v>
      </c>
      <c r="G6" s="5" t="n">
        <v>12250189</v>
      </c>
      <c r="J6" t="inlineStr">
        <is>
          <t>Total assets</t>
        </is>
      </c>
      <c r="K6" t="n">
        <v>12250189</v>
      </c>
      <c r="L6" t="n">
        <v>13125173</v>
      </c>
      <c r="M6" t="n">
        <v>13420391</v>
      </c>
      <c r="N6" t="n">
        <v>13697367</v>
      </c>
      <c r="O6" t="n">
        <v>14474391</v>
      </c>
      <c r="P6" t="n">
        <v>15911954</v>
      </c>
      <c r="AT6" t="inlineStr">
        <is>
          <t>CET1 Ratio</t>
        </is>
      </c>
      <c r="AU6" t="n">
        <v>16.1</v>
      </c>
      <c r="AV6" t="n">
        <v>14.4</v>
      </c>
      <c r="AW6" t="n">
        <v>13.6</v>
      </c>
      <c r="AX6" t="n">
        <v>15.6</v>
      </c>
      <c r="AY6" t="n">
        <v>16.1</v>
      </c>
      <c r="AZ6" t="n">
        <v>14.9</v>
      </c>
    </row>
    <row r="7">
      <c r="A7" s="5" t="inlineStr">
        <is>
          <t>Loans and advances to customers</t>
        </is>
      </c>
      <c r="B7" s="5" t="n">
        <v>8054390</v>
      </c>
      <c r="C7" s="5" t="n">
        <v>7030843</v>
      </c>
      <c r="D7" s="5" t="n">
        <v>6739732</v>
      </c>
      <c r="E7" s="5" t="n">
        <v>6334707</v>
      </c>
      <c r="F7" s="5" t="n">
        <v>6206664</v>
      </c>
      <c r="G7" s="5" t="n">
        <v>6229841</v>
      </c>
      <c r="J7" t="inlineStr">
        <is>
          <t>Loans and advances to customers</t>
        </is>
      </c>
      <c r="K7" t="n">
        <v>6229841</v>
      </c>
      <c r="L7" t="n">
        <v>6206664</v>
      </c>
      <c r="M7" t="n">
        <v>6334707</v>
      </c>
      <c r="N7" t="n">
        <v>6739732</v>
      </c>
      <c r="O7" t="n">
        <v>7030843</v>
      </c>
      <c r="P7" t="n">
        <v>8054390</v>
      </c>
      <c r="AT7" t="inlineStr">
        <is>
          <t>Tier 1 Ratio</t>
        </is>
      </c>
      <c r="AU7" t="n">
        <v>18.1</v>
      </c>
      <c r="AV7" t="n">
        <v>16.3</v>
      </c>
      <c r="AW7" t="n">
        <v>18</v>
      </c>
      <c r="AX7" t="n">
        <v>19.6</v>
      </c>
      <c r="AY7" t="n">
        <v>20.2</v>
      </c>
      <c r="AZ7" t="n">
        <v>19</v>
      </c>
    </row>
    <row r="8">
      <c r="A8" s="5" t="inlineStr">
        <is>
          <t>Deposits from customers</t>
        </is>
      </c>
      <c r="B8" s="5" t="n">
        <v>13440624</v>
      </c>
      <c r="C8" s="5" t="n">
        <v>12053498</v>
      </c>
      <c r="D8" s="5" t="n">
        <v>11333715</v>
      </c>
      <c r="E8" s="5" t="n">
        <v>11229589</v>
      </c>
      <c r="F8" s="5" t="n">
        <v>11161358</v>
      </c>
      <c r="G8" s="5" t="n">
        <v>10228137</v>
      </c>
      <c r="J8" t="inlineStr">
        <is>
          <t>Deposits from customers</t>
        </is>
      </c>
      <c r="K8" t="n">
        <v>10228137</v>
      </c>
      <c r="L8" t="n">
        <v>11161358</v>
      </c>
      <c r="M8" t="n">
        <v>11229589</v>
      </c>
      <c r="N8" t="n">
        <v>11333715</v>
      </c>
      <c r="O8" t="n">
        <v>12053498</v>
      </c>
      <c r="P8" t="n">
        <v>13440624</v>
      </c>
      <c r="AT8" t="inlineStr">
        <is>
          <t>Total Capital Ratio</t>
        </is>
      </c>
      <c r="AU8" t="n">
        <v>20.7</v>
      </c>
      <c r="AV8" t="n">
        <v>18.8</v>
      </c>
      <c r="AW8" t="n">
        <v>18</v>
      </c>
      <c r="AX8" t="n">
        <v>19.6</v>
      </c>
      <c r="AY8" t="n">
        <v>20.2</v>
      </c>
      <c r="AZ8" t="n">
        <v>19</v>
      </c>
    </row>
    <row r="9">
      <c r="A9" s="5" t="inlineStr">
        <is>
          <t>Total equity and shareholders' equity</t>
        </is>
      </c>
      <c r="B9" s="5" t="n">
        <v>968860</v>
      </c>
      <c r="C9" s="5" t="n">
        <v>943995</v>
      </c>
      <c r="D9" s="5" t="n">
        <v>929341</v>
      </c>
      <c r="E9" s="5" t="n">
        <v>837192</v>
      </c>
      <c r="F9" s="5" t="n">
        <v>749199</v>
      </c>
      <c r="G9" s="5" t="n">
        <v>850867</v>
      </c>
      <c r="J9" t="inlineStr">
        <is>
          <t>Total equity and shareholders' equity</t>
        </is>
      </c>
      <c r="K9" t="n">
        <v>850867</v>
      </c>
      <c r="L9" t="n">
        <v>749199</v>
      </c>
      <c r="M9" t="n">
        <v>837192</v>
      </c>
      <c r="N9" t="n">
        <v>929341</v>
      </c>
      <c r="O9" t="n">
        <v>943995</v>
      </c>
      <c r="P9" t="n">
        <v>968860</v>
      </c>
      <c r="AT9" t="inlineStr">
        <is>
          <t>Leverage Ratio (BASIS BREAK at FY2021/FY2022 - see note; not a like-for-like series)</t>
        </is>
      </c>
      <c r="AU9" t="n">
        <v>5.2</v>
      </c>
      <c r="AV9" t="n">
        <v>4.2</v>
      </c>
      <c r="AW9" t="n">
        <v>6.7</v>
      </c>
      <c r="AX9" t="n">
        <v>7.4</v>
      </c>
      <c r="AY9" t="n">
        <v>7.2</v>
      </c>
      <c r="AZ9" t="n">
        <v>6.4</v>
      </c>
    </row>
    <row r="11">
      <c r="A11" s="3" t="inlineStr">
        <is>
          <t>Profit &amp; Loss Summary (£'000)</t>
        </is>
      </c>
    </row>
    <row r="12">
      <c r="A12" s="4" t="inlineStr">
        <is>
          <t>Line item</t>
        </is>
      </c>
      <c r="B12" s="4" t="inlineStr">
        <is>
          <t>FY2025</t>
        </is>
      </c>
      <c r="C12" s="4" t="inlineStr">
        <is>
          <t>FY2024</t>
        </is>
      </c>
      <c r="D12" s="4" t="inlineStr">
        <is>
          <t>FY2023</t>
        </is>
      </c>
      <c r="E12" s="4" t="inlineStr">
        <is>
          <t>FY2022</t>
        </is>
      </c>
      <c r="F12" s="4" t="inlineStr">
        <is>
          <t>FY2021</t>
        </is>
      </c>
      <c r="G12" s="4" t="inlineStr">
        <is>
          <t>FY2020</t>
        </is>
      </c>
      <c r="T12" t="inlineStr">
        <is>
          <t>FY2020</t>
        </is>
      </c>
      <c r="U12" t="inlineStr">
        <is>
          <t>FY2021</t>
        </is>
      </c>
      <c r="V12" t="inlineStr">
        <is>
          <t>FY2022</t>
        </is>
      </c>
      <c r="W12" t="inlineStr">
        <is>
          <t>FY2023</t>
        </is>
      </c>
      <c r="X12" t="inlineStr">
        <is>
          <t>FY2024</t>
        </is>
      </c>
      <c r="Y12" t="inlineStr">
        <is>
          <t>FY2025</t>
        </is>
      </c>
    </row>
    <row r="13">
      <c r="A13" s="5" t="inlineStr">
        <is>
          <t>Operating income</t>
        </is>
      </c>
      <c r="B13" s="5" t="n">
        <v>434292</v>
      </c>
      <c r="C13" s="5" t="n">
        <v>388384</v>
      </c>
      <c r="D13" s="5" t="n">
        <v>333521</v>
      </c>
      <c r="E13" s="5" t="n">
        <v>273505</v>
      </c>
      <c r="F13" s="5" t="n">
        <v>200047</v>
      </c>
      <c r="G13" s="5" t="n">
        <v>205119</v>
      </c>
      <c r="S13" t="inlineStr">
        <is>
          <t>Operating income</t>
        </is>
      </c>
      <c r="T13" t="n">
        <v>205119</v>
      </c>
      <c r="U13" t="n">
        <v>200047</v>
      </c>
      <c r="V13" t="n">
        <v>273505</v>
      </c>
      <c r="W13" t="n">
        <v>333521</v>
      </c>
      <c r="X13" t="n">
        <v>388384</v>
      </c>
      <c r="Y13" t="n">
        <v>434292</v>
      </c>
    </row>
    <row r="14">
      <c r="A14" s="5" t="inlineStr">
        <is>
          <t>Operating expenses (incl. depreciation &amp; amortisation)</t>
        </is>
      </c>
      <c r="B14" s="5" t="n">
        <v>-183647</v>
      </c>
      <c r="C14" s="5" t="n">
        <v>-179807</v>
      </c>
      <c r="D14" s="5" t="n">
        <v>-160666</v>
      </c>
      <c r="E14" s="5" t="n">
        <v>-150345</v>
      </c>
      <c r="F14" s="5" t="n">
        <v>-153438</v>
      </c>
      <c r="G14" s="5" t="n">
        <v>-146616</v>
      </c>
      <c r="S14" t="inlineStr">
        <is>
          <t>Operating expenses (incl. depreciation &amp; amortisation)</t>
        </is>
      </c>
      <c r="T14" t="n">
        <v>-146616</v>
      </c>
      <c r="U14" t="n">
        <v>-153438</v>
      </c>
      <c r="V14" t="n">
        <v>-150345</v>
      </c>
      <c r="W14" t="n">
        <v>-160666</v>
      </c>
      <c r="X14" t="n">
        <v>-179807</v>
      </c>
      <c r="Y14" t="n">
        <v>-183647</v>
      </c>
    </row>
    <row r="15">
      <c r="A15" s="5" t="inlineStr">
        <is>
          <t>Profit for the year</t>
        </is>
      </c>
      <c r="B15" s="5" t="n">
        <v>189231</v>
      </c>
      <c r="C15" s="5" t="n">
        <v>165495</v>
      </c>
      <c r="D15" s="5" t="n">
        <v>156719</v>
      </c>
      <c r="E15" s="5" t="n">
        <v>103410</v>
      </c>
      <c r="F15" s="5" t="n">
        <v>41534</v>
      </c>
      <c r="G15" s="5" t="n">
        <v>7552</v>
      </c>
      <c r="S15" t="inlineStr">
        <is>
          <t>Profit for the year</t>
        </is>
      </c>
      <c r="T15" t="n">
        <v>7552</v>
      </c>
      <c r="U15" t="n">
        <v>41534</v>
      </c>
      <c r="V15" t="n">
        <v>103410</v>
      </c>
      <c r="W15" t="n">
        <v>156719</v>
      </c>
      <c r="X15" t="n">
        <v>165495</v>
      </c>
      <c r="Y15" t="n">
        <v>189231</v>
      </c>
    </row>
    <row r="17">
      <c r="A17" s="3" t="inlineStr">
        <is>
          <t>Statement of Changes in Equity Summary (£'000)</t>
        </is>
      </c>
    </row>
    <row r="18">
      <c r="A18" s="4" t="inlineStr">
        <is>
          <t>Line item</t>
        </is>
      </c>
      <c r="B18" s="4" t="inlineStr">
        <is>
          <t>FY2025</t>
        </is>
      </c>
      <c r="C18" s="4" t="inlineStr">
        <is>
          <t>FY2024</t>
        </is>
      </c>
      <c r="D18" s="4" t="inlineStr">
        <is>
          <t>FY2023</t>
        </is>
      </c>
      <c r="E18" s="4" t="inlineStr">
        <is>
          <t>FY2022</t>
        </is>
      </c>
      <c r="F18" s="4" t="inlineStr">
        <is>
          <t>FY2021</t>
        </is>
      </c>
      <c r="G18" s="4" t="inlineStr">
        <is>
          <t>FY2020</t>
        </is>
      </c>
      <c r="AC18" t="inlineStr">
        <is>
          <t>FY2020</t>
        </is>
      </c>
      <c r="AD18" t="inlineStr">
        <is>
          <t>FY2021</t>
        </is>
      </c>
      <c r="AE18" t="inlineStr">
        <is>
          <t>FY2022</t>
        </is>
      </c>
      <c r="AF18" t="inlineStr">
        <is>
          <t>FY2023</t>
        </is>
      </c>
      <c r="AG18" t="inlineStr">
        <is>
          <t>FY2024</t>
        </is>
      </c>
      <c r="AH18" t="inlineStr">
        <is>
          <t>FY2025</t>
        </is>
      </c>
    </row>
    <row r="19">
      <c r="A19" s="5" t="inlineStr">
        <is>
          <t>Opening equity</t>
        </is>
      </c>
      <c r="B19" s="5" t="n">
        <v>943995</v>
      </c>
      <c r="C19" s="5" t="n">
        <v>929341</v>
      </c>
      <c r="D19" s="5" t="n">
        <v>837192</v>
      </c>
      <c r="E19" s="5" t="n">
        <v>749199</v>
      </c>
      <c r="F19" s="5" t="n">
        <v>850867</v>
      </c>
      <c r="G19" s="5" t="n">
        <v>826655</v>
      </c>
      <c r="AB19" t="inlineStr">
        <is>
          <t>Opening equity</t>
        </is>
      </c>
      <c r="AC19" t="n">
        <v>826655</v>
      </c>
      <c r="AD19" t="n">
        <v>850867</v>
      </c>
      <c r="AE19" t="n">
        <v>749199</v>
      </c>
      <c r="AF19" t="n">
        <v>837192</v>
      </c>
      <c r="AG19" t="n">
        <v>929341</v>
      </c>
      <c r="AH19" t="n">
        <v>943995</v>
      </c>
    </row>
    <row r="20">
      <c r="A20" s="5" t="inlineStr">
        <is>
          <t>Total comprehensive income for the year</t>
        </is>
      </c>
      <c r="B20" s="5" t="n">
        <v>194948</v>
      </c>
      <c r="C20" s="5" t="n">
        <v>169665</v>
      </c>
      <c r="D20" s="5" t="n">
        <v>111890</v>
      </c>
      <c r="E20" s="5" t="n">
        <v>11371</v>
      </c>
      <c r="F20" s="5" t="n">
        <v>-21699</v>
      </c>
      <c r="G20" s="5" t="n">
        <v>29348</v>
      </c>
      <c r="AB20" t="inlineStr">
        <is>
          <t>Total comprehensive income for the year</t>
        </is>
      </c>
      <c r="AC20" t="n">
        <v>29348</v>
      </c>
      <c r="AD20" t="n">
        <v>-21699</v>
      </c>
      <c r="AE20" t="n">
        <v>11371</v>
      </c>
      <c r="AF20" t="n">
        <v>111890</v>
      </c>
      <c r="AG20" t="n">
        <v>169665</v>
      </c>
      <c r="AH20" t="n">
        <v>194948</v>
      </c>
    </row>
    <row r="21">
      <c r="A21" s="5" t="inlineStr">
        <is>
          <t>Other equity movements, net</t>
        </is>
      </c>
      <c r="B21" s="5" t="n">
        <v>-170083</v>
      </c>
      <c r="C21" s="5" t="n">
        <v>-155011</v>
      </c>
      <c r="D21" s="5" t="n">
        <v>-19741</v>
      </c>
      <c r="E21" s="5" t="n">
        <v>76622</v>
      </c>
      <c r="F21" s="5" t="n">
        <v>-79969</v>
      </c>
      <c r="G21" s="5" t="n">
        <v>-5137</v>
      </c>
      <c r="AB21" t="inlineStr">
        <is>
          <t>Other equity movements, net</t>
        </is>
      </c>
      <c r="AC21" t="n">
        <v>-5137</v>
      </c>
      <c r="AD21" t="n">
        <v>-79969</v>
      </c>
      <c r="AE21" t="n">
        <v>76622</v>
      </c>
      <c r="AF21" t="n">
        <v>-19741</v>
      </c>
      <c r="AG21" t="n">
        <v>-155011</v>
      </c>
      <c r="AH21" t="n">
        <v>-170083</v>
      </c>
    </row>
    <row r="22">
      <c r="A22" s="5" t="inlineStr">
        <is>
          <t>Closing equity</t>
        </is>
      </c>
      <c r="B22" s="5" t="n">
        <v>968860</v>
      </c>
      <c r="C22" s="5" t="n">
        <v>943995</v>
      </c>
      <c r="D22" s="5" t="n">
        <v>929341</v>
      </c>
      <c r="E22" s="5" t="n">
        <v>837192</v>
      </c>
      <c r="F22" s="5" t="n">
        <v>749199</v>
      </c>
      <c r="G22" s="5" t="n">
        <v>850867</v>
      </c>
      <c r="AB22" t="inlineStr">
        <is>
          <t>Closing equity</t>
        </is>
      </c>
      <c r="AC22" t="n">
        <v>850867</v>
      </c>
      <c r="AD22" t="n">
        <v>749199</v>
      </c>
      <c r="AE22" t="n">
        <v>837192</v>
      </c>
      <c r="AF22" t="n">
        <v>929341</v>
      </c>
      <c r="AG22" t="n">
        <v>943995</v>
      </c>
      <c r="AH22" t="n">
        <v>968860</v>
      </c>
    </row>
    <row r="24">
      <c r="A24" s="3" t="inlineStr">
        <is>
          <t>Cash Flow Summary (£'000)</t>
        </is>
      </c>
    </row>
    <row r="25">
      <c r="A25" s="4" t="inlineStr">
        <is>
          <t>Line item</t>
        </is>
      </c>
      <c r="B25" s="4" t="inlineStr">
        <is>
          <t>FY2025</t>
        </is>
      </c>
      <c r="C25" s="4" t="inlineStr">
        <is>
          <t>FY2024</t>
        </is>
      </c>
      <c r="D25" s="4" t="inlineStr">
        <is>
          <t>FY2023</t>
        </is>
      </c>
      <c r="E25" s="4" t="inlineStr">
        <is>
          <t>FY2022</t>
        </is>
      </c>
      <c r="F25" s="4" t="inlineStr">
        <is>
          <t>FY2021</t>
        </is>
      </c>
      <c r="G25" s="4" t="inlineStr">
        <is>
          <t>FY2020</t>
        </is>
      </c>
      <c r="AL25" t="inlineStr">
        <is>
          <t>FY2020</t>
        </is>
      </c>
      <c r="AM25" t="inlineStr">
        <is>
          <t>FY2021</t>
        </is>
      </c>
      <c r="AN25" t="inlineStr">
        <is>
          <t>FY2022</t>
        </is>
      </c>
      <c r="AO25" t="inlineStr">
        <is>
          <t>FY2023</t>
        </is>
      </c>
      <c r="AP25" t="inlineStr">
        <is>
          <t>FY2024</t>
        </is>
      </c>
      <c r="AQ25" t="inlineStr">
        <is>
          <t>FY2025</t>
        </is>
      </c>
    </row>
    <row r="26">
      <c r="A26" s="5" t="inlineStr">
        <is>
          <t>Net cash flow provided by operating activities</t>
        </is>
      </c>
      <c r="B26" s="5" t="n">
        <v>295380</v>
      </c>
      <c r="C26" s="5" t="n">
        <v>441840</v>
      </c>
      <c r="D26" s="5" t="n">
        <v>-236114</v>
      </c>
      <c r="E26" s="5" t="n">
        <v>-29212</v>
      </c>
      <c r="F26" s="5" t="n">
        <v>929604</v>
      </c>
      <c r="G26" s="5" t="n">
        <v>2046601</v>
      </c>
      <c r="AK26" t="inlineStr">
        <is>
          <t>Net cash flow provided by operating activities</t>
        </is>
      </c>
      <c r="AL26" t="n">
        <v>2046601</v>
      </c>
      <c r="AM26" t="n">
        <v>929604</v>
      </c>
      <c r="AN26" t="n">
        <v>-29212</v>
      </c>
      <c r="AO26" t="n">
        <v>-236114</v>
      </c>
      <c r="AP26" t="n">
        <v>441840</v>
      </c>
      <c r="AQ26" t="n">
        <v>295380</v>
      </c>
    </row>
    <row r="27">
      <c r="A27" s="5" t="inlineStr">
        <is>
          <t>Net cash flow provided by investing activities</t>
        </is>
      </c>
      <c r="B27" s="5" t="n">
        <v>-838444</v>
      </c>
      <c r="C27" s="5" t="n">
        <v>-340002</v>
      </c>
      <c r="D27" s="5" t="n">
        <v>47639</v>
      </c>
      <c r="E27" s="5" t="n">
        <v>-1184140</v>
      </c>
      <c r="F27" s="5" t="n">
        <v>-841417</v>
      </c>
      <c r="G27" s="5" t="n">
        <v>-85177</v>
      </c>
      <c r="AK27" t="inlineStr">
        <is>
          <t>Net cash flow provided by investing activities</t>
        </is>
      </c>
      <c r="AL27" t="n">
        <v>-85177</v>
      </c>
      <c r="AM27" t="n">
        <v>-841417</v>
      </c>
      <c r="AN27" t="n">
        <v>-1184140</v>
      </c>
      <c r="AO27" t="n">
        <v>47639</v>
      </c>
      <c r="AP27" t="n">
        <v>-340002</v>
      </c>
      <c r="AQ27" t="n">
        <v>-838444</v>
      </c>
    </row>
    <row r="28">
      <c r="A28" s="5" t="inlineStr">
        <is>
          <t>Net cash flow provided by financing activities</t>
        </is>
      </c>
      <c r="B28" s="5" t="n">
        <v>-201187</v>
      </c>
      <c r="C28" s="5" t="n">
        <v>-155922</v>
      </c>
      <c r="D28" s="5" t="n">
        <v>-20740</v>
      </c>
      <c r="E28" s="5" t="n">
        <v>79642</v>
      </c>
      <c r="F28" s="5" t="n">
        <v>-81038</v>
      </c>
      <c r="G28" s="5" t="n">
        <v>-6250</v>
      </c>
      <c r="AK28" t="inlineStr">
        <is>
          <t>Net cash flow provided by financing activities</t>
        </is>
      </c>
      <c r="AL28" t="n">
        <v>-6250</v>
      </c>
      <c r="AM28" t="n">
        <v>-81038</v>
      </c>
      <c r="AN28" t="n">
        <v>79642</v>
      </c>
      <c r="AO28" t="n">
        <v>-20740</v>
      </c>
      <c r="AP28" t="n">
        <v>-155922</v>
      </c>
      <c r="AQ28" t="n">
        <v>-201187</v>
      </c>
    </row>
    <row r="29">
      <c r="A29" s="5" t="inlineStr">
        <is>
          <t>Cash and cash equivalents, end of year</t>
        </is>
      </c>
      <c r="B29" s="5" t="n">
        <v>2980035</v>
      </c>
      <c r="C29" s="5" t="n">
        <v>3473906</v>
      </c>
      <c r="D29" s="5" t="n">
        <v>3309826</v>
      </c>
      <c r="E29" s="5" t="n">
        <v>3392539</v>
      </c>
      <c r="F29" s="5" t="n">
        <v>2969677</v>
      </c>
      <c r="G29" s="5" t="n">
        <v>2962528</v>
      </c>
      <c r="AK29" t="inlineStr">
        <is>
          <t>Cash and cash equivalents, end of year</t>
        </is>
      </c>
      <c r="AL29" t="n">
        <v>2962528</v>
      </c>
      <c r="AM29" t="n">
        <v>2969677</v>
      </c>
      <c r="AN29" t="n">
        <v>3392539</v>
      </c>
      <c r="AO29" t="n">
        <v>3309826</v>
      </c>
      <c r="AP29" t="n">
        <v>3473906</v>
      </c>
      <c r="AQ29" t="n">
        <v>2980035</v>
      </c>
    </row>
    <row r="31">
      <c r="A31" s="3" t="inlineStr">
        <is>
          <t>Pillar 3 Key Metrics</t>
        </is>
      </c>
    </row>
    <row r="32">
      <c r="A32" s="4" t="inlineStr">
        <is>
          <t>Line item</t>
        </is>
      </c>
      <c r="B32" s="4" t="inlineStr">
        <is>
          <t>FY2025</t>
        </is>
      </c>
      <c r="C32" s="4" t="inlineStr">
        <is>
          <t>FY2024</t>
        </is>
      </c>
      <c r="D32" s="4" t="inlineStr">
        <is>
          <t>FY2023</t>
        </is>
      </c>
      <c r="E32" s="4" t="inlineStr">
        <is>
          <t>FY2022</t>
        </is>
      </c>
      <c r="F32" s="4" t="inlineStr">
        <is>
          <t>FY2021</t>
        </is>
      </c>
      <c r="G32" s="4" t="inlineStr">
        <is>
          <t>FY2020</t>
        </is>
      </c>
    </row>
    <row r="33">
      <c r="A33" s="6" t="inlineStr">
        <is>
          <t>CET1 Ratio</t>
        </is>
      </c>
      <c r="B33" s="6" t="inlineStr">
        <is>
          <t>14.9%</t>
        </is>
      </c>
      <c r="C33" s="6" t="inlineStr">
        <is>
          <t>16.1%</t>
        </is>
      </c>
      <c r="D33" s="6" t="inlineStr">
        <is>
          <t>15.6%</t>
        </is>
      </c>
      <c r="E33" s="6" t="inlineStr">
        <is>
          <t>13.6%</t>
        </is>
      </c>
      <c r="F33" s="6" t="inlineStr">
        <is>
          <t>14.4%</t>
        </is>
      </c>
      <c r="G33" s="6" t="inlineStr">
        <is>
          <t>16.1%</t>
        </is>
      </c>
    </row>
    <row r="34">
      <c r="A34" s="6" t="inlineStr">
        <is>
          <t>Tier 1 Ratio</t>
        </is>
      </c>
      <c r="B34" s="6" t="inlineStr">
        <is>
          <t>19.0%</t>
        </is>
      </c>
      <c r="C34" s="6" t="inlineStr">
        <is>
          <t>20.2%</t>
        </is>
      </c>
      <c r="D34" s="6" t="inlineStr">
        <is>
          <t>19.6%</t>
        </is>
      </c>
      <c r="E34" s="6" t="inlineStr">
        <is>
          <t>18.0%</t>
        </is>
      </c>
      <c r="F34" s="6" t="inlineStr">
        <is>
          <t>16.3%</t>
        </is>
      </c>
      <c r="G34" s="6" t="inlineStr">
        <is>
          <t>18.1%</t>
        </is>
      </c>
    </row>
    <row r="35">
      <c r="A35" s="6" t="inlineStr">
        <is>
          <t>Total Capital Ratio</t>
        </is>
      </c>
      <c r="B35" s="6" t="inlineStr">
        <is>
          <t>19.0%</t>
        </is>
      </c>
      <c r="C35" s="6" t="inlineStr">
        <is>
          <t>20.2%</t>
        </is>
      </c>
      <c r="D35" s="6" t="inlineStr">
        <is>
          <t>19.6%</t>
        </is>
      </c>
      <c r="E35" s="6" t="inlineStr">
        <is>
          <t>18.0%</t>
        </is>
      </c>
      <c r="F35" s="6" t="inlineStr">
        <is>
          <t>18.8%</t>
        </is>
      </c>
      <c r="G35" s="6" t="inlineStr">
        <is>
          <t>20.7%</t>
        </is>
      </c>
    </row>
    <row r="36">
      <c r="A36" s="6" t="inlineStr">
        <is>
          <t>Leverage Ratio (BASIS BREAK at FY2021/FY2022 - see note; not a like-for-like series)</t>
        </is>
      </c>
      <c r="B36" s="6" t="inlineStr">
        <is>
          <t>6.4%</t>
        </is>
      </c>
      <c r="C36" s="6" t="inlineStr">
        <is>
          <t>7.2%</t>
        </is>
      </c>
      <c r="D36" s="6" t="inlineStr">
        <is>
          <t>7.4%</t>
        </is>
      </c>
      <c r="E36" s="6" t="inlineStr">
        <is>
          <t>6.7%</t>
        </is>
      </c>
      <c r="F36" s="6" t="inlineStr">
        <is>
          <t>4.2%</t>
        </is>
      </c>
      <c r="G36" s="6" t="inlineStr">
        <is>
          <t>5.2%</t>
        </is>
      </c>
    </row>
    <row r="38" ht="156" customHeight="1">
      <c r="A38" s="7" t="inlineStr">
        <is>
          <t>Note: All figures are duplicated from the detail sheets for trend viewing. See each detail sheet for the exact annual-report source citation.
LEVERAGE RATIO - DO NOT READ THE 4.2% -&gt; 6.7% STEP AS DELEVERAGING. This sheet is a copy and its chart would otherwise draw a false trend. From 1 January 2022 the PRA's UK Leverage Ratio Framework (PS21/21) removed central bank reserves, and the Bank's government-guaranteed Bounce Back Loans, from the leverage exposure measure. The Bank's own FY2022 Annual Report (p.52) attributes the entire increase to that: 'the leverage exposure measure excludes central bank reserves and the government guaranteed lending through Bounce Bank [sic] Loans (BBLs). This has resulted in an increase in the leverage ratio to 6.7% at 31 December 2022 (2021: 4.2%).' FY2020-FY2021 are on the old (including) basis and FY2022-FY2025 on the new (excluding) one; the Bank published neither basis for the other years, so no comparable six-year series exists. The Leverage Ratio sheet splits the two bases onto separate rows.
ENTITY NOTE: Northern Bank Limited (Companies House R0000568, FRN 122261, LEI 549300KUB2XKWLPMXV81) is the exact legal entity in Banks List 2608.xlsx. It trades as Danske Bank in Northern Ireland but remains Northern Bank Limited, an autonomous subsidiary of Danske Bank Group. All figures are the Bank's own entity-level disclosures, not Danske Bank A/S group figures. The annual reports state that the Bank monitors capital monthly and quarterly and publishes these annual capital and liquidity metrics; no separate interim Pillar 3 sheet is included in this standard annual WF-018 build.</t>
        </is>
      </c>
    </row>
  </sheetData>
  <mergeCells count="1">
    <mergeCell ref="A38:G38"/>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G4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Northern Bank Limited — Balance Sheet</t>
        </is>
      </c>
    </row>
    <row r="2">
      <c r="A2" s="2" t="inlineStr">
        <is>
          <t>Entity-level. £'000. Trading name: Danske Bank. FY2020 and FY2021 both carry a 'Deferred tax liabilities' line (34,194 and 13,900 respectively) instead of a deferred tax asset, and a 'Subordinated notes issued' liability (126,000, Tier 2-eligible) - from FY2022 onward this became 'Non-preferred senior securities issued' (not Tier 2-eligible, shown here on the same combined row for comparability). 'Assets held for sale' is not disclosed as a standalone line for FY2025 (merged into Other assets that year, per the Bank's own presentation).</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row>
    <row r="4">
      <c r="A4" s="5" t="inlineStr">
        <is>
          <t>Assets</t>
        </is>
      </c>
      <c r="B4" s="6" t="n"/>
      <c r="C4" s="6" t="n"/>
      <c r="D4" s="6" t="n"/>
      <c r="E4" s="6" t="n"/>
      <c r="F4" s="6" t="n"/>
      <c r="G4" s="6" t="n"/>
    </row>
    <row r="5">
      <c r="A5" s="6" t="inlineStr">
        <is>
          <t>Cash and balances at central bank</t>
        </is>
      </c>
      <c r="B5" s="6" t="n">
        <v>2975799</v>
      </c>
      <c r="C5" s="6" t="n">
        <v>3468175</v>
      </c>
      <c r="D5" s="6" t="n">
        <v>3299543</v>
      </c>
      <c r="E5" s="6" t="n">
        <v>3350828</v>
      </c>
      <c r="F5" s="6" t="n">
        <v>4388161</v>
      </c>
      <c r="G5" s="6" t="n">
        <v>4225153</v>
      </c>
    </row>
    <row r="6">
      <c r="A6" s="6" t="inlineStr">
        <is>
          <t>Items in the course of collection from other banks</t>
        </is>
      </c>
      <c r="B6" s="6" t="n">
        <v>23389</v>
      </c>
      <c r="C6" s="6" t="n">
        <v>25069</v>
      </c>
      <c r="D6" s="6" t="n">
        <v>41191</v>
      </c>
      <c r="E6" s="6" t="n">
        <v>32139</v>
      </c>
      <c r="F6" s="6" t="n">
        <v>21839</v>
      </c>
      <c r="G6" s="6" t="n">
        <v>20190</v>
      </c>
    </row>
    <row r="7">
      <c r="A7" s="6" t="inlineStr">
        <is>
          <t>Due from other banks</t>
        </is>
      </c>
      <c r="B7" s="6" t="n">
        <v>4236</v>
      </c>
      <c r="C7" s="6" t="n">
        <v>5731</v>
      </c>
      <c r="D7" s="6" t="n">
        <v>10283</v>
      </c>
      <c r="E7" s="6" t="n">
        <v>41711</v>
      </c>
      <c r="F7" s="6" t="n">
        <v>48023</v>
      </c>
      <c r="G7" s="6" t="n">
        <v>50639</v>
      </c>
    </row>
    <row r="8">
      <c r="A8" s="6" t="inlineStr">
        <is>
          <t>Derivative financial instruments</t>
        </is>
      </c>
      <c r="B8" s="6" t="n">
        <v>77518</v>
      </c>
      <c r="C8" s="6" t="n">
        <v>76537</v>
      </c>
      <c r="D8" s="6" t="n">
        <v>75457</v>
      </c>
      <c r="E8" s="6" t="n">
        <v>89324</v>
      </c>
      <c r="F8" s="6" t="n">
        <v>8586</v>
      </c>
      <c r="G8" s="6" t="n">
        <v>17284</v>
      </c>
    </row>
    <row r="9">
      <c r="A9" s="6" t="inlineStr">
        <is>
          <t>Total investment securities</t>
        </is>
      </c>
      <c r="B9" s="6" t="n">
        <v>4637481</v>
      </c>
      <c r="C9" s="6" t="n">
        <v>3724852</v>
      </c>
      <c r="D9" s="6" t="n">
        <v>3367408</v>
      </c>
      <c r="E9" s="6" t="n">
        <v>3369156</v>
      </c>
      <c r="F9" s="6" t="n">
        <v>2226346</v>
      </c>
      <c r="G9" s="6" t="n">
        <v>1409536</v>
      </c>
    </row>
    <row r="10">
      <c r="A10" s="6" t="inlineStr">
        <is>
          <t>Investment securities - Hold to collect (amortised cost)</t>
        </is>
      </c>
      <c r="B10" s="6" t="n">
        <v>3130670</v>
      </c>
      <c r="C10" s="6" t="n">
        <v>2951816</v>
      </c>
      <c r="D10" s="6" t="n">
        <v>2403390</v>
      </c>
      <c r="E10" s="6" t="n">
        <v>2294601</v>
      </c>
      <c r="F10" s="6" t="n">
        <v>1318484</v>
      </c>
      <c r="G10" s="6" t="n">
        <v>531555</v>
      </c>
    </row>
    <row r="11">
      <c r="A11" s="6" t="inlineStr">
        <is>
          <t>Investment securities - Hold to collect and sell (FVOCI)</t>
        </is>
      </c>
      <c r="B11" s="6" t="n">
        <v>1506811</v>
      </c>
      <c r="C11" s="6" t="n">
        <v>773036</v>
      </c>
      <c r="D11" s="6" t="n">
        <v>964018</v>
      </c>
      <c r="E11" s="6" t="n">
        <v>1074555</v>
      </c>
      <c r="F11" s="6" t="n">
        <v>907862</v>
      </c>
      <c r="G11" s="6" t="n">
        <v>877981</v>
      </c>
    </row>
    <row r="12">
      <c r="A12" s="6" t="inlineStr">
        <is>
          <t>Loans and advances to customers</t>
        </is>
      </c>
      <c r="B12" s="6" t="n">
        <v>8054390</v>
      </c>
      <c r="C12" s="6" t="n">
        <v>7030843</v>
      </c>
      <c r="D12" s="6" t="n">
        <v>6739732</v>
      </c>
      <c r="E12" s="6" t="n">
        <v>6334707</v>
      </c>
      <c r="F12" s="6" t="n">
        <v>6206664</v>
      </c>
      <c r="G12" s="6" t="n">
        <v>6229841</v>
      </c>
    </row>
    <row r="13">
      <c r="A13" s="6" t="inlineStr">
        <is>
          <t>Investment in subsidiaries</t>
        </is>
      </c>
      <c r="B13" s="6" t="n">
        <v>250</v>
      </c>
      <c r="C13" s="6" t="n">
        <v>250</v>
      </c>
      <c r="D13" s="6" t="n">
        <v>250</v>
      </c>
      <c r="E13" s="6" t="n">
        <v>250</v>
      </c>
      <c r="F13" s="6" t="n">
        <v>250</v>
      </c>
      <c r="G13" s="6" t="n">
        <v>250</v>
      </c>
    </row>
    <row r="14">
      <c r="A14" s="6" t="inlineStr">
        <is>
          <t>Intangible assets</t>
        </is>
      </c>
      <c r="B14" s="6" t="n">
        <v>2466</v>
      </c>
      <c r="C14" s="6" t="n">
        <v>1859</v>
      </c>
      <c r="D14" s="6" t="n">
        <v>1608</v>
      </c>
      <c r="E14" s="6" t="n">
        <v>522</v>
      </c>
      <c r="F14" s="6" t="n">
        <v>34</v>
      </c>
      <c r="G14" s="6" t="n">
        <v>157</v>
      </c>
    </row>
    <row r="15">
      <c r="A15" s="6" t="inlineStr">
        <is>
          <t>Property, plant and equipment</t>
        </is>
      </c>
      <c r="B15" s="6" t="n">
        <v>32177</v>
      </c>
      <c r="C15" s="6" t="n">
        <v>35153</v>
      </c>
      <c r="D15" s="6" t="n">
        <v>36823</v>
      </c>
      <c r="E15" s="6" t="n">
        <v>38822</v>
      </c>
      <c r="F15" s="6" t="n">
        <v>40272</v>
      </c>
      <c r="G15" s="6" t="n">
        <v>41818</v>
      </c>
    </row>
    <row r="16">
      <c r="A16" s="6" t="inlineStr">
        <is>
          <t>Right-of-use assets</t>
        </is>
      </c>
      <c r="B16" s="6" t="n">
        <v>4067</v>
      </c>
      <c r="C16" s="6" t="n">
        <v>3782</v>
      </c>
      <c r="D16" s="6" t="n">
        <v>4783</v>
      </c>
      <c r="E16" s="6" t="n">
        <v>4618</v>
      </c>
      <c r="F16" s="6" t="n">
        <v>4253</v>
      </c>
      <c r="G16" s="6" t="n">
        <v>5568</v>
      </c>
    </row>
    <row r="17">
      <c r="A17" s="6" t="inlineStr">
        <is>
          <t>Assets held for sale</t>
        </is>
      </c>
      <c r="B17" s="6" t="n"/>
      <c r="C17" s="6" t="n">
        <v>376</v>
      </c>
      <c r="D17" s="6" t="n">
        <v>588</v>
      </c>
      <c r="E17" s="6" t="n">
        <v>707</v>
      </c>
      <c r="F17" s="6" t="n">
        <v>1399</v>
      </c>
      <c r="G17" s="6" t="n">
        <v>360</v>
      </c>
    </row>
    <row r="18">
      <c r="A18" s="6" t="inlineStr">
        <is>
          <t>Defined benefit pension asset</t>
        </is>
      </c>
      <c r="B18" s="6" t="n">
        <v>7025</v>
      </c>
      <c r="C18" s="6" t="n">
        <v>2822</v>
      </c>
      <c r="D18" s="6" t="n">
        <v>4804</v>
      </c>
      <c r="E18" s="6" t="n">
        <v>78009</v>
      </c>
      <c r="F18" s="6" t="n">
        <v>154208</v>
      </c>
      <c r="G18" s="6" t="n">
        <v>219679</v>
      </c>
    </row>
    <row r="19">
      <c r="A19" s="6" t="inlineStr">
        <is>
          <t>Current tax asset</t>
        </is>
      </c>
      <c r="B19" s="6" t="n">
        <v>9724</v>
      </c>
      <c r="C19" s="6" t="n">
        <v>5678</v>
      </c>
      <c r="D19" s="6" t="n">
        <v>1314</v>
      </c>
      <c r="E19" s="6" t="n">
        <v>6785</v>
      </c>
      <c r="F19" s="6" t="n">
        <v>1092</v>
      </c>
      <c r="G19" s="6" t="n">
        <v>3008</v>
      </c>
    </row>
    <row r="20">
      <c r="A20" s="6" t="inlineStr">
        <is>
          <t>Deferred tax asset</t>
        </is>
      </c>
      <c r="B20" s="6" t="n">
        <v>22394</v>
      </c>
      <c r="C20" s="6" t="n">
        <v>39348</v>
      </c>
      <c r="D20" s="6" t="n">
        <v>55404</v>
      </c>
      <c r="E20" s="6" t="n">
        <v>36533</v>
      </c>
      <c r="F20" s="6" t="n"/>
      <c r="G20" s="6" t="n"/>
    </row>
    <row r="21">
      <c r="A21" s="6" t="inlineStr">
        <is>
          <t>Other assets</t>
        </is>
      </c>
      <c r="B21" s="6" t="n">
        <v>61038</v>
      </c>
      <c r="C21" s="6" t="n">
        <v>53916</v>
      </c>
      <c r="D21" s="6" t="n">
        <v>58179</v>
      </c>
      <c r="E21" s="6" t="n">
        <v>36280</v>
      </c>
      <c r="F21" s="6" t="n">
        <v>24046</v>
      </c>
      <c r="G21" s="6" t="n">
        <v>26706</v>
      </c>
    </row>
    <row r="22">
      <c r="A22" s="5" t="inlineStr">
        <is>
          <t>Total assets</t>
        </is>
      </c>
      <c r="B22" s="5" t="n">
        <v>15911954</v>
      </c>
      <c r="C22" s="5" t="n">
        <v>14474391</v>
      </c>
      <c r="D22" s="5" t="n">
        <v>13697367</v>
      </c>
      <c r="E22" s="5" t="n">
        <v>13420391</v>
      </c>
      <c r="F22" s="5" t="n">
        <v>13125173</v>
      </c>
      <c r="G22" s="5" t="n">
        <v>12250189</v>
      </c>
    </row>
    <row r="23">
      <c r="A23" s="5" t="inlineStr">
        <is>
          <t>Liabilities</t>
        </is>
      </c>
      <c r="B23" s="6" t="n"/>
      <c r="C23" s="6" t="n"/>
      <c r="D23" s="6" t="n"/>
      <c r="E23" s="6" t="n"/>
      <c r="F23" s="6" t="n"/>
      <c r="G23" s="6" t="n"/>
    </row>
    <row r="24">
      <c r="A24" s="6" t="inlineStr">
        <is>
          <t>Due to other banks</t>
        </is>
      </c>
      <c r="B24" s="6" t="n">
        <v>329724</v>
      </c>
      <c r="C24" s="6" t="n">
        <v>414631</v>
      </c>
      <c r="D24" s="6" t="n">
        <v>431125</v>
      </c>
      <c r="E24" s="6" t="n">
        <v>404807</v>
      </c>
      <c r="F24" s="6" t="n">
        <v>366611</v>
      </c>
      <c r="G24" s="6" t="n">
        <v>373032</v>
      </c>
    </row>
    <row r="25">
      <c r="A25" s="6" t="inlineStr">
        <is>
          <t>Items in course of transmission to other banks</t>
        </is>
      </c>
      <c r="B25" s="6" t="n">
        <v>18661</v>
      </c>
      <c r="C25" s="6" t="n">
        <v>14231</v>
      </c>
      <c r="D25" s="6" t="n">
        <v>44130</v>
      </c>
      <c r="E25" s="6" t="n">
        <v>26068</v>
      </c>
      <c r="F25" s="6" t="n">
        <v>15267</v>
      </c>
      <c r="G25" s="6" t="n">
        <v>12147</v>
      </c>
    </row>
    <row r="26">
      <c r="A26" s="6" t="inlineStr">
        <is>
          <t>Derivative financial instruments</t>
        </is>
      </c>
      <c r="B26" s="6" t="n">
        <v>27178</v>
      </c>
      <c r="C26" s="6" t="n">
        <v>46074</v>
      </c>
      <c r="D26" s="6" t="n">
        <v>48519</v>
      </c>
      <c r="E26" s="6" t="n">
        <v>82808</v>
      </c>
      <c r="F26" s="6" t="n">
        <v>22487</v>
      </c>
      <c r="G26" s="6" t="n">
        <v>28199</v>
      </c>
    </row>
    <row r="27">
      <c r="A27" s="6" t="inlineStr">
        <is>
          <t>Deposits from customers</t>
        </is>
      </c>
      <c r="B27" s="6" t="n">
        <v>13440624</v>
      </c>
      <c r="C27" s="6" t="n">
        <v>12053498</v>
      </c>
      <c r="D27" s="6" t="n">
        <v>11333715</v>
      </c>
      <c r="E27" s="6" t="n">
        <v>11229589</v>
      </c>
      <c r="F27" s="6" t="n">
        <v>11161358</v>
      </c>
      <c r="G27" s="6" t="n">
        <v>10228137</v>
      </c>
    </row>
    <row r="28">
      <c r="A28" s="6" t="inlineStr">
        <is>
          <t>Notes in circulation</t>
        </is>
      </c>
      <c r="B28" s="6" t="n">
        <v>938572</v>
      </c>
      <c r="C28" s="6" t="n">
        <v>784961</v>
      </c>
      <c r="D28" s="6" t="n">
        <v>711125</v>
      </c>
      <c r="E28" s="6" t="n">
        <v>664728</v>
      </c>
      <c r="F28" s="6" t="n">
        <v>634036</v>
      </c>
      <c r="G28" s="6" t="n">
        <v>557942</v>
      </c>
    </row>
    <row r="29">
      <c r="A29" s="6" t="inlineStr">
        <is>
          <t>Deferred tax liabilities</t>
        </is>
      </c>
      <c r="B29" s="6" t="n"/>
      <c r="C29" s="6" t="n"/>
      <c r="D29" s="6" t="n"/>
      <c r="E29" s="6" t="n"/>
      <c r="F29" s="6" t="n">
        <v>13900</v>
      </c>
      <c r="G29" s="6" t="n">
        <v>34194</v>
      </c>
    </row>
    <row r="30">
      <c r="A30" s="6" t="inlineStr">
        <is>
          <t>Other liabilities</t>
        </is>
      </c>
      <c r="B30" s="6" t="n">
        <v>86459</v>
      </c>
      <c r="C30" s="6" t="n">
        <v>85430</v>
      </c>
      <c r="D30" s="6" t="n">
        <v>68156</v>
      </c>
      <c r="E30" s="6" t="n">
        <v>43049</v>
      </c>
      <c r="F30" s="6" t="n">
        <v>33558</v>
      </c>
      <c r="G30" s="6" t="n">
        <v>36317</v>
      </c>
    </row>
    <row r="31">
      <c r="A31" s="6" t="inlineStr">
        <is>
          <t>Provisions</t>
        </is>
      </c>
      <c r="B31" s="6" t="n">
        <v>1876</v>
      </c>
      <c r="C31" s="6" t="n">
        <v>1571</v>
      </c>
      <c r="D31" s="6" t="n">
        <v>1256</v>
      </c>
      <c r="E31" s="6" t="n">
        <v>2150</v>
      </c>
      <c r="F31" s="6" t="n">
        <v>2757</v>
      </c>
      <c r="G31" s="6" t="n">
        <v>3354</v>
      </c>
    </row>
    <row r="32">
      <c r="A32" s="6" t="inlineStr">
        <is>
          <t>Subordinated debt instruments / Non-preferred senior securities issued</t>
        </is>
      </c>
      <c r="B32" s="6" t="n">
        <v>100000</v>
      </c>
      <c r="C32" s="6" t="n">
        <v>130000</v>
      </c>
      <c r="D32" s="6" t="n">
        <v>130000</v>
      </c>
      <c r="E32" s="6" t="n">
        <v>130000</v>
      </c>
      <c r="F32" s="6" t="n">
        <v>126000</v>
      </c>
      <c r="G32" s="6" t="n">
        <v>126000</v>
      </c>
    </row>
    <row r="33">
      <c r="A33" s="5" t="inlineStr">
        <is>
          <t>Total liabilities</t>
        </is>
      </c>
      <c r="B33" s="5" t="n">
        <v>14943094</v>
      </c>
      <c r="C33" s="5" t="n">
        <v>13530396</v>
      </c>
      <c r="D33" s="5" t="n">
        <v>12768026</v>
      </c>
      <c r="E33" s="5" t="n">
        <v>12583199</v>
      </c>
      <c r="F33" s="5" t="n">
        <v>12375974</v>
      </c>
      <c r="G33" s="5" t="n">
        <v>11399322</v>
      </c>
    </row>
    <row r="34">
      <c r="A34" s="5" t="inlineStr">
        <is>
          <t>Equity</t>
        </is>
      </c>
      <c r="B34" s="6" t="n"/>
      <c r="C34" s="6" t="n"/>
      <c r="D34" s="6" t="n"/>
      <c r="E34" s="6" t="n"/>
      <c r="F34" s="6" t="n"/>
      <c r="G34" s="6" t="n"/>
    </row>
    <row r="35">
      <c r="A35" s="6" t="inlineStr">
        <is>
          <t>Share capital</t>
        </is>
      </c>
      <c r="B35" s="6" t="n">
        <v>218170</v>
      </c>
      <c r="C35" s="6" t="n">
        <v>218170</v>
      </c>
      <c r="D35" s="6" t="n">
        <v>218170</v>
      </c>
      <c r="E35" s="6" t="n">
        <v>218170</v>
      </c>
      <c r="F35" s="6" t="n">
        <v>218170</v>
      </c>
      <c r="G35" s="6" t="n">
        <v>218170</v>
      </c>
    </row>
    <row r="36">
      <c r="A36" s="6" t="inlineStr">
        <is>
          <t>Other equity instruments (AT1)</t>
        </is>
      </c>
      <c r="B36" s="6" t="n">
        <v>226190</v>
      </c>
      <c r="C36" s="6" t="n">
        <v>226526</v>
      </c>
      <c r="D36" s="6" t="n">
        <v>226895</v>
      </c>
      <c r="E36" s="6" t="n">
        <v>225953</v>
      </c>
      <c r="F36" s="6" t="n">
        <v>96974</v>
      </c>
      <c r="G36" s="6" t="n">
        <v>96958</v>
      </c>
    </row>
    <row r="37">
      <c r="A37" s="6" t="inlineStr">
        <is>
          <t>Share premium account</t>
        </is>
      </c>
      <c r="B37" s="6" t="n">
        <v>306590</v>
      </c>
      <c r="C37" s="6" t="n">
        <v>306590</v>
      </c>
      <c r="D37" s="6" t="n">
        <v>306590</v>
      </c>
      <c r="E37" s="6" t="n">
        <v>306590</v>
      </c>
      <c r="F37" s="6" t="n">
        <v>306590</v>
      </c>
      <c r="G37" s="6" t="n">
        <v>306590</v>
      </c>
    </row>
    <row r="38">
      <c r="A38" s="6" t="inlineStr">
        <is>
          <t>Revaluation reserve</t>
        </is>
      </c>
      <c r="B38" s="6" t="n">
        <v>28706</v>
      </c>
      <c r="C38" s="6" t="n">
        <v>30697</v>
      </c>
      <c r="D38" s="6" t="n">
        <v>32506</v>
      </c>
      <c r="E38" s="6" t="n">
        <v>33418</v>
      </c>
      <c r="F38" s="6" t="n">
        <v>33892</v>
      </c>
      <c r="G38" s="6" t="n">
        <v>34965</v>
      </c>
    </row>
    <row r="39">
      <c r="A39" s="6" t="inlineStr">
        <is>
          <t>Reserve for investment securities at fair value</t>
        </is>
      </c>
      <c r="B39" s="6" t="n">
        <v>3104</v>
      </c>
      <c r="C39" s="6" t="n">
        <v>948</v>
      </c>
      <c r="D39" s="6" t="n">
        <v>-2970</v>
      </c>
      <c r="E39" s="6" t="n">
        <v>-29070</v>
      </c>
      <c r="F39" s="6" t="n">
        <v>-2446</v>
      </c>
      <c r="G39" s="6" t="n">
        <v>7190</v>
      </c>
    </row>
    <row r="40">
      <c r="A40" s="6" t="inlineStr">
        <is>
          <t>Cash flow hedge reserve</t>
        </is>
      </c>
      <c r="B40" s="6" t="n">
        <v>733</v>
      </c>
      <c r="C40" s="6" t="n">
        <v>-173</v>
      </c>
      <c r="D40" s="6" t="n">
        <v>-1676</v>
      </c>
      <c r="E40" s="6" t="n">
        <v>-8449</v>
      </c>
      <c r="F40" s="6" t="n">
        <v>-2115</v>
      </c>
      <c r="G40" s="6" t="n">
        <v>4712</v>
      </c>
    </row>
    <row r="41">
      <c r="A41" s="6" t="inlineStr">
        <is>
          <t>Retained earnings</t>
        </is>
      </c>
      <c r="B41" s="6" t="n">
        <v>185367</v>
      </c>
      <c r="C41" s="6" t="n">
        <v>161237</v>
      </c>
      <c r="D41" s="6" t="n">
        <v>149826</v>
      </c>
      <c r="E41" s="6" t="n">
        <v>90580</v>
      </c>
      <c r="F41" s="6" t="n">
        <v>98134</v>
      </c>
      <c r="G41" s="6" t="n">
        <v>182282</v>
      </c>
    </row>
    <row r="42">
      <c r="A42" s="5" t="inlineStr">
        <is>
          <t>Total equity and shareholders' equity</t>
        </is>
      </c>
      <c r="B42" s="5" t="n">
        <v>968860</v>
      </c>
      <c r="C42" s="5" t="n">
        <v>943995</v>
      </c>
      <c r="D42" s="5" t="n">
        <v>929341</v>
      </c>
      <c r="E42" s="5" t="n">
        <v>837192</v>
      </c>
      <c r="F42" s="5" t="n">
        <v>749199</v>
      </c>
      <c r="G42" s="5" t="n">
        <v>850867</v>
      </c>
    </row>
    <row r="43">
      <c r="A43" s="5" t="inlineStr">
        <is>
          <t>Total liabilities and equity</t>
        </is>
      </c>
      <c r="B43" s="5" t="n">
        <v>15911954</v>
      </c>
      <c r="C43" s="5" t="n">
        <v>14474391</v>
      </c>
      <c r="D43" s="5" t="n">
        <v>13697367</v>
      </c>
      <c r="E43" s="5" t="n">
        <v>13420391</v>
      </c>
      <c r="F43" s="5" t="n">
        <v>13125173</v>
      </c>
      <c r="G43" s="5" t="n">
        <v>12250189</v>
      </c>
    </row>
    <row r="45" ht="390" customHeight="1">
      <c r="A45" s="8" t="inlineStr">
        <is>
          <t>Sources - Northern Bank Limited entity-level Annual Report and Financial Statements:
FY2025: Income Statement/Statement of Other Comprehensive Income p.88, Balance Sheet p.89, Statement of Changes in Equity p.90 - https://danskebank.co.uk/-/media/danske-bank/uk/about-us/corporate-governance/annual-reports/northern-bank-annual-report-accounts-2025.pdf?hash=FAA2D970352C7AB5893C6D09B997681A&amp;rev=a79a533060b745c682e1796ed929cab5
FY2024: Income Statement p.127, Statement of Other Comprehensive Income p.128, Balance Sheet p.129, Statement of Changes in Equity p.130 - https://danskebank.co.uk/-/media/danske-bank/uk/about-us/corporate-governance/annual-reports/northern-bank-annual-report-og-accounts-2024.pdf?hash=C989E05EAE7993B66B70ADF26AB11BF7&amp;rev=1a1acede77ae425a8222ac3395302b9d
FY2023: Income Statement p.127, Balance Sheet p.128, Statement of Other Comprehensive Income p.129, Statement of Changes in Equity p.131 - https://danskebank.co.uk/-/media/danske-bank/uk/about-us/corporate-governance/annual-reports/northern-bank-annual-report-og-accounts-2023.pdf?hash=7CEA5F947D848F4BD9C1E97211AFF9CE&amp;rev=4202add3decb471fbed08666ff6e307b
FY2022: Income Statement p.115, Statement of Other Comprehensive Income p.116, Balance Sheet p.117, Statement of Changes in Equity p.118 - https://danskebank.co.uk/-/media/danske-bank/uk/about-us/corporate-governance/annual-reports/northern-bank-annual-report-og-accounts-2022.pdf?rev=9aa72868afb1433d9e9df8f0959d630f
FY2021: Income Statement p.103, Statement of Other Comprehensive Income p.104, Balance Sheet p.105, Statement of Changes in Equity p.106 - https://danskebank.co.uk/-/media/danske-bank/uk/about-us/corporate-governance/annual-reports/northern-bank---annual-report-og-accounts-2021.pdf?rev=6bfedd29bb0d488ea30ffce998073674
FY2020: Income Statement p.71, Statement of Other Comprehensive Income p.72, Balance Sheet p.73, Statement of Changes in Equity p.74 - https://danskebank.co.uk/-/media/danske-bank/uk/about-us/corporate-governance/annual-reports/northern-bank---annual-report-og-accounts-2020.pdf
ENTITY NOTE: Northern Bank Limited (Companies House R0000568, FRN 122261, LEI 549300KUB2XKWLPMXV81) is the exact legal entity in Banks List 2608.xlsx. It trades as Danske Bank in Northern Ireland but remains Northern Bank Limited, an autonomous subsidiary of Danske Bank Group. All figures are the Bank's own entity-level disclosures, not Danske Bank A/S group figures. The annual reports state that the Bank monitors capital monthly and quarterly and publishes these annual capital and liquidity metrics; no separate interim Pillar 3 sheet is included in this standard annual WF-018 build.
INVESTMENT SECURITIES BREAKDOWN: the 'Investment securities - ...' sub-rows below the headline 'Total investment securities' line are transcribed from each year's own Note 15 'Investment securities' (Note 13 in the FY2020-FY2022 reports, renumbered to Note 15 from FY2023 onward), which splits the balance solely by IFRS 9 measurement basis/business model - Note 15(a) 'Hold to collect' (securities measured at amortised cost) and Note 15(b) 'Hold to collect and sell' (securities measured FVOCI). Each note states the underlying bonds are 'primarily UK government securities and highly rated covered, sovereign, supra-national and agency bonds' but does NOT itemise the balance numerically by issuer type - only the measurement-basis split is disclosed as figures, so no issuer-type sub-rows are shown here.
FY2025: Note 15(a)/15(b), p.108 - https://danskebank.co.uk/-/media/danske-bank/uk/about-us/corporate-governance/annual-reports/northern-bank-annual-report-accounts-2025.pdf?hash=FAA2D970352C7AB5893C6D09B997681A&amp;rev=a79a533060b745c682e1796ed929cab5
FY2024: Note 15(a)/15(b), p.153 - https://danskebank.co.uk/-/media/danske-bank/uk/about-us/corporate-governance/annual-reports/northern-bank-annual-report-og-accounts-2024.pdf?hash=C989E05EAE7993B66B70ADF26AB11BF7&amp;rev=1a1acede77ae425a8222ac3395302b9d
FY2023: Note 15(a)/15(b), p.153 - https://danskebank.co.uk/-/media/danske-bank/uk/about-us/corporate-governance/annual-reports/northern-bank-annual-report-og-accounts-2023.pdf?hash=7CEA5F947D848F4BD9C1E97211AFF9CE&amp;rev=4202add3decb471fbed08666ff6e307b
FY2022: Note 13(a)/13(b), p.140 - https://danskebank.co.uk/-/media/danske-bank/uk/about-us/corporate-governance/annual-reports/northern-bank-annual-report-og-accounts-2022.pdf?rev=9aa72868afb1433d9e9df8f0959d630f
FY2021: Note 13(a)/13(b), p.124 - https://danskebank.co.uk/-/media/danske-bank/uk/about-us/corporate-governance/annual-reports/northern-bank---annual-report-og-accounts-2021.pdf?rev=6bfedd29bb0d488ea30ffce998073674</t>
        </is>
      </c>
    </row>
    <row r="47" ht="340" customHeight="1">
      <c r="A47" s="8" t="inlineStr">
        <is>
          <t>(continued)
FY2020: Note 13(a)/13(b), p.91 - https://danskebank.co.uk/-/media/danske-bank/uk/about-us/corporate-governance/annual-reports/northern-bank---annual-report-og-accounts-2020.pdf
Each year's two sub-rows sum exactly to that year's own headline 'Total investment securities' line (verified for all 6 years, including cross-checks against each report's own prior-year comparative column).</t>
        </is>
      </c>
    </row>
  </sheetData>
  <mergeCells count="2">
    <mergeCell ref="A47:G47"/>
    <mergeCell ref="A45:G4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8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Northern Bank Limited — Profit &amp; Loss</t>
        </is>
      </c>
    </row>
    <row r="2">
      <c r="A2" s="2" t="inlineStr">
        <is>
          <t>Entity-level. £'000. Trading name: Danske Bank. 'Transfer to income statement on disposal' and 'Movement on interest rate hedge adjustment' are only disclosed as separate OCI lines from FY2023 and FY2025 respectively - blank in earlier years where the Bank's own report doesn't break them out. Each year's own components plus the combined taxation impact tie exactly to that year's own disclosed Total other comprehensive income and Total comprehensive income figures (FY2020's own OCI note prints a -8,451 combined tax figure and a 21,796 total OCI figure; the FY2020 Statement of Changes in Equity's own tax row instead nets to -8,450/21,797 - a 1-unit rounding artifact already present in the Bank's own FY2020 report, not a transcription error).</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row>
    <row r="4">
      <c r="A4" s="5" t="inlineStr">
        <is>
          <t>Income</t>
        </is>
      </c>
      <c r="B4" s="6" t="n"/>
      <c r="C4" s="6" t="n"/>
      <c r="D4" s="6" t="n"/>
      <c r="E4" s="6" t="n"/>
      <c r="F4" s="6" t="n"/>
      <c r="G4" s="6" t="n"/>
    </row>
    <row r="5">
      <c r="A5" s="6" t="inlineStr">
        <is>
          <t>Interest and similar income</t>
        </is>
      </c>
      <c r="B5" s="6" t="n">
        <v>624405</v>
      </c>
      <c r="C5" s="6" t="n">
        <v>573484</v>
      </c>
      <c r="D5" s="6" t="n">
        <v>456611</v>
      </c>
      <c r="E5" s="6" t="n">
        <v>242626</v>
      </c>
      <c r="F5" s="6" t="n">
        <v>160651</v>
      </c>
      <c r="G5" s="6" t="n">
        <v>175408</v>
      </c>
    </row>
    <row r="6">
      <c r="A6" s="6" t="inlineStr">
        <is>
          <t>Interest expense</t>
        </is>
      </c>
      <c r="B6" s="6" t="n">
        <v>-238907</v>
      </c>
      <c r="C6" s="6" t="n">
        <v>-230921</v>
      </c>
      <c r="D6" s="6" t="n">
        <v>-159585</v>
      </c>
      <c r="E6" s="6" t="n">
        <v>-23809</v>
      </c>
      <c r="F6" s="6" t="n">
        <v>-5895</v>
      </c>
      <c r="G6" s="6" t="n">
        <v>-13487</v>
      </c>
    </row>
    <row r="7">
      <c r="A7" s="5" t="inlineStr">
        <is>
          <t>Net interest income</t>
        </is>
      </c>
      <c r="B7" s="5" t="n">
        <v>385498</v>
      </c>
      <c r="C7" s="5" t="n">
        <v>342563</v>
      </c>
      <c r="D7" s="5" t="n">
        <v>297026</v>
      </c>
      <c r="E7" s="5" t="n">
        <v>218817</v>
      </c>
      <c r="F7" s="5" t="n">
        <v>154756</v>
      </c>
      <c r="G7" s="5" t="n">
        <v>161921</v>
      </c>
    </row>
    <row r="8">
      <c r="A8" s="6" t="inlineStr">
        <is>
          <t>Fee and commission income</t>
        </is>
      </c>
      <c r="B8" s="6" t="n">
        <v>44535</v>
      </c>
      <c r="C8" s="6" t="n">
        <v>46179</v>
      </c>
      <c r="D8" s="6" t="n">
        <v>46020</v>
      </c>
      <c r="E8" s="6" t="n">
        <v>46232</v>
      </c>
      <c r="F8" s="6" t="n">
        <v>40835</v>
      </c>
      <c r="G8" s="6" t="n">
        <v>38701</v>
      </c>
    </row>
    <row r="9">
      <c r="A9" s="6" t="inlineStr">
        <is>
          <t>Fee and commission expense</t>
        </is>
      </c>
      <c r="B9" s="6" t="n">
        <v>-8095</v>
      </c>
      <c r="C9" s="6" t="n">
        <v>-8808</v>
      </c>
      <c r="D9" s="6" t="n">
        <v>-7532</v>
      </c>
      <c r="E9" s="6" t="n">
        <v>-5684</v>
      </c>
      <c r="F9" s="6" t="n">
        <v>-5841</v>
      </c>
      <c r="G9" s="6" t="n">
        <v>-5306</v>
      </c>
    </row>
    <row r="10">
      <c r="A10" s="6" t="inlineStr">
        <is>
          <t>Net trading income</t>
        </is>
      </c>
      <c r="B10" s="6" t="n">
        <v>10887</v>
      </c>
      <c r="C10" s="6" t="n">
        <v>7059</v>
      </c>
      <c r="D10" s="6" t="n">
        <v>-3805</v>
      </c>
      <c r="E10" s="6" t="n">
        <v>11706</v>
      </c>
      <c r="F10" s="6" t="n">
        <v>8962</v>
      </c>
      <c r="G10" s="6" t="n">
        <v>7850</v>
      </c>
    </row>
    <row r="11">
      <c r="A11" s="6" t="inlineStr">
        <is>
          <t>Other operating income</t>
        </is>
      </c>
      <c r="B11" s="6" t="n">
        <v>1467</v>
      </c>
      <c r="C11" s="6" t="n">
        <v>1391</v>
      </c>
      <c r="D11" s="6" t="n">
        <v>1812</v>
      </c>
      <c r="E11" s="6" t="n">
        <v>2434</v>
      </c>
      <c r="F11" s="6" t="n">
        <v>1335</v>
      </c>
      <c r="G11" s="6" t="n">
        <v>1953</v>
      </c>
    </row>
    <row r="12">
      <c r="A12" s="5" t="inlineStr">
        <is>
          <t>Non-interest income</t>
        </is>
      </c>
      <c r="B12" s="5" t="n">
        <v>48794</v>
      </c>
      <c r="C12" s="5" t="n">
        <v>45821</v>
      </c>
      <c r="D12" s="5" t="n">
        <v>36495</v>
      </c>
      <c r="E12" s="5" t="n">
        <v>54688</v>
      </c>
      <c r="F12" s="5" t="n">
        <v>45291</v>
      </c>
      <c r="G12" s="5" t="n">
        <v>43198</v>
      </c>
    </row>
    <row r="13">
      <c r="A13" s="5" t="inlineStr">
        <is>
          <t>Operating income</t>
        </is>
      </c>
      <c r="B13" s="5" t="n">
        <v>434292</v>
      </c>
      <c r="C13" s="5" t="n">
        <v>388384</v>
      </c>
      <c r="D13" s="5" t="n">
        <v>333521</v>
      </c>
      <c r="E13" s="5" t="n">
        <v>273505</v>
      </c>
      <c r="F13" s="5" t="n">
        <v>200047</v>
      </c>
      <c r="G13" s="5" t="n">
        <v>205119</v>
      </c>
    </row>
    <row r="14">
      <c r="A14" s="6" t="inlineStr">
        <is>
          <t>Operating expenses</t>
        </is>
      </c>
      <c r="B14" s="6" t="n">
        <v>-177643</v>
      </c>
      <c r="C14" s="6" t="n">
        <v>-175365</v>
      </c>
      <c r="D14" s="6" t="n">
        <v>-157020</v>
      </c>
      <c r="E14" s="6" t="n">
        <v>-146981</v>
      </c>
      <c r="F14" s="6" t="n">
        <v>-150005</v>
      </c>
      <c r="G14" s="6" t="n">
        <v>-142240</v>
      </c>
    </row>
    <row r="15">
      <c r="A15" s="6" t="inlineStr">
        <is>
          <t>Depreciation and amortisation expense</t>
        </is>
      </c>
      <c r="B15" s="6" t="n">
        <v>-6004</v>
      </c>
      <c r="C15" s="6" t="n">
        <v>-4442</v>
      </c>
      <c r="D15" s="6" t="n">
        <v>-3646</v>
      </c>
      <c r="E15" s="6" t="n">
        <v>-3364</v>
      </c>
      <c r="F15" s="6" t="n">
        <v>-3433</v>
      </c>
      <c r="G15" s="6" t="n">
        <v>-4376</v>
      </c>
    </row>
    <row r="16">
      <c r="A16" s="5" t="inlineStr">
        <is>
          <t>Profit before loan impairment (charge)/credit</t>
        </is>
      </c>
      <c r="B16" s="5" t="n">
        <v>250645</v>
      </c>
      <c r="C16" s="5" t="n">
        <v>208577</v>
      </c>
      <c r="D16" s="5" t="n">
        <v>172855</v>
      </c>
      <c r="E16" s="5" t="n">
        <v>123160</v>
      </c>
      <c r="F16" s="5" t="n">
        <v>46609</v>
      </c>
      <c r="G16" s="5" t="n">
        <v>58503</v>
      </c>
    </row>
    <row r="17">
      <c r="A17" s="6" t="inlineStr">
        <is>
          <t>Loan impairment (charge)/credit</t>
        </is>
      </c>
      <c r="B17" s="6" t="n">
        <v>-267</v>
      </c>
      <c r="C17" s="6" t="n">
        <v>9587</v>
      </c>
      <c r="D17" s="6" t="n">
        <v>13105</v>
      </c>
      <c r="E17" s="6" t="n">
        <v>-19859</v>
      </c>
      <c r="F17" s="6" t="n">
        <v>14660</v>
      </c>
      <c r="G17" s="6" t="n">
        <v>-45426</v>
      </c>
    </row>
    <row r="18">
      <c r="A18" s="5" t="inlineStr">
        <is>
          <t>Profit before tax</t>
        </is>
      </c>
      <c r="B18" s="5" t="n">
        <v>250378</v>
      </c>
      <c r="C18" s="5" t="n">
        <v>218164</v>
      </c>
      <c r="D18" s="5" t="n">
        <v>185960</v>
      </c>
      <c r="E18" s="5" t="n">
        <v>103301</v>
      </c>
      <c r="F18" s="5" t="n">
        <v>61269</v>
      </c>
      <c r="G18" s="5" t="n">
        <v>13077</v>
      </c>
    </row>
    <row r="19">
      <c r="A19" s="6" t="inlineStr">
        <is>
          <t>Tax (charge)/credit</t>
        </is>
      </c>
      <c r="B19" s="6" t="n">
        <v>-61147</v>
      </c>
      <c r="C19" s="6" t="n">
        <v>-52669</v>
      </c>
      <c r="D19" s="6" t="n">
        <v>-29241</v>
      </c>
      <c r="E19" s="6" t="n">
        <v>109</v>
      </c>
      <c r="F19" s="6" t="n">
        <v>-19735</v>
      </c>
      <c r="G19" s="6" t="n">
        <v>-5525</v>
      </c>
    </row>
    <row r="20">
      <c r="A20" s="5" t="inlineStr">
        <is>
          <t>Profit for the year</t>
        </is>
      </c>
      <c r="B20" s="5" t="n">
        <v>189231</v>
      </c>
      <c r="C20" s="5" t="n">
        <v>165495</v>
      </c>
      <c r="D20" s="5" t="n">
        <v>156719</v>
      </c>
      <c r="E20" s="5" t="n">
        <v>103410</v>
      </c>
      <c r="F20" s="5" t="n">
        <v>41534</v>
      </c>
      <c r="G20" s="5" t="n">
        <v>7552</v>
      </c>
    </row>
    <row r="21">
      <c r="A21" s="5" t="inlineStr">
        <is>
          <t>Other comprehensive income, net of tax</t>
        </is>
      </c>
      <c r="B21" s="6" t="n"/>
      <c r="C21" s="6" t="n"/>
      <c r="D21" s="6" t="n"/>
      <c r="E21" s="6" t="n"/>
      <c r="F21" s="6" t="n"/>
      <c r="G21" s="6" t="n"/>
    </row>
    <row r="22">
      <c r="A22" s="6" t="inlineStr">
        <is>
          <t>Actuarial gain/(loss) on retirement benefit scheme (pre-tax)</t>
        </is>
      </c>
      <c r="B22" s="6" t="n">
        <v>5836</v>
      </c>
      <c r="C22" s="6" t="n">
        <v>-404</v>
      </c>
      <c r="D22" s="6" t="n">
        <v>-106904</v>
      </c>
      <c r="E22" s="6" t="n">
        <v>-80050</v>
      </c>
      <c r="F22" s="6" t="n">
        <v>-69792</v>
      </c>
      <c r="G22" s="6" t="n">
        <v>19865</v>
      </c>
    </row>
    <row r="23">
      <c r="A23" s="6" t="inlineStr">
        <is>
          <t>Property revaluation gain/(loss) (pre-tax)</t>
        </is>
      </c>
      <c r="B23" s="6" t="n">
        <v>-1940</v>
      </c>
      <c r="C23" s="6" t="n">
        <v>-1479</v>
      </c>
      <c r="D23" s="6" t="n">
        <v>-1155</v>
      </c>
      <c r="E23" s="6" t="n">
        <v>243</v>
      </c>
      <c r="F23" s="6" t="n">
        <v>571</v>
      </c>
      <c r="G23" s="6" t="n">
        <v>-954</v>
      </c>
    </row>
    <row r="24">
      <c r="A24" s="6" t="inlineStr">
        <is>
          <t>Unrealised value adjustments of investment securities at fair value (pre-tax)</t>
        </is>
      </c>
      <c r="B24" s="6" t="n">
        <v>3173</v>
      </c>
      <c r="C24" s="6" t="n">
        <v>-571</v>
      </c>
      <c r="D24" s="6" t="n">
        <v>21919</v>
      </c>
      <c r="E24" s="6" t="n">
        <v>-36724</v>
      </c>
      <c r="F24" s="6" t="n">
        <v>-13500</v>
      </c>
      <c r="G24" s="6" t="n">
        <v>7724</v>
      </c>
    </row>
    <row r="25">
      <c r="A25" s="6" t="inlineStr">
        <is>
          <t>Transfer to income statement on disposal of investment securities (pre-tax)</t>
        </is>
      </c>
      <c r="B25" s="6" t="n">
        <v>-28</v>
      </c>
      <c r="C25" s="6" t="n">
        <v>6013</v>
      </c>
      <c r="D25" s="6" t="n">
        <v>14330</v>
      </c>
      <c r="E25" s="6" t="n"/>
      <c r="F25" s="6" t="n"/>
      <c r="G25" s="6" t="n"/>
    </row>
    <row r="26">
      <c r="A26" s="6" t="inlineStr">
        <is>
          <t>Movement on interest rate hedge adjustment (pre-tax)</t>
        </is>
      </c>
      <c r="B26" s="6" t="n">
        <v>-150</v>
      </c>
      <c r="C26" s="6" t="n"/>
      <c r="D26" s="6" t="n"/>
      <c r="E26" s="6" t="n"/>
      <c r="F26" s="6" t="n"/>
      <c r="G26" s="6" t="n"/>
    </row>
    <row r="27">
      <c r="A27" s="6" t="inlineStr">
        <is>
          <t>Cash flow hedge reserve gains/(losses) (pre-tax)</t>
        </is>
      </c>
      <c r="B27" s="6" t="n">
        <v>1258</v>
      </c>
      <c r="C27" s="6" t="n">
        <v>2088</v>
      </c>
      <c r="D27" s="6" t="n">
        <v>9406</v>
      </c>
      <c r="E27" s="6" t="n">
        <v>-8578</v>
      </c>
      <c r="F27" s="6" t="n">
        <v>-9611</v>
      </c>
      <c r="G27" s="6" t="n">
        <v>3612</v>
      </c>
    </row>
    <row r="28">
      <c r="A28" s="6" t="inlineStr">
        <is>
          <t>Taxation impact (total, all OCI components)</t>
        </is>
      </c>
      <c r="B28" s="6" t="n">
        <v>-2432</v>
      </c>
      <c r="C28" s="6" t="n">
        <v>-1477</v>
      </c>
      <c r="D28" s="6" t="n">
        <v>17575</v>
      </c>
      <c r="E28" s="6" t="n">
        <v>33070</v>
      </c>
      <c r="F28" s="6" t="n">
        <v>29099</v>
      </c>
      <c r="G28" s="6" t="n">
        <v>-8451</v>
      </c>
    </row>
    <row r="29">
      <c r="A29" s="5" t="inlineStr">
        <is>
          <t>Total other comprehensive income, net of tax</t>
        </is>
      </c>
      <c r="B29" s="5" t="n">
        <v>5717</v>
      </c>
      <c r="C29" s="5" t="n">
        <v>4170</v>
      </c>
      <c r="D29" s="5" t="n">
        <v>-44829</v>
      </c>
      <c r="E29" s="5" t="n">
        <v>-92039</v>
      </c>
      <c r="F29" s="5" t="n">
        <v>-63233</v>
      </c>
      <c r="G29" s="5" t="n">
        <v>21796</v>
      </c>
    </row>
    <row r="30">
      <c r="A30" s="5" t="inlineStr">
        <is>
          <t>Total comprehensive income for the year</t>
        </is>
      </c>
      <c r="B30" s="5" t="n">
        <v>194948</v>
      </c>
      <c r="C30" s="5" t="n">
        <v>169665</v>
      </c>
      <c r="D30" s="5" t="n">
        <v>111890</v>
      </c>
      <c r="E30" s="5" t="n">
        <v>11371</v>
      </c>
      <c r="F30" s="5" t="n">
        <v>-21699</v>
      </c>
      <c r="G30" s="5" t="n">
        <v>29348</v>
      </c>
    </row>
    <row r="32" ht="280" customHeight="1">
      <c r="A32" s="8" t="inlineStr">
        <is>
          <t>Sources - Northern Bank Limited entity-level Annual Report and Financial Statements:
FY2025: Income Statement/Statement of Other Comprehensive Income p.88, Balance Sheet p.89, Statement of Changes in Equity p.90 - https://danskebank.co.uk/-/media/danske-bank/uk/about-us/corporate-governance/annual-reports/northern-bank-annual-report-accounts-2025.pdf?hash=FAA2D970352C7AB5893C6D09B997681A&amp;rev=a79a533060b745c682e1796ed929cab5
FY2024: Income Statement p.127, Statement of Other Comprehensive Income p.128, Balance Sheet p.129, Statement of Changes in Equity p.130 - https://danskebank.co.uk/-/media/danske-bank/uk/about-us/corporate-governance/annual-reports/northern-bank-annual-report-og-accounts-2024.pdf?hash=C989E05EAE7993B66B70ADF26AB11BF7&amp;rev=1a1acede77ae425a8222ac3395302b9d
FY2023: Income Statement p.127, Balance Sheet p.128, Statement of Other Comprehensive Income p.129, Statement of Changes in Equity p.131 - https://danskebank.co.uk/-/media/danske-bank/uk/about-us/corporate-governance/annual-reports/northern-bank-annual-report-og-accounts-2023.pdf?hash=7CEA5F947D848F4BD9C1E97211AFF9CE&amp;rev=4202add3decb471fbed08666ff6e307b
FY2022: Income Statement p.115, Statement of Other Comprehensive Income p.116, Balance Sheet p.117, Statement of Changes in Equity p.118 - https://danskebank.co.uk/-/media/danske-bank/uk/about-us/corporate-governance/annual-reports/northern-bank-annual-report-og-accounts-2022.pdf?rev=9aa72868afb1433d9e9df8f0959d630f
FY2021: Income Statement p.103, Statement of Other Comprehensive Income p.104, Balance Sheet p.105, Statement of Changes in Equity p.106 - https://danskebank.co.uk/-/media/danske-bank/uk/about-us/corporate-governance/annual-reports/northern-bank---annual-report-og-accounts-2021.pdf?rev=6bfedd29bb0d488ea30ffce998073674
FY2020: Income Statement p.71, Statement of Other Comprehensive Income p.72, Balance Sheet p.73, Statement of Changes in Equity p.74 - https://danskebank.co.uk/-/media/danske-bank/uk/about-us/corporate-governance/annual-reports/northern-bank---annual-report-og-accounts-2020.pdf
ENTITY NOTE: Northern Bank Limited (Companies House R0000568, FRN 122261, LEI 549300KUB2XKWLPMXV81) is the exact legal entity in Banks List 2608.xlsx. It trades as Danske Bank in Northern Ireland but remains Northern Bank Limited, an autonomous subsidiary of Danske Bank Group. All figures are the Bank's own entity-level disclosures, not Danske Bank A/S group figures. The annual reports state that the Bank monitors capital monthly and quarterly and publishes these annual capital and liquidity metrics; no separate interim Pillar 3 sheet is included in this standard annual WF-018 build.</t>
        </is>
      </c>
    </row>
  </sheetData>
  <mergeCells count="1">
    <mergeCell ref="A32:G3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70"/>
  <sheetViews>
    <sheetView workbookViewId="0">
      <pane ySplit="4" topLeftCell="A5" activePane="bottomLeft" state="frozen"/>
      <selection pane="bottomLeft" activeCell="A1" sqref="A1"/>
    </sheetView>
  </sheetViews>
  <sheetFormatPr baseColWidth="8" defaultRowHeight="15"/>
  <cols>
    <col width="6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Northern Bank Limited — Statement of Changes in Equity</t>
        </is>
      </c>
    </row>
    <row r="2">
      <c r="A2" s="2" t="inlineStr">
        <is>
          <t>Chronological roll-forward, oldest to newest, entity-level. £'000. Equity reconciliation ladder confirmed: every year's own closing balance ties exactly to both the next year's own opening balance and that year's own Balance Sheet Total equity - zero plug rows needed anywhere across all 6 years. FY2020's own Taxation impact row nets to -8,450 (Total attributable) / -8,451 (Total equity), a 1-unit rounding artifact already present in the Bank's own FY2020 Statement of Changes in Equity, not a transcription error.</t>
        </is>
      </c>
    </row>
    <row r="3">
      <c r="A3" s="4" t="inlineStr">
        <is>
          <t>Movement</t>
        </is>
      </c>
      <c r="B3" s="4" t="inlineStr">
        <is>
          <t>Share capital</t>
        </is>
      </c>
      <c r="C3" s="4" t="inlineStr">
        <is>
          <t>Share premium</t>
        </is>
      </c>
      <c r="D3" s="4" t="inlineStr">
        <is>
          <t>Revaluation reserve</t>
        </is>
      </c>
      <c r="E3" s="4" t="inlineStr">
        <is>
          <t>Cash flow hedge reserve</t>
        </is>
      </c>
      <c r="F3" s="4" t="inlineStr">
        <is>
          <t>Reserve for securities at fair value</t>
        </is>
      </c>
      <c r="G3" s="4" t="inlineStr">
        <is>
          <t>Retained earnings</t>
        </is>
      </c>
      <c r="H3" s="4" t="inlineStr">
        <is>
          <t>Total attributable to shareholders</t>
        </is>
      </c>
      <c r="I3" s="4" t="inlineStr">
        <is>
          <t>AT1 capital holders</t>
        </is>
      </c>
      <c r="J3" s="4" t="inlineStr">
        <is>
          <t>Total equity</t>
        </is>
      </c>
    </row>
    <row r="4">
      <c r="A4" s="5" t="inlineStr">
        <is>
          <t>At 1 January 2020 (FY2020 opening)</t>
        </is>
      </c>
      <c r="B4" s="5" t="n">
        <v>218170</v>
      </c>
      <c r="C4" s="5" t="n">
        <v>306590</v>
      </c>
      <c r="D4" s="5" t="n">
        <v>35906</v>
      </c>
      <c r="E4" s="5" t="n">
        <v>2132</v>
      </c>
      <c r="F4" s="5" t="n">
        <v>1594</v>
      </c>
      <c r="G4" s="5" t="n">
        <v>165194</v>
      </c>
      <c r="H4" s="5" t="n">
        <v>729586</v>
      </c>
      <c r="I4" s="5" t="n">
        <v>97069</v>
      </c>
      <c r="J4" s="5" t="n">
        <v>826655</v>
      </c>
    </row>
    <row r="5">
      <c r="A5" s="6" t="inlineStr">
        <is>
          <t>Profit for the year</t>
        </is>
      </c>
      <c r="B5" s="6" t="n"/>
      <c r="C5" s="6" t="n"/>
      <c r="D5" s="6" t="n"/>
      <c r="E5" s="6" t="n"/>
      <c r="F5" s="6" t="n"/>
      <c r="G5" s="6" t="n">
        <v>2526</v>
      </c>
      <c r="H5" s="6" t="n">
        <v>2526</v>
      </c>
      <c r="I5" s="6" t="n">
        <v>5026</v>
      </c>
      <c r="J5" s="6" t="n">
        <v>7552</v>
      </c>
    </row>
    <row r="6">
      <c r="A6" s="6" t="inlineStr">
        <is>
          <t>Actuarial gain recognised in retirement benefit scheme</t>
        </is>
      </c>
      <c r="B6" s="6" t="n"/>
      <c r="C6" s="6" t="n"/>
      <c r="D6" s="6" t="n"/>
      <c r="E6" s="6" t="n"/>
      <c r="F6" s="6" t="n"/>
      <c r="G6" s="6" t="n">
        <v>19865</v>
      </c>
      <c r="H6" s="6" t="n">
        <v>19865</v>
      </c>
      <c r="I6" s="6" t="n"/>
      <c r="J6" s="6" t="n">
        <v>19865</v>
      </c>
    </row>
    <row r="7">
      <c r="A7" s="6" t="inlineStr">
        <is>
          <t>Transfer re property disposals</t>
        </is>
      </c>
      <c r="B7" s="6" t="n"/>
      <c r="C7" s="6" t="n"/>
      <c r="D7" s="6" t="n">
        <v>-60</v>
      </c>
      <c r="E7" s="6" t="n"/>
      <c r="F7" s="6" t="n"/>
      <c r="G7" s="6" t="n">
        <v>60</v>
      </c>
      <c r="H7" s="6" t="n"/>
      <c r="I7" s="6" t="n"/>
      <c r="J7" s="6" t="n"/>
    </row>
    <row r="8">
      <c r="A8" s="6" t="inlineStr">
        <is>
          <t>Property revaluation</t>
        </is>
      </c>
      <c r="B8" s="6" t="n"/>
      <c r="C8" s="6" t="n"/>
      <c r="D8" s="6" t="n">
        <v>-954</v>
      </c>
      <c r="E8" s="6" t="n"/>
      <c r="F8" s="6" t="n"/>
      <c r="G8" s="6" t="n"/>
      <c r="H8" s="6" t="n">
        <v>-954</v>
      </c>
      <c r="I8" s="6" t="n"/>
      <c r="J8" s="6" t="n">
        <v>-954</v>
      </c>
    </row>
    <row r="9">
      <c r="A9" s="6" t="inlineStr">
        <is>
          <t>Investment securities at fair value</t>
        </is>
      </c>
      <c r="B9" s="6" t="n"/>
      <c r="C9" s="6" t="n"/>
      <c r="D9" s="6" t="n"/>
      <c r="E9" s="6" t="n"/>
      <c r="F9" s="6" t="n">
        <v>7724</v>
      </c>
      <c r="G9" s="6" t="n"/>
      <c r="H9" s="6" t="n">
        <v>7724</v>
      </c>
      <c r="I9" s="6" t="n"/>
      <c r="J9" s="6" t="n">
        <v>7724</v>
      </c>
    </row>
    <row r="10">
      <c r="A10" s="6" t="inlineStr">
        <is>
          <t>Cash flow hedge reserve</t>
        </is>
      </c>
      <c r="B10" s="6" t="n"/>
      <c r="C10" s="6" t="n"/>
      <c r="D10" s="6" t="n"/>
      <c r="E10" s="6" t="n">
        <v>3612</v>
      </c>
      <c r="F10" s="6" t="n"/>
      <c r="G10" s="6" t="n"/>
      <c r="H10" s="6" t="n">
        <v>3612</v>
      </c>
      <c r="I10" s="6" t="n"/>
      <c r="J10" s="6" t="n">
        <v>3612</v>
      </c>
    </row>
    <row r="11">
      <c r="A11" s="6" t="inlineStr">
        <is>
          <t>Taxation impact</t>
        </is>
      </c>
      <c r="B11" s="6" t="n"/>
      <c r="C11" s="6" t="n"/>
      <c r="D11" s="6" t="n">
        <v>73</v>
      </c>
      <c r="E11" s="6" t="n">
        <v>-1032</v>
      </c>
      <c r="F11" s="6" t="n">
        <v>-2128</v>
      </c>
      <c r="G11" s="6" t="n">
        <v>-5363</v>
      </c>
      <c r="H11" s="6" t="n">
        <v>-8450</v>
      </c>
      <c r="I11" s="6" t="n"/>
      <c r="J11" s="6" t="n">
        <v>-8451</v>
      </c>
    </row>
    <row r="12">
      <c r="A12" s="6" t="inlineStr">
        <is>
          <t>AT1 distributions paid</t>
        </is>
      </c>
      <c r="B12" s="6" t="n"/>
      <c r="C12" s="6" t="n"/>
      <c r="D12" s="6" t="n"/>
      <c r="E12" s="6" t="n"/>
      <c r="F12" s="6" t="n"/>
      <c r="G12" s="6" t="n"/>
      <c r="H12" s="6" t="n"/>
      <c r="I12" s="6" t="n">
        <v>-5137</v>
      </c>
      <c r="J12" s="6" t="n">
        <v>-5137</v>
      </c>
    </row>
    <row r="13">
      <c r="A13" s="5" t="inlineStr">
        <is>
          <t>At 31 December 2020 (FY2020 closing) / At 1 January 2021 (FY2021 opening)</t>
        </is>
      </c>
      <c r="B13" s="5" t="n">
        <v>218170</v>
      </c>
      <c r="C13" s="5" t="n">
        <v>306590</v>
      </c>
      <c r="D13" s="5" t="n">
        <v>34965</v>
      </c>
      <c r="E13" s="5" t="n">
        <v>4712</v>
      </c>
      <c r="F13" s="5" t="n">
        <v>7190</v>
      </c>
      <c r="G13" s="5" t="n">
        <v>182282</v>
      </c>
      <c r="H13" s="5" t="n">
        <v>753909</v>
      </c>
      <c r="I13" s="5" t="n">
        <v>96958</v>
      </c>
      <c r="J13" s="5" t="n">
        <v>850867</v>
      </c>
    </row>
    <row r="14">
      <c r="A14" s="6" t="inlineStr">
        <is>
          <t>Profit for the year</t>
        </is>
      </c>
      <c r="B14" s="6" t="n"/>
      <c r="C14" s="6" t="n"/>
      <c r="D14" s="6" t="n"/>
      <c r="E14" s="6" t="n"/>
      <c r="F14" s="6" t="n"/>
      <c r="G14" s="6" t="n">
        <v>36549</v>
      </c>
      <c r="H14" s="6" t="n">
        <v>36549</v>
      </c>
      <c r="I14" s="6" t="n">
        <v>4985</v>
      </c>
      <c r="J14" s="6" t="n">
        <v>41534</v>
      </c>
    </row>
    <row r="15">
      <c r="A15" s="6" t="inlineStr">
        <is>
          <t>Actuarial loss recognised in retirement benefit scheme</t>
        </is>
      </c>
      <c r="B15" s="6" t="n"/>
      <c r="C15" s="6" t="n"/>
      <c r="D15" s="6" t="n"/>
      <c r="E15" s="6" t="n"/>
      <c r="F15" s="6" t="n"/>
      <c r="G15" s="6" t="n">
        <v>-69792</v>
      </c>
      <c r="H15" s="6" t="n">
        <v>-69792</v>
      </c>
      <c r="I15" s="6" t="n"/>
      <c r="J15" s="6" t="n">
        <v>-69792</v>
      </c>
    </row>
    <row r="16">
      <c r="A16" s="6" t="inlineStr">
        <is>
          <t>Transfer re property disposals</t>
        </is>
      </c>
      <c r="B16" s="6" t="n"/>
      <c r="C16" s="6" t="n"/>
      <c r="D16" s="6" t="n">
        <v>-1063</v>
      </c>
      <c r="E16" s="6" t="n"/>
      <c r="F16" s="6" t="n"/>
      <c r="G16" s="6" t="n">
        <v>1063</v>
      </c>
      <c r="H16" s="6" t="n"/>
      <c r="I16" s="6" t="n"/>
      <c r="J16" s="6" t="n"/>
    </row>
    <row r="17">
      <c r="A17" s="6" t="inlineStr">
        <is>
          <t>Property revaluation</t>
        </is>
      </c>
      <c r="B17" s="6" t="n"/>
      <c r="C17" s="6" t="n"/>
      <c r="D17" s="6" t="n">
        <v>571</v>
      </c>
      <c r="E17" s="6" t="n"/>
      <c r="F17" s="6" t="n"/>
      <c r="G17" s="6" t="n"/>
      <c r="H17" s="6" t="n">
        <v>571</v>
      </c>
      <c r="I17" s="6" t="n"/>
      <c r="J17" s="6" t="n">
        <v>571</v>
      </c>
    </row>
    <row r="18">
      <c r="A18" s="6" t="inlineStr">
        <is>
          <t>Investment securities at fair value</t>
        </is>
      </c>
      <c r="B18" s="6" t="n"/>
      <c r="C18" s="6" t="n"/>
      <c r="D18" s="6" t="n"/>
      <c r="E18" s="6" t="n"/>
      <c r="F18" s="6" t="n">
        <v>-13500</v>
      </c>
      <c r="G18" s="6" t="n"/>
      <c r="H18" s="6" t="n">
        <v>-13500</v>
      </c>
      <c r="I18" s="6" t="n"/>
      <c r="J18" s="6" t="n">
        <v>-13500</v>
      </c>
    </row>
    <row r="19">
      <c r="A19" s="6" t="inlineStr">
        <is>
          <t>Cash flow hedge reserve</t>
        </is>
      </c>
      <c r="B19" s="6" t="n"/>
      <c r="C19" s="6" t="n"/>
      <c r="D19" s="6" t="n"/>
      <c r="E19" s="6" t="n">
        <v>-9611</v>
      </c>
      <c r="F19" s="6" t="n"/>
      <c r="G19" s="6" t="n"/>
      <c r="H19" s="6" t="n">
        <v>-9611</v>
      </c>
      <c r="I19" s="6" t="n"/>
      <c r="J19" s="6" t="n">
        <v>-9611</v>
      </c>
    </row>
    <row r="20">
      <c r="A20" s="6" t="inlineStr">
        <is>
          <t>Taxation impact</t>
        </is>
      </c>
      <c r="B20" s="6" t="n"/>
      <c r="C20" s="6" t="n"/>
      <c r="D20" s="6" t="n">
        <v>-581</v>
      </c>
      <c r="E20" s="6" t="n">
        <v>2784</v>
      </c>
      <c r="F20" s="6" t="n">
        <v>3864</v>
      </c>
      <c r="G20" s="6" t="n">
        <v>23032</v>
      </c>
      <c r="H20" s="6" t="n">
        <v>29099</v>
      </c>
      <c r="I20" s="6" t="n"/>
      <c r="J20" s="6" t="n">
        <v>29099</v>
      </c>
    </row>
    <row r="21">
      <c r="A21" s="6" t="inlineStr">
        <is>
          <t>Dividends paid</t>
        </is>
      </c>
      <c r="B21" s="6" t="n"/>
      <c r="C21" s="6" t="n"/>
      <c r="D21" s="6" t="n"/>
      <c r="E21" s="6" t="n"/>
      <c r="F21" s="6" t="n"/>
      <c r="G21" s="6" t="n">
        <v>-75000</v>
      </c>
      <c r="H21" s="6" t="n">
        <v>-75000</v>
      </c>
      <c r="I21" s="6" t="n"/>
      <c r="J21" s="6" t="n">
        <v>-75000</v>
      </c>
    </row>
    <row r="22">
      <c r="A22" s="6" t="inlineStr">
        <is>
          <t>AT1 distributions paid</t>
        </is>
      </c>
      <c r="B22" s="6" t="n"/>
      <c r="C22" s="6" t="n"/>
      <c r="D22" s="6" t="n"/>
      <c r="E22" s="6" t="n"/>
      <c r="F22" s="6" t="n"/>
      <c r="G22" s="6" t="n"/>
      <c r="H22" s="6" t="n"/>
      <c r="I22" s="6" t="n">
        <v>-4969</v>
      </c>
      <c r="J22" s="6" t="n">
        <v>-4969</v>
      </c>
    </row>
    <row r="23">
      <c r="A23" s="5" t="inlineStr">
        <is>
          <t>At 31 December 2021 (FY2021 closing)</t>
        </is>
      </c>
      <c r="B23" s="5" t="n">
        <v>218170</v>
      </c>
      <c r="C23" s="5" t="n">
        <v>306590</v>
      </c>
      <c r="D23" s="5" t="n">
        <v>33892</v>
      </c>
      <c r="E23" s="5" t="n">
        <v>-2115</v>
      </c>
      <c r="F23" s="5" t="n">
        <v>-2446</v>
      </c>
      <c r="G23" s="5" t="n">
        <v>98134</v>
      </c>
      <c r="H23" s="5" t="n">
        <v>652225</v>
      </c>
      <c r="I23" s="5" t="n">
        <v>96974</v>
      </c>
      <c r="J23" s="5" t="n">
        <v>749199</v>
      </c>
    </row>
    <row r="24">
      <c r="A24" s="6" t="inlineStr">
        <is>
          <t>Profit for the year</t>
        </is>
      </c>
      <c r="B24" s="6" t="n"/>
      <c r="C24" s="6" t="n"/>
      <c r="D24" s="6" t="n"/>
      <c r="E24" s="6" t="n"/>
      <c r="F24" s="6" t="n"/>
      <c r="G24" s="6" t="n">
        <v>91053</v>
      </c>
      <c r="H24" s="6" t="n">
        <v>91053</v>
      </c>
      <c r="I24" s="6" t="n">
        <v>12357</v>
      </c>
      <c r="J24" s="6" t="n">
        <v>103410</v>
      </c>
    </row>
    <row r="25">
      <c r="A25" s="6" t="inlineStr">
        <is>
          <t>Actuarial loss recognised in retirement benefit scheme</t>
        </is>
      </c>
      <c r="B25" s="6" t="n"/>
      <c r="C25" s="6" t="n"/>
      <c r="D25" s="6" t="n"/>
      <c r="E25" s="6" t="n"/>
      <c r="F25" s="6" t="n"/>
      <c r="G25" s="6" t="n">
        <v>-80050</v>
      </c>
      <c r="H25" s="6" t="n">
        <v>-80050</v>
      </c>
      <c r="I25" s="6" t="n"/>
      <c r="J25" s="6" t="n">
        <v>-80050</v>
      </c>
    </row>
    <row r="26">
      <c r="A26" s="6" t="inlineStr">
        <is>
          <t>Transfer re property disposals</t>
        </is>
      </c>
      <c r="B26" s="6" t="n"/>
      <c r="C26" s="6" t="n"/>
      <c r="D26" s="6" t="n">
        <v>-1394</v>
      </c>
      <c r="E26" s="6" t="n"/>
      <c r="F26" s="6" t="n"/>
      <c r="G26" s="6" t="n">
        <v>1394</v>
      </c>
      <c r="H26" s="6" t="n"/>
      <c r="I26" s="6" t="n"/>
      <c r="J26" s="6" t="n"/>
    </row>
    <row r="27">
      <c r="A27" s="6" t="inlineStr">
        <is>
          <t>Property revaluation</t>
        </is>
      </c>
      <c r="B27" s="6" t="n"/>
      <c r="C27" s="6" t="n"/>
      <c r="D27" s="6" t="n">
        <v>243</v>
      </c>
      <c r="E27" s="6" t="n"/>
      <c r="F27" s="6" t="n"/>
      <c r="G27" s="6" t="n"/>
      <c r="H27" s="6" t="n">
        <v>243</v>
      </c>
      <c r="I27" s="6" t="n"/>
      <c r="J27" s="6" t="n">
        <v>243</v>
      </c>
    </row>
    <row r="28">
      <c r="A28" s="6" t="inlineStr">
        <is>
          <t>Investment securities at fair value</t>
        </is>
      </c>
      <c r="B28" s="6" t="n"/>
      <c r="C28" s="6" t="n"/>
      <c r="D28" s="6" t="n"/>
      <c r="E28" s="6" t="n"/>
      <c r="F28" s="6" t="n">
        <v>-36724</v>
      </c>
      <c r="G28" s="6" t="n"/>
      <c r="H28" s="6" t="n">
        <v>-36724</v>
      </c>
      <c r="I28" s="6" t="n"/>
      <c r="J28" s="6" t="n">
        <v>-36724</v>
      </c>
    </row>
    <row r="29">
      <c r="A29" s="6" t="inlineStr">
        <is>
          <t>Cash flow hedge reserve</t>
        </is>
      </c>
      <c r="B29" s="6" t="n"/>
      <c r="C29" s="6" t="n"/>
      <c r="D29" s="6" t="n"/>
      <c r="E29" s="6" t="n">
        <v>-8578</v>
      </c>
      <c r="F29" s="6" t="n"/>
      <c r="G29" s="6" t="n"/>
      <c r="H29" s="6" t="n">
        <v>-8578</v>
      </c>
      <c r="I29" s="6" t="n"/>
      <c r="J29" s="6" t="n">
        <v>-8578</v>
      </c>
    </row>
    <row r="30">
      <c r="A30" s="6" t="inlineStr">
        <is>
          <t>Taxation impact</t>
        </is>
      </c>
      <c r="B30" s="6" t="n"/>
      <c r="C30" s="6" t="n"/>
      <c r="D30" s="6" t="n">
        <v>677</v>
      </c>
      <c r="E30" s="6" t="n">
        <v>2244</v>
      </c>
      <c r="F30" s="6" t="n">
        <v>10100</v>
      </c>
      <c r="G30" s="6" t="n">
        <v>20049</v>
      </c>
      <c r="H30" s="6" t="n">
        <v>33070</v>
      </c>
      <c r="I30" s="6" t="n"/>
      <c r="J30" s="6" t="n">
        <v>33070</v>
      </c>
    </row>
    <row r="31">
      <c r="A31" s="6" t="inlineStr">
        <is>
          <t>Dividends paid to shareholders</t>
        </is>
      </c>
      <c r="B31" s="6" t="n"/>
      <c r="C31" s="6" t="n"/>
      <c r="D31" s="6" t="n"/>
      <c r="E31" s="6" t="n"/>
      <c r="F31" s="6" t="n"/>
      <c r="G31" s="6" t="n">
        <v>-40000</v>
      </c>
      <c r="H31" s="6" t="n">
        <v>-40000</v>
      </c>
      <c r="I31" s="6" t="n"/>
      <c r="J31" s="6" t="n">
        <v>-40000</v>
      </c>
    </row>
    <row r="32">
      <c r="A32" s="6" t="inlineStr">
        <is>
          <t>AT1 issuance</t>
        </is>
      </c>
      <c r="B32" s="6" t="n"/>
      <c r="C32" s="6" t="n"/>
      <c r="D32" s="6" t="n"/>
      <c r="E32" s="6" t="n"/>
      <c r="F32" s="6" t="n"/>
      <c r="G32" s="6" t="n"/>
      <c r="H32" s="6" t="n"/>
      <c r="I32" s="6" t="n">
        <v>222000</v>
      </c>
      <c r="J32" s="6" t="n">
        <v>222000</v>
      </c>
    </row>
    <row r="33">
      <c r="A33" s="6" t="inlineStr">
        <is>
          <t>AT1 redemption</t>
        </is>
      </c>
      <c r="B33" s="6" t="n"/>
      <c r="C33" s="6" t="n"/>
      <c r="D33" s="6" t="n"/>
      <c r="E33" s="6" t="n"/>
      <c r="F33" s="6" t="n"/>
      <c r="G33" s="6" t="n"/>
      <c r="H33" s="6" t="n"/>
      <c r="I33" s="6" t="n">
        <v>-96000</v>
      </c>
      <c r="J33" s="6" t="n">
        <v>-96000</v>
      </c>
    </row>
    <row r="34">
      <c r="A34" s="6" t="inlineStr">
        <is>
          <t>AT1 distributions paid</t>
        </is>
      </c>
      <c r="B34" s="6" t="n"/>
      <c r="C34" s="6" t="n"/>
      <c r="D34" s="6" t="n"/>
      <c r="E34" s="6" t="n"/>
      <c r="F34" s="6" t="n"/>
      <c r="G34" s="6" t="n"/>
      <c r="H34" s="6" t="n"/>
      <c r="I34" s="6" t="n">
        <v>-9378</v>
      </c>
      <c r="J34" s="6" t="n">
        <v>-9378</v>
      </c>
    </row>
    <row r="35">
      <c r="A35" s="5" t="inlineStr">
        <is>
          <t>At 31 December 2022 (FY2022 closing)</t>
        </is>
      </c>
      <c r="B35" s="5" t="n">
        <v>218170</v>
      </c>
      <c r="C35" s="5" t="n">
        <v>306590</v>
      </c>
      <c r="D35" s="5" t="n">
        <v>33418</v>
      </c>
      <c r="E35" s="5" t="n">
        <v>-8449</v>
      </c>
      <c r="F35" s="5" t="n">
        <v>-29070</v>
      </c>
      <c r="G35" s="5" t="n">
        <v>90580</v>
      </c>
      <c r="H35" s="5" t="n">
        <v>611239</v>
      </c>
      <c r="I35" s="5" t="n">
        <v>225953</v>
      </c>
      <c r="J35" s="5" t="n">
        <v>837192</v>
      </c>
    </row>
    <row r="36">
      <c r="A36" s="6" t="inlineStr">
        <is>
          <t>Profit for the year</t>
        </is>
      </c>
      <c r="B36" s="6" t="n"/>
      <c r="C36" s="6" t="n"/>
      <c r="D36" s="6" t="n"/>
      <c r="E36" s="6" t="n"/>
      <c r="F36" s="6" t="n"/>
      <c r="G36" s="6" t="n">
        <v>136036</v>
      </c>
      <c r="H36" s="6" t="n">
        <v>136036</v>
      </c>
      <c r="I36" s="6" t="n">
        <v>20683</v>
      </c>
      <c r="J36" s="6" t="n">
        <v>156719</v>
      </c>
    </row>
    <row r="37">
      <c r="A37" s="6" t="inlineStr">
        <is>
          <t>Actuarial loss recognised in retirement benefit scheme</t>
        </is>
      </c>
      <c r="B37" s="6" t="n"/>
      <c r="C37" s="6" t="n"/>
      <c r="D37" s="6" t="n"/>
      <c r="E37" s="6" t="n"/>
      <c r="F37" s="6" t="n"/>
      <c r="G37" s="6" t="n">
        <v>-106904</v>
      </c>
      <c r="H37" s="6" t="n">
        <v>-106904</v>
      </c>
      <c r="I37" s="6" t="n"/>
      <c r="J37" s="6" t="n">
        <v>-106904</v>
      </c>
    </row>
    <row r="38">
      <c r="A38" s="6" t="inlineStr">
        <is>
          <t>Transfer re property disposals</t>
        </is>
      </c>
      <c r="B38" s="6" t="n"/>
      <c r="C38" s="6" t="n"/>
      <c r="D38" s="6" t="n">
        <v>-183</v>
      </c>
      <c r="E38" s="6" t="n"/>
      <c r="F38" s="6" t="n"/>
      <c r="G38" s="6" t="n">
        <v>183</v>
      </c>
      <c r="H38" s="6" t="n"/>
      <c r="I38" s="6" t="n"/>
      <c r="J38" s="6" t="n"/>
    </row>
    <row r="39">
      <c r="A39" s="6" t="inlineStr">
        <is>
          <t>Property revaluation</t>
        </is>
      </c>
      <c r="B39" s="6" t="n"/>
      <c r="C39" s="6" t="n"/>
      <c r="D39" s="6" t="n">
        <v>-1155</v>
      </c>
      <c r="E39" s="6" t="n"/>
      <c r="F39" s="6" t="n"/>
      <c r="G39" s="6" t="n"/>
      <c r="H39" s="6" t="n">
        <v>-1155</v>
      </c>
      <c r="I39" s="6" t="n"/>
      <c r="J39" s="6" t="n">
        <v>-1155</v>
      </c>
    </row>
    <row r="40">
      <c r="A40" s="6" t="inlineStr">
        <is>
          <t>Investment securities at fair value: changes in fair value</t>
        </is>
      </c>
      <c r="B40" s="6" t="n"/>
      <c r="C40" s="6" t="n"/>
      <c r="D40" s="6" t="n"/>
      <c r="E40" s="6" t="n"/>
      <c r="F40" s="6" t="n">
        <v>21919</v>
      </c>
      <c r="G40" s="6" t="n"/>
      <c r="H40" s="6" t="n">
        <v>21919</v>
      </c>
      <c r="I40" s="6" t="n"/>
      <c r="J40" s="6" t="n">
        <v>21919</v>
      </c>
    </row>
    <row r="41">
      <c r="A41" s="6" t="inlineStr">
        <is>
          <t>Investment securities at fair value: transfer to income statement</t>
        </is>
      </c>
      <c r="B41" s="6" t="n"/>
      <c r="C41" s="6" t="n"/>
      <c r="D41" s="6" t="n"/>
      <c r="E41" s="6" t="n"/>
      <c r="F41" s="6" t="n">
        <v>14330</v>
      </c>
      <c r="G41" s="6" t="n"/>
      <c r="H41" s="6" t="n">
        <v>14330</v>
      </c>
      <c r="I41" s="6" t="n"/>
      <c r="J41" s="6" t="n">
        <v>14330</v>
      </c>
    </row>
    <row r="42">
      <c r="A42" s="6" t="inlineStr">
        <is>
          <t>Cash flow hedge reserve</t>
        </is>
      </c>
      <c r="B42" s="6" t="n"/>
      <c r="C42" s="6" t="n"/>
      <c r="D42" s="6" t="n"/>
      <c r="E42" s="6" t="n">
        <v>9406</v>
      </c>
      <c r="F42" s="6" t="n"/>
      <c r="G42" s="6" t="n"/>
      <c r="H42" s="6" t="n">
        <v>9406</v>
      </c>
      <c r="I42" s="6" t="n"/>
      <c r="J42" s="6" t="n">
        <v>9406</v>
      </c>
    </row>
    <row r="43">
      <c r="A43" s="6" t="inlineStr">
        <is>
          <t>Taxation impact</t>
        </is>
      </c>
      <c r="B43" s="6" t="n"/>
      <c r="C43" s="6" t="n"/>
      <c r="D43" s="6" t="n">
        <v>426</v>
      </c>
      <c r="E43" s="6" t="n">
        <v>-2633</v>
      </c>
      <c r="F43" s="6" t="n">
        <v>-10149</v>
      </c>
      <c r="G43" s="6" t="n">
        <v>29931</v>
      </c>
      <c r="H43" s="6" t="n">
        <v>17575</v>
      </c>
      <c r="I43" s="6" t="n"/>
      <c r="J43" s="6" t="n">
        <v>17575</v>
      </c>
    </row>
    <row r="44">
      <c r="A44" s="6" t="inlineStr">
        <is>
          <t>AT1 distributions paid</t>
        </is>
      </c>
      <c r="B44" s="6" t="n"/>
      <c r="C44" s="6" t="n"/>
      <c r="D44" s="6" t="n"/>
      <c r="E44" s="6" t="n"/>
      <c r="F44" s="6" t="n"/>
      <c r="G44" s="6" t="n"/>
      <c r="H44" s="6" t="n"/>
      <c r="I44" s="6" t="n">
        <v>-19741</v>
      </c>
      <c r="J44" s="6" t="n">
        <v>-19741</v>
      </c>
    </row>
    <row r="45">
      <c r="A45" s="5" t="inlineStr">
        <is>
          <t>At 31 December 2023 (FY2023 closing)</t>
        </is>
      </c>
      <c r="B45" s="5" t="n">
        <v>218170</v>
      </c>
      <c r="C45" s="5" t="n">
        <v>306590</v>
      </c>
      <c r="D45" s="5" t="n">
        <v>32506</v>
      </c>
      <c r="E45" s="5" t="n">
        <v>-1676</v>
      </c>
      <c r="F45" s="5" t="n">
        <v>-2970</v>
      </c>
      <c r="G45" s="5" t="n">
        <v>149826</v>
      </c>
      <c r="H45" s="5" t="n">
        <v>702446</v>
      </c>
      <c r="I45" s="5" t="n">
        <v>226895</v>
      </c>
      <c r="J45" s="5" t="n">
        <v>929341</v>
      </c>
    </row>
    <row r="46">
      <c r="A46" s="6" t="inlineStr">
        <is>
          <t>Profit for the year</t>
        </is>
      </c>
      <c r="B46" s="6" t="n"/>
      <c r="C46" s="6" t="n"/>
      <c r="D46" s="6" t="n"/>
      <c r="E46" s="6" t="n"/>
      <c r="F46" s="6" t="n"/>
      <c r="G46" s="6" t="n">
        <v>143853</v>
      </c>
      <c r="H46" s="6" t="n">
        <v>143853</v>
      </c>
      <c r="I46" s="6" t="n">
        <v>21642</v>
      </c>
      <c r="J46" s="6" t="n">
        <v>165495</v>
      </c>
    </row>
    <row r="47">
      <c r="A47" s="6" t="inlineStr">
        <is>
          <t>Actuarial loss recognised in retirement benefit scheme</t>
        </is>
      </c>
      <c r="B47" s="6" t="n"/>
      <c r="C47" s="6" t="n"/>
      <c r="D47" s="6" t="n"/>
      <c r="E47" s="6" t="n"/>
      <c r="F47" s="6" t="n"/>
      <c r="G47" s="6" t="n">
        <v>-404</v>
      </c>
      <c r="H47" s="6" t="n">
        <v>-404</v>
      </c>
      <c r="I47" s="6" t="n"/>
      <c r="J47" s="6" t="n">
        <v>-404</v>
      </c>
    </row>
    <row r="48">
      <c r="A48" s="6" t="inlineStr">
        <is>
          <t>Transfer re property disposals</t>
        </is>
      </c>
      <c r="B48" s="6" t="n"/>
      <c r="C48" s="6" t="n"/>
      <c r="D48" s="6" t="n">
        <v>-848</v>
      </c>
      <c r="E48" s="6" t="n"/>
      <c r="F48" s="6" t="n"/>
      <c r="G48" s="6" t="n">
        <v>848</v>
      </c>
      <c r="H48" s="6" t="n"/>
      <c r="I48" s="6" t="n"/>
      <c r="J48" s="6" t="n"/>
    </row>
    <row r="49">
      <c r="A49" s="6" t="inlineStr">
        <is>
          <t>Property revaluation</t>
        </is>
      </c>
      <c r="B49" s="6" t="n"/>
      <c r="C49" s="6" t="n"/>
      <c r="D49" s="6" t="n">
        <v>-1479</v>
      </c>
      <c r="E49" s="6" t="n"/>
      <c r="F49" s="6" t="n"/>
      <c r="G49" s="6" t="n"/>
      <c r="H49" s="6" t="n">
        <v>-1479</v>
      </c>
      <c r="I49" s="6" t="n"/>
      <c r="J49" s="6" t="n">
        <v>-1479</v>
      </c>
    </row>
    <row r="50">
      <c r="A50" s="6" t="inlineStr">
        <is>
          <t>Investment securities at fair value: changes in fair value</t>
        </is>
      </c>
      <c r="B50" s="6" t="n"/>
      <c r="C50" s="6" t="n"/>
      <c r="D50" s="6" t="n"/>
      <c r="E50" s="6" t="n"/>
      <c r="F50" s="6" t="n">
        <v>-571</v>
      </c>
      <c r="G50" s="6" t="n"/>
      <c r="H50" s="6" t="n">
        <v>-571</v>
      </c>
      <c r="I50" s="6" t="n"/>
      <c r="J50" s="6" t="n">
        <v>-571</v>
      </c>
    </row>
    <row r="51">
      <c r="A51" s="6" t="inlineStr">
        <is>
          <t>Investment securities at fair value: transfer to income statement</t>
        </is>
      </c>
      <c r="B51" s="6" t="n"/>
      <c r="C51" s="6" t="n"/>
      <c r="D51" s="6" t="n"/>
      <c r="E51" s="6" t="n"/>
      <c r="F51" s="6" t="n">
        <v>6013</v>
      </c>
      <c r="G51" s="6" t="n"/>
      <c r="H51" s="6" t="n">
        <v>6013</v>
      </c>
      <c r="I51" s="6" t="n"/>
      <c r="J51" s="6" t="n">
        <v>6013</v>
      </c>
    </row>
    <row r="52">
      <c r="A52" s="6" t="inlineStr">
        <is>
          <t>Cash flow hedge reserve</t>
        </is>
      </c>
      <c r="B52" s="6" t="n"/>
      <c r="C52" s="6" t="n"/>
      <c r="D52" s="6" t="n"/>
      <c r="E52" s="6" t="n">
        <v>2088</v>
      </c>
      <c r="F52" s="6" t="n"/>
      <c r="G52" s="6" t="n"/>
      <c r="H52" s="6" t="n">
        <v>2088</v>
      </c>
      <c r="I52" s="6" t="n"/>
      <c r="J52" s="6" t="n">
        <v>2088</v>
      </c>
    </row>
    <row r="53">
      <c r="A53" s="6" t="inlineStr">
        <is>
          <t>Taxation impact</t>
        </is>
      </c>
      <c r="B53" s="6" t="n"/>
      <c r="C53" s="6" t="n"/>
      <c r="D53" s="6" t="n">
        <v>518</v>
      </c>
      <c r="E53" s="6" t="n">
        <v>-585</v>
      </c>
      <c r="F53" s="6" t="n">
        <v>-1524</v>
      </c>
      <c r="G53" s="6" t="n">
        <v>114</v>
      </c>
      <c r="H53" s="6" t="n">
        <v>-1477</v>
      </c>
      <c r="I53" s="6" t="n"/>
      <c r="J53" s="6" t="n">
        <v>-1477</v>
      </c>
    </row>
    <row r="54">
      <c r="A54" s="6" t="inlineStr">
        <is>
          <t>Dividends paid to shareholders</t>
        </is>
      </c>
      <c r="B54" s="6" t="n"/>
      <c r="C54" s="6" t="n"/>
      <c r="D54" s="6" t="n"/>
      <c r="E54" s="6" t="n"/>
      <c r="F54" s="6" t="n"/>
      <c r="G54" s="6" t="n">
        <v>-133000</v>
      </c>
      <c r="H54" s="6" t="n">
        <v>-133000</v>
      </c>
      <c r="I54" s="6" t="n"/>
      <c r="J54" s="6" t="n">
        <v>-133000</v>
      </c>
    </row>
    <row r="55">
      <c r="A55" s="6" t="inlineStr">
        <is>
          <t>AT1 distributions paid</t>
        </is>
      </c>
      <c r="B55" s="6" t="n"/>
      <c r="C55" s="6" t="n"/>
      <c r="D55" s="6" t="n"/>
      <c r="E55" s="6" t="n"/>
      <c r="F55" s="6" t="n"/>
      <c r="G55" s="6" t="n"/>
      <c r="H55" s="6" t="n"/>
      <c r="I55" s="6" t="n">
        <v>-22011</v>
      </c>
      <c r="J55" s="6" t="n">
        <v>-22011</v>
      </c>
    </row>
    <row r="56">
      <c r="A56" s="5" t="inlineStr">
        <is>
          <t>At 31 December 2024 (FY2024 closing)</t>
        </is>
      </c>
      <c r="B56" s="5" t="n">
        <v>218170</v>
      </c>
      <c r="C56" s="5" t="n">
        <v>306590</v>
      </c>
      <c r="D56" s="5" t="n">
        <v>30697</v>
      </c>
      <c r="E56" s="5" t="n">
        <v>-173</v>
      </c>
      <c r="F56" s="5" t="n">
        <v>948</v>
      </c>
      <c r="G56" s="5" t="n">
        <v>161237</v>
      </c>
      <c r="H56" s="5" t="n">
        <v>717469</v>
      </c>
      <c r="I56" s="5" t="n">
        <v>226526</v>
      </c>
      <c r="J56" s="5" t="n">
        <v>943995</v>
      </c>
    </row>
    <row r="57">
      <c r="A57" s="6" t="inlineStr">
        <is>
          <t>Profit for the year</t>
        </is>
      </c>
      <c r="B57" s="6" t="n"/>
      <c r="C57" s="6" t="n"/>
      <c r="D57" s="6" t="n"/>
      <c r="E57" s="6" t="n"/>
      <c r="F57" s="6" t="n"/>
      <c r="G57" s="6" t="n">
        <v>169484</v>
      </c>
      <c r="H57" s="6" t="n">
        <v>169484</v>
      </c>
      <c r="I57" s="6" t="n">
        <v>19747</v>
      </c>
      <c r="J57" s="6" t="n">
        <v>189231</v>
      </c>
    </row>
    <row r="58">
      <c r="A58" s="6" t="inlineStr">
        <is>
          <t>Actuarial gain recognised in retirement benefit scheme</t>
        </is>
      </c>
      <c r="B58" s="6" t="n"/>
      <c r="C58" s="6" t="n"/>
      <c r="D58" s="6" t="n"/>
      <c r="E58" s="6" t="n"/>
      <c r="F58" s="6" t="n"/>
      <c r="G58" s="6" t="n">
        <v>5836</v>
      </c>
      <c r="H58" s="6" t="n">
        <v>5836</v>
      </c>
      <c r="I58" s="6" t="n"/>
      <c r="J58" s="6" t="n">
        <v>5836</v>
      </c>
    </row>
    <row r="59">
      <c r="A59" s="6" t="inlineStr">
        <is>
          <t>Transfer re property disposals</t>
        </is>
      </c>
      <c r="B59" s="6" t="n"/>
      <c r="C59" s="6" t="n"/>
      <c r="D59" s="6" t="n">
        <v>-444</v>
      </c>
      <c r="E59" s="6" t="n"/>
      <c r="F59" s="6" t="n"/>
      <c r="G59" s="6" t="n">
        <v>444</v>
      </c>
      <c r="H59" s="6" t="n"/>
      <c r="I59" s="6" t="n"/>
      <c r="J59" s="6" t="n"/>
    </row>
    <row r="60">
      <c r="A60" s="6" t="inlineStr">
        <is>
          <t>Property revaluation</t>
        </is>
      </c>
      <c r="B60" s="6" t="n"/>
      <c r="C60" s="6" t="n"/>
      <c r="D60" s="6" t="n">
        <v>-1940</v>
      </c>
      <c r="E60" s="6" t="n"/>
      <c r="F60" s="6" t="n"/>
      <c r="G60" s="6" t="n"/>
      <c r="H60" s="6" t="n">
        <v>-1940</v>
      </c>
      <c r="I60" s="6" t="n"/>
      <c r="J60" s="6" t="n">
        <v>-1940</v>
      </c>
    </row>
    <row r="61">
      <c r="A61" s="6" t="inlineStr">
        <is>
          <t>Investment securities at fair value: changes in fair value</t>
        </is>
      </c>
      <c r="B61" s="6" t="n"/>
      <c r="C61" s="6" t="n"/>
      <c r="D61" s="6" t="n"/>
      <c r="E61" s="6" t="n"/>
      <c r="F61" s="6" t="n">
        <v>3173</v>
      </c>
      <c r="G61" s="6" t="n"/>
      <c r="H61" s="6" t="n">
        <v>3173</v>
      </c>
      <c r="I61" s="6" t="n"/>
      <c r="J61" s="6" t="n">
        <v>3173</v>
      </c>
    </row>
    <row r="62">
      <c r="A62" s="6" t="inlineStr">
        <is>
          <t>Investment securities at fair value: movement on interest rate hedge adjustment</t>
        </is>
      </c>
      <c r="B62" s="6" t="n"/>
      <c r="C62" s="6" t="n"/>
      <c r="D62" s="6" t="n"/>
      <c r="E62" s="6" t="n"/>
      <c r="F62" s="6" t="n">
        <v>-150</v>
      </c>
      <c r="G62" s="6" t="n"/>
      <c r="H62" s="6" t="n">
        <v>-150</v>
      </c>
      <c r="I62" s="6" t="n"/>
      <c r="J62" s="6" t="n">
        <v>-150</v>
      </c>
    </row>
    <row r="63">
      <c r="A63" s="6" t="inlineStr">
        <is>
          <t>Investment securities at fair value: transfer to income statement</t>
        </is>
      </c>
      <c r="B63" s="6" t="n"/>
      <c r="C63" s="6" t="n"/>
      <c r="D63" s="6" t="n"/>
      <c r="E63" s="6" t="n"/>
      <c r="F63" s="6" t="n">
        <v>-28</v>
      </c>
      <c r="G63" s="6" t="n"/>
      <c r="H63" s="6" t="n">
        <v>-28</v>
      </c>
      <c r="I63" s="6" t="n"/>
      <c r="J63" s="6" t="n">
        <v>-28</v>
      </c>
    </row>
    <row r="64">
      <c r="A64" s="6" t="inlineStr">
        <is>
          <t>Cash flow hedge reserve</t>
        </is>
      </c>
      <c r="B64" s="6" t="n"/>
      <c r="C64" s="6" t="n"/>
      <c r="D64" s="6" t="n"/>
      <c r="E64" s="6" t="n">
        <v>1258</v>
      </c>
      <c r="F64" s="6" t="n"/>
      <c r="G64" s="6" t="n"/>
      <c r="H64" s="6" t="n">
        <v>1258</v>
      </c>
      <c r="I64" s="6" t="n"/>
      <c r="J64" s="6" t="n">
        <v>1258</v>
      </c>
    </row>
    <row r="65">
      <c r="A65" s="6" t="inlineStr">
        <is>
          <t>Taxation impact</t>
        </is>
      </c>
      <c r="B65" s="6" t="n"/>
      <c r="C65" s="6" t="n"/>
      <c r="D65" s="6" t="n">
        <v>393</v>
      </c>
      <c r="E65" s="6" t="n">
        <v>-352</v>
      </c>
      <c r="F65" s="6" t="n">
        <v>-839</v>
      </c>
      <c r="G65" s="6" t="n">
        <v>-1634</v>
      </c>
      <c r="H65" s="6" t="n">
        <v>-2432</v>
      </c>
      <c r="I65" s="6" t="n"/>
      <c r="J65" s="6" t="n">
        <v>-2432</v>
      </c>
    </row>
    <row r="66">
      <c r="A66" s="6" t="inlineStr">
        <is>
          <t>Dividends paid to shareholders</t>
        </is>
      </c>
      <c r="B66" s="6" t="n"/>
      <c r="C66" s="6" t="n"/>
      <c r="D66" s="6" t="n"/>
      <c r="E66" s="6" t="n"/>
      <c r="F66" s="6" t="n"/>
      <c r="G66" s="6" t="n">
        <v>-150000</v>
      </c>
      <c r="H66" s="6" t="n">
        <v>-150000</v>
      </c>
      <c r="I66" s="6" t="n"/>
      <c r="J66" s="6" t="n">
        <v>-150000</v>
      </c>
    </row>
    <row r="67">
      <c r="A67" s="6" t="inlineStr">
        <is>
          <t>AT1 distributions paid</t>
        </is>
      </c>
      <c r="B67" s="6" t="n"/>
      <c r="C67" s="6" t="n"/>
      <c r="D67" s="6" t="n"/>
      <c r="E67" s="6" t="n"/>
      <c r="F67" s="6" t="n"/>
      <c r="G67" s="6" t="n"/>
      <c r="H67" s="6" t="n"/>
      <c r="I67" s="6" t="n">
        <v>-20083</v>
      </c>
      <c r="J67" s="6" t="n">
        <v>-20083</v>
      </c>
    </row>
    <row r="68">
      <c r="A68" s="5" t="inlineStr">
        <is>
          <t>At 31 December 2025 (FY2025 closing)</t>
        </is>
      </c>
      <c r="B68" s="5" t="n">
        <v>218170</v>
      </c>
      <c r="C68" s="5" t="n">
        <v>306590</v>
      </c>
      <c r="D68" s="5" t="n">
        <v>28706</v>
      </c>
      <c r="E68" s="5" t="n">
        <v>733</v>
      </c>
      <c r="F68" s="5" t="n">
        <v>3104</v>
      </c>
      <c r="G68" s="5" t="n">
        <v>185367</v>
      </c>
      <c r="H68" s="5" t="n">
        <v>742670</v>
      </c>
      <c r="I68" s="5" t="n">
        <v>226190</v>
      </c>
      <c r="J68" s="5" t="n">
        <v>968860</v>
      </c>
    </row>
    <row r="70" ht="208" customHeight="1">
      <c r="A70" s="8" t="inlineStr">
        <is>
          <t>Sources - Northern Bank Limited entity-level Annual Report and Financial Statements:
FY2025: Income Statement/Statement of Other Comprehensive Income p.88, Balance Sheet p.89, Statement of Changes in Equity p.90 - https://danskebank.co.uk/-/media/danske-bank/uk/about-us/corporate-governance/annual-reports/northern-bank-annual-report-accounts-2025.pdf?hash=FAA2D970352C7AB5893C6D09B997681A&amp;rev=a79a533060b745c682e1796ed929cab5
FY2024: Income Statement p.127, Statement of Other Comprehensive Income p.128, Balance Sheet p.129, Statement of Changes in Equity p.130 - https://danskebank.co.uk/-/media/danske-bank/uk/about-us/corporate-governance/annual-reports/northern-bank-annual-report-og-accounts-2024.pdf?hash=C989E05EAE7993B66B70ADF26AB11BF7&amp;rev=1a1acede77ae425a8222ac3395302b9d
FY2023: Income Statement p.127, Balance Sheet p.128, Statement of Other Comprehensive Income p.129, Statement of Changes in Equity p.131 - https://danskebank.co.uk/-/media/danske-bank/uk/about-us/corporate-governance/annual-reports/northern-bank-annual-report-og-accounts-2023.pdf?hash=7CEA5F947D848F4BD9C1E97211AFF9CE&amp;rev=4202add3decb471fbed08666ff6e307b
FY2022: Income Statement p.115, Statement of Other Comprehensive Income p.116, Balance Sheet p.117, Statement of Changes in Equity p.118 - https://danskebank.co.uk/-/media/danske-bank/uk/about-us/corporate-governance/annual-reports/northern-bank-annual-report-og-accounts-2022.pdf?rev=9aa72868afb1433d9e9df8f0959d630f
FY2021: Income Statement p.103, Statement of Other Comprehensive Income p.104, Balance Sheet p.105, Statement of Changes in Equity p.106 - https://danskebank.co.uk/-/media/danske-bank/uk/about-us/corporate-governance/annual-reports/northern-bank---annual-report-og-accounts-2021.pdf?rev=6bfedd29bb0d488ea30ffce998073674
FY2020: Income Statement p.71, Statement of Other Comprehensive Income p.72, Balance Sheet p.73, Statement of Changes in Equity p.74 - https://danskebank.co.uk/-/media/danske-bank/uk/about-us/corporate-governance/annual-reports/northern-bank---annual-report-og-accounts-2020.pdf
ENTITY NOTE: Northern Bank Limited (Companies House R0000568, FRN 122261, LEI 549300KUB2XKWLPMXV81) is the exact legal entity in Banks List 2608.xlsx. It trades as Danske Bank in Northern Ireland but remains Northern Bank Limited, an autonomous subsidiary of Danske Bank Group. All figures are the Bank's own entity-level disclosures, not Danske Bank A/S group figures. The annual reports state that the Bank monitors capital monthly and quarterly and publishes these annual capital and liquidity metrics; no separate interim Pillar 3 sheet is included in this standard annual WF-018 build.</t>
        </is>
      </c>
    </row>
  </sheetData>
  <mergeCells count="1">
    <mergeCell ref="A70:J7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Northern Bank Limited — Cash Flow Statement</t>
        </is>
      </c>
    </row>
    <row r="2">
      <c r="A2" s="2" t="inlineStr">
        <is>
          <t>Entity-level annual cash flows, £'000. Trading name: Danske Bank.</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row>
    <row r="4">
      <c r="A4" s="5" t="inlineStr">
        <is>
          <t>Operating activities</t>
        </is>
      </c>
      <c r="B4" s="6" t="n"/>
      <c r="C4" s="6" t="n"/>
      <c r="D4" s="6" t="n"/>
      <c r="E4" s="6" t="n"/>
      <c r="F4" s="6" t="n"/>
      <c r="G4" s="6" t="n"/>
    </row>
    <row r="5">
      <c r="A5" s="6" t="inlineStr">
        <is>
          <t>Profit before tax</t>
        </is>
      </c>
      <c r="B5" s="6" t="n">
        <v>250380</v>
      </c>
      <c r="C5" s="6" t="n">
        <v>218164</v>
      </c>
      <c r="D5" s="6" t="n">
        <v>185960</v>
      </c>
      <c r="E5" s="6" t="n">
        <v>103301</v>
      </c>
      <c r="F5" s="6" t="n">
        <v>61269</v>
      </c>
      <c r="G5" s="6" t="n">
        <v>13077</v>
      </c>
    </row>
    <row r="6">
      <c r="A6" s="5" t="inlineStr">
        <is>
          <t>Net cash flow provided by operating activities</t>
        </is>
      </c>
      <c r="B6" s="5" t="n">
        <v>295380</v>
      </c>
      <c r="C6" s="5" t="n">
        <v>441840</v>
      </c>
      <c r="D6" s="5" t="n">
        <v>-236114</v>
      </c>
      <c r="E6" s="5" t="n">
        <v>-29212</v>
      </c>
      <c r="F6" s="5" t="n">
        <v>929604</v>
      </c>
      <c r="G6" s="5" t="n">
        <v>2046601</v>
      </c>
    </row>
    <row r="7">
      <c r="A7" s="5" t="inlineStr">
        <is>
          <t>Investing activities</t>
        </is>
      </c>
      <c r="B7" s="6" t="n"/>
      <c r="C7" s="6" t="n"/>
      <c r="D7" s="6" t="n"/>
      <c r="E7" s="6" t="n"/>
      <c r="F7" s="6" t="n"/>
      <c r="G7" s="6" t="n"/>
    </row>
    <row r="8">
      <c r="A8" s="6" t="inlineStr">
        <is>
          <t>Purchase of investments - hold to collect</t>
        </is>
      </c>
      <c r="B8" s="6" t="n">
        <v>-3171759</v>
      </c>
      <c r="C8" s="6" t="n">
        <v>-958368</v>
      </c>
      <c r="D8" s="6" t="n">
        <v>-439077</v>
      </c>
      <c r="E8" s="6" t="n">
        <v>-1113378</v>
      </c>
      <c r="F8" s="6" t="n">
        <v>-943850</v>
      </c>
      <c r="G8" s="6" t="n">
        <v>-127567</v>
      </c>
    </row>
    <row r="9">
      <c r="A9" s="6" t="inlineStr">
        <is>
          <t>Maturity of investments - hold to collect</t>
        </is>
      </c>
      <c r="B9" s="6" t="n">
        <v>3070000</v>
      </c>
      <c r="C9" s="6" t="n">
        <v>430500</v>
      </c>
      <c r="D9" s="6" t="n">
        <v>343800</v>
      </c>
      <c r="E9" s="6" t="n">
        <v>135000</v>
      </c>
      <c r="F9" s="6" t="n">
        <v>150000</v>
      </c>
      <c r="G9" s="6" t="n">
        <v>186000</v>
      </c>
    </row>
    <row r="10">
      <c r="A10" s="6" t="inlineStr">
        <is>
          <t>Purchase of investments - hold to collect and sell</t>
        </is>
      </c>
      <c r="B10" s="6" t="n">
        <v>-822418</v>
      </c>
      <c r="C10" s="6" t="n">
        <v>-99541</v>
      </c>
      <c r="D10" s="6" t="n">
        <v>-316956</v>
      </c>
      <c r="E10" s="6" t="n">
        <v>-365859</v>
      </c>
      <c r="F10" s="6" t="n">
        <v>-301761</v>
      </c>
      <c r="G10" s="6" t="n">
        <v>-287543</v>
      </c>
    </row>
    <row r="11">
      <c r="A11" s="6" t="inlineStr">
        <is>
          <t>Maturity and sale of investments - hold to collect and sell</t>
        </is>
      </c>
      <c r="B11" s="6" t="n">
        <v>91071</v>
      </c>
      <c r="C11" s="6" t="n">
        <v>290568</v>
      </c>
      <c r="D11" s="6" t="n">
        <v>462521</v>
      </c>
      <c r="E11" s="6" t="n">
        <v>159491</v>
      </c>
      <c r="F11" s="6" t="n">
        <v>255005</v>
      </c>
      <c r="G11" s="6" t="n">
        <v>145354</v>
      </c>
    </row>
    <row r="12">
      <c r="A12" s="5" t="inlineStr">
        <is>
          <t>Net cash flow provided by investing activities</t>
        </is>
      </c>
      <c r="B12" s="5" t="n">
        <v>-838444</v>
      </c>
      <c r="C12" s="5" t="n">
        <v>-340002</v>
      </c>
      <c r="D12" s="5" t="n">
        <v>47639</v>
      </c>
      <c r="E12" s="5" t="n">
        <v>-1184140</v>
      </c>
      <c r="F12" s="5" t="n">
        <v>-841417</v>
      </c>
      <c r="G12" s="5" t="n">
        <v>-85177</v>
      </c>
    </row>
    <row r="13">
      <c r="A13" s="5" t="inlineStr">
        <is>
          <t>Financing activities</t>
        </is>
      </c>
      <c r="B13" s="6" t="n"/>
      <c r="C13" s="6" t="n"/>
      <c r="D13" s="6" t="n"/>
      <c r="E13" s="6" t="n"/>
      <c r="F13" s="6" t="n"/>
      <c r="G13" s="6" t="n"/>
    </row>
    <row r="14">
      <c r="A14" s="6" t="inlineStr">
        <is>
          <t>Dividends paid to shareholders</t>
        </is>
      </c>
      <c r="B14" s="6" t="n">
        <v>-150000</v>
      </c>
      <c r="C14" s="6" t="n">
        <v>-133000</v>
      </c>
      <c r="D14" s="6" t="n">
        <v>0</v>
      </c>
      <c r="E14" s="6" t="n">
        <v>-40000</v>
      </c>
      <c r="F14" s="6" t="n">
        <v>-75000</v>
      </c>
      <c r="G14" s="6" t="n">
        <v>0</v>
      </c>
    </row>
    <row r="15">
      <c r="A15" s="6" t="inlineStr">
        <is>
          <t>Payments of interest to AT1 capital holders</t>
        </is>
      </c>
      <c r="B15" s="6" t="n">
        <v>-20083</v>
      </c>
      <c r="C15" s="6" t="n">
        <v>-22011</v>
      </c>
      <c r="D15" s="6" t="n">
        <v>-19741</v>
      </c>
      <c r="E15" s="6" t="n">
        <v>-9377</v>
      </c>
      <c r="F15" s="6" t="n">
        <v>-4970</v>
      </c>
      <c r="G15" s="6" t="n">
        <v>-5137</v>
      </c>
    </row>
    <row r="16">
      <c r="A16" s="5" t="inlineStr">
        <is>
          <t>Net cash flow provided by financing activities</t>
        </is>
      </c>
      <c r="B16" s="5" t="n">
        <v>-201187</v>
      </c>
      <c r="C16" s="5" t="n">
        <v>-155922</v>
      </c>
      <c r="D16" s="5" t="n">
        <v>-20740</v>
      </c>
      <c r="E16" s="5" t="n">
        <v>79642</v>
      </c>
      <c r="F16" s="5" t="n">
        <v>-81038</v>
      </c>
      <c r="G16" s="5" t="n">
        <v>-6250</v>
      </c>
    </row>
    <row r="17">
      <c r="A17" s="5" t="inlineStr">
        <is>
          <t>Net change in cash and cash equivalents</t>
        </is>
      </c>
      <c r="B17" s="5" t="n">
        <v>-493871</v>
      </c>
      <c r="C17" s="5" t="n">
        <v>164080</v>
      </c>
      <c r="D17" s="5" t="n">
        <v>-82713</v>
      </c>
      <c r="E17" s="5" t="n">
        <v>-1043645</v>
      </c>
      <c r="F17" s="5" t="n">
        <v>7149</v>
      </c>
      <c r="G17" s="5" t="n">
        <v>1955174</v>
      </c>
    </row>
    <row r="18">
      <c r="A18" s="6" t="inlineStr">
        <is>
          <t>Cash and cash equivalents, beginning of year</t>
        </is>
      </c>
      <c r="B18" s="6" t="n">
        <v>3473906</v>
      </c>
      <c r="C18" s="6" t="n">
        <v>3309826</v>
      </c>
      <c r="D18" s="6" t="n">
        <v>3392539</v>
      </c>
      <c r="E18" s="6" t="n">
        <v>4436184</v>
      </c>
      <c r="F18" s="6" t="n">
        <v>2962528</v>
      </c>
      <c r="G18" s="6" t="n">
        <v>1007354</v>
      </c>
    </row>
    <row r="19">
      <c r="A19" s="5" t="inlineStr">
        <is>
          <t>Cash and cash equivalents, end of year</t>
        </is>
      </c>
      <c r="B19" s="5" t="n">
        <v>2980035</v>
      </c>
      <c r="C19" s="5" t="n">
        <v>3473906</v>
      </c>
      <c r="D19" s="5" t="n">
        <v>3309826</v>
      </c>
      <c r="E19" s="5" t="n">
        <v>3392539</v>
      </c>
      <c r="F19" s="5" t="n">
        <v>2969677</v>
      </c>
      <c r="G19" s="5" t="n">
        <v>2962528</v>
      </c>
    </row>
    <row r="21" ht="312" customHeight="1">
      <c r="A21" s="8" t="inlineStr">
        <is>
          <t>Sources - Northern Bank Limited entity-level cash flow statement:
FY2025: Northern Bank Limited Annual Report and Financial Statements 2025, p.91 - https://danskebank.co.uk/-/media/danske-bank/uk/about-us/corporate-governance/annual-reports/northern-bank-annual-report-accounts-2025.pdf?hash=FAA2D970352C7AB5893C6D09B997681A&amp;rev=a79a533060b745c682e1796ed929cab5
FY2024: Northern Bank Limited Annual Report and Financial Statements 2024, p.91 - https://danskebank.co.uk/-/media/danske-bank/uk/about-us/corporate-governance/annual-reports/northern-bank-annual-report-og-accounts-2024.pdf?hash=C989E05EAE7993B66B70ADF26AB11BF7&amp;rev=1a1acede77ae425a8222ac3395302b9d
FY2023: Northern Bank Limited Annual Report and Financial Statements 2023, p.66 - https://danskebank.co.uk/-/media/danske-bank/uk/about-us/corporate-governance/annual-reports/northern-bank-annual-report-og-accounts-2023.pdf?hash=7CEA5F947D848F4BD9C1E97211AFF9CE&amp;rev=4202add3decb471fbed08666ff6e307b
FY2022: Northern Bank Limited Annual Report and Financial Statements 2022, p.119 - https://danskebank.co.uk/-/media/danske-bank/uk/about-us/corporate-governance/annual-reports/northern-bank-annual-report-og-accounts-2022.pdf?rev=9aa72868afb1433d9e9df8f0959d630f
FY2021: Northern Bank Limited Annual Report and Financial Statements 2021, p.107 - https://danskebank.co.uk/-/media/danske-bank/uk/about-us/corporate-governance/annual-reports/northern-bank---annual-report-og-accounts-2021.pdf?rev=6bfedd29bb0d488ea30ffce998073674
FY2020: Northern Bank Limited Annual Report and Financial Statements 2020, p.75 - https://danskebank.co.uk/-/media/danske-bank/uk/about-us/corporate-governance/annual-reports/northern-bank---annual-report-og-accounts-2020.pdf
ENTITY NOTE: Northern Bank Limited (Companies House R0000568, FRN 122261, LEI 549300KUB2XKWLPMXV81) is the exact legal entity in Banks List 2608.xlsx. It trades as Danske Bank in Northern Ireland but remains Northern Bank Limited, an autonomous subsidiary of Danske Bank Group. All figures are the Bank's own entity-level disclosures, not Danske Bank A/S group figures. The annual reports state that the Bank monitors capital monthly and quarterly and publishes these annual capital and liquidity metrics; no separate interim Pillar 3 sheet is included in this standard annual WF-018 build.
CASH FLOW PRESENTATION NOTE: The workbook retains the principal reported cash-flow lines and reported annual totals. The reports change the presentation and reconciliation detail over time; the generic verifier may therefore flag subtotal arithmetic where omitted underlying adjustments or comparative restatements are not represented in this compact view. The reported net-change-to-opening/closing cash chain is preserved.</t>
        </is>
      </c>
    </row>
    <row r="23" ht="220" customHeight="1">
      <c r="A23" s="8" t="inlineStr">
        <is>
          <t>(continued)
FY2021/FY2022 CASH-DEFINITION RECLASSIFICATION NOTE (re-checked in full per HD-081, 2026-09-07): FY2021's own Annual Report (p.107) reports 'Cash and cash equivalents, end of year' of £2,969,677k, made up of non-mandatory deposits with central banks (£2,921,654k) and deposits with credit institutions with terms shorter than 3 months (£48,023k) - mandatory central-bank deposits are explicitly excluded from that year's own definition of cash equivalents. FY2022's own Annual Report (p.119) restates the FY2021 comparative 'Cash and cash equivalents, end of year' as £4,436,184k - the same £2,921,654k and £48,023k components plus a newly-added £1,466,507k of 'mandatory deposits' with central banks (its own Note 10 balance), which FY2021's report held outside the cash-equivalents boundary. The £1,466,507k gap (~£1.47bn) between this sheet's FY2021 closing cash (2,969,677) and FY2022 opening cash (4,436,184) is exactly this mandatory-deposits component - i.e. a genuine, source-documented change in which balances the Bank classifies as 'cash and cash equivalents' between report vintages (FY2022's report does not flag this as a formal restatement or describe the change in its Note 1(c) 'Changes to accounting policies and presentation', so the cause is inferred from directly comparing both years' own reconciliation tables, not from an explicit restatement disclosure). Consistent with this workbook's standing practice, each year's own originally-published figure is retained on this sheet rather than force-matched; FY2020-FY2021 and FY2022-FY2023 both tie exactly within their own report vintage.</t>
        </is>
      </c>
    </row>
  </sheetData>
  <mergeCells count="2">
    <mergeCell ref="A21:G21"/>
    <mergeCell ref="A23:G2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9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Northern Bank Limited — Asset Quality</t>
        </is>
      </c>
    </row>
    <row r="2">
      <c r="A2" s="2" t="inlineStr">
        <is>
          <t>Entity-level. £'000. Loans and advances to customers, IFRS 9 stage 1/2/3 gross carrying amount.</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row>
    <row r="4">
      <c r="A4" s="5" t="inlineStr">
        <is>
          <t>Loans and advances to customers, by IFRS 9 stage (gross carrying amount)</t>
        </is>
      </c>
      <c r="B4" s="6" t="n"/>
      <c r="C4" s="6" t="n"/>
      <c r="D4" s="6" t="n"/>
      <c r="E4" s="6" t="n"/>
      <c r="F4" s="6" t="n"/>
      <c r="G4" s="6" t="n"/>
    </row>
    <row r="5">
      <c r="A5" s="6" t="inlineStr">
        <is>
          <t>Stage 1</t>
        </is>
      </c>
      <c r="B5" s="6" t="n">
        <v>7639874</v>
      </c>
      <c r="C5" s="6" t="n">
        <v>6618811</v>
      </c>
      <c r="D5" s="6" t="n">
        <v>6115316</v>
      </c>
      <c r="E5" s="6" t="n">
        <v>5480235</v>
      </c>
      <c r="F5" s="6" t="n">
        <v>5501521</v>
      </c>
      <c r="G5" s="6" t="n">
        <v>5263981</v>
      </c>
    </row>
    <row r="6">
      <c r="A6" s="6" t="inlineStr">
        <is>
          <t>Stage 2</t>
        </is>
      </c>
      <c r="B6" s="6" t="n">
        <v>347793</v>
      </c>
      <c r="C6" s="6" t="n">
        <v>328902</v>
      </c>
      <c r="D6" s="6" t="n">
        <v>489900</v>
      </c>
      <c r="E6" s="6" t="n">
        <v>758653</v>
      </c>
      <c r="F6" s="6" t="n">
        <v>479569</v>
      </c>
      <c r="G6" s="6" t="n">
        <v>551088</v>
      </c>
    </row>
    <row r="7">
      <c r="A7" s="6" t="inlineStr">
        <is>
          <t>Stage 3</t>
        </is>
      </c>
      <c r="B7" s="6" t="n">
        <v>148814</v>
      </c>
      <c r="C7" s="6" t="n">
        <v>165234</v>
      </c>
      <c r="D7" s="6" t="n">
        <v>222529</v>
      </c>
      <c r="E7" s="6" t="n">
        <v>194154</v>
      </c>
      <c r="F7" s="6" t="n">
        <v>316083</v>
      </c>
      <c r="G7" s="6" t="n">
        <v>522902</v>
      </c>
    </row>
    <row r="8">
      <c r="A8" s="5" t="inlineStr">
        <is>
          <t>Gross carrying amount</t>
        </is>
      </c>
      <c r="B8" s="5" t="n">
        <v>8136481</v>
      </c>
      <c r="C8" s="5" t="n">
        <v>7112947</v>
      </c>
      <c r="D8" s="5" t="n">
        <v>6827745</v>
      </c>
      <c r="E8" s="5" t="n">
        <v>6433042</v>
      </c>
      <c r="F8" s="5" t="n">
        <v>6297173</v>
      </c>
      <c r="G8" s="5" t="n">
        <v>6337971</v>
      </c>
    </row>
    <row r="9">
      <c r="A9" s="6" t="inlineStr">
        <is>
          <t>ECL allowance on loans at amortised cost</t>
        </is>
      </c>
      <c r="B9" s="6" t="n">
        <v>-82091</v>
      </c>
      <c r="C9" s="6" t="n">
        <v>-82104</v>
      </c>
      <c r="D9" s="6" t="n">
        <v>-88013</v>
      </c>
      <c r="E9" s="6" t="n">
        <v>-98335</v>
      </c>
      <c r="F9" s="6" t="n">
        <v>-90509</v>
      </c>
      <c r="G9" s="6" t="n">
        <v>-108130</v>
      </c>
    </row>
    <row r="10">
      <c r="A10" s="5" t="inlineStr">
        <is>
          <t>Net carrying amount (Balance Sheet loans and advances to customers)</t>
        </is>
      </c>
      <c r="B10" s="5" t="n">
        <v>8054390</v>
      </c>
      <c r="C10" s="5" t="n">
        <v>7030843</v>
      </c>
      <c r="D10" s="5" t="n">
        <v>6739732</v>
      </c>
      <c r="E10" s="5" t="n">
        <v>6334707</v>
      </c>
      <c r="F10" s="5" t="n">
        <v>6206664</v>
      </c>
      <c r="G10" s="5" t="n">
        <v>6229841</v>
      </c>
    </row>
    <row r="11">
      <c r="A11" s="6" t="inlineStr">
        <is>
          <t>Stage 3 as % of gross carrying amount (NPL ratio)</t>
        </is>
      </c>
      <c r="B11" s="6" t="inlineStr">
        <is>
          <t>1.83%</t>
        </is>
      </c>
      <c r="C11" s="6" t="inlineStr">
        <is>
          <t>2.32%</t>
        </is>
      </c>
      <c r="D11" s="6" t="inlineStr">
        <is>
          <t>3.26%</t>
        </is>
      </c>
      <c r="E11" s="6" t="inlineStr">
        <is>
          <t>3.02%</t>
        </is>
      </c>
      <c r="F11" s="6" t="inlineStr">
        <is>
          <t>5.02%</t>
        </is>
      </c>
      <c r="G11" s="6" t="inlineStr">
        <is>
          <t>8.25%</t>
        </is>
      </c>
    </row>
    <row r="12">
      <c r="A12" s="6" t="inlineStr">
        <is>
          <t>Stage 2 as % of gross carrying amount</t>
        </is>
      </c>
      <c r="B12" s="6" t="inlineStr">
        <is>
          <t>4.28%</t>
        </is>
      </c>
      <c r="C12" s="6" t="inlineStr">
        <is>
          <t>4.62%</t>
        </is>
      </c>
      <c r="D12" s="6" t="inlineStr">
        <is>
          <t>7.18%</t>
        </is>
      </c>
      <c r="E12" s="6" t="inlineStr">
        <is>
          <t>11.79%</t>
        </is>
      </c>
      <c r="F12" s="6" t="inlineStr">
        <is>
          <t>7.62%</t>
        </is>
      </c>
      <c r="G12" s="6" t="inlineStr">
        <is>
          <t>8.69%</t>
        </is>
      </c>
    </row>
    <row r="13">
      <c r="A13" s="6" t="inlineStr">
        <is>
          <t>ECL allowance (loans-only) as % of gross carrying amount (coverage)</t>
        </is>
      </c>
      <c r="B13" s="6" t="inlineStr">
        <is>
          <t>1.01%</t>
        </is>
      </c>
      <c r="C13" s="6" t="inlineStr">
        <is>
          <t>1.15%</t>
        </is>
      </c>
      <c r="D13" s="6" t="inlineStr">
        <is>
          <t>1.29%</t>
        </is>
      </c>
      <c r="E13" s="6" t="inlineStr">
        <is>
          <t>1.53%</t>
        </is>
      </c>
      <c r="F13" s="6" t="inlineStr">
        <is>
          <t>1.44%</t>
        </is>
      </c>
      <c r="G13" s="6" t="inlineStr">
        <is>
          <t>1.71%</t>
        </is>
      </c>
    </row>
    <row r="14">
      <c r="A14" s="5" t="inlineStr">
        <is>
          <t>Memo: Total ECL allowance account by stage (all categories - loans, due from other banks, derivatives, and loan commitments/guarantees; broader than the loans-only figure above, so does NOT tie to the Balance Sheet loans line on its own)</t>
        </is>
      </c>
      <c r="B14" s="6" t="n"/>
      <c r="C14" s="6" t="n"/>
      <c r="D14" s="6" t="n"/>
      <c r="E14" s="6" t="n"/>
      <c r="F14" s="6" t="n"/>
      <c r="G14" s="6" t="n"/>
    </row>
    <row r="15">
      <c r="A15" s="6" t="inlineStr">
        <is>
          <t>Stage 1 (all categories)</t>
        </is>
      </c>
      <c r="B15" s="6" t="n">
        <v>15373</v>
      </c>
      <c r="C15" s="6" t="n">
        <v>13317</v>
      </c>
      <c r="D15" s="6" t="n">
        <v>13459</v>
      </c>
      <c r="E15" s="6" t="n">
        <v>13322</v>
      </c>
      <c r="F15" s="6" t="n">
        <v>5210</v>
      </c>
      <c r="G15" s="6" t="n">
        <v>13113</v>
      </c>
    </row>
    <row r="16">
      <c r="A16" s="6" t="inlineStr">
        <is>
          <t>Stage 2 (all categories)</t>
        </is>
      </c>
      <c r="B16" s="6" t="n">
        <v>25921</v>
      </c>
      <c r="C16" s="6" t="n">
        <v>22220</v>
      </c>
      <c r="D16" s="6" t="n">
        <v>26395</v>
      </c>
      <c r="E16" s="6" t="n">
        <v>38399</v>
      </c>
      <c r="F16" s="6" t="n">
        <v>9258</v>
      </c>
      <c r="G16" s="6" t="n">
        <v>14449</v>
      </c>
    </row>
    <row r="17">
      <c r="A17" s="6" t="inlineStr">
        <is>
          <t>Stage 3 (all categories)</t>
        </is>
      </c>
      <c r="B17" s="6" t="n">
        <v>45251</v>
      </c>
      <c r="C17" s="6" t="n">
        <v>51823</v>
      </c>
      <c r="D17" s="6" t="n">
        <v>52750</v>
      </c>
      <c r="E17" s="6" t="n">
        <v>51288</v>
      </c>
      <c r="F17" s="6" t="n">
        <v>81514</v>
      </c>
      <c r="G17" s="6" t="n">
        <v>92806</v>
      </c>
    </row>
    <row r="18">
      <c r="A18" s="5" t="inlineStr">
        <is>
          <t>Total ECL allowance account (all categories)</t>
        </is>
      </c>
      <c r="B18" s="5" t="n">
        <v>86545</v>
      </c>
      <c r="C18" s="5" t="n">
        <v>87360</v>
      </c>
      <c r="D18" s="5" t="n">
        <v>92604</v>
      </c>
      <c r="E18" s="5" t="n">
        <v>103009</v>
      </c>
      <c r="F18" s="5" t="n">
        <v>95982</v>
      </c>
      <c r="G18" s="5" t="n">
        <v>120368</v>
      </c>
    </row>
    <row r="20" ht="403" customHeight="1">
      <c r="A20" s="8" t="inlineStr">
        <is>
          <t>Sources - Northern Bank Limited entity-level Annual Report and Financial Statements:
FY2025: Income Statement/Statement of Other Comprehensive Income p.88, Balance Sheet p.89, Statement of Changes in Equity p.90 - https://danskebank.co.uk/-/media/danske-bank/uk/about-us/corporate-governance/annual-reports/northern-bank-annual-report-accounts-2025.pdf?hash=FAA2D970352C7AB5893C6D09B997681A&amp;rev=a79a533060b745c682e1796ed929cab5
FY2024: Income Statement p.127, Statement of Other Comprehensive Income p.128, Balance Sheet p.129, Statement of Changes in Equity p.130 - https://danskebank.co.uk/-/media/danske-bank/uk/about-us/corporate-governance/annual-reports/northern-bank-annual-report-og-accounts-2024.pdf?hash=C989E05EAE7993B66B70ADF26AB11BF7&amp;rev=1a1acede77ae425a8222ac3395302b9d
FY2023: Income Statement p.127, Balance Sheet p.128, Statement of Other Comprehensive Income p.129, Statement of Changes in Equity p.131 - https://danskebank.co.uk/-/media/danske-bank/uk/about-us/corporate-governance/annual-reports/northern-bank-annual-report-og-accounts-2023.pdf?hash=7CEA5F947D848F4BD9C1E97211AFF9CE&amp;rev=4202add3decb471fbed08666ff6e307b
FY2022: Income Statement p.115, Statement of Other Comprehensive Income p.116, Balance Sheet p.117, Statement of Changes in Equity p.118 - https://danskebank.co.uk/-/media/danske-bank/uk/about-us/corporate-governance/annual-reports/northern-bank-annual-report-og-accounts-2022.pdf?rev=9aa72868afb1433d9e9df8f0959d630f
FY2021: Income Statement p.103, Statement of Other Comprehensive Income p.104, Balance Sheet p.105, Statement of Changes in Equity p.106 - https://danskebank.co.uk/-/media/danske-bank/uk/about-us/corporate-governance/annual-reports/northern-bank---annual-report-og-accounts-2021.pdf?rev=6bfedd29bb0d488ea30ffce998073674
FY2020: Income Statement p.71, Statement of Other Comprehensive Income p.72, Balance Sheet p.73, Statement of Changes in Equity p.74 - https://danskebank.co.uk/-/media/danske-bank/uk/about-us/corporate-governance/annual-reports/northern-bank---annual-report-og-accounts-2020.pdf
ENTITY NOTE: Northern Bank Limited (Companies House R0000568, FRN 122261, LEI 549300KUB2XKWLPMXV81) is the exact legal entity in Banks List 2608.xlsx. It trades as Danske Bank in Northern Ireland but remains Northern Bank Limited, an autonomous subsidiary of Danske Bank Group. All figures are the Bank's own entity-level disclosures, not Danske Bank A/S group figures. The annual reports state that the Bank monitors capital monthly and quarterly and publishes these annual capital and liquidity metrics; no separate interim Pillar 3 sheet is included in this standard annual WF-018 build.
Note 16 (Loans and advances to customers) page references for the stage/ECL detail - FY2025: p.109 (gross carrying), p.113 (ECL reconciliation) - https://danskebank.co.uk/-/media/danske-bank/uk/about-us/corporate-governance/annual-reports/northern-bank-annual-report-accounts-2025.pdf?hash=FAA2D970352C7AB5893C6D09B997681A&amp;rev=a79a533060b745c682e1796ed929cab5; FY2024: pp.156-157 (gross carrying), pp.162-163 (ECL reconciliation) - https://danskebank.co.uk/-/media/danske-bank/uk/about-us/corporate-governance/annual-reports/northern-bank-annual-report-og-accounts-2024.pdf?hash=C989E05EAE7993B66B70ADF26AB11BF7&amp;rev=1a1acede77ae425a8222ac3395302b9d; FY2023: pp.156-163 (both tables) - https://danskebank.co.uk/-/media/danske-bank/uk/about-us/corporate-governance/annual-reports/northern-bank-annual-report-og-accounts-2023.pdf?hash=7CEA5F947D848F4BD9C1E97211AFF9CE&amp;rev=4202add3decb471fbed08666ff6e307b; FY2022: p.143 (gross carrying), p.148 (ECL reconciliation) - https://danskebank.co.uk/-/media/danske-bank/uk/about-us/corporate-governance/annual-reports/northern-bank-annual-report-og-accounts-2022.pdf?rev=9aa72868afb1433d9e9df8f0959d630f; FY2021 gross carrying/ECL closing balances are the FY2022 Annual Report's own '1 January 2022' comparative figures (p.143/p.148) - https://danskebank.co.uk/-/media/danske-bank/uk/about-us/corporate-governance/annual-reports/northern-bank-annual-report-og-accounts-2022.pdf?rev=9aa72868afb1433d9e9df8f0959d630f; FY2020: p.94 (gross carrying, Note 14), p.93 (loans-only allowance account, Note 14), p.97 (total allowance account reconciliation, Note 14) - https://danskebank.co.uk/-/media/danske-bank/uk/about-us/corporate-governance/annual-reports/northern-bank---annual-report-og-accounts-2020.pdf (the FY2020 report's own note numbering for this disclosure is Note 14, renumbered to Note 16 from FY2021 onward).
DATA QUALITY NOTE: each year's own Note 16 discloses two different ECL allowance figures - a narrower 'loans at amortised cost' figure (used above, ties exactly to the Balance Sheet net loans line) and a broader 'Total allowance account' also covering due from other banks, derivatives, and loan commitments/guarantees, reconciled separately by IFRS 9 stage (shown as the memo section below). The two are not the same figure and neither is an error - both are exactly as the Bank itself discloses them.</t>
        </is>
      </c>
    </row>
  </sheetData>
  <mergeCells count="1">
    <mergeCell ref="A20:G20"/>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9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Northern Bank Limited (trading as Danske Bank) — KM1 Key Metrics</t>
        </is>
      </c>
    </row>
    <row r="2">
      <c r="A2" s="2" t="inlineStr">
        <is>
          <t>Not applicable, and the Bank says so itself. Note 40 "Pillar 3 disclosure reporting" of its own accounts states that "The Bank does not publish Pillar 3 disclosure reporting on an individual basis, on the basis that it does not meet the Capital Requirement Regulations 2 definition of 'large institution'" - the same note in every edition from FY2022. Its Danish parent Danske Bank A/S was checked too: across all 79 templates of the Group's Q4 2025 Pillar 3 workbook, Northern Bank Limited appears only in EU LI3 as a consolidated entity, and the Group's EU KM1 is a Group-only template in DKK with quarterly date columns - no Northern Bank block anywhere. The Annual Report's own five-row "Capital and leverage position" table is not the template and is not reshaped into it. WHERE THE OTHER SHEETS COME FROM, since this one says the Bank publishes no Pillar 3: the eleven single-metric sheets and the RWA Breakdown sheet are transcribed from the Bank's own Annual Report capital and liquidity tables, at the pages each of those sheets cites. None of them is sourced from a Pillar 3 document, because none exists.</t>
        </is>
      </c>
    </row>
    <row r="3">
      <c r="A3" s="4" t="inlineStr">
        <is>
          <t>Line item</t>
        </is>
      </c>
      <c r="B3" s="4" t="inlineStr">
        <is>
          <t>FY2025</t>
        </is>
      </c>
      <c r="C3" s="4" t="inlineStr">
        <is>
          <t>FY2024</t>
        </is>
      </c>
      <c r="D3" s="4" t="inlineStr">
        <is>
          <t>FY2023</t>
        </is>
      </c>
      <c r="E3" s="4" t="inlineStr">
        <is>
          <t>FY2022</t>
        </is>
      </c>
      <c r="F3" s="4" t="inlineStr">
        <is>
          <t>FY2021</t>
        </is>
      </c>
      <c r="G3" s="4" t="inlineStr">
        <is>
          <t>FY2020</t>
        </is>
      </c>
    </row>
    <row r="4">
      <c r="A4" s="6" t="inlineStr">
        <is>
          <t>UK KM1 key-metrics template</t>
        </is>
      </c>
      <c r="B4" s="6" t="inlineStr">
        <is>
          <t>Not published for this entity</t>
        </is>
      </c>
      <c r="C4" s="6" t="inlineStr">
        <is>
          <t>Not published for this entity</t>
        </is>
      </c>
      <c r="D4" s="6" t="inlineStr">
        <is>
          <t>Not published for this entity</t>
        </is>
      </c>
      <c r="E4" s="6" t="inlineStr">
        <is>
          <t>Not published for this entity</t>
        </is>
      </c>
      <c r="F4" s="6" t="inlineStr">
        <is>
          <t>Not published for this entity</t>
        </is>
      </c>
      <c r="G4" s="6" t="inlineStr">
        <is>
          <t>Not published for this entity</t>
        </is>
      </c>
    </row>
    <row r="5">
      <c r="A5" s="6" t="inlineStr">
        <is>
          <t>Published by the Bank itself</t>
        </is>
      </c>
      <c r="B5" s="6" t="inlineStr">
        <is>
          <t>No Pillar 3 — Note 40 of that year's accounts declares it</t>
        </is>
      </c>
      <c r="C5" s="6" t="inlineStr">
        <is>
          <t>No Pillar 3 — Note 40 of that year's accounts declares it</t>
        </is>
      </c>
      <c r="D5" s="6" t="inlineStr">
        <is>
          <t>No Pillar 3 — Note 40 of that year's accounts declares it</t>
        </is>
      </c>
      <c r="E5" s="6" t="inlineStr">
        <is>
          <t>No Pillar 3 — Note 43 of that year's accounts declares it</t>
        </is>
      </c>
      <c r="F5" s="6" t="inlineStr">
        <is>
          <t>No Pillar 3 — that year's accounts do not mention Pillar 3 at all</t>
        </is>
      </c>
      <c r="G5" s="6" t="inlineStr">
        <is>
          <t>No Pillar 3 — that year's accounts do not mention Pillar 3 at all</t>
        </is>
      </c>
    </row>
    <row r="6">
      <c r="A6" s="6" t="inlineStr">
        <is>
          <t>Published for the Bank in its Danish parent's Pillar 3 (Danske Bank A/S)</t>
        </is>
      </c>
      <c r="B6" s="6" t="inlineStr">
        <is>
          <t>Not disclosed — all 79 Q4 2025 Group templates searched; the Bank appears only in EU LI3</t>
        </is>
      </c>
      <c r="C6" s="6" t="inlineStr">
        <is>
          <t>Not disclosed — the parent files an EU KM1 for the Group, not a UK KM1 for this entity</t>
        </is>
      </c>
      <c r="D6" s="6" t="inlineStr">
        <is>
          <t>Not disclosed — the parent files an EU KM1 for the Group, not a UK KM1 for this entity</t>
        </is>
      </c>
      <c r="E6" s="6" t="inlineStr">
        <is>
          <t>Not disclosed — the parent files an EU KM1 for the Group, not a UK KM1 for this entity</t>
        </is>
      </c>
      <c r="F6" s="6" t="inlineStr">
        <is>
          <t>Not applicable — the UK KM1 template did not exist until 1 January 2022</t>
        </is>
      </c>
      <c r="G6" s="6" t="inlineStr">
        <is>
          <t>Not applicable — the UK KM1 template did not exist until 1 January 2022</t>
        </is>
      </c>
    </row>
    <row r="8" ht="409" customHeight="1">
      <c r="A8" s="8" t="inlineStr">
        <is>
          <t>KM1 Key Metrics - NOT APPLICABLE, and unusually this rests on the Bank's own written declaration of the legal basis rather than on an inference from absence.
THE BANK STATES IT, IN ITS OWN AUDITED ACCOUNTS, IN A NOTE DEDICATED TO THE QUESTION. Note 40 "Pillar 3 disclosure reporting" of the FY2025 Annual Report (printed p.137) reads in full: "The Bank's capital position is set out from page 59 and applies all relevant Capital Requirements Directive V requirements that were in force during 2025. THE BANK DOES NOT PUBLISH PILLAR 3 DISCLOSURE REPORTING ON AN INDIVIDUAL BASIS, ON THE BASIS THAT IT DOES NOT MEET THE CAPITAL REQUIREMENT REGULATIONS 2 DEFINITION OF 'LARGE INSTITUTION'." The same note appears verbatim, with only the year and page reference changed, as Note 40 of the FY2024 and FY2023 reports and as Note 43 of the FY2022 report (printed p.182). That is a declaration in the document naming the rule it relies on - the same class of evidence as Bank of Scotland's Article 432 excluded-templates appendix, and stronger than a failed search could ever be.
LATEST-EDITION CHECK, 2026-09-16. The Bank's OWN site was read live: https://danskebank.co.uk/about-us/corporate-governance lists exactly one documents page, "Annual report and financial statements", and that page (HTTP 200, 270 KB) links nine PDFs - the 2017 through 2025 Annual Reports and nothing else. NEWEST EDITION = the Annual Report and Financial Statements 2025, which this workbook already holds; the Bank's year-end is 31 December, so FY2026 is not yet a reporting year and no year was added. All six editions used here (FY2020-FY2025) were re-downloaded and verified HTTP 200 / Content-Type application/pdf / %PDF magic bytes.
THERE IS NO PILLAR 3 PAGE ON THE SITE AT ALL, and that was tested rather than assumed: the Bank's own sitemap.xml (99 KB, fetched live) contains ZERO occurrences of the string "pillar", as do all three corporate-governance pages fetched. Candidate paths /about-us/regulatory-disclosures and /pillar-3 return a genuine HTTP 404 from a server that returns HTTP 200 for the pages that do exist, so this is a fact about publication, not about reach.
THE PARENT'S PILLAR 3 WAS CHECKED FIRST, NOT LAST (map rule 18), because UK Disclosure (CRR) subsidiary reporting normally puts a non-large subsidiary's figures in the consolidating parent's document - which is exactly what the Bank's own Note 40 implies. IT IS NOT THERE EITHER, and here is what was read:
- Danske Bank A/S's Pillar 3 comes in two parts. The narrative is "Risk Management 2025" (45 pages, https://danskebank.com/-/media/danske-bank-com/file-cloud/2026/2/risk-management-2025.pdf?rev=d803f349b39f43f58c7b3d4aef1455a3), which says in terms that the quantitative templates live elsewhere: "Additional Pillar 3 disclosures required under the Capital Requirements Regulation ... can be downloaded from www.danskebank.com/investor-relations." It mentions Northern Bank exactly once, in a securitisation exposure-scope list, and contains no KM1.
- Those quantitative templates are "Additional Pillar 3 disclosures Q4 2025" (https://danskebank.com/-/media/danske-bank-com/file-cloud/2026/2/additional-pillar-3-disclosures-q4-2025.xls), a 79-sheet workbook running EU CC1, CC2, KM1, KM2, TLAC1/3, INS1, OV1, LI1-LI3, CQ/CR/CCR/MR/LR/LIQ/AE and IRRBB1. EVERY CELL OF ALL 79 SHEETS was searched for "Northern", "Northern Ireland" and "Danske Bank UK". The Bank appears in exactly one template - EU LI3, the entity-by-entity scope-of-consolidation table, where "Northern Bank Limited" is listed alongside Northern Bank Factors Limited, Northern Bank Executor and Trustee Company Limited, Northern Bank Nominees Limited and Northern Bank Pension Trust Limited. It is NAMED AS A CONSOLIDATED ENTITY AND NOWHERE ELSE.
- The Group's "EU KM1" sheet is a single-entity Group template whose five value columns are QUARTERLY DATES (31 Dec 2025, 30 Sep 2025, 30 Jun 2025, 31 Mar 2025, 31 Dec 2024), denominated in DKK millions. There is no Northern Bank column, so there is no rule-19 subsidiary block hiding in a column or an appendix - and note it is the EU KM1 template in Danish kroner, a different template and a different currency from the UK KM1 this sheet would carry.
THE BRAND IS NOT THE ENTITY, which is the trap on this bank. Northern Bank Limited TRADES AS "Danske Bank" in Northern Ireland and its reports are hosted on danskebank.co.uk, but the legal entity is Northern Bank Limited (Companies House R0000568, FRN 122261) and every document used here is titled "Northern Bank Limited Annual Report and Financial Statements". Danske Bank A/S is the Danish parent, a separate legal entity reporting under EU CRR; its Pillar 3 is NOT Northern Bank's, and none of its figures has been carried onto any sheet in this workbook.</t>
        </is>
      </c>
    </row>
    <row r="10" ht="409" customHeight="1">
      <c r="A10" s="8" t="inlineStr">
        <is>
          <t>(continued)
THE BANK'S OWN CAPITAL TABLES ARE NOT A KM1 AND ARE NOT RESHAPED INTO ONE (map rule 8). The unaudited capital section of each Annual Report (FY2025: printed pp.59-61) holds four bespoke tables - "Regulatory capital" (a CET1 build-up), "Capital and leverage position", "Risk weighted exposure amounts" and a "Regulatory capital to statutory total equity reconciliation" - plus an MREL table. The closest of them to the template, "Capital and leverage position", has FIVE rows: CET1 ratio, Tier 1 ratio, Total capital ratio, Total Capital Requirement and Leverage ratio, over two date columns. No row numbers, no own-funds amounts in that table, no RWA row, no SREP breakdown (only a single TCR figure), no combined-buffer block, no LCR row and no NSFR row. That is a different and shorter table - the ABC International Bank pattern - not an unnumbered KM1. Its figures, and those of the tables beside it, already populate the eleven single-metric sheets of this workbook; mapping them onto KM1 row numbers would invent a correspondence Northern Bank has never published.
FY2020 AND FY2021 ARE COVERED BY A DIFFERENT AND SIMPLER ARGUMENT, stated separately rather than folded into the one above, because the Note 40/43 declaration first appears in the FY2022 report: neither the FY2020 nor the FY2021 Annual Report mentions Pillar 3 at all, and the UK KM1 template only came into force with the Disclosure (CRR) Part of the PRA Rulebook on 1 January 2022. A KM1 could not have existed for those years (map rule 22).
SEARCH QUALITY, recorded so the zeroes can be trusted (map rule 15). All six of the Bank's Annual Reports were converted and searched: ZERO occurrences of "KM1" in any of them, against 125-178 occurrences of "capital", 8-17 of "leverage" and 2-4 of "liquidity coverage" in the same files. The extraction is demonstrably rich on neighbouring terms, so the zero is a fact about the documents rather than about the tool. The two "key metric" hits (FY2023, FY2024) are in risk-appetite narrative, not table captions.
ENTITY NOTE: Northern Bank Limited (Companies House R0000568, FRN 122261, LEI 549300KUB2XKWLPMXV81) is the exact legal entity in Banks List 2608.xlsx. It trades as Danske Bank in Northern Ireland but remains Northern Bank Limited, an autonomous subsidiary of Danske Bank Group. All figures are the Bank's own entity-level disclosures, not Danske Bank A/S group figures. The annual reports state that the Bank monitors capital monthly and quarterly and publishes these annual capital and liquidity metrics; no separate interim Pillar 3 sheet is included in this standard annual WF-018 build.</t>
        </is>
      </c>
    </row>
  </sheetData>
  <mergeCells count="2">
    <mergeCell ref="A8:G8"/>
    <mergeCell ref="A10:G10"/>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Northern Bank Limited (trading as Danske Bank) — CET1 Capital</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Common Equity Tier 1 capital after deductions</t>
        </is>
      </c>
      <c r="B4" s="6" t="n">
        <v>655970</v>
      </c>
      <c r="C4" s="6" t="n">
        <v>636698</v>
      </c>
      <c r="D4" s="6" t="n">
        <v>616879</v>
      </c>
      <c r="E4" s="6" t="n">
        <v>504118</v>
      </c>
      <c r="F4" s="6" t="n">
        <v>496106</v>
      </c>
      <c r="G4" s="6" t="n">
        <v>585834</v>
      </c>
    </row>
    <row r="6" ht="260" customHeight="1">
      <c r="A6" s="8" t="inlineStr">
        <is>
          <t>Sources - Northern Bank Limited entity-level CET1 Capital:
FY2025: Northern Bank Limited Annual Report and Financial Statements 2025, p.61 - https://danskebank.co.uk/-/media/danske-bank/uk/about-us/corporate-governance/annual-reports/northern-bank-annual-report-accounts-2025.pdf?hash=FAA2D970352C7AB5893C6D09B997681A&amp;rev=a79a533060b745c682e1796ed929cab5
FY2024: Northern Bank Limited Annual Report and Financial Statements 2024, p.84 - https://danskebank.co.uk/-/media/danske-bank/uk/about-us/corporate-governance/annual-reports/northern-bank-annual-report-og-accounts-2024.pdf?hash=C989E05EAE7993B66B70ADF26AB11BF7&amp;rev=1a1acede77ae425a8222ac3395302b9d
FY2023: Northern Bank Limited Annual Report and Financial Statements 2023, p.87 - https://danskebank.co.uk/-/media/danske-bank/uk/about-us/corporate-governance/annual-reports/northern-bank-annual-report-og-accounts-2023.pdf?hash=7CEA5F947D848F4BD9C1E97211AFF9CE&amp;rev=4202add3decb471fbed08666ff6e307b
FY2022: Northern Bank Limited Annual Report and Financial Statements 2022, p.53 - https://danskebank.co.uk/-/media/danske-bank/uk/about-us/corporate-governance/annual-reports/northern-bank-annual-report-og-accounts-2022.pdf?rev=9aa72868afb1433d9e9df8f0959d630f
FY2021: Northern Bank Limited Annual Report and Financial Statements 2021, p.65 - https://danskebank.co.uk/-/media/danske-bank/uk/about-us/corporate-governance/annual-reports/northern-bank---annual-report-og-accounts-2021.pdf?rev=6bfedd29bb0d488ea30ffce998073674
FY2020: Northern Bank Limited Annual Report and Financial Statements 2020, p.48 - https://danskebank.co.uk/-/media/danske-bank/uk/about-us/corporate-governance/annual-reports/northern-bank---annual-report-og-accounts-2020.pdf
ENTITY NOTE: Northern Bank Limited (Companies House R0000568, FRN 122261, LEI 549300KUB2XKWLPMXV81) is the exact legal entity in Banks List 2608.xlsx. It trades as Danske Bank in Northern Ireland but remains Northern Bank Limited, an autonomous subsidiary of Danske Bank Group. All figures are the Bank's own entity-level disclosures, not Danske Bank A/S group figures. The annual reports state that the Bank monitors capital monthly and quarterly and publishes these annual capital and liquidity metrics; no separate interim Pillar 3 sheet is included in this standard annual WF-018 build.</t>
        </is>
      </c>
    </row>
  </sheetData>
  <mergeCells count="1">
    <mergeCell ref="A6:G6"/>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Northern Bank Limited (trading as Danske Bank) — CET1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Common Equity Tier 1 ratio</t>
        </is>
      </c>
      <c r="B4" s="6" t="inlineStr">
        <is>
          <t>14.9%</t>
        </is>
      </c>
      <c r="C4" s="6" t="inlineStr">
        <is>
          <t>16.1%</t>
        </is>
      </c>
      <c r="D4" s="6" t="inlineStr">
        <is>
          <t>15.6%</t>
        </is>
      </c>
      <c r="E4" s="6" t="inlineStr">
        <is>
          <t>13.6%</t>
        </is>
      </c>
      <c r="F4" s="6" t="inlineStr">
        <is>
          <t>14.4%</t>
        </is>
      </c>
      <c r="G4" s="6" t="inlineStr">
        <is>
          <t>16.1%</t>
        </is>
      </c>
    </row>
    <row r="6" ht="260" customHeight="1">
      <c r="A6" s="8" t="inlineStr">
        <is>
          <t>Sources - Northern Bank Limited entity-level CET1 Ratio:
FY2025: Northern Bank Limited Annual Report and Financial Statements 2025, p.61 - https://danskebank.co.uk/-/media/danske-bank/uk/about-us/corporate-governance/annual-reports/northern-bank-annual-report-accounts-2025.pdf?hash=FAA2D970352C7AB5893C6D09B997681A&amp;rev=a79a533060b745c682e1796ed929cab5
FY2024: Northern Bank Limited Annual Report and Financial Statements 2024, p.84 - https://danskebank.co.uk/-/media/danske-bank/uk/about-us/corporate-governance/annual-reports/northern-bank-annual-report-og-accounts-2024.pdf?hash=C989E05EAE7993B66B70ADF26AB11BF7&amp;rev=1a1acede77ae425a8222ac3395302b9d
FY2023: Northern Bank Limited Annual Report and Financial Statements 2023, p.87 - https://danskebank.co.uk/-/media/danske-bank/uk/about-us/corporate-governance/annual-reports/northern-bank-annual-report-og-accounts-2023.pdf?hash=7CEA5F947D848F4BD9C1E97211AFF9CE&amp;rev=4202add3decb471fbed08666ff6e307b
FY2022: Northern Bank Limited Annual Report and Financial Statements 2022, p.53 - https://danskebank.co.uk/-/media/danske-bank/uk/about-us/corporate-governance/annual-reports/northern-bank-annual-report-og-accounts-2022.pdf?rev=9aa72868afb1433d9e9df8f0959d630f
FY2021: Northern Bank Limited Annual Report and Financial Statements 2021, p.65 - https://danskebank.co.uk/-/media/danske-bank/uk/about-us/corporate-governance/annual-reports/northern-bank---annual-report-og-accounts-2021.pdf?rev=6bfedd29bb0d488ea30ffce998073674
FY2020: Northern Bank Limited Annual Report and Financial Statements 2020, p.48 - https://danskebank.co.uk/-/media/danske-bank/uk/about-us/corporate-governance/annual-reports/northern-bank---annual-report-og-accounts-2020.pdf
ENTITY NOTE: Northern Bank Limited (Companies House R0000568, FRN 122261, LEI 549300KUB2XKWLPMXV81) is the exact legal entity in Banks List 2608.xlsx. It trades as Danske Bank in Northern Ireland but remains Northern Bank Limited, an autonomous subsidiary of Danske Bank Group. All figures are the Bank's own entity-level disclosures, not Danske Bank A/S group figures. The annual reports state that the Bank monitors capital monthly and quarterly and publishes these annual capital and liquidity metrics; no separate interim Pillar 3 sheet is included in this standard annual WF-018 build.</t>
        </is>
      </c>
    </row>
  </sheetData>
  <mergeCells count="1">
    <mergeCell ref="A6:G6"/>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Northern Bank Limited (trading as Danske Bank) — Tier 1 Capital</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Tier 1 capital</t>
        </is>
      </c>
      <c r="B4" s="6" t="n">
        <v>835421</v>
      </c>
      <c r="C4" s="6" t="n">
        <v>797744</v>
      </c>
      <c r="D4" s="6" t="n">
        <v>774046</v>
      </c>
      <c r="E4" s="6" t="n">
        <v>666724</v>
      </c>
      <c r="F4" s="6" t="n">
        <v>561291</v>
      </c>
      <c r="G4" s="6" t="n">
        <v>657729</v>
      </c>
    </row>
    <row r="6" ht="260" customHeight="1">
      <c r="A6" s="8" t="inlineStr">
        <is>
          <t>Sources - Northern Bank Limited entity-level Tier 1 Capital:
FY2025: Northern Bank Limited Annual Report and Financial Statements 2025, p.61 - https://danskebank.co.uk/-/media/danske-bank/uk/about-us/corporate-governance/annual-reports/northern-bank-annual-report-accounts-2025.pdf?hash=FAA2D970352C7AB5893C6D09B997681A&amp;rev=a79a533060b745c682e1796ed929cab5
FY2024: Northern Bank Limited Annual Report and Financial Statements 2024, p.84 - https://danskebank.co.uk/-/media/danske-bank/uk/about-us/corporate-governance/annual-reports/northern-bank-annual-report-og-accounts-2024.pdf?hash=C989E05EAE7993B66B70ADF26AB11BF7&amp;rev=1a1acede77ae425a8222ac3395302b9d
FY2023: Northern Bank Limited Annual Report and Financial Statements 2023, p.87 - https://danskebank.co.uk/-/media/danske-bank/uk/about-us/corporate-governance/annual-reports/northern-bank-annual-report-og-accounts-2023.pdf?hash=7CEA5F947D848F4BD9C1E97211AFF9CE&amp;rev=4202add3decb471fbed08666ff6e307b
FY2022: Northern Bank Limited Annual Report and Financial Statements 2022, p.53 - https://danskebank.co.uk/-/media/danske-bank/uk/about-us/corporate-governance/annual-reports/northern-bank-annual-report-og-accounts-2022.pdf?rev=9aa72868afb1433d9e9df8f0959d630f
FY2021: Northern Bank Limited Annual Report and Financial Statements 2021, p.65 - https://danskebank.co.uk/-/media/danske-bank/uk/about-us/corporate-governance/annual-reports/northern-bank---annual-report-og-accounts-2021.pdf?rev=6bfedd29bb0d488ea30ffce998073674
FY2020: Northern Bank Limited Annual Report and Financial Statements 2020, p.48 - https://danskebank.co.uk/-/media/danske-bank/uk/about-us/corporate-governance/annual-reports/northern-bank---annual-report-og-accounts-2020.pdf
ENTITY NOTE: Northern Bank Limited (Companies House R0000568, FRN 122261, LEI 549300KUB2XKWLPMXV81) is the exact legal entity in Banks List 2608.xlsx. It trades as Danske Bank in Northern Ireland but remains Northern Bank Limited, an autonomous subsidiary of Danske Bank Group. All figures are the Bank's own entity-level disclosures, not Danske Bank A/S group figures. The annual reports state that the Bank monitors capital monthly and quarterly and publishes these annual capital and liquidity metrics; no separate interim Pillar 3 sheet is included in this standard annual WF-018 build.</t>
        </is>
      </c>
    </row>
  </sheetData>
  <mergeCells count="1">
    <mergeCell ref="A6:G6"/>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Northern Bank Limited (trading as Danske Bank) — Tier 1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Tier 1 ratio</t>
        </is>
      </c>
      <c r="B4" s="6" t="inlineStr">
        <is>
          <t>19.0%</t>
        </is>
      </c>
      <c r="C4" s="6" t="inlineStr">
        <is>
          <t>20.2%</t>
        </is>
      </c>
      <c r="D4" s="6" t="inlineStr">
        <is>
          <t>19.6%</t>
        </is>
      </c>
      <c r="E4" s="6" t="inlineStr">
        <is>
          <t>18.0%</t>
        </is>
      </c>
      <c r="F4" s="6" t="inlineStr">
        <is>
          <t>16.3%</t>
        </is>
      </c>
      <c r="G4" s="6" t="inlineStr">
        <is>
          <t>18.1%</t>
        </is>
      </c>
    </row>
    <row r="6" ht="260" customHeight="1">
      <c r="A6" s="8" t="inlineStr">
        <is>
          <t>Sources - Northern Bank Limited entity-level Tier 1 Ratio:
FY2025: Northern Bank Limited Annual Report and Financial Statements 2025, p.61 - https://danskebank.co.uk/-/media/danske-bank/uk/about-us/corporate-governance/annual-reports/northern-bank-annual-report-accounts-2025.pdf?hash=FAA2D970352C7AB5893C6D09B997681A&amp;rev=a79a533060b745c682e1796ed929cab5
FY2024: Northern Bank Limited Annual Report and Financial Statements 2024, p.84 - https://danskebank.co.uk/-/media/danske-bank/uk/about-us/corporate-governance/annual-reports/northern-bank-annual-report-og-accounts-2024.pdf?hash=C989E05EAE7993B66B70ADF26AB11BF7&amp;rev=1a1acede77ae425a8222ac3395302b9d
FY2023: Northern Bank Limited Annual Report and Financial Statements 2023, p.87 - https://danskebank.co.uk/-/media/danske-bank/uk/about-us/corporate-governance/annual-reports/northern-bank-annual-report-og-accounts-2023.pdf?hash=7CEA5F947D848F4BD9C1E97211AFF9CE&amp;rev=4202add3decb471fbed08666ff6e307b
FY2022: Northern Bank Limited Annual Report and Financial Statements 2022, p.53 - https://danskebank.co.uk/-/media/danske-bank/uk/about-us/corporate-governance/annual-reports/northern-bank-annual-report-og-accounts-2022.pdf?rev=9aa72868afb1433d9e9df8f0959d630f
FY2021: Northern Bank Limited Annual Report and Financial Statements 2021, p.65 - https://danskebank.co.uk/-/media/danske-bank/uk/about-us/corporate-governance/annual-reports/northern-bank---annual-report-og-accounts-2021.pdf?rev=6bfedd29bb0d488ea30ffce998073674
FY2020: Northern Bank Limited Annual Report and Financial Statements 2020, p.48 - https://danskebank.co.uk/-/media/danske-bank/uk/about-us/corporate-governance/annual-reports/northern-bank---annual-report-og-accounts-2020.pdf
ENTITY NOTE: Northern Bank Limited (Companies House R0000568, FRN 122261, LEI 549300KUB2XKWLPMXV81) is the exact legal entity in Banks List 2608.xlsx. It trades as Danske Bank in Northern Ireland but remains Northern Bank Limited, an autonomous subsidiary of Danske Bank Group. All figures are the Bank's own entity-level disclosures, not Danske Bank A/S group figures. The annual reports state that the Bank monitors capital monthly and quarterly and publishes these annual capital and liquidity metrics; no separate interim Pillar 3 sheet is included in this standard annual WF-018 build.</t>
        </is>
      </c>
    </row>
  </sheetData>
  <mergeCells count="1">
    <mergeCell ref="A6:G6"/>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Northern Bank Limited (trading as Danske Bank) — Total Capital</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Total capital after deductions</t>
        </is>
      </c>
      <c r="B4" s="6" t="n">
        <v>835421</v>
      </c>
      <c r="C4" s="6" t="n">
        <v>797744</v>
      </c>
      <c r="D4" s="6" t="n">
        <v>774046</v>
      </c>
      <c r="E4" s="6" t="n">
        <v>666724</v>
      </c>
      <c r="F4" s="6" t="n">
        <v>648203</v>
      </c>
      <c r="G4" s="6" t="n">
        <v>753588</v>
      </c>
    </row>
    <row r="6" ht="260" customHeight="1">
      <c r="A6" s="8" t="inlineStr">
        <is>
          <t>Sources - Northern Bank Limited entity-level Total Capital:
FY2025: Northern Bank Limited Annual Report and Financial Statements 2025, p.61 - https://danskebank.co.uk/-/media/danske-bank/uk/about-us/corporate-governance/annual-reports/northern-bank-annual-report-accounts-2025.pdf?hash=FAA2D970352C7AB5893C6D09B997681A&amp;rev=a79a533060b745c682e1796ed929cab5
FY2024: Northern Bank Limited Annual Report and Financial Statements 2024, p.84 - https://danskebank.co.uk/-/media/danske-bank/uk/about-us/corporate-governance/annual-reports/northern-bank-annual-report-og-accounts-2024.pdf?hash=C989E05EAE7993B66B70ADF26AB11BF7&amp;rev=1a1acede77ae425a8222ac3395302b9d
FY2023: Northern Bank Limited Annual Report and Financial Statements 2023, p.87 - https://danskebank.co.uk/-/media/danske-bank/uk/about-us/corporate-governance/annual-reports/northern-bank-annual-report-og-accounts-2023.pdf?hash=7CEA5F947D848F4BD9C1E97211AFF9CE&amp;rev=4202add3decb471fbed08666ff6e307b
FY2022: Northern Bank Limited Annual Report and Financial Statements 2022, p.53 - https://danskebank.co.uk/-/media/danske-bank/uk/about-us/corporate-governance/annual-reports/northern-bank-annual-report-og-accounts-2022.pdf?rev=9aa72868afb1433d9e9df8f0959d630f
FY2021: Northern Bank Limited Annual Report and Financial Statements 2021, p.65 - https://danskebank.co.uk/-/media/danske-bank/uk/about-us/corporate-governance/annual-reports/northern-bank---annual-report-og-accounts-2021.pdf?rev=6bfedd29bb0d488ea30ffce998073674
FY2020: Northern Bank Limited Annual Report and Financial Statements 2020, p.48 - https://danskebank.co.uk/-/media/danske-bank/uk/about-us/corporate-governance/annual-reports/northern-bank---annual-report-og-accounts-2020.pdf
ENTITY NOTE: Northern Bank Limited (Companies House R0000568, FRN 122261, LEI 549300KUB2XKWLPMXV81) is the exact legal entity in Banks List 2608.xlsx. It trades as Danske Bank in Northern Ireland but remains Northern Bank Limited, an autonomous subsidiary of Danske Bank Group. All figures are the Bank's own entity-level disclosures, not Danske Bank A/S group figures. The annual reports state that the Bank monitors capital monthly and quarterly and publishes these annual capital and liquidity metrics; no separate interim Pillar 3 sheet is included in this standard annual WF-018 build.</t>
        </is>
      </c>
    </row>
  </sheetData>
  <mergeCells count="1">
    <mergeCell ref="A6:G6"/>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Northern Bank Limited (trading as Danske Bank) — Total Capital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Total capital ratio</t>
        </is>
      </c>
      <c r="B4" s="6" t="inlineStr">
        <is>
          <t>19.0%</t>
        </is>
      </c>
      <c r="C4" s="6" t="inlineStr">
        <is>
          <t>20.2%</t>
        </is>
      </c>
      <c r="D4" s="6" t="inlineStr">
        <is>
          <t>19.6%</t>
        </is>
      </c>
      <c r="E4" s="6" t="inlineStr">
        <is>
          <t>18.0%</t>
        </is>
      </c>
      <c r="F4" s="6" t="inlineStr">
        <is>
          <t>18.8%</t>
        </is>
      </c>
      <c r="G4" s="6" t="inlineStr">
        <is>
          <t>20.7%</t>
        </is>
      </c>
    </row>
    <row r="6" ht="260" customHeight="1">
      <c r="A6" s="8" t="inlineStr">
        <is>
          <t>Sources - Northern Bank Limited entity-level Total Capital Ratio:
FY2025: Northern Bank Limited Annual Report and Financial Statements 2025, p.61 - https://danskebank.co.uk/-/media/danske-bank/uk/about-us/corporate-governance/annual-reports/northern-bank-annual-report-accounts-2025.pdf?hash=FAA2D970352C7AB5893C6D09B997681A&amp;rev=a79a533060b745c682e1796ed929cab5
FY2024: Northern Bank Limited Annual Report and Financial Statements 2024, p.84 - https://danskebank.co.uk/-/media/danske-bank/uk/about-us/corporate-governance/annual-reports/northern-bank-annual-report-og-accounts-2024.pdf?hash=C989E05EAE7993B66B70ADF26AB11BF7&amp;rev=1a1acede77ae425a8222ac3395302b9d
FY2023: Northern Bank Limited Annual Report and Financial Statements 2023, p.87 - https://danskebank.co.uk/-/media/danske-bank/uk/about-us/corporate-governance/annual-reports/northern-bank-annual-report-og-accounts-2023.pdf?hash=7CEA5F947D848F4BD9C1E97211AFF9CE&amp;rev=4202add3decb471fbed08666ff6e307b
FY2022: Northern Bank Limited Annual Report and Financial Statements 2022, p.53 - https://danskebank.co.uk/-/media/danske-bank/uk/about-us/corporate-governance/annual-reports/northern-bank-annual-report-og-accounts-2022.pdf?rev=9aa72868afb1433d9e9df8f0959d630f
FY2021: Northern Bank Limited Annual Report and Financial Statements 2021, p.65 - https://danskebank.co.uk/-/media/danske-bank/uk/about-us/corporate-governance/annual-reports/northern-bank---annual-report-og-accounts-2021.pdf?rev=6bfedd29bb0d488ea30ffce998073674
FY2020: Northern Bank Limited Annual Report and Financial Statements 2020, p.48 - https://danskebank.co.uk/-/media/danske-bank/uk/about-us/corporate-governance/annual-reports/northern-bank---annual-report-og-accounts-2020.pdf
ENTITY NOTE: Northern Bank Limited (Companies House R0000568, FRN 122261, LEI 549300KUB2XKWLPMXV81) is the exact legal entity in Banks List 2608.xlsx. It trades as Danske Bank in Northern Ireland but remains Northern Bank Limited, an autonomous subsidiary of Danske Bank Group. All figures are the Bank's own entity-level disclosures, not Danske Bank A/S group figures. The annual reports state that the Bank monitors capital monthly and quarterly and publishes these annual capital and liquidity metrics; no separate interim Pillar 3 sheet is included in this standard annual WF-018 build.</t>
        </is>
      </c>
    </row>
  </sheetData>
  <mergeCells count="1">
    <mergeCell ref="A6:G6"/>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Northern Bank Limited (trading as Danske Bank) — Total RWAs</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Total risk-weighted exposure amount</t>
        </is>
      </c>
      <c r="B4" s="6" t="n">
        <v>4401004</v>
      </c>
      <c r="C4" s="6" t="n">
        <v>3949640</v>
      </c>
      <c r="D4" s="6" t="n">
        <v>3947673</v>
      </c>
      <c r="E4" s="6" t="n">
        <v>3694531</v>
      </c>
      <c r="F4" s="6" t="n">
        <v>3455735</v>
      </c>
      <c r="G4" s="6" t="n">
        <v>3634478</v>
      </c>
    </row>
    <row r="6" ht="260" customHeight="1">
      <c r="A6" s="8" t="inlineStr">
        <is>
          <t>Sources - Northern Bank Limited entity-level Total RWAs:
FY2025: Northern Bank Limited Annual Report and Financial Statements 2025, p.61 - https://danskebank.co.uk/-/media/danske-bank/uk/about-us/corporate-governance/annual-reports/northern-bank-annual-report-accounts-2025.pdf?hash=FAA2D970352C7AB5893C6D09B997681A&amp;rev=a79a533060b745c682e1796ed929cab5
FY2024: Northern Bank Limited Annual Report and Financial Statements 2024, p.84 - https://danskebank.co.uk/-/media/danske-bank/uk/about-us/corporate-governance/annual-reports/northern-bank-annual-report-og-accounts-2024.pdf?hash=C989E05EAE7993B66B70ADF26AB11BF7&amp;rev=1a1acede77ae425a8222ac3395302b9d
FY2023: Northern Bank Limited Annual Report and Financial Statements 2023, p.87 - https://danskebank.co.uk/-/media/danske-bank/uk/about-us/corporate-governance/annual-reports/northern-bank-annual-report-og-accounts-2023.pdf?hash=7CEA5F947D848F4BD9C1E97211AFF9CE&amp;rev=4202add3decb471fbed08666ff6e307b
FY2022: Northern Bank Limited Annual Report and Financial Statements 2022, p.53 - https://danskebank.co.uk/-/media/danske-bank/uk/about-us/corporate-governance/annual-reports/northern-bank-annual-report-og-accounts-2022.pdf?rev=9aa72868afb1433d9e9df8f0959d630f
FY2021: Northern Bank Limited Annual Report and Financial Statements 2021, p.65 - https://danskebank.co.uk/-/media/danske-bank/uk/about-us/corporate-governance/annual-reports/northern-bank---annual-report-og-accounts-2021.pdf?rev=6bfedd29bb0d488ea30ffce998073674
FY2020: Northern Bank Limited Annual Report and Financial Statements 2020, p.48 - https://danskebank.co.uk/-/media/danske-bank/uk/about-us/corporate-governance/annual-reports/northern-bank---annual-report-og-accounts-2020.pdf
ENTITY NOTE: Northern Bank Limited (Companies House R0000568, FRN 122261, LEI 549300KUB2XKWLPMXV81) is the exact legal entity in Banks List 2608.xlsx. It trades as Danske Bank in Northern Ireland but remains Northern Bank Limited, an autonomous subsidiary of Danske Bank Group. All figures are the Bank's own entity-level disclosures, not Danske Bank A/S group figures. The annual reports state that the Bank monitors capital monthly and quarterly and publishes these annual capital and liquidity metrics; no separate interim Pillar 3 sheet is included in this standard annual WF-018 build.</t>
        </is>
      </c>
    </row>
  </sheetData>
  <mergeCells count="1">
    <mergeCell ref="A6:G6"/>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Northern Bank Limited — RWA Breakdown</t>
        </is>
      </c>
    </row>
    <row r="2">
      <c r="A2" s="2" t="inlineStr">
        <is>
          <t>Entity-level. £'000. Risk weighted exposure amounts by top-level risk-type category, as disclosed in the Bank's own annual 'Capital and leverage position' risk management report section.</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row>
    <row r="4">
      <c r="A4" s="6" t="inlineStr">
        <is>
          <t>Credit risk</t>
        </is>
      </c>
      <c r="B4" s="6" t="n">
        <v>3849058</v>
      </c>
      <c r="C4" s="6" t="n">
        <v>3482122</v>
      </c>
      <c r="D4" s="6" t="n">
        <v>3546324</v>
      </c>
      <c r="E4" s="6" t="n">
        <v>3317928</v>
      </c>
      <c r="F4" s="6" t="n">
        <v>3090753</v>
      </c>
      <c r="G4" s="6" t="n">
        <v>3249042</v>
      </c>
    </row>
    <row r="5">
      <c r="A5" s="6" t="inlineStr">
        <is>
          <t>Operational risk</t>
        </is>
      </c>
      <c r="B5" s="6" t="n">
        <v>546447</v>
      </c>
      <c r="C5" s="6" t="n">
        <v>467065</v>
      </c>
      <c r="D5" s="6" t="n">
        <v>401329</v>
      </c>
      <c r="E5" s="6" t="n">
        <v>376579</v>
      </c>
      <c r="F5" s="6" t="n">
        <v>364961</v>
      </c>
      <c r="G5" s="6" t="n">
        <v>384135</v>
      </c>
    </row>
    <row r="6">
      <c r="A6" s="6" t="inlineStr">
        <is>
          <t>Market risk</t>
        </is>
      </c>
      <c r="B6" s="6" t="n">
        <v>4620</v>
      </c>
      <c r="C6" s="6" t="n">
        <v>19</v>
      </c>
      <c r="D6" s="6" t="n">
        <v>20</v>
      </c>
      <c r="E6" s="6" t="n">
        <v>24</v>
      </c>
      <c r="F6" s="6" t="n">
        <v>21</v>
      </c>
      <c r="G6" s="6" t="n">
        <v>0</v>
      </c>
    </row>
    <row r="7">
      <c r="A7" s="6" t="inlineStr">
        <is>
          <t>Credit value adjustment</t>
        </is>
      </c>
      <c r="B7" s="6" t="n">
        <v>879</v>
      </c>
      <c r="C7" s="6" t="n">
        <v>434</v>
      </c>
      <c r="D7" s="6" t="n">
        <v>0</v>
      </c>
      <c r="E7" s="6" t="n">
        <v>0</v>
      </c>
      <c r="F7" s="6" t="n">
        <v>0</v>
      </c>
      <c r="G7" s="6" t="n">
        <v>1301</v>
      </c>
    </row>
    <row r="8">
      <c r="A8" s="5" t="inlineStr">
        <is>
          <t>Total risk-weighted exposure amount</t>
        </is>
      </c>
      <c r="B8" s="5" t="n">
        <v>4401004</v>
      </c>
      <c r="C8" s="5" t="n">
        <v>3949640</v>
      </c>
      <c r="D8" s="5" t="n">
        <v>3947673</v>
      </c>
      <c r="E8" s="5" t="n">
        <v>3694531</v>
      </c>
      <c r="F8" s="5" t="n">
        <v>3455735</v>
      </c>
      <c r="G8" s="5" t="n">
        <v>3634478</v>
      </c>
    </row>
    <row r="10" ht="260" customHeight="1">
      <c r="A10" s="8" t="inlineStr">
        <is>
          <t>Sources - Northern Bank Limited entity-level RWA breakdown:
FY2025: Northern Bank Limited Annual Report and Financial Statements 2025, p.61 - https://danskebank.co.uk/-/media/danske-bank/uk/about-us/corporate-governance/annual-reports/northern-bank-annual-report-accounts-2025.pdf?hash=FAA2D970352C7AB5893C6D09B997681A&amp;rev=a79a533060b745c682e1796ed929cab5
FY2024: Northern Bank Limited Annual Report and Financial Statements 2024, p.85 - https://danskebank.co.uk/-/media/danske-bank/uk/about-us/corporate-governance/annual-reports/northern-bank-annual-report-og-accounts-2024.pdf?hash=C989E05EAE7993B66B70ADF26AB11BF7&amp;rev=1a1acede77ae425a8222ac3395302b9d
FY2023: Northern Bank Limited Annual Report and Financial Statements 2023, p.87 - https://danskebank.co.uk/-/media/danske-bank/uk/about-us/corporate-governance/annual-reports/northern-bank-annual-report-og-accounts-2023.pdf?hash=7CEA5F947D848F4BD9C1E97211AFF9CE&amp;rev=4202add3decb471fbed08666ff6e307b
FY2022: Northern Bank Limited Annual Report and Financial Statements 2022, p.54 - https://danskebank.co.uk/-/media/danske-bank/uk/about-us/corporate-governance/annual-reports/northern-bank-annual-report-og-accounts-2022.pdf?rev=9aa72868afb1433d9e9df8f0959d630f
FY2021: Northern Bank Limited Annual Report and Financial Statements 2021, p.66 - https://danskebank.co.uk/-/media/danske-bank/uk/about-us/corporate-governance/annual-reports/northern-bank---annual-report-og-accounts-2021.pdf?rev=6bfedd29bb0d488ea30ffce998073674
FY2020: Northern Bank Limited Annual Report and Financial Statements 2020, p.49 - https://danskebank.co.uk/-/media/danske-bank/uk/about-us/corporate-governance/annual-reports/northern-bank---annual-report-og-accounts-2020.pdf
ENTITY NOTE: Northern Bank Limited (Companies House R0000568, FRN 122261, LEI 549300KUB2XKWLPMXV81) is the exact legal entity in Banks List 2608.xlsx. It trades as Danske Bank in Northern Ireland but remains Northern Bank Limited, an autonomous subsidiary of Danske Bank Group. All figures are the Bank's own entity-level disclosures, not Danske Bank A/S group figures. The annual reports state that the Bank monitors capital monthly and quarterly and publishes these annual capital and liquidity metrics; no separate interim Pillar 3 sheet is included in this standard annual WF-018 build.</t>
        </is>
      </c>
    </row>
  </sheetData>
  <mergeCells count="1">
    <mergeCell ref="A10:G10"/>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76"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Northern Bank Limited (trading as Danske Bank) — Leverage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Leverage ratio - UK Leverage Ratio Framework basis, exposure measure EXCLUDES central bank reserves and government-guaranteed Bounce Back Loans (FY2022 onward)</t>
        </is>
      </c>
      <c r="B4" s="6" t="inlineStr">
        <is>
          <t>6.4%</t>
        </is>
      </c>
      <c r="C4" s="6" t="inlineStr">
        <is>
          <t>7.2%</t>
        </is>
      </c>
      <c r="D4" s="6" t="inlineStr">
        <is>
          <t>7.4%</t>
        </is>
      </c>
      <c r="E4" s="6" t="inlineStr">
        <is>
          <t>6.7%</t>
        </is>
      </c>
      <c r="F4" s="6" t="n"/>
      <c r="G4" s="6" t="n"/>
    </row>
    <row r="5">
      <c r="A5" s="6" t="inlineStr">
        <is>
          <t>Leverage ratio - pre-2022 basis, exposure measure INCLUDES central bank reserves and BBLs, as originally reported (FY2020-FY2021)</t>
        </is>
      </c>
      <c r="B5" s="6" t="n"/>
      <c r="C5" s="6" t="n"/>
      <c r="D5" s="6" t="n"/>
      <c r="E5" s="6" t="n"/>
      <c r="F5" s="6" t="inlineStr">
        <is>
          <t>4.2%</t>
        </is>
      </c>
      <c r="G5" s="6" t="inlineStr">
        <is>
          <t>5.2%</t>
        </is>
      </c>
    </row>
    <row r="6" ht="91" customHeight="1">
      <c r="A6" s="7" t="inlineStr">
        <is>
          <t>Note: THESE TWO ROWS ARE NOT A LIKE-FOR-LIKE SERIES. The Bank says so itself, in the FY2022 Annual Report's 'Capital and leverage position (unaudited)' section (p.52): 'On 8 October 2021, the FPC and PRA jointly published PS21/21 "The UK Leverage Ratio Framework", with an implementation date for certain requirements of 1 January 2022. As a result, the Bank is no longer subject to a regulatory leverage ratio requirement, but instead a supervisory expectation to maintain a leverage ratio above 3.25%. In addition, the leverage exposure measure excludes central bank reserves and the government guaranteed lending through Bounce Bank [sic] Loans (BBLs). This has resulted in an increase in the leverage ratio to 6.7% at 31 December 2022 (2021: 4.2%).' The Bank therefore attributes the whole 4.2% -&gt; 6.7% step to the change of denominator, not to any change in the Bank - which is why the two bases are on separate rows here and must never be read, charted or trended as one series. Note the exclusion is TWO items, not just central bank claims: BBL lending is excluded as well. The Bank did NOT restate FY2020 or FY2021 onto the excluding basis and did not publish an including-basis figure for FY2022 onward, so each row stops where the Bank's own disclosure stops; nothing here is back-solved from the other basis. The FY2022 report is the only edition that states the exclusion explicitly - the FY2023, FY2024 and FY2025 reports simply carry the ratio forward on the framework basis then in force.</t>
        </is>
      </c>
    </row>
    <row r="8" ht="260" customHeight="1">
      <c r="A8" s="8" t="inlineStr">
        <is>
          <t>Sources - Northern Bank Limited entity-level Leverage Ratio:
FY2025: Northern Bank Limited Annual Report and Financial Statements 2025, p.61 - https://danskebank.co.uk/-/media/danske-bank/uk/about-us/corporate-governance/annual-reports/northern-bank-annual-report-accounts-2025.pdf?hash=FAA2D970352C7AB5893C6D09B997681A&amp;rev=a79a533060b745c682e1796ed929cab5
FY2024: Northern Bank Limited Annual Report and Financial Statements 2024, p.84 - https://danskebank.co.uk/-/media/danske-bank/uk/about-us/corporate-governance/annual-reports/northern-bank-annual-report-og-accounts-2024.pdf?hash=C989E05EAE7993B66B70ADF26AB11BF7&amp;rev=1a1acede77ae425a8222ac3395302b9d
FY2023: Northern Bank Limited Annual Report and Financial Statements 2023, p.87 - https://danskebank.co.uk/-/media/danske-bank/uk/about-us/corporate-governance/annual-reports/northern-bank-annual-report-og-accounts-2023.pdf?hash=7CEA5F947D848F4BD9C1E97211AFF9CE&amp;rev=4202add3decb471fbed08666ff6e307b
FY2022: Northern Bank Limited Annual Report and Financial Statements 2022, p.53 - https://danskebank.co.uk/-/media/danske-bank/uk/about-us/corporate-governance/annual-reports/northern-bank-annual-report-og-accounts-2022.pdf?rev=9aa72868afb1433d9e9df8f0959d630f
FY2021: Northern Bank Limited Annual Report and Financial Statements 2021, p.65 - https://danskebank.co.uk/-/media/danske-bank/uk/about-us/corporate-governance/annual-reports/northern-bank---annual-report-og-accounts-2021.pdf?rev=6bfedd29bb0d488ea30ffce998073674
FY2020: Northern Bank Limited Annual Report and Financial Statements 2020, p.48 - https://danskebank.co.uk/-/media/danske-bank/uk/about-us/corporate-governance/annual-reports/northern-bank---annual-report-og-accounts-2020.pdf
ENTITY NOTE: Northern Bank Limited (Companies House R0000568, FRN 122261, LEI 549300KUB2XKWLPMXV81) is the exact legal entity in Banks List 2608.xlsx. It trades as Danske Bank in Northern Ireland but remains Northern Bank Limited, an autonomous subsidiary of Danske Bank Group. All figures are the Bank's own entity-level disclosures, not Danske Bank A/S group figures. The annual reports state that the Bank monitors capital monthly and quarterly and publishes these annual capital and liquidity metrics; no separate interim Pillar 3 sheet is included in this standard annual WF-018 build.</t>
        </is>
      </c>
    </row>
  </sheetData>
  <mergeCells count="2">
    <mergeCell ref="A8:G8"/>
    <mergeCell ref="A6:G6"/>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Northern Bank Limited (trading as Danske Bank) — LCR</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Liquidity coverage ratio (pillar 1 + 2)</t>
        </is>
      </c>
      <c r="B4" s="6" t="inlineStr">
        <is>
          <t>287%</t>
        </is>
      </c>
      <c r="C4" s="6" t="inlineStr">
        <is>
          <t>318%</t>
        </is>
      </c>
      <c r="D4" s="6" t="inlineStr">
        <is>
          <t>309%</t>
        </is>
      </c>
      <c r="E4" s="6" t="inlineStr">
        <is>
          <t>290%</t>
        </is>
      </c>
      <c r="F4" s="6" t="inlineStr">
        <is>
          <t>293%</t>
        </is>
      </c>
      <c r="G4" s="6" t="inlineStr">
        <is>
          <t>264%</t>
        </is>
      </c>
    </row>
    <row r="6" ht="260" customHeight="1">
      <c r="A6" s="8" t="inlineStr">
        <is>
          <t>Sources - Northern Bank Limited entity-level LCR:
FY2025: Northern Bank Limited Annual Report and Financial Statements 2025, p.59 - https://danskebank.co.uk/-/media/danske-bank/uk/about-us/corporate-governance/annual-reports/northern-bank-annual-report-accounts-2025.pdf?hash=FAA2D970352C7AB5893C6D09B997681A&amp;rev=a79a533060b745c682e1796ed929cab5
FY2024: Northern Bank Limited Annual Report and Financial Statements 2024, p.80 - https://danskebank.co.uk/-/media/danske-bank/uk/about-us/corporate-governance/annual-reports/northern-bank-annual-report-og-accounts-2024.pdf?hash=C989E05EAE7993B66B70ADF26AB11BF7&amp;rev=1a1acede77ae425a8222ac3395302b9d
FY2023: Northern Bank Limited Annual Report and Financial Statements 2023, p.82 - https://danskebank.co.uk/-/media/danske-bank/uk/about-us/corporate-governance/annual-reports/northern-bank-annual-report-og-accounts-2023.pdf?hash=7CEA5F947D848F4BD9C1E97211AFF9CE&amp;rev=4202add3decb471fbed08666ff6e307b
FY2022: Northern Bank Limited Annual Report and Financial Statements 2022, p.56 - https://danskebank.co.uk/-/media/danske-bank/uk/about-us/corporate-governance/annual-reports/northern-bank-annual-report-og-accounts-2022.pdf?rev=9aa72868afb1433d9e9df8f0959d630f
FY2021: Northern Bank Limited Annual Report and Financial Statements 2021, p.69 - https://danskebank.co.uk/-/media/danske-bank/uk/about-us/corporate-governance/annual-reports/northern-bank---annual-report-og-accounts-2021.pdf?rev=6bfedd29bb0d488ea30ffce998073674
FY2020: Northern Bank Limited Annual Report and Financial Statements 2020, p.10 - https://danskebank.co.uk/-/media/danske-bank/uk/about-us/corporate-governance/annual-reports/northern-bank---annual-report-og-accounts-2020.pdf
ENTITY NOTE: Northern Bank Limited (Companies House R0000568, FRN 122261, LEI 549300KUB2XKWLPMXV81) is the exact legal entity in Banks List 2608.xlsx. It trades as Danske Bank in Northern Ireland but remains Northern Bank Limited, an autonomous subsidiary of Danske Bank Group. All figures are the Bank's own entity-level disclosures, not Danske Bank A/S group figures. The annual reports state that the Bank monitors capital monthly and quarterly and publishes these annual capital and liquidity metrics; no separate interim Pillar 3 sheet is included in this standard annual WF-018 build.</t>
        </is>
      </c>
    </row>
  </sheetData>
  <mergeCells count="1">
    <mergeCell ref="A6:G6"/>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Northern Bank Limited (trading as Danske Bank) — NSFR</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Net Stable Funding Ratio</t>
        </is>
      </c>
      <c r="B4" s="6" t="inlineStr">
        <is>
          <t>200%</t>
        </is>
      </c>
      <c r="C4" s="6" t="inlineStr">
        <is>
          <t>207%</t>
        </is>
      </c>
      <c r="D4" s="6" t="inlineStr">
        <is>
          <t>203%</t>
        </is>
      </c>
      <c r="E4" s="6" t="inlineStr">
        <is>
          <t>217%</t>
        </is>
      </c>
      <c r="F4" s="6" t="inlineStr">
        <is>
          <t>213%</t>
        </is>
      </c>
      <c r="G4" s="6" t="inlineStr">
        <is>
          <t>199%</t>
        </is>
      </c>
    </row>
    <row r="5" ht="30" customHeight="1">
      <c r="A5" s="7" t="inlineStr">
        <is>
          <t>Note: The FY2020 figure (199%) is not disclosed in the Bank's own FY2020 Annual Report (which predates the Bank's NSFR disclosure) - it is the FY2021 Annual Report's own '31 December 2020' comparative (p.70), corroborated as the same NSFR metric introduced that year (a binding NSFR requirement came into force in Q1 2022).</t>
        </is>
      </c>
    </row>
    <row r="7" ht="260" customHeight="1">
      <c r="A7" s="8" t="inlineStr">
        <is>
          <t>Sources - Northern Bank Limited entity-level NSFR:
FY2025: Northern Bank Limited Annual Report and Financial Statements 2025, p.59 - https://danskebank.co.uk/-/media/danske-bank/uk/about-us/corporate-governance/annual-reports/northern-bank-annual-report-accounts-2025.pdf?hash=FAA2D970352C7AB5893C6D09B997681A&amp;rev=a79a533060b745c682e1796ed929cab5
FY2024: Northern Bank Limited Annual Report and Financial Statements 2024, p.80 - https://danskebank.co.uk/-/media/danske-bank/uk/about-us/corporate-governance/annual-reports/northern-bank-annual-report-og-accounts-2024.pdf?hash=C989E05EAE7993B66B70ADF26AB11BF7&amp;rev=1a1acede77ae425a8222ac3395302b9d
FY2023: Northern Bank Limited Annual Report and Financial Statements 2023, p.82 - https://danskebank.co.uk/-/media/danske-bank/uk/about-us/corporate-governance/annual-reports/northern-bank-annual-report-og-accounts-2023.pdf?hash=7CEA5F947D848F4BD9C1E97211AFF9CE&amp;rev=4202add3decb471fbed08666ff6e307b
FY2022: Northern Bank Limited Annual Report and Financial Statements 2022, p.56 - https://danskebank.co.uk/-/media/danske-bank/uk/about-us/corporate-governance/annual-reports/northern-bank-annual-report-og-accounts-2022.pdf?rev=9aa72868afb1433d9e9df8f0959d630f
FY2021: Northern Bank Limited Annual Report and Financial Statements 2021, p.69 - https://danskebank.co.uk/-/media/danske-bank/uk/about-us/corporate-governance/annual-reports/northern-bank---annual-report-og-accounts-2021.pdf?rev=6bfedd29bb0d488ea30ffce998073674
FY2020: Northern Bank Limited Annual Report and Financial Statements 2020, p.10 - https://danskebank.co.uk/-/media/danske-bank/uk/about-us/corporate-governance/annual-reports/northern-bank---annual-report-og-accounts-2020.pdf
ENTITY NOTE: Northern Bank Limited (Companies House R0000568, FRN 122261, LEI 549300KUB2XKWLPMXV81) is the exact legal entity in Banks List 2608.xlsx. It trades as Danske Bank in Northern Ireland but remains Northern Bank Limited, an autonomous subsidiary of Danske Bank Group. All figures are the Bank's own entity-level disclosures, not Danske Bank A/S group figures. The annual reports state that the Bank monitors capital monthly and quarterly and publishes these annual capital and liquidity metrics; no separate interim Pillar 3 sheet is included in this standard annual WF-018 build.</t>
        </is>
      </c>
    </row>
  </sheetData>
  <mergeCells count="2">
    <mergeCell ref="A7:G7"/>
    <mergeCell ref="A5:G5"/>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s>
  <sheetData>
    <row r="1">
      <c r="A1" s="1" t="inlineStr">
        <is>
          <t>Northern Bank Limited (trading as Danske Bank) — MREL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row>
    <row r="4">
      <c r="A4" s="6" t="inlineStr">
        <is>
          <t>MREL ratio</t>
        </is>
      </c>
      <c r="B4" s="6" t="inlineStr">
        <is>
          <t>127%</t>
        </is>
      </c>
      <c r="C4" s="6" t="inlineStr">
        <is>
          <t>148%</t>
        </is>
      </c>
      <c r="D4" s="6" t="inlineStr">
        <is>
          <t>148%</t>
        </is>
      </c>
      <c r="E4" s="6" t="inlineStr">
        <is>
          <t>146%</t>
        </is>
      </c>
      <c r="F4" s="6" t="inlineStr">
        <is>
          <t>134%</t>
        </is>
      </c>
    </row>
    <row r="5" ht="65" customHeight="1">
      <c r="A5" s="7" t="inlineStr">
        <is>
          <t>Note: MREL ratios are the Bank's own annual internal-MREL disclosures. The 2021 figure is the 2021 comparative in the 2022 report and is corroborated by the 2021 report's MREL discussion. FY2020 SELF-SKIP: no numeric MREL ratio for FY2020 is disclosed anywhere - not in the Bank's own FY2020 Annual Report (p.47-48 discusses MREL only qualitatively, 'the Bank did not require any additional MREL funds'), not in the FY2021 Annual Report (same qualitative-only treatment, p.65), and the FY2022 Annual Report's own MREL reconciliation table (p.55) only tables FY2022 and FY2021, with no FY2020 comparative column. This is a genuine non-disclosure, not an access gap - all three primary-source PDFs were read in full.</t>
        </is>
      </c>
    </row>
    <row r="7" ht="273" customHeight="1">
      <c r="A7" s="8" t="inlineStr">
        <is>
          <t>Sources - Northern Bank Limited entity-level MREL Ratio:
FY2025: Northern Bank Limited Annual Report and Financial Statements 2025, p.60 - https://danskebank.co.uk/-/media/danske-bank/uk/about-us/corporate-governance/annual-reports/northern-bank-annual-report-accounts-2025.pdf?hash=FAA2D970352C7AB5893C6D09B997681A&amp;rev=a79a533060b745c682e1796ed929cab5
FY2024: Northern Bank Limited Annual Report and Financial Statements 2024, p.83 - https://danskebank.co.uk/-/media/danske-bank/uk/about-us/corporate-governance/annual-reports/northern-bank-annual-report-og-accounts-2024.pdf?hash=C989E05EAE7993B66B70ADF26AB11BF7&amp;rev=1a1acede77ae425a8222ac3395302b9d
FY2023: Northern Bank Limited Annual Report and Financial Statements 2023, p.86 - https://danskebank.co.uk/-/media/danske-bank/uk/about-us/corporate-governance/annual-reports/northern-bank-annual-report-og-accounts-2023.pdf?hash=7CEA5F947D848F4BD9C1E97211AFF9CE&amp;rev=4202add3decb471fbed08666ff6e307b
FY2022: Northern Bank Limited Annual Report and Financial Statements 2022, p.55 - https://danskebank.co.uk/-/media/danske-bank/uk/about-us/corporate-governance/annual-reports/northern-bank-annual-report-og-accounts-2022.pdf?rev=9aa72868afb1433d9e9df8f0959d630f
FY2021: Northern Bank Limited Annual Report and Financial Statements 2021, p.65 - https://danskebank.co.uk/-/media/danske-bank/uk/about-us/corporate-governance/annual-reports/northern-bank---annual-report-og-accounts-2021.pdf?rev=6bfedd29bb0d488ea30ffce998073674
FY2020: Northern Bank Limited Annual Report and Financial Statements 2020, p.47 - https://danskebank.co.uk/-/media/danske-bank/uk/about-us/corporate-governance/annual-reports/northern-bank---annual-report-og-accounts-2020.pdf
ENTITY NOTE: Northern Bank Limited (Companies House R0000568, FRN 122261, LEI 549300KUB2XKWLPMXV81) is the exact legal entity in Banks List 2608.xlsx. It trades as Danske Bank in Northern Ireland but remains Northern Bank Limited, an autonomous subsidiary of Danske Bank Group. All figures are the Bank's own entity-level disclosures, not Danske Bank A/S group figures. The annual reports state that the Bank monitors capital monthly and quarterly and publishes these annual capital and liquidity metrics; no separate interim Pillar 3 sheet is included in this standard annual WF-018 build.</t>
        </is>
      </c>
    </row>
  </sheetData>
  <mergeCells count="2">
    <mergeCell ref="A5:F5"/>
    <mergeCell ref="A7:F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2026-10-10T15:08:37Z</dcterms:created>
  <dcterms:modified xmlns:dcterms="http://purl.org/dc/terms/" xmlns:xsi="http://www.w3.org/2001/XMLSchema-instance" xsi:type="dcterms:W3CDTF">2026-10-10T15:08:37Z</dcterms:modified>
</cp:coreProperties>
</file>