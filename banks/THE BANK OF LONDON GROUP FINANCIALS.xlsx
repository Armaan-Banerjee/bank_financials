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A2540"/>
        <bgColor rgb="000A25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Bank of London Group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'Overview'!H6</f>
            </strRef>
          </tx>
          <spPr>
            <a:ln xmlns:a="http://schemas.openxmlformats.org/drawingml/2006/main">
              <a:prstDash val="solid"/>
            </a:ln>
          </spPr>
          <cat>
            <numRef>
              <f>'Overview'!$I$5:$L$5</f>
            </numRef>
          </cat>
          <val>
            <numRef>
              <f>'Overview'!$I$6:$L$6</f>
            </numRef>
          </val>
        </ser>
        <ser>
          <idx val="1"/>
          <order val="1"/>
          <tx>
            <strRef>
              <f>'Overview'!H7</f>
            </strRef>
          </tx>
          <spPr>
            <a:ln xmlns:a="http://schemas.openxmlformats.org/drawingml/2006/main">
              <a:prstDash val="solid"/>
            </a:ln>
          </spPr>
          <cat>
            <numRef>
              <f>'Overview'!$I$5:$L$5</f>
            </numRef>
          </cat>
          <val>
            <numRef>
              <f>'Overview'!$I$7:$L$7</f>
            </numRef>
          </val>
        </ser>
        <ser>
          <idx val="2"/>
          <order val="2"/>
          <tx>
            <strRef>
              <f>'Overview'!H8</f>
            </strRef>
          </tx>
          <spPr>
            <a:ln xmlns:a="http://schemas.openxmlformats.org/drawingml/2006/main">
              <a:prstDash val="solid"/>
            </a:ln>
          </spPr>
          <cat>
            <numRef>
              <f>'Overview'!$I$5:$L$5</f>
            </numRef>
          </cat>
          <val>
            <numRef>
              <f>'Overview'!$I$8:$L$8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Bank of London Group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'Overview'!O12</f>
            </strRef>
          </tx>
          <spPr>
            <a:ln xmlns:a="http://schemas.openxmlformats.org/drawingml/2006/main">
              <a:prstDash val="solid"/>
            </a:ln>
          </spPr>
          <cat>
            <numRef>
              <f>'Overview'!$P$11:$S$11</f>
            </numRef>
          </cat>
          <val>
            <numRef>
              <f>'Overview'!$P$12:$S$12</f>
            </numRef>
          </val>
        </ser>
        <ser>
          <idx val="1"/>
          <order val="1"/>
          <tx>
            <strRef>
              <f>'Overview'!O13</f>
            </strRef>
          </tx>
          <spPr>
            <a:ln xmlns:a="http://schemas.openxmlformats.org/drawingml/2006/main">
              <a:prstDash val="solid"/>
            </a:ln>
          </spPr>
          <cat>
            <numRef>
              <f>'Overview'!$P$11:$S$11</f>
            </numRef>
          </cat>
          <val>
            <numRef>
              <f>'Overview'!$P$13:$S$13</f>
            </numRef>
          </val>
        </ser>
        <ser>
          <idx val="2"/>
          <order val="2"/>
          <tx>
            <strRef>
              <f>'Overview'!O14</f>
            </strRef>
          </tx>
          <spPr>
            <a:ln xmlns:a="http://schemas.openxmlformats.org/drawingml/2006/main">
              <a:prstDash val="solid"/>
            </a:ln>
          </spPr>
          <cat>
            <numRef>
              <f>'Overview'!$P$11:$S$11</f>
            </numRef>
          </cat>
          <val>
            <numRef>
              <f>'Overview'!$P$14:$S$14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Bank of London Group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'Overview'!V18</f>
            </strRef>
          </tx>
          <spPr>
            <a:ln xmlns:a="http://schemas.openxmlformats.org/drawingml/2006/main">
              <a:prstDash val="solid"/>
            </a:ln>
          </spPr>
          <cat>
            <numRef>
              <f>'Overview'!$W$17:$Z$17</f>
            </numRef>
          </cat>
          <val>
            <numRef>
              <f>'Overview'!$W$18:$Z$18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Bank of London Group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'Overview'!AC22</f>
            </strRef>
          </tx>
          <spPr>
            <a:ln xmlns:a="http://schemas.openxmlformats.org/drawingml/2006/main">
              <a:prstDash val="solid"/>
            </a:ln>
          </spPr>
          <cat>
            <numRef>
              <f>'Overview'!$AD$21:$AG$21</f>
            </numRef>
          </cat>
          <val>
            <numRef>
              <f>'Overview'!$AD$22:$AG$22</f>
            </numRef>
          </val>
        </ser>
        <ser>
          <idx val="1"/>
          <order val="1"/>
          <tx>
            <strRef>
              <f>'Overview'!AC23</f>
            </strRef>
          </tx>
          <spPr>
            <a:ln xmlns:a="http://schemas.openxmlformats.org/drawingml/2006/main">
              <a:prstDash val="solid"/>
            </a:ln>
          </spPr>
          <cat>
            <numRef>
              <f>'Overview'!$AD$21:$AG$21</f>
            </numRef>
          </cat>
          <val>
            <numRef>
              <f>'Overview'!$AD$23:$AG$23</f>
            </numRef>
          </val>
        </ser>
        <ser>
          <idx val="2"/>
          <order val="2"/>
          <tx>
            <strRef>
              <f>'Overview'!AC24</f>
            </strRef>
          </tx>
          <spPr>
            <a:ln xmlns:a="http://schemas.openxmlformats.org/drawingml/2006/main">
              <a:prstDash val="solid"/>
            </a:ln>
          </spPr>
          <cat>
            <numRef>
              <f>'Overview'!$AD$21:$AG$21</f>
            </numRef>
          </cat>
          <val>
            <numRef>
              <f>'Overview'!$AD$24:$AG$24</f>
            </numRef>
          </val>
        </ser>
        <ser>
          <idx val="3"/>
          <order val="3"/>
          <tx>
            <strRef>
              <f>'Overview'!AC25</f>
            </strRef>
          </tx>
          <spPr>
            <a:ln xmlns:a="http://schemas.openxmlformats.org/drawingml/2006/main">
              <a:prstDash val="solid"/>
            </a:ln>
          </spPr>
          <cat>
            <numRef>
              <f>'Overview'!$AD$21:$AG$21</f>
            </numRef>
          </cat>
          <val>
            <numRef>
              <f>'Overview'!$AD$25:$AG$25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The Bank of London Group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'Overview'!AJ6</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'Overview'!$AK$6:$AN$6</f>
            </numRef>
          </val>
          <smooth val="0"/>
        </ser>
        <ser>
          <idx val="1"/>
          <order val="1"/>
          <tx>
            <strRef>
              <f>'Overview'!AJ7</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'Overview'!$AK$7:$AN$7</f>
            </numRef>
          </val>
          <smooth val="0"/>
        </ser>
        <ser>
          <idx val="2"/>
          <order val="2"/>
          <tx>
            <strRef>
              <f>'Overview'!AJ8</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'Overview'!$AK$8:$AN$8</f>
            </numRef>
          </val>
          <smooth val="0"/>
        </ser>
        <ser>
          <idx val="3"/>
          <order val="3"/>
          <tx>
            <strRef>
              <f>'Overview'!AJ9</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'Overview'!$AK$9:$AN$9</f>
            </numRef>
          </val>
          <smooth val="0"/>
        </ser>
        <ser>
          <idx val="4"/>
          <order val="4"/>
          <tx>
            <strRef>
              <f>'Overview'!AJ10</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'Overview'!$AK$10:$AN$10</f>
            </numRef>
          </val>
          <smooth val="0"/>
        </ser>
        <ser>
          <idx val="5"/>
          <order val="5"/>
          <tx>
            <strRef>
              <f>'Overview'!AJ11</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'Overview'!$AK$11:$AN$11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N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c r="A1" s="1" t="inlineStr">
        <is>
          <t>The Bank of London Group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I5" t="inlineStr">
        <is>
          <t>FY2022</t>
        </is>
      </c>
      <c r="J5" t="inlineStr">
        <is>
          <t>FY2023</t>
        </is>
      </c>
      <c r="K5" t="inlineStr">
        <is>
          <t>FY2024</t>
        </is>
      </c>
      <c r="L5" t="inlineStr">
        <is>
          <t>FY2025</t>
        </is>
      </c>
      <c r="AK5" t="inlineStr">
        <is>
          <t>FY2022</t>
        </is>
      </c>
      <c r="AL5" t="inlineStr">
        <is>
          <t>FY2023</t>
        </is>
      </c>
      <c r="AM5" t="inlineStr">
        <is>
          <t>FY2024</t>
        </is>
      </c>
      <c r="AN5" t="inlineStr">
        <is>
          <t>FY2025</t>
        </is>
      </c>
    </row>
    <row r="6">
      <c r="A6" s="5" t="inlineStr">
        <is>
          <t>Total assets</t>
        </is>
      </c>
      <c r="B6" s="5" t="n">
        <v>346004</v>
      </c>
      <c r="C6" s="5" t="n">
        <v>847944</v>
      </c>
      <c r="D6" s="5" t="n">
        <v>241666</v>
      </c>
      <c r="E6" s="5" t="n">
        <v>20044</v>
      </c>
      <c r="H6" t="inlineStr">
        <is>
          <t>Total assets</t>
        </is>
      </c>
      <c r="I6" t="n">
        <v>20044</v>
      </c>
      <c r="J6" t="n">
        <v>241666</v>
      </c>
      <c r="K6" t="n">
        <v>847944</v>
      </c>
      <c r="L6" t="n">
        <v>346004</v>
      </c>
      <c r="AJ6" t="inlineStr">
        <is>
          <t>CET1 Ratio</t>
        </is>
      </c>
      <c r="AL6" t="n">
        <v>95.34</v>
      </c>
      <c r="AM6" t="n">
        <v>88.91</v>
      </c>
      <c r="AN6" t="n">
        <v>82.94</v>
      </c>
    </row>
    <row r="7">
      <c r="A7" s="5" t="inlineStr">
        <is>
          <t>Total liabilities</t>
        </is>
      </c>
      <c r="B7" s="5" t="n">
        <v>322787</v>
      </c>
      <c r="C7" s="5" t="n">
        <v>825801</v>
      </c>
      <c r="D7" s="5" t="n">
        <v>214980</v>
      </c>
      <c r="E7" s="5" t="n">
        <v>1935</v>
      </c>
      <c r="H7" t="inlineStr">
        <is>
          <t>Total liabilities</t>
        </is>
      </c>
      <c r="I7" t="n">
        <v>1935</v>
      </c>
      <c r="J7" t="n">
        <v>214980</v>
      </c>
      <c r="K7" t="n">
        <v>825801</v>
      </c>
      <c r="L7" t="n">
        <v>322787</v>
      </c>
      <c r="AJ7" t="inlineStr">
        <is>
          <t>Tier 1 Ratio</t>
        </is>
      </c>
    </row>
    <row r="8">
      <c r="A8" s="5" t="inlineStr">
        <is>
          <t>Total equity</t>
        </is>
      </c>
      <c r="B8" s="5" t="n">
        <v>23217</v>
      </c>
      <c r="C8" s="5" t="n">
        <v>22143</v>
      </c>
      <c r="D8" s="5" t="n">
        <v>26686</v>
      </c>
      <c r="E8" s="5" t="n">
        <v>18109</v>
      </c>
      <c r="H8" t="inlineStr">
        <is>
          <t>Total equity</t>
        </is>
      </c>
      <c r="I8" t="n">
        <v>18109</v>
      </c>
      <c r="J8" t="n">
        <v>26686</v>
      </c>
      <c r="K8" t="n">
        <v>22143</v>
      </c>
      <c r="L8" t="n">
        <v>23217</v>
      </c>
      <c r="AJ8" t="inlineStr">
        <is>
          <t>Total Capital Ratio</t>
        </is>
      </c>
    </row>
    <row r="9">
      <c r="AJ9" t="inlineStr">
        <is>
          <t>Leverage Ratio</t>
        </is>
      </c>
    </row>
    <row r="10">
      <c r="A10" s="3" t="inlineStr">
        <is>
          <t>Profit &amp; Loss Summary (£'000)</t>
        </is>
      </c>
      <c r="AJ10" t="inlineStr">
        <is>
          <t>LCR</t>
        </is>
      </c>
    </row>
    <row r="11">
      <c r="A11" s="4" t="inlineStr">
        <is>
          <t>Line item</t>
        </is>
      </c>
      <c r="B11" s="4" t="inlineStr">
        <is>
          <t>FY2025</t>
        </is>
      </c>
      <c r="C11" s="4" t="inlineStr">
        <is>
          <t>FY2024</t>
        </is>
      </c>
      <c r="D11" s="4" t="inlineStr">
        <is>
          <t>FY2023</t>
        </is>
      </c>
      <c r="E11" s="4" t="inlineStr">
        <is>
          <t>FY2022</t>
        </is>
      </c>
      <c r="P11" t="inlineStr">
        <is>
          <t>FY2022</t>
        </is>
      </c>
      <c r="Q11" t="inlineStr">
        <is>
          <t>FY2023</t>
        </is>
      </c>
      <c r="R11" t="inlineStr">
        <is>
          <t>FY2024</t>
        </is>
      </c>
      <c r="S11" t="inlineStr">
        <is>
          <t>FY2025</t>
        </is>
      </c>
      <c r="AJ11" t="inlineStr">
        <is>
          <t>NSFR</t>
        </is>
      </c>
    </row>
    <row r="12">
      <c r="A12" s="5" t="inlineStr">
        <is>
          <t>Net interest income</t>
        </is>
      </c>
      <c r="B12" s="5" t="n">
        <v>4141</v>
      </c>
      <c r="C12" s="5" t="n">
        <v>2748</v>
      </c>
      <c r="D12" s="5" t="n">
        <v>1194</v>
      </c>
      <c r="E12" s="5" t="n">
        <v>226</v>
      </c>
      <c r="O12" t="inlineStr">
        <is>
          <t>Net interest income</t>
        </is>
      </c>
      <c r="P12" t="n">
        <v>226</v>
      </c>
      <c r="Q12" t="n">
        <v>1194</v>
      </c>
      <c r="R12" t="n">
        <v>2748</v>
      </c>
      <c r="S12" t="n">
        <v>4141</v>
      </c>
    </row>
    <row r="13">
      <c r="A13" s="5" t="inlineStr">
        <is>
          <t>Net operating income/(expense)</t>
        </is>
      </c>
      <c r="B13" s="5" t="n">
        <v>6714</v>
      </c>
      <c r="C13" s="5" t="n">
        <v>3689</v>
      </c>
      <c r="D13" s="5" t="n">
        <v>816</v>
      </c>
      <c r="E13" s="5" t="n">
        <v>-248</v>
      </c>
      <c r="O13" t="inlineStr">
        <is>
          <t>Net operating income/(expense)</t>
        </is>
      </c>
      <c r="P13" t="n">
        <v>-248</v>
      </c>
      <c r="Q13" t="n">
        <v>816</v>
      </c>
      <c r="R13" t="n">
        <v>3689</v>
      </c>
      <c r="S13" t="n">
        <v>6714</v>
      </c>
    </row>
    <row r="14">
      <c r="A14" s="5" t="inlineStr">
        <is>
          <t>Loss for the year</t>
        </is>
      </c>
      <c r="B14" s="5" t="n">
        <v>-23503</v>
      </c>
      <c r="C14" s="5" t="n">
        <v>-23970</v>
      </c>
      <c r="D14" s="5" t="n">
        <v>-12414</v>
      </c>
      <c r="E14" s="5" t="n">
        <v>-12823</v>
      </c>
      <c r="O14" t="inlineStr">
        <is>
          <t>Loss for the year</t>
        </is>
      </c>
      <c r="P14" t="n">
        <v>-12823</v>
      </c>
      <c r="Q14" t="n">
        <v>-12414</v>
      </c>
      <c r="R14" t="n">
        <v>-23970</v>
      </c>
      <c r="S14" t="n">
        <v>-23503</v>
      </c>
    </row>
    <row r="16">
      <c r="A16" s="3" t="inlineStr">
        <is>
          <t>Statement of Changes in Equity Summary (£'000)</t>
        </is>
      </c>
    </row>
    <row r="17">
      <c r="A17" s="4" t="inlineStr">
        <is>
          <t>Line item</t>
        </is>
      </c>
      <c r="B17" s="4" t="inlineStr">
        <is>
          <t>FY2025</t>
        </is>
      </c>
      <c r="C17" s="4" t="inlineStr">
        <is>
          <t>FY2024</t>
        </is>
      </c>
      <c r="D17" s="4" t="inlineStr">
        <is>
          <t>FY2023</t>
        </is>
      </c>
      <c r="E17" s="4" t="inlineStr">
        <is>
          <t>FY2022</t>
        </is>
      </c>
      <c r="W17" t="inlineStr">
        <is>
          <t>FY2022</t>
        </is>
      </c>
      <c r="X17" t="inlineStr">
        <is>
          <t>FY2023</t>
        </is>
      </c>
      <c r="Y17" t="inlineStr">
        <is>
          <t>FY2024</t>
        </is>
      </c>
      <c r="Z17" t="inlineStr">
        <is>
          <t>FY2025</t>
        </is>
      </c>
    </row>
    <row r="18">
      <c r="A18" s="5" t="inlineStr">
        <is>
          <t>Total equity</t>
        </is>
      </c>
      <c r="B18" s="5" t="n">
        <v>23217</v>
      </c>
      <c r="C18" s="5" t="n">
        <v>22143</v>
      </c>
      <c r="D18" s="5" t="n">
        <v>26686</v>
      </c>
      <c r="E18" s="5" t="n">
        <v>18109</v>
      </c>
      <c r="V18" t="inlineStr">
        <is>
          <t>Total equity</t>
        </is>
      </c>
      <c r="W18" t="n">
        <v>18109</v>
      </c>
      <c r="X18" t="n">
        <v>26686</v>
      </c>
      <c r="Y18" t="n">
        <v>22143</v>
      </c>
      <c r="Z18" t="n">
        <v>23217</v>
      </c>
    </row>
    <row r="20">
      <c r="A20" s="3" t="inlineStr">
        <is>
          <t>Cash Flow Summary (£'000)</t>
        </is>
      </c>
    </row>
    <row r="21">
      <c r="A21" s="4" t="inlineStr">
        <is>
          <t>Line item</t>
        </is>
      </c>
      <c r="B21" s="4" t="inlineStr">
        <is>
          <t>FY2025</t>
        </is>
      </c>
      <c r="C21" s="4" t="inlineStr">
        <is>
          <t>FY2024</t>
        </is>
      </c>
      <c r="D21" s="4" t="inlineStr">
        <is>
          <t>FY2023</t>
        </is>
      </c>
      <c r="E21" s="4" t="inlineStr">
        <is>
          <t>FY2022</t>
        </is>
      </c>
      <c r="AD21" t="inlineStr">
        <is>
          <t>FY2022</t>
        </is>
      </c>
      <c r="AE21" t="inlineStr">
        <is>
          <t>FY2023</t>
        </is>
      </c>
      <c r="AF21" t="inlineStr">
        <is>
          <t>FY2024</t>
        </is>
      </c>
      <c r="AG21" t="inlineStr">
        <is>
          <t>FY2025</t>
        </is>
      </c>
    </row>
    <row r="22">
      <c r="A22" s="5" t="inlineStr">
        <is>
          <t>Net cash from/(used in) operating activities</t>
        </is>
      </c>
      <c r="B22" s="5" t="n">
        <v>-527319</v>
      </c>
      <c r="C22" s="5" t="n">
        <v>587552</v>
      </c>
      <c r="D22" s="5" t="n">
        <v>186279</v>
      </c>
      <c r="E22" s="5" t="n">
        <v>-15019</v>
      </c>
      <c r="AC22" t="inlineStr">
        <is>
          <t>Net cash from/(used in) operating activities</t>
        </is>
      </c>
      <c r="AD22" t="n">
        <v>-15019</v>
      </c>
      <c r="AE22" t="n">
        <v>186279</v>
      </c>
      <c r="AF22" t="n">
        <v>587552</v>
      </c>
      <c r="AG22" t="n">
        <v>-527319</v>
      </c>
    </row>
    <row r="23">
      <c r="A23" s="5" t="inlineStr">
        <is>
          <t>Net cash used in investing activities</t>
        </is>
      </c>
      <c r="B23" s="5" t="n">
        <v>-1</v>
      </c>
      <c r="C23" s="5" t="n">
        <v>-17</v>
      </c>
      <c r="D23" s="5" t="n">
        <v>-32</v>
      </c>
      <c r="E23" s="5" t="n">
        <v>-109</v>
      </c>
      <c r="AC23" t="inlineStr">
        <is>
          <t>Net cash used in investing activities</t>
        </is>
      </c>
      <c r="AD23" t="n">
        <v>-109</v>
      </c>
      <c r="AE23" t="n">
        <v>-32</v>
      </c>
      <c r="AF23" t="n">
        <v>-17</v>
      </c>
      <c r="AG23" t="n">
        <v>-1</v>
      </c>
    </row>
    <row r="24">
      <c r="A24" s="5" t="inlineStr">
        <is>
          <t>Net cash from financing activities</t>
        </is>
      </c>
      <c r="B24" s="5" t="n">
        <v>24500</v>
      </c>
      <c r="C24" s="5" t="n">
        <v>19000</v>
      </c>
      <c r="D24" s="5" t="n">
        <v>20500</v>
      </c>
      <c r="E24" s="5" t="n">
        <v>31540</v>
      </c>
      <c r="AC24" t="inlineStr">
        <is>
          <t>Net cash from financing activities</t>
        </is>
      </c>
      <c r="AD24" t="n">
        <v>31540</v>
      </c>
      <c r="AE24" t="n">
        <v>20500</v>
      </c>
      <c r="AF24" t="n">
        <v>19000</v>
      </c>
      <c r="AG24" t="n">
        <v>24500</v>
      </c>
    </row>
    <row r="25">
      <c r="A25" s="5" t="inlineStr">
        <is>
          <t>Total cash and cash equivalents at end of the year</t>
        </is>
      </c>
      <c r="B25" s="5" t="n">
        <v>326874</v>
      </c>
      <c r="C25" s="5" t="n">
        <v>829694</v>
      </c>
      <c r="D25" s="5" t="n">
        <v>223159</v>
      </c>
      <c r="E25" s="5" t="n">
        <v>16412</v>
      </c>
      <c r="AC25" t="inlineStr">
        <is>
          <t>Total cash and cash equivalents at end of the year</t>
        </is>
      </c>
      <c r="AD25" t="n">
        <v>16412</v>
      </c>
      <c r="AE25" t="n">
        <v>223159</v>
      </c>
      <c r="AF25" t="n">
        <v>829694</v>
      </c>
      <c r="AG25" t="n">
        <v>326874</v>
      </c>
    </row>
    <row r="27">
      <c r="A27" s="3" t="inlineStr">
        <is>
          <t>Pillar 3 Key Metrics</t>
        </is>
      </c>
    </row>
    <row r="28">
      <c r="A28" s="4" t="inlineStr">
        <is>
          <t>Line item</t>
        </is>
      </c>
      <c r="B28" s="4" t="inlineStr">
        <is>
          <t>FY2025</t>
        </is>
      </c>
      <c r="C28" s="4" t="inlineStr">
        <is>
          <t>FY2024</t>
        </is>
      </c>
      <c r="D28" s="4" t="inlineStr">
        <is>
          <t>FY2023</t>
        </is>
      </c>
      <c r="E28" s="4" t="inlineStr">
        <is>
          <t>FY2022</t>
        </is>
      </c>
    </row>
    <row r="29">
      <c r="A29" s="6" t="inlineStr">
        <is>
          <t>CET1 Ratio</t>
        </is>
      </c>
      <c r="B29" s="6" t="inlineStr">
        <is>
          <t>82.94%</t>
        </is>
      </c>
      <c r="C29" s="6" t="inlineStr">
        <is>
          <t>88.91%</t>
        </is>
      </c>
      <c r="D29" s="6" t="inlineStr">
        <is>
          <t>95.34%</t>
        </is>
      </c>
      <c r="E29" s="6" t="n"/>
    </row>
    <row r="30">
      <c r="A30" s="6" t="inlineStr">
        <is>
          <t>Tier 1 Ratio</t>
        </is>
      </c>
      <c r="B30" s="6" t="inlineStr">
        <is>
          <t>Not publicly disclosed</t>
        </is>
      </c>
      <c r="C30" s="6" t="inlineStr">
        <is>
          <t>Not publicly disclosed</t>
        </is>
      </c>
      <c r="D30" s="6" t="inlineStr">
        <is>
          <t>Not publicly disclosed</t>
        </is>
      </c>
      <c r="E30" s="6" t="inlineStr">
        <is>
          <t>Not publicly disclosed</t>
        </is>
      </c>
    </row>
    <row r="31">
      <c r="A31" s="6" t="inlineStr">
        <is>
          <t>Total Capital Ratio</t>
        </is>
      </c>
      <c r="B31" s="6" t="inlineStr">
        <is>
          <t>Not publicly disclosed</t>
        </is>
      </c>
      <c r="C31" s="6" t="inlineStr">
        <is>
          <t>Not publicly disclosed</t>
        </is>
      </c>
      <c r="D31" s="6" t="inlineStr">
        <is>
          <t>Not publicly disclosed</t>
        </is>
      </c>
      <c r="E31" s="6" t="inlineStr">
        <is>
          <t>Not publicly disclosed</t>
        </is>
      </c>
    </row>
    <row r="32">
      <c r="A32" s="6" t="inlineStr">
        <is>
          <t>Leverage Ratio</t>
        </is>
      </c>
      <c r="B32" s="6" t="inlineStr">
        <is>
          <t>Not publicly disclosed</t>
        </is>
      </c>
      <c r="C32" s="6" t="inlineStr">
        <is>
          <t>Not publicly disclosed</t>
        </is>
      </c>
      <c r="D32" s="6" t="inlineStr">
        <is>
          <t>Not publicly disclosed</t>
        </is>
      </c>
      <c r="E32" s="6" t="inlineStr">
        <is>
          <t>Not publicly disclosed</t>
        </is>
      </c>
    </row>
    <row r="33">
      <c r="A33" s="6" t="inlineStr">
        <is>
          <t>LCR</t>
        </is>
      </c>
      <c r="B33" s="6" t="inlineStr">
        <is>
          <t>Not publicly disclosed</t>
        </is>
      </c>
      <c r="C33" s="6" t="inlineStr">
        <is>
          <t>Not publicly disclosed</t>
        </is>
      </c>
      <c r="D33" s="6" t="inlineStr">
        <is>
          <t>Not publicly disclosed</t>
        </is>
      </c>
      <c r="E33" s="6" t="inlineStr">
        <is>
          <t>Not publicly disclosed</t>
        </is>
      </c>
    </row>
    <row r="34">
      <c r="A34" s="6" t="inlineStr">
        <is>
          <t>NSFR</t>
        </is>
      </c>
      <c r="B34" s="6" t="inlineStr">
        <is>
          <t>Not publicly disclosed</t>
        </is>
      </c>
      <c r="C34" s="6" t="inlineStr">
        <is>
          <t>Not publicly disclosed</t>
        </is>
      </c>
      <c r="D34" s="6" t="inlineStr">
        <is>
          <t>Not publicly disclosed</t>
        </is>
      </c>
      <c r="E34" s="6" t="inlineStr">
        <is>
          <t>Not publicly disclosed</t>
        </is>
      </c>
    </row>
    <row r="36" ht="52" customHeight="1">
      <c r="A36" s="7" t="inlineStr">
        <is>
          <t>Note: Figures are duplicated from the detail sheets for at-a-glance trend viewing; see each sheet's own source citation for the underlying document/page. No standalone Pillar 3 disclosure is published by this bank - the CET1 ratio (FY2025/FY2024 only) is the only Pillar 3-style metric found anywhere in the public domain for any year, so the ratios chart below is necessarily sparse. See the REGULATORY NOTE on the Cash Flow Statement sheet re: a March 2026 PRA Final Notice covering inaccurate capital reporting in part of this window.</t>
        </is>
      </c>
    </row>
  </sheetData>
  <mergeCells count="1">
    <mergeCell ref="A36:E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The Bank of London Group Limited — Balance Sheet</t>
        </is>
      </c>
    </row>
    <row r="2">
      <c r="A2" s="2" t="inlineStr">
        <is>
          <t>Statement of Financial Position, £'000. FY2022-FY2025 (4 years - no clean earlier history). See source note at bottom.</t>
        </is>
      </c>
    </row>
    <row r="3">
      <c r="A3" s="4" t="inlineStr">
        <is>
          <t>Line item</t>
        </is>
      </c>
      <c r="B3" s="4" t="inlineStr">
        <is>
          <t>FY2025 (£'000)</t>
        </is>
      </c>
      <c r="C3" s="4" t="inlineStr">
        <is>
          <t>FY2024 (£'000)</t>
        </is>
      </c>
      <c r="D3" s="4" t="inlineStr">
        <is>
          <t>FY2023 (£'000)</t>
        </is>
      </c>
      <c r="E3" s="4" t="inlineStr">
        <is>
          <t>FY2022 (£'000)</t>
        </is>
      </c>
    </row>
    <row r="4">
      <c r="A4" s="5" t="inlineStr">
        <is>
          <t>Assets</t>
        </is>
      </c>
      <c r="B4" s="6" t="n"/>
      <c r="C4" s="6" t="n"/>
      <c r="D4" s="6" t="n"/>
      <c r="E4" s="6" t="n"/>
    </row>
    <row r="5">
      <c r="A5" s="6" t="inlineStr">
        <is>
          <t>Cash and cash equivalents</t>
        </is>
      </c>
      <c r="B5" s="6" t="n">
        <v>326874</v>
      </c>
      <c r="C5" s="6" t="n">
        <v>829694</v>
      </c>
      <c r="D5" s="6" t="n">
        <v>223159</v>
      </c>
      <c r="E5" s="6" t="n">
        <v>16412</v>
      </c>
    </row>
    <row r="6">
      <c r="A6" s="6" t="inlineStr">
        <is>
          <t>Receivables and other assets</t>
        </is>
      </c>
      <c r="B6" s="6" t="n">
        <v>19074</v>
      </c>
      <c r="C6" s="6" t="n">
        <v>18198</v>
      </c>
      <c r="D6" s="6" t="n">
        <v>18420</v>
      </c>
      <c r="E6" s="6" t="n">
        <v>3539</v>
      </c>
    </row>
    <row r="7">
      <c r="A7" s="6" t="inlineStr">
        <is>
          <t>Property, plant and equipment</t>
        </is>
      </c>
      <c r="B7" s="6" t="n">
        <v>16</v>
      </c>
      <c r="C7" s="6" t="n">
        <v>52</v>
      </c>
      <c r="D7" s="6" t="n">
        <v>87</v>
      </c>
      <c r="E7" s="6" t="n">
        <v>93</v>
      </c>
    </row>
    <row r="8">
      <c r="A8" s="6" t="inlineStr">
        <is>
          <t>Right-of-use assets</t>
        </is>
      </c>
      <c r="B8" s="6" t="n">
        <v>40</v>
      </c>
      <c r="C8" s="6" t="n"/>
      <c r="D8" s="6" t="n"/>
      <c r="E8" s="6" t="n"/>
    </row>
    <row r="9">
      <c r="A9" s="5" t="inlineStr">
        <is>
          <t>Total assets</t>
        </is>
      </c>
      <c r="B9" s="5" t="n">
        <v>346004</v>
      </c>
      <c r="C9" s="5" t="n">
        <v>847944</v>
      </c>
      <c r="D9" s="5" t="n">
        <v>241666</v>
      </c>
      <c r="E9" s="5" t="n">
        <v>20044</v>
      </c>
    </row>
    <row r="10">
      <c r="A10" s="5" t="inlineStr">
        <is>
          <t>Liabilities</t>
        </is>
      </c>
      <c r="B10" s="6" t="n"/>
      <c r="C10" s="6" t="n"/>
      <c r="D10" s="6" t="n"/>
      <c r="E10" s="6" t="n"/>
    </row>
    <row r="11">
      <c r="A11" s="6" t="inlineStr">
        <is>
          <t>Customer deposits</t>
        </is>
      </c>
      <c r="B11" s="6" t="n">
        <v>301129</v>
      </c>
      <c r="C11" s="6" t="n">
        <v>807019</v>
      </c>
      <c r="D11" s="6" t="n">
        <v>212531</v>
      </c>
      <c r="E11" s="6" t="n">
        <v>1</v>
      </c>
    </row>
    <row r="12">
      <c r="A12" s="6" t="inlineStr">
        <is>
          <t>Other payables</t>
        </is>
      </c>
      <c r="B12" s="6" t="n">
        <v>21182</v>
      </c>
      <c r="C12" s="6" t="n">
        <v>18488</v>
      </c>
      <c r="D12" s="6" t="n">
        <v>2449</v>
      </c>
      <c r="E12" s="6" t="n">
        <v>1934</v>
      </c>
    </row>
    <row r="13">
      <c r="A13" s="6" t="inlineStr">
        <is>
          <t>Provisions</t>
        </is>
      </c>
      <c r="B13" s="6" t="n">
        <v>382</v>
      </c>
      <c r="C13" s="6" t="n">
        <v>294</v>
      </c>
      <c r="D13" s="6" t="n"/>
      <c r="E13" s="6" t="n"/>
    </row>
    <row r="14">
      <c r="A14" s="6" t="inlineStr">
        <is>
          <t>Lease liability</t>
        </is>
      </c>
      <c r="B14" s="6" t="n">
        <v>94</v>
      </c>
      <c r="C14" s="6" t="n"/>
      <c r="D14" s="6" t="n"/>
      <c r="E14" s="6" t="n"/>
    </row>
    <row r="15">
      <c r="A15" s="5" t="inlineStr">
        <is>
          <t>Total liabilities</t>
        </is>
      </c>
      <c r="B15" s="5" t="n">
        <v>322787</v>
      </c>
      <c r="C15" s="5" t="n">
        <v>825801</v>
      </c>
      <c r="D15" s="5" t="n">
        <v>214980</v>
      </c>
      <c r="E15" s="5" t="n">
        <v>1935</v>
      </c>
    </row>
    <row r="16">
      <c r="A16" s="5" t="inlineStr">
        <is>
          <t>Equity</t>
        </is>
      </c>
      <c r="B16" s="6" t="n"/>
      <c r="C16" s="6" t="n"/>
      <c r="D16" s="6" t="n"/>
      <c r="E16" s="6" t="n"/>
    </row>
    <row r="17">
      <c r="A17" s="6" t="inlineStr">
        <is>
          <t>Share capital</t>
        </is>
      </c>
      <c r="B17" s="6" t="n">
        <v>468</v>
      </c>
      <c r="C17" s="6" t="n">
        <v>345</v>
      </c>
      <c r="D17" s="6" t="n">
        <v>250</v>
      </c>
      <c r="E17" s="6" t="n">
        <v>148</v>
      </c>
    </row>
    <row r="18">
      <c r="A18" s="6" t="inlineStr">
        <is>
          <t>Share premium</t>
        </is>
      </c>
      <c r="B18" s="6" t="n">
        <v>95072</v>
      </c>
      <c r="C18" s="6" t="n">
        <v>70695</v>
      </c>
      <c r="D18" s="6" t="n">
        <v>51790</v>
      </c>
      <c r="E18" s="6" t="n">
        <v>31392</v>
      </c>
    </row>
    <row r="19">
      <c r="A19" s="6" t="inlineStr">
        <is>
          <t>Share-based payment reserve</t>
        </is>
      </c>
      <c r="B19" s="6" t="n">
        <v>981</v>
      </c>
      <c r="C19" s="6" t="n">
        <v>1632</v>
      </c>
      <c r="D19" s="6" t="n">
        <v>1205</v>
      </c>
      <c r="E19" s="6" t="n">
        <v>714</v>
      </c>
    </row>
    <row r="20">
      <c r="A20" s="6" t="inlineStr">
        <is>
          <t>Retained earnings</t>
        </is>
      </c>
      <c r="B20" s="6" t="n">
        <v>-73304</v>
      </c>
      <c r="C20" s="6" t="n">
        <v>-50529</v>
      </c>
      <c r="D20" s="6" t="n">
        <v>-26559</v>
      </c>
      <c r="E20" s="6" t="n">
        <v>-14145</v>
      </c>
    </row>
    <row r="21">
      <c r="A21" s="5" t="inlineStr">
        <is>
          <t>Total equity</t>
        </is>
      </c>
      <c r="B21" s="5" t="n">
        <v>23217</v>
      </c>
      <c r="C21" s="5" t="n">
        <v>22143</v>
      </c>
      <c r="D21" s="5" t="n">
        <v>26686</v>
      </c>
      <c r="E21" s="5" t="n">
        <v>18109</v>
      </c>
    </row>
    <row r="22">
      <c r="A22" s="5" t="inlineStr">
        <is>
          <t>Total liabilities and equity</t>
        </is>
      </c>
      <c r="B22" s="5" t="n">
        <v>346004</v>
      </c>
      <c r="C22" s="5" t="n">
        <v>847944</v>
      </c>
      <c r="D22" s="5" t="n">
        <v>241666</v>
      </c>
      <c r="E22" s="5" t="n">
        <v>20044</v>
      </c>
    </row>
    <row r="24" ht="286" customHeight="1">
      <c r="A24" s="8" t="inlineStr">
        <is>
          <t>Sources - all figures are The Bank of London Group Limited, £'000. See entity note below re: 4-year window.
FY2025/FY2024: Annual Report and Financial Statements, year ended 31 December 2025, p.26 (Statement of Financial Position) - https://find-and-update.company-information.service.gov.uk/company/12844788/filing-history/MzUzODUxMzE5M2FkaXF6a2N4/document?format=pdf&amp;download=0
FY2023: Annual Report and Financial Statements, year ended 31 December 2023, p.28 (Statement of Financial Position) - https://find-and-update.company-information.service.gov.uk/company/12844788/filing-history/MzQ2NTkxNTY0NWFkaXF6a2N4/document?format=pdf&amp;download=0
FY2022: Annual Report and Financial Statements, year ended 31 December 2023, p.28 (2022 Restated comparative column) - https://find-and-update.company-information.service.gov.uk/company/12844788/filing-history/MzQ2NTkxNTY0NWFkaXF6a2N4/document?format=pdf&amp;download=0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t>
        </is>
      </c>
    </row>
    <row r="26" ht="247" customHeight="1">
      <c r="A26"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
PRESENTATION NOTE: FY2023's own annual report restated its 1 January 2022 and 31 December 2022 balances - see note 18, 'Prior year adjustments' - reclassifying most of the originally-stated Total equity into a structure closer to what's shown here; the FY2022 column uses that restated figure (the only version FY2023's own report carries forward), consistent with the equity ladder on the Statement of Changes in Equity sheet. Right-of-use-assets and Lease Liability only appear from FY2025 (the Bank took on its first lease that year). Provisions only appear from FY2024. Total assets = Total liabilities + Total equity exactly in every year.</t>
        </is>
      </c>
    </row>
  </sheetData>
  <mergeCells count="2">
    <mergeCell ref="A26:E26"/>
    <mergeCell ref="A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The Bank of London Group Limited — Profit &amp; Loss</t>
        </is>
      </c>
    </row>
    <row r="2">
      <c r="A2" s="2" t="inlineStr">
        <is>
          <t>Statement of Profit or Loss and other comprehensive income, £'000. FY2022-FY2025 (4 years). See source note at bottom.</t>
        </is>
      </c>
    </row>
    <row r="3">
      <c r="A3" s="4" t="inlineStr">
        <is>
          <t>Line item</t>
        </is>
      </c>
      <c r="B3" s="4" t="inlineStr">
        <is>
          <t>FY2025 (£'000)</t>
        </is>
      </c>
      <c r="C3" s="4" t="inlineStr">
        <is>
          <t>FY2024 (£'000)</t>
        </is>
      </c>
      <c r="D3" s="4" t="inlineStr">
        <is>
          <t>FY2023 (£'000)</t>
        </is>
      </c>
      <c r="E3" s="4" t="inlineStr">
        <is>
          <t>FY2022 (£'000)</t>
        </is>
      </c>
    </row>
    <row r="4">
      <c r="A4" s="5" t="inlineStr">
        <is>
          <t>Income</t>
        </is>
      </c>
      <c r="B4" s="6" t="n"/>
      <c r="C4" s="6" t="n"/>
      <c r="D4" s="6" t="n"/>
      <c r="E4" s="6" t="n"/>
    </row>
    <row r="5">
      <c r="A5" s="6" t="inlineStr">
        <is>
          <t>Interest income</t>
        </is>
      </c>
      <c r="B5" s="6" t="n">
        <v>24290</v>
      </c>
      <c r="C5" s="6" t="n">
        <v>24027</v>
      </c>
      <c r="D5" s="6" t="n">
        <v>3502</v>
      </c>
      <c r="E5" s="6" t="n">
        <v>227</v>
      </c>
    </row>
    <row r="6">
      <c r="A6" s="6" t="inlineStr">
        <is>
          <t>Interest expense</t>
        </is>
      </c>
      <c r="B6" s="6" t="n">
        <v>-20149</v>
      </c>
      <c r="C6" s="6" t="n">
        <v>-21279</v>
      </c>
      <c r="D6" s="6" t="n">
        <v>-2308</v>
      </c>
      <c r="E6" s="6" t="n">
        <v>-1</v>
      </c>
    </row>
    <row r="7">
      <c r="A7" s="5" t="inlineStr">
        <is>
          <t>Net interest income</t>
        </is>
      </c>
      <c r="B7" s="5" t="n">
        <v>4141</v>
      </c>
      <c r="C7" s="5" t="n">
        <v>2748</v>
      </c>
      <c r="D7" s="5" t="n">
        <v>1194</v>
      </c>
      <c r="E7" s="5" t="n">
        <v>226</v>
      </c>
    </row>
    <row r="8">
      <c r="A8" s="6" t="inlineStr">
        <is>
          <t>Fee and commission income</t>
        </is>
      </c>
      <c r="B8" s="6" t="n">
        <v>3088</v>
      </c>
      <c r="C8" s="6" t="n">
        <v>1510</v>
      </c>
      <c r="D8" s="6" t="n">
        <v>216</v>
      </c>
      <c r="E8" s="6" t="n">
        <v>0</v>
      </c>
    </row>
    <row r="9">
      <c r="A9" s="6" t="inlineStr">
        <is>
          <t>Fee and commission expense</t>
        </is>
      </c>
      <c r="B9" s="6" t="n">
        <v>-466</v>
      </c>
      <c r="C9" s="6" t="n">
        <v>-431</v>
      </c>
      <c r="D9" s="6" t="n">
        <v>-198</v>
      </c>
      <c r="E9" s="6" t="n">
        <v>-376</v>
      </c>
    </row>
    <row r="10">
      <c r="A10" s="5" t="inlineStr">
        <is>
          <t>Net fee and commission income/(expense)</t>
        </is>
      </c>
      <c r="B10" s="5" t="n">
        <v>2622</v>
      </c>
      <c r="C10" s="5" t="n">
        <v>1079</v>
      </c>
      <c r="D10" s="5" t="n">
        <v>18</v>
      </c>
      <c r="E10" s="5" t="n">
        <v>-376</v>
      </c>
    </row>
    <row r="11">
      <c r="A11" s="6" t="inlineStr">
        <is>
          <t>Credit loss expense on financial assets</t>
        </is>
      </c>
      <c r="B11" s="6" t="n">
        <v>-42</v>
      </c>
      <c r="C11" s="6" t="n">
        <v>-136</v>
      </c>
      <c r="D11" s="6" t="n">
        <v>-395</v>
      </c>
      <c r="E11" s="6" t="n">
        <v>-93</v>
      </c>
    </row>
    <row r="12">
      <c r="A12" s="6" t="inlineStr">
        <is>
          <t>Other operating expense</t>
        </is>
      </c>
      <c r="B12" s="6" t="n">
        <v>-7</v>
      </c>
      <c r="C12" s="6" t="n">
        <v>-2</v>
      </c>
      <c r="D12" s="6" t="n">
        <v>-1</v>
      </c>
      <c r="E12" s="6" t="n">
        <v>-5</v>
      </c>
    </row>
    <row r="13">
      <c r="A13" s="5" t="inlineStr">
        <is>
          <t>Net operating income/(expense)</t>
        </is>
      </c>
      <c r="B13" s="5" t="n">
        <v>6714</v>
      </c>
      <c r="C13" s="5" t="n">
        <v>3689</v>
      </c>
      <c r="D13" s="5" t="n">
        <v>816</v>
      </c>
      <c r="E13" s="5" t="n">
        <v>-248</v>
      </c>
    </row>
    <row r="14">
      <c r="A14" s="6" t="inlineStr">
        <is>
          <t>Administrative expenses</t>
        </is>
      </c>
      <c r="B14" s="6" t="n">
        <v>-30217</v>
      </c>
      <c r="C14" s="6" t="n">
        <v>-27659</v>
      </c>
      <c r="D14" s="6" t="n">
        <v>-13230</v>
      </c>
      <c r="E14" s="6" t="n">
        <v>-12575</v>
      </c>
    </row>
    <row r="15">
      <c r="A15" s="5" t="inlineStr">
        <is>
          <t>Loss before taxation</t>
        </is>
      </c>
      <c r="B15" s="5" t="n">
        <v>-23503</v>
      </c>
      <c r="C15" s="5" t="n">
        <v>-23970</v>
      </c>
      <c r="D15" s="5" t="n">
        <v>-12414</v>
      </c>
      <c r="E15" s="5" t="n">
        <v>-12823</v>
      </c>
    </row>
    <row r="16">
      <c r="A16" s="6" t="inlineStr">
        <is>
          <t>Taxation</t>
        </is>
      </c>
      <c r="B16" s="6" t="n">
        <v>0</v>
      </c>
      <c r="C16" s="6" t="n">
        <v>0</v>
      </c>
      <c r="D16" s="6" t="n">
        <v>0</v>
      </c>
      <c r="E16" s="6" t="n">
        <v>0</v>
      </c>
    </row>
    <row r="17">
      <c r="A17" s="5" t="inlineStr">
        <is>
          <t>Loss for the year</t>
        </is>
      </c>
      <c r="B17" s="5" t="n">
        <v>-23503</v>
      </c>
      <c r="C17" s="5" t="n">
        <v>-23970</v>
      </c>
      <c r="D17" s="5" t="n">
        <v>-12414</v>
      </c>
      <c r="E17" s="5" t="n">
        <v>-12823</v>
      </c>
    </row>
    <row r="18">
      <c r="A18" s="5" t="inlineStr">
        <is>
          <t>Total comprehensive loss for the year</t>
        </is>
      </c>
      <c r="B18" s="5" t="n">
        <v>-23503</v>
      </c>
      <c r="C18" s="5" t="n">
        <v>-23970</v>
      </c>
      <c r="D18" s="5" t="n">
        <v>-12414</v>
      </c>
      <c r="E18" s="5" t="n">
        <v>-12823</v>
      </c>
    </row>
    <row r="20" ht="286" customHeight="1">
      <c r="A20" s="8" t="inlineStr">
        <is>
          <t>Sources - all figures are The Bank of London Group Limited, £'000. See entity note below re: 4-year window.
FY2025/FY2024: Annual Report and Financial Statements, year ended 31 December 2025, p.25 (Statement of Profit or Loss and other comprehensive income) - https://find-and-update.company-information.service.gov.uk/company/12844788/filing-history/MzUzODUxMzE5M2FkaXF6a2N4/document?format=pdf&amp;download=0
FY2023: Annual Report and Financial Statements, year ended 31 December 2023, p.27 (Statement of Profit or Loss and other comprehensive income) - https://find-and-update.company-information.service.gov.uk/company/12844788/filing-history/MzQ2NTkxNTY0NWFkaXF6a2N4/document?format=pdf&amp;download=0
FY2022: Annual Report and Financial Statements, year ended 31 December 2023, p.27 (2022 Restated comparative column) - https://find-and-update.company-information.service.gov.uk/company/12844788/filing-history/MzQ2NTkxNTY0NWFkaXF6a2N4/document?format=pdf&amp;download=0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t>
        </is>
      </c>
    </row>
    <row r="22" ht="234" customHeight="1">
      <c r="A22"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
PRESENTATION NOTE: FY2025/FY2024's own report labels the top line 'Interest revenue'; FY2023/FY2022's own report labels the same line 'Interest income' - same line, relabelled, not a data difference. Taxation is nil in every year shown (the Bank has never recognised a deferred tax asset against its accumulated losses - see the CET1 Ratio sheet's regulatory note). Total comprehensive loss for the year = Loss for the year exactly in every year (no OCI items disclosed in any year).</t>
        </is>
      </c>
    </row>
  </sheetData>
  <mergeCells count="2">
    <mergeCell ref="A22:E22"/>
    <mergeCell ref="A20:E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The Bank of London Group Limited — Statement of Changes in Equity</t>
        </is>
      </c>
    </row>
    <row r="2">
      <c r="A2" s="2" t="inlineStr">
        <is>
          <t>£'000, chronological (oldest to newest). See source note at bottom.</t>
        </is>
      </c>
    </row>
    <row r="3">
      <c r="A3" s="4" t="inlineStr">
        <is>
          <t>Movement</t>
        </is>
      </c>
      <c r="B3" s="4" t="inlineStr">
        <is>
          <t>Share capital</t>
        </is>
      </c>
      <c r="C3" s="4" t="inlineStr">
        <is>
          <t>Share premium</t>
        </is>
      </c>
      <c r="D3" s="4" t="inlineStr">
        <is>
          <t>Total share capital</t>
        </is>
      </c>
      <c r="E3" s="4" t="inlineStr">
        <is>
          <t>Share-based payment reserve</t>
        </is>
      </c>
      <c r="F3" s="4" t="inlineStr">
        <is>
          <t>Retained earnings</t>
        </is>
      </c>
      <c r="G3" s="4" t="inlineStr">
        <is>
          <t>Total equity</t>
        </is>
      </c>
    </row>
    <row r="4">
      <c r="A4" s="6" t="inlineStr">
        <is>
          <t>Balance as at 1 January 2022 (as originally stated)</t>
        </is>
      </c>
      <c r="B4" s="6" t="n">
        <v>103</v>
      </c>
      <c r="C4" s="6" t="n">
        <v>22437</v>
      </c>
      <c r="D4" s="6" t="n">
        <v>22540</v>
      </c>
      <c r="E4" s="6" t="n"/>
      <c r="F4" s="6" t="n">
        <v>-1322</v>
      </c>
      <c r="G4" s="6" t="n">
        <v>21218</v>
      </c>
    </row>
    <row r="5">
      <c r="A5" s="6" t="inlineStr">
        <is>
          <t>Prior year adjustment (net of tax)</t>
        </is>
      </c>
      <c r="B5" s="6" t="n">
        <v>-103</v>
      </c>
      <c r="C5" s="6" t="n">
        <v>-22437</v>
      </c>
      <c r="D5" s="6" t="n">
        <v>-22540</v>
      </c>
      <c r="E5" s="6" t="n"/>
      <c r="F5" s="6" t="n">
        <v>0</v>
      </c>
      <c r="G5" s="6" t="n">
        <v>-22540</v>
      </c>
    </row>
    <row r="6">
      <c r="A6" s="5" t="inlineStr">
        <is>
          <t>Balance as at 1 January 2022 (restated)</t>
        </is>
      </c>
      <c r="B6" s="5" t="n">
        <v>0</v>
      </c>
      <c r="C6" s="5" t="n">
        <v>0</v>
      </c>
      <c r="D6" s="5" t="n">
        <v>0</v>
      </c>
      <c r="E6" s="5" t="n"/>
      <c r="F6" s="5" t="n">
        <v>-1322</v>
      </c>
      <c r="G6" s="5" t="n">
        <v>-1322</v>
      </c>
    </row>
    <row r="7">
      <c r="A7" s="6" t="inlineStr">
        <is>
          <t>Loss for the year (FY2022)</t>
        </is>
      </c>
      <c r="B7" s="6" t="n"/>
      <c r="C7" s="6" t="n"/>
      <c r="D7" s="6" t="n"/>
      <c r="E7" s="6" t="n"/>
      <c r="F7" s="6" t="n">
        <v>-12823</v>
      </c>
      <c r="G7" s="6" t="n">
        <v>-12823</v>
      </c>
    </row>
    <row r="8">
      <c r="A8" s="6" t="inlineStr">
        <is>
          <t>Issue of shares (FY2022)</t>
        </is>
      </c>
      <c r="B8" s="6" t="n">
        <v>148</v>
      </c>
      <c r="C8" s="6" t="n">
        <v>31392</v>
      </c>
      <c r="D8" s="6" t="n">
        <v>31540</v>
      </c>
      <c r="E8" s="6" t="n"/>
      <c r="F8" s="6" t="n"/>
      <c r="G8" s="6" t="n">
        <v>31540</v>
      </c>
    </row>
    <row r="9">
      <c r="A9" s="6" t="inlineStr">
        <is>
          <t>Share-based payment reserve (FY2022)</t>
        </is>
      </c>
      <c r="B9" s="6" t="n"/>
      <c r="C9" s="6" t="n"/>
      <c r="D9" s="6" t="n"/>
      <c r="E9" s="6" t="n">
        <v>714</v>
      </c>
      <c r="F9" s="6" t="n"/>
      <c r="G9" s="6" t="n">
        <v>714</v>
      </c>
    </row>
    <row r="10">
      <c r="A10" s="5" t="inlineStr">
        <is>
          <t>Balance as at 31 December 2022 (restated)</t>
        </is>
      </c>
      <c r="B10" s="5" t="n">
        <v>148</v>
      </c>
      <c r="C10" s="5" t="n">
        <v>31392</v>
      </c>
      <c r="D10" s="5" t="n">
        <v>31540</v>
      </c>
      <c r="E10" s="5" t="n">
        <v>714</v>
      </c>
      <c r="F10" s="5" t="n">
        <v>-14145</v>
      </c>
      <c r="G10" s="5" t="n">
        <v>18109</v>
      </c>
    </row>
    <row r="11">
      <c r="A11" s="6" t="inlineStr">
        <is>
          <t>Loss for the year (FY2023)</t>
        </is>
      </c>
      <c r="B11" s="6" t="n"/>
      <c r="C11" s="6" t="n"/>
      <c r="D11" s="6" t="n"/>
      <c r="E11" s="6" t="n"/>
      <c r="F11" s="6" t="n">
        <v>-12414</v>
      </c>
      <c r="G11" s="6" t="n">
        <v>-12414</v>
      </c>
    </row>
    <row r="12">
      <c r="A12" s="6" t="inlineStr">
        <is>
          <t>Issue of shares (FY2023)</t>
        </is>
      </c>
      <c r="B12" s="6" t="n">
        <v>102</v>
      </c>
      <c r="C12" s="6" t="n">
        <v>20398</v>
      </c>
      <c r="D12" s="6" t="n">
        <v>20500</v>
      </c>
      <c r="E12" s="6" t="n"/>
      <c r="F12" s="6" t="n"/>
      <c r="G12" s="6" t="n">
        <v>20500</v>
      </c>
    </row>
    <row r="13">
      <c r="A13" s="6" t="inlineStr">
        <is>
          <t>Share-based payment reserve (FY2023)</t>
        </is>
      </c>
      <c r="B13" s="6" t="n"/>
      <c r="C13" s="6" t="n"/>
      <c r="D13" s="6" t="n"/>
      <c r="E13" s="6" t="n">
        <v>491</v>
      </c>
      <c r="F13" s="6" t="n"/>
      <c r="G13" s="6" t="n">
        <v>491</v>
      </c>
    </row>
    <row r="14">
      <c r="A14" s="5" t="inlineStr">
        <is>
          <t>Balance as at 31 December 2023</t>
        </is>
      </c>
      <c r="B14" s="5" t="n">
        <v>250</v>
      </c>
      <c r="C14" s="5" t="n">
        <v>51790</v>
      </c>
      <c r="D14" s="5" t="n">
        <v>52040</v>
      </c>
      <c r="E14" s="5" t="n">
        <v>1205</v>
      </c>
      <c r="F14" s="5" t="n">
        <v>-26559</v>
      </c>
      <c r="G14" s="5" t="n">
        <v>26686</v>
      </c>
    </row>
    <row r="15">
      <c r="A15" s="6" t="inlineStr">
        <is>
          <t>Loss for the year (FY2024)</t>
        </is>
      </c>
      <c r="B15" s="6" t="n"/>
      <c r="C15" s="6" t="n"/>
      <c r="D15" s="6" t="n"/>
      <c r="E15" s="6" t="n"/>
      <c r="F15" s="6" t="n">
        <v>-23970</v>
      </c>
      <c r="G15" s="6" t="n">
        <v>-23970</v>
      </c>
    </row>
    <row r="16">
      <c r="A16" s="6" t="inlineStr">
        <is>
          <t>Issue of shares (FY2024)</t>
        </is>
      </c>
      <c r="B16" s="6" t="n">
        <v>95</v>
      </c>
      <c r="C16" s="6" t="n">
        <v>18905</v>
      </c>
      <c r="D16" s="6" t="n">
        <v>19000</v>
      </c>
      <c r="E16" s="6" t="n"/>
      <c r="F16" s="6" t="n"/>
      <c r="G16" s="6" t="n">
        <v>19000</v>
      </c>
    </row>
    <row r="17">
      <c r="A17" s="6" t="inlineStr">
        <is>
          <t>Share-based payment reserve (FY2024)</t>
        </is>
      </c>
      <c r="B17" s="6" t="n"/>
      <c r="C17" s="6" t="n"/>
      <c r="D17" s="6" t="n"/>
      <c r="E17" s="6" t="n">
        <v>427</v>
      </c>
      <c r="F17" s="6" t="n"/>
      <c r="G17" s="6" t="n">
        <v>427</v>
      </c>
    </row>
    <row r="18">
      <c r="A18" s="5" t="inlineStr">
        <is>
          <t>Balance as at 31 December 2024</t>
        </is>
      </c>
      <c r="B18" s="5" t="n">
        <v>345</v>
      </c>
      <c r="C18" s="5" t="n">
        <v>70695</v>
      </c>
      <c r="D18" s="5" t="n">
        <v>71040</v>
      </c>
      <c r="E18" s="5" t="n">
        <v>1632</v>
      </c>
      <c r="F18" s="5" t="n">
        <v>-50529</v>
      </c>
      <c r="G18" s="5" t="n">
        <v>22143</v>
      </c>
    </row>
    <row r="19">
      <c r="A19" s="6" t="inlineStr">
        <is>
          <t>Loss for the year (FY2025)</t>
        </is>
      </c>
      <c r="B19" s="6" t="n"/>
      <c r="C19" s="6" t="n"/>
      <c r="D19" s="6" t="n"/>
      <c r="E19" s="6" t="n"/>
      <c r="F19" s="6" t="n">
        <v>-23503</v>
      </c>
      <c r="G19" s="6" t="n">
        <v>-23503</v>
      </c>
    </row>
    <row r="20">
      <c r="A20" s="6" t="inlineStr">
        <is>
          <t>Issue of shares (FY2025)</t>
        </is>
      </c>
      <c r="B20" s="6" t="n">
        <v>123</v>
      </c>
      <c r="C20" s="6" t="n">
        <v>24377</v>
      </c>
      <c r="D20" s="6" t="n">
        <v>24500</v>
      </c>
      <c r="E20" s="6" t="n"/>
      <c r="F20" s="6" t="n"/>
      <c r="G20" s="6" t="n">
        <v>24500</v>
      </c>
    </row>
    <row r="21">
      <c r="A21" s="6" t="inlineStr">
        <is>
          <t>Share-based payment reserve (FY2025)</t>
        </is>
      </c>
      <c r="B21" s="6" t="n"/>
      <c r="C21" s="6" t="n"/>
      <c r="D21" s="6" t="n"/>
      <c r="E21" s="6" t="n">
        <v>77</v>
      </c>
      <c r="F21" s="6" t="n"/>
      <c r="G21" s="6" t="n">
        <v>77</v>
      </c>
    </row>
    <row r="22">
      <c r="A22" s="6" t="inlineStr">
        <is>
          <t>Recycling share-based payment reserve (FY2025)</t>
        </is>
      </c>
      <c r="B22" s="6" t="n"/>
      <c r="C22" s="6" t="n"/>
      <c r="D22" s="6" t="n"/>
      <c r="E22" s="6" t="n">
        <v>-728</v>
      </c>
      <c r="F22" s="6" t="n">
        <v>728</v>
      </c>
      <c r="G22" s="6" t="n">
        <v>0</v>
      </c>
    </row>
    <row r="23">
      <c r="A23" s="5" t="inlineStr">
        <is>
          <t>Balance as at 31 December 2025</t>
        </is>
      </c>
      <c r="B23" s="5" t="n">
        <v>468</v>
      </c>
      <c r="C23" s="5" t="n">
        <v>95072</v>
      </c>
      <c r="D23" s="5" t="n">
        <v>95540</v>
      </c>
      <c r="E23" s="5" t="n">
        <v>981</v>
      </c>
      <c r="F23" s="5" t="n">
        <v>-73304</v>
      </c>
      <c r="G23" s="5" t="n">
        <v>23217</v>
      </c>
    </row>
    <row r="25" ht="364" customHeight="1">
      <c r="A25" s="8" t="inlineStr">
        <is>
          <t>Sources - all figures are The Bank of London Group Limited, £'000.
FY2025/FY2024: Annual Report and Financial Statements, year ended 31 December 2025, p.27 (Statement of Changes in Equity) - https://find-and-update.company-information.service.gov.uk/company/12844788/filing-history/MzUzODUxMzE5M2FkaXF6a2N4/document?format=pdf&amp;download=0
FY2023/FY2022 (incl. the 1 January 2022 restatement): Annual Report and Financial Statements, year ended 31 December 2023, p.29 (Statement of Changes in Equity) - https://find-and-update.company-information.service.gov.uk/company/12844788/filing-history/MzQ2NTkxNTY0NWFkaXF6a2N4/document?format=pdf&amp;download=0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row r="27" ht="150" customHeight="1">
      <c r="A27" s="8" t="inlineStr">
        <is>
          <t>(continued)
PRESENTATION NOTE: FY2023's own report restated the 1 January 2022 opening balance (originally Share capital GBP103k, Share premium GBP22,437k, Total equity GBP21,218k) down to Retained earnings of GBP(1,322)k only - see note 18, 'Prior year adjustments', in that report; the underlying reason for the restatement isn't detailed further in the extracted pages. Every closing balance below ties exactly to that year's own Balance Sheet Total equity and to the next year's opening balance - zero undocumented plug rows.</t>
        </is>
      </c>
    </row>
  </sheetData>
  <mergeCells count="2">
    <mergeCell ref="A27:G27"/>
    <mergeCell ref="A25:G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s>
  <sheetData>
    <row r="1">
      <c r="A1" s="1" t="inlineStr">
        <is>
          <t>The Bank of London Group Limited — Cash Flow Statement</t>
        </is>
      </c>
    </row>
    <row r="2">
      <c r="A2" s="2" t="inlineStr">
        <is>
          <t>£'000. FY2022-FY2025 (4 years - no clean earlier history; company launched Nov 2021). See source note at bottom.</t>
        </is>
      </c>
    </row>
    <row r="3">
      <c r="A3" s="4" t="inlineStr">
        <is>
          <t>Line item</t>
        </is>
      </c>
      <c r="B3" s="4" t="inlineStr">
        <is>
          <t>FY2025 (£'000)</t>
        </is>
      </c>
      <c r="C3" s="4" t="inlineStr">
        <is>
          <t>FY2024 (£'000)</t>
        </is>
      </c>
      <c r="D3" s="4" t="inlineStr">
        <is>
          <t>FY2023 (£'000)</t>
        </is>
      </c>
      <c r="E3" s="4" t="inlineStr">
        <is>
          <t>FY2022 (£'000)</t>
        </is>
      </c>
    </row>
    <row r="4">
      <c r="A4" s="5" t="inlineStr">
        <is>
          <t>Cash flows from operating activities</t>
        </is>
      </c>
      <c r="B4" s="6" t="n"/>
      <c r="C4" s="6" t="n"/>
      <c r="D4" s="6" t="n"/>
      <c r="E4" s="6" t="n"/>
    </row>
    <row r="5">
      <c r="A5" s="6" t="inlineStr">
        <is>
          <t>Cash generated from/(used in) operations</t>
        </is>
      </c>
      <c r="B5" s="6" t="n"/>
      <c r="C5" s="6" t="n">
        <v>585593</v>
      </c>
      <c r="D5" s="6" t="n">
        <v>185085</v>
      </c>
      <c r="E5" s="6" t="n">
        <v>-15245</v>
      </c>
    </row>
    <row r="6">
      <c r="A6" s="6" t="inlineStr">
        <is>
          <t>Net cash (used in)/from operating activities (pre-interest)</t>
        </is>
      </c>
      <c r="B6" s="6" t="n">
        <v>-532314</v>
      </c>
      <c r="C6" s="6" t="n"/>
      <c r="D6" s="6" t="n"/>
      <c r="E6" s="6" t="n"/>
    </row>
    <row r="7">
      <c r="A7" s="6" t="inlineStr">
        <is>
          <t>Interest received from central bank</t>
        </is>
      </c>
      <c r="B7" s="6" t="n">
        <v>25200</v>
      </c>
      <c r="C7" s="6" t="n">
        <v>23209</v>
      </c>
      <c r="D7" s="6" t="n">
        <v>3502</v>
      </c>
      <c r="E7" s="6" t="n">
        <v>227</v>
      </c>
    </row>
    <row r="8">
      <c r="A8" s="6" t="inlineStr">
        <is>
          <t>Interest paid on customer deposits</t>
        </is>
      </c>
      <c r="B8" s="6" t="n">
        <v>-20149</v>
      </c>
      <c r="C8" s="6" t="n">
        <v>-21250</v>
      </c>
      <c r="D8" s="6" t="n">
        <v>-2308</v>
      </c>
      <c r="E8" s="6" t="n">
        <v>-1</v>
      </c>
    </row>
    <row r="9">
      <c r="A9" s="6" t="inlineStr">
        <is>
          <t>Cash payments to utilise provisions</t>
        </is>
      </c>
      <c r="B9" s="6" t="n">
        <v>-56</v>
      </c>
      <c r="C9" s="6" t="n"/>
      <c r="D9" s="6" t="n"/>
      <c r="E9" s="6" t="n"/>
    </row>
    <row r="10">
      <c r="A10" s="5" t="inlineStr">
        <is>
          <t>Net cash from/(used in) operating activities</t>
        </is>
      </c>
      <c r="B10" s="5" t="n">
        <v>-527319</v>
      </c>
      <c r="C10" s="5" t="n">
        <v>587552</v>
      </c>
      <c r="D10" s="5" t="n">
        <v>186279</v>
      </c>
      <c r="E10" s="5" t="n">
        <v>-15019</v>
      </c>
    </row>
    <row r="11">
      <c r="A11" s="5" t="inlineStr">
        <is>
          <t>Cash flows from investing activities</t>
        </is>
      </c>
      <c r="B11" s="6" t="n"/>
      <c r="C11" s="6" t="n"/>
      <c r="D11" s="6" t="n"/>
      <c r="E11" s="6" t="n"/>
    </row>
    <row r="12">
      <c r="A12" s="6" t="inlineStr">
        <is>
          <t>Purchase of property, plant and equipment</t>
        </is>
      </c>
      <c r="B12" s="6" t="n">
        <v>-1</v>
      </c>
      <c r="C12" s="6" t="n">
        <v>-17</v>
      </c>
      <c r="D12" s="6" t="n">
        <v>-32</v>
      </c>
      <c r="E12" s="6" t="n">
        <v>-109</v>
      </c>
    </row>
    <row r="13">
      <c r="A13" s="5" t="inlineStr">
        <is>
          <t>Net cash used in investing activities</t>
        </is>
      </c>
      <c r="B13" s="5" t="n">
        <v>-1</v>
      </c>
      <c r="C13" s="5" t="n">
        <v>-17</v>
      </c>
      <c r="D13" s="5" t="n">
        <v>-32</v>
      </c>
      <c r="E13" s="5" t="n">
        <v>-109</v>
      </c>
    </row>
    <row r="14">
      <c r="A14" s="5" t="inlineStr">
        <is>
          <t>Cash flows from financing activities</t>
        </is>
      </c>
      <c r="B14" s="6" t="n"/>
      <c r="C14" s="6" t="n"/>
      <c r="D14" s="6" t="n"/>
      <c r="E14" s="6" t="n"/>
    </row>
    <row r="15">
      <c r="A15" s="6" t="inlineStr">
        <is>
          <t>Proceeds on share issue</t>
        </is>
      </c>
      <c r="B15" s="6" t="n">
        <v>24500</v>
      </c>
      <c r="C15" s="6" t="n">
        <v>19000</v>
      </c>
      <c r="D15" s="6" t="n">
        <v>20500</v>
      </c>
      <c r="E15" s="6" t="n">
        <v>31540</v>
      </c>
    </row>
    <row r="16">
      <c r="A16" s="5" t="inlineStr">
        <is>
          <t>Net cash from financing activities</t>
        </is>
      </c>
      <c r="B16" s="5" t="n">
        <v>24500</v>
      </c>
      <c r="C16" s="5" t="n">
        <v>19000</v>
      </c>
      <c r="D16" s="5" t="n">
        <v>20500</v>
      </c>
      <c r="E16" s="5" t="n">
        <v>31540</v>
      </c>
    </row>
    <row r="17">
      <c r="A17" s="5" t="inlineStr">
        <is>
          <t>Total cash and cash equivalents movement for the year</t>
        </is>
      </c>
      <c r="B17" s="5" t="n">
        <v>-502820</v>
      </c>
      <c r="C17" s="5" t="n">
        <v>606535</v>
      </c>
      <c r="D17" s="5" t="n">
        <v>206747</v>
      </c>
      <c r="E17" s="5" t="n">
        <v>16412</v>
      </c>
    </row>
    <row r="18">
      <c r="A18" s="6" t="inlineStr">
        <is>
          <t>Cash and cash equivalents at the beginning of the year</t>
        </is>
      </c>
      <c r="B18" s="6" t="n">
        <v>829694</v>
      </c>
      <c r="C18" s="6" t="n">
        <v>223159</v>
      </c>
      <c r="D18" s="6" t="n">
        <v>16412</v>
      </c>
      <c r="E18" s="6" t="n">
        <v>0</v>
      </c>
    </row>
    <row r="19">
      <c r="A19" s="5" t="inlineStr">
        <is>
          <t>Total cash and cash equivalents at end of the year</t>
        </is>
      </c>
      <c r="B19" s="5" t="n">
        <v>326874</v>
      </c>
      <c r="C19" s="5" t="n">
        <v>829694</v>
      </c>
      <c r="D19" s="5" t="n">
        <v>223159</v>
      </c>
      <c r="E19" s="5" t="n">
        <v>16412</v>
      </c>
    </row>
    <row r="21" ht="312" customHeight="1">
      <c r="A21" s="8" t="inlineStr">
        <is>
          <t>Sources - all figures are The Bank of London Group Limited, £'000. See entity note above re: 4-year window and FY2022 sourcing.
FY2025: Annual Report and Financial Statements, year ended 31 December 2025, p.28 (Statement of Cash Flows) - https://find-and-update.company-information.service.gov.uk/company/12844788/filing-history/MzUzODUxMzE5M2FkaXF6a2N4/document?format=pdf&amp;download=0
FY2024: Annual Report and Financial Statements, year ended 31 December 2024, p.27 (Statement of Cash Flows) - https://find-and-update.company-information.service.gov.uk/company/12844788/filing-history/MzUwMDM4NjMxMWFkaXF6a2N4/document?format=pdf&amp;download=0
FY2023: Annual Report and Financial Statements, year ended 31 December 2023, p.30 (Statement of Cash Flows) - https://find-and-update.company-information.service.gov.uk/company/12844788/filing-history/MzQ2NTkxNTY0NWFkaXF6a2N4/document?format=pdf&amp;download=0
FY2022: Annual Report and Financial Statements, year ended 31 December 2023, p.30 (restated prior-year comparative column - FY2022's own annual report took the FRS 101 cash-flow-statement exemption) - https://find-and-update.company-information.service.gov.uk/company/12844788/filing-history/MzQ2NTkxNTY0NWFkaXF6a2N4/document?format=pdf&amp;download=0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t>
        </is>
      </c>
    </row>
    <row r="23" ht="210" customHeight="1">
      <c r="A23"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
PRESENTATION NOTE: The operating-activities line items were relabelled/restructured slightly each year as the business grew (e.g. FY2025 introduced a 'Cash payments to utilise provisions' line and renamed the pre-interest subtotal). Blank cells indicate that year's report did not disclose that specific split. Section totals and cash and cash equivalents reconcile exactly across all 4 years.</t>
        </is>
      </c>
    </row>
  </sheetData>
  <mergeCells count="2">
    <mergeCell ref="A21:E21"/>
    <mergeCell ref="A23:E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The Bank of London Group Limited — Asset Quality</t>
        </is>
      </c>
    </row>
    <row r="2">
      <c r="A2" s="2" t="inlineStr">
        <is>
          <t>Credit risk on Receivables and other assets (no customer loan book - see scope note), £'000. FY2022-FY2025.</t>
        </is>
      </c>
    </row>
    <row r="3">
      <c r="A3" s="4" t="inlineStr">
        <is>
          <t>Line item</t>
        </is>
      </c>
      <c r="B3" s="4" t="inlineStr">
        <is>
          <t>FY2025 (£'000)</t>
        </is>
      </c>
      <c r="C3" s="4" t="inlineStr">
        <is>
          <t>FY2024 (£'000)</t>
        </is>
      </c>
      <c r="D3" s="4" t="inlineStr">
        <is>
          <t>FY2023 (£'000)</t>
        </is>
      </c>
      <c r="E3" s="4" t="inlineStr">
        <is>
          <t>FY2022 (£'000)</t>
        </is>
      </c>
    </row>
    <row r="4">
      <c r="A4" s="5" t="inlineStr">
        <is>
          <t>Trade receivables</t>
        </is>
      </c>
      <c r="B4" s="6" t="n"/>
      <c r="C4" s="6" t="n"/>
      <c r="D4" s="6" t="n"/>
      <c r="E4" s="6" t="n"/>
    </row>
    <row r="5">
      <c r="A5" s="6" t="inlineStr">
        <is>
          <t>Trade receivables (gross)</t>
        </is>
      </c>
      <c r="B5" s="6" t="n">
        <v>182</v>
      </c>
      <c r="C5" s="6" t="n">
        <v>197</v>
      </c>
      <c r="D5" s="6" t="n">
        <v>49</v>
      </c>
      <c r="E5" s="6" t="n">
        <v>38</v>
      </c>
    </row>
    <row r="6">
      <c r="A6" s="6" t="inlineStr">
        <is>
          <t>ECL provision</t>
        </is>
      </c>
      <c r="B6" s="6" t="n">
        <v>-61</v>
      </c>
      <c r="C6" s="6" t="n">
        <v>-83</v>
      </c>
      <c r="D6" s="6" t="n">
        <v>-9</v>
      </c>
      <c r="E6" s="6" t="n">
        <v>0</v>
      </c>
    </row>
    <row r="7">
      <c r="A7" s="5" t="inlineStr">
        <is>
          <t>Trade receivables (net)</t>
        </is>
      </c>
      <c r="B7" s="5" t="n">
        <v>121</v>
      </c>
      <c r="C7" s="5" t="n">
        <v>114</v>
      </c>
      <c r="D7" s="5" t="n">
        <v>40</v>
      </c>
      <c r="E7" s="5" t="n">
        <v>38</v>
      </c>
    </row>
    <row r="8">
      <c r="A8" s="5" t="inlineStr">
        <is>
          <t>Amounts owed by group undertakings</t>
        </is>
      </c>
      <c r="B8" s="6" t="n"/>
      <c r="C8" s="6" t="n"/>
      <c r="D8" s="6" t="n"/>
      <c r="E8" s="6" t="n"/>
    </row>
    <row r="9">
      <c r="A9" s="6" t="inlineStr">
        <is>
          <t>Amounts owed by group undertakings (gross)</t>
        </is>
      </c>
      <c r="B9" s="6" t="n">
        <v>18694</v>
      </c>
      <c r="C9" s="6" t="n">
        <v>18263</v>
      </c>
      <c r="D9" s="6" t="n">
        <v>18618</v>
      </c>
      <c r="E9" s="6" t="n">
        <v>3497</v>
      </c>
    </row>
    <row r="10">
      <c r="A10" s="6" t="inlineStr">
        <is>
          <t>ECL provision</t>
        </is>
      </c>
      <c r="B10" s="6" t="n">
        <v>-449</v>
      </c>
      <c r="C10" s="6" t="n">
        <v>-457</v>
      </c>
      <c r="D10" s="6" t="n">
        <v>-479</v>
      </c>
      <c r="E10" s="6" t="n">
        <v>-93</v>
      </c>
    </row>
    <row r="11">
      <c r="A11" s="5" t="inlineStr">
        <is>
          <t>Amounts owed by group undertakings (net)</t>
        </is>
      </c>
      <c r="B11" s="5" t="n">
        <v>18245</v>
      </c>
      <c r="C11" s="5" t="n">
        <v>17806</v>
      </c>
      <c r="D11" s="5" t="n">
        <v>18139</v>
      </c>
      <c r="E11" s="5" t="n">
        <v>3404</v>
      </c>
    </row>
    <row r="12">
      <c r="A12" s="5" t="inlineStr">
        <is>
          <t>Total ECL provision (credit loss allowance)</t>
        </is>
      </c>
      <c r="B12" s="5" t="n">
        <v>-510</v>
      </c>
      <c r="C12" s="5" t="n">
        <v>-540</v>
      </c>
      <c r="D12" s="5" t="n">
        <v>-488</v>
      </c>
      <c r="E12" s="5" t="n">
        <v>-93</v>
      </c>
    </row>
    <row r="14" ht="280" customHeight="1">
      <c r="A14" s="8" t="inlineStr">
        <is>
          <t>Sources - all figures are The Bank of London Group Limited, £'000.
FY2025/FY2024: Annual Report and Financial Statements, year ended 31 December 2025, p.42 (note 9, 'Receivables and other assets') - https://find-and-update.company-information.service.gov.uk/company/12844788/filing-history/MzUzODUxMzE5M2FkaXF6a2N4/document?format=pdf&amp;download=0
FY2023/FY2022: Annual Report and Financial Statements, year ended 31 December 2023, p.43 (note 9, 'Receivables and other assets') - https://find-and-update.company-information.service.gov.uk/company/12844788/filing-history/MzQ2NTkxNTY0NWFkaXF6a2N4/document?format=pdf&amp;download=0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t>
        </is>
      </c>
    </row>
    <row r="16" ht="280" customHeight="1">
      <c r="A16"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
SCOPE NOTE - IMPORTANT: The Bank of London Group Limited is a payments/clearing-focused bank with essentially no customer lending book (see the REGULATORY NOTE and the Balance Sheet sheet - there is no 'Loans and advances to customers' line at all). The only IFRS 9 expected-credit-loss (ECL) disclosure the Bank publishes covers the ECL-bearing components of 'Receivables and other assets' (trade receivables and intercompany amounts owed by group undertakings) - this sheet is built from that note rather than a loan-book stage split, since no such split exists for this bank. These net figures don't sum to the full Balance Sheet 'Receivables and other assets' line, which also includes non-ECL items (accrued income, lease deposits, prepayments) - documented, not a tie error. Movement-in-provisions figures independently cross-checked: FY2025's report states the FY2023 closing provision balance (GBP488k) as its own '1 January 2024' opening figure, matching FY2023's report exactly.</t>
        </is>
      </c>
    </row>
  </sheetData>
  <mergeCells count="2">
    <mergeCell ref="A16:E16"/>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 width="15" customWidth="1" min="5" max="5"/>
  </cols>
  <sheetData>
    <row r="1">
      <c r="A1" s="1" t="inlineStr">
        <is>
          <t>The Bank of London Group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row>
    <row r="4">
      <c r="A4" s="6" t="inlineStr">
        <is>
          <t>Return on equity - average equity basis</t>
        </is>
      </c>
      <c r="B4" s="6" t="inlineStr">
        <is>
          <t>-103.63%</t>
        </is>
      </c>
      <c r="C4" s="6" t="inlineStr">
        <is>
          <t>-98.18%</t>
        </is>
      </c>
      <c r="D4" s="6" t="inlineStr">
        <is>
          <t>-55.43%</t>
        </is>
      </c>
      <c r="E4" s="6" t="n"/>
    </row>
    <row r="5">
      <c r="A5" s="6" t="inlineStr">
        <is>
          <t>Return on equity - year-end equity basis</t>
        </is>
      </c>
      <c r="B5" s="6" t="inlineStr">
        <is>
          <t>-101.23%</t>
        </is>
      </c>
      <c r="C5" s="6" t="inlineStr">
        <is>
          <t>-108.25%</t>
        </is>
      </c>
      <c r="D5" s="6" t="inlineStr">
        <is>
          <t>-46.52%</t>
        </is>
      </c>
      <c r="E5" s="6" t="inlineStr">
        <is>
          <t>-70.81%</t>
        </is>
      </c>
    </row>
    <row r="6">
      <c r="A6" s="6" t="inlineStr">
        <is>
          <t>Return on assets - average assets basis</t>
        </is>
      </c>
      <c r="B6" s="6" t="inlineStr">
        <is>
          <t>-3.94%</t>
        </is>
      </c>
      <c r="C6" s="6" t="inlineStr">
        <is>
          <t>-4.40%</t>
        </is>
      </c>
      <c r="D6" s="6" t="inlineStr">
        <is>
          <t>-9.49%</t>
        </is>
      </c>
      <c r="E6" s="6" t="n"/>
    </row>
    <row r="7">
      <c r="A7" s="6" t="inlineStr">
        <is>
          <t>Return on assets - year-end assets basis</t>
        </is>
      </c>
      <c r="B7" s="6" t="inlineStr">
        <is>
          <t>-6.79%</t>
        </is>
      </c>
      <c r="C7" s="6" t="inlineStr">
        <is>
          <t>-2.83%</t>
        </is>
      </c>
      <c r="D7" s="6" t="inlineStr">
        <is>
          <t>-5.14%</t>
        </is>
      </c>
      <c r="E7" s="6" t="inlineStr">
        <is>
          <t>-63.97%</t>
        </is>
      </c>
    </row>
    <row r="8">
      <c r="A8" s="6" t="inlineStr">
        <is>
          <t>The Bank of London Group Limited's own published return</t>
        </is>
      </c>
      <c r="B8" s="6" t="inlineStr">
        <is>
          <t>Not published</t>
        </is>
      </c>
      <c r="C8" s="6" t="inlineStr">
        <is>
          <t>Not published</t>
        </is>
      </c>
      <c r="D8" s="6" t="inlineStr">
        <is>
          <t>Not published</t>
        </is>
      </c>
      <c r="E8" s="6" t="inlineStr">
        <is>
          <t>Not published</t>
        </is>
      </c>
    </row>
    <row r="9" ht="182" customHeight="1">
      <c r="A9" s="7" t="inlineStr">
        <is>
          <t>Note: COMPUTED, NOT PUBLISHED. The Bank of London Group Limited publishes no ROE, RoTE or ROA in its 2025 Annual Report. The 58-page scan-only Companies House filing was OCR-searched report-wide. Its KPI table, verified at 300 dpi, contains net interest income, loss for the year and net assets at year-end only; the wider Strategic Report adds capital and liquidity metrics but no return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-98.18% on an average basis and -108.25% on a year-end basis.
FY2022 HAS NO AVERAGE-BASIS RATIO, AND THAT IS CORRECT. An average denominator needs an opening balance, and FY2022 is the oldest column this workbook carries, so there is no prior year to open from. The blank is structural, not a missing figure. The year-end basis is shown for FY2022 because it needs only the closing balance.</t>
        </is>
      </c>
    </row>
    <row r="11" ht="170" customHeight="1">
      <c r="A11" s="8" t="inlineStr">
        <is>
          <t>Computed by this workbook's own build script from the Profit &amp; Loss and Balance Sheet sheets of this same workbook - the Profit &amp; Loss row “loss for the year” and the Balance Sheet rows “total equity” and “total assets”, resolved BY LABEL at build time through the shared resolver scripts/profitability_rows.py, so this sheet cannot drift from the statements it summarises. Those rows are themselves transcribed from The Bank of London Group Limited's Annual Report and Accounts for each year; see the source cells on the Balance Sheet and Profit &amp; Loss sheets for the exact document, page and table behind every input to every percentage above.
The finding that The Bank of London Group Limited publishes no return of its own is recorded in research/profitability/published_returns.jsonl under ‘THE BANK OF LONDON GROUP’, verified against the bank's own annual report rendered at 300 dpi.</t>
        </is>
      </c>
    </row>
  </sheetData>
  <mergeCells count="2">
    <mergeCell ref="A11:E11"/>
    <mergeCell ref="A9:E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The Bank of London Group Limited — KM1 Key Metrics</t>
        </is>
      </c>
    </row>
    <row r="2">
      <c r="A2" s="2" t="inlineStr">
        <is>
          <t>Not applicable - this entity publishes no Pillar 3 disclosure document, so there is no UK KM1 template to reproduce for any year. See the source note below for the positive evidence.</t>
        </is>
      </c>
    </row>
    <row r="3">
      <c r="A3" s="4" t="inlineStr">
        <is>
          <t>Line item</t>
        </is>
      </c>
      <c r="B3" s="4" t="inlineStr">
        <is>
          <t>FY2025</t>
        </is>
      </c>
      <c r="C3" s="4" t="inlineStr">
        <is>
          <t>FY2024</t>
        </is>
      </c>
      <c r="D3" s="4" t="inlineStr">
        <is>
          <t>FY2023</t>
        </is>
      </c>
      <c r="E3" s="4" t="inlineStr">
        <is>
          <t>FY2022</t>
        </is>
      </c>
    </row>
    <row r="4">
      <c r="A4" s="6" t="inlineStr">
        <is>
          <t>UK KM1 'Key metrics' template</t>
        </is>
      </c>
      <c r="B4" s="6" t="inlineStr">
        <is>
          <t>Not published – no Pillar 3 document or KM1 template exists for this entity (site crawl + Wayback CDX sweep; FY2025 annual report OCR has no KM1); see note</t>
        </is>
      </c>
      <c r="C4" s="6" t="inlineStr">
        <is>
          <t>Not published – no Pillar 3 document or KM1 template exists for this entity (site crawl + Wayback CDX sweep; FY2024 annual report OCR has no KM1); see note</t>
        </is>
      </c>
      <c r="D4" s="6" t="inlineStr">
        <is>
          <t>Not published – no Pillar 3 document or KM1 template exists for this entity (site crawl + Wayback CDX sweep; FY2023 annual report OCR has no KM1); see note</t>
        </is>
      </c>
      <c r="E4" s="6" t="inlineStr">
        <is>
          <t>Not published – no Pillar 3 document or KM1 template exists for this entity (site crawl + Wayback CDX sweep; FY2022 annual report OCR has no KM1); see note</t>
        </is>
      </c>
    </row>
    <row r="6" ht="340" customHeight="1">
      <c r="A6" s="8" t="inlineStr">
        <is>
          <t>NOT APPLICABLE - NO PILLAR 3 DISCLOSURE DOCUMENT IS PUBLISHED BY THIS ENTITY, so the UK KM1 'Key metrics' template does not exist for any year. This is the strongest of the three kinds of non-disclosure finding to have to make and the weakest to assert, so the evidence is set out in full below. It is POSITIVE evidence from live checks, not a failed fetch: nothing here rests on a timeout, a 403 or a block.
1. THE BANK'S OWN WEBSITE, CRAWLED 2026-09-16. thebankoflondon.com was fetched under a browser user agent (HTTP 200, 119,332 bytes) and every link extracted: 30 site paths covering products, who-we-serve, newsroom, our-people and /legals/*. There is NO investor-relations, regulatory-disclosures or Pillar 3 page. Probed the same day and all returning a genuine HTTP 404 (3,909-byte error page, clearly distinct from the 100kB+ real pages, so a soft-404 cannot be hiding here): /investors, /regulatory, /pillar-3, /legals/pillar-3, /legals/regulatory-disclosures and /annual-report. The strings 'Pillar' and 'KM1' appear ZERO times on the homepage, the newsroom page, the /legals index or /who-we-are.
      THE WHOLE DOMAIN CARRIES EXACTLY TWO PDFs, and neither is a regulatory-capital disclosure: a 'BOL FSCS Fact Sheet' (depositor protection) and a 'Quarterly Performance Report Q2 2026'. THE QUARTERLY REPORT IS NEW SINCE THIS WORKBOOK'S LAST AUDIT AND WAS DOWNLOADED AND READ RATHER THAN ASSUMED (2,677,457 bytes, Content-Type application/pdf, %PDF magic bytes, text-native): it is the FCA-mandated ONLINE-CHANNEL AVAILABILITY report - service uptime, API response times in milliseconds and error rates for April-June 2026 - and contains no capital, RWA, leverage or liquidity figure whatsoever. A future pass that sees a new PDF appear on this domain should open it before drawing any conclusion from its existence.
2. THE FY2025 ANNUAL REPORT, OCR'D AND SEARCHED FIRST-HAND 2026-09-16. This is the newest filing (Companies House 'Full accounts made up to 31 December 2025', filed 18 August 2026, 58 pages) and, like every filing this entity has made, it is an IMAGE-ONLY SCAN - pdftotext returns 58 characters from 58 pages, so a plain text search of it returns a false negative and any conclusion drawn from one is worthless. All 58 pages were rendered at 200dpi and OCR'd (143,766 characters recovered). Whole-document, case-insensitive counts on that OCR: 'pillar' 0, 'km1' 0, 'key metric' 0, 'risk-weighted' 0, 'leverage ratio' 0, 'liquidity coverage' 0, 'lcr' 0, 'nsfr' 0, 'net stable' 0, 'own funds' 0, 'countercyclical' 0.
      THOSE ZEROES ARE FACTS ABOUT THE DOCUMENT, NOT A BROKEN INSTRUMENT, because the same extraction is RICH on neighbouring terms: 'capital' 61, 'ratio' 80, 'cet1' 3. Simultaneous zeroes across many patterns are an instrument failure until the extraction is shown rich, and here it is.
      BEWARE ONE NAIVE-SUBSTRING TRAP IN THIS DOCUMENT: a search for 'srep' returns exactly one hit, and it is inside the word 'misrepresentations' in the auditors' report - not the regulatory term at all. A future pass counting that as a disclosure hit will reach the wrong conclusion.
      WHAT THE REPORT DOES DISCLOSE is two narrative sentences and nothing else: 'CET1 stood at £23.2m (2024: £22.1m)' and 'As at 31 December 2025, the CET1 Capital ratio was 82.94% (2024: 88.91%)' (repeated in the Capital and Liquidity Oversight section as 'the unaudited CET1 Capital ratio was 82.94%'), together with 'Our capital structure comprises Tier 1 instruments only.' Those two figures are on the CET1 Capital and CET1 Ratio sheets. Two narrative sentences are NOT the KM1 template - they are not a table, they carry no template row set, no SREP block, no buffer rows, no leverage rows and no liquidity rows - so nothing is mapped onto template row numbers here. Mapping them would invent a correspondence the Bank never published, and back-filling this sheet from the statutory accounts would be a different basis besides.</t>
        </is>
      </c>
    </row>
    <row r="8" ht="340" customHeight="1">
      <c r="A8" s="8" t="inlineStr">
        <is>
          <t>(continued)
3. THE PARENT WAS CHECKED, BECAUSE A SUBSIDIARY'S FIGURES USUALLY LIVE IN THE PARENT'S PILLAR 3. It does not help here, for two independent reasons. (a) The Bank of London Group Limited IS itself the entity on the PRA register (company 12844788) - there is no holding-company substitution to make, unlike the subsidiary cases elsewhere in this project where the authorised firm's numbers surface in a group document's 'Individual' column. (b) The parent - company 10511092, now named TBOL HOLDINGS UK LIMITED, previously OPLYSE HOLDINGS LIMITED and before that THE BANK OF LONDON GROUP HOLDINGS LIMITED (confirmed at Companies House 2026-09-16; the PRA Final Notice names it under the Oplyse name) - has no separate public disclosures site. Both entities are presented to the public through the single thebankoflondon.com domain enumerated at point 1, which carries no Pillar 3 document and no Pillar 3 page for either of them.
4. THE DATES MAKE THE ABSENCE UNSURPRISING, but the finding above does not depend on that. The company was incorporated 28 August 2020, authorised by the PRA only on 7 October 2021, and remained in 'mobilisation' - the restricted post-authorisation set-up phase - until 3 February 2023. FY2022, the earliest year in this workbook, is largely a mobilisation year.
LATEST-EDITION CHECK, 2026-09-16: Companies House filing history for company 12844788 was read directly and its newest accounts filing is 'Full accounts made up to 31 December 2025' (filed 18 August 2026), which is the FY2025 column this workbook already holds - CHECKED, NONE NEWER. The bank's own website carries no annual report at all. No year was added.
ENTITY NOTE: The Bank of London Group Limited is the entity on the PRA register (company number 12844788) - no holding-company substitution needed. The company is young: incorporated August 2020, authorised by the PRA 7 October 2021, and only exited 'mobilisation' (the restricted post-authorisation set-up phase) on 3 February 2023. There is no clean 5- or 4-year run of ordinary 12-month accounts stretching back further than shown here - earlier filings cover irregular stub/mobilisation periods (period to 31 August 2021, then a transition period to 31 December 2021) that aren't meaningfully comparable, so this workbook covers FY2022-FY2025 (4 years) rather than 5. FY2022's own annual report took an FRS 101 exemption from presenting a cash flow statement; FY2022 figures here are the restated prior-year comparative column published in the FY2023 annual report instead (same audited figures, just sourced from the following year's report).
FY2020 SELF-SKIP (whole year, re-verified against Companies House filing history, checked 2026-09-06): the company was incorporated 28 August 2020, so it existed for only its final ~4 months of calendar 2020 - and it was not yet PRA-authorised until 7 October 2021, so it had no banking operations to report even in that stub window. No accounts were ever filed for any period ending in 2020: Companies House's filing history shows the company's first-ever accounts ('Total exemption full accounts') cover the period to 31 August 2021 (its first ~12-month accounting reference period, running from incorporation), followed by a shortened transition period to 31 December 2021 - there is no distinct FY2020 accounting period at all for this entity to report on, confirmed vs. earlier signal, not assumed - https://find-and-update.company-information.service.gov.uk/company/12844788/filing-history</t>
        </is>
      </c>
    </row>
    <row r="10" ht="340" customHeight="1">
      <c r="A10"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6:E6"/>
    <mergeCell ref="A10:E10"/>
    <mergeCell ref="A8:E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CET1 Capital</t>
        </is>
      </c>
    </row>
    <row r="2">
      <c r="A2" s="2" t="inlineStr">
        <is>
          <t>GBP millions (as narrated in the Strategic Report)</t>
        </is>
      </c>
    </row>
    <row r="3">
      <c r="A3" s="4" t="inlineStr">
        <is>
          <t>Metric</t>
        </is>
      </c>
      <c r="B3" s="4" t="inlineStr">
        <is>
          <t>FY2025</t>
        </is>
      </c>
      <c r="C3" s="4" t="inlineStr">
        <is>
          <t>FY2024</t>
        </is>
      </c>
      <c r="D3" s="4" t="inlineStr">
        <is>
          <t>FY2023</t>
        </is>
      </c>
      <c r="E3" s="4" t="inlineStr">
        <is>
          <t>FY2022</t>
        </is>
      </c>
    </row>
    <row r="4">
      <c r="A4" s="6" t="inlineStr">
        <is>
          <t>Common Equity Tier 1 (CET1) capital</t>
        </is>
      </c>
      <c r="B4" s="6" t="inlineStr">
        <is>
          <t>£23.2m</t>
        </is>
      </c>
      <c r="C4" s="6" t="inlineStr">
        <is>
          <t>£22.1m</t>
        </is>
      </c>
      <c r="D4" s="6" t="inlineStr">
        <is>
          <t>£26.7m</t>
        </is>
      </c>
      <c r="E4" s="6" t="inlineStr">
        <is>
          <t>£18.1m (restated)</t>
        </is>
      </c>
    </row>
    <row r="5" ht="65" customHeight="1">
      <c r="A5" s="7" t="inlineStr">
        <is>
          <t>Note: Disclosed only as a narrative sentence in the Strategic Report, not in a capital-adequacy table, and to one decimal place in GBP millions - shown here exactly as the Bank states it. Note the non-monotonic path (FY2022 18.1 -&gt; FY2023 26.7 -&gt; FY2024 22.1 -&gt; FY2025 23.2): this is the Bank's own reported sequence, reflecting successive parent capital injections against continuing losses, not a transcription error. The FY2022 figure is the Bank's own restated comparative. IMPORTANT: read these alongside the regulatory note below - the PRA has since found that capital was recognised as CET1-qualifying during FY2022-FY2024 when it had not in fact been received.</t>
        </is>
      </c>
    </row>
    <row r="7" ht="377" customHeight="1">
      <c r="A7" s="8" t="inlineStr">
        <is>
          <t>Sources - the Bank's own Strategic Report, 'Capital, liquidity and balance sheet' section, which states the CET1 capital amount in narrative form each year with a prior-year comparator:
FY2025 and FY2024: Annual Report and Financial Statements, year ended 31 December 2025, Strategic Report - "CET1 stood at GBP23.2m (2024: GBP22.1m)" - https://find-and-update.company-information.service.gov.uk/company/12844788/filing-history/MzUzODUxMzE5M2FkaXF6a2N4/document?format=pdf&amp;download=0
FY2023 and FY2022: Annual Report and Financial Statements, year ended 31 December 2023, Strategic Report - "CET1 stood at GBP26.7m (2022 restated: GBP18.1m)" - https://find-and-update.company-information.service.gov.uk/company/12844788/filing-history/MzQ2NTkxNTY0NWFkaXF6a2N4/document?format=pdf&amp;download=0
Figures are the Bank's own narrative presentation to one decimal place in GBP millions (not GBP'000), reproduced exactly as stated rather than re-scaled. FY2022 is explicitly labelled "restated" by the Bank's own FY2023 report. Both FY2023 and FY2022 figures correspond to that report's own 'Funding Position' table Total equity line (26,686 / 18,109 GBP'000) to within the narrative's rounding, an internal consistency check, though the Bank presents them as separate disclosures.
FOUND IN 2026-09-12 RE-AUDIT: these amounts were previously recorded as "not publicly disclosed". All of this entity's Companies House filings are image-only scans with no extractable text layer; full page-image OCR surfaced the Strategic Report narrative that earlier text-based passes could not read.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5:E5"/>
    <mergeCell ref="A7:E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The Bank of London Group Limited — CET1 Ratio</t>
        </is>
      </c>
    </row>
    <row r="2">
      <c r="A2" s="2" t="inlineStr">
        <is>
          <t>% (unaudited, as disclosed in the Annual Report's capital note)</t>
        </is>
      </c>
    </row>
    <row r="3">
      <c r="A3" s="4" t="inlineStr">
        <is>
          <t>Metric</t>
        </is>
      </c>
      <c r="B3" s="4" t="inlineStr">
        <is>
          <t>FY2025</t>
        </is>
      </c>
      <c r="C3" s="4" t="inlineStr">
        <is>
          <t>FY2024</t>
        </is>
      </c>
      <c r="D3" s="4" t="inlineStr">
        <is>
          <t>FY2023</t>
        </is>
      </c>
    </row>
    <row r="4">
      <c r="A4" s="6" t="inlineStr">
        <is>
          <t>Common Equity Tier 1 (CET1) ratio</t>
        </is>
      </c>
      <c r="B4" s="6" t="inlineStr">
        <is>
          <t>82.94%</t>
        </is>
      </c>
      <c r="C4" s="6" t="inlineStr">
        <is>
          <t>88.91%</t>
        </is>
      </c>
      <c r="D4" s="6" t="inlineStr">
        <is>
          <t>95.34%</t>
        </is>
      </c>
    </row>
    <row r="5" ht="52" customHeight="1">
      <c r="A5" s="7" t="inlineStr">
        <is>
          <t>Note: The Annual Report separately states 'Our capital structure comprises Tier 1 instruments only', implying the Tier 1 ratio and Total Capital ratio would equal this CET1 ratio - but neither is explicitly stated, so they are not populated as data (see those sheets). The very high ratios (82.94%-95.34%) reflect a small, cash-heavy balance sheet with minimal risk-weighted lending, typical of a young payments/clearing-focused bank - not a transcription error.</t>
        </is>
      </c>
    </row>
    <row r="7" ht="351" customHeight="1">
      <c r="A7" s="8" t="inlineStr">
        <is>
          <t>FY2025: Annual Report and Financial Statements, year ended 31 December 2025, note 'Capital and Liquidity Oversight', p.51 (labelled 'unaudited') - https://find-and-update.company-information.service.gov.uk/company/12844788/filing-history/MzUzODUxMzE5M2FkaXF6a2N4/document?format=pdf&amp;download=0 (also gives the FY2024 comparator shown here)
FY2023: Annual Report and Financial Statements, year ended 31 December 2023 - stated twice in that report, in the Strategic Report ('As at 31 December 2023, the CET1 Capital ratio was 95.34%') and again in the 'Capital and Liquidity Oversight' note ('As of 31 December 2023, the unaudited CET1 capital ratio was 95.34%') - https://find-and-update.company-information.service.gov.uk/company/12844788/filing-history/MzQ2NTkxNTY0NWFkaXF6a2N4/document?format=pdf&amp;download=0. Added in the 2026-09-12 re-audit via page-image OCR; the earlier pass recorded FY2023 as 'not found' because these filings carry no extractable text layer.
FY2022: genuinely not disclosed - the FY2023 report gives FY2022's CET1 capital AMOUNT as a restated comparative (see CET1 Capital sheet) but states no FY2022 ratio, and no separate FY2022 capital note or standalone Pillar 3 disclosure exists.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5:D5"/>
    <mergeCell ref="A7:D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Tier 1 Capital</t>
        </is>
      </c>
    </row>
    <row r="2">
      <c r="A2" s="2" t="inlineStr"/>
    </row>
    <row r="3">
      <c r="A3" s="4" t="inlineStr">
        <is>
          <t>Metric</t>
        </is>
      </c>
      <c r="B3" s="4" t="inlineStr">
        <is>
          <t>FY2025</t>
        </is>
      </c>
      <c r="C3" s="4" t="inlineStr">
        <is>
          <t>FY2024</t>
        </is>
      </c>
      <c r="D3" s="4" t="inlineStr">
        <is>
          <t>FY2023</t>
        </is>
      </c>
      <c r="E3" s="4" t="inlineStr">
        <is>
          <t>FY2022</t>
        </is>
      </c>
    </row>
    <row r="4">
      <c r="A4" s="6" t="inlineStr">
        <is>
          <t>Tier 1 capital</t>
        </is>
      </c>
      <c r="B4" s="6" t="inlineStr">
        <is>
          <t>Not published – no Tier 1 capital amount in the FY2025 annual report (page-image OCR) and no Pillar 3 document exists (site crawl + Wayback CDX sweep); see note</t>
        </is>
      </c>
      <c r="C4" s="6" t="inlineStr">
        <is>
          <t>Not published – no Tier 1 capital amount in the FY2024 annual report (page-image OCR) and no Pillar 3 document exists (site crawl + Wayback CDX sweep); see note</t>
        </is>
      </c>
      <c r="D4" s="6" t="inlineStr">
        <is>
          <t>Not published – no Tier 1 capital amount in the FY2023 annual report (page-image OCR) and no Pillar 3 document exists (site crawl + Wayback CDX sweep); see note</t>
        </is>
      </c>
      <c r="E4" s="6" t="inlineStr">
        <is>
          <t>Not published – no Tier 1 capital amount in the FY2022 annual report (page-image OCR) and no Pillar 3 document exists (site crawl + Wayback CDX sweep); see note</t>
        </is>
      </c>
    </row>
    <row r="5" ht="30" customHeight="1">
      <c r="A5" s="7" t="inlineStr">
        <is>
          <t>Note: Not disclosed as an absolute amount. The Annual Report states the Bank's capital structure 'comprises Tier 1 instruments only', implying Tier 1 capital = CET1 capital, but neither absolute figure is published.</t>
        </is>
      </c>
    </row>
    <row r="7" ht="364" customHeight="1">
      <c r="A7"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9" ht="210" customHeight="1">
      <c r="A9"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5:E5"/>
    <mergeCell ref="A9:E9"/>
    <mergeCell ref="A7:E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Tier 1 Ratio</t>
        </is>
      </c>
    </row>
    <row r="2">
      <c r="A2" s="2" t="inlineStr"/>
    </row>
    <row r="3">
      <c r="A3" s="4" t="inlineStr">
        <is>
          <t>Metric</t>
        </is>
      </c>
      <c r="B3" s="4" t="inlineStr">
        <is>
          <t>FY2025</t>
        </is>
      </c>
      <c r="C3" s="4" t="inlineStr">
        <is>
          <t>FY2024</t>
        </is>
      </c>
      <c r="D3" s="4" t="inlineStr">
        <is>
          <t>FY2023</t>
        </is>
      </c>
      <c r="E3" s="4" t="inlineStr">
        <is>
          <t>FY2022</t>
        </is>
      </c>
    </row>
    <row r="4">
      <c r="A4" s="6" t="inlineStr">
        <is>
          <t>Tier 1 ratio</t>
        </is>
      </c>
      <c r="B4" s="6" t="inlineStr">
        <is>
          <t>Not published – no Tier 1 ratio in the FY2025 annual report (page-image OCR) and no Pillar 3 document exists (site crawl + Wayback CDX sweep); see note</t>
        </is>
      </c>
      <c r="C4" s="6" t="inlineStr">
        <is>
          <t>Not published – no Tier 1 ratio in the FY2024 annual report (page-image OCR) and no Pillar 3 document exists (site crawl + Wayback CDX sweep); see note</t>
        </is>
      </c>
      <c r="D4" s="6" t="inlineStr">
        <is>
          <t>Not published – no Tier 1 ratio in the FY2023 annual report (page-image OCR) and no Pillar 3 document exists (site crawl + Wayback CDX sweep); see note</t>
        </is>
      </c>
      <c r="E4" s="6" t="inlineStr">
        <is>
          <t>Not published – no Tier 1 ratio in the FY2022 annual report (page-image OCR) and no Pillar 3 document exists (site crawl + Wayback CDX sweep); see note</t>
        </is>
      </c>
    </row>
    <row r="5" ht="30" customHeight="1">
      <c r="A5" s="7" t="inlineStr">
        <is>
          <t>Note: Not explicitly disclosed. Given the Annual Report states capital is 'Tier 1 instruments only', this would conceptually equal the CET1 ratio (see CET1 Ratio sheet) - but is not populated here since it isn't separately stated in the source.</t>
        </is>
      </c>
    </row>
    <row r="7" ht="364" customHeight="1">
      <c r="A7"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9" ht="210" customHeight="1">
      <c r="A9"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5:E5"/>
    <mergeCell ref="A9:E9"/>
    <mergeCell ref="A7:E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Total Capital</t>
        </is>
      </c>
    </row>
    <row r="2">
      <c r="A2" s="2" t="inlineStr"/>
    </row>
    <row r="3">
      <c r="A3" s="4" t="inlineStr">
        <is>
          <t>Metric</t>
        </is>
      </c>
      <c r="B3" s="4" t="inlineStr">
        <is>
          <t>FY2025</t>
        </is>
      </c>
      <c r="C3" s="4" t="inlineStr">
        <is>
          <t>FY2024</t>
        </is>
      </c>
      <c r="D3" s="4" t="inlineStr">
        <is>
          <t>FY2023</t>
        </is>
      </c>
      <c r="E3" s="4" t="inlineStr">
        <is>
          <t>FY2022</t>
        </is>
      </c>
    </row>
    <row r="4">
      <c r="A4" s="6" t="inlineStr">
        <is>
          <t>Total capital</t>
        </is>
      </c>
      <c r="B4" s="6" t="inlineStr">
        <is>
          <t>Not published – no total capital amount in the FY2025 annual report (page-image OCR) and no Pillar 3 document exists (site crawl + Wayback CDX sweep); see note</t>
        </is>
      </c>
      <c r="C4" s="6" t="inlineStr">
        <is>
          <t>Not published – no total capital amount in the FY2024 annual report (page-image OCR) and no Pillar 3 document exists (site crawl + Wayback CDX sweep); see note</t>
        </is>
      </c>
      <c r="D4" s="6" t="inlineStr">
        <is>
          <t>Not published – no total capital amount in the FY2023 annual report (page-image OCR) and no Pillar 3 document exists (site crawl + Wayback CDX sweep); see note</t>
        </is>
      </c>
      <c r="E4" s="6" t="inlineStr">
        <is>
          <t>Not published – no total capital amount in the FY2022 annual report (page-image OCR) and no Pillar 3 document exists (site crawl + Wayback CDX sweep); see note</t>
        </is>
      </c>
    </row>
    <row r="5" ht="30" customHeight="1">
      <c r="A5" s="7" t="inlineStr">
        <is>
          <t>Note: Not disclosed as an absolute amount for any year.</t>
        </is>
      </c>
    </row>
    <row r="7" ht="364" customHeight="1">
      <c r="A7"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9" ht="210" customHeight="1">
      <c r="A9"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5:E5"/>
    <mergeCell ref="A9:E9"/>
    <mergeCell ref="A7:E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Total Capital Ratio</t>
        </is>
      </c>
    </row>
    <row r="2">
      <c r="A2" s="2" t="inlineStr"/>
    </row>
    <row r="3">
      <c r="A3" s="4" t="inlineStr">
        <is>
          <t>Metric</t>
        </is>
      </c>
      <c r="B3" s="4" t="inlineStr">
        <is>
          <t>FY2025</t>
        </is>
      </c>
      <c r="C3" s="4" t="inlineStr">
        <is>
          <t>FY2024</t>
        </is>
      </c>
      <c r="D3" s="4" t="inlineStr">
        <is>
          <t>FY2023</t>
        </is>
      </c>
      <c r="E3" s="4" t="inlineStr">
        <is>
          <t>FY2022</t>
        </is>
      </c>
    </row>
    <row r="4">
      <c r="A4" s="6" t="inlineStr">
        <is>
          <t>Total capital ratio</t>
        </is>
      </c>
      <c r="B4" s="6" t="inlineStr">
        <is>
          <t>Not published – no total capital ratio in the FY2025 annual report (page-image OCR) and no Pillar 3 document exists (site crawl + Wayback CDX sweep); see note</t>
        </is>
      </c>
      <c r="C4" s="6" t="inlineStr">
        <is>
          <t>Not published – no total capital ratio in the FY2024 annual report (page-image OCR) and no Pillar 3 document exists (site crawl + Wayback CDX sweep); see note</t>
        </is>
      </c>
      <c r="D4" s="6" t="inlineStr">
        <is>
          <t>Not published – no total capital ratio in the FY2023 annual report (page-image OCR) and no Pillar 3 document exists (site crawl + Wayback CDX sweep); see note</t>
        </is>
      </c>
      <c r="E4" s="6" t="inlineStr">
        <is>
          <t>Not published – no total capital ratio in the FY2022 annual report (page-image OCR) and no Pillar 3 document exists (site crawl + Wayback CDX sweep); see note</t>
        </is>
      </c>
    </row>
    <row r="5" ht="30" customHeight="1">
      <c r="A5" s="7" t="inlineStr">
        <is>
          <t>Note: Not explicitly disclosed. As with the Tier 1 ratio, this would conceptually equal the CET1 ratio given the Bank has no AT1 or Tier 2 capital, but is not populated here since it isn't separately stated.</t>
        </is>
      </c>
    </row>
    <row r="7" ht="364" customHeight="1">
      <c r="A7"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9" ht="210" customHeight="1">
      <c r="A9"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5:E5"/>
    <mergeCell ref="A9:E9"/>
    <mergeCell ref="A7:E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Total RWAs</t>
        </is>
      </c>
    </row>
    <row r="2">
      <c r="A2" s="2" t="inlineStr"/>
    </row>
    <row r="3">
      <c r="A3" s="4" t="inlineStr">
        <is>
          <t>Metric</t>
        </is>
      </c>
      <c r="B3" s="4" t="inlineStr">
        <is>
          <t>FY2025</t>
        </is>
      </c>
      <c r="C3" s="4" t="inlineStr">
        <is>
          <t>FY2024</t>
        </is>
      </c>
      <c r="D3" s="4" t="inlineStr">
        <is>
          <t>FY2023</t>
        </is>
      </c>
      <c r="E3" s="4" t="inlineStr">
        <is>
          <t>FY2022</t>
        </is>
      </c>
    </row>
    <row r="4">
      <c r="A4" s="6" t="inlineStr">
        <is>
          <t>Total risk-weighted exposure amount</t>
        </is>
      </c>
      <c r="B4" s="6" t="inlineStr">
        <is>
          <t>Not published – no risk-weighted assets figure in the FY2025 annual report (page-image OCR) and no Pillar 3 document exists (site crawl + Wayback CDX sweep); see note</t>
        </is>
      </c>
      <c r="C4" s="6" t="inlineStr">
        <is>
          <t>Not published – no risk-weighted assets figure in the FY2024 annual report (page-image OCR) and no Pillar 3 document exists (site crawl + Wayback CDX sweep); see note</t>
        </is>
      </c>
      <c r="D4" s="6" t="inlineStr">
        <is>
          <t>Not published – no risk-weighted assets figure in the FY2023 annual report (page-image OCR) and no Pillar 3 document exists (site crawl + Wayback CDX sweep); see note</t>
        </is>
      </c>
      <c r="E4" s="6" t="inlineStr">
        <is>
          <t>Not published – no risk-weighted assets figure in the FY2022 annual report (page-image OCR) and no Pillar 3 document exists (site crawl + Wayback CDX sweep); see note</t>
        </is>
      </c>
    </row>
    <row r="6" ht="364" customHeight="1">
      <c r="A6"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8" ht="210" customHeight="1">
      <c r="A8"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6:E6"/>
    <mergeCell ref="A8:E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RWA Breakdown</t>
        </is>
      </c>
    </row>
    <row r="2">
      <c r="A2" s="2" t="inlineStr">
        <is>
          <t>Not publicly disclosed - see note below.</t>
        </is>
      </c>
    </row>
    <row r="3">
      <c r="A3" s="4" t="inlineStr">
        <is>
          <t>Line item</t>
        </is>
      </c>
      <c r="B3" s="4" t="inlineStr">
        <is>
          <t>FY2025 (£'000)</t>
        </is>
      </c>
      <c r="C3" s="4" t="inlineStr">
        <is>
          <t>FY2024 (£'000)</t>
        </is>
      </c>
      <c r="D3" s="4" t="inlineStr">
        <is>
          <t>FY2023 (£'000)</t>
        </is>
      </c>
      <c r="E3" s="4" t="inlineStr">
        <is>
          <t>FY2022 (£'000)</t>
        </is>
      </c>
    </row>
    <row r="4">
      <c r="A4" s="6" t="inlineStr">
        <is>
          <t>Total risk-weighted exposure amount</t>
        </is>
      </c>
      <c r="B4" s="6" t="inlineStr">
        <is>
          <t>Not published – no risk-weighted assets figure in the FY2025 annual report (page-image OCR) and no Pillar 3 document exists (site crawl + Wayback CDX sweep); see note</t>
        </is>
      </c>
      <c r="C4" s="6" t="inlineStr">
        <is>
          <t>Not published – no risk-weighted assets figure in the FY2024 annual report (page-image OCR) and no Pillar 3 document exists (site crawl + Wayback CDX sweep); see note</t>
        </is>
      </c>
      <c r="D4" s="6" t="inlineStr">
        <is>
          <t>Not published – no risk-weighted assets figure in the FY2023 annual report (page-image OCR) and no Pillar 3 document exists (site crawl + Wayback CDX sweep); see note</t>
        </is>
      </c>
      <c r="E4" s="6" t="inlineStr">
        <is>
          <t>Not published – no risk-weighted assets figure in the FY2022 annual report (page-image OCR) and no Pillar 3 document exists (site crawl + Wayback CDX sweep); see note</t>
        </is>
      </c>
    </row>
    <row r="6" ht="364" customHeight="1">
      <c r="A6"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8" ht="210" customHeight="1">
      <c r="A8"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6:E6"/>
    <mergeCell ref="A8:E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Leverage Ratio</t>
        </is>
      </c>
    </row>
    <row r="2">
      <c r="A2" s="2" t="inlineStr"/>
    </row>
    <row r="3">
      <c r="A3" s="4" t="inlineStr">
        <is>
          <t>Metric</t>
        </is>
      </c>
      <c r="B3" s="4" t="inlineStr">
        <is>
          <t>FY2025</t>
        </is>
      </c>
      <c r="C3" s="4" t="inlineStr">
        <is>
          <t>FY2024</t>
        </is>
      </c>
      <c r="D3" s="4" t="inlineStr">
        <is>
          <t>FY2023</t>
        </is>
      </c>
      <c r="E3" s="4" t="inlineStr">
        <is>
          <t>FY2022</t>
        </is>
      </c>
    </row>
    <row r="4">
      <c r="A4" s="6" t="inlineStr">
        <is>
          <t>Leverage ratio</t>
        </is>
      </c>
      <c r="B4" s="6" t="inlineStr">
        <is>
          <t>Not published – no leverage ratio in the FY2025 annual report (page-image OCR) and no Pillar 3 document exists (site crawl + Wayback CDX sweep); see note</t>
        </is>
      </c>
      <c r="C4" s="6" t="inlineStr">
        <is>
          <t>Not published – no leverage ratio in the FY2024 annual report (page-image OCR) and no Pillar 3 document exists (site crawl + Wayback CDX sweep); see note</t>
        </is>
      </c>
      <c r="D4" s="6" t="inlineStr">
        <is>
          <t>Not published – no leverage ratio in the FY2023 annual report (page-image OCR) and no Pillar 3 document exists (site crawl + Wayback CDX sweep); see note</t>
        </is>
      </c>
      <c r="E4" s="6" t="inlineStr">
        <is>
          <t>Not published – no leverage ratio in the FY2022 annual report (page-image OCR) and no Pillar 3 document exists (site crawl + Wayback CDX sweep); see note</t>
        </is>
      </c>
    </row>
    <row r="6" ht="364" customHeight="1">
      <c r="A6"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8" ht="210" customHeight="1">
      <c r="A8"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6:E6"/>
    <mergeCell ref="A8:E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LCR</t>
        </is>
      </c>
    </row>
    <row r="2">
      <c r="A2" s="2" t="inlineStr"/>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Not published – no LCR in the FY2025 annual report (page-image OCR) and no Pillar 3 document exists (site crawl + Wayback CDX sweep); see note</t>
        </is>
      </c>
      <c r="C4" s="6" t="inlineStr">
        <is>
          <t>Not published – no LCR in the FY2024 annual report (page-image OCR) and no Pillar 3 document exists (site crawl + Wayback CDX sweep); see note</t>
        </is>
      </c>
      <c r="D4" s="6" t="inlineStr">
        <is>
          <t>Not published – no LCR in the FY2023 annual report (page-image OCR) and no Pillar 3 document exists (site crawl + Wayback CDX sweep); see note</t>
        </is>
      </c>
      <c r="E4" s="6" t="inlineStr">
        <is>
          <t>Not published – no LCR in the FY2022 annual report (page-image OCR) and no Pillar 3 document exists (site crawl + Wayback CDX sweep); see note</t>
        </is>
      </c>
    </row>
    <row r="6" ht="364" customHeight="1">
      <c r="A6"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8" ht="210" customHeight="1">
      <c r="A8"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6:E6"/>
    <mergeCell ref="A8:E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NSFR</t>
        </is>
      </c>
    </row>
    <row r="2">
      <c r="A2" s="2" t="inlineStr"/>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Not published – no NSFR in the FY2025 annual report (page-image OCR) and no Pillar 3 document exists (site crawl + Wayback CDX sweep); see note</t>
        </is>
      </c>
      <c r="C4" s="6" t="inlineStr">
        <is>
          <t>Not published – no NSFR in the FY2024 annual report (page-image OCR) and no Pillar 3 document exists (site crawl + Wayback CDX sweep); see note</t>
        </is>
      </c>
      <c r="D4" s="6" t="inlineStr">
        <is>
          <t>Not published – no NSFR in the FY2023 annual report (page-image OCR) and no Pillar 3 document exists (site crawl + Wayback CDX sweep); see note</t>
        </is>
      </c>
      <c r="E4" s="6" t="inlineStr">
        <is>
          <t>Not published – no NSFR in the FY2022 annual report (page-image OCR) and no Pillar 3 document exists (site crawl + Wayback CDX sweep); see note</t>
        </is>
      </c>
    </row>
    <row r="6" ht="364" customHeight="1">
      <c r="A6"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8" ht="210" customHeight="1">
      <c r="A8"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2">
    <mergeCell ref="A6:E6"/>
    <mergeCell ref="A8:E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The Bank of London Group Limited — MREL Ratio</t>
        </is>
      </c>
    </row>
    <row r="2">
      <c r="A2" s="2" t="inlineStr"/>
    </row>
    <row r="3">
      <c r="A3" s="4" t="inlineStr">
        <is>
          <t>Metric</t>
        </is>
      </c>
      <c r="B3" s="4" t="inlineStr">
        <is>
          <t>FY2025</t>
        </is>
      </c>
      <c r="C3" s="4" t="inlineStr">
        <is>
          <t>FY2024</t>
        </is>
      </c>
      <c r="D3" s="4" t="inlineStr">
        <is>
          <t>FY2023</t>
        </is>
      </c>
      <c r="E3" s="4" t="inlineStr">
        <is>
          <t>FY2022</t>
        </is>
      </c>
    </row>
    <row r="4">
      <c r="A4" s="6" t="inlineStr">
        <is>
          <t>MREL ratio</t>
        </is>
      </c>
      <c r="B4" s="6" t="inlineStr">
        <is>
          <t>Not published – no MREL figure in the FY2025 annual report (page-image OCR) and no Pillar 3 document exists (site crawl + Wayback CDX sweep); see note</t>
        </is>
      </c>
      <c r="C4" s="6" t="inlineStr">
        <is>
          <t>Not published – no MREL figure in the FY2024 annual report (page-image OCR) and no Pillar 3 document exists (site crawl + Wayback CDX sweep); see note</t>
        </is>
      </c>
      <c r="D4" s="6" t="inlineStr">
        <is>
          <t>Not published – no MREL figure in the FY2023 annual report (page-image OCR) and no Pillar 3 document exists (site crawl + Wayback CDX sweep); see note</t>
        </is>
      </c>
      <c r="E4" s="6" t="inlineStr">
        <is>
          <t>Not published – no MREL figure in the FY2022 annual report (page-image OCR) and no Pillar 3 document exists (site crawl + Wayback CDX sweep); see note</t>
        </is>
      </c>
    </row>
    <row r="5" ht="30" customHeight="1">
      <c r="A5" s="7" t="inlineStr">
        <is>
          <t>Note: No MREL disclosure of any kind (numeric or qualitative) was found for this bank.</t>
        </is>
      </c>
    </row>
    <row r="7" ht="364" customHeight="1">
      <c r="A7" s="8" t="inlineStr">
        <is>
          <t>No standalone Pillar 3 disclosure document is published by The Bank of London Group Limited - checked the Bank's website (no investor-relations/regulatory-disclosures page exists); nothing found. The only capital metrics disclosed anywhere in the public domain are the CET1 capital AMOUNT and the CET1 RATIO, both narrated in the statutory Annual Report - see those two sheets. No Tier 1 or Total Capital amount, no Tier 1/Total Capital ratio, no RWA figure, no leverage ratio, no LCR, no NSFR and no MREL figure is disclosed for any year.
RE-VERIFIED 2026-09-12: all of this entity's Companies House filings are image-only scans with no text layer. Full page-image OCR of the FY2023 and FY2025 Annual Reports was run specifically to defeat that limitation, and searched for 'risk-weighted'/'RWA'/'leverage ratio'/'liquidity coverage'/'LCR'/'NSFR'/'own funds'/'total capital'. That search recovered the CET1 amounts and the FY2023 ratio now populated on their own sheets, and confirmed the metrics below genuinely appear nowhere in either filing. Given the entity's size and mobilisation history there is no reason to expect a separate Pillar 3 document to exist.
MAXIMUM-EFFORT RE-SEARCH 2026-09-15 (prior 'unavailable' verdict treated as unproven; rotated user agents). Three new routes, all negative:
  (1) THE FY2024 ANNUAL REPORT WAS OCR'D IN FULL FOR THE FIRST TIME (50 pages at 250 dpi; the 2026-09-12 audit had covered only FY2023 and FY2025, leaving FY2024 untested). It confirms the two metrics already carried - 'CET1 stood at GBP22.1m (2023: GBP26.7m)' and 'As at 31 December 2024, the CET1 Capital ratio was 88.91% (2023: 95.34%)' - and contains NO risk-weighted-asset figure, no leverage ratio, no LCR, no NSFR and no MREL figure anywhere. It also repeats the capital-structure sentence in the Capital and Liquidity Oversight section: 'Our capital structure comprises Tier 1 instruments only.'
  NOTE ON THAT SENTENCE: a full-document search of the FY2024 OCR for 'Additional Tier 1', 'AT1', 'Tier 2' and 'subordinated' returns ZERO matches. That strengthens, but does not complete, the case for treating Tier 1 = CET1: the sentence directly establishes only that there is no Tier 2 (so Total Capital = Tier 1), and it never states the CET1 = Tier 1 equality outright. Other banks in this workbook set DO have that equality populated - Reliance Bank and Philippine National Bank (Europe) - but in both cases the source document states it in terms ('all capital resources are CET1, with no AT1 in issue'; 'being CET1 capital the same as Tier 1 capital and Total capital...'). The Bank of London's wording is weaker than either, and no absolute Tier 1 or Total Capital amount is published in any year, so those sheets stay unpopulated. This is a deliberate, re-affirmed decision, not an unexplored gap.
  (2) thebankoflondon.com was crawled live under two user agents (Chrome/Firefox, both HTTP 200). Its full link set (30 site paths) contains no investor-relations, regulatory-disclosures or Pillar 3 page; /regulatory, /legal and /investors all return HTTP 404 under both agents.
  (3) A full Wayback CDX sweep of the domain WITHOUT a filter (2,000 archived URLs) shows the site's only PDF directory is /pdf/, holding three FSCS depositor-protection leaflets and nothing else. No Pillar 3, capital or regulatory-disclosure document has ever existed on the domain.</t>
        </is>
      </c>
    </row>
    <row r="9" ht="210" customHeight="1">
      <c r="A9" s="8" t="inlineStr">
        <is>
          <t>(continued)
REGULATORY NOTE - IMPORTANT: On 23 March 2026 the PRA issued a Final Notice imposing a GBP2 million financial penalty (reduced from GBP12 million on financial hardship grounds) on The Bank of London Group Limited and its parent, Oplyse Holdings Limited (formerly The Bank of London Group Holdings Limited), for breaches including PRA Fundamental Rules 1 (integrity), 3 (prudent conduct), 4 (adequate financial resources) and 7 (open and cooperative dealing with the regulator), plus Large Exposures and capital-reporting rules, during the 'Relevant Period' of 7 October 2021 to 22 May 2024. The PRA found the Firm repeatedly recognised capital as CET1-qualifying when it had not in fact been received, that a then senior manager falsified documents to mislead the PRA about the Firm's true capital position, that the Firm claimed to hold the GBP21.5m capital required to exit mobilisation on 3 February 2023 when it did not (the cash arrived 28 February 2023), and that an undocumented intercompany receivable from the Firm to the Parent breached large exposure limits. PRACTICAL IMPLICATION FOR THIS WORKBOOK: capital-related figures for FY2022, FY2023 and part of FY2024 (pre-22 May 2024) relate to a period the regulator has since confirmed involved inaccurate capital reporting - treat any capital metric from that window with caution. Ownership and most senior management have since changed, with new capital injected and remediation under way. Source: PRA Final Notice, 23 March 2026 - https://www.bankofengland.co.uk/-/media/boe/files/prudential-regulation/regulatory-action/2026/final-notice-bol-and-oplyse-holdings-limited.pdf</t>
        </is>
      </c>
    </row>
  </sheetData>
  <mergeCells count="3">
    <mergeCell ref="A5:E5"/>
    <mergeCell ref="A9:E9"/>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2026-10-26T09:35:56Z</dcterms:created>
  <dcterms:modified xmlns:dcterms="http://purl.org/dc/terms/" xmlns:xsi="http://www.w3.org/2001/XMLSchema-instance" xsi:type="dcterms:W3CDTF">2026-10-26T09:35:56Z</dcterms:modified>
</cp:coreProperties>
</file>