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A2540"/>
        <bgColor rgb="000A25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ser>
          <idx val="2"/>
          <order val="2"/>
          <tx>
            <strRef>
              <f>'Overview'!O14</f>
            </strRef>
          </tx>
          <spPr>
            <a:ln xmlns:a="http://schemas.openxmlformats.org/drawingml/2006/main">
              <a:prstDash val="solid"/>
            </a:ln>
          </spPr>
          <cat>
            <numRef>
              <f>'Overview'!$P$11:$S$11</f>
            </numRef>
          </cat>
          <val>
            <numRef>
              <f>'Overview'!$P$14:$S$14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'Overview'!V18</f>
            </strRef>
          </tx>
          <spPr>
            <a:ln xmlns:a="http://schemas.openxmlformats.org/drawingml/2006/main">
              <a:prstDash val="solid"/>
            </a:ln>
          </spPr>
          <cat>
            <numRef>
              <f>'Overview'!$W$17:$Z$17</f>
            </numRef>
          </cat>
          <val>
            <numRef>
              <f>'Overview'!$W$18:$Z$18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'Overview'!AC22</f>
            </strRef>
          </tx>
          <spPr>
            <a:ln xmlns:a="http://schemas.openxmlformats.org/drawingml/2006/main">
              <a:prstDash val="solid"/>
            </a:ln>
          </spPr>
          <cat>
            <numRef>
              <f>'Overview'!$AD$21:$AG$21</f>
            </numRef>
          </cat>
          <val>
            <numRef>
              <f>'Overview'!$AD$22:$AG$22</f>
            </numRef>
          </val>
        </ser>
        <ser>
          <idx val="1"/>
          <order val="1"/>
          <tx>
            <strRef>
              <f>'Overview'!AC23</f>
            </strRef>
          </tx>
          <spPr>
            <a:ln xmlns:a="http://schemas.openxmlformats.org/drawingml/2006/main">
              <a:prstDash val="solid"/>
            </a:ln>
          </spPr>
          <cat>
            <numRef>
              <f>'Overview'!$AD$21:$AG$21</f>
            </numRef>
          </cat>
          <val>
            <numRef>
              <f>'Overview'!$AD$23:$AG$23</f>
            </numRef>
          </val>
        </ser>
        <ser>
          <idx val="2"/>
          <order val="2"/>
          <tx>
            <strRef>
              <f>'Overview'!AC24</f>
            </strRef>
          </tx>
          <spPr>
            <a:ln xmlns:a="http://schemas.openxmlformats.org/drawingml/2006/main">
              <a:prstDash val="solid"/>
            </a:ln>
          </spPr>
          <cat>
            <numRef>
              <f>'Overview'!$AD$21:$AG$21</f>
            </numRef>
          </cat>
          <val>
            <numRef>
              <f>'Overview'!$AD$24:$AG$24</f>
            </numRef>
          </val>
        </ser>
        <ser>
          <idx val="3"/>
          <order val="3"/>
          <tx>
            <strRef>
              <f>'Overview'!AC25</f>
            </strRef>
          </tx>
          <spPr>
            <a:ln xmlns:a="http://schemas.openxmlformats.org/drawingml/2006/main">
              <a:prstDash val="solid"/>
            </a:ln>
          </spPr>
          <cat>
            <numRef>
              <f>'Overview'!$AD$21:$AG$21</f>
            </numRef>
          </cat>
          <val>
            <numRef>
              <f>'Overview'!$AD$25:$AG$25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The Bank of London Group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AK5" t="inlineStr">
        <is>
          <t>FY2022</t>
        </is>
      </c>
      <c r="AL5" t="inlineStr">
        <is>
          <t>FY2023</t>
        </is>
      </c>
      <c r="AM5" t="inlineStr">
        <is>
          <t>FY2024</t>
        </is>
      </c>
      <c r="AN5" t="inlineStr">
        <is>
          <t>FY2025</t>
        </is>
      </c>
    </row>
    <row r="6">
      <c r="A6" s="5" t="inlineStr">
        <is>
          <t>Total assets</t>
        </is>
      </c>
      <c r="B6" s="5" t="n">
        <v>346004</v>
      </c>
      <c r="C6" s="5" t="n">
        <v>847944</v>
      </c>
      <c r="D6" s="5" t="n">
        <v>241666</v>
      </c>
      <c r="E6" s="5" t="n">
        <v>20044</v>
      </c>
      <c r="H6" t="inlineStr">
        <is>
          <t>Total assets</t>
        </is>
      </c>
      <c r="I6" t="n">
        <v>20044</v>
      </c>
      <c r="J6" t="n">
        <v>241666</v>
      </c>
      <c r="K6" t="n">
        <v>847944</v>
      </c>
      <c r="L6" t="n">
        <v>346004</v>
      </c>
      <c r="AJ6" t="inlineStr">
        <is>
          <t>CET1 Ratio</t>
        </is>
      </c>
      <c r="AM6" t="n">
        <v>88.91</v>
      </c>
      <c r="AN6" t="n">
        <v>82.94</v>
      </c>
    </row>
    <row r="7">
      <c r="A7" s="5" t="inlineStr">
        <is>
          <t>Total liabilities</t>
        </is>
      </c>
      <c r="B7" s="5" t="n">
        <v>322787</v>
      </c>
      <c r="C7" s="5" t="n">
        <v>825801</v>
      </c>
      <c r="D7" s="5" t="n">
        <v>214980</v>
      </c>
      <c r="E7" s="5" t="n">
        <v>1935</v>
      </c>
      <c r="H7" t="inlineStr">
        <is>
          <t>Total liabilities</t>
        </is>
      </c>
      <c r="I7" t="n">
        <v>1935</v>
      </c>
      <c r="J7" t="n">
        <v>214980</v>
      </c>
      <c r="K7" t="n">
        <v>825801</v>
      </c>
      <c r="L7" t="n">
        <v>322787</v>
      </c>
      <c r="AJ7" t="inlineStr">
        <is>
          <t>Tier 1 Ratio</t>
        </is>
      </c>
    </row>
    <row r="8">
      <c r="A8" s="5" t="inlineStr">
        <is>
          <t>Total equity</t>
        </is>
      </c>
      <c r="B8" s="5" t="n">
        <v>23217</v>
      </c>
      <c r="C8" s="5" t="n">
        <v>22143</v>
      </c>
      <c r="D8" s="5" t="n">
        <v>26686</v>
      </c>
      <c r="E8" s="5" t="n">
        <v>18109</v>
      </c>
      <c r="H8" t="inlineStr">
        <is>
          <t>Total equity</t>
        </is>
      </c>
      <c r="I8" t="n">
        <v>18109</v>
      </c>
      <c r="J8" t="n">
        <v>26686</v>
      </c>
      <c r="K8" t="n">
        <v>22143</v>
      </c>
      <c r="L8" t="n">
        <v>23217</v>
      </c>
      <c r="AJ8" t="inlineStr">
        <is>
          <t>Total Capital Ratio</t>
        </is>
      </c>
    </row>
    <row r="9">
      <c r="AJ9" t="inlineStr">
        <is>
          <t>Leverage Ratio</t>
        </is>
      </c>
    </row>
    <row r="10">
      <c r="A10" s="3" t="inlineStr">
        <is>
          <t>Profit &amp; Loss Summary (£'000)</t>
        </is>
      </c>
      <c r="AJ10" t="inlineStr">
        <is>
          <t>LCR</t>
        </is>
      </c>
    </row>
    <row r="11">
      <c r="A11" s="4" t="inlineStr">
        <is>
          <t>Line item</t>
        </is>
      </c>
      <c r="B11" s="4" t="inlineStr">
        <is>
          <t>FY2025</t>
        </is>
      </c>
      <c r="C11" s="4" t="inlineStr">
        <is>
          <t>FY2024</t>
        </is>
      </c>
      <c r="D11" s="4" t="inlineStr">
        <is>
          <t>FY2023</t>
        </is>
      </c>
      <c r="E11" s="4" t="inlineStr">
        <is>
          <t>FY2022</t>
        </is>
      </c>
      <c r="P11" t="inlineStr">
        <is>
          <t>FY2022</t>
        </is>
      </c>
      <c r="Q11" t="inlineStr">
        <is>
          <t>FY2023</t>
        </is>
      </c>
      <c r="R11" t="inlineStr">
        <is>
          <t>FY2024</t>
        </is>
      </c>
      <c r="S11" t="inlineStr">
        <is>
          <t>FY2025</t>
        </is>
      </c>
      <c r="AJ11" t="inlineStr">
        <is>
          <t>NSFR</t>
        </is>
      </c>
    </row>
    <row r="12">
      <c r="A12" s="5" t="inlineStr">
        <is>
          <t>Net interest income</t>
        </is>
      </c>
      <c r="B12" s="5" t="n">
        <v>4141</v>
      </c>
      <c r="C12" s="5" t="n">
        <v>2748</v>
      </c>
      <c r="D12" s="5" t="n">
        <v>1194</v>
      </c>
      <c r="E12" s="5" t="n">
        <v>226</v>
      </c>
      <c r="O12" t="inlineStr">
        <is>
          <t>Net interest income</t>
        </is>
      </c>
      <c r="P12" t="n">
        <v>226</v>
      </c>
      <c r="Q12" t="n">
        <v>1194</v>
      </c>
      <c r="R12" t="n">
        <v>2748</v>
      </c>
      <c r="S12" t="n">
        <v>4141</v>
      </c>
    </row>
    <row r="13">
      <c r="A13" s="5" t="inlineStr">
        <is>
          <t>Net operating income/(expense)</t>
        </is>
      </c>
      <c r="B13" s="5" t="n">
        <v>6714</v>
      </c>
      <c r="C13" s="5" t="n">
        <v>3689</v>
      </c>
      <c r="D13" s="5" t="n">
        <v>816</v>
      </c>
      <c r="E13" s="5" t="n">
        <v>-248</v>
      </c>
      <c r="O13" t="inlineStr">
        <is>
          <t>Net operating income/(expense)</t>
        </is>
      </c>
      <c r="P13" t="n">
        <v>-248</v>
      </c>
      <c r="Q13" t="n">
        <v>816</v>
      </c>
      <c r="R13" t="n">
        <v>3689</v>
      </c>
      <c r="S13" t="n">
        <v>6714</v>
      </c>
    </row>
    <row r="14">
      <c r="A14" s="5" t="inlineStr">
        <is>
          <t>Loss for the year</t>
        </is>
      </c>
      <c r="B14" s="5" t="n">
        <v>-23503</v>
      </c>
      <c r="C14" s="5" t="n">
        <v>-23970</v>
      </c>
      <c r="D14" s="5" t="n">
        <v>-12414</v>
      </c>
      <c r="E14" s="5" t="n">
        <v>-12823</v>
      </c>
      <c r="O14" t="inlineStr">
        <is>
          <t>Loss for the year</t>
        </is>
      </c>
      <c r="P14" t="n">
        <v>-12823</v>
      </c>
      <c r="Q14" t="n">
        <v>-12414</v>
      </c>
      <c r="R14" t="n">
        <v>-23970</v>
      </c>
      <c r="S14" t="n">
        <v>-23503</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W17" t="inlineStr">
        <is>
          <t>FY2022</t>
        </is>
      </c>
      <c r="X17" t="inlineStr">
        <is>
          <t>FY2023</t>
        </is>
      </c>
      <c r="Y17" t="inlineStr">
        <is>
          <t>FY2024</t>
        </is>
      </c>
      <c r="Z17" t="inlineStr">
        <is>
          <t>FY2025</t>
        </is>
      </c>
    </row>
    <row r="18">
      <c r="A18" s="5" t="inlineStr">
        <is>
          <t>Total equity</t>
        </is>
      </c>
      <c r="B18" s="5" t="n">
        <v>23217</v>
      </c>
      <c r="C18" s="5" t="n">
        <v>22143</v>
      </c>
      <c r="D18" s="5" t="n">
        <v>26686</v>
      </c>
      <c r="E18" s="5" t="n">
        <v>18109</v>
      </c>
      <c r="V18" t="inlineStr">
        <is>
          <t>Total equity</t>
        </is>
      </c>
      <c r="W18" t="n">
        <v>18109</v>
      </c>
      <c r="X18" t="n">
        <v>26686</v>
      </c>
      <c r="Y18" t="n">
        <v>22143</v>
      </c>
      <c r="Z18" t="n">
        <v>23217</v>
      </c>
    </row>
    <row r="20">
      <c r="A20" s="3" t="inlineStr">
        <is>
          <t>Cash Flow Summary (£'000)</t>
        </is>
      </c>
    </row>
    <row r="21">
      <c r="A21" s="4" t="inlineStr">
        <is>
          <t>Line item</t>
        </is>
      </c>
      <c r="B21" s="4" t="inlineStr">
        <is>
          <t>FY2025</t>
        </is>
      </c>
      <c r="C21" s="4" t="inlineStr">
        <is>
          <t>FY2024</t>
        </is>
      </c>
      <c r="D21" s="4" t="inlineStr">
        <is>
          <t>FY2023</t>
        </is>
      </c>
      <c r="E21" s="4" t="inlineStr">
        <is>
          <t>FY2022</t>
        </is>
      </c>
      <c r="AD21" t="inlineStr">
        <is>
          <t>FY2022</t>
        </is>
      </c>
      <c r="AE21" t="inlineStr">
        <is>
          <t>FY2023</t>
        </is>
      </c>
      <c r="AF21" t="inlineStr">
        <is>
          <t>FY2024</t>
        </is>
      </c>
      <c r="AG21" t="inlineStr">
        <is>
          <t>FY2025</t>
        </is>
      </c>
    </row>
    <row r="22">
      <c r="A22" s="5" t="inlineStr">
        <is>
          <t>Net cash from/(used in) operating activities</t>
        </is>
      </c>
      <c r="B22" s="5" t="n">
        <v>-527319</v>
      </c>
      <c r="C22" s="5" t="n">
        <v>587552</v>
      </c>
      <c r="D22" s="5" t="n">
        <v>186279</v>
      </c>
      <c r="E22" s="5" t="n">
        <v>-15019</v>
      </c>
      <c r="AC22" t="inlineStr">
        <is>
          <t>Net cash from/(used in) operating activities</t>
        </is>
      </c>
      <c r="AD22" t="n">
        <v>-15019</v>
      </c>
      <c r="AE22" t="n">
        <v>186279</v>
      </c>
      <c r="AF22" t="n">
        <v>587552</v>
      </c>
      <c r="AG22" t="n">
        <v>-527319</v>
      </c>
    </row>
    <row r="23">
      <c r="A23" s="5" t="inlineStr">
        <is>
          <t>Net cash used in investing activities</t>
        </is>
      </c>
      <c r="B23" s="5" t="n">
        <v>-1</v>
      </c>
      <c r="C23" s="5" t="n">
        <v>-17</v>
      </c>
      <c r="D23" s="5" t="n">
        <v>-32</v>
      </c>
      <c r="E23" s="5" t="n">
        <v>-109</v>
      </c>
      <c r="AC23" t="inlineStr">
        <is>
          <t>Net cash used in investing activities</t>
        </is>
      </c>
      <c r="AD23" t="n">
        <v>-109</v>
      </c>
      <c r="AE23" t="n">
        <v>-32</v>
      </c>
      <c r="AF23" t="n">
        <v>-17</v>
      </c>
      <c r="AG23" t="n">
        <v>-1</v>
      </c>
    </row>
    <row r="24">
      <c r="A24" s="5" t="inlineStr">
        <is>
          <t>Net cash from financing activities</t>
        </is>
      </c>
      <c r="B24" s="5" t="n">
        <v>24500</v>
      </c>
      <c r="C24" s="5" t="n">
        <v>19000</v>
      </c>
      <c r="D24" s="5" t="n">
        <v>20500</v>
      </c>
      <c r="E24" s="5" t="n">
        <v>31540</v>
      </c>
      <c r="AC24" t="inlineStr">
        <is>
          <t>Net cash from financing activities</t>
        </is>
      </c>
      <c r="AD24" t="n">
        <v>31540</v>
      </c>
      <c r="AE24" t="n">
        <v>20500</v>
      </c>
      <c r="AF24" t="n">
        <v>19000</v>
      </c>
      <c r="AG24" t="n">
        <v>24500</v>
      </c>
    </row>
    <row r="25">
      <c r="A25" s="5" t="inlineStr">
        <is>
          <t>Total cash and cash equivalents at end of the year</t>
        </is>
      </c>
      <c r="B25" s="5" t="n">
        <v>326874</v>
      </c>
      <c r="C25" s="5" t="n">
        <v>829694</v>
      </c>
      <c r="D25" s="5" t="n">
        <v>223159</v>
      </c>
      <c r="E25" s="5" t="n">
        <v>16412</v>
      </c>
      <c r="AC25" t="inlineStr">
        <is>
          <t>Total cash and cash equivalents at end of the year</t>
        </is>
      </c>
      <c r="AD25" t="n">
        <v>16412</v>
      </c>
      <c r="AE25" t="n">
        <v>223159</v>
      </c>
      <c r="AF25" t="n">
        <v>829694</v>
      </c>
      <c r="AG25" t="n">
        <v>326874</v>
      </c>
    </row>
    <row r="27">
      <c r="A27" s="3" t="inlineStr">
        <is>
          <t>Pillar 3 Key Metrics</t>
        </is>
      </c>
    </row>
    <row r="28">
      <c r="A28" s="4" t="inlineStr">
        <is>
          <t>Line item</t>
        </is>
      </c>
      <c r="B28" s="4" t="inlineStr">
        <is>
          <t>FY2025</t>
        </is>
      </c>
      <c r="C28" s="4" t="inlineStr">
        <is>
          <t>FY2024</t>
        </is>
      </c>
      <c r="D28" s="4" t="inlineStr">
        <is>
          <t>FY2023</t>
        </is>
      </c>
      <c r="E28" s="4" t="inlineStr">
        <is>
          <t>FY2022</t>
        </is>
      </c>
    </row>
    <row r="29">
      <c r="A29" s="6" t="inlineStr">
        <is>
          <t>CET1 Ratio</t>
        </is>
      </c>
      <c r="B29" s="6" t="inlineStr">
        <is>
          <t>82.94%</t>
        </is>
      </c>
      <c r="C29" s="6" t="inlineStr">
        <is>
          <t>88.91%</t>
        </is>
      </c>
      <c r="D29" s="6" t="n"/>
      <c r="E29" s="6" t="n"/>
    </row>
    <row r="30">
      <c r="A30" s="6" t="inlineStr">
        <is>
          <t>Tier 1 Ratio</t>
        </is>
      </c>
      <c r="B30" s="6" t="inlineStr">
        <is>
          <t>Not publicly disclosed</t>
        </is>
      </c>
      <c r="C30" s="6" t="inlineStr">
        <is>
          <t>Not publicly disclosed</t>
        </is>
      </c>
      <c r="D30" s="6" t="inlineStr">
        <is>
          <t>Not publicly disclosed</t>
        </is>
      </c>
      <c r="E30" s="6" t="inlineStr">
        <is>
          <t>Not publicly disclosed</t>
        </is>
      </c>
    </row>
    <row r="31">
      <c r="A31" s="6" t="inlineStr">
        <is>
          <t>Total Capital Ratio</t>
        </is>
      </c>
      <c r="B31" s="6" t="inlineStr">
        <is>
          <t>Not publicly disclosed</t>
        </is>
      </c>
      <c r="C31" s="6" t="inlineStr">
        <is>
          <t>Not publicly disclosed</t>
        </is>
      </c>
      <c r="D31" s="6" t="inlineStr">
        <is>
          <t>Not publicly disclosed</t>
        </is>
      </c>
      <c r="E31" s="6" t="inlineStr">
        <is>
          <t>Not publicly disclosed</t>
        </is>
      </c>
    </row>
    <row r="32">
      <c r="A32" s="6" t="inlineStr">
        <is>
          <t>Leverage Ratio</t>
        </is>
      </c>
      <c r="B32" s="6" t="inlineStr">
        <is>
          <t>Not publicly disclosed</t>
        </is>
      </c>
      <c r="C32" s="6" t="inlineStr">
        <is>
          <t>Not publicly disclosed</t>
        </is>
      </c>
      <c r="D32" s="6" t="inlineStr">
        <is>
          <t>Not publicly disclosed</t>
        </is>
      </c>
      <c r="E32" s="6" t="inlineStr">
        <is>
          <t>Not publicly disclosed</t>
        </is>
      </c>
    </row>
    <row r="33">
      <c r="A33" s="6" t="inlineStr">
        <is>
          <t>LCR</t>
        </is>
      </c>
      <c r="B33" s="6" t="inlineStr">
        <is>
          <t>Not publicly disclosed</t>
        </is>
      </c>
      <c r="C33" s="6" t="inlineStr">
        <is>
          <t>Not publicly disclosed</t>
        </is>
      </c>
      <c r="D33" s="6" t="inlineStr">
        <is>
          <t>Not publicly disclosed</t>
        </is>
      </c>
      <c r="E33" s="6" t="inlineStr">
        <is>
          <t>Not publicly disclosed</t>
        </is>
      </c>
    </row>
    <row r="34">
      <c r="A34" s="6" t="inlineStr">
        <is>
          <t>NSFR</t>
        </is>
      </c>
      <c r="B34" s="6" t="inlineStr">
        <is>
          <t>Not publicly disclosed</t>
        </is>
      </c>
      <c r="C34" s="6" t="inlineStr">
        <is>
          <t>Not publicly disclosed</t>
        </is>
      </c>
      <c r="D34" s="6" t="inlineStr">
        <is>
          <t>Not publicly disclosed</t>
        </is>
      </c>
      <c r="E34" s="6" t="inlineStr">
        <is>
          <t>Not publicly disclosed</t>
        </is>
      </c>
    </row>
    <row r="36" ht="45" customHeight="1">
      <c r="A36" s="7" t="inlineStr">
        <is>
          <t>Note: Figures are duplicated from the detail sheets for at-a-glance trend viewing; see each sheet's own source citation for the underlying document/page. No standalone Pillar 3 disclosure is published by this bank - the CET1 ratio (FY2025/FY2024 only) is the only Pillar 3-style metric found anywhere in the public domain for any year, so the ratios chart below is necessarily sparse. See the REGULATORY NOTE on the Cash Flow Statement sheet re: a March 2026 PRA Final Notice covering inaccurate capital reporting in part of this window.</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Balance Sheet</t>
        </is>
      </c>
    </row>
    <row r="2">
      <c r="A2" s="2" t="inlineStr">
        <is>
          <t>Statement of Financial Position, £'000. FY2022-FY2025 (4 years - no clean earlier history).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cash equivalents</t>
        </is>
      </c>
      <c r="B5" s="6" t="n">
        <v>326874</v>
      </c>
      <c r="C5" s="6" t="n">
        <v>829694</v>
      </c>
      <c r="D5" s="6" t="n">
        <v>223159</v>
      </c>
      <c r="E5" s="6" t="n">
        <v>16412</v>
      </c>
    </row>
    <row r="6">
      <c r="A6" s="6" t="inlineStr">
        <is>
          <t>Receivables and other assets</t>
        </is>
      </c>
      <c r="B6" s="6" t="n">
        <v>19074</v>
      </c>
      <c r="C6" s="6" t="n">
        <v>18198</v>
      </c>
      <c r="D6" s="6" t="n">
        <v>18420</v>
      </c>
      <c r="E6" s="6" t="n">
        <v>3539</v>
      </c>
    </row>
    <row r="7">
      <c r="A7" s="6" t="inlineStr">
        <is>
          <t>Property, plant and equipment</t>
        </is>
      </c>
      <c r="B7" s="6" t="n">
        <v>16</v>
      </c>
      <c r="C7" s="6" t="n">
        <v>52</v>
      </c>
      <c r="D7" s="6" t="n">
        <v>87</v>
      </c>
      <c r="E7" s="6" t="n">
        <v>93</v>
      </c>
    </row>
    <row r="8">
      <c r="A8" s="6" t="inlineStr">
        <is>
          <t>Right-of-use assets</t>
        </is>
      </c>
      <c r="B8" s="6" t="n">
        <v>40</v>
      </c>
      <c r="C8" s="6" t="n"/>
      <c r="D8" s="6" t="n"/>
      <c r="E8" s="6" t="n"/>
    </row>
    <row r="9">
      <c r="A9" s="5" t="inlineStr">
        <is>
          <t>Total assets</t>
        </is>
      </c>
      <c r="B9" s="5" t="n">
        <v>346004</v>
      </c>
      <c r="C9" s="5" t="n">
        <v>847944</v>
      </c>
      <c r="D9" s="5" t="n">
        <v>241666</v>
      </c>
      <c r="E9" s="5" t="n">
        <v>20044</v>
      </c>
    </row>
    <row r="10">
      <c r="A10" s="5" t="inlineStr">
        <is>
          <t>Liabilities</t>
        </is>
      </c>
      <c r="B10" s="6" t="n"/>
      <c r="C10" s="6" t="n"/>
      <c r="D10" s="6" t="n"/>
      <c r="E10" s="6" t="n"/>
    </row>
    <row r="11">
      <c r="A11" s="6" t="inlineStr">
        <is>
          <t>Customer deposits</t>
        </is>
      </c>
      <c r="B11" s="6" t="n">
        <v>301129</v>
      </c>
      <c r="C11" s="6" t="n">
        <v>807019</v>
      </c>
      <c r="D11" s="6" t="n">
        <v>212531</v>
      </c>
      <c r="E11" s="6" t="n">
        <v>1</v>
      </c>
    </row>
    <row r="12">
      <c r="A12" s="6" t="inlineStr">
        <is>
          <t>Other payables</t>
        </is>
      </c>
      <c r="B12" s="6" t="n">
        <v>21182</v>
      </c>
      <c r="C12" s="6" t="n">
        <v>18488</v>
      </c>
      <c r="D12" s="6" t="n">
        <v>2449</v>
      </c>
      <c r="E12" s="6" t="n">
        <v>1934</v>
      </c>
    </row>
    <row r="13">
      <c r="A13" s="6" t="inlineStr">
        <is>
          <t>Provisions</t>
        </is>
      </c>
      <c r="B13" s="6" t="n">
        <v>382</v>
      </c>
      <c r="C13" s="6" t="n">
        <v>294</v>
      </c>
      <c r="D13" s="6" t="n"/>
      <c r="E13" s="6" t="n"/>
    </row>
    <row r="14">
      <c r="A14" s="6" t="inlineStr">
        <is>
          <t>Lease liability</t>
        </is>
      </c>
      <c r="B14" s="6" t="n">
        <v>94</v>
      </c>
      <c r="C14" s="6" t="n"/>
      <c r="D14" s="6" t="n"/>
      <c r="E14" s="6" t="n"/>
    </row>
    <row r="15">
      <c r="A15" s="5" t="inlineStr">
        <is>
          <t>Total liabilities</t>
        </is>
      </c>
      <c r="B15" s="5" t="n">
        <v>322787</v>
      </c>
      <c r="C15" s="5" t="n">
        <v>825801</v>
      </c>
      <c r="D15" s="5" t="n">
        <v>214980</v>
      </c>
      <c r="E15" s="5" t="n">
        <v>1935</v>
      </c>
    </row>
    <row r="16">
      <c r="A16" s="5" t="inlineStr">
        <is>
          <t>Equity</t>
        </is>
      </c>
      <c r="B16" s="6" t="n"/>
      <c r="C16" s="6" t="n"/>
      <c r="D16" s="6" t="n"/>
      <c r="E16" s="6" t="n"/>
    </row>
    <row r="17">
      <c r="A17" s="6" t="inlineStr">
        <is>
          <t>Share capital</t>
        </is>
      </c>
      <c r="B17" s="6" t="n">
        <v>468</v>
      </c>
      <c r="C17" s="6" t="n">
        <v>345</v>
      </c>
      <c r="D17" s="6" t="n">
        <v>250</v>
      </c>
      <c r="E17" s="6" t="n">
        <v>148</v>
      </c>
    </row>
    <row r="18">
      <c r="A18" s="6" t="inlineStr">
        <is>
          <t>Share premium</t>
        </is>
      </c>
      <c r="B18" s="6" t="n">
        <v>95072</v>
      </c>
      <c r="C18" s="6" t="n">
        <v>70695</v>
      </c>
      <c r="D18" s="6" t="n">
        <v>51790</v>
      </c>
      <c r="E18" s="6" t="n">
        <v>31392</v>
      </c>
    </row>
    <row r="19">
      <c r="A19" s="6" t="inlineStr">
        <is>
          <t>Share-based payment reserve</t>
        </is>
      </c>
      <c r="B19" s="6" t="n">
        <v>981</v>
      </c>
      <c r="C19" s="6" t="n">
        <v>1632</v>
      </c>
      <c r="D19" s="6" t="n">
        <v>1205</v>
      </c>
      <c r="E19" s="6" t="n">
        <v>714</v>
      </c>
    </row>
    <row r="20">
      <c r="A20" s="6" t="inlineStr">
        <is>
          <t>Retained earnings</t>
        </is>
      </c>
      <c r="B20" s="6" t="n">
        <v>-73304</v>
      </c>
      <c r="C20" s="6" t="n">
        <v>-50529</v>
      </c>
      <c r="D20" s="6" t="n">
        <v>-26559</v>
      </c>
      <c r="E20" s="6" t="n">
        <v>-14145</v>
      </c>
    </row>
    <row r="21">
      <c r="A21" s="5" t="inlineStr">
        <is>
          <t>Total equity</t>
        </is>
      </c>
      <c r="B21" s="5" t="n">
        <v>23217</v>
      </c>
      <c r="C21" s="5" t="n">
        <v>22143</v>
      </c>
      <c r="D21" s="5" t="n">
        <v>26686</v>
      </c>
      <c r="E21" s="5" t="n">
        <v>18109</v>
      </c>
    </row>
    <row r="22">
      <c r="A22" s="5" t="inlineStr">
        <is>
          <t>Total liabilities and equity</t>
        </is>
      </c>
      <c r="B22" s="5" t="n">
        <v>346004</v>
      </c>
      <c r="C22" s="5" t="n">
        <v>847944</v>
      </c>
      <c r="D22" s="5" t="n">
        <v>241666</v>
      </c>
      <c r="E22" s="5" t="n">
        <v>20044</v>
      </c>
    </row>
    <row r="24" ht="230" customHeight="1">
      <c r="A24" s="8" t="inlineStr">
        <is>
          <t>Sources - all figures are The Bank of London Group Limited, £'000. See entity note below re: 4-year window.
FY2025/FY2024: Annual Report and Financial Statements, year ended 31 December 2025, p.26 (Statement of Financial Position) - https://find-and-update.company-information.service.gov.uk/company/12844788/filing-history/MzUzODUxMzE5M2FkaXF6a2N4/document?format=pdf&amp;download=0
FY2023: Annual Report and Financial Statements, year ended 31 December 2023, p.28 (Statement of Financial Position) - https://find-and-update.company-information.service.gov.uk/company/12844788/filing-history/MzQ2NTkxNTY0NWFkaXF6a2N4/document?format=pdf&amp;download=0
FY2022: Annual Report and Financial Statements, year ended 31 December 2023, p.28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annual report restated its 1 January 2022 and 31 December 2022 balances - see note 18, 'Prior year adjustments' - reclassifying most of the originally-stated Total equity into a structure closer to what's shown here; the FY2022 column uses that restated figure (the only version FY2023's own report carries forward), consistent with the equity ladder on the Statement of Changes in Equity sheet. Right-of-use-assets and Lease Liability only appear from FY2025 (the Bank took on its first lease that year). Provisions only appear from FY2024. Total assets = Total liabilities + Total equity exactly in every year.</t>
        </is>
      </c>
    </row>
  </sheetData>
  <mergeCells count="1">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Profit &amp; Loss</t>
        </is>
      </c>
    </row>
    <row r="2">
      <c r="A2" s="2" t="inlineStr">
        <is>
          <t>Statement of Profit or Loss and other comprehensive income, £'000. FY2022-FY2025 (4 years).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24290</v>
      </c>
      <c r="C5" s="6" t="n">
        <v>24027</v>
      </c>
      <c r="D5" s="6" t="n">
        <v>3502</v>
      </c>
      <c r="E5" s="6" t="n">
        <v>227</v>
      </c>
    </row>
    <row r="6">
      <c r="A6" s="6" t="inlineStr">
        <is>
          <t>Interest expense</t>
        </is>
      </c>
      <c r="B6" s="6" t="n">
        <v>-20149</v>
      </c>
      <c r="C6" s="6" t="n">
        <v>-21279</v>
      </c>
      <c r="D6" s="6" t="n">
        <v>-2308</v>
      </c>
      <c r="E6" s="6" t="n">
        <v>-1</v>
      </c>
    </row>
    <row r="7">
      <c r="A7" s="5" t="inlineStr">
        <is>
          <t>Net interest income</t>
        </is>
      </c>
      <c r="B7" s="5" t="n">
        <v>4141</v>
      </c>
      <c r="C7" s="5" t="n">
        <v>2748</v>
      </c>
      <c r="D7" s="5" t="n">
        <v>1194</v>
      </c>
      <c r="E7" s="5" t="n">
        <v>226</v>
      </c>
    </row>
    <row r="8">
      <c r="A8" s="6" t="inlineStr">
        <is>
          <t>Fee and commission income</t>
        </is>
      </c>
      <c r="B8" s="6" t="n">
        <v>3088</v>
      </c>
      <c r="C8" s="6" t="n">
        <v>1510</v>
      </c>
      <c r="D8" s="6" t="n">
        <v>216</v>
      </c>
      <c r="E8" s="6" t="n">
        <v>0</v>
      </c>
    </row>
    <row r="9">
      <c r="A9" s="6" t="inlineStr">
        <is>
          <t>Fee and commission expense</t>
        </is>
      </c>
      <c r="B9" s="6" t="n">
        <v>-466</v>
      </c>
      <c r="C9" s="6" t="n">
        <v>-431</v>
      </c>
      <c r="D9" s="6" t="n">
        <v>-198</v>
      </c>
      <c r="E9" s="6" t="n">
        <v>-376</v>
      </c>
    </row>
    <row r="10">
      <c r="A10" s="5" t="inlineStr">
        <is>
          <t>Net fee and commission income/(expense)</t>
        </is>
      </c>
      <c r="B10" s="5" t="n">
        <v>2622</v>
      </c>
      <c r="C10" s="5" t="n">
        <v>1079</v>
      </c>
      <c r="D10" s="5" t="n">
        <v>18</v>
      </c>
      <c r="E10" s="5" t="n">
        <v>-376</v>
      </c>
    </row>
    <row r="11">
      <c r="A11" s="6" t="inlineStr">
        <is>
          <t>Credit loss expense on financial assets</t>
        </is>
      </c>
      <c r="B11" s="6" t="n">
        <v>-42</v>
      </c>
      <c r="C11" s="6" t="n">
        <v>-136</v>
      </c>
      <c r="D11" s="6" t="n">
        <v>-395</v>
      </c>
      <c r="E11" s="6" t="n">
        <v>-93</v>
      </c>
    </row>
    <row r="12">
      <c r="A12" s="6" t="inlineStr">
        <is>
          <t>Other operating expense</t>
        </is>
      </c>
      <c r="B12" s="6" t="n">
        <v>-7</v>
      </c>
      <c r="C12" s="6" t="n">
        <v>-2</v>
      </c>
      <c r="D12" s="6" t="n">
        <v>-1</v>
      </c>
      <c r="E12" s="6" t="n">
        <v>-5</v>
      </c>
    </row>
    <row r="13">
      <c r="A13" s="5" t="inlineStr">
        <is>
          <t>Net operating income/(expense)</t>
        </is>
      </c>
      <c r="B13" s="5" t="n">
        <v>6714</v>
      </c>
      <c r="C13" s="5" t="n">
        <v>3689</v>
      </c>
      <c r="D13" s="5" t="n">
        <v>816</v>
      </c>
      <c r="E13" s="5" t="n">
        <v>-248</v>
      </c>
    </row>
    <row r="14">
      <c r="A14" s="6" t="inlineStr">
        <is>
          <t>Administrative expenses</t>
        </is>
      </c>
      <c r="B14" s="6" t="n">
        <v>-30217</v>
      </c>
      <c r="C14" s="6" t="n">
        <v>-27659</v>
      </c>
      <c r="D14" s="6" t="n">
        <v>-13230</v>
      </c>
      <c r="E14" s="6" t="n">
        <v>-12575</v>
      </c>
    </row>
    <row r="15">
      <c r="A15" s="5" t="inlineStr">
        <is>
          <t>Loss before taxation</t>
        </is>
      </c>
      <c r="B15" s="5" t="n">
        <v>-23503</v>
      </c>
      <c r="C15" s="5" t="n">
        <v>-23970</v>
      </c>
      <c r="D15" s="5" t="n">
        <v>-12414</v>
      </c>
      <c r="E15" s="5" t="n">
        <v>-12823</v>
      </c>
    </row>
    <row r="16">
      <c r="A16" s="6" t="inlineStr">
        <is>
          <t>Taxation</t>
        </is>
      </c>
      <c r="B16" s="6" t="n">
        <v>0</v>
      </c>
      <c r="C16" s="6" t="n">
        <v>0</v>
      </c>
      <c r="D16" s="6" t="n">
        <v>0</v>
      </c>
      <c r="E16" s="6" t="n">
        <v>0</v>
      </c>
    </row>
    <row r="17">
      <c r="A17" s="5" t="inlineStr">
        <is>
          <t>Loss for the year</t>
        </is>
      </c>
      <c r="B17" s="5" t="n">
        <v>-23503</v>
      </c>
      <c r="C17" s="5" t="n">
        <v>-23970</v>
      </c>
      <c r="D17" s="5" t="n">
        <v>-12414</v>
      </c>
      <c r="E17" s="5" t="n">
        <v>-12823</v>
      </c>
    </row>
    <row r="18">
      <c r="A18" s="5" t="inlineStr">
        <is>
          <t>Total comprehensive loss for the year</t>
        </is>
      </c>
      <c r="B18" s="5" t="n">
        <v>-23503</v>
      </c>
      <c r="C18" s="5" t="n">
        <v>-23970</v>
      </c>
      <c r="D18" s="5" t="n">
        <v>-12414</v>
      </c>
      <c r="E18" s="5" t="n">
        <v>-12823</v>
      </c>
    </row>
    <row r="20" ht="210" customHeight="1">
      <c r="A20" s="8" t="inlineStr">
        <is>
          <t>Sources - all figures are The Bank of London Group Limited, £'000. See entity note below re: 4-year window.
FY2025/FY2024: Annual Report and Financial Statements, year ended 31 December 2025, p.25 (Statement of Profit or Loss and other comprehensive income) - https://find-and-update.company-information.service.gov.uk/company/12844788/filing-history/MzUzODUxMzE5M2FkaXF6a2N4/document?format=pdf&amp;download=0
FY2023: Annual Report and Financial Statements, year ended 31 December 2023, p.27 (Statement of Profit or Loss and other comprehensive income) - https://find-and-update.company-information.service.gov.uk/company/12844788/filing-history/MzQ2NTkxNTY0NWFkaXF6a2N4/document?format=pdf&amp;download=0
FY2022: Annual Report and Financial Statements, year ended 31 December 2023, p.27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FY2025/FY2024's own report labels the top line 'Interest revenue'; FY2023/FY2022's own report labels the same line 'Interest income' - same line, relabelled, not a data difference. Taxation is nil in every year shown (the Bank has never recognised a deferred tax asset against its accumulated losses - see the CET1 Ratio sheet's regulatory note). Total comprehensive loss for the year = Loss for the year exactly in every year (no OCI items disclosed in any year).</t>
        </is>
      </c>
    </row>
  </sheetData>
  <mergeCells count="1">
    <mergeCell ref="A20:E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Bank of London Group Limited — Statement of Changes in Equity</t>
        </is>
      </c>
    </row>
    <row r="2">
      <c r="A2" s="2" t="inlineStr">
        <is>
          <t>£'000, chronological (oldest to newest). See source note at bottom.</t>
        </is>
      </c>
    </row>
    <row r="3">
      <c r="A3" s="4" t="inlineStr">
        <is>
          <t>Movement</t>
        </is>
      </c>
      <c r="B3" s="4" t="inlineStr">
        <is>
          <t>Share capital</t>
        </is>
      </c>
      <c r="C3" s="4" t="inlineStr">
        <is>
          <t>Share premium</t>
        </is>
      </c>
      <c r="D3" s="4" t="inlineStr">
        <is>
          <t>Total share capital</t>
        </is>
      </c>
      <c r="E3" s="4" t="inlineStr">
        <is>
          <t>Share-based payment reserve</t>
        </is>
      </c>
      <c r="F3" s="4" t="inlineStr">
        <is>
          <t>Retained earnings</t>
        </is>
      </c>
      <c r="G3" s="4" t="inlineStr">
        <is>
          <t>Total equity</t>
        </is>
      </c>
    </row>
    <row r="4">
      <c r="A4" s="6" t="inlineStr">
        <is>
          <t>Balance as at 1 January 2022 (as originally stated)</t>
        </is>
      </c>
      <c r="B4" s="6" t="n">
        <v>103</v>
      </c>
      <c r="C4" s="6" t="n">
        <v>22437</v>
      </c>
      <c r="D4" s="6" t="n">
        <v>22540</v>
      </c>
      <c r="E4" s="6" t="n"/>
      <c r="F4" s="6" t="n">
        <v>-1322</v>
      </c>
      <c r="G4" s="6" t="n">
        <v>21218</v>
      </c>
    </row>
    <row r="5">
      <c r="A5" s="6" t="inlineStr">
        <is>
          <t>Prior year adjustment (net of tax)</t>
        </is>
      </c>
      <c r="B5" s="6" t="n">
        <v>-103</v>
      </c>
      <c r="C5" s="6" t="n">
        <v>-22437</v>
      </c>
      <c r="D5" s="6" t="n">
        <v>-22540</v>
      </c>
      <c r="E5" s="6" t="n"/>
      <c r="F5" s="6" t="n">
        <v>0</v>
      </c>
      <c r="G5" s="6" t="n">
        <v>-22540</v>
      </c>
    </row>
    <row r="6">
      <c r="A6" s="5" t="inlineStr">
        <is>
          <t>Balance as at 1 January 2022 (restated)</t>
        </is>
      </c>
      <c r="B6" s="5" t="n">
        <v>0</v>
      </c>
      <c r="C6" s="5" t="n">
        <v>0</v>
      </c>
      <c r="D6" s="5" t="n">
        <v>0</v>
      </c>
      <c r="E6" s="5" t="n"/>
      <c r="F6" s="5" t="n">
        <v>-1322</v>
      </c>
      <c r="G6" s="5" t="n">
        <v>-1322</v>
      </c>
    </row>
    <row r="7">
      <c r="A7" s="6" t="inlineStr">
        <is>
          <t>Loss for the year (FY2022)</t>
        </is>
      </c>
      <c r="B7" s="6" t="n"/>
      <c r="C7" s="6" t="n"/>
      <c r="D7" s="6" t="n"/>
      <c r="E7" s="6" t="n"/>
      <c r="F7" s="6" t="n">
        <v>-12823</v>
      </c>
      <c r="G7" s="6" t="n">
        <v>-12823</v>
      </c>
    </row>
    <row r="8">
      <c r="A8" s="6" t="inlineStr">
        <is>
          <t>Issue of shares (FY2022)</t>
        </is>
      </c>
      <c r="B8" s="6" t="n">
        <v>148</v>
      </c>
      <c r="C8" s="6" t="n">
        <v>31392</v>
      </c>
      <c r="D8" s="6" t="n">
        <v>31540</v>
      </c>
      <c r="E8" s="6" t="n"/>
      <c r="F8" s="6" t="n"/>
      <c r="G8" s="6" t="n">
        <v>31540</v>
      </c>
    </row>
    <row r="9">
      <c r="A9" s="6" t="inlineStr">
        <is>
          <t>Share-based payment reserve (FY2022)</t>
        </is>
      </c>
      <c r="B9" s="6" t="n"/>
      <c r="C9" s="6" t="n"/>
      <c r="D9" s="6" t="n"/>
      <c r="E9" s="6" t="n">
        <v>714</v>
      </c>
      <c r="F9" s="6" t="n"/>
      <c r="G9" s="6" t="n">
        <v>714</v>
      </c>
    </row>
    <row r="10">
      <c r="A10" s="5" t="inlineStr">
        <is>
          <t>Balance as at 31 December 2022 (restated)</t>
        </is>
      </c>
      <c r="B10" s="5" t="n">
        <v>148</v>
      </c>
      <c r="C10" s="5" t="n">
        <v>31392</v>
      </c>
      <c r="D10" s="5" t="n">
        <v>31540</v>
      </c>
      <c r="E10" s="5" t="n">
        <v>714</v>
      </c>
      <c r="F10" s="5" t="n">
        <v>-14145</v>
      </c>
      <c r="G10" s="5" t="n">
        <v>18109</v>
      </c>
    </row>
    <row r="11">
      <c r="A11" s="6" t="inlineStr">
        <is>
          <t>Loss for the year (FY2023)</t>
        </is>
      </c>
      <c r="B11" s="6" t="n"/>
      <c r="C11" s="6" t="n"/>
      <c r="D11" s="6" t="n"/>
      <c r="E11" s="6" t="n"/>
      <c r="F11" s="6" t="n">
        <v>-12414</v>
      </c>
      <c r="G11" s="6" t="n">
        <v>-12414</v>
      </c>
    </row>
    <row r="12">
      <c r="A12" s="6" t="inlineStr">
        <is>
          <t>Issue of shares (FY2023)</t>
        </is>
      </c>
      <c r="B12" s="6" t="n">
        <v>102</v>
      </c>
      <c r="C12" s="6" t="n">
        <v>20398</v>
      </c>
      <c r="D12" s="6" t="n">
        <v>20500</v>
      </c>
      <c r="E12" s="6" t="n"/>
      <c r="F12" s="6" t="n"/>
      <c r="G12" s="6" t="n">
        <v>20500</v>
      </c>
    </row>
    <row r="13">
      <c r="A13" s="6" t="inlineStr">
        <is>
          <t>Share-based payment reserve (FY2023)</t>
        </is>
      </c>
      <c r="B13" s="6" t="n"/>
      <c r="C13" s="6" t="n"/>
      <c r="D13" s="6" t="n"/>
      <c r="E13" s="6" t="n">
        <v>491</v>
      </c>
      <c r="F13" s="6" t="n"/>
      <c r="G13" s="6" t="n">
        <v>491</v>
      </c>
    </row>
    <row r="14">
      <c r="A14" s="5" t="inlineStr">
        <is>
          <t>Balance as at 31 December 2023</t>
        </is>
      </c>
      <c r="B14" s="5" t="n">
        <v>250</v>
      </c>
      <c r="C14" s="5" t="n">
        <v>51790</v>
      </c>
      <c r="D14" s="5" t="n">
        <v>52040</v>
      </c>
      <c r="E14" s="5" t="n">
        <v>1205</v>
      </c>
      <c r="F14" s="5" t="n">
        <v>-26559</v>
      </c>
      <c r="G14" s="5" t="n">
        <v>26686</v>
      </c>
    </row>
    <row r="15">
      <c r="A15" s="6" t="inlineStr">
        <is>
          <t>Loss for the year (FY2024)</t>
        </is>
      </c>
      <c r="B15" s="6" t="n"/>
      <c r="C15" s="6" t="n"/>
      <c r="D15" s="6" t="n"/>
      <c r="E15" s="6" t="n"/>
      <c r="F15" s="6" t="n">
        <v>-23970</v>
      </c>
      <c r="G15" s="6" t="n">
        <v>-23970</v>
      </c>
    </row>
    <row r="16">
      <c r="A16" s="6" t="inlineStr">
        <is>
          <t>Issue of shares (FY2024)</t>
        </is>
      </c>
      <c r="B16" s="6" t="n">
        <v>95</v>
      </c>
      <c r="C16" s="6" t="n">
        <v>18905</v>
      </c>
      <c r="D16" s="6" t="n">
        <v>19000</v>
      </c>
      <c r="E16" s="6" t="n"/>
      <c r="F16" s="6" t="n"/>
      <c r="G16" s="6" t="n">
        <v>19000</v>
      </c>
    </row>
    <row r="17">
      <c r="A17" s="6" t="inlineStr">
        <is>
          <t>Share-based payment reserve (FY2024)</t>
        </is>
      </c>
      <c r="B17" s="6" t="n"/>
      <c r="C17" s="6" t="n"/>
      <c r="D17" s="6" t="n"/>
      <c r="E17" s="6" t="n">
        <v>427</v>
      </c>
      <c r="F17" s="6" t="n"/>
      <c r="G17" s="6" t="n">
        <v>427</v>
      </c>
    </row>
    <row r="18">
      <c r="A18" s="5" t="inlineStr">
        <is>
          <t>Balance as at 31 December 2024</t>
        </is>
      </c>
      <c r="B18" s="5" t="n">
        <v>345</v>
      </c>
      <c r="C18" s="5" t="n">
        <v>70695</v>
      </c>
      <c r="D18" s="5" t="n">
        <v>71040</v>
      </c>
      <c r="E18" s="5" t="n">
        <v>1632</v>
      </c>
      <c r="F18" s="5" t="n">
        <v>-50529</v>
      </c>
      <c r="G18" s="5" t="n">
        <v>22143</v>
      </c>
    </row>
    <row r="19">
      <c r="A19" s="6" t="inlineStr">
        <is>
          <t>Loss for the year (FY2025)</t>
        </is>
      </c>
      <c r="B19" s="6" t="n"/>
      <c r="C19" s="6" t="n"/>
      <c r="D19" s="6" t="n"/>
      <c r="E19" s="6" t="n"/>
      <c r="F19" s="6" t="n">
        <v>-23503</v>
      </c>
      <c r="G19" s="6" t="n">
        <v>-23503</v>
      </c>
    </row>
    <row r="20">
      <c r="A20" s="6" t="inlineStr">
        <is>
          <t>Issue of shares (FY2025)</t>
        </is>
      </c>
      <c r="B20" s="6" t="n">
        <v>123</v>
      </c>
      <c r="C20" s="6" t="n">
        <v>24377</v>
      </c>
      <c r="D20" s="6" t="n">
        <v>24500</v>
      </c>
      <c r="E20" s="6" t="n"/>
      <c r="F20" s="6" t="n"/>
      <c r="G20" s="6" t="n">
        <v>24500</v>
      </c>
    </row>
    <row r="21">
      <c r="A21" s="6" t="inlineStr">
        <is>
          <t>Share-based payment reserve (FY2025)</t>
        </is>
      </c>
      <c r="B21" s="6" t="n"/>
      <c r="C21" s="6" t="n"/>
      <c r="D21" s="6" t="n"/>
      <c r="E21" s="6" t="n">
        <v>77</v>
      </c>
      <c r="F21" s="6" t="n"/>
      <c r="G21" s="6" t="n">
        <v>77</v>
      </c>
    </row>
    <row r="22">
      <c r="A22" s="6" t="inlineStr">
        <is>
          <t>Recycling share-based payment reserve (FY2025)</t>
        </is>
      </c>
      <c r="B22" s="6" t="n"/>
      <c r="C22" s="6" t="n"/>
      <c r="D22" s="6" t="n"/>
      <c r="E22" s="6" t="n">
        <v>-728</v>
      </c>
      <c r="F22" s="6" t="n">
        <v>728</v>
      </c>
      <c r="G22" s="6" t="n">
        <v>0</v>
      </c>
    </row>
    <row r="23">
      <c r="A23" s="5" t="inlineStr">
        <is>
          <t>Balance as at 31 December 2025</t>
        </is>
      </c>
      <c r="B23" s="5" t="n">
        <v>468</v>
      </c>
      <c r="C23" s="5" t="n">
        <v>95072</v>
      </c>
      <c r="D23" s="5" t="n">
        <v>95540</v>
      </c>
      <c r="E23" s="5" t="n">
        <v>981</v>
      </c>
      <c r="F23" s="5" t="n">
        <v>-73304</v>
      </c>
      <c r="G23" s="5" t="n">
        <v>23217</v>
      </c>
    </row>
    <row r="25" ht="150" customHeight="1">
      <c r="A25" s="8" t="inlineStr">
        <is>
          <t>Sources - all figures are The Bank of London Group Limited, £'000.
FY2025/FY2024: Annual Report and Financial Statements, year ended 31 December 2025, p.27 (Statement of Changes in Equity) - https://find-and-update.company-information.service.gov.uk/company/12844788/filing-history/MzUzODUxMzE5M2FkaXF6a2N4/document?format=pdf&amp;download=0
FY2023/FY2022 (incl. the 1 January 2022 restatement): Annual Report and Financial Statements, year ended 31 December 2023, p.29 (Statement of Changes in Equity)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report restated the 1 January 2022 opening balance (originally Share capital GBP103k, Share premium GBP22,437k, Total equity GBP21,218k) down to Retained earnings of GBP(1,322)k only - see note 18, 'Prior year adjustments', in that report; the underlying reason for the restatement isn't detailed further in the extracted pages. Every closing balance below ties exactly to that year's own Balance Sheet Total equity and to the next year's opening balance - zero undocumented plug rows.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The Bank of London Group Limited — Cash Flow Statement</t>
        </is>
      </c>
    </row>
    <row r="2">
      <c r="A2" s="2" t="inlineStr">
        <is>
          <t>£'000. FY2022-FY2025 (4 years - no clean earlier history; company launched Nov 2021).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Cash generated from/(used in) operations</t>
        </is>
      </c>
      <c r="B5" s="6" t="n"/>
      <c r="C5" s="6" t="n">
        <v>585593</v>
      </c>
      <c r="D5" s="6" t="n">
        <v>185085</v>
      </c>
      <c r="E5" s="6" t="n">
        <v>-15245</v>
      </c>
    </row>
    <row r="6">
      <c r="A6" s="6" t="inlineStr">
        <is>
          <t>Net cash (used in)/from operating activities (pre-interest)</t>
        </is>
      </c>
      <c r="B6" s="6" t="n">
        <v>-532314</v>
      </c>
      <c r="C6" s="6" t="n"/>
      <c r="D6" s="6" t="n"/>
      <c r="E6" s="6" t="n"/>
    </row>
    <row r="7">
      <c r="A7" s="6" t="inlineStr">
        <is>
          <t>Interest received from central bank</t>
        </is>
      </c>
      <c r="B7" s="6" t="n">
        <v>25200</v>
      </c>
      <c r="C7" s="6" t="n">
        <v>23209</v>
      </c>
      <c r="D7" s="6" t="n">
        <v>3502</v>
      </c>
      <c r="E7" s="6" t="n">
        <v>227</v>
      </c>
    </row>
    <row r="8">
      <c r="A8" s="6" t="inlineStr">
        <is>
          <t>Interest paid on customer deposits</t>
        </is>
      </c>
      <c r="B8" s="6" t="n">
        <v>-20149</v>
      </c>
      <c r="C8" s="6" t="n">
        <v>-21250</v>
      </c>
      <c r="D8" s="6" t="n">
        <v>-2308</v>
      </c>
      <c r="E8" s="6" t="n">
        <v>-1</v>
      </c>
    </row>
    <row r="9">
      <c r="A9" s="6" t="inlineStr">
        <is>
          <t>Cash payments to utilise provisions</t>
        </is>
      </c>
      <c r="B9" s="6" t="n">
        <v>-56</v>
      </c>
      <c r="C9" s="6" t="n"/>
      <c r="D9" s="6" t="n"/>
      <c r="E9" s="6" t="n"/>
    </row>
    <row r="10">
      <c r="A10" s="5" t="inlineStr">
        <is>
          <t>Net cash from/(used in) operating activities</t>
        </is>
      </c>
      <c r="B10" s="5" t="n">
        <v>-527319</v>
      </c>
      <c r="C10" s="5" t="n">
        <v>587552</v>
      </c>
      <c r="D10" s="5" t="n">
        <v>186279</v>
      </c>
      <c r="E10" s="5" t="n">
        <v>-15019</v>
      </c>
    </row>
    <row r="11">
      <c r="A11" s="5" t="inlineStr">
        <is>
          <t>Cash flows from investing activities</t>
        </is>
      </c>
      <c r="B11" s="6" t="n"/>
      <c r="C11" s="6" t="n"/>
      <c r="D11" s="6" t="n"/>
      <c r="E11" s="6" t="n"/>
    </row>
    <row r="12">
      <c r="A12" s="6" t="inlineStr">
        <is>
          <t>Purchase of property, plant and equipment</t>
        </is>
      </c>
      <c r="B12" s="6" t="n">
        <v>-1</v>
      </c>
      <c r="C12" s="6" t="n">
        <v>-17</v>
      </c>
      <c r="D12" s="6" t="n">
        <v>-32</v>
      </c>
      <c r="E12" s="6" t="n">
        <v>-109</v>
      </c>
    </row>
    <row r="13">
      <c r="A13" s="5" t="inlineStr">
        <is>
          <t>Net cash used in investing activities</t>
        </is>
      </c>
      <c r="B13" s="5" t="n">
        <v>-1</v>
      </c>
      <c r="C13" s="5" t="n">
        <v>-17</v>
      </c>
      <c r="D13" s="5" t="n">
        <v>-32</v>
      </c>
      <c r="E13" s="5" t="n">
        <v>-109</v>
      </c>
    </row>
    <row r="14">
      <c r="A14" s="5" t="inlineStr">
        <is>
          <t>Cash flows from financing activities</t>
        </is>
      </c>
      <c r="B14" s="6" t="n"/>
      <c r="C14" s="6" t="n"/>
      <c r="D14" s="6" t="n"/>
      <c r="E14" s="6" t="n"/>
    </row>
    <row r="15">
      <c r="A15" s="6" t="inlineStr">
        <is>
          <t>Proceeds on share issue</t>
        </is>
      </c>
      <c r="B15" s="6" t="n">
        <v>24500</v>
      </c>
      <c r="C15" s="6" t="n">
        <v>19000</v>
      </c>
      <c r="D15" s="6" t="n">
        <v>20500</v>
      </c>
      <c r="E15" s="6" t="n">
        <v>31540</v>
      </c>
    </row>
    <row r="16">
      <c r="A16" s="5" t="inlineStr">
        <is>
          <t>Net cash from financing activities</t>
        </is>
      </c>
      <c r="B16" s="5" t="n">
        <v>24500</v>
      </c>
      <c r="C16" s="5" t="n">
        <v>19000</v>
      </c>
      <c r="D16" s="5" t="n">
        <v>20500</v>
      </c>
      <c r="E16" s="5" t="n">
        <v>31540</v>
      </c>
    </row>
    <row r="17">
      <c r="A17" s="5" t="inlineStr">
        <is>
          <t>Total cash and cash equivalents movement for the year</t>
        </is>
      </c>
      <c r="B17" s="5" t="n">
        <v>-502820</v>
      </c>
      <c r="C17" s="5" t="n">
        <v>606535</v>
      </c>
      <c r="D17" s="5" t="n">
        <v>206747</v>
      </c>
      <c r="E17" s="5" t="n">
        <v>16412</v>
      </c>
    </row>
    <row r="18">
      <c r="A18" s="6" t="inlineStr">
        <is>
          <t>Cash and cash equivalents at the beginning of the year</t>
        </is>
      </c>
      <c r="B18" s="6" t="n">
        <v>829694</v>
      </c>
      <c r="C18" s="6" t="n">
        <v>223159</v>
      </c>
      <c r="D18" s="6" t="n">
        <v>16412</v>
      </c>
      <c r="E18" s="6" t="n">
        <v>0</v>
      </c>
    </row>
    <row r="19">
      <c r="A19" s="5" t="inlineStr">
        <is>
          <t>Total cash and cash equivalents at end of the year</t>
        </is>
      </c>
      <c r="B19" s="5" t="n">
        <v>326874</v>
      </c>
      <c r="C19" s="5" t="n">
        <v>829694</v>
      </c>
      <c r="D19" s="5" t="n">
        <v>223159</v>
      </c>
      <c r="E19" s="5" t="n">
        <v>16412</v>
      </c>
    </row>
    <row r="21" ht="210" customHeight="1">
      <c r="A21" s="8" t="inlineStr">
        <is>
          <t>Sources - all figures are The Bank of London Group Limited, £'000. See entity note above re: 4-year window and FY2022 sourcing.
FY2025: Annual Report and Financial Statements, year ended 31 December 2025, p.28 (Statement of Cash Flows) - https://find-and-update.company-information.service.gov.uk/company/12844788/filing-history/MzUzODUxMzE5M2FkaXF6a2N4/document?format=pdf&amp;download=0
FY2024: Annual Report and Financial Statements, year ended 31 December 2024, p.27 (Statement of Cash Flows) - https://find-and-update.company-information.service.gov.uk/company/12844788/filing-history/MzUwMDM4NjMxMWFkaXF6a2N4/document?format=pdf&amp;download=0
FY2023: Annual Report and Financial Statements, year ended 31 December 2023, p.30 (Statement of Cash Flows) - https://find-and-update.company-information.service.gov.uk/company/12844788/filing-history/MzQ2NTkxNTY0NWFkaXF6a2N4/document?format=pdf&amp;download=0
FY2022: Annual Report and Financial Statements, year ended 31 December 2023, p.30 (restated prior-year comparative column - FY2022's own annual report took the FRS 101 cash-flow-statement exemption)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The operating-activities line items were relabelled/restructured slightly each year as the business grew (e.g. FY2025 introduced a 'Cash payments to utilise provisions' line and renamed the pre-interest subtotal). Blank cells indicate that year's report did not disclose that specific split. Section totals and cash and cash equivalents reconcile exactly across all 4 years.</t>
        </is>
      </c>
    </row>
  </sheetData>
  <mergeCells count="1">
    <mergeCell ref="A21:E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Bank of London Group Limited — Asset Quality</t>
        </is>
      </c>
    </row>
    <row r="2">
      <c r="A2" s="2" t="inlineStr">
        <is>
          <t>Credit risk on Receivables and other assets (no customer loan book - see scope note), £'000. FY2022-FY2025.</t>
        </is>
      </c>
    </row>
    <row r="3">
      <c r="A3" s="4" t="inlineStr">
        <is>
          <t>Line item</t>
        </is>
      </c>
      <c r="B3" s="4" t="inlineStr">
        <is>
          <t>FY2025 (£'000)</t>
        </is>
      </c>
      <c r="C3" s="4" t="inlineStr">
        <is>
          <t>FY2024 (£'000)</t>
        </is>
      </c>
      <c r="D3" s="4" t="inlineStr">
        <is>
          <t>FY2023 (£'000)</t>
        </is>
      </c>
      <c r="E3" s="4" t="inlineStr">
        <is>
          <t>FY2022 (£'000)</t>
        </is>
      </c>
    </row>
    <row r="4">
      <c r="A4" s="5" t="inlineStr">
        <is>
          <t>Trade receivables</t>
        </is>
      </c>
      <c r="B4" s="6" t="n"/>
      <c r="C4" s="6" t="n"/>
      <c r="D4" s="6" t="n"/>
      <c r="E4" s="6" t="n"/>
    </row>
    <row r="5">
      <c r="A5" s="6" t="inlineStr">
        <is>
          <t>Trade receivables (gross)</t>
        </is>
      </c>
      <c r="B5" s="6" t="n">
        <v>182</v>
      </c>
      <c r="C5" s="6" t="n">
        <v>197</v>
      </c>
      <c r="D5" s="6" t="n">
        <v>49</v>
      </c>
      <c r="E5" s="6" t="n">
        <v>38</v>
      </c>
    </row>
    <row r="6">
      <c r="A6" s="6" t="inlineStr">
        <is>
          <t>ECL provision</t>
        </is>
      </c>
      <c r="B6" s="6" t="n">
        <v>-61</v>
      </c>
      <c r="C6" s="6" t="n">
        <v>-83</v>
      </c>
      <c r="D6" s="6" t="n">
        <v>-9</v>
      </c>
      <c r="E6" s="6" t="n">
        <v>0</v>
      </c>
    </row>
    <row r="7">
      <c r="A7" s="5" t="inlineStr">
        <is>
          <t>Trade receivables (net)</t>
        </is>
      </c>
      <c r="B7" s="5" t="n">
        <v>121</v>
      </c>
      <c r="C7" s="5" t="n">
        <v>114</v>
      </c>
      <c r="D7" s="5" t="n">
        <v>40</v>
      </c>
      <c r="E7" s="5" t="n">
        <v>38</v>
      </c>
    </row>
    <row r="8">
      <c r="A8" s="5" t="inlineStr">
        <is>
          <t>Amounts owed by group undertakings</t>
        </is>
      </c>
      <c r="B8" s="6" t="n"/>
      <c r="C8" s="6" t="n"/>
      <c r="D8" s="6" t="n"/>
      <c r="E8" s="6" t="n"/>
    </row>
    <row r="9">
      <c r="A9" s="6" t="inlineStr">
        <is>
          <t>Amounts owed by group undertakings (gross)</t>
        </is>
      </c>
      <c r="B9" s="6" t="n">
        <v>18694</v>
      </c>
      <c r="C9" s="6" t="n">
        <v>18263</v>
      </c>
      <c r="D9" s="6" t="n">
        <v>18618</v>
      </c>
      <c r="E9" s="6" t="n">
        <v>3497</v>
      </c>
    </row>
    <row r="10">
      <c r="A10" s="6" t="inlineStr">
        <is>
          <t>ECL provision</t>
        </is>
      </c>
      <c r="B10" s="6" t="n">
        <v>-449</v>
      </c>
      <c r="C10" s="6" t="n">
        <v>-457</v>
      </c>
      <c r="D10" s="6" t="n">
        <v>-479</v>
      </c>
      <c r="E10" s="6" t="n">
        <v>-93</v>
      </c>
    </row>
    <row r="11">
      <c r="A11" s="5" t="inlineStr">
        <is>
          <t>Amounts owed by group undertakings (net)</t>
        </is>
      </c>
      <c r="B11" s="5" t="n">
        <v>18245</v>
      </c>
      <c r="C11" s="5" t="n">
        <v>17806</v>
      </c>
      <c r="D11" s="5" t="n">
        <v>18139</v>
      </c>
      <c r="E11" s="5" t="n">
        <v>3404</v>
      </c>
    </row>
    <row r="12">
      <c r="A12" s="5" t="inlineStr">
        <is>
          <t>Total ECL provision (credit loss allowance)</t>
        </is>
      </c>
      <c r="B12" s="5" t="n">
        <v>-510</v>
      </c>
      <c r="C12" s="5" t="n">
        <v>-540</v>
      </c>
      <c r="D12" s="5" t="n">
        <v>-488</v>
      </c>
      <c r="E12" s="5" t="n">
        <v>-93</v>
      </c>
    </row>
    <row r="14" ht="280" customHeight="1">
      <c r="A14" s="8" t="inlineStr">
        <is>
          <t>Sources - all figures are The Bank of London Group Limited, £'000.
FY2025/FY2024: Annual Report and Financial Statements, year ended 31 December 2025, p.42 (note 9, 'Receivables and other assets') - https://find-and-update.company-information.service.gov.uk/company/12844788/filing-history/MzUzODUxMzE5M2FkaXF6a2N4/document?format=pdf&amp;download=0
FY2023/FY2022: Annual Report and Financial Statements, year ended 31 December 2023, p.43 (note 9, 'Receivables and other assets')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SCOPE NOTE - IMPORTANT: The Bank of London Group Limited is a payments/clearing-focused bank with essentially no customer lending book (see the REGULATORY NOTE and the Balance Sheet sheet - there is no 'Loans and advances to customers' line at all). The only IFRS 9 expected-credit-loss (ECL) disclosure the Bank publishes covers the ECL-bearing components of 'Receivables and other assets' (trade receivables and intercompany amounts owed by group undertakings) - this sheet is built from that note rather than a loan-book stage split, since no such split exists for this bank. These net figures don't sum to the full Balance Sheet 'Receivables and other assets' line, which also includes non-ECL items (accrued income, lease deposits, prepayments) - documented, not a tie error. Movement-in-provisions figures independently cross-checked: FY2025's report states the FY2023 closing provision balance (GBP488k) as its own '1 January 2024' opening figure, matching FY2023's report exactly.</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Capital</t>
        </is>
      </c>
    </row>
    <row r="2">
      <c r="A2" s="2" t="inlineStr">
        <is>
          <t>GBP millions (as narrated in the Strategic Report)</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inlineStr">
        <is>
          <t>£23.2m</t>
        </is>
      </c>
      <c r="C4" s="6" t="inlineStr">
        <is>
          <t>£22.1m</t>
        </is>
      </c>
      <c r="D4" s="6" t="inlineStr">
        <is>
          <t>£26.7m</t>
        </is>
      </c>
      <c r="E4" s="6" t="inlineStr">
        <is>
          <t>£18.1m (restated)</t>
        </is>
      </c>
    </row>
    <row r="5" ht="60" customHeight="1">
      <c r="A5" s="7" t="inlineStr">
        <is>
          <t>Note: Disclosed only as a narrative sentence in the Strategic Report, not in a capital-adequacy table, and to one decimal place in GBP millions - shown here exactly as the Bank states it. Note the non-monotonic path (FY2022 18.1 -&gt; FY2023 26.7 -&gt; FY2024 22.1 -&gt; FY2025 23.2): this is the Bank's own reported sequence, reflecting successive parent capital injections against continuing losses, not a transcription error. The FY2022 figure is the Bank's own restated comparative. IMPORTANT: read these alongside the regulatory note below - the PRA has since found that capital was recognised as CET1-qualifying during FY2022-FY2024 when it had not in fact been received.</t>
        </is>
      </c>
    </row>
    <row r="7" ht="250" customHeight="1">
      <c r="A7" s="8" t="inlineStr">
        <is>
          <t>Sources - the Bank's own Strategic Report, 'Capital, liquidity and balance sheet' section, which states the CET1 capital amount in narrative form each year with a prior-year comparator:
FY2025 and FY2024: Annual Report and Financial Statements, year ended 31 December 2025, Strategic Report - "CET1 stood at GBP23.2m (2024: GBP22.1m)" - https://find-and-update.company-information.service.gov.uk/company/12844788/filing-history/MzUzODUxMzE5M2FkaXF6a2N4/document?format=pdf&amp;download=0
FY2023 and FY2022: Annual Report and Financial Statements, year ended 31 December 2023, Strategic Report - "CET1 stood at GBP26.7m (2022 restated: GBP18.1m)" - https://find-and-update.company-information.service.gov.uk/company/12844788/filing-history/MzQ2NTkxNTY0NWFkaXF6a2N4/document?format=pdf&amp;download=0
Figures are the Bank's own narrative presentation to one decimal place in GBP millions (not GBP'000), reproduced exactly as stated rather than re-scaled. FY2022 is explicitly labelled "restated" by the Bank's own FY2023 report. Both FY2023 and FY2022 figures correspond to that report's own 'Funding Position' table Total equity line (26,686 / 18,109 GBP'000) to within the narrative's rounding, an internal consistency check, though the Bank presents them as separate disclosures.
FOUND IN 2026-09-12 RE-AUDIT: these amounts were previously recorded as "not publicly disclosed". All of this entity's Companies House filings are image-only scans with no extractable text layer; full page-image OCR surfaced the Strategic Report narrative that earlier text-based passes could not read.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Ratio</t>
        </is>
      </c>
    </row>
    <row r="2">
      <c r="A2" s="2" t="inlineStr">
        <is>
          <t>% (unaudited, as disclosed in the Annual Report's capital note)</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82.94%</t>
        </is>
      </c>
      <c r="C4" s="6" t="inlineStr">
        <is>
          <t>88.91%</t>
        </is>
      </c>
      <c r="D4" s="6" t="inlineStr">
        <is>
          <t>95.34%</t>
        </is>
      </c>
      <c r="E4" s="6" t="n"/>
    </row>
    <row r="5" ht="60" customHeight="1">
      <c r="A5" s="7" t="inlineStr">
        <is>
          <t>Note: The Annual Report separately states 'Our capital structure comprises Tier 1 instruments only', implying the Tier 1 ratio and Total Capital ratio would equal this CET1 ratio - but neither is explicitly stated, so they are not populated as data (see those sheets). The very high ratios (82.94%-95.34%) reflect a small, cash-heavy balance sheet with minimal risk-weighted lending, typical of a young payments/clearing-focused bank - not a transcription error.</t>
        </is>
      </c>
    </row>
    <row r="7" ht="250" customHeight="1">
      <c r="A7" s="8" t="inlineStr">
        <is>
          <t>FY2025: Annual Report and Financial Statements, year ended 31 December 2025, note 'Capital and Liquidity Oversight', p.51 (labelled 'unaudited') - https://find-and-update.company-information.service.gov.uk/company/12844788/filing-history/MzUzODUxMzE5M2FkaXF6a2N4/document?format=pdf&amp;download=0 (also gives the FY2024 comparator shown here)
FY2023: Annual Report and Financial Statements, year ended 31 December 2023 - stated twice in that report, in the Strategic Report ('As at 31 December 2023, the CET1 Capital ratio was 95.34%') and again in the 'Capital and Liquidity Oversight' note ('As of 31 December 2023, the unaudited CET1 capital ratio was 95.34%') - https://find-and-update.company-information.service.gov.uk/company/12844788/filing-history/MzQ2NTkxNTY0NWFkaXF6a2N4/document?format=pdf&amp;download=0. Added in the 2026-09-12 re-audit via page-image OCR; the earlier pass recorded FY2023 as 'not found' because these filings carry no extractable text layer.
FY2022: genuinely not disclosed - the FY2023 report gives FY2022's CET1 capital AMOUNT as a restated comparative (see CET1 Capital sheet) but states no FY2022 ratio, and no separate FY2022 capital note or standalone Pillar 3 disclosure exists.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Capital</t>
        </is>
      </c>
    </row>
    <row r="2">
      <c r="A2" s="2" t="inlineStr"/>
    </row>
    <row r="3">
      <c r="A3" s="4" t="inlineStr">
        <is>
          <t>Metric</t>
        </is>
      </c>
      <c r="B3" s="4" t="inlineStr">
        <is>
          <t>FY2025</t>
        </is>
      </c>
      <c r="C3" s="4" t="inlineStr">
        <is>
          <t>FY2024</t>
        </is>
      </c>
      <c r="D3" s="4" t="inlineStr">
        <is>
          <t>FY2023</t>
        </is>
      </c>
      <c r="E3" s="4" t="inlineStr">
        <is>
          <t>FY2022</t>
        </is>
      </c>
    </row>
    <row r="4">
      <c r="A4" s="6" t="inlineStr">
        <is>
          <t>Tier 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The Annual Report states the Bank's capital structure 'comprises Tier 1 instruments only', implying Tier 1 capital = CET1 capital, but neither absolute figure is published.</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Ratio</t>
        </is>
      </c>
    </row>
    <row r="2">
      <c r="A2" s="2" t="inlineStr"/>
    </row>
    <row r="3">
      <c r="A3" s="4" t="inlineStr">
        <is>
          <t>Metric</t>
        </is>
      </c>
      <c r="B3" s="4" t="inlineStr">
        <is>
          <t>FY2025</t>
        </is>
      </c>
      <c r="C3" s="4" t="inlineStr">
        <is>
          <t>FY2024</t>
        </is>
      </c>
      <c r="D3" s="4" t="inlineStr">
        <is>
          <t>FY2023</t>
        </is>
      </c>
      <c r="E3" s="4" t="inlineStr">
        <is>
          <t>FY2022</t>
        </is>
      </c>
    </row>
    <row r="4">
      <c r="A4" s="6" t="inlineStr">
        <is>
          <t>Tier 1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Given the Annual Report states capital is 'Tier 1 instruments only', this would conceptually equal the CET1 ratio (see CET1 Ratio sheet) - but is not populated here since it isn't separately stated in the source.</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for any year.</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 Ratio</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As with the Tier 1 ratio, this would conceptually equal the CET1 ratio given the Bank has no AT1 or Tier 2 capital, but is not populated here since it isn't separately stated.</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RWAs</t>
        </is>
      </c>
    </row>
    <row r="2">
      <c r="A2" s="2" t="inlineStr"/>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Leverage Ratio</t>
        </is>
      </c>
    </row>
    <row r="2">
      <c r="A2" s="2" t="inlineStr"/>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MREL Ratio</t>
        </is>
      </c>
    </row>
    <row r="2">
      <c r="A2" s="2" t="inlineStr"/>
    </row>
    <row r="3">
      <c r="A3" s="4" t="inlineStr">
        <is>
          <t>Metric</t>
        </is>
      </c>
      <c r="B3" s="4" t="inlineStr">
        <is>
          <t>FY2025</t>
        </is>
      </c>
      <c r="C3" s="4" t="inlineStr">
        <is>
          <t>FY2024</t>
        </is>
      </c>
      <c r="D3" s="4" t="inlineStr">
        <is>
          <t>FY2023</t>
        </is>
      </c>
      <c r="E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MREL disclosure of any kind (numeric or qualitative) was found for this bank.</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2026-09-15T15:36:32Z</dcterms:created>
  <dcterms:modified xmlns:dcterms="http://purl.org/dc/terms/" xmlns:xsi="http://www.w3.org/2001/XMLSchema-instance" xsi:type="dcterms:W3CDTF">2026-09-15T15:36:32Z</dcterms:modified>
</cp:coreProperties>
</file>