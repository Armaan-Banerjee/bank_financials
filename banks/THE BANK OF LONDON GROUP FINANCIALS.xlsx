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a:prstDash val="solid"/>
            </a:ln>
          </spPr>
          <cat>
            <numRef>
              <f>'Overview'!$I$5:$L$5</f>
            </numRef>
          </cat>
          <val>
            <numRef>
              <f>'Overview'!$I$6:$L$6</f>
            </numRef>
          </val>
        </ser>
        <ser>
          <idx val="1"/>
          <order val="1"/>
          <tx>
            <strRef>
              <f>'Overview'!H7</f>
            </strRef>
          </tx>
          <spPr>
            <a:ln>
              <a:prstDash val="solid"/>
            </a:ln>
          </spPr>
          <cat>
            <numRef>
              <f>'Overview'!$I$5:$L$5</f>
            </numRef>
          </cat>
          <val>
            <numRef>
              <f>'Overview'!$I$7:$L$7</f>
            </numRef>
          </val>
        </ser>
        <ser>
          <idx val="2"/>
          <order val="2"/>
          <tx>
            <strRef>
              <f>'Overview'!H8</f>
            </strRef>
          </tx>
          <spPr>
            <a:ln>
              <a:prstDash val="solid"/>
            </a:ln>
          </spPr>
          <cat>
            <numRef>
              <f>'Overview'!$I$5:$L$5</f>
            </numRef>
          </cat>
          <val>
            <numRef>
              <f>'Overview'!$I$8:$L$8</f>
            </numRef>
          </val>
        </ser>
        <ser>
          <idx val="3"/>
          <order val="3"/>
          <tx>
            <strRef>
              <f>'Overview'!H9</f>
            </strRef>
          </tx>
          <spPr>
            <a:l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'Overview'!O6</f>
            </strRef>
          </tx>
          <spPr>
            <a:ln>
              <a:prstDash val="solid"/>
            </a:ln>
          </spPr>
          <marker>
            <symbol val="none"/>
            <spPr>
              <a:ln>
                <a:prstDash val="solid"/>
              </a:ln>
            </spPr>
          </marker>
          <cat>
            <numRef>
              <f>'Overview'!$P$5:$S$5</f>
            </numRef>
          </cat>
          <val>
            <numRef>
              <f>'Overview'!$P$6:$S$6</f>
            </numRef>
          </val>
          <smooth val="0"/>
        </ser>
        <ser>
          <idx val="1"/>
          <order val="1"/>
          <tx>
            <strRef>
              <f>'Overview'!O7</f>
            </strRef>
          </tx>
          <spPr>
            <a:ln>
              <a:prstDash val="solid"/>
            </a:ln>
          </spPr>
          <marker>
            <symbol val="none"/>
            <spPr>
              <a:ln>
                <a:prstDash val="solid"/>
              </a:ln>
            </spPr>
          </marker>
          <cat>
            <numRef>
              <f>'Overview'!$P$5:$S$5</f>
            </numRef>
          </cat>
          <val>
            <numRef>
              <f>'Overview'!$P$7:$S$7</f>
            </numRef>
          </val>
          <smooth val="0"/>
        </ser>
        <ser>
          <idx val="2"/>
          <order val="2"/>
          <tx>
            <strRef>
              <f>'Overview'!O8</f>
            </strRef>
          </tx>
          <spPr>
            <a:ln>
              <a:prstDash val="solid"/>
            </a:ln>
          </spPr>
          <marker>
            <symbol val="none"/>
            <spPr>
              <a:ln>
                <a:prstDash val="solid"/>
              </a:ln>
            </spPr>
          </marker>
          <cat>
            <numRef>
              <f>'Overview'!$P$5:$S$5</f>
            </numRef>
          </cat>
          <val>
            <numRef>
              <f>'Overview'!$P$8:$S$8</f>
            </numRef>
          </val>
          <smooth val="0"/>
        </ser>
        <ser>
          <idx val="3"/>
          <order val="3"/>
          <tx>
            <strRef>
              <f>'Overview'!O9</f>
            </strRef>
          </tx>
          <spPr>
            <a:ln>
              <a:prstDash val="solid"/>
            </a:ln>
          </spPr>
          <marker>
            <symbol val="none"/>
            <spPr>
              <a:ln>
                <a:prstDash val="solid"/>
              </a:ln>
            </spPr>
          </marker>
          <cat>
            <numRef>
              <f>'Overview'!$P$5:$S$5</f>
            </numRef>
          </cat>
          <val>
            <numRef>
              <f>'Overview'!$P$9:$S$9</f>
            </numRef>
          </val>
          <smooth val="0"/>
        </ser>
        <ser>
          <idx val="4"/>
          <order val="4"/>
          <tx>
            <strRef>
              <f>'Overview'!O10</f>
            </strRef>
          </tx>
          <spPr>
            <a:ln>
              <a:prstDash val="solid"/>
            </a:ln>
          </spPr>
          <marker>
            <symbol val="none"/>
            <spPr>
              <a:ln>
                <a:prstDash val="solid"/>
              </a:ln>
            </spPr>
          </marker>
          <cat>
            <numRef>
              <f>'Overview'!$P$5:$S$5</f>
            </numRef>
          </cat>
          <val>
            <numRef>
              <f>'Overview'!$P$10:$S$10</f>
            </numRef>
          </val>
          <smooth val="0"/>
        </ser>
        <ser>
          <idx val="5"/>
          <order val="5"/>
          <tx>
            <strRef>
              <f>'Overview'!O11</f>
            </strRef>
          </tx>
          <spPr>
            <a:ln>
              <a:prstDash val="solid"/>
            </a:ln>
          </spPr>
          <marker>
            <symbol val="none"/>
            <spPr>
              <a:ln>
                <a:prstDash val="solid"/>
              </a:ln>
            </spPr>
          </marker>
          <cat>
            <numRef>
              <f>'Overview'!$P$5:$S$5</f>
            </numRef>
          </cat>
          <val>
            <numRef>
              <f>'Overview'!$P$11:$S$11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s>
  <sheetData>
    <row r="1">
      <c r="A1" s="1" t="inlineStr">
        <is>
          <t>The Bank of London Group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P5" t="inlineStr">
        <is>
          <t>FY2022</t>
        </is>
      </c>
      <c r="Q5" t="inlineStr">
        <is>
          <t>FY2023</t>
        </is>
      </c>
      <c r="R5" t="inlineStr">
        <is>
          <t>FY2024</t>
        </is>
      </c>
      <c r="S5" t="inlineStr">
        <is>
          <t>FY2025</t>
        </is>
      </c>
    </row>
    <row r="6">
      <c r="A6" s="5" t="inlineStr">
        <is>
          <t>Net cash from/(used in) operating activities</t>
        </is>
      </c>
      <c r="B6" s="5" t="n">
        <v>-527319</v>
      </c>
      <c r="C6" s="5" t="n">
        <v>587552</v>
      </c>
      <c r="D6" s="5" t="n">
        <v>186279</v>
      </c>
      <c r="E6" s="5" t="n">
        <v>-15019</v>
      </c>
      <c r="H6" t="inlineStr">
        <is>
          <t>Net cash from/(used in) operating activities</t>
        </is>
      </c>
      <c r="I6" t="n">
        <v>-15019</v>
      </c>
      <c r="J6" t="n">
        <v>186279</v>
      </c>
      <c r="K6" t="n">
        <v>587552</v>
      </c>
      <c r="L6" t="n">
        <v>-527319</v>
      </c>
      <c r="O6" t="inlineStr">
        <is>
          <t>CET1 Ratio</t>
        </is>
      </c>
      <c r="R6" t="n">
        <v>88.91</v>
      </c>
      <c r="S6" t="n">
        <v>82.94</v>
      </c>
    </row>
    <row r="7">
      <c r="A7" s="5" t="inlineStr">
        <is>
          <t>Net cash used in investing activities</t>
        </is>
      </c>
      <c r="B7" s="5" t="n">
        <v>-1</v>
      </c>
      <c r="C7" s="5" t="n">
        <v>-17</v>
      </c>
      <c r="D7" s="5" t="n">
        <v>-32</v>
      </c>
      <c r="E7" s="5" t="n">
        <v>-109</v>
      </c>
      <c r="H7" t="inlineStr">
        <is>
          <t>Net cash used in investing activities</t>
        </is>
      </c>
      <c r="I7" t="n">
        <v>-109</v>
      </c>
      <c r="J7" t="n">
        <v>-32</v>
      </c>
      <c r="K7" t="n">
        <v>-17</v>
      </c>
      <c r="L7" t="n">
        <v>-1</v>
      </c>
      <c r="O7" t="inlineStr">
        <is>
          <t>Tier 1 Ratio</t>
        </is>
      </c>
    </row>
    <row r="8">
      <c r="A8" s="5" t="inlineStr">
        <is>
          <t>Net cash from financing activities</t>
        </is>
      </c>
      <c r="B8" s="5" t="n">
        <v>24500</v>
      </c>
      <c r="C8" s="5" t="n">
        <v>19000</v>
      </c>
      <c r="D8" s="5" t="n">
        <v>20500</v>
      </c>
      <c r="E8" s="5" t="n">
        <v>31540</v>
      </c>
      <c r="H8" t="inlineStr">
        <is>
          <t>Net cash from financing activities</t>
        </is>
      </c>
      <c r="I8" t="n">
        <v>31540</v>
      </c>
      <c r="J8" t="n">
        <v>20500</v>
      </c>
      <c r="K8" t="n">
        <v>19000</v>
      </c>
      <c r="L8" t="n">
        <v>24500</v>
      </c>
      <c r="O8" t="inlineStr">
        <is>
          <t>Total Capital Ratio</t>
        </is>
      </c>
    </row>
    <row r="9">
      <c r="A9" s="5" t="inlineStr">
        <is>
          <t>Total cash and cash equivalents at end of the year</t>
        </is>
      </c>
      <c r="B9" s="5" t="n">
        <v>326874</v>
      </c>
      <c r="C9" s="5" t="n">
        <v>829694</v>
      </c>
      <c r="D9" s="5" t="n">
        <v>223159</v>
      </c>
      <c r="E9" s="5" t="n">
        <v>16412</v>
      </c>
      <c r="H9" t="inlineStr">
        <is>
          <t>Total cash and cash equivalents at end of the year</t>
        </is>
      </c>
      <c r="I9" t="n">
        <v>16412</v>
      </c>
      <c r="J9" t="n">
        <v>223159</v>
      </c>
      <c r="K9" t="n">
        <v>829694</v>
      </c>
      <c r="L9" t="n">
        <v>326874</v>
      </c>
      <c r="O9" t="inlineStr">
        <is>
          <t>Leverage Ratio</t>
        </is>
      </c>
    </row>
    <row r="10">
      <c r="O10" t="inlineStr">
        <is>
          <t>LCR</t>
        </is>
      </c>
    </row>
    <row r="11">
      <c r="A11" s="3" t="inlineStr">
        <is>
          <t>Pillar 3 Key Metrics</t>
        </is>
      </c>
      <c r="O11" t="inlineStr">
        <is>
          <t>NSFR</t>
        </is>
      </c>
    </row>
    <row r="12">
      <c r="A12" s="4" t="inlineStr">
        <is>
          <t>Line item</t>
        </is>
      </c>
      <c r="B12" s="4" t="inlineStr">
        <is>
          <t>FY2025</t>
        </is>
      </c>
      <c r="C12" s="4" t="inlineStr">
        <is>
          <t>FY2024</t>
        </is>
      </c>
      <c r="D12" s="4" t="inlineStr">
        <is>
          <t>FY2023</t>
        </is>
      </c>
      <c r="E12" s="4" t="inlineStr">
        <is>
          <t>FY2022</t>
        </is>
      </c>
    </row>
    <row r="13">
      <c r="A13" s="6" t="inlineStr">
        <is>
          <t>CET1 Ratio</t>
        </is>
      </c>
      <c r="B13" s="6" t="inlineStr">
        <is>
          <t>82.94%</t>
        </is>
      </c>
      <c r="C13" s="6" t="inlineStr">
        <is>
          <t>88.91%</t>
        </is>
      </c>
      <c r="D13" s="6" t="n"/>
      <c r="E13" s="6" t="n"/>
    </row>
    <row r="14">
      <c r="A14" s="6" t="inlineStr">
        <is>
          <t>Tier 1 Ratio</t>
        </is>
      </c>
      <c r="B14" s="6" t="inlineStr">
        <is>
          <t>Not publicly disclosed</t>
        </is>
      </c>
      <c r="C14" s="6" t="inlineStr">
        <is>
          <t>Not publicly disclosed</t>
        </is>
      </c>
      <c r="D14" s="6" t="inlineStr">
        <is>
          <t>Not publicly disclosed</t>
        </is>
      </c>
      <c r="E14" s="6" t="inlineStr">
        <is>
          <t>Not publicly disclosed</t>
        </is>
      </c>
    </row>
    <row r="15">
      <c r="A15" s="6" t="inlineStr">
        <is>
          <t>Total Capital Ratio</t>
        </is>
      </c>
      <c r="B15" s="6" t="inlineStr">
        <is>
          <t>Not publicly disclosed</t>
        </is>
      </c>
      <c r="C15" s="6" t="inlineStr">
        <is>
          <t>Not publicly disclosed</t>
        </is>
      </c>
      <c r="D15" s="6" t="inlineStr">
        <is>
          <t>Not publicly disclosed</t>
        </is>
      </c>
      <c r="E15" s="6" t="inlineStr">
        <is>
          <t>Not publicly disclosed</t>
        </is>
      </c>
    </row>
    <row r="16">
      <c r="A16" s="6" t="inlineStr">
        <is>
          <t>Leverage Ratio</t>
        </is>
      </c>
      <c r="B16" s="6" t="inlineStr">
        <is>
          <t>Not publicly disclosed</t>
        </is>
      </c>
      <c r="C16" s="6" t="inlineStr">
        <is>
          <t>Not publicly disclosed</t>
        </is>
      </c>
      <c r="D16" s="6" t="inlineStr">
        <is>
          <t>Not publicly disclosed</t>
        </is>
      </c>
      <c r="E16" s="6" t="inlineStr">
        <is>
          <t>Not publicly disclosed</t>
        </is>
      </c>
    </row>
    <row r="17">
      <c r="A17" s="6" t="inlineStr">
        <is>
          <t>LCR</t>
        </is>
      </c>
      <c r="B17" s="6" t="inlineStr">
        <is>
          <t>Not publicly disclosed</t>
        </is>
      </c>
      <c r="C17" s="6" t="inlineStr">
        <is>
          <t>Not publicly disclosed</t>
        </is>
      </c>
      <c r="D17" s="6" t="inlineStr">
        <is>
          <t>Not publicly disclosed</t>
        </is>
      </c>
      <c r="E17" s="6" t="inlineStr">
        <is>
          <t>Not publicly disclosed</t>
        </is>
      </c>
    </row>
    <row r="18">
      <c r="A18" s="6" t="inlineStr">
        <is>
          <t>NSFR</t>
        </is>
      </c>
      <c r="B18" s="6" t="inlineStr">
        <is>
          <t>Not publicly disclosed</t>
        </is>
      </c>
      <c r="C18" s="6" t="inlineStr">
        <is>
          <t>Not publicly disclosed</t>
        </is>
      </c>
      <c r="D18" s="6" t="inlineStr">
        <is>
          <t>Not publicly disclosed</t>
        </is>
      </c>
      <c r="E18" s="6" t="inlineStr">
        <is>
          <t>Not publicly disclosed</t>
        </is>
      </c>
    </row>
    <row r="20" ht="45" customHeight="1">
      <c r="A20"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20:E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210"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1">
    <mergeCell ref="A21:E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absolute CET1 capital amount is disclosed anywhere publicly - only the CET1 ratio (see CET1 Ratio sheet).</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82.94%</t>
        </is>
      </c>
      <c r="C4" s="6" t="inlineStr">
        <is>
          <t>88.91%</t>
        </is>
      </c>
      <c r="D4" s="6" t="n"/>
      <c r="E4" s="6" t="n"/>
    </row>
    <row r="5" ht="60" customHeight="1">
      <c r="A5" s="7" t="inlineStr">
        <is>
          <t>Note: This is the only Pillar 3-style metric found publicly disclosed anywhere for this bank, in any year. The Annual Report separately states 'Our capital structure comprises Tier 1 instruments only', implying the Tier 1 ratio and Total Capital ratio would equal this CET1 ratio - but neither is explicitly stated, so they are not populated as data (see those sheets). The very high ratio (82.94%/88.91%) reflects a small, cash-heavy balance sheet with minimal risk-weighted lending, typical of a young payments/clearing-focused bank - not a transcription error.</t>
        </is>
      </c>
    </row>
    <row r="7" ht="210"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FY2023/FY2022: not found - no equivalent capital note was located in those years' annual reports, and no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The Annual Report states the Bank's capital structure 'comprises Tier 1 instruments only', implying Tier 1 capital = CET1 capital, but neither absolute figure is published.</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for any year.</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As with the Tier 1 ratio, this would conceptually equal the CET1 ratio given the Bank has no AT1 or Tier 2 capital, but is not populated here since it isn't separately stated.</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MREL disclosure of any kind (numeric or qualitative) was found for this bank.</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2026-08-26T09:32:06Z</dcterms:created>
  <dcterms:modified xsi:type="dcterms:W3CDTF">2026-08-26T09:32:06Z</dcterms:modified>
</cp:coreProperties>
</file>