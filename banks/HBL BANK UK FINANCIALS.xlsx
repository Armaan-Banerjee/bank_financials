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90D7D"/>
        <bgColor rgb="00690D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HBL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HBL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ser>
          <idx val="3"/>
          <order val="3"/>
          <tx>
            <strRef>
              <f>'Overview'!Q16</f>
            </strRef>
          </tx>
          <spPr>
            <a:ln xmlns:a="http://schemas.openxmlformats.org/drawingml/2006/main">
              <a:prstDash val="solid"/>
            </a:ln>
          </spPr>
          <cat>
            <numRef>
              <f>'Overview'!$R$12:$V$12</f>
            </numRef>
          </cat>
          <val>
            <numRef>
              <f>'Overview'!$R$16:$V$16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HBL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'Overview'!Y20</f>
            </strRef>
          </tx>
          <spPr>
            <a:ln xmlns:a="http://schemas.openxmlformats.org/drawingml/2006/main">
              <a:prstDash val="solid"/>
            </a:ln>
          </spPr>
          <cat>
            <numRef>
              <f>'Overview'!$Z$19:$AD$19</f>
            </numRef>
          </cat>
          <val>
            <numRef>
              <f>'Overview'!$Z$20:$AD$20</f>
            </numRef>
          </val>
        </ser>
        <ser>
          <idx val="1"/>
          <order val="1"/>
          <tx>
            <strRef>
              <f>'Overview'!Y21</f>
            </strRef>
          </tx>
          <spPr>
            <a:ln xmlns:a="http://schemas.openxmlformats.org/drawingml/2006/main">
              <a:prstDash val="solid"/>
            </a:ln>
          </spPr>
          <cat>
            <numRef>
              <f>'Overview'!$Z$19:$AD$19</f>
            </numRef>
          </cat>
          <val>
            <numRef>
              <f>'Overview'!$Z$21:$AD$21</f>
            </numRef>
          </val>
        </ser>
        <ser>
          <idx val="2"/>
          <order val="2"/>
          <tx>
            <strRef>
              <f>'Overview'!Y22</f>
            </strRef>
          </tx>
          <spPr>
            <a:ln xmlns:a="http://schemas.openxmlformats.org/drawingml/2006/main">
              <a:prstDash val="solid"/>
            </a:ln>
          </spPr>
          <cat>
            <numRef>
              <f>'Overview'!$Z$19:$AD$19</f>
            </numRef>
          </cat>
          <val>
            <numRef>
              <f>'Overview'!$Z$22:$AD$22</f>
            </numRef>
          </val>
        </ser>
        <ser>
          <idx val="3"/>
          <order val="3"/>
          <tx>
            <strRef>
              <f>'Overview'!Y23</f>
            </strRef>
          </tx>
          <spPr>
            <a:ln xmlns:a="http://schemas.openxmlformats.org/drawingml/2006/main">
              <a:prstDash val="solid"/>
            </a:ln>
          </spPr>
          <cat>
            <numRef>
              <f>'Overview'!$Z$19:$AD$19</f>
            </numRef>
          </cat>
          <val>
            <numRef>
              <f>'Overview'!$Z$23:$AD$23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HBL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'Overview'!AG27</f>
            </strRef>
          </tx>
          <spPr>
            <a:ln xmlns:a="http://schemas.openxmlformats.org/drawingml/2006/main">
              <a:prstDash val="solid"/>
            </a:ln>
          </spPr>
          <cat>
            <numRef>
              <f>'Overview'!$AH$26:$AL$26</f>
            </numRef>
          </cat>
          <val>
            <numRef>
              <f>'Overview'!$AH$27:$AL$27</f>
            </numRef>
          </val>
        </ser>
        <ser>
          <idx val="1"/>
          <order val="1"/>
          <tx>
            <strRef>
              <f>'Overview'!AG28</f>
            </strRef>
          </tx>
          <spPr>
            <a:ln xmlns:a="http://schemas.openxmlformats.org/drawingml/2006/main">
              <a:prstDash val="solid"/>
            </a:ln>
          </spPr>
          <cat>
            <numRef>
              <f>'Overview'!$AH$26:$AL$26</f>
            </numRef>
          </cat>
          <val>
            <numRef>
              <f>'Overview'!$AH$28:$AL$28</f>
            </numRef>
          </val>
        </ser>
        <ser>
          <idx val="2"/>
          <order val="2"/>
          <tx>
            <strRef>
              <f>'Overview'!AG29</f>
            </strRef>
          </tx>
          <spPr>
            <a:ln xmlns:a="http://schemas.openxmlformats.org/drawingml/2006/main">
              <a:prstDash val="solid"/>
            </a:ln>
          </spPr>
          <cat>
            <numRef>
              <f>'Overview'!$AH$26:$AL$26</f>
            </numRef>
          </cat>
          <val>
            <numRef>
              <f>'Overview'!$AH$29:$AL$29</f>
            </numRef>
          </val>
        </ser>
        <ser>
          <idx val="3"/>
          <order val="3"/>
          <tx>
            <strRef>
              <f>'Overview'!AG30</f>
            </strRef>
          </tx>
          <spPr>
            <a:ln xmlns:a="http://schemas.openxmlformats.org/drawingml/2006/main">
              <a:prstDash val="solid"/>
            </a:ln>
          </spPr>
          <cat>
            <numRef>
              <f>'Overview'!$AH$26:$AL$26</f>
            </numRef>
          </cat>
          <val>
            <numRef>
              <f>'Overview'!$AH$30:$AL$30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HBL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HBL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556704</v>
      </c>
      <c r="C6" s="5" t="n">
        <v>564147</v>
      </c>
      <c r="D6" s="5" t="n">
        <v>505947</v>
      </c>
      <c r="E6" s="5" t="n">
        <v>538789</v>
      </c>
      <c r="F6" s="5" t="n">
        <v>554142</v>
      </c>
      <c r="I6" t="inlineStr">
        <is>
          <t>Total assets</t>
        </is>
      </c>
      <c r="J6" t="n">
        <v>554142</v>
      </c>
      <c r="K6" t="n">
        <v>538789</v>
      </c>
      <c r="L6" t="n">
        <v>505947</v>
      </c>
      <c r="M6" t="n">
        <v>564147</v>
      </c>
      <c r="N6" t="n">
        <v>556704</v>
      </c>
      <c r="AO6" t="inlineStr">
        <is>
          <t>CET1 Ratio</t>
        </is>
      </c>
      <c r="AP6" t="n">
        <v>14.14</v>
      </c>
      <c r="AQ6" t="n">
        <v>14.8</v>
      </c>
      <c r="AR6" t="n">
        <v>17.84</v>
      </c>
      <c r="AS6" t="n">
        <v>16.8</v>
      </c>
      <c r="AT6" t="n">
        <v>15.46</v>
      </c>
    </row>
    <row r="7">
      <c r="A7" s="5" t="inlineStr">
        <is>
          <t>Loans and advances to customers</t>
        </is>
      </c>
      <c r="B7" s="5" t="n">
        <v>293309</v>
      </c>
      <c r="C7" s="5" t="n">
        <v>215563</v>
      </c>
      <c r="D7" s="5" t="n">
        <v>217968</v>
      </c>
      <c r="E7" s="5" t="n">
        <v>204734</v>
      </c>
      <c r="F7" s="5" t="n">
        <v>178267</v>
      </c>
      <c r="I7" t="inlineStr">
        <is>
          <t>Loans and advances to customers</t>
        </is>
      </c>
      <c r="J7" t="n">
        <v>178267</v>
      </c>
      <c r="K7" t="n">
        <v>204734</v>
      </c>
      <c r="L7" t="n">
        <v>217968</v>
      </c>
      <c r="M7" t="n">
        <v>215563</v>
      </c>
      <c r="N7" t="n">
        <v>293309</v>
      </c>
      <c r="AO7" t="inlineStr">
        <is>
          <t>Tier 1 Ratio</t>
        </is>
      </c>
      <c r="AP7" t="n">
        <v>17.46</v>
      </c>
      <c r="AQ7" t="n">
        <v>18.04</v>
      </c>
      <c r="AR7" t="n">
        <v>21.41</v>
      </c>
      <c r="AS7" t="n">
        <v>20.95</v>
      </c>
      <c r="AT7" t="n">
        <v>19.47</v>
      </c>
    </row>
    <row r="8">
      <c r="A8" s="5" t="inlineStr">
        <is>
          <t>Customer accounts</t>
        </is>
      </c>
      <c r="B8" s="5" t="n">
        <v>449122</v>
      </c>
      <c r="C8" s="5" t="n">
        <v>461701</v>
      </c>
      <c r="D8" s="5" t="n">
        <v>411886</v>
      </c>
      <c r="E8" s="5" t="n">
        <v>444361</v>
      </c>
      <c r="F8" s="5" t="n">
        <v>469399</v>
      </c>
      <c r="I8" t="inlineStr">
        <is>
          <t>Customer accounts</t>
        </is>
      </c>
      <c r="J8" t="n">
        <v>469399</v>
      </c>
      <c r="K8" t="n">
        <v>444361</v>
      </c>
      <c r="L8" t="n">
        <v>411886</v>
      </c>
      <c r="M8" t="n">
        <v>461701</v>
      </c>
      <c r="N8" t="n">
        <v>449122</v>
      </c>
      <c r="AO8" t="inlineStr">
        <is>
          <t>Total Capital Ratio</t>
        </is>
      </c>
      <c r="AP8" t="n">
        <v>21.31</v>
      </c>
      <c r="AQ8" t="n">
        <v>21.79</v>
      </c>
      <c r="AR8" t="n">
        <v>25.61</v>
      </c>
      <c r="AS8" t="n">
        <v>23.49</v>
      </c>
      <c r="AT8" t="n">
        <v>21.29</v>
      </c>
    </row>
    <row r="9">
      <c r="A9" s="5" t="inlineStr">
        <is>
          <t>Total equity</t>
        </is>
      </c>
      <c r="B9" s="5" t="n">
        <v>87654</v>
      </c>
      <c r="C9" s="5" t="n">
        <v>84200</v>
      </c>
      <c r="D9" s="5" t="n">
        <v>75252</v>
      </c>
      <c r="E9" s="5" t="n">
        <v>70482</v>
      </c>
      <c r="F9" s="5" t="n">
        <v>64514</v>
      </c>
      <c r="I9" t="inlineStr">
        <is>
          <t>Total equity</t>
        </is>
      </c>
      <c r="J9" t="n">
        <v>64514</v>
      </c>
      <c r="K9" t="n">
        <v>70482</v>
      </c>
      <c r="L9" t="n">
        <v>75252</v>
      </c>
      <c r="M9" t="n">
        <v>84200</v>
      </c>
      <c r="N9" t="n">
        <v>87654</v>
      </c>
      <c r="AO9" t="inlineStr">
        <is>
          <t>Leverage Ratio</t>
        </is>
      </c>
      <c r="AP9" t="n">
        <v>9.41</v>
      </c>
      <c r="AQ9" t="n">
        <v>13.01</v>
      </c>
      <c r="AR9" t="n">
        <v>13.42</v>
      </c>
      <c r="AS9" t="n">
        <v>11.85</v>
      </c>
      <c r="AT9" t="n">
        <v>13.11</v>
      </c>
    </row>
    <row r="10">
      <c r="AO10" t="inlineStr">
        <is>
          <t>LCR</t>
        </is>
      </c>
      <c r="AP10" t="n">
        <v>560</v>
      </c>
      <c r="AQ10" t="n">
        <v>613</v>
      </c>
      <c r="AR10" t="n">
        <v>702</v>
      </c>
      <c r="AS10" t="n">
        <v>376</v>
      </c>
      <c r="AT10" t="n">
        <v>235</v>
      </c>
    </row>
    <row r="11">
      <c r="A11" s="3" t="inlineStr">
        <is>
          <t>Profit &amp; Loss Summary (£'000)</t>
        </is>
      </c>
      <c r="AO11" t="inlineStr">
        <is>
          <t>NSFR</t>
        </is>
      </c>
      <c r="AP11" t="n">
        <v>180</v>
      </c>
      <c r="AQ11" t="n">
        <v>183</v>
      </c>
      <c r="AR11" t="n">
        <v>185</v>
      </c>
      <c r="AS11" t="n">
        <v>199</v>
      </c>
      <c r="AT11" t="n">
        <v>145</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interest income</t>
        </is>
      </c>
      <c r="B13" s="5" t="n">
        <v>28990</v>
      </c>
      <c r="C13" s="5" t="n">
        <v>31659</v>
      </c>
      <c r="D13" s="5" t="n">
        <v>28423</v>
      </c>
      <c r="E13" s="5" t="n">
        <v>14610</v>
      </c>
      <c r="F13" s="5" t="n">
        <v>9584</v>
      </c>
      <c r="Q13" t="inlineStr">
        <is>
          <t>Total interest income</t>
        </is>
      </c>
      <c r="R13" t="n">
        <v>9584</v>
      </c>
      <c r="S13" t="n">
        <v>14610</v>
      </c>
      <c r="T13" t="n">
        <v>28423</v>
      </c>
      <c r="U13" t="n">
        <v>31659</v>
      </c>
      <c r="V13" t="n">
        <v>28990</v>
      </c>
    </row>
    <row r="14">
      <c r="A14" s="5" t="inlineStr">
        <is>
          <t>Net operating income</t>
        </is>
      </c>
      <c r="B14" s="5" t="n">
        <v>27923</v>
      </c>
      <c r="C14" s="5" t="n">
        <v>30857</v>
      </c>
      <c r="D14" s="5" t="n">
        <v>27703</v>
      </c>
      <c r="E14" s="5" t="n">
        <v>22160</v>
      </c>
      <c r="F14" s="5" t="n">
        <v>15776</v>
      </c>
      <c r="Q14" t="inlineStr">
        <is>
          <t>Net operating income</t>
        </is>
      </c>
      <c r="R14" t="n">
        <v>15776</v>
      </c>
      <c r="S14" t="n">
        <v>22160</v>
      </c>
      <c r="T14" t="n">
        <v>27703</v>
      </c>
      <c r="U14" t="n">
        <v>30857</v>
      </c>
      <c r="V14" t="n">
        <v>27923</v>
      </c>
    </row>
    <row r="15">
      <c r="A15" s="5" t="inlineStr">
        <is>
          <t>Total operating expenses before provisions</t>
        </is>
      </c>
      <c r="B15" s="5" t="n">
        <v>-22066</v>
      </c>
      <c r="C15" s="5" t="n">
        <v>-21759</v>
      </c>
      <c r="D15" s="5" t="n">
        <v>-20535</v>
      </c>
      <c r="E15" s="5" t="n">
        <v>-22012</v>
      </c>
      <c r="F15" s="5" t="n">
        <v>-19873</v>
      </c>
      <c r="Q15" t="inlineStr">
        <is>
          <t>Total operating expenses before provisions</t>
        </is>
      </c>
      <c r="R15" t="n">
        <v>-19873</v>
      </c>
      <c r="S15" t="n">
        <v>-22012</v>
      </c>
      <c r="T15" t="n">
        <v>-20535</v>
      </c>
      <c r="U15" t="n">
        <v>-21759</v>
      </c>
      <c r="V15" t="n">
        <v>-22066</v>
      </c>
    </row>
    <row r="16">
      <c r="A16" s="5" t="inlineStr">
        <is>
          <t>Profit/(loss) for the year</t>
        </is>
      </c>
      <c r="B16" s="5" t="n">
        <v>5008</v>
      </c>
      <c r="C16" s="5" t="n">
        <v>10037</v>
      </c>
      <c r="D16" s="5" t="n">
        <v>7755</v>
      </c>
      <c r="E16" s="5" t="n">
        <v>4791</v>
      </c>
      <c r="F16" s="5" t="n">
        <v>-5691</v>
      </c>
      <c r="Q16" t="inlineStr">
        <is>
          <t>Profit/(loss) for the year</t>
        </is>
      </c>
      <c r="R16" t="n">
        <v>-5691</v>
      </c>
      <c r="S16" t="n">
        <v>4791</v>
      </c>
      <c r="T16" t="n">
        <v>7755</v>
      </c>
      <c r="U16" t="n">
        <v>10037</v>
      </c>
      <c r="V16" t="n">
        <v>5008</v>
      </c>
    </row>
    <row r="18">
      <c r="A18" s="3" t="inlineStr">
        <is>
          <t>Statement of Changes in Equity Summary (£'000)</t>
        </is>
      </c>
    </row>
    <row r="19">
      <c r="A19" s="4" t="inlineStr">
        <is>
          <t>Line item</t>
        </is>
      </c>
      <c r="B19" s="4" t="inlineStr">
        <is>
          <t>FY2025</t>
        </is>
      </c>
      <c r="C19" s="4" t="inlineStr">
        <is>
          <t>FY2024</t>
        </is>
      </c>
      <c r="D19" s="4" t="inlineStr">
        <is>
          <t>FY2023</t>
        </is>
      </c>
      <c r="E19" s="4" t="inlineStr">
        <is>
          <t>FY2022</t>
        </is>
      </c>
      <c r="F19" s="4" t="inlineStr">
        <is>
          <t>FY2021</t>
        </is>
      </c>
      <c r="Z19" t="inlineStr">
        <is>
          <t>FY2021</t>
        </is>
      </c>
      <c r="AA19" t="inlineStr">
        <is>
          <t>FY2022</t>
        </is>
      </c>
      <c r="AB19" t="inlineStr">
        <is>
          <t>FY2023</t>
        </is>
      </c>
      <c r="AC19" t="inlineStr">
        <is>
          <t>FY2024</t>
        </is>
      </c>
      <c r="AD19" t="inlineStr">
        <is>
          <t>FY2025</t>
        </is>
      </c>
    </row>
    <row r="20">
      <c r="A20" s="5" t="inlineStr">
        <is>
          <t>Opening equity</t>
        </is>
      </c>
      <c r="B20" s="5" t="n">
        <v>84200</v>
      </c>
      <c r="C20" s="5" t="n">
        <v>75252</v>
      </c>
      <c r="D20" s="5" t="n">
        <v>70482</v>
      </c>
      <c r="E20" s="5" t="n">
        <v>64514</v>
      </c>
      <c r="F20" s="5" t="n">
        <v>70706</v>
      </c>
      <c r="Y20" t="inlineStr">
        <is>
          <t>Opening equity</t>
        </is>
      </c>
      <c r="Z20" t="n">
        <v>70706</v>
      </c>
      <c r="AA20" t="n">
        <v>64514</v>
      </c>
      <c r="AB20" t="n">
        <v>70482</v>
      </c>
      <c r="AC20" t="n">
        <v>75252</v>
      </c>
      <c r="AD20" t="n">
        <v>84200</v>
      </c>
    </row>
    <row r="21">
      <c r="A21" s="5" t="inlineStr">
        <is>
          <t>Total comprehensive income/(loss) for the year</t>
        </is>
      </c>
      <c r="B21" s="5" t="n">
        <v>5130</v>
      </c>
      <c r="C21" s="5" t="n">
        <v>10536</v>
      </c>
      <c r="D21" s="5" t="n">
        <v>8298</v>
      </c>
      <c r="E21" s="5" t="n">
        <v>3734</v>
      </c>
      <c r="F21" s="5" t="n">
        <v>-5907</v>
      </c>
      <c r="Y21" t="inlineStr">
        <is>
          <t>Total comprehensive income/(loss) for the year</t>
        </is>
      </c>
      <c r="Z21" t="n">
        <v>-5907</v>
      </c>
      <c r="AA21" t="n">
        <v>3734</v>
      </c>
      <c r="AB21" t="n">
        <v>8298</v>
      </c>
      <c r="AC21" t="n">
        <v>10536</v>
      </c>
      <c r="AD21" t="n">
        <v>5130</v>
      </c>
    </row>
    <row r="22">
      <c r="A22" s="5" t="inlineStr">
        <is>
          <t>Other equity movements, net</t>
        </is>
      </c>
      <c r="B22" s="5" t="n">
        <v>-1677</v>
      </c>
      <c r="C22" s="5" t="n">
        <v>-1588</v>
      </c>
      <c r="D22" s="5" t="n">
        <v>-3528</v>
      </c>
      <c r="E22" s="5" t="n">
        <v>2234</v>
      </c>
      <c r="F22" s="5" t="n">
        <v>-285</v>
      </c>
      <c r="Y22" t="inlineStr">
        <is>
          <t>Other equity movements, net</t>
        </is>
      </c>
      <c r="Z22" t="n">
        <v>-285</v>
      </c>
      <c r="AA22" t="n">
        <v>2234</v>
      </c>
      <c r="AB22" t="n">
        <v>-3528</v>
      </c>
      <c r="AC22" t="n">
        <v>-1588</v>
      </c>
      <c r="AD22" t="n">
        <v>-1677</v>
      </c>
    </row>
    <row r="23">
      <c r="A23" s="5" t="inlineStr">
        <is>
          <t>Closing equity (per the Bank's own Equity Statement)</t>
        </is>
      </c>
      <c r="B23" s="5" t="n">
        <v>87653</v>
      </c>
      <c r="C23" s="5" t="n">
        <v>84200</v>
      </c>
      <c r="D23" s="5" t="n">
        <v>75252</v>
      </c>
      <c r="E23" s="5" t="n">
        <v>70482</v>
      </c>
      <c r="F23" s="5" t="n">
        <v>64514</v>
      </c>
      <c r="Y23" t="inlineStr">
        <is>
          <t>Closing equity (per the Bank's own Equity Statement)</t>
        </is>
      </c>
      <c r="Z23" t="n">
        <v>64514</v>
      </c>
      <c r="AA23" t="n">
        <v>70482</v>
      </c>
      <c r="AB23" t="n">
        <v>75252</v>
      </c>
      <c r="AC23" t="n">
        <v>84200</v>
      </c>
      <c r="AD23" t="n">
        <v>87653</v>
      </c>
    </row>
    <row r="25">
      <c r="A25" s="3" t="inlineStr">
        <is>
          <t>Cash Flow Summary (£'000)</t>
        </is>
      </c>
    </row>
    <row r="26">
      <c r="A26" s="4" t="inlineStr">
        <is>
          <t>Line item</t>
        </is>
      </c>
      <c r="B26" s="4" t="inlineStr">
        <is>
          <t>FY2025</t>
        </is>
      </c>
      <c r="C26" s="4" t="inlineStr">
        <is>
          <t>FY2024</t>
        </is>
      </c>
      <c r="D26" s="4" t="inlineStr">
        <is>
          <t>FY2023</t>
        </is>
      </c>
      <c r="E26" s="4" t="inlineStr">
        <is>
          <t>FY2022</t>
        </is>
      </c>
      <c r="F26" s="4" t="inlineStr">
        <is>
          <t>FY2021</t>
        </is>
      </c>
      <c r="AH26" t="inlineStr">
        <is>
          <t>FY2021</t>
        </is>
      </c>
      <c r="AI26" t="inlineStr">
        <is>
          <t>FY2022</t>
        </is>
      </c>
      <c r="AJ26" t="inlineStr">
        <is>
          <t>FY2023</t>
        </is>
      </c>
      <c r="AK26" t="inlineStr">
        <is>
          <t>FY2024</t>
        </is>
      </c>
      <c r="AL26" t="inlineStr">
        <is>
          <t>FY2025</t>
        </is>
      </c>
    </row>
    <row r="27">
      <c r="A27" s="5" t="inlineStr">
        <is>
          <t>Net cash flows generated from/(used in) operating activities</t>
        </is>
      </c>
      <c r="B27" s="5" t="n">
        <v>-103530</v>
      </c>
      <c r="C27" s="5" t="n">
        <v>60876</v>
      </c>
      <c r="D27" s="5" t="n">
        <v>-12641</v>
      </c>
      <c r="E27" s="5" t="n">
        <v>-33646</v>
      </c>
      <c r="F27" s="5" t="n">
        <v>32094</v>
      </c>
      <c r="AG27" t="inlineStr">
        <is>
          <t>Net cash flows generated from/(used in) operating activities</t>
        </is>
      </c>
      <c r="AH27" t="n">
        <v>32094</v>
      </c>
      <c r="AI27" t="n">
        <v>-33646</v>
      </c>
      <c r="AJ27" t="n">
        <v>-12641</v>
      </c>
      <c r="AK27" t="n">
        <v>60876</v>
      </c>
      <c r="AL27" t="n">
        <v>-103530</v>
      </c>
    </row>
    <row r="28">
      <c r="A28" s="5" t="inlineStr">
        <is>
          <t>Net cash flows generated from/(used in) investing activities</t>
        </is>
      </c>
      <c r="B28" s="5" t="n">
        <v>81410</v>
      </c>
      <c r="C28" s="5" t="n">
        <v>-70054</v>
      </c>
      <c r="D28" s="5" t="n">
        <v>-10439</v>
      </c>
      <c r="E28" s="5" t="n">
        <v>7552</v>
      </c>
      <c r="F28" s="5" t="n">
        <v>-18997</v>
      </c>
      <c r="AG28" t="inlineStr">
        <is>
          <t>Net cash flows generated from/(used in) investing activities</t>
        </is>
      </c>
      <c r="AH28" t="n">
        <v>-18997</v>
      </c>
      <c r="AI28" t="n">
        <v>7552</v>
      </c>
      <c r="AJ28" t="n">
        <v>-10439</v>
      </c>
      <c r="AK28" t="n">
        <v>-70054</v>
      </c>
      <c r="AL28" t="n">
        <v>81410</v>
      </c>
    </row>
    <row r="29">
      <c r="A29" s="5" t="inlineStr">
        <is>
          <t>Net cash flows used in/(generated from) financing activities</t>
        </is>
      </c>
      <c r="B29" s="5" t="n">
        <v>-1677</v>
      </c>
      <c r="C29" s="5" t="n">
        <v>-1588</v>
      </c>
      <c r="D29" s="5" t="n">
        <v>-3528</v>
      </c>
      <c r="E29" s="5" t="n">
        <v>2234</v>
      </c>
      <c r="F29" s="5" t="n">
        <v>-283</v>
      </c>
      <c r="AG29" t="inlineStr">
        <is>
          <t>Net cash flows used in/(generated from) financing activities</t>
        </is>
      </c>
      <c r="AH29" t="n">
        <v>-283</v>
      </c>
      <c r="AI29" t="n">
        <v>2234</v>
      </c>
      <c r="AJ29" t="n">
        <v>-3528</v>
      </c>
      <c r="AK29" t="n">
        <v>-1588</v>
      </c>
      <c r="AL29" t="n">
        <v>-1677</v>
      </c>
    </row>
    <row r="30">
      <c r="A30" s="5" t="inlineStr">
        <is>
          <t>Cash and cash equivalents at end of year</t>
        </is>
      </c>
      <c r="B30" s="5" t="n">
        <v>78260</v>
      </c>
      <c r="C30" s="5" t="n">
        <v>102057</v>
      </c>
      <c r="D30" s="5" t="n">
        <v>112823</v>
      </c>
      <c r="E30" s="5" t="n">
        <v>139431</v>
      </c>
      <c r="F30" s="5" t="n">
        <v>163302</v>
      </c>
      <c r="AG30" t="inlineStr">
        <is>
          <t>Cash and cash equivalents at end of year</t>
        </is>
      </c>
      <c r="AH30" t="n">
        <v>163302</v>
      </c>
      <c r="AI30" t="n">
        <v>139431</v>
      </c>
      <c r="AJ30" t="n">
        <v>112823</v>
      </c>
      <c r="AK30" t="n">
        <v>102057</v>
      </c>
      <c r="AL30" t="n">
        <v>78260</v>
      </c>
    </row>
    <row r="32">
      <c r="A32" s="3" t="inlineStr">
        <is>
          <t>Pillar 3 Key Metrics</t>
        </is>
      </c>
    </row>
    <row r="33">
      <c r="A33" s="4" t="inlineStr">
        <is>
          <t>Line item</t>
        </is>
      </c>
      <c r="B33" s="4" t="inlineStr">
        <is>
          <t>FY2025</t>
        </is>
      </c>
      <c r="C33" s="4" t="inlineStr">
        <is>
          <t>FY2024</t>
        </is>
      </c>
      <c r="D33" s="4" t="inlineStr">
        <is>
          <t>FY2023</t>
        </is>
      </c>
      <c r="E33" s="4" t="inlineStr">
        <is>
          <t>FY2022</t>
        </is>
      </c>
      <c r="F33" s="4" t="inlineStr">
        <is>
          <t>FY2021</t>
        </is>
      </c>
    </row>
    <row r="34">
      <c r="A34" s="6" t="inlineStr">
        <is>
          <t>CET1 Ratio</t>
        </is>
      </c>
      <c r="B34" s="6" t="inlineStr">
        <is>
          <t>15.46%</t>
        </is>
      </c>
      <c r="C34" s="6" t="inlineStr">
        <is>
          <t>16.80%</t>
        </is>
      </c>
      <c r="D34" s="6" t="inlineStr">
        <is>
          <t>17.84%</t>
        </is>
      </c>
      <c r="E34" s="6" t="inlineStr">
        <is>
          <t>14.80%</t>
        </is>
      </c>
      <c r="F34" s="6" t="inlineStr">
        <is>
          <t>14.14%</t>
        </is>
      </c>
    </row>
    <row r="35">
      <c r="A35" s="6" t="inlineStr">
        <is>
          <t>Tier 1 Ratio</t>
        </is>
      </c>
      <c r="B35" s="6" t="inlineStr">
        <is>
          <t>19.47%</t>
        </is>
      </c>
      <c r="C35" s="6" t="inlineStr">
        <is>
          <t>20.95%</t>
        </is>
      </c>
      <c r="D35" s="6" t="inlineStr">
        <is>
          <t>21.41%</t>
        </is>
      </c>
      <c r="E35" s="6" t="inlineStr">
        <is>
          <t>18.04%</t>
        </is>
      </c>
      <c r="F35" s="6" t="inlineStr">
        <is>
          <t>17.46%</t>
        </is>
      </c>
    </row>
    <row r="36">
      <c r="A36" s="6" t="inlineStr">
        <is>
          <t>Total Capital Ratio</t>
        </is>
      </c>
      <c r="B36" s="6" t="inlineStr">
        <is>
          <t>21.29%</t>
        </is>
      </c>
      <c r="C36" s="6" t="inlineStr">
        <is>
          <t>23.49%</t>
        </is>
      </c>
      <c r="D36" s="6" t="inlineStr">
        <is>
          <t>25.61%</t>
        </is>
      </c>
      <c r="E36" s="6" t="inlineStr">
        <is>
          <t>21.79%</t>
        </is>
      </c>
      <c r="F36" s="6" t="inlineStr">
        <is>
          <t>21.31%</t>
        </is>
      </c>
    </row>
    <row r="37">
      <c r="A37" s="6" t="inlineStr">
        <is>
          <t>Leverage Ratio</t>
        </is>
      </c>
      <c r="B37" s="6" t="inlineStr">
        <is>
          <t>13.11%</t>
        </is>
      </c>
      <c r="C37" s="6" t="inlineStr">
        <is>
          <t>11.85%</t>
        </is>
      </c>
      <c r="D37" s="6" t="inlineStr">
        <is>
          <t>13.42%</t>
        </is>
      </c>
      <c r="E37" s="6" t="inlineStr">
        <is>
          <t>13.01%</t>
        </is>
      </c>
      <c r="F37" s="6" t="inlineStr">
        <is>
          <t>9.41%</t>
        </is>
      </c>
    </row>
    <row r="38">
      <c r="A38" s="6" t="inlineStr">
        <is>
          <t>LCR</t>
        </is>
      </c>
      <c r="B38" s="6" t="inlineStr">
        <is>
          <t>235%</t>
        </is>
      </c>
      <c r="C38" s="6" t="inlineStr">
        <is>
          <t>376%</t>
        </is>
      </c>
      <c r="D38" s="6" t="inlineStr">
        <is>
          <t>702%</t>
        </is>
      </c>
      <c r="E38" s="6" t="inlineStr">
        <is>
          <t>613%</t>
        </is>
      </c>
      <c r="F38" s="6" t="inlineStr">
        <is>
          <t>560%</t>
        </is>
      </c>
    </row>
    <row r="39">
      <c r="A39" s="6" t="inlineStr">
        <is>
          <t>NSFR</t>
        </is>
      </c>
      <c r="B39" s="6" t="inlineStr">
        <is>
          <t>145%</t>
        </is>
      </c>
      <c r="C39" s="6" t="inlineStr">
        <is>
          <t>199%</t>
        </is>
      </c>
      <c r="D39" s="6" t="inlineStr">
        <is>
          <t>185%</t>
        </is>
      </c>
      <c r="E39" s="6" t="inlineStr">
        <is>
          <t>183%</t>
        </is>
      </c>
      <c r="F39" s="6" t="inlineStr">
        <is>
          <t>180%</t>
        </is>
      </c>
    </row>
    <row r="41" ht="30" customHeight="1">
      <c r="A41" s="7" t="inlineStr">
        <is>
          <t>Note: MREL Ratio is not charted here - not disclosed (see the MREL Ratio sheet). Figures are duplicated from the detail sheets for at-a-glance trend viewing; see each sheet's own source citation for the underlying document/page.</t>
        </is>
      </c>
    </row>
  </sheetData>
  <mergeCells count="1">
    <mergeCell ref="A41:F4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HBL Bank UK Limited — Statement of Financial Position</t>
        </is>
      </c>
    </row>
    <row r="2">
      <c r="A2" s="2" t="inlineStr">
        <is>
          <t>Figures as reported in each year's own Annual Report and Financial Statements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central banks</t>
        </is>
      </c>
      <c r="B5" s="6" t="n">
        <v>54821</v>
      </c>
      <c r="C5" s="6" t="n">
        <v>67835</v>
      </c>
      <c r="D5" s="6" t="n">
        <v>78138</v>
      </c>
      <c r="E5" s="6" t="n">
        <v>91424</v>
      </c>
      <c r="F5" s="6" t="n">
        <v>103943</v>
      </c>
    </row>
    <row r="6">
      <c r="A6" s="6" t="inlineStr">
        <is>
          <t>Loans and advances to banks</t>
        </is>
      </c>
      <c r="B6" s="6" t="n">
        <v>112260</v>
      </c>
      <c r="C6" s="6" t="n">
        <v>100848</v>
      </c>
      <c r="D6" s="6" t="n">
        <v>102904</v>
      </c>
      <c r="E6" s="6" t="n">
        <v>145200</v>
      </c>
      <c r="F6" s="6" t="n">
        <v>169942</v>
      </c>
    </row>
    <row r="7">
      <c r="A7" s="6" t="inlineStr">
        <is>
          <t>Loans and advances to customers</t>
        </is>
      </c>
      <c r="B7" s="6" t="n">
        <v>293309</v>
      </c>
      <c r="C7" s="6" t="n">
        <v>215563</v>
      </c>
      <c r="D7" s="6" t="n">
        <v>217968</v>
      </c>
      <c r="E7" s="6" t="n">
        <v>204734</v>
      </c>
      <c r="F7" s="6" t="n">
        <v>178267</v>
      </c>
    </row>
    <row r="8">
      <c r="A8" s="6" t="inlineStr">
        <is>
          <t>Debt securities - Held to Maturity (Government securities)</t>
        </is>
      </c>
      <c r="B8" s="6" t="n">
        <v>3644</v>
      </c>
      <c r="C8" s="6" t="n">
        <v>3709</v>
      </c>
      <c r="D8" s="6" t="n">
        <v>7609</v>
      </c>
      <c r="E8" s="6" t="n">
        <v>3509</v>
      </c>
      <c r="F8" s="6" t="n">
        <v>0</v>
      </c>
    </row>
    <row r="9">
      <c r="A9" s="6" t="inlineStr">
        <is>
          <t>Debt securities - Available for Sale (Government securities)</t>
        </is>
      </c>
      <c r="B9" s="6" t="n">
        <v>81444</v>
      </c>
      <c r="C9" s="6" t="n">
        <v>163009</v>
      </c>
      <c r="D9" s="6" t="n">
        <v>89666</v>
      </c>
      <c r="E9" s="6" t="n">
        <v>77063</v>
      </c>
      <c r="F9" s="6" t="n">
        <v>88149</v>
      </c>
    </row>
    <row r="10">
      <c r="A10" s="6" t="inlineStr">
        <is>
          <t>Debt securities - Available for Sale (Other securities)</t>
        </is>
      </c>
      <c r="B10" s="6" t="n"/>
      <c r="C10" s="6" t="n">
        <v>0</v>
      </c>
      <c r="D10" s="6" t="n">
        <v>3886</v>
      </c>
      <c r="E10" s="6" t="n">
        <v>10635</v>
      </c>
      <c r="F10" s="6" t="n">
        <v>11463</v>
      </c>
    </row>
    <row r="11">
      <c r="A11" s="6" t="inlineStr">
        <is>
          <t>Gain/(deficit) on revaluation of available-for-sale debt securities</t>
        </is>
      </c>
      <c r="B11" s="6" t="n">
        <v>90</v>
      </c>
      <c r="C11" s="6" t="n">
        <v>152</v>
      </c>
      <c r="D11" s="6" t="n">
        <v>-151</v>
      </c>
      <c r="E11" s="6" t="n">
        <v>-906</v>
      </c>
      <c r="F11" s="6" t="n">
        <v>-125</v>
      </c>
    </row>
    <row r="12">
      <c r="A12" s="6" t="inlineStr">
        <is>
          <t>Provision for diminution in the value of investments</t>
        </is>
      </c>
      <c r="B12" s="6" t="n"/>
      <c r="C12" s="6" t="n">
        <v>0</v>
      </c>
      <c r="D12" s="6" t="n">
        <v>-3901</v>
      </c>
      <c r="E12" s="6" t="n">
        <v>-3901</v>
      </c>
      <c r="F12" s="6" t="n">
        <v>-3901</v>
      </c>
    </row>
    <row r="13">
      <c r="A13" s="5" t="inlineStr">
        <is>
          <t>Total debt securities</t>
        </is>
      </c>
      <c r="B13" s="5" t="n">
        <v>85178</v>
      </c>
      <c r="C13" s="5" t="n">
        <v>166870</v>
      </c>
      <c r="D13" s="5" t="n">
        <v>97109</v>
      </c>
      <c r="E13" s="5" t="n">
        <v>86400</v>
      </c>
      <c r="F13" s="5" t="n">
        <v>95586</v>
      </c>
    </row>
    <row r="14">
      <c r="A14" s="6" t="inlineStr">
        <is>
          <t>Fixed assets</t>
        </is>
      </c>
      <c r="B14" s="6" t="n">
        <v>1989</v>
      </c>
      <c r="C14" s="6" t="n">
        <v>1599</v>
      </c>
      <c r="D14" s="6" t="n">
        <v>1116</v>
      </c>
      <c r="E14" s="6" t="n">
        <v>1158</v>
      </c>
      <c r="F14" s="6" t="n">
        <v>1618</v>
      </c>
    </row>
    <row r="15">
      <c r="A15" s="6" t="inlineStr">
        <is>
          <t>Other assets</t>
        </is>
      </c>
      <c r="B15" s="6" t="n">
        <v>1687</v>
      </c>
      <c r="C15" s="6" t="n">
        <v>3006</v>
      </c>
      <c r="D15" s="6" t="n">
        <v>1717</v>
      </c>
      <c r="E15" s="6" t="n">
        <v>3354</v>
      </c>
      <c r="F15" s="6" t="n">
        <v>2067</v>
      </c>
    </row>
    <row r="16">
      <c r="A16" s="6" t="inlineStr">
        <is>
          <t>Accrued income on securities</t>
        </is>
      </c>
      <c r="B16" s="6" t="n">
        <v>1230</v>
      </c>
      <c r="C16" s="6" t="n">
        <v>1372</v>
      </c>
      <c r="D16" s="6" t="n">
        <v>758</v>
      </c>
      <c r="E16" s="6" t="n">
        <v>654</v>
      </c>
      <c r="F16" s="6" t="n">
        <v>416</v>
      </c>
    </row>
    <row r="17">
      <c r="A17" s="6" t="inlineStr">
        <is>
          <t>Deferred taxation</t>
        </is>
      </c>
      <c r="B17" s="6" t="n">
        <v>6230</v>
      </c>
      <c r="C17" s="6" t="n">
        <v>7054</v>
      </c>
      <c r="D17" s="6" t="n">
        <v>6237</v>
      </c>
      <c r="E17" s="6" t="n">
        <v>5865</v>
      </c>
      <c r="F17" s="6" t="n">
        <v>2303</v>
      </c>
    </row>
    <row r="18">
      <c r="A18" s="5" t="inlineStr">
        <is>
          <t>Total assets</t>
        </is>
      </c>
      <c r="B18" s="5" t="n">
        <v>556704</v>
      </c>
      <c r="C18" s="5" t="n">
        <v>564147</v>
      </c>
      <c r="D18" s="5" t="n">
        <v>505947</v>
      </c>
      <c r="E18" s="5" t="n">
        <v>538789</v>
      </c>
      <c r="F18" s="5" t="n">
        <v>554142</v>
      </c>
    </row>
    <row r="19">
      <c r="A19" s="5" t="inlineStr">
        <is>
          <t>Liabilities</t>
        </is>
      </c>
      <c r="B19" s="6" t="n"/>
      <c r="C19" s="6" t="n"/>
      <c r="D19" s="6" t="n"/>
      <c r="E19" s="6" t="n"/>
      <c r="F19" s="6" t="n"/>
    </row>
    <row r="20">
      <c r="A20" s="6" t="inlineStr">
        <is>
          <t>Deposits by banks</t>
        </is>
      </c>
      <c r="B20" s="6" t="n">
        <v>6741</v>
      </c>
      <c r="C20" s="6" t="n">
        <v>5261</v>
      </c>
      <c r="D20" s="6" t="n">
        <v>5362</v>
      </c>
      <c r="E20" s="6" t="n">
        <v>9841</v>
      </c>
      <c r="F20" s="6" t="n">
        <v>7806</v>
      </c>
    </row>
    <row r="21">
      <c r="A21" s="6" t="inlineStr">
        <is>
          <t>Customer accounts</t>
        </is>
      </c>
      <c r="B21" s="6" t="n">
        <v>449122</v>
      </c>
      <c r="C21" s="6" t="n">
        <v>461701</v>
      </c>
      <c r="D21" s="6" t="n">
        <v>411886</v>
      </c>
      <c r="E21" s="6" t="n">
        <v>444361</v>
      </c>
      <c r="F21" s="6" t="n">
        <v>469399</v>
      </c>
    </row>
    <row r="22">
      <c r="A22" s="6" t="inlineStr">
        <is>
          <t>Other liabilities</t>
        </is>
      </c>
      <c r="B22" s="6" t="n">
        <v>13187</v>
      </c>
      <c r="C22" s="6" t="n">
        <v>12985</v>
      </c>
      <c r="D22" s="6" t="n">
        <v>13447</v>
      </c>
      <c r="E22" s="6" t="n">
        <v>14105</v>
      </c>
      <c r="F22" s="6" t="n">
        <v>12423</v>
      </c>
    </row>
    <row r="23">
      <c r="A23" s="5" t="inlineStr">
        <is>
          <t>Total liabilities</t>
        </is>
      </c>
      <c r="B23" s="5" t="n">
        <v>469050</v>
      </c>
      <c r="C23" s="5" t="n">
        <v>479947</v>
      </c>
      <c r="D23" s="5" t="n">
        <v>430695</v>
      </c>
      <c r="E23" s="5" t="n">
        <v>468307</v>
      </c>
      <c r="F23" s="5" t="n">
        <v>489628</v>
      </c>
    </row>
    <row r="24">
      <c r="A24" s="5" t="inlineStr">
        <is>
          <t>Equity</t>
        </is>
      </c>
      <c r="B24" s="6" t="n"/>
      <c r="C24" s="6" t="n"/>
      <c r="D24" s="6" t="n"/>
      <c r="E24" s="6" t="n"/>
      <c r="F24" s="6" t="n"/>
    </row>
    <row r="25">
      <c r="A25" s="6" t="inlineStr">
        <is>
          <t>Share capital</t>
        </is>
      </c>
      <c r="B25" s="6" t="n">
        <v>53315</v>
      </c>
      <c r="C25" s="6" t="n">
        <v>53315</v>
      </c>
      <c r="D25" s="6" t="n">
        <v>53315</v>
      </c>
      <c r="E25" s="6" t="n">
        <v>53315</v>
      </c>
      <c r="F25" s="6" t="n">
        <v>50315</v>
      </c>
    </row>
    <row r="26">
      <c r="A26" s="6" t="inlineStr">
        <is>
          <t>Profit and loss account</t>
        </is>
      </c>
      <c r="B26" s="6" t="n">
        <v>12595</v>
      </c>
      <c r="C26" s="6" t="n">
        <v>9649</v>
      </c>
      <c r="D26" s="6" t="n">
        <v>2068</v>
      </c>
      <c r="E26" s="6" t="n">
        <v>-2159</v>
      </c>
      <c r="F26" s="6" t="n">
        <v>-6191</v>
      </c>
    </row>
    <row r="27">
      <c r="A27" s="6" t="inlineStr">
        <is>
          <t>Revaluation reserve</t>
        </is>
      </c>
      <c r="B27" s="6" t="n">
        <v>3</v>
      </c>
      <c r="C27" s="6" t="n">
        <v>-119</v>
      </c>
      <c r="D27" s="6" t="n">
        <v>-618</v>
      </c>
      <c r="E27" s="6" t="n">
        <v>-1161</v>
      </c>
      <c r="F27" s="6" t="n">
        <v>-97</v>
      </c>
    </row>
    <row r="28">
      <c r="A28" s="6" t="inlineStr">
        <is>
          <t>Other equity instruments (AT1 + Tier II)</t>
        </is>
      </c>
      <c r="B28" s="6" t="n">
        <v>21741</v>
      </c>
      <c r="C28" s="6" t="n">
        <v>21355</v>
      </c>
      <c r="D28" s="6" t="n">
        <v>20487</v>
      </c>
      <c r="E28" s="6" t="n">
        <v>20487</v>
      </c>
      <c r="F28" s="6" t="n">
        <v>20487</v>
      </c>
    </row>
    <row r="29">
      <c r="A29" s="5" t="inlineStr">
        <is>
          <t>Total equity</t>
        </is>
      </c>
      <c r="B29" s="5" t="n">
        <v>87654</v>
      </c>
      <c r="C29" s="5" t="n">
        <v>84200</v>
      </c>
      <c r="D29" s="5" t="n">
        <v>75252</v>
      </c>
      <c r="E29" s="5" t="n">
        <v>70482</v>
      </c>
      <c r="F29" s="5" t="n">
        <v>64514</v>
      </c>
    </row>
    <row r="30">
      <c r="A30" s="5" t="inlineStr">
        <is>
          <t>Total liabilities and equity</t>
        </is>
      </c>
      <c r="B30" s="5" t="n">
        <v>556704</v>
      </c>
      <c r="C30" s="5" t="n">
        <v>564147</v>
      </c>
      <c r="D30" s="5" t="n">
        <v>505947</v>
      </c>
      <c r="E30" s="5" t="n">
        <v>538789</v>
      </c>
      <c r="F30" s="5" t="n">
        <v>554142</v>
      </c>
    </row>
    <row r="32" ht="299" customHeight="1">
      <c r="A32" s="8" t="inlineStr">
        <is>
          <t>Sources - HBL Bank UK Limited's own Income Statement / Statement of Comprehensive Income / Statement of Financial Position / Statement of Changes in Equity, each year's own originally-published figures, from each year's Companies House-filed Annual Report and Financial Statements (company 01719649), text-native filings:
FY2025: Annual Report and Financial Statements 2025, pp.34-37 - https://find-and-update.company-information.service.gov.uk/company/01719649/filing-history/MzUxODk2NjE4MWFkaXF6a2N4/document?format=pdf&amp;download=0
FY2024: Annual Report and Financial Statements 2024, pp.34-37 (FY2024's own originally-published figures used) - https://find-and-update.company-information.service.gov.uk/company/01719649/filing-history/MzQ2NzY3NzI2OWFkaXF6a2N4/document?format=pdf&amp;download=0
FY2023: Annual Report and Financial Statements 2023, pp.36-39 (FY2023's own originally-published figures used) - https://find-and-update.company-information.service.gov.uk/company/01719649/filing-history/MzQzNjc2MDc4MWFkaXF6a2N4/document?format=pdf&amp;download=0
FY2022: Annual Report and Financial Statements 2022, pp.37-40 (FY2022's own originally-published figures used) - https://find-and-update.company-information.service.gov.uk/company/01719649/filing-history/MzM4OTg0MTU0M2FkaXF6a2N4/document?format=pdf&amp;download=0
FY2021: Annual Report and Financial Statements 2021, pp.34-37 (FY2021's own originally-published figures used - confirmed identical to the FY2022 Annual Report's own FY2021 comparative column) - https://find-and-update.company-information.service.gov.uk/company/01719649/filing-history/MzM1NjI2OTMyN2FkaXF6a2N4/document?format=pdf&amp;download=0
Balance Sheet's own FY2025 Total equity (87,654) is £1k above the Statement of Changes in Equity's own FY2025 closing total (87,653) - a rounding gap present in the Bank's own report, reproduced as disclosed rather than force-reconciled.
Debt securities breakdown (measurement basis: Held to Maturity vs Available for Sale; issuer type: Government securities vs Other) is sourced from Note 10 'Debt Securities' of each year's own Annual Report and Financial Statements, each year's own originally-published figures, reconciling exactly to the Balance Sheet's own Debt securities total for every year:
FY2025: Note 10, p.45 - https://find-and-update.company-information.service.gov.uk/company/01719649/filing-history/MzUxODk2NjE4MWFkaXF6a2N4/document?format=pdf&amp;download=0
FY2024: Note 10, p.45 - https://find-and-update.company-information.service.gov.uk/company/01719649/filing-history/MzQ2NzY3NzI2OWFkaXF6a2N4/document?format=pdf&amp;download=0
FY2023: Note 10, p.48 - https://find-and-update.company-information.service.gov.uk/company/01719649/filing-history/MzQzNjc2MDc4MWFkaXF6a2N4/document?format=pdf&amp;download=0
FY2022: Note 10, p.49 - https://find-and-update.company-information.service.gov.uk/company/01719649/filing-history/MzM4OTg0MTU0M2FkaXF6a2N4/document?format=pdf&amp;download=0
FY2021: Note 10, p.45 - https://find-and-update.company-information.service.gov.uk/company/01719649/filing-history/MzM1NjI2OTMyN2FkaXF6a2N4/document?format=pdf&amp;download=0
FY2025 and FY2024 disclose no 'Other securities' leg under Available for Sale (100% Government securities that year); FY2025 also discloses no Provision for diminution line (fully written off by FY2024, per Note 10.1's roll-forward in each year's own report).</t>
        </is>
      </c>
    </row>
  </sheetData>
  <mergeCells count="1">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HBL Bank UK Limited — Income Statement</t>
        </is>
      </c>
    </row>
    <row r="2">
      <c r="A2" s="2" t="inlineStr">
        <is>
          <t>Figures as reported in each year's own Annual Report and Financial Statements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 - Debt Securities</t>
        </is>
      </c>
      <c r="B5" s="6" t="n">
        <v>5884</v>
      </c>
      <c r="C5" s="6" t="n">
        <v>6032</v>
      </c>
      <c r="D5" s="6" t="n">
        <v>3776</v>
      </c>
      <c r="E5" s="6" t="n">
        <v>1892</v>
      </c>
      <c r="F5" s="6" t="n">
        <v>1015</v>
      </c>
    </row>
    <row r="6">
      <c r="A6" s="6" t="inlineStr">
        <is>
          <t>Interest income - Loans and Other services</t>
        </is>
      </c>
      <c r="B6" s="6" t="n">
        <v>23106</v>
      </c>
      <c r="C6" s="6" t="n">
        <v>25627</v>
      </c>
      <c r="D6" s="6" t="n">
        <v>24647</v>
      </c>
      <c r="E6" s="6" t="n">
        <v>12718</v>
      </c>
      <c r="F6" s="6" t="n">
        <v>8569</v>
      </c>
    </row>
    <row r="7">
      <c r="A7" s="5" t="inlineStr">
        <is>
          <t>Total interest income</t>
        </is>
      </c>
      <c r="B7" s="5" t="n">
        <v>28990</v>
      </c>
      <c r="C7" s="5" t="n">
        <v>31659</v>
      </c>
      <c r="D7" s="5" t="n">
        <v>28423</v>
      </c>
      <c r="E7" s="5" t="n">
        <v>14610</v>
      </c>
      <c r="F7" s="5" t="n">
        <v>9584</v>
      </c>
    </row>
    <row r="8">
      <c r="A8" s="6" t="inlineStr">
        <is>
          <t>Interest expense</t>
        </is>
      </c>
      <c r="B8" s="6" t="n">
        <v>-7248</v>
      </c>
      <c r="C8" s="6" t="n">
        <v>-6856</v>
      </c>
      <c r="D8" s="6" t="n">
        <v>-3466</v>
      </c>
      <c r="E8" s="6" t="n">
        <v>-674</v>
      </c>
      <c r="F8" s="6" t="n">
        <v>-612</v>
      </c>
    </row>
    <row r="9">
      <c r="A9" s="5" t="inlineStr">
        <is>
          <t>Net interest income</t>
        </is>
      </c>
      <c r="B9" s="5" t="n">
        <v>21742</v>
      </c>
      <c r="C9" s="5" t="n">
        <v>24803</v>
      </c>
      <c r="D9" s="5" t="n">
        <v>24957</v>
      </c>
      <c r="E9" s="5" t="n">
        <v>13936</v>
      </c>
      <c r="F9" s="5" t="n">
        <v>8972</v>
      </c>
    </row>
    <row r="10">
      <c r="A10" s="6" t="inlineStr">
        <is>
          <t>Fees and commissions income</t>
        </is>
      </c>
      <c r="B10" s="6" t="n">
        <v>6193</v>
      </c>
      <c r="C10" s="6" t="n">
        <v>4973</v>
      </c>
      <c r="D10" s="6" t="n">
        <v>3491</v>
      </c>
      <c r="E10" s="6" t="n">
        <v>4403</v>
      </c>
      <c r="F10" s="6" t="n">
        <v>5392</v>
      </c>
    </row>
    <row r="11">
      <c r="A11" s="6" t="inlineStr">
        <is>
          <t>(Losses)/Gains on foreign exchange - net</t>
        </is>
      </c>
      <c r="B11" s="6" t="n">
        <v>-951</v>
      </c>
      <c r="C11" s="6" t="n">
        <v>846</v>
      </c>
      <c r="D11" s="6" t="n">
        <v>-1293</v>
      </c>
      <c r="E11" s="6" t="n">
        <v>3633</v>
      </c>
      <c r="F11" s="6" t="n">
        <v>687</v>
      </c>
    </row>
    <row r="12">
      <c r="A12" s="6" t="inlineStr">
        <is>
          <t>Other operating income</t>
        </is>
      </c>
      <c r="B12" s="6" t="n">
        <v>939</v>
      </c>
      <c r="C12" s="6" t="n">
        <v>235</v>
      </c>
      <c r="D12" s="6" t="n">
        <v>548</v>
      </c>
      <c r="E12" s="6" t="n">
        <v>188</v>
      </c>
      <c r="F12" s="6" t="n">
        <v>725</v>
      </c>
    </row>
    <row r="13">
      <c r="A13" s="5" t="inlineStr">
        <is>
          <t>Net operating income</t>
        </is>
      </c>
      <c r="B13" s="5" t="n">
        <v>27923</v>
      </c>
      <c r="C13" s="5" t="n">
        <v>30857</v>
      </c>
      <c r="D13" s="5" t="n">
        <v>27703</v>
      </c>
      <c r="E13" s="5" t="n">
        <v>22160</v>
      </c>
      <c r="F13" s="5" t="n">
        <v>15776</v>
      </c>
    </row>
    <row r="14">
      <c r="A14" s="6" t="inlineStr">
        <is>
          <t>Administrative expenses</t>
        </is>
      </c>
      <c r="B14" s="6" t="n">
        <v>-21631</v>
      </c>
      <c r="C14" s="6" t="n">
        <v>-21449</v>
      </c>
      <c r="D14" s="6" t="n">
        <v>-20221</v>
      </c>
      <c r="E14" s="6" t="n">
        <v>-21378</v>
      </c>
      <c r="F14" s="6" t="n">
        <v>-19484</v>
      </c>
    </row>
    <row r="15">
      <c r="A15" s="6" t="inlineStr">
        <is>
          <t>Restructuring cost</t>
        </is>
      </c>
      <c r="B15" s="6" t="n"/>
      <c r="C15" s="6" t="n"/>
      <c r="D15" s="6" t="n"/>
      <c r="E15" s="6" t="n"/>
      <c r="F15" s="6" t="n">
        <v>0</v>
      </c>
    </row>
    <row r="16">
      <c r="A16" s="6" t="inlineStr">
        <is>
          <t>Depreciation and amortisation expense</t>
        </is>
      </c>
      <c r="B16" s="6" t="n">
        <v>-435</v>
      </c>
      <c r="C16" s="6" t="n">
        <v>-310</v>
      </c>
      <c r="D16" s="6" t="n">
        <v>-314</v>
      </c>
      <c r="E16" s="6" t="n">
        <v>-634</v>
      </c>
      <c r="F16" s="6" t="n">
        <v>-389</v>
      </c>
    </row>
    <row r="17">
      <c r="A17" s="5" t="inlineStr">
        <is>
          <t>Total operating expenses before provisions</t>
        </is>
      </c>
      <c r="B17" s="5" t="n">
        <v>-22066</v>
      </c>
      <c r="C17" s="5" t="n">
        <v>-21759</v>
      </c>
      <c r="D17" s="5" t="n">
        <v>-20535</v>
      </c>
      <c r="E17" s="5" t="n">
        <v>-22012</v>
      </c>
      <c r="F17" s="5" t="n">
        <v>-19873</v>
      </c>
    </row>
    <row r="18">
      <c r="A18" s="5" t="inlineStr">
        <is>
          <t>Operating profit/(loss) before provisions and tax</t>
        </is>
      </c>
      <c r="B18" s="5" t="n">
        <v>5857</v>
      </c>
      <c r="C18" s="5" t="n">
        <v>9098</v>
      </c>
      <c r="D18" s="5" t="n">
        <v>7168</v>
      </c>
      <c r="E18" s="5" t="n">
        <v>148</v>
      </c>
      <c r="F18" s="5" t="n">
        <v>-4097</v>
      </c>
    </row>
    <row r="19">
      <c r="A19" s="6" t="inlineStr">
        <is>
          <t>Provision for loan (losses)/reversals - net</t>
        </is>
      </c>
      <c r="B19" s="6" t="n">
        <v>-74</v>
      </c>
      <c r="C19" s="6" t="n">
        <v>-84</v>
      </c>
      <c r="D19" s="6" t="n">
        <v>-50</v>
      </c>
      <c r="E19" s="6" t="n">
        <v>1456</v>
      </c>
      <c r="F19" s="6" t="n">
        <v>188</v>
      </c>
    </row>
    <row r="20">
      <c r="A20" s="6" t="inlineStr">
        <is>
          <t>Reversal of provision for diminution in the value of investments</t>
        </is>
      </c>
      <c r="B20" s="6" t="n">
        <v>0</v>
      </c>
      <c r="C20" s="6" t="n">
        <v>207</v>
      </c>
      <c r="D20" s="6" t="n"/>
      <c r="E20" s="6" t="n">
        <v>0</v>
      </c>
      <c r="F20" s="6" t="n">
        <v>124</v>
      </c>
    </row>
    <row r="21">
      <c r="A21" s="5" t="inlineStr">
        <is>
          <t>Profit/(loss) before tax</t>
        </is>
      </c>
      <c r="B21" s="5" t="n">
        <v>5783</v>
      </c>
      <c r="C21" s="5" t="n">
        <v>9221</v>
      </c>
      <c r="D21" s="5" t="n">
        <v>7118</v>
      </c>
      <c r="E21" s="5" t="n">
        <v>1604</v>
      </c>
      <c r="F21" s="5" t="n">
        <v>-3785</v>
      </c>
    </row>
    <row r="22">
      <c r="A22" s="6" t="inlineStr">
        <is>
          <t>Tax (expense)/credit</t>
        </is>
      </c>
      <c r="B22" s="6" t="n">
        <v>-775</v>
      </c>
      <c r="C22" s="6" t="n">
        <v>816</v>
      </c>
      <c r="D22" s="6" t="n">
        <v>637</v>
      </c>
      <c r="E22" s="6" t="n">
        <v>3187</v>
      </c>
      <c r="F22" s="6" t="n">
        <v>-1906</v>
      </c>
    </row>
    <row r="23">
      <c r="A23" s="5" t="inlineStr">
        <is>
          <t>Profit/(loss) for the year</t>
        </is>
      </c>
      <c r="B23" s="5" t="n">
        <v>5008</v>
      </c>
      <c r="C23" s="5" t="n">
        <v>10037</v>
      </c>
      <c r="D23" s="5" t="n">
        <v>7755</v>
      </c>
      <c r="E23" s="5" t="n">
        <v>4791</v>
      </c>
      <c r="F23" s="5" t="n">
        <v>-5691</v>
      </c>
    </row>
    <row r="24">
      <c r="A24" s="5" t="inlineStr">
        <is>
          <t>Other comprehensive income</t>
        </is>
      </c>
      <c r="B24" s="6" t="n"/>
      <c r="C24" s="6" t="n"/>
      <c r="D24" s="6" t="n"/>
      <c r="E24" s="6" t="n"/>
      <c r="F24" s="6" t="n"/>
    </row>
    <row r="25">
      <c r="A25" s="6" t="inlineStr">
        <is>
          <t>Gain/(Loss) on revaluation of investments</t>
        </is>
      </c>
      <c r="B25" s="6" t="n">
        <v>173</v>
      </c>
      <c r="C25" s="6" t="n">
        <v>656</v>
      </c>
      <c r="D25" s="6" t="n">
        <v>808</v>
      </c>
      <c r="E25" s="6" t="n">
        <v>-1439</v>
      </c>
      <c r="F25" s="6" t="n">
        <v>-262</v>
      </c>
    </row>
    <row r="26">
      <c r="A26" s="6" t="inlineStr">
        <is>
          <t>Current tax related to available for sale debt securities</t>
        </is>
      </c>
      <c r="B26" s="6" t="n"/>
      <c r="C26" s="6" t="n"/>
      <c r="D26" s="6" t="n"/>
      <c r="E26" s="6" t="n"/>
      <c r="F26" s="6" t="n">
        <v>0</v>
      </c>
    </row>
    <row r="27">
      <c r="A27" s="6" t="inlineStr">
        <is>
          <t>Deferred tax related to available for sale debt securities</t>
        </is>
      </c>
      <c r="B27" s="6" t="n">
        <v>-51</v>
      </c>
      <c r="C27" s="6" t="n">
        <v>-157</v>
      </c>
      <c r="D27" s="6" t="n">
        <v>-265</v>
      </c>
      <c r="E27" s="6" t="n">
        <v>375</v>
      </c>
      <c r="F27" s="6" t="n">
        <v>56</v>
      </c>
    </row>
    <row r="28">
      <c r="A28" s="6" t="inlineStr">
        <is>
          <t>Effect of movements in exchange rates on retained earnings/other movement</t>
        </is>
      </c>
      <c r="B28" s="6" t="n"/>
      <c r="C28" s="6" t="n"/>
      <c r="D28" s="6" t="n">
        <v>0</v>
      </c>
      <c r="E28" s="6" t="n">
        <v>7</v>
      </c>
      <c r="F28" s="6" t="n">
        <v>-10</v>
      </c>
    </row>
    <row r="29">
      <c r="A29" s="5" t="inlineStr">
        <is>
          <t>Other comprehensive income/(expense) for the year</t>
        </is>
      </c>
      <c r="B29" s="5" t="n">
        <v>122</v>
      </c>
      <c r="C29" s="5" t="n">
        <v>499</v>
      </c>
      <c r="D29" s="5" t="n">
        <v>543</v>
      </c>
      <c r="E29" s="5" t="n">
        <v>-1057</v>
      </c>
      <c r="F29" s="5" t="n">
        <v>-216</v>
      </c>
    </row>
    <row r="30">
      <c r="A30" s="5" t="inlineStr">
        <is>
          <t>Total comprehensive income/(loss) for the year</t>
        </is>
      </c>
      <c r="B30" s="5" t="n">
        <v>5130</v>
      </c>
      <c r="C30" s="5" t="n">
        <v>10536</v>
      </c>
      <c r="D30" s="5" t="n">
        <v>8298</v>
      </c>
      <c r="E30" s="5" t="n">
        <v>3734</v>
      </c>
      <c r="F30" s="5" t="n">
        <v>-5907</v>
      </c>
    </row>
    <row r="32" ht="286" customHeight="1">
      <c r="A32" s="8" t="inlineStr">
        <is>
          <t>Sources - HBL Bank UK Limited's own Income Statement / Statement of Comprehensive Income / Statement of Financial Position / Statement of Changes in Equity, each year's own originally-published figures, from each year's Companies House-filed Annual Report and Financial Statements (company 01719649), text-native filings:
FY2025: Annual Report and Financial Statements 2025, pp.34-37 - https://find-and-update.company-information.service.gov.uk/company/01719649/filing-history/MzUxODk2NjE4MWFkaXF6a2N4/document?format=pdf&amp;download=0
FY2024: Annual Report and Financial Statements 2024, pp.34-37 (FY2024's own originally-published figures used) - https://find-and-update.company-information.service.gov.uk/company/01719649/filing-history/MzQ2NzY3NzI2OWFkaXF6a2N4/document?format=pdf&amp;download=0
FY2023: Annual Report and Financial Statements 2023, pp.36-39 (FY2023's own originally-published figures used) - https://find-and-update.company-information.service.gov.uk/company/01719649/filing-history/MzQzNjc2MDc4MWFkaXF6a2N4/document?format=pdf&amp;download=0
FY2022: Annual Report and Financial Statements 2022, pp.37-40 (FY2022's own originally-published figures used) - https://find-and-update.company-information.service.gov.uk/company/01719649/filing-history/MzM4OTg0MTU0M2FkaXF6a2N4/document?format=pdf&amp;download=0
FY2021: Annual Report and Financial Statements 2021, pp.34-37 (FY2021's own originally-published figures used - confirmed identical to the FY2022 Annual Report's own FY2021 comparative column) - https://find-and-update.company-information.service.gov.uk/company/01719649/filing-history/MzM1NjI2OTMyN2FkaXF6a2N4/document?format=pdf&amp;download=0
Balance Sheet's own FY2025 Total equity (87,654) is £1k above the Statement of Changes in Equity's own FY2025 closing total (87,653) - a rounding gap present in the Bank's own report, reproduced as disclosed rather than force-reconciled.
Debt securities breakdown (measurement basis: Held to Maturity vs Available for Sale; issuer type: Government securities vs Other) is sourced from Note 10 'Debt Securities' of each year's own Annual Report and Financial Statements, each year's own originally-published figures, reconciling exactly to the Balance Sheet's own Debt securities total for every year:
FY2025: Note 10, p.45 - https://find-and-update.company-information.service.gov.uk/company/01719649/filing-history/MzUxODk2NjE4MWFkaXF6a2N4/document?format=pdf&amp;download=0
FY2024: Note 10, p.45 - https://find-and-update.company-information.service.gov.uk/company/01719649/filing-history/MzQ2NzY3NzI2OWFkaXF6a2N4/document?format=pdf&amp;download=0
FY2023: Note 10, p.48 - https://find-and-update.company-information.service.gov.uk/company/01719649/filing-history/MzQzNjc2MDc4MWFkaXF6a2N4/document?format=pdf&amp;download=0
FY2022: Note 10, p.49 - https://find-and-update.company-information.service.gov.uk/company/01719649/filing-history/MzM4OTg0MTU0M2FkaXF6a2N4/document?format=pdf&amp;download=0
FY2021: Note 10, p.45 - https://find-and-update.company-information.service.gov.uk/company/01719649/filing-history/MzM1NjI2OTMyN2FkaXF6a2N4/document?format=pdf&amp;download=0
FY2025 and FY2024 disclose no 'Other securities' leg under Available for Sale (100% Government securities that year); FY2025 also discloses no Provision for diminution line (fully written off by FY2024, per Note 10.1's roll-forward in each year's own report).</t>
        </is>
      </c>
    </row>
  </sheetData>
  <mergeCells count="1">
    <mergeCell ref="A32:F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s>
  <sheetData>
    <row r="1">
      <c r="A1" s="1" t="inlineStr">
        <is>
          <t>HBL Bank UK Limited — Statement of Changes in Equity</t>
        </is>
      </c>
    </row>
    <row r="2">
      <c r="A2" s="2" t="inlineStr">
        <is>
          <t>£'000, chronological, oldest to newest</t>
        </is>
      </c>
    </row>
    <row r="3">
      <c r="A3" s="4" t="inlineStr">
        <is>
          <t>Movement</t>
        </is>
      </c>
      <c r="B3" s="4" t="inlineStr">
        <is>
          <t>Share capital</t>
        </is>
      </c>
      <c r="C3" s="4" t="inlineStr">
        <is>
          <t>Other equity instruments</t>
        </is>
      </c>
      <c r="D3" s="4" t="inlineStr">
        <is>
          <t>Profit and loss account</t>
        </is>
      </c>
      <c r="E3" s="4" t="inlineStr">
        <is>
          <t>Revaluation reserve</t>
        </is>
      </c>
      <c r="F3" s="4" t="inlineStr">
        <is>
          <t>Total equity</t>
        </is>
      </c>
    </row>
    <row r="4">
      <c r="A4" s="5" t="inlineStr">
        <is>
          <t>At 1 January 2021</t>
        </is>
      </c>
      <c r="B4" s="5" t="n">
        <v>50315</v>
      </c>
      <c r="C4" s="5" t="n">
        <v>20151</v>
      </c>
      <c r="D4" s="5" t="n">
        <v>131</v>
      </c>
      <c r="E4" s="5" t="n">
        <v>109</v>
      </c>
      <c r="F4" s="5" t="n">
        <v>70706</v>
      </c>
    </row>
    <row r="5">
      <c r="A5" s="6" t="inlineStr">
        <is>
          <t>Loss for the year (FY2021)</t>
        </is>
      </c>
      <c r="B5" s="6" t="n"/>
      <c r="C5" s="6" t="n"/>
      <c r="D5" s="6" t="n">
        <v>-5691</v>
      </c>
      <c r="E5" s="6" t="n"/>
      <c r="F5" s="6" t="n">
        <v>-5691</v>
      </c>
    </row>
    <row r="6">
      <c r="A6" s="6" t="inlineStr">
        <is>
          <t>Other comprehensive income (FY2021)</t>
        </is>
      </c>
      <c r="B6" s="6" t="n"/>
      <c r="C6" s="6" t="n"/>
      <c r="D6" s="6" t="n">
        <v>-10</v>
      </c>
      <c r="E6" s="6" t="n">
        <v>-206</v>
      </c>
      <c r="F6" s="6" t="n">
        <v>-216</v>
      </c>
    </row>
    <row r="7">
      <c r="A7" s="5" t="inlineStr">
        <is>
          <t>Total comprehensive loss for the year (FY2021)</t>
        </is>
      </c>
      <c r="B7" s="5" t="n"/>
      <c r="C7" s="5" t="n"/>
      <c r="D7" s="5" t="n">
        <v>-5701</v>
      </c>
      <c r="E7" s="5" t="n">
        <v>-206</v>
      </c>
      <c r="F7" s="5" t="n">
        <v>-5907</v>
      </c>
    </row>
    <row r="8">
      <c r="A8" s="6" t="inlineStr">
        <is>
          <t>Issuance of Additional Tier 1 Capital (FY2021)</t>
        </is>
      </c>
      <c r="B8" s="6" t="n"/>
      <c r="C8" s="6" t="n">
        <v>2190</v>
      </c>
      <c r="D8" s="6" t="n"/>
      <c r="E8" s="6" t="n"/>
      <c r="F8" s="6" t="n">
        <v>2190</v>
      </c>
    </row>
    <row r="9">
      <c r="A9" s="6" t="inlineStr">
        <is>
          <t>Repayment of Tier II Capital (FY2021)</t>
        </is>
      </c>
      <c r="B9" s="6" t="n"/>
      <c r="C9" s="6" t="n">
        <v>-1854</v>
      </c>
      <c r="D9" s="6" t="n"/>
      <c r="E9" s="6" t="n"/>
      <c r="F9" s="6" t="n">
        <v>-1854</v>
      </c>
    </row>
    <row r="10">
      <c r="A10" s="6" t="inlineStr">
        <is>
          <t>Interest on equity instruments classified as equity (FY2021)</t>
        </is>
      </c>
      <c r="B10" s="6" t="n"/>
      <c r="C10" s="6" t="n"/>
      <c r="D10" s="6" t="n">
        <v>-621</v>
      </c>
      <c r="E10" s="6" t="n"/>
      <c r="F10" s="6" t="n">
        <v>-621</v>
      </c>
    </row>
    <row r="11">
      <c r="A11" s="5" t="inlineStr">
        <is>
          <t>At 31 December 2021</t>
        </is>
      </c>
      <c r="B11" s="5" t="n">
        <v>50315</v>
      </c>
      <c r="C11" s="5" t="n">
        <v>20487</v>
      </c>
      <c r="D11" s="5" t="n">
        <v>-6191</v>
      </c>
      <c r="E11" s="5" t="n">
        <v>-97</v>
      </c>
      <c r="F11" s="5" t="n">
        <v>64514</v>
      </c>
    </row>
    <row r="12">
      <c r="A12" s="6" t="inlineStr">
        <is>
          <t>Profit for the year (FY2022)</t>
        </is>
      </c>
      <c r="B12" s="6" t="n"/>
      <c r="C12" s="6" t="n"/>
      <c r="D12" s="6" t="n">
        <v>4791</v>
      </c>
      <c r="E12" s="6" t="n"/>
      <c r="F12" s="6" t="n">
        <v>4791</v>
      </c>
    </row>
    <row r="13">
      <c r="A13" s="6" t="inlineStr">
        <is>
          <t>Other comprehensive income/(expense) (FY2022)</t>
        </is>
      </c>
      <c r="B13" s="6" t="n"/>
      <c r="C13" s="6" t="n"/>
      <c r="D13" s="6" t="n">
        <v>7</v>
      </c>
      <c r="E13" s="6" t="n">
        <v>-1064</v>
      </c>
      <c r="F13" s="6" t="n">
        <v>-1057</v>
      </c>
    </row>
    <row r="14">
      <c r="A14" s="5" t="inlineStr">
        <is>
          <t>Total comprehensive income for the year (FY2022)</t>
        </is>
      </c>
      <c r="B14" s="5" t="n"/>
      <c r="C14" s="5" t="n"/>
      <c r="D14" s="5" t="n">
        <v>4798</v>
      </c>
      <c r="E14" s="5" t="n">
        <v>-1064</v>
      </c>
      <c r="F14" s="5" t="n">
        <v>3734</v>
      </c>
    </row>
    <row r="15">
      <c r="A15" s="6" t="inlineStr">
        <is>
          <t>Issuance of Common Equity Tier 1 Capital (FY2022)</t>
        </is>
      </c>
      <c r="B15" s="6" t="n">
        <v>3000</v>
      </c>
      <c r="C15" s="6" t="n"/>
      <c r="D15" s="6" t="n"/>
      <c r="E15" s="6" t="n"/>
      <c r="F15" s="6" t="n">
        <v>3000</v>
      </c>
    </row>
    <row r="16">
      <c r="A16" s="6" t="inlineStr">
        <is>
          <t>Interest on equity instruments classified as equity (FY2022)</t>
        </is>
      </c>
      <c r="B16" s="6" t="n"/>
      <c r="C16" s="6" t="n"/>
      <c r="D16" s="6" t="n">
        <v>-766</v>
      </c>
      <c r="E16" s="6" t="n"/>
      <c r="F16" s="6" t="n">
        <v>-766</v>
      </c>
    </row>
    <row r="17">
      <c r="A17" s="5" t="inlineStr">
        <is>
          <t>At 31 December 2022</t>
        </is>
      </c>
      <c r="B17" s="5" t="n">
        <v>53315</v>
      </c>
      <c r="C17" s="5" t="n">
        <v>20487</v>
      </c>
      <c r="D17" s="5" t="n">
        <v>-2159</v>
      </c>
      <c r="E17" s="5" t="n">
        <v>-1161</v>
      </c>
      <c r="F17" s="5" t="n">
        <v>70482</v>
      </c>
    </row>
    <row r="18">
      <c r="A18" s="6" t="inlineStr">
        <is>
          <t>Profit for the year (FY2023)</t>
        </is>
      </c>
      <c r="B18" s="6" t="n"/>
      <c r="C18" s="6" t="n"/>
      <c r="D18" s="6" t="n">
        <v>7755</v>
      </c>
      <c r="E18" s="6" t="n"/>
      <c r="F18" s="6" t="n">
        <v>7755</v>
      </c>
    </row>
    <row r="19">
      <c r="A19" s="6" t="inlineStr">
        <is>
          <t>Other comprehensive income (FY2023)</t>
        </is>
      </c>
      <c r="B19" s="6" t="n"/>
      <c r="C19" s="6" t="n"/>
      <c r="D19" s="6" t="n"/>
      <c r="E19" s="6" t="n">
        <v>543</v>
      </c>
      <c r="F19" s="6" t="n">
        <v>543</v>
      </c>
    </row>
    <row r="20">
      <c r="A20" s="5" t="inlineStr">
        <is>
          <t>Total comprehensive income for the year (FY2023)</t>
        </is>
      </c>
      <c r="B20" s="5" t="n"/>
      <c r="C20" s="5" t="n"/>
      <c r="D20" s="5" t="n">
        <v>7755</v>
      </c>
      <c r="E20" s="5" t="n">
        <v>543</v>
      </c>
      <c r="F20" s="5" t="n">
        <v>8298</v>
      </c>
    </row>
    <row r="21">
      <c r="A21" s="6" t="inlineStr">
        <is>
          <t>Interest on other equity instruments (FY2023)</t>
        </is>
      </c>
      <c r="B21" s="6" t="n"/>
      <c r="C21" s="6" t="n"/>
      <c r="D21" s="6" t="n">
        <v>-3528</v>
      </c>
      <c r="E21" s="6" t="n"/>
      <c r="F21" s="6" t="n">
        <v>-3528</v>
      </c>
    </row>
    <row r="22">
      <c r="A22" s="5" t="inlineStr">
        <is>
          <t>At 31 December 2023</t>
        </is>
      </c>
      <c r="B22" s="5" t="n">
        <v>53315</v>
      </c>
      <c r="C22" s="5" t="n">
        <v>20487</v>
      </c>
      <c r="D22" s="5" t="n">
        <v>2068</v>
      </c>
      <c r="E22" s="5" t="n">
        <v>-618</v>
      </c>
      <c r="F22" s="5" t="n">
        <v>75252</v>
      </c>
    </row>
    <row r="23">
      <c r="A23" s="6" t="inlineStr">
        <is>
          <t>Profit for the year (FY2024)</t>
        </is>
      </c>
      <c r="B23" s="6" t="n"/>
      <c r="C23" s="6" t="n"/>
      <c r="D23" s="6" t="n">
        <v>10037</v>
      </c>
      <c r="E23" s="6" t="n"/>
      <c r="F23" s="6" t="n">
        <v>10037</v>
      </c>
    </row>
    <row r="24">
      <c r="A24" s="6" t="inlineStr">
        <is>
          <t>Other comprehensive income (FY2024)</t>
        </is>
      </c>
      <c r="B24" s="6" t="n"/>
      <c r="C24" s="6" t="n"/>
      <c r="D24" s="6" t="n"/>
      <c r="E24" s="6" t="n">
        <v>499</v>
      </c>
      <c r="F24" s="6" t="n">
        <v>499</v>
      </c>
    </row>
    <row r="25">
      <c r="A25" s="5" t="inlineStr">
        <is>
          <t>Total comprehensive income for the year (FY2024)</t>
        </is>
      </c>
      <c r="B25" s="5" t="n"/>
      <c r="C25" s="5" t="n"/>
      <c r="D25" s="5" t="n">
        <v>10037</v>
      </c>
      <c r="E25" s="5" t="n">
        <v>499</v>
      </c>
      <c r="F25" s="5" t="n">
        <v>10536</v>
      </c>
    </row>
    <row r="26">
      <c r="A26" s="6" t="inlineStr">
        <is>
          <t>Issuance of Additional Tier 1 Capital (FY2024)</t>
        </is>
      </c>
      <c r="B26" s="6" t="n"/>
      <c r="C26" s="6" t="n">
        <v>3958</v>
      </c>
      <c r="D26" s="6" t="n"/>
      <c r="E26" s="6" t="n"/>
      <c r="F26" s="6" t="n">
        <v>3958</v>
      </c>
    </row>
    <row r="27">
      <c r="A27" s="6" t="inlineStr">
        <is>
          <t>Repayment of Tier II Capital (FY2024)</t>
        </is>
      </c>
      <c r="B27" s="6" t="n"/>
      <c r="C27" s="6" t="n">
        <v>-3090</v>
      </c>
      <c r="D27" s="6" t="n"/>
      <c r="E27" s="6" t="n"/>
      <c r="F27" s="6" t="n">
        <v>-3090</v>
      </c>
    </row>
    <row r="28">
      <c r="A28" s="6" t="inlineStr">
        <is>
          <t>Interest on other equity instruments (FY2024)</t>
        </is>
      </c>
      <c r="B28" s="6" t="n"/>
      <c r="C28" s="6" t="n"/>
      <c r="D28" s="6" t="n">
        <v>-2456</v>
      </c>
      <c r="E28" s="6" t="n"/>
      <c r="F28" s="6" t="n">
        <v>-2456</v>
      </c>
    </row>
    <row r="29">
      <c r="A29" s="5" t="inlineStr">
        <is>
          <t>At 31 December 2024</t>
        </is>
      </c>
      <c r="B29" s="5" t="n">
        <v>53315</v>
      </c>
      <c r="C29" s="5" t="n">
        <v>21355</v>
      </c>
      <c r="D29" s="5" t="n">
        <v>9649</v>
      </c>
      <c r="E29" s="5" t="n">
        <v>-119</v>
      </c>
      <c r="F29" s="5" t="n">
        <v>84200</v>
      </c>
    </row>
    <row r="30">
      <c r="A30" s="6" t="inlineStr">
        <is>
          <t>Profit for the year (FY2025)</t>
        </is>
      </c>
      <c r="B30" s="6" t="n"/>
      <c r="C30" s="6" t="n"/>
      <c r="D30" s="6" t="n">
        <v>5008</v>
      </c>
      <c r="E30" s="6" t="n"/>
      <c r="F30" s="6" t="n">
        <v>5008</v>
      </c>
    </row>
    <row r="31">
      <c r="A31" s="6" t="inlineStr">
        <is>
          <t>Other comprehensive income (FY2025)</t>
        </is>
      </c>
      <c r="B31" s="6" t="n"/>
      <c r="C31" s="6" t="n"/>
      <c r="D31" s="6" t="n"/>
      <c r="E31" s="6" t="n">
        <v>122</v>
      </c>
      <c r="F31" s="6" t="n">
        <v>122</v>
      </c>
    </row>
    <row r="32">
      <c r="A32" s="5" t="inlineStr">
        <is>
          <t>Total comprehensive income for the year (FY2025)</t>
        </is>
      </c>
      <c r="B32" s="5" t="n"/>
      <c r="C32" s="5" t="n"/>
      <c r="D32" s="5" t="n">
        <v>5008</v>
      </c>
      <c r="E32" s="5" t="n">
        <v>122</v>
      </c>
      <c r="F32" s="5" t="n">
        <v>5130</v>
      </c>
    </row>
    <row r="33">
      <c r="A33" s="6" t="inlineStr">
        <is>
          <t>Issuance of Additional Tier 1 Capital (FY2025)</t>
        </is>
      </c>
      <c r="B33" s="6" t="n"/>
      <c r="C33" s="6" t="n">
        <v>1621</v>
      </c>
      <c r="D33" s="6" t="n"/>
      <c r="E33" s="6" t="n"/>
      <c r="F33" s="6" t="n">
        <v>1621</v>
      </c>
    </row>
    <row r="34">
      <c r="A34" s="6" t="inlineStr">
        <is>
          <t>Repayment of Tier II Capital (FY2025)</t>
        </is>
      </c>
      <c r="B34" s="6" t="n"/>
      <c r="C34" s="6" t="n">
        <v>-1236</v>
      </c>
      <c r="D34" s="6" t="n"/>
      <c r="E34" s="6" t="n"/>
      <c r="F34" s="6" t="n">
        <v>-1236</v>
      </c>
    </row>
    <row r="35">
      <c r="A35" s="6" t="inlineStr">
        <is>
          <t>Interest on other equity instruments (FY2025)</t>
        </is>
      </c>
      <c r="B35" s="6" t="n"/>
      <c r="C35" s="6" t="n"/>
      <c r="D35" s="6" t="n">
        <v>-2062</v>
      </c>
      <c r="E35" s="6" t="n"/>
      <c r="F35" s="6" t="n">
        <v>-2062</v>
      </c>
    </row>
    <row r="36">
      <c r="A36" s="5" t="inlineStr">
        <is>
          <t>At 31 December 2025 (per the Bank's own Equity Statement; the Balance Sheet's own Total equity is £87,654k, £1k above this figure - see source note)</t>
        </is>
      </c>
      <c r="B36" s="5" t="n">
        <v>53315</v>
      </c>
      <c r="C36" s="5" t="n">
        <v>21741</v>
      </c>
      <c r="D36" s="5" t="n">
        <v>12595</v>
      </c>
      <c r="E36" s="5" t="n">
        <v>3</v>
      </c>
      <c r="F36" s="5" t="n">
        <v>87653</v>
      </c>
    </row>
    <row r="38" ht="299" customHeight="1">
      <c r="A38" s="8" t="inlineStr">
        <is>
          <t>Sources - HBL Bank UK Limited's own Income Statement / Statement of Comprehensive Income / Statement of Financial Position / Statement of Changes in Equity, each year's own originally-published figures, from each year's Companies House-filed Annual Report and Financial Statements (company 01719649), text-native filings:
FY2025: Annual Report and Financial Statements 2025, pp.34-37 - https://find-and-update.company-information.service.gov.uk/company/01719649/filing-history/MzUxODk2NjE4MWFkaXF6a2N4/document?format=pdf&amp;download=0
FY2024: Annual Report and Financial Statements 2024, pp.34-37 (FY2024's own originally-published figures used) - https://find-and-update.company-information.service.gov.uk/company/01719649/filing-history/MzQ2NzY3NzI2OWFkaXF6a2N4/document?format=pdf&amp;download=0
FY2023: Annual Report and Financial Statements 2023, pp.36-39 (FY2023's own originally-published figures used) - https://find-and-update.company-information.service.gov.uk/company/01719649/filing-history/MzQzNjc2MDc4MWFkaXF6a2N4/document?format=pdf&amp;download=0
FY2022: Annual Report and Financial Statements 2022, pp.37-40 (FY2022's own originally-published figures used) - https://find-and-update.company-information.service.gov.uk/company/01719649/filing-history/MzM4OTg0MTU0M2FkaXF6a2N4/document?format=pdf&amp;download=0
FY2021: Annual Report and Financial Statements 2021, pp.34-37 (FY2021's own originally-published figures used - confirmed identical to the FY2022 Annual Report's own FY2021 comparative column) - https://find-and-update.company-information.service.gov.uk/company/01719649/filing-history/MzM1NjI2OTMyN2FkaXF6a2N4/document?format=pdf&amp;download=0
Balance Sheet's own FY2025 Total equity (87,654) is £1k above the Statement of Changes in Equity's own FY2025 closing total (87,653) - a rounding gap present in the Bank's own report, reproduced as disclosed rather than force-reconciled.
Debt securities breakdown (measurement basis: Held to Maturity vs Available for Sale; issuer type: Government securities vs Other) is sourced from Note 10 'Debt Securities' of each year's own Annual Report and Financial Statements, each year's own originally-published figures, reconciling exactly to the Balance Sheet's own Debt securities total for every year:
FY2025: Note 10, p.45 - https://find-and-update.company-information.service.gov.uk/company/01719649/filing-history/MzUxODk2NjE4MWFkaXF6a2N4/document?format=pdf&amp;download=0
FY2024: Note 10, p.45 - https://find-and-update.company-information.service.gov.uk/company/01719649/filing-history/MzQ2NzY3NzI2OWFkaXF6a2N4/document?format=pdf&amp;download=0
FY2023: Note 10, p.48 - https://find-and-update.company-information.service.gov.uk/company/01719649/filing-history/MzQzNjc2MDc4MWFkaXF6a2N4/document?format=pdf&amp;download=0
FY2022: Note 10, p.49 - https://find-and-update.company-information.service.gov.uk/company/01719649/filing-history/MzM4OTg0MTU0M2FkaXF6a2N4/document?format=pdf&amp;download=0
FY2021: Note 10, p.45 - https://find-and-update.company-information.service.gov.uk/company/01719649/filing-history/MzM1NjI2OTMyN2FkaXF6a2N4/document?format=pdf&amp;download=0
FY2025 and FY2024 disclose no 'Other securities' leg under Available for Sale (100% Government securities that year); FY2025 also discloses no Provision for diminution line (fully written off by FY2024, per Note 10.1's roll-forward in each year's own report).</t>
        </is>
      </c>
    </row>
  </sheetData>
  <mergeCells count="1">
    <mergeCell ref="A38:F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HBL Bank UK Limited — Cash Flow Statement</t>
        </is>
      </c>
    </row>
    <row r="2">
      <c r="A2" s="2" t="inlineStr">
        <is>
          <t>Figures as reported in each year's own Annual Report and Financial Statements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Profit/(loss) for the year</t>
        </is>
      </c>
      <c r="B5" s="6" t="n">
        <v>5008</v>
      </c>
      <c r="C5" s="6" t="n">
        <v>10037</v>
      </c>
      <c r="D5" s="6" t="n">
        <v>7755</v>
      </c>
      <c r="E5" s="6" t="n">
        <v>4791</v>
      </c>
      <c r="F5" s="6" t="n">
        <v>-5691</v>
      </c>
    </row>
    <row r="6">
      <c r="A6" s="6" t="inlineStr">
        <is>
          <t>Depreciation</t>
        </is>
      </c>
      <c r="B6" s="6" t="n">
        <v>435</v>
      </c>
      <c r="C6" s="6" t="n">
        <v>310</v>
      </c>
      <c r="D6" s="6" t="n">
        <v>314</v>
      </c>
      <c r="E6" s="6" t="n">
        <v>354</v>
      </c>
      <c r="F6" s="6" t="n">
        <v>389</v>
      </c>
    </row>
    <row r="7">
      <c r="A7" s="6" t="inlineStr">
        <is>
          <t>Amortisation - HTM securities</t>
        </is>
      </c>
      <c r="B7" s="6" t="n">
        <v>234</v>
      </c>
      <c r="C7" s="6" t="n"/>
      <c r="D7" s="6" t="n"/>
      <c r="E7" s="6" t="n"/>
      <c r="F7" s="6" t="n"/>
    </row>
    <row r="8">
      <c r="A8" s="6" t="inlineStr">
        <is>
          <t>Gain on sale of fixed assets</t>
        </is>
      </c>
      <c r="B8" s="6" t="n">
        <v>-720</v>
      </c>
      <c r="C8" s="6" t="n"/>
      <c r="D8" s="6" t="n"/>
      <c r="E8" s="6" t="n"/>
      <c r="F8" s="6" t="n"/>
    </row>
    <row r="9">
      <c r="A9" s="6" t="inlineStr">
        <is>
          <t>Loss/(gain) on sale of securities</t>
        </is>
      </c>
      <c r="B9" s="6" t="n"/>
      <c r="C9" s="6" t="n"/>
      <c r="D9" s="6" t="n">
        <v>0</v>
      </c>
      <c r="E9" s="6" t="n">
        <v>39</v>
      </c>
      <c r="F9" s="6" t="n">
        <v>-126</v>
      </c>
    </row>
    <row r="10">
      <c r="A10" s="6" t="inlineStr">
        <is>
          <t>Provisions for diminution in the value of investments</t>
        </is>
      </c>
      <c r="B10" s="6" t="n"/>
      <c r="C10" s="6" t="n"/>
      <c r="D10" s="6" t="n"/>
      <c r="E10" s="6" t="n">
        <v>0</v>
      </c>
      <c r="F10" s="6" t="n">
        <v>-124</v>
      </c>
    </row>
    <row r="11">
      <c r="A11" s="6" t="inlineStr">
        <is>
          <t>Fixed assets written off</t>
        </is>
      </c>
      <c r="B11" s="6" t="n"/>
      <c r="C11" s="6" t="n"/>
      <c r="D11" s="6" t="n">
        <v>0</v>
      </c>
      <c r="E11" s="6" t="n">
        <v>280</v>
      </c>
      <c r="F11" s="6" t="n">
        <v>0</v>
      </c>
    </row>
    <row r="12">
      <c r="A12" s="6" t="inlineStr">
        <is>
          <t>Taxation</t>
        </is>
      </c>
      <c r="B12" s="6" t="n">
        <v>775</v>
      </c>
      <c r="C12" s="6" t="n">
        <v>-816</v>
      </c>
      <c r="D12" s="6" t="n">
        <v>-637</v>
      </c>
      <c r="E12" s="6" t="n">
        <v>-3187</v>
      </c>
      <c r="F12" s="6" t="n">
        <v>1906</v>
      </c>
    </row>
    <row r="13">
      <c r="A13" s="6" t="inlineStr">
        <is>
          <t>Provisions for loan losses/(reversal) - net</t>
        </is>
      </c>
      <c r="B13" s="6" t="n">
        <v>74</v>
      </c>
      <c r="C13" s="6" t="n">
        <v>84</v>
      </c>
      <c r="D13" s="6" t="n">
        <v>50</v>
      </c>
      <c r="E13" s="6" t="n">
        <v>-1456</v>
      </c>
      <c r="F13" s="6" t="n">
        <v>-188</v>
      </c>
    </row>
    <row r="14">
      <c r="A14" s="5" t="inlineStr">
        <is>
          <t>(Increase)/decrease in operating assets</t>
        </is>
      </c>
      <c r="B14" s="6" t="n"/>
      <c r="C14" s="6" t="n"/>
      <c r="D14" s="6" t="n"/>
      <c r="E14" s="6" t="n"/>
      <c r="F14" s="6" t="n"/>
    </row>
    <row r="15">
      <c r="A15" s="6" t="inlineStr">
        <is>
          <t>Loans and advances to banks (excl. short term placements and Nostro balances)</t>
        </is>
      </c>
      <c r="B15" s="6" t="n">
        <v>-22193</v>
      </c>
      <c r="C15" s="6" t="n">
        <v>1592</v>
      </c>
      <c r="D15" s="6" t="n">
        <v>28974</v>
      </c>
      <c r="E15" s="6" t="n">
        <v>13390</v>
      </c>
      <c r="F15" s="6" t="n">
        <v>3765</v>
      </c>
    </row>
    <row r="16">
      <c r="A16" s="6" t="inlineStr">
        <is>
          <t>Loans and advances to customers</t>
        </is>
      </c>
      <c r="B16" s="6" t="n">
        <v>-77820</v>
      </c>
      <c r="C16" s="6" t="n">
        <v>2321</v>
      </c>
      <c r="D16" s="6" t="n">
        <v>-13284</v>
      </c>
      <c r="E16" s="6" t="n">
        <v>-25011</v>
      </c>
      <c r="F16" s="6" t="n">
        <v>18113</v>
      </c>
    </row>
    <row r="17">
      <c r="A17" s="6" t="inlineStr">
        <is>
          <t>Other assets (excl. Corporation Tax) including Accrued Income</t>
        </is>
      </c>
      <c r="B17" s="6" t="n">
        <v>1780</v>
      </c>
      <c r="C17" s="6" t="n">
        <v>-1746</v>
      </c>
      <c r="D17" s="6" t="n">
        <v>1799</v>
      </c>
      <c r="E17" s="6" t="n">
        <v>-1525</v>
      </c>
      <c r="F17" s="6" t="n">
        <v>2993</v>
      </c>
    </row>
    <row r="18">
      <c r="A18" s="5" t="inlineStr">
        <is>
          <t>Increase/(decrease) in operating liabilities</t>
        </is>
      </c>
      <c r="B18" s="6" t="n"/>
      <c r="C18" s="6" t="n"/>
      <c r="D18" s="6" t="n"/>
      <c r="E18" s="6" t="n"/>
      <c r="F18" s="6" t="n"/>
    </row>
    <row r="19">
      <c r="A19" s="6" t="inlineStr">
        <is>
          <t>Deposit by banks</t>
        </is>
      </c>
      <c r="B19" s="6" t="n">
        <v>1480</v>
      </c>
      <c r="C19" s="6" t="n">
        <v>-101</v>
      </c>
      <c r="D19" s="6" t="n">
        <v>-4479</v>
      </c>
      <c r="E19" s="6" t="n">
        <v>2035</v>
      </c>
      <c r="F19" s="6" t="n">
        <v>2361</v>
      </c>
    </row>
    <row r="20">
      <c r="A20" s="6" t="inlineStr">
        <is>
          <t>Customer accounts</t>
        </is>
      </c>
      <c r="B20" s="6" t="n">
        <v>-12579</v>
      </c>
      <c r="C20" s="6" t="n">
        <v>49815</v>
      </c>
      <c r="D20" s="6" t="n">
        <v>-32475</v>
      </c>
      <c r="E20" s="6" t="n">
        <v>-25038</v>
      </c>
      <c r="F20" s="6" t="n">
        <v>10138</v>
      </c>
    </row>
    <row r="21">
      <c r="A21" s="6" t="inlineStr">
        <is>
          <t>Other liabilities (excl. Corporation Tax) including Deferred Income</t>
        </is>
      </c>
      <c r="B21" s="6" t="n">
        <v>201</v>
      </c>
      <c r="C21" s="6" t="n">
        <v>-620</v>
      </c>
      <c r="D21" s="6" t="n">
        <v>-658</v>
      </c>
      <c r="E21" s="6" t="n">
        <v>1682</v>
      </c>
      <c r="F21" s="6" t="n">
        <v>-1554</v>
      </c>
    </row>
    <row r="22">
      <c r="A22" s="6" t="inlineStr">
        <is>
          <t>Income tax paid - net</t>
        </is>
      </c>
      <c r="B22" s="6" t="n">
        <v>-205</v>
      </c>
      <c r="C22" s="6" t="n"/>
      <c r="D22" s="6" t="n"/>
      <c r="E22" s="6" t="n">
        <v>0</v>
      </c>
      <c r="F22" s="6" t="n">
        <v>112</v>
      </c>
    </row>
    <row r="23">
      <c r="A23" s="5" t="inlineStr">
        <is>
          <t>Net cash flows generated from/(used in) operating activities</t>
        </is>
      </c>
      <c r="B23" s="5" t="n">
        <v>-103530</v>
      </c>
      <c r="C23" s="5" t="n">
        <v>60876</v>
      </c>
      <c r="D23" s="5" t="n">
        <v>-12641</v>
      </c>
      <c r="E23" s="5" t="n">
        <v>-33646</v>
      </c>
      <c r="F23" s="5" t="n">
        <v>32094</v>
      </c>
    </row>
    <row r="24">
      <c r="A24" s="5" t="inlineStr">
        <is>
          <t>Investing activities</t>
        </is>
      </c>
      <c r="B24" s="6" t="n"/>
      <c r="C24" s="6" t="n"/>
      <c r="D24" s="6" t="n"/>
      <c r="E24" s="6" t="n"/>
      <c r="F24" s="6" t="n"/>
    </row>
    <row r="25">
      <c r="A25" s="6" t="inlineStr">
        <is>
          <t>Maturity/Sale of Investments in available-for-sale securities</t>
        </is>
      </c>
      <c r="B25" s="6" t="n">
        <v>200628</v>
      </c>
      <c r="C25" s="6" t="n"/>
      <c r="D25" s="6" t="n"/>
      <c r="E25" s="6" t="n"/>
      <c r="F25" s="6" t="n"/>
    </row>
    <row r="26">
      <c r="A26" s="6" t="inlineStr">
        <is>
          <t>Purchase of Investments in available-for-sale securities</t>
        </is>
      </c>
      <c r="B26" s="6" t="n">
        <v>-119113</v>
      </c>
      <c r="C26" s="6" t="n"/>
      <c r="D26" s="6" t="n"/>
      <c r="E26" s="6" t="n"/>
      <c r="F26" s="6" t="n"/>
    </row>
    <row r="27">
      <c r="A27" s="6" t="inlineStr">
        <is>
          <t>Maturity of Investments in held-to-maturity securities</t>
        </is>
      </c>
      <c r="B27" s="6" t="n">
        <v>0</v>
      </c>
      <c r="C27" s="6" t="n"/>
      <c r="D27" s="6" t="n"/>
      <c r="E27" s="6" t="n"/>
      <c r="F27" s="6" t="n"/>
    </row>
    <row r="28">
      <c r="A28" s="6" t="inlineStr">
        <is>
          <t>Net investments in available-for-sale securities</t>
        </is>
      </c>
      <c r="B28" s="6" t="n"/>
      <c r="C28" s="6" t="n">
        <v>-73517</v>
      </c>
      <c r="D28" s="6" t="n">
        <v>-6121</v>
      </c>
      <c r="E28" s="6" t="n">
        <v>11217</v>
      </c>
      <c r="F28" s="6" t="n">
        <v>-22599</v>
      </c>
    </row>
    <row r="29">
      <c r="A29" s="6" t="inlineStr">
        <is>
          <t>Net investments in held-to-maturity securities</t>
        </is>
      </c>
      <c r="B29" s="6" t="n"/>
      <c r="C29" s="6" t="n">
        <v>4255</v>
      </c>
      <c r="D29" s="6" t="n">
        <v>-4046</v>
      </c>
      <c r="E29" s="6" t="n">
        <v>-3509</v>
      </c>
      <c r="F29" s="6" t="n">
        <v>3661</v>
      </c>
    </row>
    <row r="30">
      <c r="A30" s="6" t="inlineStr">
        <is>
          <t>Fixed capital expenditure</t>
        </is>
      </c>
      <c r="B30" s="6" t="n">
        <v>-105</v>
      </c>
      <c r="C30" s="6" t="n">
        <v>-792</v>
      </c>
      <c r="D30" s="6" t="n">
        <v>-272</v>
      </c>
      <c r="E30" s="6" t="n">
        <v>-156</v>
      </c>
      <c r="F30" s="6" t="n">
        <v>-59</v>
      </c>
    </row>
    <row r="31">
      <c r="A31" s="5" t="inlineStr">
        <is>
          <t>Net cash flows generated from/(used in) investing activities</t>
        </is>
      </c>
      <c r="B31" s="5" t="n">
        <v>81410</v>
      </c>
      <c r="C31" s="5" t="n">
        <v>-70054</v>
      </c>
      <c r="D31" s="5" t="n">
        <v>-10439</v>
      </c>
      <c r="E31" s="5" t="n">
        <v>7552</v>
      </c>
      <c r="F31" s="5" t="n">
        <v>-18997</v>
      </c>
    </row>
    <row r="32">
      <c r="A32" s="5" t="inlineStr">
        <is>
          <t>Financing activities</t>
        </is>
      </c>
      <c r="B32" s="6" t="n"/>
      <c r="C32" s="6" t="n"/>
      <c r="D32" s="6" t="n"/>
      <c r="E32" s="6" t="n"/>
      <c r="F32" s="6" t="n"/>
    </row>
    <row r="33">
      <c r="A33" s="6" t="inlineStr">
        <is>
          <t>Repayment of Tier II Capital</t>
        </is>
      </c>
      <c r="B33" s="6" t="n">
        <v>-1236</v>
      </c>
      <c r="C33" s="6" t="n">
        <v>-3090</v>
      </c>
      <c r="D33" s="6" t="n">
        <v>0</v>
      </c>
      <c r="E33" s="6" t="n">
        <v>0</v>
      </c>
      <c r="F33" s="6" t="n">
        <v>-1852</v>
      </c>
    </row>
    <row r="34">
      <c r="A34" s="6" t="inlineStr">
        <is>
          <t>Issuance of additional Tier 1 capital</t>
        </is>
      </c>
      <c r="B34" s="6" t="n">
        <v>1621</v>
      </c>
      <c r="C34" s="6" t="n"/>
      <c r="D34" s="6" t="n"/>
      <c r="E34" s="6" t="n">
        <v>3000</v>
      </c>
      <c r="F34" s="6" t="n">
        <v>2190</v>
      </c>
    </row>
    <row r="35">
      <c r="A35" s="6" t="inlineStr">
        <is>
          <t>Issuance of ordinary share capital</t>
        </is>
      </c>
      <c r="B35" s="6" t="n"/>
      <c r="C35" s="6" t="n">
        <v>3958</v>
      </c>
      <c r="D35" s="6" t="n">
        <v>0</v>
      </c>
      <c r="E35" s="6" t="n"/>
      <c r="F35" s="6" t="n"/>
    </row>
    <row r="36">
      <c r="A36" s="6" t="inlineStr">
        <is>
          <t>Interest paid on other equity instruments</t>
        </is>
      </c>
      <c r="B36" s="6" t="n">
        <v>-2062</v>
      </c>
      <c r="C36" s="6" t="n">
        <v>-2456</v>
      </c>
      <c r="D36" s="6" t="n">
        <v>-3528</v>
      </c>
      <c r="E36" s="6" t="n">
        <v>-766</v>
      </c>
      <c r="F36" s="6" t="n">
        <v>-621</v>
      </c>
    </row>
    <row r="37">
      <c r="A37" s="5" t="inlineStr">
        <is>
          <t>Net cash flows used in/(generated from) financing activities</t>
        </is>
      </c>
      <c r="B37" s="5" t="n">
        <v>-1677</v>
      </c>
      <c r="C37" s="5" t="n">
        <v>-1588</v>
      </c>
      <c r="D37" s="5" t="n">
        <v>-3528</v>
      </c>
      <c r="E37" s="5" t="n">
        <v>2234</v>
      </c>
      <c r="F37" s="5" t="n">
        <v>-283</v>
      </c>
    </row>
    <row r="38">
      <c r="A38" s="5" t="inlineStr">
        <is>
          <t>Net (decrease)/increase in cash and cash equivalents during the year</t>
        </is>
      </c>
      <c r="B38" s="5" t="n">
        <v>-23797</v>
      </c>
      <c r="C38" s="5" t="n">
        <v>-10766</v>
      </c>
      <c r="D38" s="5" t="n">
        <v>-26608</v>
      </c>
      <c r="E38" s="5" t="n">
        <v>-23860</v>
      </c>
      <c r="F38" s="5" t="n">
        <v>12814</v>
      </c>
    </row>
    <row r="39">
      <c r="A39" s="6" t="inlineStr">
        <is>
          <t>Cash and cash equivalents at the beginning of the year</t>
        </is>
      </c>
      <c r="B39" s="6" t="n">
        <v>102057</v>
      </c>
      <c r="C39" s="6" t="n">
        <v>112823</v>
      </c>
      <c r="D39" s="6" t="n">
        <v>139431</v>
      </c>
      <c r="E39" s="6" t="n">
        <v>163302</v>
      </c>
      <c r="F39" s="6" t="n">
        <v>150837</v>
      </c>
    </row>
    <row r="40">
      <c r="A40" s="6" t="inlineStr">
        <is>
          <t>Effects of exchange rate changes on cash and cash equivalents</t>
        </is>
      </c>
      <c r="B40" s="6" t="n"/>
      <c r="C40" s="6" t="n"/>
      <c r="D40" s="6" t="n">
        <v>0</v>
      </c>
      <c r="E40" s="6" t="n">
        <v>-11</v>
      </c>
      <c r="F40" s="6" t="n">
        <v>-349</v>
      </c>
    </row>
    <row r="41">
      <c r="A41" s="5" t="inlineStr">
        <is>
          <t>Cash and cash equivalents at the end of the year</t>
        </is>
      </c>
      <c r="B41" s="5" t="n">
        <v>78260</v>
      </c>
      <c r="C41" s="5" t="n">
        <v>102057</v>
      </c>
      <c r="D41" s="5" t="n">
        <v>112823</v>
      </c>
      <c r="E41" s="5" t="n">
        <v>139431</v>
      </c>
      <c r="F41" s="5" t="n">
        <v>163302</v>
      </c>
    </row>
    <row r="43" ht="260" customHeight="1">
      <c r="A43" s="8" t="inlineStr">
        <is>
          <t>Sources - HBL Bank UK Limited's own Cash Flow Statement, from each year's Companies House-filed Annual Report and Financial Statements (company 01719649), scanned/image-only filings transcribed via page-image rendering:
FY2025: Annual Report and Financial Statements for the year ended 31 December 2025, Cash Flow Statement p.38 - https://find-and-update.company-information.service.gov.uk/company/01719649/filing-history/MzUxODk2NjE4MWFkaXF6a2N4/document?format=pdf&amp;download=0
FY2024: Annual Report and Financial Statements for the year ended 31 December 2024, Cash Flow Statement p.38 (FY2024's own originally-published figures used) - https://find-and-update.company-information.service.gov.uk/company/01719649/filing-history/MzQ2NzY3NzI2OWFkaXF6a2N4/document?format=pdf&amp;download=0
FY2023: Annual Report and Financial Statements for the year ended 31 December 2023, Cash Flow Statement p.40 (FY2023's own originally-published figures used) - https://find-and-update.company-information.service.gov.uk/company/01719649/filing-history/MzQzNjc2MDc4MWFkaXF6a2N4/document?format=pdf&amp;download=0
FY2022: Annual Report and Financial Statements for the year ended 31 December 2022, Cash Flow Statement p.41 (FY2022's own originally-published figures used) - https://find-and-update.company-information.service.gov.uk/company/01719649/filing-history/MzM4OTg0MTU0M2FkaXF6a2N4/document?format=pdf&amp;download=0
FY2021: FY2021 comparative column of the FY2022 Annual Report's Cash Flow Statement p.41 (FY2021's own Annual Report has no Cash Flow Statement at all - see note below) - https://find-and-update.company-information.service.gov.uk/company/01719649/filing-history/MzM4OTg0MTU0M2FkaXF6a2N4/document?format=pdf&amp;download=0
DATA NOTE - FY2021 has no primary Cash Flow Statement in its own Annual Report: the FY2021 Annual Report and Financial Statements (filed with Companies House 25 Oct 2022) contains an Income Statement, Statement of Comprehensive Income, Statement of Financial Position, and Statement of Changes in Equity, but genuinely omits a Cash Flow Statement entirely - confirmed by a full page-by-page review of all 58 pages (Notes to the Financial Statements run straight from the Statement of Changes in Equity at p.37 to Note 1 at p.38, ending at Note 30 'Event after balance sheet date' at p.57, with no Cash Flow Statement or cash-and-cash-equivalents note anywhere in between). FY2021's cash flow figures used here are therefore sourced from the FY2022 Annual Report's own FY2021 comparative column instead - the only place these figures are published - not a later restatement of an original that never existed.
DATA NOTE - FY2024's leverage exposure/ratio differs between reports: the FY2024 Annual Report is not itself a cash-flow source, but the same pattern recurs in Pillar 3 (see p3_sources() below) - each year's own originally-published figures are used throughout, consistent with this project's convention.</t>
        </is>
      </c>
    </row>
  </sheetData>
  <mergeCells count="1">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HBL Bank UK Limited — Asset Quality</t>
        </is>
      </c>
    </row>
    <row r="2">
      <c r="A2" s="2" t="inlineStr">
        <is>
          <t>Figures as reported in each year's own Annual Report and Financial Statements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gross-to-net bridge</t>
        </is>
      </c>
      <c r="B4" s="6" t="n"/>
      <c r="C4" s="6" t="n"/>
      <c r="D4" s="6" t="n"/>
      <c r="E4" s="6" t="n"/>
      <c r="F4" s="6" t="n"/>
    </row>
    <row r="5">
      <c r="A5" s="6" t="inlineStr">
        <is>
          <t>Gross loans and advances to customers (derived: net + total provision)</t>
        </is>
      </c>
      <c r="B5" s="6" t="n">
        <v>294575</v>
      </c>
      <c r="C5" s="6" t="n">
        <v>216755</v>
      </c>
      <c r="D5" s="6" t="n">
        <v>219076</v>
      </c>
      <c r="E5" s="6" t="n">
        <v>205792</v>
      </c>
      <c r="F5" s="6" t="n">
        <v>181631</v>
      </c>
    </row>
    <row r="6">
      <c r="A6" s="6" t="inlineStr">
        <is>
          <t>Specific impairment provision</t>
        </is>
      </c>
      <c r="B6" s="6" t="n">
        <v>666</v>
      </c>
      <c r="C6" s="6" t="n">
        <v>392</v>
      </c>
      <c r="D6" s="6" t="n">
        <v>308</v>
      </c>
      <c r="E6" s="6" t="n">
        <v>408</v>
      </c>
      <c r="F6" s="6" t="n">
        <v>2714</v>
      </c>
    </row>
    <row r="7">
      <c r="A7" s="6" t="inlineStr">
        <is>
          <t>Collective impairment provision</t>
        </is>
      </c>
      <c r="B7" s="6" t="n">
        <v>600</v>
      </c>
      <c r="C7" s="6" t="n">
        <v>800</v>
      </c>
      <c r="D7" s="6" t="n">
        <v>800</v>
      </c>
      <c r="E7" s="6" t="n">
        <v>650</v>
      </c>
      <c r="F7" s="6" t="n">
        <v>650</v>
      </c>
    </row>
    <row r="8">
      <c r="A8" s="5" t="inlineStr">
        <is>
          <t>Total provision for loan losses</t>
        </is>
      </c>
      <c r="B8" s="5" t="n">
        <v>1266</v>
      </c>
      <c r="C8" s="5" t="n">
        <v>1192</v>
      </c>
      <c r="D8" s="5" t="n">
        <v>1108</v>
      </c>
      <c r="E8" s="5" t="n">
        <v>1058</v>
      </c>
      <c r="F8" s="5" t="n">
        <v>3364</v>
      </c>
    </row>
    <row r="9">
      <c r="A9" s="5" t="inlineStr">
        <is>
          <t>Net loans and advances to customers (per Balance Sheet)</t>
        </is>
      </c>
      <c r="B9" s="5" t="n">
        <v>293309</v>
      </c>
      <c r="C9" s="5" t="n">
        <v>215563</v>
      </c>
      <c r="D9" s="5" t="n">
        <v>217968</v>
      </c>
      <c r="E9" s="5" t="n">
        <v>204734</v>
      </c>
      <c r="F9" s="5" t="n">
        <v>178267</v>
      </c>
    </row>
    <row r="10">
      <c r="A10" s="6" t="inlineStr">
        <is>
          <t>Provision coverage ratio (total provision / gross loans)</t>
        </is>
      </c>
      <c r="B10" s="6" t="inlineStr">
        <is>
          <t>0.43%</t>
        </is>
      </c>
      <c r="C10" s="6" t="inlineStr">
        <is>
          <t>0.55%</t>
        </is>
      </c>
      <c r="D10" s="6" t="inlineStr">
        <is>
          <t>0.51%</t>
        </is>
      </c>
      <c r="E10" s="6" t="inlineStr">
        <is>
          <t>0.51%</t>
        </is>
      </c>
      <c r="F10" s="6" t="inlineStr">
        <is>
          <t>1.85%</t>
        </is>
      </c>
    </row>
    <row r="12" ht="220" customHeight="1">
      <c r="A12" s="8" t="inlineStr">
        <is>
          <t>Sources - HBL Bank UK Limited's own Note 16 'Provision for Loan Losses' (Specific/Collective impairment split), each year's own originally-published figures, cross-referenced against the Balance Sheet's own 'Loans and advances to customers' net figure (gross derived as net + total provision):
FY2025: Annual Report and Financial Statements 2025, Note 16, p.47 - https://find-and-update.company-information.service.gov.uk/company/01719649/filing-history/MzUxODk2NjE4MWFkaXF6a2N4/document?format=pdf&amp;download=0
FY2024: Annual Report and Financial Statements 2024, Note 16, p.47 - https://find-and-update.company-information.service.gov.uk/company/01719649/filing-history/MzQ2NzY3NzI2OWFkaXF6a2N4/document?format=pdf&amp;download=0
FY2023: Annual Report and Financial Statements 2023, Note 16, p.49 - https://find-and-update.company-information.service.gov.uk/company/01719649/filing-history/MzQzNjc2MDc4MWFkaXF6a2N4/document?format=pdf&amp;download=0
FY2022: Annual Report and Financial Statements 2022, Note 16, p.50 - https://find-and-update.company-information.service.gov.uk/company/01719649/filing-history/MzM4OTg0MTU0M2FkaXF6a2N4/document?format=pdf&amp;download=0
FY2021: Annual Report and Financial Statements 2021, Note 16, p.46 (own Specific/Collective split confirmed identical to the FY2022 Annual Report's own FY2021 comparative) - https://find-and-update.company-information.service.gov.uk/company/01719649/filing-history/MzM1NjI2OTMyN2FkaXF6a2N4/document?format=pdf&amp;download=0
No IFRS 9 Stage 1/2/3 gross-exposure split is disclosed in any year - the Bank applies FRS 102/IAS 39's incurred-loss impairment model (Specific/Collective, not staged), confirmed by reading Note 16 in full each year. Coverage ratio = total provision / derived gross loans to customers.</t>
        </is>
      </c>
    </row>
  </sheetData>
  <mergeCells count="1">
    <mergeCell ref="A12:F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HBL 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5.83%</t>
        </is>
      </c>
      <c r="C4" s="6" t="inlineStr">
        <is>
          <t>12.59%</t>
        </is>
      </c>
      <c r="D4" s="6" t="inlineStr">
        <is>
          <t>10.64%</t>
        </is>
      </c>
      <c r="E4" s="6" t="inlineStr">
        <is>
          <t>7.10%</t>
        </is>
      </c>
      <c r="F4" s="6" t="n"/>
    </row>
    <row r="5">
      <c r="A5" s="6" t="inlineStr">
        <is>
          <t>Return on equity - year-end equity basis</t>
        </is>
      </c>
      <c r="B5" s="6" t="inlineStr">
        <is>
          <t>5.71%</t>
        </is>
      </c>
      <c r="C5" s="6" t="inlineStr">
        <is>
          <t>11.92%</t>
        </is>
      </c>
      <c r="D5" s="6" t="inlineStr">
        <is>
          <t>10.31%</t>
        </is>
      </c>
      <c r="E5" s="6" t="inlineStr">
        <is>
          <t>6.80%</t>
        </is>
      </c>
      <c r="F5" s="6" t="inlineStr">
        <is>
          <t>-8.82%</t>
        </is>
      </c>
    </row>
    <row r="6">
      <c r="A6" s="6" t="inlineStr">
        <is>
          <t>Return on assets - average assets basis</t>
        </is>
      </c>
      <c r="B6" s="6" t="inlineStr">
        <is>
          <t>0.89%</t>
        </is>
      </c>
      <c r="C6" s="6" t="inlineStr">
        <is>
          <t>1.88%</t>
        </is>
      </c>
      <c r="D6" s="6" t="inlineStr">
        <is>
          <t>1.48%</t>
        </is>
      </c>
      <c r="E6" s="6" t="inlineStr">
        <is>
          <t>0.88%</t>
        </is>
      </c>
      <c r="F6" s="6" t="n"/>
    </row>
    <row r="7">
      <c r="A7" s="6" t="inlineStr">
        <is>
          <t>Return on assets - year-end assets basis</t>
        </is>
      </c>
      <c r="B7" s="6" t="inlineStr">
        <is>
          <t>0.90%</t>
        </is>
      </c>
      <c r="C7" s="6" t="inlineStr">
        <is>
          <t>1.78%</t>
        </is>
      </c>
      <c r="D7" s="6" t="inlineStr">
        <is>
          <t>1.53%</t>
        </is>
      </c>
      <c r="E7" s="6" t="inlineStr">
        <is>
          <t>0.89%</t>
        </is>
      </c>
      <c r="F7" s="6" t="inlineStr">
        <is>
          <t>-1.03%</t>
        </is>
      </c>
    </row>
    <row r="8">
      <c r="A8" s="6" t="inlineStr">
        <is>
          <t>HBL Bank UK Limited's own published return</t>
        </is>
      </c>
      <c r="B8" s="6" t="inlineStr">
        <is>
          <t>Not published</t>
        </is>
      </c>
      <c r="C8" s="6" t="inlineStr">
        <is>
          <t>Not published</t>
        </is>
      </c>
      <c r="D8" s="6" t="inlineStr">
        <is>
          <t>Not published</t>
        </is>
      </c>
      <c r="E8" s="6" t="inlineStr">
        <is>
          <t>Not published</t>
        </is>
      </c>
      <c r="F8" s="6" t="inlineStr">
        <is>
          <t>Not published</t>
        </is>
      </c>
    </row>
    <row r="9" ht="169" customHeight="1">
      <c r="A9" s="7" t="inlineStr">
        <is>
          <t>Note: COMPUTED, NOT PUBLISHED. The own-entity FY2025 report's financial-performance and three-year-trend sections publish net interest income, fee income, operating expenses and profit before tax, but no ROE, ROA or RoTE. Whole-document searches found only generic risk-return and investment-return wording, not a bank profitability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12.59% on an average basis and 11.92%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HBL Bank UK Limited's Annual Report and Accounts for each year; see the source cells on the Balance Sheet and Profit &amp; Loss sheets for the exact document, page and table behind every input to every percentage above.
The finding that HBL Bank UK Limited publishes no return of its own is recorded in research/profitability/published_returns.jsonl under ‘HBL BANK UK’,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HBL Bank UK Limited — KM1 Key Metrics</t>
        </is>
      </c>
    </row>
    <row r="2">
      <c r="A2" s="2" t="inlineStr">
        <is>
          <t>Not applicable — HBL Bank UK Limited publishes a Pillar 3 disclosure every year but has never used the UK KM1 'Key metrics' template in any edition (FY2021, FY2022, FY2024 and FY2025 all read in full). See the source note below for the positive evidence and for why this is 'the template is not used' rather than 'no Pillar 3 is published' or an Article 432 exclusion.</t>
        </is>
      </c>
    </row>
    <row r="3">
      <c r="A3" s="4" t="inlineStr">
        <is>
          <t>Line item</t>
        </is>
      </c>
      <c r="B3" s="4" t="inlineStr">
        <is>
          <t>FY2025</t>
        </is>
      </c>
      <c r="C3" s="4" t="inlineStr">
        <is>
          <t>FY2024</t>
        </is>
      </c>
      <c r="D3" s="4" t="inlineStr">
        <is>
          <t>FY2023</t>
        </is>
      </c>
      <c r="E3" s="4" t="inlineStr">
        <is>
          <t>FY2022</t>
        </is>
      </c>
      <c r="F3" s="4" t="inlineStr">
        <is>
          <t>FY2021</t>
        </is>
      </c>
    </row>
    <row r="4">
      <c r="A4" s="6" t="inlineStr">
        <is>
          <t>Not applicable — the UK KM1 template is not used in HBL Bank UK Limited's Pillar 3 disclosures</t>
        </is>
      </c>
      <c r="B4" s="6" t="inlineStr">
        <is>
          <t>Not published – HBL FY2025 Pillar III s.2 'Key Metrics' (pp.4-5) is three bespoke tables; the UK KM1 template is not used (see note)</t>
        </is>
      </c>
      <c r="C4" s="6" t="inlineStr">
        <is>
          <t>Not published – HBL FY2024 Pillar III s.2 'Key Metrics' (pp.4-5) is three bespoke tables; the UK KM1 template is not used (see note)</t>
        </is>
      </c>
      <c r="D4" s="6" t="inlineStr">
        <is>
          <t>Not published – HBL FY2023 Pillar III s.2 'Key Metrics' (p.5) is three bespoke tables; the UK KM1 template is not used (see note)</t>
        </is>
      </c>
      <c r="E4" s="6" t="inlineStr">
        <is>
          <t>Not published – HBL FY2022 Pillar III s.2 'Key Metrics' (pp.6-7) is three bespoke tables; the UK KM1 template is not used (see note)</t>
        </is>
      </c>
      <c r="F4" s="6" t="inlineStr">
        <is>
          <t>Not published – HBL FY2021 Pillar III s.2 'Key Metrics' (pp.4-5) is three bespoke tables; the UK KM1 template is not used (see note)</t>
        </is>
      </c>
    </row>
    <row r="6" ht="390" customHeight="1">
      <c r="A6" s="8" t="inlineStr">
        <is>
          <t>Sources - every Pillar 3 disclosure HBL Bank UK Limited makes available was downloaded and read in full for this check (all five verified by HTTP 200, Content-Type application/pdf and %PDF magic bytes; none was a blocked fetch or a soft-404). This note previously said 'all four', because the FY2023 edition was wrongly believed unreachable:
FY2025: Pillar III Disclosures 2025 - section 2 'Key Metrics', p.4-5 - https://hblbankuk.com/wp-content/uploads/2020/03/HBL-UK-2025-Pillar-III-Disclosure.pdf
FY2024: Pillar III Disclosure 2024 - section 2 'Key Metrics', p.4-5 - http://web.archive.org/web/20260218212243/https://hblbankuk.com/wp-content/uploads/2025/05/Pillar-III-Disclosure-2024.pdf
FY2022: Pillar III Disclosure - 31 December 2022 - section 2 'Key Metrics', p.6-7 - http://web.archive.org/web/20240807115829/https://hblbankuk.com/wp-content/uploads/2023/06/HBL-UK-2022-Pillar-III-Disclosure-V1.pdf
FY2021: Pillar III Disclosures - 31 December 2021 - section 2 'Key Metrics', p.4-5 - https://hblbankuk.com/wp-content/uploads/2022/06/Pillar-III-Disclosures-2021.pdf
FY2023: Pillar III Disclosure - 31 December 2023 - section 2 'Key Metrics', printed p.5 - https://hblbankuk.com/wp-content/uploads/2020/03/HBL-UK-2023-Pillar-III-Disclosure.pdf
  This line previously read "FY2023: no standalone FY2023 Pillar 3 document is reachable". That was FALSE - see the correction at the foot of this note. The FY2023 edition has now been read in full, and it does not change this sheet's verdict: its section 2 is the same bespoke three-table layout as every other edition, not a UK KM1 template.
LATEST-EDITION CHECK, 2026-09-16: checked HBL Bank UK's own website rather than this project's cited URLs. hblbankuk.com/regulatory-disclosures/ returns HTTP 404 - the bank has no dedicated regulatory-disclosures page; its documents are published on the general downloads page hblbankuk.com/pdf-downloads/, which as at that date lists exactly one Pillar 3 document ('HBL-UK-2025-Pillar-III-Disclosure.pdf') and one set of financial statements ('FS-HBL-Bank-UK-2025.pdf'), both for the year ended 31 December 2025. FY2025 is therefore the newest edition published, and this workbook already holds it. Checked, none newer.
WHY THIS SHEET IS 'Not applicable':
HBL Bank UK Limited publishes a Pillar 3 disclosure annually but has never used the UK KM1 'Key metrics' template. Its own section headed '2. Key Metrics' is three separate, unnumbered, bespoke tables ('Regulatory Capital and Capital Ratios'; 'Leverage Ratio'; 'Liquidity Ratios - Liquidity Coverage (LCR) and Stable Funding (NSFR)'), each with a current-year and prior-year column. That is not the template rendered without numbering - it is a shorter and different table. Positive evidence, from reading all four editions end to end:
  * The template's entire SREP and buffer block is absent. There is no equivalent of rows UK 7a-UK 7d, 8, UK 8a, 9, UK 9a, 10, UK 10a, 11, UK 11a or 12 anywhere in the Key Metrics section of any edition.
  * Rows the template does not contain are added as separate line items: 'Additional Tier 1 Capital (AT 1)' and 'Tier 2 Capital (T 2)'.
  * The labels are HBL's own, not the template's - e.g. 'Total Net Flow' for what KM1 row 16 calls 'Total net cash outflows', and 'Total Risk Weighted Assets' for what KM1 row 4 calls 'Total risk-weighted exposure amount'.
This is NOT a case of 'no Pillar 3 is published', and it is NOT an Article 432 exclusion: the FY2025 edition states at section 1.3 (p.4) that 'The Bank has not taken any exemptions from these disclosures with regards to confidential or proprietary information', and no edition carries an excluded-templates appendix. HBL does render other prescribed UK templates - the FY2022-FY2025 editions print UK CCyB1 with its own numbered rows - so the absence is specific to KM1.
Nothing on this sheet has been back-filled from the statutory accounts, and the three bespoke tables have NOT been re-labelled into template row numbers, which would invent a correspondence the bank never published. The eleven single-metric Pillar 3 sheets in this workbook are built directly from those bespoke tables and remain fully populated.</t>
        </is>
      </c>
    </row>
    <row r="8" ht="330" customHeight="1">
      <c r="A8" s="8" t="inlineStr">
        <is>
          <t>(continued)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59210</v>
      </c>
      <c r="C4" s="6" t="n">
        <v>55598</v>
      </c>
      <c r="D4" s="6" t="n">
        <v>48949</v>
      </c>
      <c r="E4" s="6" t="n">
        <v>44784</v>
      </c>
      <c r="F4" s="6" t="n">
        <v>41624</v>
      </c>
    </row>
    <row r="5" ht="117" customHeight="1">
      <c r="A5" s="7" t="inlineStr">
        <is>
          <t>Note: DOCUMENTED CROSS-EDITION DIVERGENCE, FY2023 CET1 - RECORDED, NOT RECONCILED (2026-09-18). The two editions print different figures for the same year: HBL's FY2023 Pillar III Disclosure states CET1 at 31 December 2023 as £48,849k (section 2 'Key Metrics', printed p.5), while the FY2024 Pillar III Disclosure's FY2023 comparative column states £48,949k. The £48,949k from the FY2024 edition is what this sheet carries and it has been LEFT UNCHANGED - both figures were read from their own published source and neither is adjusted to fit the other.
Recorded so a later pass does not 'fix' this without the evidence: the arithmetic inside the FY2024 edition itself favours £48,849k. That same comparative column prints Tier 1 of £58,635k and AT1 of £9,786k (58,635 - 9,786 = 48,849), and a CET1 ratio of 17.84%, which against the disclosed RWAs of £273,837k implies £48,849k (£48,949k would give 17.87%). The FY2023 edition is internally consistent on all three. This looks like a one-digit transcription slip in the FY2024 edition's comparative, but that is an inference about the bank's own document, not a disclosure, so the printed figure stands as printed.
Every OTHER FY2023 figure in this workbook was checked against the FY2023 standalone document and is identical to the comparative column - see the source note below.</t>
        </is>
      </c>
    </row>
    <row r="7" ht="409" customHeight="1">
      <c r="A7"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9" ht="409" customHeight="1">
      <c r="A9"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3">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15.46%</t>
        </is>
      </c>
      <c r="C4" s="6" t="inlineStr">
        <is>
          <t>16.80%</t>
        </is>
      </c>
      <c r="D4" s="6" t="inlineStr">
        <is>
          <t>17.84%</t>
        </is>
      </c>
      <c r="E4" s="6" t="inlineStr">
        <is>
          <t>14.80%</t>
        </is>
      </c>
      <c r="F4" s="6" t="inlineStr">
        <is>
          <t>14.14%</t>
        </is>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(CET1 + AT1)</t>
        </is>
      </c>
      <c r="B4" s="6" t="n">
        <v>74574</v>
      </c>
      <c r="C4" s="6" t="n">
        <v>69342</v>
      </c>
      <c r="D4" s="6" t="n">
        <v>58635</v>
      </c>
      <c r="E4" s="6" t="n">
        <v>54570</v>
      </c>
      <c r="F4" s="6" t="n">
        <v>51409</v>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19.47%</t>
        </is>
      </c>
      <c r="C4" s="6" t="inlineStr">
        <is>
          <t>20.95%</t>
        </is>
      </c>
      <c r="D4" s="6" t="inlineStr">
        <is>
          <t>21.41%</t>
        </is>
      </c>
      <c r="E4" s="6" t="inlineStr">
        <is>
          <t>18.04%</t>
        </is>
      </c>
      <c r="F4" s="6" t="inlineStr">
        <is>
          <t>17.46%</t>
        </is>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(CET1 + AT1 + Tier 2)</t>
        </is>
      </c>
      <c r="B4" s="6" t="n">
        <v>81550</v>
      </c>
      <c r="C4" s="6" t="n">
        <v>77754</v>
      </c>
      <c r="D4" s="6" t="n">
        <v>70136</v>
      </c>
      <c r="E4" s="6" t="n">
        <v>65921</v>
      </c>
      <c r="F4" s="6" t="n">
        <v>62761</v>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21.29%</t>
        </is>
      </c>
      <c r="C4" s="6" t="inlineStr">
        <is>
          <t>23.49%</t>
        </is>
      </c>
      <c r="D4" s="6" t="inlineStr">
        <is>
          <t>25.61%</t>
        </is>
      </c>
      <c r="E4" s="6" t="inlineStr">
        <is>
          <t>21.79%</t>
        </is>
      </c>
      <c r="F4" s="6" t="inlineStr">
        <is>
          <t>21.31%</t>
        </is>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Weighted Assets</t>
        </is>
      </c>
      <c r="B4" s="6" t="n">
        <v>383024</v>
      </c>
      <c r="C4" s="6" t="n">
        <v>330996</v>
      </c>
      <c r="D4" s="6" t="n">
        <v>273837</v>
      </c>
      <c r="E4" s="6" t="n">
        <v>302527</v>
      </c>
      <c r="F4" s="6" t="n">
        <v>294454</v>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HBL Bank UK Limited — RWA Breakdown</t>
        </is>
      </c>
    </row>
    <row r="2">
      <c r="A2" s="2" t="inlineStr">
        <is>
          <t>Figures as reported in each year's own Pillar 3 disclosures - see source note for exposure-class mapping across years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Credit risk RWA by exposure class</t>
        </is>
      </c>
      <c r="B4" s="6" t="n"/>
      <c r="C4" s="6" t="n"/>
      <c r="D4" s="6" t="n"/>
      <c r="E4" s="6" t="n"/>
      <c r="F4" s="6" t="n"/>
    </row>
    <row r="5">
      <c r="A5" s="6" t="inlineStr">
        <is>
          <t>Central governments/central banks (Sovereign, FY2025)</t>
        </is>
      </c>
      <c r="B5" s="6" t="n">
        <v>15144</v>
      </c>
      <c r="C5" s="6" t="n">
        <v>5564</v>
      </c>
      <c r="D5" s="6" t="n">
        <v>4969</v>
      </c>
      <c r="E5" s="6" t="n">
        <v>20777</v>
      </c>
      <c r="F5" s="6" t="n">
        <v>11799</v>
      </c>
    </row>
    <row r="6">
      <c r="A6" s="6" t="inlineStr">
        <is>
          <t>Institutions</t>
        </is>
      </c>
      <c r="B6" s="6" t="n">
        <v>43817</v>
      </c>
      <c r="C6" s="6" t="n">
        <v>32883</v>
      </c>
      <c r="D6" s="6" t="n">
        <v>30035</v>
      </c>
      <c r="E6" s="6" t="n">
        <v>36000</v>
      </c>
      <c r="F6" s="6" t="n">
        <v>35388</v>
      </c>
    </row>
    <row r="7">
      <c r="A7" s="6" t="inlineStr">
        <is>
          <t>Corporates</t>
        </is>
      </c>
      <c r="B7" s="6" t="n">
        <v>84540</v>
      </c>
      <c r="C7" s="6" t="n">
        <v>109849</v>
      </c>
      <c r="D7" s="6" t="n">
        <v>67448</v>
      </c>
      <c r="E7" s="6" t="n">
        <v>85497</v>
      </c>
      <c r="F7" s="6" t="n">
        <v>90506</v>
      </c>
    </row>
    <row r="8">
      <c r="A8" s="6" t="inlineStr">
        <is>
          <t>Retail</t>
        </is>
      </c>
      <c r="B8" s="6" t="n">
        <v>2311</v>
      </c>
      <c r="C8" s="6" t="n">
        <v>2948</v>
      </c>
      <c r="D8" s="6" t="n">
        <v>3122</v>
      </c>
      <c r="E8" s="6" t="n">
        <v>4209</v>
      </c>
      <c r="F8" s="6" t="n">
        <v>4391</v>
      </c>
    </row>
    <row r="9">
      <c r="A9" s="6" t="inlineStr">
        <is>
          <t>Secured on real estate/mortgages</t>
        </is>
      </c>
      <c r="B9" s="6" t="n">
        <v>181249</v>
      </c>
      <c r="C9" s="6" t="n">
        <v>131504</v>
      </c>
      <c r="D9" s="6" t="n">
        <v>126694</v>
      </c>
      <c r="E9" s="6" t="n">
        <v>116995</v>
      </c>
      <c r="F9" s="6" t="n">
        <v>112069</v>
      </c>
    </row>
    <row r="10">
      <c r="A10" s="6" t="inlineStr">
        <is>
          <t>Overdue/exposures in default</t>
        </is>
      </c>
      <c r="B10" s="6" t="n">
        <v>2288</v>
      </c>
      <c r="C10" s="6" t="n">
        <v>1931</v>
      </c>
      <c r="D10" s="6" t="n">
        <v>4683</v>
      </c>
      <c r="E10" s="6" t="n">
        <v>4184</v>
      </c>
      <c r="F10" s="6" t="n">
        <v>7053</v>
      </c>
    </row>
    <row r="11">
      <c r="A11" s="6" t="inlineStr">
        <is>
          <t>Multilateral development banks</t>
        </is>
      </c>
      <c r="B11" s="6" t="n">
        <v>0</v>
      </c>
      <c r="C11" s="6" t="n"/>
      <c r="D11" s="6" t="n"/>
      <c r="E11" s="6" t="n"/>
      <c r="F11" s="6" t="n"/>
    </row>
    <row r="12">
      <c r="A12" s="6" t="inlineStr">
        <is>
          <t>Other items</t>
        </is>
      </c>
      <c r="B12" s="6" t="n">
        <v>3147</v>
      </c>
      <c r="C12" s="6" t="n">
        <v>4980</v>
      </c>
      <c r="D12" s="6" t="n">
        <v>4468</v>
      </c>
      <c r="E12" s="6" t="n">
        <v>5078</v>
      </c>
      <c r="F12" s="6" t="n">
        <v>3647</v>
      </c>
    </row>
    <row r="13">
      <c r="A13" s="5" t="inlineStr">
        <is>
          <t>Total credit risk RWA</t>
        </is>
      </c>
      <c r="B13" s="5" t="n">
        <v>332496</v>
      </c>
      <c r="C13" s="5" t="n">
        <v>289659</v>
      </c>
      <c r="D13" s="5" t="n">
        <v>241419</v>
      </c>
      <c r="E13" s="5" t="n">
        <v>272740</v>
      </c>
      <c r="F13" s="5" t="n">
        <v>264852</v>
      </c>
    </row>
    <row r="14">
      <c r="A14" s="5" t="inlineStr">
        <is>
          <t>Other risk types (RWA derived from disclosed capital charge / 0.08)</t>
        </is>
      </c>
      <c r="B14" s="6" t="n"/>
      <c r="C14" s="6" t="n"/>
      <c r="D14" s="6" t="n"/>
      <c r="E14" s="6" t="n"/>
      <c r="F14" s="6" t="n"/>
    </row>
    <row r="15">
      <c r="A15" s="6" t="inlineStr">
        <is>
          <t>Operational risk RWA (derived)</t>
        </is>
      </c>
      <c r="B15" s="6" t="n">
        <v>50450</v>
      </c>
      <c r="C15" s="6" t="n">
        <v>41025</v>
      </c>
      <c r="D15" s="6" t="n">
        <v>32263</v>
      </c>
      <c r="E15" s="6" t="n">
        <v>29338</v>
      </c>
      <c r="F15" s="6" t="n">
        <v>29263</v>
      </c>
    </row>
    <row r="16">
      <c r="A16" s="6" t="inlineStr">
        <is>
          <t>Market risk RWA (derived)</t>
        </is>
      </c>
      <c r="B16" s="6" t="n">
        <v>0</v>
      </c>
      <c r="C16" s="6" t="n">
        <v>0</v>
      </c>
      <c r="D16" s="6" t="n">
        <v>0</v>
      </c>
      <c r="E16" s="6" t="n">
        <v>0</v>
      </c>
      <c r="F16" s="6" t="n">
        <v>175</v>
      </c>
    </row>
    <row r="17">
      <c r="A17" s="6" t="inlineStr">
        <is>
          <t>Credit value adjustment RWA (derived)</t>
        </is>
      </c>
      <c r="B17" s="6" t="n">
        <v>75</v>
      </c>
      <c r="C17" s="6" t="n">
        <v>313</v>
      </c>
      <c r="D17" s="6" t="n">
        <v>150</v>
      </c>
      <c r="E17" s="6" t="n">
        <v>450</v>
      </c>
      <c r="F17" s="6" t="n">
        <v>150</v>
      </c>
    </row>
    <row r="18">
      <c r="A18" s="5" t="inlineStr">
        <is>
          <t>Total RWA (derived, sum of the above)</t>
        </is>
      </c>
      <c r="B18" s="5" t="n">
        <v>383021</v>
      </c>
      <c r="C18" s="5" t="n">
        <v>330997</v>
      </c>
      <c r="D18" s="5" t="n">
        <v>273832</v>
      </c>
      <c r="E18" s="5" t="n">
        <v>302528</v>
      </c>
      <c r="F18" s="5" t="n">
        <v>294440</v>
      </c>
    </row>
    <row r="20" ht="364" customHeight="1">
      <c r="A20" s="8" t="inlineStr">
        <is>
          <t>Sources - HBL Bank UK Limited's own Pillar 3 'Capital Requirement under PRA Rulebook (CRR Part)' table (credit risk RWA directly disclosed by exposure class; operational risk/market risk/CVA only disclosed as capital charges @ 8%, RWA derived here as charge / 0.08 and flagged as such):
FY2025: Pillar III Disclosure - 31 December 2025, section 5 'Capital Requirements', p.11 - https://hblbankuk.com/wp-content/uploads/2020/03/HBL-UK-2025-Pillar-III-Disclosure.pdf
FY2024: Pillar III Disclosure - 31 December 2024, 'Capital Requirement under PRA Rulebook', p.11 (FY2024's own originally-published figures used) - http://web.archive.org/web/20260218212243/https://hblbankuk.com/wp-content/uploads/2025/05/Pillar-III-Disclosure-2024.pdf
FY2023: Pillar III Disclosure - 31 December 2023, section 7.1 'Capital Requirement under PRA Rulebook (CRR Part)', printed p.27 - https://hblbankuk.com/wp-content/uploads/2020/03/HBL-UK-2023-Pillar-III-Disclosure.pdf
        This line previously read 'FY2023 comparative column of the FY2024 Pillar III Disclosure, p.11 (FY2023's own standalone Pillar 3 document could not be fetched this session...)'. The standalone document has now been read, and every FY2023 figure on this sheet is CONFIRMED unchanged by it: 4,969 / 30,035 / 67,448 / 3,122 / 126,694 / 4,683 / 4,468, total credit risk RWA 241,419, operational-risk charge 2,581, market risk 0, CVA 12. No cell was edited as a result.
FY2022: Pillar III Disclosure - 31 December 2022, section 7.1, p.26 (FY2022's own originally-published figures used) - http://web.archive.org/web/20240807115829/https://hblbankuk.com/wp-content/uploads/2023/06/HBL-UK-2022-Pillar-III-Disclosure-V1.pdf
FY2021: Pillar III Disclosures - 31 December 2021, section 7.1 'Capital Requirement under CRR', p.23 (FY2021's own standalone Pillar 3 document, found in a later session and confirmed identical to the FY2022 Pillar III Disclosure's FY2021 comparative column for every row) - https://hblbankuk.com/wp-content/uploads/2022/06/Pillar-III-Disclosures-2021.pdf
Derived Total RWA (sum of the rows below) is within rounding of the disclosed Total RWAs sheet in every year (differences of a few £'000 up to a few hundred £'000, from the 8% capital-charge rounding in the source documents) - reproduced as derived, not force-reconciled to the disclosed Total RWAs figure. CORRECTION 2026-09-18: this sentence previously singled FY2023 out as '£5,500k below' the disclosed total and blamed the unreachable FY2023 document. Both halves were wrong. The gap is 5 units of £'000 - i.e. £5,000, not £5.5m - since derived 273,832 against disclosed 273,837; and it has nothing to do with sourcing, being purely the 8% capital-charge rounding, exactly as in the other four years.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t>
        </is>
      </c>
    </row>
    <row r="22" ht="260" customHeight="1">
      <c r="A22" s="8" t="inlineStr">
        <is>
          <t>(continued)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20:F20"/>
    <mergeCell ref="A22:F2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 - FY2023 onward EXCLUDING claims on central banks; FY2021-FY2022 INCLUDING them, per each edition's own stated definition; see note</t>
        </is>
      </c>
      <c r="B4" s="6" t="inlineStr">
        <is>
          <t>13.11%</t>
        </is>
      </c>
      <c r="C4" s="6" t="inlineStr">
        <is>
          <t>11.85%</t>
        </is>
      </c>
      <c r="D4" s="6" t="inlineStr">
        <is>
          <t>13.42%</t>
        </is>
      </c>
      <c r="E4" s="6" t="inlineStr">
        <is>
          <t>13.01%</t>
        </is>
      </c>
      <c r="F4" s="6" t="inlineStr">
        <is>
          <t>9.41%</t>
        </is>
      </c>
    </row>
    <row r="5" ht="364" customHeight="1">
      <c r="A5" s="7" t="inlineStr">
        <is>
          <t>Note: NO FY2021/FY2022 BASIS BREAK - CHECKED AND CLEARED 2026-09-16, recorded so this series is not 'corrected' later on a false positive. The 9.41% -&gt; 13.01% step is a real capital increase, not the UK Leverage Ratio Framework's exclusion of claims on central banks (which took effect 1 January 2022 and does break other banks' series in this project). Both the FY2021 and FY2022 Pillar 3 documents were downloaded and read in full this session (%PDF verified, 36 and 38 pages): each states the same CRR Article 451 / CRD IV definition - exposure is 'the sum of balance sheet assets, plus off-balance sheet items', with no central-bank-exclusion line in either - and the exposure measure barely moved, £546,542k at 31 December 2021 to £543,633k at 31 December 2022 (-0.5%). The FY2022 document's own FY2021 comparative is £546,542k / 9.41%, i.e. identical to FY2021's own report: no restatement. The ratio therefore rose because Tier 1 capital rose roughly 37%, not because the denominator changed.
FY2024 uses FY2024's own originally-published figure (11.85%); the FY2025 Pillar 3 document's FY2024 comparative restates this to 11.56% - see the source citation.
DOCUMENTED CROSS-EDITION DIVERGENCE, FY2022 (added 2026-09-18, RECORDED NOT RECONCILED): this sheet carries 13.01% for FY2022, read from FY2022's own Pillar 3 document (exposure £543,633k). The FY2023 Pillar III Disclosure, recovered 2026-09-18 and now cited below, prints a DIFFERENT FY2022 comparative on its own printed p.5 - exposure £419,520k and ratio 12.82%. Both were read from their own primary source; neither has been adjusted, averaged or restated to match the other, and no cell was changed. The exposure measure moves by £124m between the two editions, so this is a re-basing of the denominator in the FY2023 edition rather than a rounding difference; the FY2023 document gives no reconciliation of it. Note that the FY2023 edition's own FY2023 figures (£409,798k / 13.42%) agree exactly with the FY2024 edition's FY2023 comparative, so the divergence is confined to the FY2022 column.
LEVERAGE BASIS: THE BANK STATES ITS BASIS IN PROSE, AND THE STATEMENT CHANGES AT FY2023 - THIS SERIES SPANS A BASIS BREAK (GA-026, 2026-10-10). HBL prints no template UK LR2, so there is no row 24 / UK-24a / UK-24b / UK-25c set anywhere. What it does print, in every edition, is a one-sentence definition under 'Leverage ratio', and the sentence is not the same sentence in every edition:
  FY2021 and FY2022 editions: exposure 'consists of the sum of balance sheet assets, plus off-balance sheet items.' - full stop, NO exclusion. That is the INCLUDING basis.
  FY2023, FY2024 and FY2025 editions: exposure 'consists of balance sheet assets plus off-balance sheet items EXCLUDING CLAIMS ON CENTRAL BANKS' (FY2025 writes 'on the Central Banks'). That is the EXCLUDING basis.
So FY2021 and FY2022 above are on the including basis and FY2023-FY2025 are on the excluding basis. Each year keeps its own edition's figure under this project's own-edition rule, which means THE SERIES MIXES THE TWO BASES and a FY2022-to-FY2023 comparison is not like-for-like. The row label now says so.
THIS EXPLAINS THE £124m RE-BASING RECORDED IN THE PARAGRAPH ABOVE, which had been noted as unreconciled. The FY2023 edition restates FY2022 from £543,633k / 13.01% down to £419,520k / 12.82% - a fall of £124m in the denominator - at exactly the edition where the definition gains the words 'excluding claims on central banks'. Removing central bank claims reduces the exposure measure, and the direction and the timing both match. The document still offers no reconciliation; this is the cause the figures and the wording together point to, and it is recorded as that rather than as the bank's own explanation.</t>
        </is>
      </c>
    </row>
    <row r="6" ht="143" customHeight="1">
      <c r="A6" s="7" t="inlineStr">
        <is>
          <t>(continued)
THE EARLIER 'NO FY2021/FY2022 BASIS BREAK' FINDING STANDS AND IS NOT WITHDRAWN. It checked the boundary the UK Leverage Ratio Framework created - 1 January 2022 - and correctly found HBL did not move then; both editions' wording is identical and the FY2022 edition repeats FY2021's £546,542k / 9.41% unchanged. HBL moved a year later, on its own initiative. The lesson is that a basis break need not sit on the regulatory boundary, so clearing that boundary does not clear the series.
ONE RESTATEMENT STILL UNEXPLAINED, AND NOT THEORISED. The FY2025 edition restates FY2024 the OTHER way - from £532,088k / 11.85% up to £599,922k / 11.56%, an INCREASE of £68m in the denominator. A central-bank exclusion cannot raise an exposure measure, and both editions carry the excluding wording, so whatever this is, it is not the basis change. Recorded as an open question; no cell is altered and no cause is asserted.
WHY NO KEYWORD SEARCH FOUND THIS UNTIL NOW. In the FY2023 edition the phrase is split across a LINE BREAK - 'off-balance sheet items excluding' ends one line and 'claims on central banks.' begins the next - so a line-based text search for the phrase cannot match it, and returns zero on a document that states the basis in plain English. The FY2025 edition defeats a search differently, by writing 'claims on the Central Banks' with an extra word inside the phrase. Both editions were found only by normalising whitespace and allowing a word inside the phrase. The FY2022 and FY2023 leverage tables were then read at 300 dpi to confirm the figures.</t>
        </is>
      </c>
    </row>
    <row r="8" ht="409" customHeight="1">
      <c r="A8"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10" ht="409" customHeight="1">
      <c r="A10"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4">
    <mergeCell ref="A8:F8"/>
    <mergeCell ref="A6:F6"/>
    <mergeCell ref="A5:F5"/>
    <mergeCell ref="A10:F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(LCR)</t>
        </is>
      </c>
      <c r="B4" s="6" t="inlineStr">
        <is>
          <t>235%</t>
        </is>
      </c>
      <c r="C4" s="6" t="inlineStr">
        <is>
          <t>376%</t>
        </is>
      </c>
      <c r="D4" s="6" t="inlineStr">
        <is>
          <t>702%</t>
        </is>
      </c>
      <c r="E4" s="6" t="inlineStr">
        <is>
          <t>613%</t>
        </is>
      </c>
      <c r="F4" s="6" t="inlineStr">
        <is>
          <t>560%</t>
        </is>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HBL Bank UK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 (NSFR)</t>
        </is>
      </c>
      <c r="B4" s="6" t="inlineStr">
        <is>
          <t>145%</t>
        </is>
      </c>
      <c r="C4" s="6" t="inlineStr">
        <is>
          <t>199%</t>
        </is>
      </c>
      <c r="D4" s="6" t="inlineStr">
        <is>
          <t>185%</t>
        </is>
      </c>
      <c r="E4" s="6" t="inlineStr">
        <is>
          <t>183%</t>
        </is>
      </c>
      <c r="F4" s="6" t="inlineStr">
        <is>
          <t>180%</t>
        </is>
      </c>
    </row>
    <row r="6" ht="409" customHeight="1">
      <c r="A6"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8" ht="409" customHeight="1">
      <c r="A8"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2">
    <mergeCell ref="A8:F8"/>
    <mergeCell ref="A6:F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HBL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HBL FY2025 Pillar III Disclosure (full text searched 2026-09-19) contains no MREL figure or reference</t>
        </is>
      </c>
      <c r="C4" s="6" t="inlineStr">
        <is>
          <t>Not published – HBL FY2024 Pillar III Disclosure (full text searched 2026-09-19) contains no MREL figure or reference</t>
        </is>
      </c>
      <c r="D4" s="6" t="inlineStr">
        <is>
          <t>Not published – HBL FY2023 Pillar III Disclosure (full text searched 2026-09-19) contains no MREL figure or reference</t>
        </is>
      </c>
      <c r="E4" s="6" t="inlineStr">
        <is>
          <t>Not published – HBL FY2022 Pillar III Disclosure (full text searched 2026-09-19) contains no MREL figure or reference</t>
        </is>
      </c>
      <c r="F4" s="6" t="inlineStr">
        <is>
          <t>Not published – HBL FY2021 Pillar III Disclosure (full text searched 2026-09-19) contains no MREL figure or reference</t>
        </is>
      </c>
    </row>
    <row r="5" ht="30" customHeight="1">
      <c r="A5" s="7" t="inlineStr">
        <is>
          <t>Note: Not disclosed - HBL Bank UK Limited is not identified as a UK resolution entity in its Pillar 3 disclosures.</t>
        </is>
      </c>
    </row>
    <row r="7" ht="377" customHeight="1">
      <c r="A7" s="8" t="inlineStr">
        <is>
          <t>Sources - HBL Bank UK Limited's own Pillar 3 disclosures (company FRN 188585):
FY2025: Pillar III Disclosure - 31 December 2025, section 2 'Key Metrics' p.4 and Leverage/LCR/NSFR table p.5 - https://hblbankuk.com/wp-content/uploads/2020/03/HBL-UK-2025-Pillar-III-Disclosure.pdf
FY2024: Pillar III Disclosure - 31 December 2024, section 2 'Key Metrics' p.4 and Leverage/LCR/NSFR table p.5 (FY2024's own originally-published figures used - the FY2025 Pillar 3 document's FY2024 comparative restates the leverage exposure measure from £532,088k/11.85% to £599,922k/11.56%, a genuine cross-report restatement not reflected here) - http://web.archive.org/web/20260218212243/https://hblbankuk.com/wp-content/uploads/2025/05/Pillar-III-Disclosure-2024.pdf
FY2023: Pillar III Disclosure - 31 December 2023, section 2 'Key Metrics', printed p.5 (£'000, columns 2023 / 2022) - https://hblbankuk.com/wp-content/uploads/2020/03/HBL-UK-2023-Pillar-III-Disclosure.pdf
        The FY2023 figures on these sheets were originally taken from the FY2024 edition's FY2023 comparative column (http://web.archive.org/web/20260218212243/https://hblbankuk.com/wp-content/uploads/2025/05/Pillar-III-Disclosure-2024.pdf). Having now read FY2023's own standalone document, every one of them is CONFIRMED identical to it - RWAs 273,837; AT1 9,786; Tier 1 58,635; Tier 2 11,501; Total Capital 70,136; CET1/T1/Total ratios 17.84%/21.41%/25.61%; leverage exposure 409,798 and ratio 13.42%; HQLA 154,579, net outflow 22,021, LCR 702%; ASF 387,842, RSF 209,372, NSFR 185% - with ONE exception, the CET1 Capital figure, documented on the CET1 Capital sheet. A confirmed negative is worth recording: the comparative-column sourcing was not producing wrong numbers.
FY2022: Pillar III Disclosure - 31 December 2022, section 2 'Key Metrics' p.7 (FY2022's own originally-published figures used) - http://web.archive.org/web/20240807115829/https://hblbankuk.com/wp-content/uploads/2023/06/HBL-UK-2022-Pillar-III-Disclosure-V1.pdf
FY2021: Pillar III Disclosures - 31 December 2021, section 2 'Key Metrics' p.4 and Leverage/LCR/NSFR table p.5 (FY2021's own standalone Pillar 3 document, found in a later session and confirmed identical to the FY2022 Pillar III Disclosure's FY2021 comparative column for every figure except CET1 Capital, which the standalone document states as £41,623k against the £41,624k previously recorded here from the comparative column - a £1k rounding-level difference, left unchanged pending further review) - https://hblbankuk.com/wp-content/uploads/2022/06/Pillar-III-Disclosures-2021.pdf
No MREL Ratio is disclosed in any year's Pillar 3 document (not identified as a UK resolution entity).
CORRECTION, 2026-09-18 - WITHDRAWN CLAIM: this workbook previously stated, on the Pillar 3 metric sheets, the KM1 sheet and the RWA Breakdown sheet, that "no standalone FY2023 Pillar 3 document is reachable" / that "FY2023's own standalone Pillar 3 document could not be fetched this session - the only available Wayback Machine capture is truncated to exactly 1,048,576 bytes with an unrecoverable cross-reference table, and repeated CDX lookups for an alternate snapshot were rate-limited for the remainder of the session". THAT CLAIM WAS FALSE. The document has been on HBL Bank UK's own live server the whole time, at https://hblbankuk.com/wp-content/uploads/2020/03/HBL-UK-2023-Pillar-III-Disclosure.pdf - re-verified 2026-09-18 with a browser user-agent: HTTP 200, Content-Type application/pdf, %PDF-1.7 magic bytes, 1,286,862 bytes, 41 pages with a real text layer. The claim was wrong because it rested entirely on a truncated Wayback Machine capture and never tried the origin server. The document is NOT linked from hblbankuk.com/pdf-downloads/, which lists only the 2025 edition; the URL came from a CDX sweep and then resolved live.</t>
        </is>
      </c>
    </row>
    <row r="9" ht="150" customHeight="1">
      <c r="A9" s="8" t="inlineStr">
        <is>
          <t>(continued)
CALIBRATION FINDING (generalises beyond this bank): the SAME file returns exactly 1,048,576 bytes from the Wayback Machine and 1,286,862 bytes from the origin, while a 7.2 MB PDF returns from Wayback intact. The 1 MiB cut is therefore imposed at CRAWL time by particular crawl jobs, not by the archive's serving layer and not by anything about the document. A 1,048,576-byte response is evidence about one crawl and is NEVER evidence that a document is unavailable, unrecoverable or non-existent. The Wayback 'id_' raw form does not bypass it.
FOR A FUTURE PASS: the same CDX sweep surfaced two further editions live on the bank's own server that this workbook does not cite, because its year range starts at FY2021 - the FY2019 edition at https://hblbankuk.com/wp-content/uploads/2020/09/HBL-UK-2019-Pillar-III-Disclosures-FINAL.pdf and the FY2020 edition at https://hblbankuk.com/wp-content/uploads/2021/06/HBL-UK-2020-Pillar-III-Disclosures-Final.pdf (both verified 2026-09-18: HTTP 200, application/pdf, %PDF-1.7). Recorded here so extending the range does not require re-finding them.</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2026-10-26T09:36:05Z</dcterms:created>
  <dcterms:modified xmlns:dcterms="http://purl.org/dc/terms/" xmlns:xsi="http://www.w3.org/2001/XMLSchema-instance" xsi:type="dcterms:W3CDTF">2026-10-26T09:36:05Z</dcterms:modified>
</cp:coreProperties>
</file>