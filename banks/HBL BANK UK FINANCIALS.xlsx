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90D7D"/>
        <bgColor rgb="00690D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HBL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HBL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xmlns:a="http://schemas.openxmlformats.org/drawingml/2006/main">
              <a:prstDash val="solid"/>
            </a:ln>
          </spPr>
          <marker>
            <symbol val="none"/>
            <spPr>
              <a:ln xmlns:a="http://schemas.openxmlformats.org/drawingml/2006/main">
                <a:prstDash val="solid"/>
              </a:ln>
            </spPr>
          </marker>
          <cat>
            <numRef>
              <f>'Overview'!$R$5:$V$5</f>
            </numRef>
          </cat>
          <val>
            <numRef>
              <f>'Overview'!$R$6:$V$6</f>
            </numRef>
          </val>
          <smooth val="0"/>
        </ser>
        <ser>
          <idx val="1"/>
          <order val="1"/>
          <tx>
            <strRef>
              <f>'Overview'!Q7</f>
            </strRef>
          </tx>
          <spPr>
            <a:ln xmlns:a="http://schemas.openxmlformats.org/drawingml/2006/main">
              <a:prstDash val="solid"/>
            </a:ln>
          </spPr>
          <marker>
            <symbol val="none"/>
            <spPr>
              <a:ln xmlns:a="http://schemas.openxmlformats.org/drawingml/2006/main">
                <a:prstDash val="solid"/>
              </a:ln>
            </spPr>
          </marker>
          <cat>
            <numRef>
              <f>'Overview'!$R$5:$V$5</f>
            </numRef>
          </cat>
          <val>
            <numRef>
              <f>'Overview'!$R$7:$V$7</f>
            </numRef>
          </val>
          <smooth val="0"/>
        </ser>
        <ser>
          <idx val="2"/>
          <order val="2"/>
          <tx>
            <strRef>
              <f>'Overview'!Q8</f>
            </strRef>
          </tx>
          <spPr>
            <a:ln xmlns:a="http://schemas.openxmlformats.org/drawingml/2006/main">
              <a:prstDash val="solid"/>
            </a:ln>
          </spPr>
          <marker>
            <symbol val="none"/>
            <spPr>
              <a:ln xmlns:a="http://schemas.openxmlformats.org/drawingml/2006/main">
                <a:prstDash val="solid"/>
              </a:ln>
            </spPr>
          </marker>
          <cat>
            <numRef>
              <f>'Overview'!$R$5:$V$5</f>
            </numRef>
          </cat>
          <val>
            <numRef>
              <f>'Overview'!$R$8:$V$8</f>
            </numRef>
          </val>
          <smooth val="0"/>
        </ser>
        <ser>
          <idx val="3"/>
          <order val="3"/>
          <tx>
            <strRef>
              <f>'Overview'!Q9</f>
            </strRef>
          </tx>
          <spPr>
            <a:ln xmlns:a="http://schemas.openxmlformats.org/drawingml/2006/main">
              <a:prstDash val="solid"/>
            </a:ln>
          </spPr>
          <marker>
            <symbol val="none"/>
            <spPr>
              <a:ln xmlns:a="http://schemas.openxmlformats.org/drawingml/2006/main">
                <a:prstDash val="solid"/>
              </a:ln>
            </spPr>
          </marker>
          <cat>
            <numRef>
              <f>'Overview'!$R$5:$V$5</f>
            </numRef>
          </cat>
          <val>
            <numRef>
              <f>'Overview'!$R$9:$V$9</f>
            </numRef>
          </val>
          <smooth val="0"/>
        </ser>
        <ser>
          <idx val="4"/>
          <order val="4"/>
          <tx>
            <strRef>
              <f>'Overview'!Q10</f>
            </strRef>
          </tx>
          <spPr>
            <a:ln xmlns:a="http://schemas.openxmlformats.org/drawingml/2006/main">
              <a:prstDash val="solid"/>
            </a:ln>
          </spPr>
          <marker>
            <symbol val="none"/>
            <spPr>
              <a:ln xmlns:a="http://schemas.openxmlformats.org/drawingml/2006/main">
                <a:prstDash val="solid"/>
              </a:ln>
            </spPr>
          </marker>
          <cat>
            <numRef>
              <f>'Overview'!$R$5:$V$5</f>
            </numRef>
          </cat>
          <val>
            <numRef>
              <f>'Overview'!$R$10:$V$10</f>
            </numRef>
          </val>
          <smooth val="0"/>
        </ser>
        <ser>
          <idx val="5"/>
          <order val="5"/>
          <tx>
            <strRef>
              <f>'Overview'!Q11</f>
            </strRef>
          </tx>
          <spPr>
            <a:ln xmlns:a="http://schemas.openxmlformats.org/drawingml/2006/main">
              <a:prstDash val="solid"/>
            </a:ln>
          </spPr>
          <marker>
            <symbol val="none"/>
            <spPr>
              <a:ln xmlns:a="http://schemas.openxmlformats.org/drawingml/2006/mai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44</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HBL Bank UK Limited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flows generated from/(used in) operating activities</t>
        </is>
      </c>
      <c r="B6" s="5" t="n">
        <v>-103530</v>
      </c>
      <c r="C6" s="5" t="n">
        <v>60876</v>
      </c>
      <c r="D6" s="5" t="n">
        <v>-12641</v>
      </c>
      <c r="E6" s="5" t="n">
        <v>-33646</v>
      </c>
      <c r="F6" s="5" t="n">
        <v>32094</v>
      </c>
      <c r="I6" t="inlineStr">
        <is>
          <t>Net cash flows generated from/(used in) operating activities</t>
        </is>
      </c>
      <c r="J6" t="n">
        <v>32094</v>
      </c>
      <c r="K6" t="n">
        <v>-33646</v>
      </c>
      <c r="L6" t="n">
        <v>-12641</v>
      </c>
      <c r="M6" t="n">
        <v>60876</v>
      </c>
      <c r="N6" t="n">
        <v>-103530</v>
      </c>
      <c r="Q6" t="inlineStr">
        <is>
          <t>CET1 Ratio</t>
        </is>
      </c>
      <c r="R6" t="n">
        <v>14.14</v>
      </c>
      <c r="S6" t="n">
        <v>14.8</v>
      </c>
      <c r="T6" t="n">
        <v>17.84</v>
      </c>
      <c r="U6" t="n">
        <v>16.8</v>
      </c>
      <c r="V6" t="n">
        <v>15.46</v>
      </c>
    </row>
    <row r="7">
      <c r="A7" s="5" t="inlineStr">
        <is>
          <t>Net cash flows generated from/(used in) investing activities</t>
        </is>
      </c>
      <c r="B7" s="5" t="n">
        <v>81410</v>
      </c>
      <c r="C7" s="5" t="n">
        <v>-70054</v>
      </c>
      <c r="D7" s="5" t="n">
        <v>-10439</v>
      </c>
      <c r="E7" s="5" t="n">
        <v>7552</v>
      </c>
      <c r="F7" s="5" t="n">
        <v>-18997</v>
      </c>
      <c r="I7" t="inlineStr">
        <is>
          <t>Net cash flows generated from/(used in) investing activities</t>
        </is>
      </c>
      <c r="J7" t="n">
        <v>-18997</v>
      </c>
      <c r="K7" t="n">
        <v>7552</v>
      </c>
      <c r="L7" t="n">
        <v>-10439</v>
      </c>
      <c r="M7" t="n">
        <v>-70054</v>
      </c>
      <c r="N7" t="n">
        <v>81410</v>
      </c>
      <c r="Q7" t="inlineStr">
        <is>
          <t>Tier 1 Ratio</t>
        </is>
      </c>
      <c r="R7" t="n">
        <v>17.46</v>
      </c>
      <c r="S7" t="n">
        <v>18.04</v>
      </c>
      <c r="T7" t="n">
        <v>21.41</v>
      </c>
      <c r="U7" t="n">
        <v>20.95</v>
      </c>
      <c r="V7" t="n">
        <v>19.47</v>
      </c>
    </row>
    <row r="8">
      <c r="A8" s="5" t="inlineStr">
        <is>
          <t>Net cash flows used in/(generated from) financing activities</t>
        </is>
      </c>
      <c r="B8" s="5" t="n">
        <v>-1677</v>
      </c>
      <c r="C8" s="5" t="n">
        <v>-1588</v>
      </c>
      <c r="D8" s="5" t="n">
        <v>-3528</v>
      </c>
      <c r="E8" s="5" t="n">
        <v>2234</v>
      </c>
      <c r="F8" s="5" t="n">
        <v>-283</v>
      </c>
      <c r="I8" t="inlineStr">
        <is>
          <t>Net cash flows used in/(generated from) financing activities</t>
        </is>
      </c>
      <c r="J8" t="n">
        <v>-283</v>
      </c>
      <c r="K8" t="n">
        <v>2234</v>
      </c>
      <c r="L8" t="n">
        <v>-3528</v>
      </c>
      <c r="M8" t="n">
        <v>-1588</v>
      </c>
      <c r="N8" t="n">
        <v>-1677</v>
      </c>
      <c r="Q8" t="inlineStr">
        <is>
          <t>Total Capital Ratio</t>
        </is>
      </c>
      <c r="R8" t="n">
        <v>21.31</v>
      </c>
      <c r="S8" t="n">
        <v>21.79</v>
      </c>
      <c r="T8" t="n">
        <v>25.61</v>
      </c>
      <c r="U8" t="n">
        <v>23.49</v>
      </c>
      <c r="V8" t="n">
        <v>21.29</v>
      </c>
    </row>
    <row r="9">
      <c r="A9" s="5" t="inlineStr">
        <is>
          <t>Cash and cash equivalents at end of year</t>
        </is>
      </c>
      <c r="B9" s="5" t="n">
        <v>78260</v>
      </c>
      <c r="C9" s="5" t="n">
        <v>102057</v>
      </c>
      <c r="D9" s="5" t="n">
        <v>112823</v>
      </c>
      <c r="E9" s="5" t="n">
        <v>139431</v>
      </c>
      <c r="F9" s="5" t="n">
        <v>163302</v>
      </c>
      <c r="I9" t="inlineStr">
        <is>
          <t>Cash and cash equivalents at end of year</t>
        </is>
      </c>
      <c r="J9" t="n">
        <v>163302</v>
      </c>
      <c r="K9" t="n">
        <v>139431</v>
      </c>
      <c r="L9" t="n">
        <v>112823</v>
      </c>
      <c r="M9" t="n">
        <v>102057</v>
      </c>
      <c r="N9" t="n">
        <v>78260</v>
      </c>
      <c r="Q9" t="inlineStr">
        <is>
          <t>Leverage Ratio</t>
        </is>
      </c>
      <c r="R9" t="n">
        <v>9.41</v>
      </c>
      <c r="S9" t="n">
        <v>13.01</v>
      </c>
      <c r="T9" t="n">
        <v>13.42</v>
      </c>
      <c r="U9" t="n">
        <v>11.85</v>
      </c>
      <c r="V9" t="n">
        <v>13.11</v>
      </c>
    </row>
    <row r="10">
      <c r="Q10" t="inlineStr">
        <is>
          <t>LCR</t>
        </is>
      </c>
      <c r="R10" t="n">
        <v>560</v>
      </c>
      <c r="S10" t="n">
        <v>613</v>
      </c>
      <c r="T10" t="n">
        <v>702</v>
      </c>
      <c r="U10" t="n">
        <v>376</v>
      </c>
      <c r="V10" t="n">
        <v>235</v>
      </c>
    </row>
    <row r="11">
      <c r="A11" s="3" t="inlineStr">
        <is>
          <t>Pillar 3 Key Metrics</t>
        </is>
      </c>
      <c r="Q11" t="inlineStr">
        <is>
          <t>NSFR</t>
        </is>
      </c>
      <c r="R11" t="n">
        <v>180</v>
      </c>
      <c r="S11" t="n">
        <v>183</v>
      </c>
      <c r="T11" t="n">
        <v>185</v>
      </c>
      <c r="U11" t="n">
        <v>199</v>
      </c>
      <c r="V11" t="n">
        <v>145</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n">
        <v>15.46</v>
      </c>
      <c r="C13" s="6" t="n">
        <v>16.8</v>
      </c>
      <c r="D13" s="6" t="n">
        <v>17.84</v>
      </c>
      <c r="E13" s="6" t="n">
        <v>14.8</v>
      </c>
      <c r="F13" s="6" t="n">
        <v>14.14</v>
      </c>
    </row>
    <row r="14">
      <c r="A14" s="6" t="inlineStr">
        <is>
          <t>Tier 1 Ratio</t>
        </is>
      </c>
      <c r="B14" s="6" t="n">
        <v>19.47</v>
      </c>
      <c r="C14" s="6" t="n">
        <v>20.95</v>
      </c>
      <c r="D14" s="6" t="n">
        <v>21.41</v>
      </c>
      <c r="E14" s="6" t="n">
        <v>18.04</v>
      </c>
      <c r="F14" s="6" t="n">
        <v>17.46</v>
      </c>
    </row>
    <row r="15">
      <c r="A15" s="6" t="inlineStr">
        <is>
          <t>Total Capital Ratio</t>
        </is>
      </c>
      <c r="B15" s="6" t="n">
        <v>21.29</v>
      </c>
      <c r="C15" s="6" t="n">
        <v>23.49</v>
      </c>
      <c r="D15" s="6" t="n">
        <v>25.61</v>
      </c>
      <c r="E15" s="6" t="n">
        <v>21.79</v>
      </c>
      <c r="F15" s="6" t="n">
        <v>21.31</v>
      </c>
    </row>
    <row r="16">
      <c r="A16" s="6" t="inlineStr">
        <is>
          <t>Leverage Ratio</t>
        </is>
      </c>
      <c r="B16" s="6" t="n">
        <v>13.11</v>
      </c>
      <c r="C16" s="6" t="n">
        <v>11.85</v>
      </c>
      <c r="D16" s="6" t="n">
        <v>13.42</v>
      </c>
      <c r="E16" s="6" t="n">
        <v>13.01</v>
      </c>
      <c r="F16" s="6" t="n">
        <v>9.41</v>
      </c>
    </row>
    <row r="17">
      <c r="A17" s="6" t="inlineStr">
        <is>
          <t>LCR</t>
        </is>
      </c>
      <c r="B17" s="6" t="n">
        <v>235</v>
      </c>
      <c r="C17" s="6" t="n">
        <v>376</v>
      </c>
      <c r="D17" s="6" t="n">
        <v>702</v>
      </c>
      <c r="E17" s="6" t="n">
        <v>613</v>
      </c>
      <c r="F17" s="6" t="n">
        <v>560</v>
      </c>
    </row>
    <row r="18">
      <c r="A18" s="6" t="inlineStr">
        <is>
          <t>NSFR</t>
        </is>
      </c>
      <c r="B18" s="6" t="n">
        <v>145</v>
      </c>
      <c r="C18" s="6" t="n">
        <v>199</v>
      </c>
      <c r="D18" s="6" t="n">
        <v>185</v>
      </c>
      <c r="E18" s="6" t="n">
        <v>183</v>
      </c>
      <c r="F18" s="6" t="n">
        <v>180</v>
      </c>
    </row>
    <row r="20" ht="45" customHeight="1">
      <c r="A20" s="7" t="inlineStr">
        <is>
          <t>Note: MREL Ratio is not charted here - not disclosed (see the MREL Ratio sheet). Figures are duplicated from the detail sheets for at-a-glance trend viewing; see each sheet's own source citation for the underlying document/page.</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HBL Bank UK Limited — Cash Flow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for the year</t>
        </is>
      </c>
      <c r="B5" s="6" t="n">
        <v>5008</v>
      </c>
      <c r="C5" s="6" t="n">
        <v>10037</v>
      </c>
      <c r="D5" s="6" t="n">
        <v>7755</v>
      </c>
      <c r="E5" s="6" t="n">
        <v>4791</v>
      </c>
      <c r="F5" s="6" t="n">
        <v>-5691</v>
      </c>
    </row>
    <row r="6">
      <c r="A6" s="6" t="inlineStr">
        <is>
          <t>Depreciation</t>
        </is>
      </c>
      <c r="B6" s="6" t="n">
        <v>435</v>
      </c>
      <c r="C6" s="6" t="n">
        <v>310</v>
      </c>
      <c r="D6" s="6" t="n">
        <v>314</v>
      </c>
      <c r="E6" s="6" t="n">
        <v>354</v>
      </c>
      <c r="F6" s="6" t="n">
        <v>389</v>
      </c>
    </row>
    <row r="7">
      <c r="A7" s="6" t="inlineStr">
        <is>
          <t>Amortisation - HTM securities</t>
        </is>
      </c>
      <c r="B7" s="6" t="n">
        <v>234</v>
      </c>
      <c r="C7" s="6" t="n"/>
      <c r="D7" s="6" t="n"/>
      <c r="E7" s="6" t="n"/>
      <c r="F7" s="6" t="n"/>
    </row>
    <row r="8">
      <c r="A8" s="6" t="inlineStr">
        <is>
          <t>Gain on sale of fixed assets</t>
        </is>
      </c>
      <c r="B8" s="6" t="n">
        <v>-720</v>
      </c>
      <c r="C8" s="6" t="n"/>
      <c r="D8" s="6" t="n"/>
      <c r="E8" s="6" t="n"/>
      <c r="F8" s="6" t="n"/>
    </row>
    <row r="9">
      <c r="A9" s="6" t="inlineStr">
        <is>
          <t>Loss/(gain) on sale of securities</t>
        </is>
      </c>
      <c r="B9" s="6" t="n"/>
      <c r="C9" s="6" t="n"/>
      <c r="D9" s="6" t="n">
        <v>0</v>
      </c>
      <c r="E9" s="6" t="n">
        <v>39</v>
      </c>
      <c r="F9" s="6" t="n">
        <v>-126</v>
      </c>
    </row>
    <row r="10">
      <c r="A10" s="6" t="inlineStr">
        <is>
          <t>Provisions for diminution in the value of investments</t>
        </is>
      </c>
      <c r="B10" s="6" t="n"/>
      <c r="C10" s="6" t="n"/>
      <c r="D10" s="6" t="n"/>
      <c r="E10" s="6" t="n">
        <v>0</v>
      </c>
      <c r="F10" s="6" t="n">
        <v>-124</v>
      </c>
    </row>
    <row r="11">
      <c r="A11" s="6" t="inlineStr">
        <is>
          <t>Fixed assets written off</t>
        </is>
      </c>
      <c r="B11" s="6" t="n"/>
      <c r="C11" s="6" t="n"/>
      <c r="D11" s="6" t="n">
        <v>0</v>
      </c>
      <c r="E11" s="6" t="n">
        <v>280</v>
      </c>
      <c r="F11" s="6" t="n">
        <v>0</v>
      </c>
    </row>
    <row r="12">
      <c r="A12" s="6" t="inlineStr">
        <is>
          <t>Taxation</t>
        </is>
      </c>
      <c r="B12" s="6" t="n">
        <v>775</v>
      </c>
      <c r="C12" s="6" t="n">
        <v>-816</v>
      </c>
      <c r="D12" s="6" t="n">
        <v>-637</v>
      </c>
      <c r="E12" s="6" t="n">
        <v>-3187</v>
      </c>
      <c r="F12" s="6" t="n">
        <v>1906</v>
      </c>
    </row>
    <row r="13">
      <c r="A13" s="6" t="inlineStr">
        <is>
          <t>Provisions for loan losses/(reversal) - net</t>
        </is>
      </c>
      <c r="B13" s="6" t="n">
        <v>74</v>
      </c>
      <c r="C13" s="6" t="n">
        <v>84</v>
      </c>
      <c r="D13" s="6" t="n">
        <v>50</v>
      </c>
      <c r="E13" s="6" t="n">
        <v>-1456</v>
      </c>
      <c r="F13" s="6" t="n">
        <v>-188</v>
      </c>
    </row>
    <row r="14">
      <c r="A14" s="5" t="inlineStr">
        <is>
          <t>(Increase)/decrease in operating assets</t>
        </is>
      </c>
      <c r="B14" s="6" t="n"/>
      <c r="C14" s="6" t="n"/>
      <c r="D14" s="6" t="n"/>
      <c r="E14" s="6" t="n"/>
      <c r="F14" s="6" t="n"/>
    </row>
    <row r="15">
      <c r="A15" s="6" t="inlineStr">
        <is>
          <t>Loans and advances to banks (excl. short term placements and Nostro balances)</t>
        </is>
      </c>
      <c r="B15" s="6" t="n">
        <v>-22193</v>
      </c>
      <c r="C15" s="6" t="n">
        <v>1592</v>
      </c>
      <c r="D15" s="6" t="n">
        <v>28974</v>
      </c>
      <c r="E15" s="6" t="n">
        <v>13390</v>
      </c>
      <c r="F15" s="6" t="n">
        <v>3765</v>
      </c>
    </row>
    <row r="16">
      <c r="A16" s="6" t="inlineStr">
        <is>
          <t>Loans and advances to customers</t>
        </is>
      </c>
      <c r="B16" s="6" t="n">
        <v>-77820</v>
      </c>
      <c r="C16" s="6" t="n">
        <v>2321</v>
      </c>
      <c r="D16" s="6" t="n">
        <v>-13284</v>
      </c>
      <c r="E16" s="6" t="n">
        <v>-25011</v>
      </c>
      <c r="F16" s="6" t="n">
        <v>18113</v>
      </c>
    </row>
    <row r="17">
      <c r="A17" s="6" t="inlineStr">
        <is>
          <t>Other assets (excl. Corporation Tax) including Accrued Income</t>
        </is>
      </c>
      <c r="B17" s="6" t="n">
        <v>1780</v>
      </c>
      <c r="C17" s="6" t="n">
        <v>-1746</v>
      </c>
      <c r="D17" s="6" t="n">
        <v>1799</v>
      </c>
      <c r="E17" s="6" t="n">
        <v>-1525</v>
      </c>
      <c r="F17" s="6" t="n">
        <v>2993</v>
      </c>
    </row>
    <row r="18">
      <c r="A18" s="5" t="inlineStr">
        <is>
          <t>Increase/(decrease) in operating liabilities</t>
        </is>
      </c>
      <c r="B18" s="6" t="n"/>
      <c r="C18" s="6" t="n"/>
      <c r="D18" s="6" t="n"/>
      <c r="E18" s="6" t="n"/>
      <c r="F18" s="6" t="n"/>
    </row>
    <row r="19">
      <c r="A19" s="6" t="inlineStr">
        <is>
          <t>Deposit by banks</t>
        </is>
      </c>
      <c r="B19" s="6" t="n">
        <v>1480</v>
      </c>
      <c r="C19" s="6" t="n">
        <v>-101</v>
      </c>
      <c r="D19" s="6" t="n">
        <v>-4479</v>
      </c>
      <c r="E19" s="6" t="n">
        <v>2035</v>
      </c>
      <c r="F19" s="6" t="n">
        <v>2361</v>
      </c>
    </row>
    <row r="20">
      <c r="A20" s="6" t="inlineStr">
        <is>
          <t>Customer accounts</t>
        </is>
      </c>
      <c r="B20" s="6" t="n">
        <v>-12579</v>
      </c>
      <c r="C20" s="6" t="n">
        <v>49815</v>
      </c>
      <c r="D20" s="6" t="n">
        <v>-32475</v>
      </c>
      <c r="E20" s="6" t="n">
        <v>-25038</v>
      </c>
      <c r="F20" s="6" t="n">
        <v>10138</v>
      </c>
    </row>
    <row r="21">
      <c r="A21" s="6" t="inlineStr">
        <is>
          <t>Other liabilities (excl. Corporation Tax) including Deferred Income</t>
        </is>
      </c>
      <c r="B21" s="6" t="n">
        <v>201</v>
      </c>
      <c r="C21" s="6" t="n">
        <v>-620</v>
      </c>
      <c r="D21" s="6" t="n">
        <v>-658</v>
      </c>
      <c r="E21" s="6" t="n">
        <v>1682</v>
      </c>
      <c r="F21" s="6" t="n">
        <v>-1554</v>
      </c>
    </row>
    <row r="22">
      <c r="A22" s="6" t="inlineStr">
        <is>
          <t>Income tax paid - net</t>
        </is>
      </c>
      <c r="B22" s="6" t="n">
        <v>-205</v>
      </c>
      <c r="C22" s="6" t="n"/>
      <c r="D22" s="6" t="n"/>
      <c r="E22" s="6" t="n">
        <v>0</v>
      </c>
      <c r="F22" s="6" t="n">
        <v>112</v>
      </c>
    </row>
    <row r="23">
      <c r="A23" s="5" t="inlineStr">
        <is>
          <t>Net cash flows generated from/(used in) operating activities</t>
        </is>
      </c>
      <c r="B23" s="5" t="n">
        <v>-103530</v>
      </c>
      <c r="C23" s="5" t="n">
        <v>60876</v>
      </c>
      <c r="D23" s="5" t="n">
        <v>-12641</v>
      </c>
      <c r="E23" s="5" t="n">
        <v>-33646</v>
      </c>
      <c r="F23" s="5" t="n">
        <v>32094</v>
      </c>
    </row>
    <row r="24">
      <c r="A24" s="5" t="inlineStr">
        <is>
          <t>Investing activities</t>
        </is>
      </c>
      <c r="B24" s="6" t="n"/>
      <c r="C24" s="6" t="n"/>
      <c r="D24" s="6" t="n"/>
      <c r="E24" s="6" t="n"/>
      <c r="F24" s="6" t="n"/>
    </row>
    <row r="25">
      <c r="A25" s="6" t="inlineStr">
        <is>
          <t>Maturity/Sale of Investments in available-for-sale securities</t>
        </is>
      </c>
      <c r="B25" s="6" t="n">
        <v>200628</v>
      </c>
      <c r="C25" s="6" t="n"/>
      <c r="D25" s="6" t="n"/>
      <c r="E25" s="6" t="n"/>
      <c r="F25" s="6" t="n"/>
    </row>
    <row r="26">
      <c r="A26" s="6" t="inlineStr">
        <is>
          <t>Purchase of Investments in available-for-sale securities</t>
        </is>
      </c>
      <c r="B26" s="6" t="n">
        <v>-119113</v>
      </c>
      <c r="C26" s="6" t="n"/>
      <c r="D26" s="6" t="n"/>
      <c r="E26" s="6" t="n"/>
      <c r="F26" s="6" t="n"/>
    </row>
    <row r="27">
      <c r="A27" s="6" t="inlineStr">
        <is>
          <t>Maturity of Investments in held-to-maturity securities</t>
        </is>
      </c>
      <c r="B27" s="6" t="n">
        <v>0</v>
      </c>
      <c r="C27" s="6" t="n"/>
      <c r="D27" s="6" t="n"/>
      <c r="E27" s="6" t="n"/>
      <c r="F27" s="6" t="n"/>
    </row>
    <row r="28">
      <c r="A28" s="6" t="inlineStr">
        <is>
          <t>Net investments in available-for-sale securities</t>
        </is>
      </c>
      <c r="B28" s="6" t="n"/>
      <c r="C28" s="6" t="n">
        <v>-73517</v>
      </c>
      <c r="D28" s="6" t="n">
        <v>-6121</v>
      </c>
      <c r="E28" s="6" t="n">
        <v>11217</v>
      </c>
      <c r="F28" s="6" t="n">
        <v>-22599</v>
      </c>
    </row>
    <row r="29">
      <c r="A29" s="6" t="inlineStr">
        <is>
          <t>Net investments in held-to-maturity securities</t>
        </is>
      </c>
      <c r="B29" s="6" t="n"/>
      <c r="C29" s="6" t="n">
        <v>4255</v>
      </c>
      <c r="D29" s="6" t="n">
        <v>-4046</v>
      </c>
      <c r="E29" s="6" t="n">
        <v>-3509</v>
      </c>
      <c r="F29" s="6" t="n">
        <v>3661</v>
      </c>
    </row>
    <row r="30">
      <c r="A30" s="6" t="inlineStr">
        <is>
          <t>Fixed capital expenditure</t>
        </is>
      </c>
      <c r="B30" s="6" t="n">
        <v>-105</v>
      </c>
      <c r="C30" s="6" t="n">
        <v>-792</v>
      </c>
      <c r="D30" s="6" t="n">
        <v>-272</v>
      </c>
      <c r="E30" s="6" t="n">
        <v>-156</v>
      </c>
      <c r="F30" s="6" t="n">
        <v>-59</v>
      </c>
    </row>
    <row r="31">
      <c r="A31" s="5" t="inlineStr">
        <is>
          <t>Net cash flows generated from/(used in) investing activities</t>
        </is>
      </c>
      <c r="B31" s="5" t="n">
        <v>81410</v>
      </c>
      <c r="C31" s="5" t="n">
        <v>-70054</v>
      </c>
      <c r="D31" s="5" t="n">
        <v>-10439</v>
      </c>
      <c r="E31" s="5" t="n">
        <v>7552</v>
      </c>
      <c r="F31" s="5" t="n">
        <v>-18997</v>
      </c>
    </row>
    <row r="32">
      <c r="A32" s="5" t="inlineStr">
        <is>
          <t>Financing activities</t>
        </is>
      </c>
      <c r="B32" s="6" t="n"/>
      <c r="C32" s="6" t="n"/>
      <c r="D32" s="6" t="n"/>
      <c r="E32" s="6" t="n"/>
      <c r="F32" s="6" t="n"/>
    </row>
    <row r="33">
      <c r="A33" s="6" t="inlineStr">
        <is>
          <t>Repayment of Tier II Capital</t>
        </is>
      </c>
      <c r="B33" s="6" t="n">
        <v>-1236</v>
      </c>
      <c r="C33" s="6" t="n">
        <v>-3090</v>
      </c>
      <c r="D33" s="6" t="n">
        <v>0</v>
      </c>
      <c r="E33" s="6" t="n">
        <v>0</v>
      </c>
      <c r="F33" s="6" t="n">
        <v>-1852</v>
      </c>
    </row>
    <row r="34">
      <c r="A34" s="6" t="inlineStr">
        <is>
          <t>Issuance of additional Tier 1 capital</t>
        </is>
      </c>
      <c r="B34" s="6" t="n">
        <v>1621</v>
      </c>
      <c r="C34" s="6" t="n"/>
      <c r="D34" s="6" t="n"/>
      <c r="E34" s="6" t="n">
        <v>3000</v>
      </c>
      <c r="F34" s="6" t="n">
        <v>2190</v>
      </c>
    </row>
    <row r="35">
      <c r="A35" s="6" t="inlineStr">
        <is>
          <t>Issuance of ordinary share capital</t>
        </is>
      </c>
      <c r="B35" s="6" t="n"/>
      <c r="C35" s="6" t="n">
        <v>3958</v>
      </c>
      <c r="D35" s="6" t="n">
        <v>0</v>
      </c>
      <c r="E35" s="6" t="n"/>
      <c r="F35" s="6" t="n"/>
    </row>
    <row r="36">
      <c r="A36" s="6" t="inlineStr">
        <is>
          <t>Interest paid on other equity instruments</t>
        </is>
      </c>
      <c r="B36" s="6" t="n">
        <v>-2062</v>
      </c>
      <c r="C36" s="6" t="n">
        <v>-2456</v>
      </c>
      <c r="D36" s="6" t="n">
        <v>-3528</v>
      </c>
      <c r="E36" s="6" t="n">
        <v>-766</v>
      </c>
      <c r="F36" s="6" t="n">
        <v>-621</v>
      </c>
    </row>
    <row r="37">
      <c r="A37" s="5" t="inlineStr">
        <is>
          <t>Net cash flows used in/(generated from) financing activities</t>
        </is>
      </c>
      <c r="B37" s="5" t="n">
        <v>-1677</v>
      </c>
      <c r="C37" s="5" t="n">
        <v>-1588</v>
      </c>
      <c r="D37" s="5" t="n">
        <v>-3528</v>
      </c>
      <c r="E37" s="5" t="n">
        <v>2234</v>
      </c>
      <c r="F37" s="5" t="n">
        <v>-283</v>
      </c>
    </row>
    <row r="38">
      <c r="A38" s="5" t="inlineStr">
        <is>
          <t>Net (decrease)/increase in cash and cash equivalents during the year</t>
        </is>
      </c>
      <c r="B38" s="5" t="n">
        <v>-23797</v>
      </c>
      <c r="C38" s="5" t="n">
        <v>-10766</v>
      </c>
      <c r="D38" s="5" t="n">
        <v>-26608</v>
      </c>
      <c r="E38" s="5" t="n">
        <v>-23860</v>
      </c>
      <c r="F38" s="5" t="n">
        <v>12814</v>
      </c>
    </row>
    <row r="39">
      <c r="A39" s="6" t="inlineStr">
        <is>
          <t>Cash and cash equivalents at the beginning of the year</t>
        </is>
      </c>
      <c r="B39" s="6" t="n">
        <v>102057</v>
      </c>
      <c r="C39" s="6" t="n">
        <v>112823</v>
      </c>
      <c r="D39" s="6" t="n">
        <v>139431</v>
      </c>
      <c r="E39" s="6" t="n">
        <v>163302</v>
      </c>
      <c r="F39" s="6" t="n">
        <v>150837</v>
      </c>
    </row>
    <row r="40">
      <c r="A40" s="6" t="inlineStr">
        <is>
          <t>Effects of exchange rate changes on cash and cash equivalents</t>
        </is>
      </c>
      <c r="B40" s="6" t="n"/>
      <c r="C40" s="6" t="n"/>
      <c r="D40" s="6" t="n">
        <v>0</v>
      </c>
      <c r="E40" s="6" t="n">
        <v>-11</v>
      </c>
      <c r="F40" s="6" t="n">
        <v>-349</v>
      </c>
    </row>
    <row r="41">
      <c r="A41" s="5" t="inlineStr">
        <is>
          <t>Cash and cash equivalents at the end of the year</t>
        </is>
      </c>
      <c r="B41" s="5" t="n">
        <v>78260</v>
      </c>
      <c r="C41" s="5" t="n">
        <v>102057</v>
      </c>
      <c r="D41" s="5" t="n">
        <v>112823</v>
      </c>
      <c r="E41" s="5" t="n">
        <v>139431</v>
      </c>
      <c r="F41" s="5" t="n">
        <v>163302</v>
      </c>
    </row>
    <row r="43" ht="260" customHeight="1">
      <c r="A43" s="8" t="inlineStr">
        <is>
          <t>Sources - HBL Bank UK Limited's own Cash Flow Statement, from each year's Companies House-filed Annual Report and Financial Statements (company 01719649), scanned/image-only filings transcribed via page-image rendering:
FY2025: Annual Report and Financial Statements for the year ended 31 December 2025, Cash Flow Statement p.38 - https://find-and-update.company-information.service.gov.uk/company/01719649/filing-history/MzUxODk2NjE4MWFkaXF6a2N4/document?format=pdf&amp;download=0
FY2024: Annual Report and Financial Statements for the year ended 31 December 2024, Cash Flow Statement p.38 (FY2024's own originally-published figures used) - https://find-and-update.company-information.service.gov.uk/company/01719649/filing-history/MzQ2NzY3NzI2OWFkaXF6a2N4/document?format=pdf&amp;download=0
FY2023: Annual Report and Financial Statements for the year ended 31 December 2023, Cash Flow Statement p.40 (FY2023's own originally-published figures used) - https://find-and-update.company-information.service.gov.uk/company/01719649/filing-history/MzQzNjc2MDc4MWFkaXF6a2N4/document?format=pdf&amp;download=0
FY2022: Annual Report and Financial Statements for the year ended 31 December 2022, Cash Flow Statement p.41 (FY2022's own originally-published figures used) - https://find-and-update.company-information.service.gov.uk/company/01719649/filing-history/MzM4OTg0MTU0M2FkaXF6a2N4/document?format=pdf&amp;download=0
FY2021: FY2021 comparative column of the FY2022 Annual Report's Cash Flow Statement p.41 (FY2021's own Annual Report has no Cash Flow Statement at all - see note below) - https://find-and-update.company-information.service.gov.uk/company/01719649/filing-history/MzM4OTg0MTU0M2FkaXF6a2N4/document?format=pdf&amp;download=0
DATA NOTE - FY2021 has no primary Cash Flow Statement in its own Annual Report: the FY2021 Annual Report and Financial Statements (filed with Companies House 25 Oct 2022) contains an Income Statement, Statement of Comprehensive Income, Statement of Financial Position, and Statement of Changes in Equity, but genuinely omits a Cash Flow Statement entirely - confirmed by a full page-by-page review of all 58 pages (Notes to the Financial Statements run straight from the Statement of Changes in Equity at p.37 to Note 1 at p.38, ending at Note 30 'Event after balance sheet date' at p.57, with no Cash Flow Statement or cash-and-cash-equivalents note anywhere in between). FY2021's cash flow figures used here are therefore sourced from the FY2022 Annual Report's own FY2021 comparative column instead - the only place these figures are published - not a later restatement of an original that never existed.
DATA NOTE - FY2024's leverage exposure/ratio differs between reports: the FY2024 Annual Report is not itself a cash-flow source, but the same pattern recurs in Pillar 3 (see p3_sources() below) - each year's own originally-published figures are used throughout, consistent with this project's convention.</t>
        </is>
      </c>
    </row>
  </sheetData>
  <mergeCells count="1">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59210</v>
      </c>
      <c r="C4" s="6" t="n">
        <v>55598</v>
      </c>
      <c r="D4" s="6" t="n">
        <v>48949</v>
      </c>
      <c r="E4" s="6" t="n">
        <v>44784</v>
      </c>
      <c r="F4" s="6" t="n">
        <v>41624</v>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FY2021 comparative column of the FY2022 Pillar III Disclosure, section 2 p.7 (FY2021's own standalone Pillar 3 document could not be fetched this session for the same reason as FY2023 above) - http://web.archive.org/web/20240807115829/https://hblbankuk.com/wp-content/uploads/2023/06/HBL-UK-2022-Pillar-III-Disclosure-V1.pdf
No MREL Ratio is disclosed in any year's Pillar 3 document (not identified as a UK resolution entity).</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15.46%</t>
        </is>
      </c>
      <c r="C4" s="6" t="inlineStr">
        <is>
          <t>16.80%</t>
        </is>
      </c>
      <c r="D4" s="6" t="inlineStr">
        <is>
          <t>17.84%</t>
        </is>
      </c>
      <c r="E4" s="6" t="inlineStr">
        <is>
          <t>14.80%</t>
        </is>
      </c>
      <c r="F4" s="6" t="inlineStr">
        <is>
          <t>14.14%</t>
        </is>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FY2021 comparative column of the FY2022 Pillar III Disclosure, section 2 p.7 (FY2021's own standalone Pillar 3 document could not be fetched this session for the same reason as FY2023 above) - http://web.archive.org/web/20240807115829/https://hblbankuk.com/wp-content/uploads/2023/06/HBL-UK-2022-Pillar-III-Disclosure-V1.pdf
No MREL Ratio is disclosed in any year's Pillar 3 document (not identified as a UK resolution entity).</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(CET1 + AT1)</t>
        </is>
      </c>
      <c r="B4" s="6" t="n">
        <v>74574</v>
      </c>
      <c r="C4" s="6" t="n">
        <v>69342</v>
      </c>
      <c r="D4" s="6" t="n">
        <v>58635</v>
      </c>
      <c r="E4" s="6" t="n">
        <v>54570</v>
      </c>
      <c r="F4" s="6" t="n">
        <v>51409</v>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FY2021 comparative column of the FY2022 Pillar III Disclosure, section 2 p.7 (FY2021's own standalone Pillar 3 document could not be fetched this session for the same reason as FY2023 above) - http://web.archive.org/web/20240807115829/https://hblbankuk.com/wp-content/uploads/2023/06/HBL-UK-2022-Pillar-III-Disclosure-V1.pdf
No MREL Ratio is disclosed in any year's Pillar 3 document (not identified as a UK resolution entity).</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19.47%</t>
        </is>
      </c>
      <c r="C4" s="6" t="inlineStr">
        <is>
          <t>20.95%</t>
        </is>
      </c>
      <c r="D4" s="6" t="inlineStr">
        <is>
          <t>21.41%</t>
        </is>
      </c>
      <c r="E4" s="6" t="inlineStr">
        <is>
          <t>18.04%</t>
        </is>
      </c>
      <c r="F4" s="6" t="inlineStr">
        <is>
          <t>17.46%</t>
        </is>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FY2021 comparative column of the FY2022 Pillar III Disclosure, section 2 p.7 (FY2021's own standalone Pillar 3 document could not be fetched this session for the same reason as FY2023 above) - http://web.archive.org/web/20240807115829/https://hblbankuk.com/wp-content/uploads/2023/06/HBL-UK-2022-Pillar-III-Disclosure-V1.pdf
No MREL Ratio is disclosed in any year's Pillar 3 document (not identified as a UK resolution entity).</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(CET1 + AT1 + Tier 2)</t>
        </is>
      </c>
      <c r="B4" s="6" t="n">
        <v>81550</v>
      </c>
      <c r="C4" s="6" t="n">
        <v>77754</v>
      </c>
      <c r="D4" s="6" t="n">
        <v>70136</v>
      </c>
      <c r="E4" s="6" t="n">
        <v>65921</v>
      </c>
      <c r="F4" s="6" t="n">
        <v>62761</v>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FY2021 comparative column of the FY2022 Pillar III Disclosure, section 2 p.7 (FY2021's own standalone Pillar 3 document could not be fetched this session for the same reason as FY2023 above) - http://web.archive.org/web/20240807115829/https://hblbankuk.com/wp-content/uploads/2023/06/HBL-UK-2022-Pillar-III-Disclosure-V1.pdf
No MREL Ratio is disclosed in any year's Pillar 3 document (not identified as a UK resolution entity).</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21.29%</t>
        </is>
      </c>
      <c r="C4" s="6" t="inlineStr">
        <is>
          <t>23.49%</t>
        </is>
      </c>
      <c r="D4" s="6" t="inlineStr">
        <is>
          <t>25.61%</t>
        </is>
      </c>
      <c r="E4" s="6" t="inlineStr">
        <is>
          <t>21.79%</t>
        </is>
      </c>
      <c r="F4" s="6" t="inlineStr">
        <is>
          <t>21.31%</t>
        </is>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FY2021 comparative column of the FY2022 Pillar III Disclosure, section 2 p.7 (FY2021's own standalone Pillar 3 document could not be fetched this session for the same reason as FY2023 above) - http://web.archive.org/web/20240807115829/https://hblbankuk.com/wp-content/uploads/2023/06/HBL-UK-2022-Pillar-III-Disclosure-V1.pdf
No MREL Ratio is disclosed in any year's Pillar 3 document (not identified as a UK resolution entity).</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t>
        </is>
      </c>
      <c r="B4" s="6" t="n">
        <v>383024</v>
      </c>
      <c r="C4" s="6" t="n">
        <v>330996</v>
      </c>
      <c r="D4" s="6" t="n">
        <v>273837</v>
      </c>
      <c r="E4" s="6" t="n">
        <v>302527</v>
      </c>
      <c r="F4" s="6" t="n">
        <v>294454</v>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FY2021 comparative column of the FY2022 Pillar III Disclosure, section 2 p.7 (FY2021's own standalone Pillar 3 document could not be fetched this session for the same reason as FY2023 above) - http://web.archive.org/web/20240807115829/https://hblbankuk.com/wp-content/uploads/2023/06/HBL-UK-2022-Pillar-III-Disclosure-V1.pdf
No MREL Ratio is disclosed in any year's Pillar 3 document (not identified as a UK resolution entity).</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13.11%</t>
        </is>
      </c>
      <c r="C4" s="6" t="inlineStr">
        <is>
          <t>11.85%</t>
        </is>
      </c>
      <c r="D4" s="6" t="inlineStr">
        <is>
          <t>13.42%</t>
        </is>
      </c>
      <c r="E4" s="6" t="inlineStr">
        <is>
          <t>13.01%</t>
        </is>
      </c>
      <c r="F4" s="6" t="inlineStr">
        <is>
          <t>9.41%</t>
        </is>
      </c>
    </row>
    <row r="5" ht="60" customHeight="1">
      <c r="A5" s="7" t="inlineStr">
        <is>
          <t>Note: FY2024 uses FY2024's own originally-published figure (11.85%); the FY2025 Pillar 3 document's FY2024 comparative restates this to 11.56% - see the source citation.</t>
        </is>
      </c>
    </row>
    <row r="7" ht="190" customHeight="1">
      <c r="A7"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FY2021 comparative column of the FY2022 Pillar III Disclosure, section 2 p.7 (FY2021's own standalone Pillar 3 document could not be fetched this session for the same reason as FY2023 above) - http://web.archive.org/web/20240807115829/https://hblbankuk.com/wp-content/uploads/2023/06/HBL-UK-2022-Pillar-III-Disclosure-V1.pdf
No MREL Ratio is disclosed in any year's Pillar 3 document (not identified as a UK resolution entity).</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235%</t>
        </is>
      </c>
      <c r="C4" s="6" t="inlineStr">
        <is>
          <t>376%</t>
        </is>
      </c>
      <c r="D4" s="6" t="inlineStr">
        <is>
          <t>702%</t>
        </is>
      </c>
      <c r="E4" s="6" t="inlineStr">
        <is>
          <t>613%</t>
        </is>
      </c>
      <c r="F4" s="6" t="inlineStr">
        <is>
          <t>560%</t>
        </is>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FY2021 comparative column of the FY2022 Pillar III Disclosure, section 2 p.7 (FY2021's own standalone Pillar 3 document could not be fetched this session for the same reason as FY2023 above) - http://web.archive.org/web/20240807115829/https://hblbankuk.com/wp-content/uploads/2023/06/HBL-UK-2022-Pillar-III-Disclosure-V1.pdf
No MREL Ratio is disclosed in any year's Pillar 3 document (not identified as a UK resolution entity).</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145%</t>
        </is>
      </c>
      <c r="C4" s="6" t="inlineStr">
        <is>
          <t>199%</t>
        </is>
      </c>
      <c r="D4" s="6" t="inlineStr">
        <is>
          <t>185%</t>
        </is>
      </c>
      <c r="E4" s="6" t="inlineStr">
        <is>
          <t>183%</t>
        </is>
      </c>
      <c r="F4" s="6" t="inlineStr">
        <is>
          <t>180%</t>
        </is>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FY2021 comparative column of the FY2022 Pillar III Disclosure, section 2 p.7 (FY2021's own standalone Pillar 3 document could not be fetched this session for the same reason as FY2023 above) - http://web.archive.org/web/20240807115829/https://hblbankuk.com/wp-content/uploads/2023/06/HBL-UK-2022-Pillar-III-Disclosure-V1.pdf
No MREL Ratio is disclosed in any year's Pillar 3 document (not identified as a UK resolution entity).</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HBL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 HBL Bank UK Limited is not identified as a UK resolution entity in its Pillar 3 disclosures.</t>
        </is>
      </c>
    </row>
    <row r="7" ht="150" customHeight="1">
      <c r="A7"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FY2021 comparative column of the FY2022 Pillar III Disclosure, section 2 p.7 (FY2021's own standalone Pillar 3 document could not be fetched this session for the same reason as FY2023 above) - http://web.archive.org/web/20240807115829/https://hblbankuk.com/wp-content/uploads/2023/06/HBL-UK-2022-Pillar-III-Disclosure-V1.pdf
No MREL Ratio is disclosed in any year's Pillar 3 document (not identified as a UK resolution entity).</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2026-08-28T15:23:41Z</dcterms:created>
  <dcterms:modified xmlns:dcterms="http://purl.org/dc/terms/" xmlns:xsi="http://www.w3.org/2001/XMLSchema-instance" xsi:type="dcterms:W3CDTF">2026-08-28T15:23:41Z</dcterms:modified>
</cp:coreProperties>
</file>