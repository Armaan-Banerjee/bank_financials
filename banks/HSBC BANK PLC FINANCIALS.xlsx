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HSBC Bank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 operating activities</t>
        </is>
      </c>
      <c r="B6" s="5" t="n">
        <v>-9229</v>
      </c>
      <c r="C6" s="5" t="n">
        <v>5809</v>
      </c>
      <c r="D6" s="5" t="n">
        <v>3630</v>
      </c>
      <c r="E6" s="5" t="n">
        <v>32190</v>
      </c>
      <c r="F6" s="5" t="n">
        <v>15303</v>
      </c>
      <c r="I6" t="inlineStr">
        <is>
          <t>Net cash from operating activities</t>
        </is>
      </c>
      <c r="J6" t="n">
        <v>15303</v>
      </c>
      <c r="K6" t="n">
        <v>32190</v>
      </c>
      <c r="L6" t="n">
        <v>3630</v>
      </c>
      <c r="M6" t="n">
        <v>5809</v>
      </c>
      <c r="N6" t="n">
        <v>-9229</v>
      </c>
      <c r="Q6" t="inlineStr">
        <is>
          <t>CET1 Ratio</t>
        </is>
      </c>
      <c r="R6" t="n">
        <v>17.3</v>
      </c>
      <c r="S6" t="n">
        <v>16.8</v>
      </c>
      <c r="T6" t="n">
        <v>17.9</v>
      </c>
      <c r="U6" t="n">
        <v>19.5</v>
      </c>
      <c r="V6" t="n">
        <v>17.9</v>
      </c>
    </row>
    <row r="7">
      <c r="A7" s="5" t="inlineStr">
        <is>
          <t>Net cash from investing activities</t>
        </is>
      </c>
      <c r="B7" s="5" t="n">
        <v>-11483</v>
      </c>
      <c r="C7" s="5" t="n">
        <v>-19066</v>
      </c>
      <c r="D7" s="5" t="n">
        <v>-12800</v>
      </c>
      <c r="E7" s="5" t="n">
        <v>7186</v>
      </c>
      <c r="F7" s="5" t="n">
        <v>6059</v>
      </c>
      <c r="I7" t="inlineStr">
        <is>
          <t>Net cash from investing activities</t>
        </is>
      </c>
      <c r="J7" t="n">
        <v>6059</v>
      </c>
      <c r="K7" t="n">
        <v>7186</v>
      </c>
      <c r="L7" t="n">
        <v>-12800</v>
      </c>
      <c r="M7" t="n">
        <v>-19066</v>
      </c>
      <c r="N7" t="n">
        <v>-11483</v>
      </c>
      <c r="Q7" t="inlineStr">
        <is>
          <t>Tier 1 Ratio</t>
        </is>
      </c>
      <c r="R7" t="n">
        <v>21</v>
      </c>
      <c r="S7" t="n">
        <v>20.2</v>
      </c>
      <c r="T7" t="n">
        <v>21.5</v>
      </c>
      <c r="U7" t="n">
        <v>23</v>
      </c>
      <c r="V7" t="n">
        <v>21.6</v>
      </c>
    </row>
    <row r="8">
      <c r="A8" s="5" t="inlineStr">
        <is>
          <t>Net cash from financing activities</t>
        </is>
      </c>
      <c r="B8" s="5" t="n">
        <v>-266</v>
      </c>
      <c r="C8" s="5" t="n">
        <v>4326</v>
      </c>
      <c r="D8" s="5" t="n">
        <v>169</v>
      </c>
      <c r="E8" s="5" t="n">
        <v>1902</v>
      </c>
      <c r="F8" s="5" t="n">
        <v>-631</v>
      </c>
      <c r="I8" t="inlineStr">
        <is>
          <t>Net cash from financing activities</t>
        </is>
      </c>
      <c r="J8" t="n">
        <v>-631</v>
      </c>
      <c r="K8" t="n">
        <v>1902</v>
      </c>
      <c r="L8" t="n">
        <v>169</v>
      </c>
      <c r="M8" t="n">
        <v>4326</v>
      </c>
      <c r="N8" t="n">
        <v>-266</v>
      </c>
      <c r="Q8" t="inlineStr">
        <is>
          <t>Total Capital Ratio</t>
        </is>
      </c>
      <c r="R8" t="n">
        <v>31.7</v>
      </c>
      <c r="S8" t="n">
        <v>31.7</v>
      </c>
      <c r="T8" t="n">
        <v>34.6</v>
      </c>
      <c r="U8" t="n">
        <v>36.8</v>
      </c>
      <c r="V8" t="n">
        <v>36.9</v>
      </c>
    </row>
    <row r="9">
      <c r="A9" s="5" t="inlineStr">
        <is>
          <t>Cash and cash equivalents at 31 Dec</t>
        </is>
      </c>
      <c r="B9" s="5" t="n">
        <v>146899</v>
      </c>
      <c r="C9" s="5" t="n">
        <v>162928</v>
      </c>
      <c r="D9" s="5" t="n">
        <v>177037</v>
      </c>
      <c r="E9" s="5" t="n">
        <v>189907</v>
      </c>
      <c r="F9" s="5" t="n">
        <v>140923</v>
      </c>
      <c r="I9" t="inlineStr">
        <is>
          <t>Cash and cash equivalents at 31 Dec</t>
        </is>
      </c>
      <c r="J9" t="n">
        <v>140923</v>
      </c>
      <c r="K9" t="n">
        <v>189907</v>
      </c>
      <c r="L9" t="n">
        <v>177037</v>
      </c>
      <c r="M9" t="n">
        <v>162928</v>
      </c>
      <c r="N9" t="n">
        <v>146899</v>
      </c>
      <c r="Q9" t="inlineStr">
        <is>
          <t>Leverage Ratio</t>
        </is>
      </c>
      <c r="R9" t="n">
        <v>4.1</v>
      </c>
      <c r="S9" t="n">
        <v>5.5</v>
      </c>
      <c r="T9" t="n">
        <v>5.1</v>
      </c>
      <c r="U9" t="n">
        <v>5.5</v>
      </c>
      <c r="V9" t="n">
        <v>4.5</v>
      </c>
    </row>
    <row r="10">
      <c r="Q10" t="inlineStr">
        <is>
          <t>LCR</t>
        </is>
      </c>
      <c r="S10" t="n">
        <v>143.1</v>
      </c>
      <c r="T10" t="n">
        <v>148</v>
      </c>
      <c r="U10" t="n">
        <v>148</v>
      </c>
      <c r="V10" t="n">
        <v>148</v>
      </c>
    </row>
    <row r="11">
      <c r="A11" s="3" t="inlineStr">
        <is>
          <t>Pillar 3 Key Metrics</t>
        </is>
      </c>
      <c r="Q11" t="inlineStr">
        <is>
          <t>NSFR</t>
        </is>
      </c>
      <c r="S11" t="n">
        <v>115.4</v>
      </c>
      <c r="T11" t="n">
        <v>116</v>
      </c>
      <c r="U11" t="n">
        <v>115</v>
      </c>
      <c r="V11" t="n">
        <v>114</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17.9%</t>
        </is>
      </c>
      <c r="C13" s="6" t="inlineStr">
        <is>
          <t>19.5%</t>
        </is>
      </c>
      <c r="D13" s="6" t="inlineStr">
        <is>
          <t>17.9%</t>
        </is>
      </c>
      <c r="E13" s="6" t="inlineStr">
        <is>
          <t>16.8%</t>
        </is>
      </c>
      <c r="F13" s="6" t="inlineStr">
        <is>
          <t>17.3%</t>
        </is>
      </c>
    </row>
    <row r="14">
      <c r="A14" s="6" t="inlineStr">
        <is>
          <t>Tier 1 Ratio</t>
        </is>
      </c>
      <c r="B14" s="6" t="inlineStr">
        <is>
          <t>21.6%</t>
        </is>
      </c>
      <c r="C14" s="6" t="inlineStr">
        <is>
          <t>23.0%</t>
        </is>
      </c>
      <c r="D14" s="6" t="inlineStr">
        <is>
          <t>21.5%</t>
        </is>
      </c>
      <c r="E14" s="6" t="inlineStr">
        <is>
          <t>20.2%</t>
        </is>
      </c>
      <c r="F14" s="6" t="inlineStr">
        <is>
          <t>21.0%</t>
        </is>
      </c>
    </row>
    <row r="15">
      <c r="A15" s="6" t="inlineStr">
        <is>
          <t>Total Capital Ratio</t>
        </is>
      </c>
      <c r="B15" s="6" t="inlineStr">
        <is>
          <t>36.9%</t>
        </is>
      </c>
      <c r="C15" s="6" t="inlineStr">
        <is>
          <t>36.8%</t>
        </is>
      </c>
      <c r="D15" s="6" t="inlineStr">
        <is>
          <t>34.6%</t>
        </is>
      </c>
      <c r="E15" s="6" t="inlineStr">
        <is>
          <t>31.7%</t>
        </is>
      </c>
      <c r="F15" s="6" t="inlineStr">
        <is>
          <t>31.7%</t>
        </is>
      </c>
    </row>
    <row r="16">
      <c r="A16" s="6" t="inlineStr">
        <is>
          <t>Leverage Ratio</t>
        </is>
      </c>
      <c r="B16" s="6" t="inlineStr">
        <is>
          <t>4.5%</t>
        </is>
      </c>
      <c r="C16" s="6" t="inlineStr">
        <is>
          <t>5.5%</t>
        </is>
      </c>
      <c r="D16" s="6" t="inlineStr">
        <is>
          <t>5.1%</t>
        </is>
      </c>
      <c r="E16" s="6" t="inlineStr">
        <is>
          <t>5.5%</t>
        </is>
      </c>
      <c r="F16" s="6" t="inlineStr">
        <is>
          <t>4.1%</t>
        </is>
      </c>
    </row>
    <row r="17">
      <c r="A17" s="6" t="inlineStr">
        <is>
          <t>LCR</t>
        </is>
      </c>
      <c r="B17" s="6" t="inlineStr">
        <is>
          <t>148%</t>
        </is>
      </c>
      <c r="C17" s="6" t="inlineStr">
        <is>
          <t>148%</t>
        </is>
      </c>
      <c r="D17" s="6" t="inlineStr">
        <is>
          <t>148%</t>
        </is>
      </c>
      <c r="E17" s="6" t="inlineStr">
        <is>
          <t>143.1%</t>
        </is>
      </c>
      <c r="F17" s="6" t="n"/>
    </row>
    <row r="18">
      <c r="A18" s="6" t="inlineStr">
        <is>
          <t>NSFR</t>
        </is>
      </c>
      <c r="B18" s="6" t="inlineStr">
        <is>
          <t>114%</t>
        </is>
      </c>
      <c r="C18" s="6" t="inlineStr">
        <is>
          <t>115%</t>
        </is>
      </c>
      <c r="D18" s="6" t="inlineStr">
        <is>
          <t>116%</t>
        </is>
      </c>
      <c r="E18" s="6" t="inlineStr">
        <is>
          <t>115.4%</t>
        </is>
      </c>
      <c r="F18" s="6" t="n"/>
    </row>
    <row r="20" ht="45" customHeight="1">
      <c r="A20"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Profit/(loss) before tax</t>
        </is>
      </c>
      <c r="B5" s="6" t="n">
        <v>-119</v>
      </c>
      <c r="C5" s="6" t="n">
        <v>2068</v>
      </c>
      <c r="D5" s="6" t="n">
        <v>2152</v>
      </c>
      <c r="E5" s="6" t="n">
        <v>-959</v>
      </c>
      <c r="F5" s="6" t="n">
        <v>1023</v>
      </c>
    </row>
    <row r="6">
      <c r="A6" s="6" t="inlineStr">
        <is>
          <t>Depreciation, amortisation and impairment</t>
        </is>
      </c>
      <c r="B6" s="6" t="n">
        <v>558</v>
      </c>
      <c r="C6" s="6" t="n">
        <v>148</v>
      </c>
      <c r="D6" s="6" t="n">
        <v>61</v>
      </c>
      <c r="E6" s="6" t="n">
        <v>128</v>
      </c>
      <c r="F6" s="6" t="n">
        <v>174</v>
      </c>
    </row>
    <row r="7">
      <c r="A7" s="6" t="inlineStr">
        <is>
          <t>Net loss/(gain) from investing activities</t>
        </is>
      </c>
      <c r="B7" s="6" t="n">
        <v>1098</v>
      </c>
      <c r="C7" s="6" t="n">
        <v>83</v>
      </c>
      <c r="D7" s="6" t="n">
        <v>-66</v>
      </c>
      <c r="E7" s="6" t="n">
        <v>2002</v>
      </c>
      <c r="F7" s="6" t="n">
        <v>-62</v>
      </c>
    </row>
    <row r="8">
      <c r="A8" s="6" t="inlineStr">
        <is>
          <t>Share of (profit)/loss in associates and joint ventures</t>
        </is>
      </c>
      <c r="B8" s="6" t="n">
        <v>-61</v>
      </c>
      <c r="C8" s="6" t="n">
        <v>-18</v>
      </c>
      <c r="D8" s="6" t="n">
        <v>43</v>
      </c>
      <c r="E8" s="6" t="n">
        <v>30</v>
      </c>
      <c r="F8" s="6" t="n">
        <v>-191</v>
      </c>
    </row>
    <row r="9">
      <c r="A9" s="6" t="inlineStr">
        <is>
          <t>Change in expected credit losses gross of recoveries and other credit impairment charges</t>
        </is>
      </c>
      <c r="B9" s="6" t="n">
        <v>154</v>
      </c>
      <c r="C9" s="6" t="n">
        <v>165</v>
      </c>
      <c r="D9" s="6" t="n">
        <v>161</v>
      </c>
      <c r="E9" s="6" t="n">
        <v>253</v>
      </c>
      <c r="F9" s="6" t="n">
        <v>-171</v>
      </c>
    </row>
    <row r="10">
      <c r="A10" s="6" t="inlineStr">
        <is>
          <t>Provisions including pensions</t>
        </is>
      </c>
      <c r="B10" s="6" t="n">
        <v>1184</v>
      </c>
      <c r="C10" s="6" t="n">
        <v>78</v>
      </c>
      <c r="D10" s="6" t="n">
        <v>132</v>
      </c>
      <c r="E10" s="6" t="n">
        <v>192</v>
      </c>
      <c r="F10" s="6" t="n">
        <v>104</v>
      </c>
    </row>
    <row r="11">
      <c r="A11" s="6" t="inlineStr">
        <is>
          <t>Share-based payment expense</t>
        </is>
      </c>
      <c r="B11" s="6" t="n">
        <v>81</v>
      </c>
      <c r="C11" s="6" t="n">
        <v>61</v>
      </c>
      <c r="D11" s="6" t="n">
        <v>58</v>
      </c>
      <c r="E11" s="6" t="n">
        <v>46</v>
      </c>
      <c r="F11" s="6" t="n">
        <v>96</v>
      </c>
    </row>
    <row r="12">
      <c r="A12" s="6" t="inlineStr">
        <is>
          <t>Other non-cash items included in (loss)/profit before tax</t>
        </is>
      </c>
      <c r="B12" s="6" t="n">
        <v>-155</v>
      </c>
      <c r="C12" s="6" t="n">
        <v>-180</v>
      </c>
      <c r="D12" s="6" t="n">
        <v>-165</v>
      </c>
      <c r="E12" s="6" t="n">
        <v>-242</v>
      </c>
      <c r="F12" s="6" t="n">
        <v>-198</v>
      </c>
    </row>
    <row r="13">
      <c r="A13" s="6" t="inlineStr">
        <is>
          <t>Elimination of exchange differences</t>
        </is>
      </c>
      <c r="B13" s="6" t="n">
        <v>-3416</v>
      </c>
      <c r="C13" s="6" t="n">
        <v>4883</v>
      </c>
      <c r="D13" s="6" t="n">
        <v>4426</v>
      </c>
      <c r="E13" s="6" t="n">
        <v>-6714</v>
      </c>
      <c r="F13" s="6" t="n">
        <v>4926</v>
      </c>
    </row>
    <row r="14">
      <c r="A14" s="6" t="inlineStr">
        <is>
          <t>- change in net trading securities and derivatives</t>
        </is>
      </c>
      <c r="B14" s="6" t="n">
        <v>-16933</v>
      </c>
      <c r="C14" s="6" t="n">
        <v>-13266</v>
      </c>
      <c r="D14" s="6" t="n">
        <v>-15528</v>
      </c>
      <c r="E14" s="6" t="n">
        <v>-6213</v>
      </c>
      <c r="F14" s="6" t="n">
        <v>8157</v>
      </c>
    </row>
    <row r="15">
      <c r="A15" s="6" t="inlineStr">
        <is>
          <t>- change in loans and advances to banks and customers</t>
        </is>
      </c>
      <c r="B15" s="6" t="n">
        <v>-3077</v>
      </c>
      <c r="C15" s="6" t="n">
        <v>-455</v>
      </c>
      <c r="D15" s="6" t="n">
        <v>4245</v>
      </c>
      <c r="E15" s="6" t="n">
        <v>-2717</v>
      </c>
      <c r="F15" s="6" t="n">
        <v>11149</v>
      </c>
    </row>
    <row r="16">
      <c r="A16" s="6" t="inlineStr">
        <is>
          <t>- change in reverse repurchase agreements - non-trading</t>
        </is>
      </c>
      <c r="B16" s="6" t="n">
        <v>-13896</v>
      </c>
      <c r="C16" s="6" t="n">
        <v>9341</v>
      </c>
      <c r="D16" s="6" t="n">
        <v>-13531</v>
      </c>
      <c r="E16" s="6" t="n">
        <v>6251</v>
      </c>
      <c r="F16" s="6" t="n">
        <v>9538</v>
      </c>
    </row>
    <row r="17">
      <c r="A17" s="6" t="inlineStr">
        <is>
          <t>- change in financial assets designated and otherwise mandatorily measured at fair value</t>
        </is>
      </c>
      <c r="B17" s="6" t="n">
        <v>-3139</v>
      </c>
      <c r="C17" s="6" t="n">
        <v>-1954</v>
      </c>
      <c r="D17" s="6" t="n">
        <v>-3296</v>
      </c>
      <c r="E17" s="6" t="n">
        <v>2729</v>
      </c>
      <c r="F17" s="6" t="n">
        <v>-2429</v>
      </c>
    </row>
    <row r="18">
      <c r="A18" s="6" t="inlineStr">
        <is>
          <t>- change in other assets</t>
        </is>
      </c>
      <c r="B18" s="6" t="n">
        <v>-3313</v>
      </c>
      <c r="C18" s="6" t="n">
        <v>4734</v>
      </c>
      <c r="D18" s="6" t="n">
        <v>-5707</v>
      </c>
      <c r="E18" s="6" t="n">
        <v>-7329</v>
      </c>
      <c r="F18" s="6" t="n">
        <v>10924</v>
      </c>
    </row>
    <row r="19">
      <c r="A19" s="6" t="inlineStr">
        <is>
          <t>- change in deposits by banks and customer accounts</t>
        </is>
      </c>
      <c r="B19" s="6" t="n">
        <v>23219</v>
      </c>
      <c r="C19" s="6" t="n">
        <v>14113</v>
      </c>
      <c r="D19" s="6" t="n">
        <v>7548</v>
      </c>
      <c r="E19" s="6" t="n">
        <v>19835</v>
      </c>
      <c r="F19" s="6" t="n">
        <v>7940</v>
      </c>
    </row>
    <row r="20">
      <c r="A20" s="6" t="inlineStr">
        <is>
          <t>- change in repurchase agreements - non-trading</t>
        </is>
      </c>
      <c r="B20" s="6" t="n">
        <v>6374</v>
      </c>
      <c r="C20" s="6" t="n">
        <v>-13813</v>
      </c>
      <c r="D20" s="6" t="n">
        <v>20516</v>
      </c>
      <c r="E20" s="6" t="n">
        <v>5641</v>
      </c>
      <c r="F20" s="6" t="n">
        <v>-7643</v>
      </c>
    </row>
    <row r="21">
      <c r="A21" s="6" t="inlineStr">
        <is>
          <t>- change in debt securities in issue</t>
        </is>
      </c>
      <c r="B21" s="6" t="n">
        <v>-6638</v>
      </c>
      <c r="C21" s="6" t="n">
        <v>6018</v>
      </c>
      <c r="D21" s="6" t="n">
        <v>6175</v>
      </c>
      <c r="E21" s="6" t="n">
        <v>-1060</v>
      </c>
      <c r="F21" s="6" t="n">
        <v>-7943</v>
      </c>
    </row>
    <row r="22">
      <c r="A22" s="6" t="inlineStr">
        <is>
          <t>- change in financial liabilities designated at fair value</t>
        </is>
      </c>
      <c r="B22" s="6" t="n">
        <v>5234</v>
      </c>
      <c r="C22" s="6" t="n">
        <v>4937</v>
      </c>
      <c r="D22" s="6" t="n">
        <v>4042</v>
      </c>
      <c r="E22" s="6" t="n">
        <v>-1822</v>
      </c>
      <c r="F22" s="6" t="n">
        <v>-7191</v>
      </c>
    </row>
    <row r="23">
      <c r="A23" s="6" t="inlineStr">
        <is>
          <t>- change in other liabilities</t>
        </is>
      </c>
      <c r="B23" s="6" t="n">
        <v>3534</v>
      </c>
      <c r="C23" s="6" t="n">
        <v>-10026</v>
      </c>
      <c r="D23" s="6" t="n">
        <v>-7506</v>
      </c>
      <c r="E23" s="6" t="n">
        <v>21297</v>
      </c>
      <c r="F23" s="6" t="n">
        <v>-12295</v>
      </c>
    </row>
    <row r="24">
      <c r="A24" s="6" t="inlineStr">
        <is>
          <t>- dividend received from associates</t>
        </is>
      </c>
      <c r="B24" s="6" t="n">
        <v>18</v>
      </c>
      <c r="C24" s="6" t="n"/>
      <c r="D24" s="6" t="n">
        <v>15</v>
      </c>
      <c r="E24" s="6" t="n">
        <v>7</v>
      </c>
      <c r="F24" s="6" t="n"/>
    </row>
    <row r="25">
      <c r="A25" s="6" t="inlineStr">
        <is>
          <t>- contributions paid to defined benefit plans</t>
        </is>
      </c>
      <c r="B25" s="6" t="n">
        <v>-28</v>
      </c>
      <c r="C25" s="6" t="n">
        <v>-20</v>
      </c>
      <c r="D25" s="6" t="n">
        <v>-5</v>
      </c>
      <c r="E25" s="6" t="n">
        <v>-10</v>
      </c>
      <c r="F25" s="6" t="n">
        <v>-24</v>
      </c>
    </row>
    <row r="26">
      <c r="A26" s="6" t="inlineStr">
        <is>
          <t>- tax received/(paid)</t>
        </is>
      </c>
      <c r="B26" s="6" t="n">
        <v>92</v>
      </c>
      <c r="C26" s="6" t="n">
        <v>-1088</v>
      </c>
      <c r="D26" s="6" t="n">
        <v>-140</v>
      </c>
      <c r="E26" s="6" t="n">
        <v>845</v>
      </c>
      <c r="F26" s="6" t="n">
        <v>-581</v>
      </c>
    </row>
    <row r="27">
      <c r="A27" s="5" t="inlineStr">
        <is>
          <t>Changes in operating assets and liabilities - subtotal</t>
        </is>
      </c>
      <c r="B27" s="5" t="n">
        <v>-8553</v>
      </c>
      <c r="C27" s="5" t="n">
        <v>-1479</v>
      </c>
      <c r="D27" s="5" t="n">
        <v>-3172</v>
      </c>
      <c r="E27" s="5" t="n">
        <v>37454</v>
      </c>
      <c r="F27" s="5" t="n">
        <v>9602</v>
      </c>
    </row>
    <row r="28">
      <c r="A28" s="5" t="inlineStr">
        <is>
          <t>Net cash from operating activities</t>
        </is>
      </c>
      <c r="B28" s="5" t="n">
        <v>-9229</v>
      </c>
      <c r="C28" s="5" t="n">
        <v>5809</v>
      </c>
      <c r="D28" s="5" t="n">
        <v>3630</v>
      </c>
      <c r="E28" s="5" t="n">
        <v>32190</v>
      </c>
      <c r="F28" s="5" t="n">
        <v>15303</v>
      </c>
    </row>
    <row r="29">
      <c r="A29" s="5" t="inlineStr">
        <is>
          <t>Investing activities</t>
        </is>
      </c>
      <c r="B29" s="6" t="n"/>
      <c r="C29" s="6" t="n"/>
      <c r="D29" s="6" t="n"/>
      <c r="E29" s="6" t="n"/>
      <c r="F29" s="6" t="n"/>
    </row>
    <row r="30">
      <c r="A30" s="6" t="inlineStr">
        <is>
          <t>Purchase of financial investments</t>
        </is>
      </c>
      <c r="B30" s="6" t="n">
        <v>-45055</v>
      </c>
      <c r="C30" s="6" t="n">
        <v>-32587</v>
      </c>
      <c r="D30" s="6" t="n">
        <v>-26586</v>
      </c>
      <c r="E30" s="6" t="n">
        <v>-13227</v>
      </c>
      <c r="F30" s="6" t="n">
        <v>-18890</v>
      </c>
    </row>
    <row r="31">
      <c r="A31" s="6" t="inlineStr">
        <is>
          <t>Proceeds from the sale and maturity of financial investments</t>
        </is>
      </c>
      <c r="B31" s="6" t="n">
        <v>33969</v>
      </c>
      <c r="C31" s="6" t="n">
        <v>23272</v>
      </c>
      <c r="D31" s="6" t="n">
        <v>15497</v>
      </c>
      <c r="E31" s="6" t="n">
        <v>20490</v>
      </c>
      <c r="F31" s="6" t="n">
        <v>25027</v>
      </c>
    </row>
    <row r="32">
      <c r="A32" s="6" t="inlineStr">
        <is>
          <t>Net cash flows from the purchase and sale of property, plant and equipment</t>
        </is>
      </c>
      <c r="B32" s="6" t="n">
        <v>-18</v>
      </c>
      <c r="C32" s="6" t="n">
        <v>-16</v>
      </c>
      <c r="D32" s="6" t="n">
        <v>-31</v>
      </c>
      <c r="E32" s="6" t="n">
        <v>-20</v>
      </c>
      <c r="F32" s="6" t="n">
        <v>52</v>
      </c>
    </row>
    <row r="33">
      <c r="A33" s="6" t="inlineStr">
        <is>
          <t>Net investment in intangible assets</t>
        </is>
      </c>
      <c r="B33" s="6" t="n">
        <v>-393</v>
      </c>
      <c r="C33" s="6" t="n">
        <v>-149</v>
      </c>
      <c r="D33" s="6" t="n">
        <v>-125</v>
      </c>
      <c r="E33" s="6" t="n">
        <v>-28</v>
      </c>
      <c r="F33" s="6" t="n">
        <v>-45</v>
      </c>
    </row>
    <row r="34">
      <c r="A34" s="6" t="inlineStr">
        <is>
          <t>Net cash outflow from investment in associates and acquisition of businesses and subsidiaries</t>
        </is>
      </c>
      <c r="B34" s="6" t="n">
        <v>-25</v>
      </c>
      <c r="C34" s="6" t="n">
        <v>-955</v>
      </c>
      <c r="D34" s="6" t="n">
        <v>-1161</v>
      </c>
      <c r="E34" s="6" t="n">
        <v>-29</v>
      </c>
      <c r="F34" s="6" t="n">
        <v>-85</v>
      </c>
    </row>
    <row r="35">
      <c r="A35" s="6" t="inlineStr">
        <is>
          <t>Net cash flow on disposal of subsidiaries, businesses, associates and joint ventures</t>
        </is>
      </c>
      <c r="B35" s="6" t="n">
        <v>39</v>
      </c>
      <c r="C35" s="6" t="n">
        <v>-8631</v>
      </c>
      <c r="D35" s="6" t="n">
        <v>-394</v>
      </c>
      <c r="E35" s="6" t="n"/>
      <c r="F35" s="6" t="n">
        <v>0</v>
      </c>
    </row>
    <row r="36">
      <c r="A36" s="5" t="inlineStr">
        <is>
          <t>Net cash from investing activities</t>
        </is>
      </c>
      <c r="B36" s="5" t="n">
        <v>-11483</v>
      </c>
      <c r="C36" s="5" t="n">
        <v>-19066</v>
      </c>
      <c r="D36" s="5" t="n">
        <v>-12800</v>
      </c>
      <c r="E36" s="5" t="n">
        <v>7186</v>
      </c>
      <c r="F36" s="5" t="n">
        <v>6059</v>
      </c>
    </row>
    <row r="37">
      <c r="A37" s="5" t="inlineStr">
        <is>
          <t>Financing activities</t>
        </is>
      </c>
      <c r="B37" s="6" t="n"/>
      <c r="C37" s="6" t="n"/>
      <c r="D37" s="6" t="n"/>
      <c r="E37" s="6" t="n"/>
      <c r="F37" s="6" t="n"/>
    </row>
    <row r="38">
      <c r="A38" s="6" t="inlineStr">
        <is>
          <t>Issue of ordinary share capital and other equity instruments</t>
        </is>
      </c>
      <c r="B38" s="6" t="n">
        <v>276</v>
      </c>
      <c r="C38" s="6" t="n">
        <v>2782</v>
      </c>
      <c r="D38" s="6" t="n">
        <v>584</v>
      </c>
      <c r="E38" s="6" t="n">
        <v>628</v>
      </c>
      <c r="F38" s="6" t="n"/>
    </row>
    <row r="39">
      <c r="A39" s="6" t="inlineStr">
        <is>
          <t>Redemption of other equity instruments</t>
        </is>
      </c>
      <c r="B39" s="6" t="n"/>
      <c r="C39" s="6" t="n">
        <v>-213</v>
      </c>
      <c r="D39" s="6" t="n"/>
      <c r="E39" s="6" t="n"/>
      <c r="F39" s="6" t="n">
        <v>0</v>
      </c>
    </row>
    <row r="40">
      <c r="A40" s="6" t="inlineStr">
        <is>
          <t>Subordinated loan capital issued</t>
        </is>
      </c>
      <c r="B40" s="6" t="n">
        <v>2702</v>
      </c>
      <c r="C40" s="6" t="n">
        <v>2777</v>
      </c>
      <c r="D40" s="6" t="n">
        <v>3246</v>
      </c>
      <c r="E40" s="6" t="n">
        <v>3111</v>
      </c>
      <c r="F40" s="6" t="n">
        <v>10466</v>
      </c>
    </row>
    <row r="41">
      <c r="A41" s="6" t="inlineStr">
        <is>
          <t>Subordinated loan capital repaid</t>
        </is>
      </c>
      <c r="B41" s="6" t="n">
        <v>-1277</v>
      </c>
      <c r="C41" s="6" t="n">
        <v>-474</v>
      </c>
      <c r="D41" s="6" t="n">
        <v>-2693</v>
      </c>
      <c r="E41" s="6" t="n">
        <v>-2248</v>
      </c>
      <c r="F41" s="6" t="n">
        <v>-10902</v>
      </c>
    </row>
    <row r="42">
      <c r="A42" s="6" t="inlineStr">
        <is>
          <t>Dividends to the parent company</t>
        </is>
      </c>
      <c r="B42" s="6" t="n">
        <v>-1951</v>
      </c>
      <c r="C42" s="6" t="n">
        <v>-535</v>
      </c>
      <c r="D42" s="6" t="n">
        <v>-961</v>
      </c>
      <c r="E42" s="6" t="n">
        <v>-1052</v>
      </c>
      <c r="F42" s="6" t="n">
        <v>-194</v>
      </c>
    </row>
    <row r="43">
      <c r="A43" s="6" t="inlineStr">
        <is>
          <t>Funds received from the parent company</t>
        </is>
      </c>
      <c r="B43" s="6" t="n"/>
      <c r="C43" s="6" t="n"/>
      <c r="D43" s="6" t="n"/>
      <c r="E43" s="6" t="n">
        <v>1465</v>
      </c>
      <c r="F43" s="6" t="n"/>
    </row>
    <row r="44">
      <c r="A44" s="6" t="inlineStr">
        <is>
          <t>Dividends paid to non-controlling interests</t>
        </is>
      </c>
      <c r="B44" s="6" t="n">
        <v>-16</v>
      </c>
      <c r="C44" s="6" t="n">
        <v>-11</v>
      </c>
      <c r="D44" s="6" t="n">
        <v>-7</v>
      </c>
      <c r="E44" s="6" t="n">
        <v>-2</v>
      </c>
      <c r="F44" s="6" t="n">
        <v>-1</v>
      </c>
    </row>
    <row r="45">
      <c r="A45" s="5" t="inlineStr">
        <is>
          <t>Net cash from financing activities</t>
        </is>
      </c>
      <c r="B45" s="5" t="n">
        <v>-266</v>
      </c>
      <c r="C45" s="5" t="n">
        <v>4326</v>
      </c>
      <c r="D45" s="5" t="n">
        <v>169</v>
      </c>
      <c r="E45" s="5" t="n">
        <v>1902</v>
      </c>
      <c r="F45" s="5" t="n">
        <v>-631</v>
      </c>
    </row>
    <row r="46">
      <c r="A46" s="5" t="inlineStr">
        <is>
          <t>Net increase/(decrease) in cash and cash equivalents</t>
        </is>
      </c>
      <c r="B46" s="5" t="n">
        <v>-20978</v>
      </c>
      <c r="C46" s="5" t="n">
        <v>-8931</v>
      </c>
      <c r="D46" s="5" t="n">
        <v>-9001</v>
      </c>
      <c r="E46" s="5" t="n">
        <v>41278</v>
      </c>
      <c r="F46" s="5" t="n">
        <v>20731</v>
      </c>
    </row>
    <row r="47">
      <c r="A47" s="6" t="inlineStr">
        <is>
          <t>Cash and cash equivalents at 1 Jan</t>
        </is>
      </c>
      <c r="B47" s="6" t="n">
        <v>162928</v>
      </c>
      <c r="C47" s="6" t="n">
        <v>177037</v>
      </c>
      <c r="D47" s="6" t="n">
        <v>189907</v>
      </c>
      <c r="E47" s="6" t="n">
        <v>140923</v>
      </c>
      <c r="F47" s="6" t="n">
        <v>125304</v>
      </c>
    </row>
    <row r="48">
      <c r="A48" s="6" t="inlineStr">
        <is>
          <t>Exchange difference in respect of cash and cash equivalents</t>
        </is>
      </c>
      <c r="B48" s="6" t="n">
        <v>4949</v>
      </c>
      <c r="C48" s="6" t="n">
        <v>-5178</v>
      </c>
      <c r="D48" s="6" t="n">
        <v>-3869</v>
      </c>
      <c r="E48" s="6" t="n">
        <v>7706</v>
      </c>
      <c r="F48" s="6" t="n">
        <v>-5112</v>
      </c>
    </row>
    <row r="49">
      <c r="A49" s="5" t="inlineStr">
        <is>
          <t>Cash and cash equivalents at 31 Dec</t>
        </is>
      </c>
      <c r="B49" s="5" t="n">
        <v>146899</v>
      </c>
      <c r="C49" s="5" t="n">
        <v>162928</v>
      </c>
      <c r="D49" s="5" t="n">
        <v>177037</v>
      </c>
      <c r="E49" s="5" t="n">
        <v>189907</v>
      </c>
      <c r="F49" s="5" t="n">
        <v>140923</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CASH FLOW NOTE: figures are £m (this is one of the largest entities in this project by balance sheet size; £'000 would be unwieldy). The full opening-to-closing cash chain reconciles exactly year-to-year using each year's own originally-published figures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20063</v>
      </c>
      <c r="C4" s="6" t="n">
        <v>21896</v>
      </c>
      <c r="D4" s="6" t="n">
        <v>19230</v>
      </c>
      <c r="E4" s="6" t="n">
        <v>19184</v>
      </c>
      <c r="F4" s="6" t="n">
        <v>18007</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17.9%</t>
        </is>
      </c>
      <c r="C4" s="6" t="inlineStr">
        <is>
          <t>19.5%</t>
        </is>
      </c>
      <c r="D4" s="6" t="inlineStr">
        <is>
          <t>17.9%</t>
        </is>
      </c>
      <c r="E4" s="6" t="inlineStr">
        <is>
          <t>16.8%</t>
        </is>
      </c>
      <c r="F4" s="6" t="inlineStr">
        <is>
          <t>17.3%</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24272</v>
      </c>
      <c r="C4" s="6" t="n">
        <v>25828</v>
      </c>
      <c r="D4" s="6" t="n">
        <v>23124</v>
      </c>
      <c r="E4" s="6" t="n">
        <v>23077</v>
      </c>
      <c r="F4" s="6" t="n">
        <v>21869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21.6%</t>
        </is>
      </c>
      <c r="C4" s="6" t="inlineStr">
        <is>
          <t>23.0%</t>
        </is>
      </c>
      <c r="D4" s="6" t="inlineStr">
        <is>
          <t>21.5%</t>
        </is>
      </c>
      <c r="E4" s="6" t="inlineStr">
        <is>
          <t>20.2%</t>
        </is>
      </c>
      <c r="F4" s="6" t="inlineStr">
        <is>
          <t>21.0%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41473</v>
      </c>
      <c r="C4" s="6" t="n">
        <v>41306</v>
      </c>
      <c r="D4" s="6" t="n">
        <v>37131</v>
      </c>
      <c r="E4" s="6" t="n">
        <v>36187</v>
      </c>
      <c r="F4" s="6" t="n">
        <v>33036</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36.9%</t>
        </is>
      </c>
      <c r="C4" s="6" t="inlineStr">
        <is>
          <t>36.8%</t>
        </is>
      </c>
      <c r="D4" s="6" t="inlineStr">
        <is>
          <t>34.6%</t>
        </is>
      </c>
      <c r="E4" s="6" t="inlineStr">
        <is>
          <t>31.7%</t>
        </is>
      </c>
      <c r="F4" s="6" t="inlineStr">
        <is>
          <t>31.7%</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112340</v>
      </c>
      <c r="C4" s="6" t="n">
        <v>112251</v>
      </c>
      <c r="D4" s="6" t="n">
        <v>107449</v>
      </c>
      <c r="E4" s="6" t="n">
        <v>114171</v>
      </c>
      <c r="F4" s="6" t="n">
        <v>104314</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4.5%</t>
        </is>
      </c>
      <c r="C4" s="6" t="inlineStr">
        <is>
          <t>5.5%</t>
        </is>
      </c>
      <c r="D4" s="6" t="inlineStr">
        <is>
          <t>5.1%</t>
        </is>
      </c>
      <c r="E4" s="6" t="inlineStr">
        <is>
          <t>5.5%</t>
        </is>
      </c>
      <c r="F4" s="6" t="inlineStr">
        <is>
          <t>4.1%</t>
        </is>
      </c>
    </row>
    <row r="5" ht="60" customHeight="1">
      <c r="A5" s="7" t="inlineStr">
        <is>
          <t>Note: A genuine basis change: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148%</t>
        </is>
      </c>
      <c r="C4" s="6" t="inlineStr">
        <is>
          <t>148%</t>
        </is>
      </c>
      <c r="D4" s="6" t="inlineStr">
        <is>
          <t>148%</t>
        </is>
      </c>
      <c r="E4" s="6" t="inlineStr">
        <is>
          <t>143.1%</t>
        </is>
      </c>
      <c r="F4" s="6" t="n"/>
    </row>
    <row r="5" ht="60" customHeight="1">
      <c r="A5" s="7" t="inlineStr">
        <is>
          <t>Note: Not disclosed for FY2021: HSBC Bank plc's own FY2021 Pillar 3 Disclosures pre-date the KM1 template and PRA's entity-level LCR/NSFR disclosure requirement, which 'came into effect on 1 January 2022' per the FY2022 Pillar 3 Disclosures' own footnote - confirmed genuinely absent,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114%</t>
        </is>
      </c>
      <c r="C4" s="6" t="inlineStr">
        <is>
          <t>115%</t>
        </is>
      </c>
      <c r="D4" s="6" t="inlineStr">
        <is>
          <t>116%</t>
        </is>
      </c>
      <c r="E4" s="6" t="inlineStr">
        <is>
          <t>115.4%</t>
        </is>
      </c>
      <c r="F4" s="6" t="n"/>
    </row>
    <row r="5" ht="60" customHeight="1">
      <c r="A5" s="7" t="inlineStr">
        <is>
          <t>Note: Not disclosed for 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mention appears anywhere in any of HSBC Bank plc's own Pillar 3 Disclosures FY2021-FY2025 -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(a company-house style lookup was blocked at the DNS level in this session; hsbc.com itself was fully reachable).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2026-08-28T19:03:43Z</dcterms:created>
  <dcterms:modified xmlns:dcterms="http://purl.org/dc/terms/" xmlns:xsi="http://www.w3.org/2001/XMLSchema-instance" xsi:type="dcterms:W3CDTF">2026-08-28T19:03:43Z</dcterms:modified>
</cp:coreProperties>
</file>