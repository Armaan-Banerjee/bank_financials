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I6" t="inlineStr">
        <is>
          <t>CET1 Ratio</t>
        </is>
      </c>
      <c r="BL6" t="n">
        <v>14.3</v>
      </c>
      <c r="BM6" t="n">
        <v>15.5</v>
      </c>
      <c r="BN6" t="n">
        <v>16.7</v>
      </c>
      <c r="BO6" t="n">
        <v>14.8</v>
      </c>
      <c r="BP6" t="n">
        <v>14.4</v>
      </c>
      <c r="BQ6" t="n">
        <v>13.7</v>
      </c>
      <c r="BR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I7" t="inlineStr">
        <is>
          <t>Tier 1 Ratio</t>
        </is>
      </c>
      <c r="BL7" t="n">
        <v>18.3</v>
      </c>
      <c r="BM7" t="n">
        <v>19.8</v>
      </c>
      <c r="BN7" t="n">
        <v>19.7</v>
      </c>
      <c r="BO7" t="n">
        <v>17.3</v>
      </c>
      <c r="BP7" t="n">
        <v>17.1</v>
      </c>
      <c r="BQ7" t="n">
        <v>16.7</v>
      </c>
      <c r="BR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I8" t="inlineStr">
        <is>
          <t>Total Capital Ratio</t>
        </is>
      </c>
      <c r="BL8" t="n">
        <v>22.1</v>
      </c>
      <c r="BM8" t="n">
        <v>23.5</v>
      </c>
      <c r="BN8" t="n">
        <v>23.5</v>
      </c>
      <c r="BO8" t="n">
        <v>20.5</v>
      </c>
      <c r="BP8" t="n">
        <v>20.5</v>
      </c>
      <c r="BQ8" t="n">
        <v>19.9</v>
      </c>
      <c r="BR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I9" t="inlineStr">
        <is>
          <t>Leverage Ratio</t>
        </is>
      </c>
      <c r="BL9" t="n">
        <v>5.1</v>
      </c>
      <c r="BM9" t="n">
        <v>5.5</v>
      </c>
      <c r="BN9" t="n">
        <v>5.3</v>
      </c>
      <c r="BO9" t="n">
        <v>5.4</v>
      </c>
      <c r="BP9" t="n">
        <v>5.6</v>
      </c>
      <c r="BQ9" t="n">
        <v>5.4</v>
      </c>
      <c r="BR9" t="n">
        <v>5.2</v>
      </c>
    </row>
    <row r="10">
      <c r="BI10" t="inlineStr">
        <is>
          <t>LCR</t>
        </is>
      </c>
      <c r="BL10" t="n">
        <v>127</v>
      </c>
      <c r="BM10" t="n">
        <v>126</v>
      </c>
      <c r="BN10" t="n">
        <v>126</v>
      </c>
      <c r="BO10" t="n">
        <v>136</v>
      </c>
      <c r="BP10" t="n">
        <v>133</v>
      </c>
      <c r="BQ10" t="n">
        <v>137</v>
      </c>
      <c r="BR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39747</v>
      </c>
      <c r="C19" s="5" t="n">
        <v>40431</v>
      </c>
      <c r="D19" s="5" t="n">
        <v>39059</v>
      </c>
      <c r="E19" s="5" t="n">
        <v>40772</v>
      </c>
      <c r="F19" s="5" t="n">
        <v>41118</v>
      </c>
      <c r="G19" s="5" t="n">
        <v>38899</v>
      </c>
      <c r="H19" s="5" t="n">
        <v>40353</v>
      </c>
      <c r="I19" s="5" t="n">
        <v>50003</v>
      </c>
      <c r="J19" s="5" t="n"/>
      <c r="AK19" t="inlineStr">
        <is>
          <t>Opening equity</t>
        </is>
      </c>
      <c r="AM19" t="n">
        <v>50003</v>
      </c>
      <c r="AN19" t="n">
        <v>40353</v>
      </c>
      <c r="AO19" t="n">
        <v>38899</v>
      </c>
      <c r="AP19" t="n">
        <v>41118</v>
      </c>
      <c r="AQ19" t="n">
        <v>40772</v>
      </c>
      <c r="AR19" t="n">
        <v>39059</v>
      </c>
      <c r="AS19" t="n">
        <v>40431</v>
      </c>
      <c r="AT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J20" s="5" t="n"/>
      <c r="AK20" t="inlineStr">
        <is>
          <t>Total comprehensive income/(loss) for the year</t>
        </is>
      </c>
      <c r="AM20" t="n">
        <v>4633</v>
      </c>
      <c r="AN20" t="n">
        <v>1107</v>
      </c>
      <c r="AO20" t="n">
        <v>1439</v>
      </c>
      <c r="AP20" t="n">
        <v>4432</v>
      </c>
      <c r="AQ20" t="n">
        <v>-1652</v>
      </c>
      <c r="AR20" t="n">
        <v>5486</v>
      </c>
      <c r="AS20" t="n">
        <v>2860</v>
      </c>
      <c r="AT20" t="n">
        <v>5151</v>
      </c>
    </row>
    <row r="21">
      <c r="A21" s="5" t="inlineStr">
        <is>
          <t>Other equity movements, net</t>
        </is>
      </c>
      <c r="B21" s="5" t="n">
        <v>-2918</v>
      </c>
      <c r="C21" s="5" t="n">
        <v>-3544</v>
      </c>
      <c r="D21" s="5" t="n">
        <v>-4114</v>
      </c>
      <c r="E21" s="5" t="n">
        <v>-61</v>
      </c>
      <c r="F21" s="5" t="n">
        <v>-4778</v>
      </c>
      <c r="G21" s="5" t="n">
        <v>780</v>
      </c>
      <c r="H21" s="5" t="n">
        <v>-2561</v>
      </c>
      <c r="I21" s="5" t="n">
        <v>-14283</v>
      </c>
      <c r="J21" s="5" t="n"/>
      <c r="AK21" t="inlineStr">
        <is>
          <t>Other equity movements, net</t>
        </is>
      </c>
      <c r="AM21" t="n">
        <v>-14283</v>
      </c>
      <c r="AN21" t="n">
        <v>-2561</v>
      </c>
      <c r="AO21" t="n">
        <v>780</v>
      </c>
      <c r="AP21" t="n">
        <v>-4778</v>
      </c>
      <c r="AQ21" t="n">
        <v>-61</v>
      </c>
      <c r="AR21" t="n">
        <v>-4114</v>
      </c>
      <c r="AS21" t="n">
        <v>-3544</v>
      </c>
      <c r="AT21" t="n">
        <v>-2918</v>
      </c>
    </row>
    <row r="22">
      <c r="A22" s="5" t="inlineStr">
        <is>
          <t>Closing equity</t>
        </is>
      </c>
      <c r="B22" s="5" t="n">
        <v>41980</v>
      </c>
      <c r="C22" s="5" t="n">
        <v>39747</v>
      </c>
      <c r="D22" s="5" t="n">
        <v>40431</v>
      </c>
      <c r="E22" s="5" t="n">
        <v>39059</v>
      </c>
      <c r="F22" s="5" t="n">
        <v>40772</v>
      </c>
      <c r="G22" s="5" t="n">
        <v>41118</v>
      </c>
      <c r="H22" s="5" t="n">
        <v>38899</v>
      </c>
      <c r="I22" s="5" t="n">
        <v>40353</v>
      </c>
      <c r="J22" s="5" t="n"/>
      <c r="AK22" t="inlineStr">
        <is>
          <t>Closing equity</t>
        </is>
      </c>
      <c r="AM22" t="n">
        <v>40353</v>
      </c>
      <c r="AN22" t="n">
        <v>38899</v>
      </c>
      <c r="AO22" t="n">
        <v>41118</v>
      </c>
      <c r="AP22" t="n">
        <v>40772</v>
      </c>
      <c r="AQ22" t="n">
        <v>39059</v>
      </c>
      <c r="AR22" t="n">
        <v>40431</v>
      </c>
      <c r="AS22" t="n">
        <v>39747</v>
      </c>
      <c r="AT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J26" s="5" t="n"/>
      <c r="AW26" t="inlineStr">
        <is>
          <t>Net cash from/(used in) operating activities</t>
        </is>
      </c>
      <c r="AY26" t="n">
        <v>-23948</v>
      </c>
      <c r="AZ26" t="n">
        <v>11634</v>
      </c>
      <c r="BA26" t="n">
        <v>15182</v>
      </c>
      <c r="BB26" t="n">
        <v>17693</v>
      </c>
      <c r="BC26" t="n">
        <v>19310</v>
      </c>
      <c r="BD26" t="n">
        <v>4115</v>
      </c>
      <c r="BE26" t="n">
        <v>-7249</v>
      </c>
      <c r="BF26" t="n">
        <v>2186</v>
      </c>
    </row>
    <row r="27">
      <c r="A27" s="5" t="inlineStr">
        <is>
          <t>Net cash from/(used in) investing activities</t>
        </is>
      </c>
      <c r="B27" s="5" t="n">
        <v>-9635</v>
      </c>
      <c r="C27" s="5" t="n">
        <v>-7203</v>
      </c>
      <c r="D27" s="5" t="n">
        <v>-9290</v>
      </c>
      <c r="E27" s="5" t="n">
        <v>255</v>
      </c>
      <c r="F27" s="5" t="n">
        <v>-2828</v>
      </c>
      <c r="G27" s="5" t="n">
        <v>-4066</v>
      </c>
      <c r="H27" s="5" t="n">
        <v>-2448</v>
      </c>
      <c r="I27" s="5" t="n">
        <v>20944</v>
      </c>
      <c r="J27" s="5" t="n"/>
      <c r="AW27" t="inlineStr">
        <is>
          <t>Net cash from/(used in) investing activities</t>
        </is>
      </c>
      <c r="AY27" t="n">
        <v>20944</v>
      </c>
      <c r="AZ27" t="n">
        <v>-2448</v>
      </c>
      <c r="BA27" t="n">
        <v>-4066</v>
      </c>
      <c r="BB27" t="n">
        <v>-2828</v>
      </c>
      <c r="BC27" t="n">
        <v>255</v>
      </c>
      <c r="BD27" t="n">
        <v>-9290</v>
      </c>
      <c r="BE27" t="n">
        <v>-7203</v>
      </c>
      <c r="BF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J28" s="5" t="n"/>
      <c r="AW28" t="inlineStr">
        <is>
          <t>Net cash from/(used in) financing activities</t>
        </is>
      </c>
      <c r="AY28" t="n">
        <v>-18258</v>
      </c>
      <c r="AZ28" t="n">
        <v>-10292</v>
      </c>
      <c r="BA28" t="n">
        <v>-765</v>
      </c>
      <c r="BB28" t="n">
        <v>-10526</v>
      </c>
      <c r="BC28" t="n">
        <v>-406</v>
      </c>
      <c r="BD28" t="n">
        <v>-3444</v>
      </c>
      <c r="BE28" t="n">
        <v>-2251</v>
      </c>
      <c r="BF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J29" s="5" t="n"/>
      <c r="AW29" t="inlineStr">
        <is>
          <t>Cash and cash equivalents at end of year</t>
        </is>
      </c>
      <c r="AY29" t="n">
        <v>39723</v>
      </c>
      <c r="AZ29" t="n">
        <v>38614</v>
      </c>
      <c r="BA29" t="n">
        <v>48966</v>
      </c>
      <c r="BB29" t="n">
        <v>55960</v>
      </c>
      <c r="BC29" t="n">
        <v>75201</v>
      </c>
      <c r="BD29" t="n">
        <v>66538</v>
      </c>
      <c r="BE29" t="n">
        <v>49712</v>
      </c>
      <c r="BF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c r="I33" s="6" t="n"/>
      <c r="J33" s="6" t="n"/>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c r="I34" s="6" t="n"/>
      <c r="J34" s="6" t="n"/>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c r="I35" s="6" t="n"/>
      <c r="J35" s="6" t="n"/>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c r="I36" s="6" t="n"/>
      <c r="J36" s="6" t="n"/>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c r="I37" s="6" t="n"/>
      <c r="J37" s="6" t="n"/>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5472</v>
      </c>
      <c r="C5" s="6" t="n">
        <v>4688</v>
      </c>
      <c r="D5" s="6" t="n">
        <v>7056</v>
      </c>
      <c r="E5" s="6" t="n">
        <v>6094</v>
      </c>
      <c r="F5" s="6" t="n">
        <v>5785</v>
      </c>
      <c r="G5" s="6" t="n">
        <v>1329</v>
      </c>
      <c r="H5" s="6" t="n">
        <v>3474</v>
      </c>
      <c r="I5" s="6" t="n">
        <v>6309</v>
      </c>
      <c r="J5" s="6" t="n"/>
    </row>
    <row r="6">
      <c r="A6" s="6" t="inlineStr">
        <is>
          <t>Change in operating assets</t>
        </is>
      </c>
      <c r="B6" s="6" t="n">
        <v>-22432</v>
      </c>
      <c r="C6" s="6" t="n">
        <v>-21996</v>
      </c>
      <c r="D6" s="6" t="n">
        <v>8923</v>
      </c>
      <c r="E6" s="6" t="n">
        <v>-2900</v>
      </c>
      <c r="F6" s="6" t="n">
        <v>5174</v>
      </c>
      <c r="G6" s="6" t="n">
        <v>-6856</v>
      </c>
      <c r="H6" s="6" t="n">
        <v>12872</v>
      </c>
      <c r="I6" s="6" t="n">
        <v>34216</v>
      </c>
      <c r="J6" s="6" t="n"/>
    </row>
    <row r="7">
      <c r="A7" s="6" t="inlineStr">
        <is>
          <t>Change in operating liabilities</t>
        </is>
      </c>
      <c r="B7" s="6" t="n">
        <v>15414</v>
      </c>
      <c r="C7" s="6" t="n">
        <v>4470</v>
      </c>
      <c r="D7" s="6" t="n">
        <v>-15325</v>
      </c>
      <c r="E7" s="6" t="n">
        <v>16894</v>
      </c>
      <c r="F7" s="6" t="n">
        <v>8110</v>
      </c>
      <c r="G7" s="6" t="n">
        <v>17841</v>
      </c>
      <c r="H7" s="6" t="n">
        <v>-5630</v>
      </c>
      <c r="I7" s="6" t="n">
        <v>-61433</v>
      </c>
      <c r="J7" s="6" t="n"/>
    </row>
    <row r="8">
      <c r="A8" s="6" t="inlineStr">
        <is>
          <t>Non-cash and other items</t>
        </is>
      </c>
      <c r="B8" s="6" t="n">
        <v>5889</v>
      </c>
      <c r="C8" s="6" t="n">
        <v>6051</v>
      </c>
      <c r="D8" s="6" t="n">
        <v>4818</v>
      </c>
      <c r="E8" s="6" t="n">
        <v>-129</v>
      </c>
      <c r="F8" s="6" t="n">
        <v>-661</v>
      </c>
      <c r="G8" s="6" t="n">
        <v>3484</v>
      </c>
      <c r="H8" s="6" t="n">
        <v>2150</v>
      </c>
      <c r="I8" s="6" t="n">
        <v>-1424</v>
      </c>
      <c r="J8" s="6" t="n"/>
    </row>
    <row r="9">
      <c r="A9" s="6" t="inlineStr">
        <is>
          <t>Tax paid/(refunded), net</t>
        </is>
      </c>
      <c r="B9" s="6" t="n">
        <v>-2157</v>
      </c>
      <c r="C9" s="6" t="n">
        <v>-462</v>
      </c>
      <c r="D9" s="6" t="n">
        <v>-1357</v>
      </c>
      <c r="E9" s="6" t="n">
        <v>-649</v>
      </c>
      <c r="F9" s="6" t="n">
        <v>-715</v>
      </c>
      <c r="G9" s="6" t="n">
        <v>-616</v>
      </c>
      <c r="H9" s="6" t="n">
        <v>-1232</v>
      </c>
      <c r="I9" s="6" t="n">
        <v>-1616</v>
      </c>
      <c r="J9" s="6" t="n"/>
    </row>
    <row r="10">
      <c r="A10" s="5" t="inlineStr">
        <is>
          <t>Net cash provided by/(used in) operating activities</t>
        </is>
      </c>
      <c r="B10" s="5" t="n">
        <v>2186</v>
      </c>
      <c r="C10" s="5" t="n">
        <v>-7249</v>
      </c>
      <c r="D10" s="5" t="n">
        <v>4115</v>
      </c>
      <c r="E10" s="5" t="n">
        <v>19310</v>
      </c>
      <c r="F10" s="5" t="n">
        <v>17693</v>
      </c>
      <c r="G10" s="5" t="n">
        <v>15182</v>
      </c>
      <c r="H10" s="5" t="n">
        <v>11634</v>
      </c>
      <c r="I10" s="5" t="n">
        <v>-23948</v>
      </c>
      <c r="J10" s="5" t="n"/>
    </row>
    <row r="11">
      <c r="A11" s="5" t="inlineStr">
        <is>
          <t>Investing activities</t>
        </is>
      </c>
      <c r="B11" s="6" t="n"/>
      <c r="C11" s="6" t="n"/>
      <c r="D11" s="6" t="n"/>
      <c r="E11" s="6" t="n"/>
      <c r="F11" s="6" t="n"/>
      <c r="G11" s="6" t="n"/>
      <c r="H11" s="6" t="n"/>
      <c r="I11" s="6" t="n"/>
      <c r="J11" s="6" t="n"/>
    </row>
    <row r="12">
      <c r="A12" s="6" t="inlineStr">
        <is>
          <t>Purchase of financial assets</t>
        </is>
      </c>
      <c r="B12" s="6" t="n">
        <v>-19761</v>
      </c>
      <c r="C12" s="6" t="n">
        <v>-10508</v>
      </c>
      <c r="D12" s="6" t="n">
        <v>-10303</v>
      </c>
      <c r="E12" s="6" t="n">
        <v>-7953</v>
      </c>
      <c r="F12" s="6" t="n">
        <v>-8885</v>
      </c>
      <c r="G12" s="6" t="n">
        <v>-8539</v>
      </c>
      <c r="H12" s="6" t="n">
        <v>-9108</v>
      </c>
      <c r="I12" s="6" t="n">
        <v>-12309</v>
      </c>
      <c r="J12" s="6" t="n"/>
    </row>
    <row r="13">
      <c r="A13" s="6" t="inlineStr">
        <is>
          <t>Proceeds from sale and maturity of financial assets</t>
        </is>
      </c>
      <c r="B13" s="6" t="n">
        <v>14296</v>
      </c>
      <c r="C13" s="6" t="n">
        <v>7053</v>
      </c>
      <c r="D13" s="6" t="n">
        <v>5289</v>
      </c>
      <c r="E13" s="6" t="n">
        <v>11041</v>
      </c>
      <c r="F13" s="6" t="n">
        <v>8134</v>
      </c>
      <c r="G13" s="6" t="n">
        <v>6225</v>
      </c>
      <c r="H13" s="6" t="n">
        <v>8847</v>
      </c>
      <c r="I13" s="6" t="n">
        <v>26863</v>
      </c>
      <c r="J13" s="6" t="n"/>
    </row>
    <row r="14">
      <c r="A14" s="6" t="inlineStr">
        <is>
          <t>Purchase of property, plant and equipment</t>
        </is>
      </c>
      <c r="B14" s="6" t="n">
        <v>-4454</v>
      </c>
      <c r="C14" s="6" t="n">
        <v>-3693</v>
      </c>
      <c r="D14" s="6" t="n">
        <v>-3489</v>
      </c>
      <c r="E14" s="6" t="n">
        <v>-3704</v>
      </c>
      <c r="F14" s="6" t="n">
        <v>-3102</v>
      </c>
      <c r="G14" s="6" t="n">
        <v>-2815</v>
      </c>
      <c r="H14" s="6" t="n">
        <v>-3552</v>
      </c>
      <c r="I14" s="6" t="n">
        <v>-3450</v>
      </c>
      <c r="J14" s="6" t="n"/>
    </row>
    <row r="15">
      <c r="A15" s="6" t="inlineStr">
        <is>
          <t>Proceeds from sale of property, plant and equipment</t>
        </is>
      </c>
      <c r="B15" s="6" t="n">
        <v>1528</v>
      </c>
      <c r="C15" s="6" t="n">
        <v>1183</v>
      </c>
      <c r="D15" s="6" t="n">
        <v>979</v>
      </c>
      <c r="E15" s="6" t="n">
        <v>871</v>
      </c>
      <c r="F15" s="6" t="n">
        <v>1028</v>
      </c>
      <c r="G15" s="6" t="n">
        <v>1063</v>
      </c>
      <c r="H15" s="6" t="n">
        <v>1258</v>
      </c>
      <c r="I15" s="6" t="n">
        <v>1262</v>
      </c>
      <c r="J15" s="6" t="n"/>
    </row>
    <row r="16">
      <c r="A16" s="6" t="inlineStr">
        <is>
          <t>Acquisitions of businesses, net of cash acquired</t>
        </is>
      </c>
      <c r="B16" s="6" t="n"/>
      <c r="C16" s="6" t="n"/>
      <c r="D16" s="6" t="n"/>
      <c r="E16" s="6" t="n"/>
      <c r="F16" s="6" t="n"/>
      <c r="G16" s="6" t="n"/>
      <c r="H16" s="6" t="n"/>
      <c r="I16" s="6" t="n">
        <v>-26</v>
      </c>
      <c r="J16" s="6" t="n"/>
    </row>
    <row r="17">
      <c r="A17" s="6" t="inlineStr">
        <is>
          <t>Disposals of businesses, net of cash disposed</t>
        </is>
      </c>
      <c r="B17" s="6" t="n"/>
      <c r="C17" s="6" t="n"/>
      <c r="D17" s="6" t="n"/>
      <c r="E17" s="6" t="n"/>
      <c r="F17" s="6" t="n"/>
      <c r="G17" s="6" t="n"/>
      <c r="H17" s="6" t="n">
        <v>107</v>
      </c>
      <c r="I17" s="6" t="n">
        <v>8604</v>
      </c>
      <c r="J17" s="6" t="n"/>
    </row>
    <row r="18">
      <c r="A18" s="5" t="inlineStr">
        <is>
          <t>Net cash used in investing activities</t>
        </is>
      </c>
      <c r="B18" s="5" t="n">
        <v>-9635</v>
      </c>
      <c r="C18" s="5" t="n">
        <v>-7203</v>
      </c>
      <c r="D18" s="5" t="n">
        <v>-9290</v>
      </c>
      <c r="E18" s="5" t="n">
        <v>255</v>
      </c>
      <c r="F18" s="5" t="n">
        <v>-2828</v>
      </c>
      <c r="G18" s="5" t="n">
        <v>-4066</v>
      </c>
      <c r="H18" s="5" t="n">
        <v>-2448</v>
      </c>
      <c r="I18" s="5" t="n">
        <v>20944</v>
      </c>
      <c r="J18" s="5" t="n"/>
    </row>
    <row r="19">
      <c r="A19" s="5" t="inlineStr">
        <is>
          <t>Financing activities</t>
        </is>
      </c>
      <c r="B19" s="6" t="n"/>
      <c r="C19" s="6" t="n"/>
      <c r="D19" s="6" t="n"/>
      <c r="E19" s="6" t="n"/>
      <c r="F19" s="6" t="n"/>
      <c r="G19" s="6" t="n"/>
      <c r="H19" s="6" t="n"/>
      <c r="I19" s="6" t="n"/>
      <c r="J19" s="6" t="n"/>
    </row>
    <row r="20">
      <c r="A20" s="6" t="inlineStr">
        <is>
          <t>Dividends and distributions paid</t>
        </is>
      </c>
      <c r="B20" s="6" t="n">
        <v>-2810</v>
      </c>
      <c r="C20" s="6" t="n">
        <v>-4353</v>
      </c>
      <c r="D20" s="6" t="n">
        <v>-5034</v>
      </c>
      <c r="E20" s="6" t="n">
        <v>-582</v>
      </c>
      <c r="F20" s="6" t="n">
        <v>-3244</v>
      </c>
      <c r="G20" s="6" t="n">
        <v>-424</v>
      </c>
      <c r="H20" s="6" t="n">
        <v>-4419</v>
      </c>
      <c r="I20" s="6" t="n">
        <v>-11333</v>
      </c>
      <c r="J20" s="6" t="n"/>
    </row>
    <row r="21">
      <c r="A21" s="6" t="inlineStr">
        <is>
          <t>Issue of subordinated liabilities and other equity</t>
        </is>
      </c>
      <c r="B21" s="6" t="n">
        <v>3261</v>
      </c>
      <c r="C21" s="6" t="n">
        <v>1554</v>
      </c>
      <c r="D21" s="6" t="n">
        <v>1415</v>
      </c>
      <c r="E21" s="6" t="n">
        <v>837</v>
      </c>
      <c r="F21" s="6" t="n">
        <v>3262</v>
      </c>
      <c r="G21" s="6" t="n">
        <v>1373</v>
      </c>
      <c r="H21" s="6" t="n">
        <v>2428</v>
      </c>
      <c r="I21" s="6" t="n">
        <v>201</v>
      </c>
      <c r="J21" s="6" t="n"/>
    </row>
    <row r="22">
      <c r="A22" s="6" t="inlineStr">
        <is>
          <t>Repayments/redemptions of capital instruments</t>
        </is>
      </c>
      <c r="B22" s="6" t="n">
        <v>-2671</v>
      </c>
      <c r="C22" s="6" t="n">
        <v>-500</v>
      </c>
      <c r="D22" s="6" t="n">
        <v>-251</v>
      </c>
      <c r="E22" s="6" t="n">
        <v>-2216</v>
      </c>
      <c r="F22" s="6" t="n">
        <v>-3745</v>
      </c>
      <c r="G22" s="6" t="n">
        <v>-5012</v>
      </c>
      <c r="H22" s="6" t="n">
        <v>-1673</v>
      </c>
      <c r="I22" s="6" t="n">
        <v>-6262</v>
      </c>
      <c r="J22" s="6" t="n"/>
    </row>
    <row r="23">
      <c r="A23" s="6" t="inlineStr">
        <is>
          <t>Net borrowings from/(repayments to) parent</t>
        </is>
      </c>
      <c r="B23" s="6" t="n">
        <v>992</v>
      </c>
      <c r="C23" s="6" t="n">
        <v>1415</v>
      </c>
      <c r="D23" s="6" t="n">
        <v>1011</v>
      </c>
      <c r="E23" s="6" t="n">
        <v>1852</v>
      </c>
      <c r="F23" s="6" t="n">
        <v>-4353</v>
      </c>
      <c r="G23" s="6" t="n">
        <v>3298</v>
      </c>
      <c r="H23" s="6" t="n">
        <v>-6628</v>
      </c>
      <c r="I23" s="6" t="n">
        <v>-864</v>
      </c>
      <c r="J23" s="6" t="n"/>
    </row>
    <row r="24">
      <c r="A24" s="5" t="inlineStr">
        <is>
          <t>Net cash used in financing activities</t>
        </is>
      </c>
      <c r="B24" s="5" t="n">
        <v>-1807</v>
      </c>
      <c r="C24" s="5" t="n">
        <v>-2251</v>
      </c>
      <c r="D24" s="5" t="n">
        <v>-3444</v>
      </c>
      <c r="E24" s="5" t="n">
        <v>-406</v>
      </c>
      <c r="F24" s="5" t="n">
        <v>-10526</v>
      </c>
      <c r="G24" s="5" t="n">
        <v>-765</v>
      </c>
      <c r="H24" s="5" t="n">
        <v>-10292</v>
      </c>
      <c r="I24" s="5" t="n">
        <v>-18258</v>
      </c>
      <c r="J24" s="5" t="n"/>
    </row>
    <row r="25">
      <c r="A25" s="6" t="inlineStr">
        <is>
          <t>Effects of exchange rate changes</t>
        </is>
      </c>
      <c r="B25" s="6" t="n">
        <v>143</v>
      </c>
      <c r="C25" s="6" t="n">
        <v>-123</v>
      </c>
      <c r="D25" s="6" t="n">
        <v>-44</v>
      </c>
      <c r="E25" s="6" t="n">
        <v>82</v>
      </c>
      <c r="F25" s="6" t="n">
        <v>-1</v>
      </c>
      <c r="G25" s="6" t="n">
        <v>1</v>
      </c>
      <c r="H25" s="6" t="n">
        <v>-3</v>
      </c>
      <c r="I25" s="6" t="n">
        <v>3</v>
      </c>
      <c r="J25" s="6" t="n"/>
    </row>
    <row r="26">
      <c r="A26" s="5" t="inlineStr">
        <is>
          <t>Change in cash and cash equivalents</t>
        </is>
      </c>
      <c r="B26" s="5" t="n">
        <v>-9113</v>
      </c>
      <c r="C26" s="5" t="n">
        <v>-16826</v>
      </c>
      <c r="D26" s="5" t="n">
        <v>-8663</v>
      </c>
      <c r="E26" s="5" t="n">
        <v>19241</v>
      </c>
      <c r="F26" s="5" t="n">
        <v>4338</v>
      </c>
      <c r="G26" s="5" t="n">
        <v>10352</v>
      </c>
      <c r="H26" s="5" t="n">
        <v>-1109</v>
      </c>
      <c r="I26" s="5" t="n">
        <v>-21259</v>
      </c>
      <c r="J26" s="5" t="n"/>
    </row>
    <row r="27">
      <c r="A27" s="6" t="inlineStr">
        <is>
          <t>Cash and cash equivalents at beginning of year</t>
        </is>
      </c>
      <c r="B27" s="6" t="n">
        <v>49712</v>
      </c>
      <c r="C27" s="6" t="n">
        <v>66538</v>
      </c>
      <c r="D27" s="6" t="n">
        <v>75201</v>
      </c>
      <c r="E27" s="6" t="n">
        <v>55960</v>
      </c>
      <c r="F27" s="6" t="n">
        <v>51622</v>
      </c>
      <c r="G27" s="6" t="n">
        <v>38614</v>
      </c>
      <c r="H27" s="6" t="n">
        <v>39723</v>
      </c>
      <c r="I27" s="6" t="n">
        <v>60982</v>
      </c>
      <c r="J27" s="6" t="n"/>
    </row>
    <row r="28">
      <c r="A28" s="5" t="inlineStr">
        <is>
          <t>Cash and cash equivalents at end of year</t>
        </is>
      </c>
      <c r="B28" s="5" t="n">
        <v>40599</v>
      </c>
      <c r="C28" s="5" t="n">
        <v>49712</v>
      </c>
      <c r="D28" s="5" t="n">
        <v>66538</v>
      </c>
      <c r="E28" s="5" t="n">
        <v>75201</v>
      </c>
      <c r="F28" s="5" t="n">
        <v>55960</v>
      </c>
      <c r="G28" s="5" t="n">
        <v>48966</v>
      </c>
      <c r="H28" s="5" t="n">
        <v>38614</v>
      </c>
      <c r="I28" s="5" t="n">
        <v>39723</v>
      </c>
      <c r="J28" s="5" t="n"/>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J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Group loans and advances to customers, by IFRS 9 stage</t>
        </is>
      </c>
      <c r="B4" s="6" t="n"/>
      <c r="C4" s="6" t="n"/>
      <c r="D4" s="6" t="n"/>
      <c r="E4" s="6" t="n"/>
      <c r="F4" s="6" t="n"/>
      <c r="G4" s="6" t="n"/>
      <c r="H4" s="6" t="n"/>
      <c r="I4" s="6" t="n"/>
      <c r="J4" s="6" t="n"/>
    </row>
    <row r="5">
      <c r="A5" s="6" t="inlineStr">
        <is>
          <t>Stage 1</t>
        </is>
      </c>
      <c r="B5" s="6" t="n">
        <v>410428</v>
      </c>
      <c r="C5" s="6" t="n">
        <v>387517</v>
      </c>
      <c r="D5" s="6" t="n">
        <v>368859</v>
      </c>
      <c r="E5" s="6" t="n">
        <v>362766</v>
      </c>
      <c r="F5" s="6" t="n">
        <v>429078</v>
      </c>
      <c r="G5" s="6" t="n">
        <v>415608</v>
      </c>
      <c r="H5" s="6" t="n">
        <v>429767</v>
      </c>
      <c r="I5" s="6" t="n">
        <v>420968</v>
      </c>
      <c r="J5" s="6" t="n"/>
    </row>
    <row r="6">
      <c r="A6" s="6" t="inlineStr">
        <is>
          <t>Stage 2</t>
        </is>
      </c>
      <c r="B6" s="6" t="n">
        <v>42482</v>
      </c>
      <c r="C6" s="6" t="n">
        <v>44658</v>
      </c>
      <c r="D6" s="6" t="n">
        <v>52973</v>
      </c>
      <c r="E6" s="6" t="n">
        <v>60103</v>
      </c>
      <c r="F6" s="6" t="n">
        <v>34884</v>
      </c>
      <c r="G6" s="6" t="n">
        <v>51280</v>
      </c>
      <c r="H6" s="6" t="n">
        <v>28505</v>
      </c>
      <c r="I6" s="6" t="n">
        <v>25308</v>
      </c>
      <c r="J6" s="6" t="n"/>
    </row>
    <row r="7">
      <c r="A7" s="6" t="inlineStr">
        <is>
          <t>Stage 3</t>
        </is>
      </c>
      <c r="B7" s="6" t="n">
        <v>6519</v>
      </c>
      <c r="C7" s="6" t="n">
        <v>6708</v>
      </c>
      <c r="D7" s="6" t="n">
        <v>7131</v>
      </c>
      <c r="E7" s="6" t="n">
        <v>7611</v>
      </c>
      <c r="F7" s="6" t="n">
        <v>6406</v>
      </c>
      <c r="G7" s="6" t="n">
        <v>6443</v>
      </c>
      <c r="H7" s="6" t="n">
        <v>5647</v>
      </c>
      <c r="I7" s="6" t="n">
        <v>5397</v>
      </c>
      <c r="J7" s="6" t="n"/>
    </row>
    <row r="8">
      <c r="A8" s="6" t="inlineStr">
        <is>
          <t>Purchased or originated credit-impaired (POCI)</t>
        </is>
      </c>
      <c r="B8" s="6" t="n">
        <v>5076</v>
      </c>
      <c r="C8" s="6" t="n">
        <v>6207</v>
      </c>
      <c r="D8" s="6" t="n">
        <v>7854</v>
      </c>
      <c r="E8" s="6" t="n">
        <v>9622</v>
      </c>
      <c r="F8" s="6" t="n">
        <v>10977</v>
      </c>
      <c r="G8" s="6" t="n">
        <v>12511</v>
      </c>
      <c r="H8" s="6" t="n">
        <v>13714</v>
      </c>
      <c r="I8" s="6" t="n">
        <v>15391</v>
      </c>
      <c r="J8" s="6" t="n"/>
    </row>
    <row r="9">
      <c r="A9" s="5" t="inlineStr">
        <is>
          <t>Total gross lending</t>
        </is>
      </c>
      <c r="B9" s="5" t="n">
        <v>464505</v>
      </c>
      <c r="C9" s="5" t="n">
        <v>445090</v>
      </c>
      <c r="D9" s="5" t="n">
        <v>436817</v>
      </c>
      <c r="E9" s="5" t="n">
        <v>440102</v>
      </c>
      <c r="F9" s="5" t="n">
        <v>481345</v>
      </c>
      <c r="G9" s="5" t="n">
        <v>485842</v>
      </c>
      <c r="H9" s="5" t="n">
        <v>477633</v>
      </c>
      <c r="I9" s="5" t="n">
        <v>467064</v>
      </c>
      <c r="J9" s="5" t="n"/>
    </row>
    <row r="10">
      <c r="A10" s="6" t="inlineStr">
        <is>
          <t>ECL allowance on drawn balances</t>
        </is>
      </c>
      <c r="B10" s="6" t="n">
        <v>-3001</v>
      </c>
      <c r="C10" s="6" t="n">
        <v>-3183</v>
      </c>
      <c r="D10" s="6" t="n">
        <v>-3693</v>
      </c>
      <c r="E10" s="6" t="n">
        <v>-4475</v>
      </c>
      <c r="F10" s="6" t="n">
        <v>-3804</v>
      </c>
      <c r="G10" s="6" t="n">
        <v>-5701</v>
      </c>
      <c r="H10" s="6" t="n">
        <v>-3163</v>
      </c>
      <c r="I10" s="6" t="n">
        <v>-3020</v>
      </c>
      <c r="J10" s="6" t="n"/>
    </row>
    <row r="11">
      <c r="A11" s="5" t="inlineStr">
        <is>
          <t>Net balance sheet carrying value</t>
        </is>
      </c>
      <c r="B11" s="5" t="n">
        <v>461504</v>
      </c>
      <c r="C11" s="5" t="n">
        <v>441907</v>
      </c>
      <c r="D11" s="5" t="n">
        <v>433124</v>
      </c>
      <c r="E11" s="5" t="n">
        <v>435627</v>
      </c>
      <c r="F11" s="5" t="n">
        <v>477541</v>
      </c>
      <c r="G11" s="5" t="n">
        <v>480141</v>
      </c>
      <c r="H11" s="5" t="n">
        <v>474470</v>
      </c>
      <c r="I11" s="5" t="n">
        <v>464044</v>
      </c>
      <c r="J11" s="5" t="n"/>
    </row>
    <row r="12">
      <c r="A12" s="6" t="inlineStr">
        <is>
          <t>Total customer-related ECL allowance (drawn and undrawn)</t>
        </is>
      </c>
      <c r="B12" s="6" t="n">
        <v>3196</v>
      </c>
      <c r="C12" s="6" t="n">
        <v>3448</v>
      </c>
      <c r="D12" s="6" t="n">
        <v>4007</v>
      </c>
      <c r="E12" s="6" t="n">
        <v>4779</v>
      </c>
      <c r="F12" s="6" t="n"/>
      <c r="G12" s="6" t="n"/>
      <c r="H12" s="6" t="n"/>
      <c r="I12" s="6" t="n"/>
      <c r="J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c r="J13" s="6" t="n"/>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c r="J14" s="6" t="n"/>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c r="J15" s="6" t="n"/>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Capital</t>
        </is>
      </c>
      <c r="B4" s="6" t="n">
        <v>26468</v>
      </c>
      <c r="C4" s="6" t="n">
        <v>25610</v>
      </c>
      <c r="D4" s="6" t="n">
        <v>26220</v>
      </c>
      <c r="E4" s="6" t="n">
        <v>25926</v>
      </c>
      <c r="F4" s="6" t="n">
        <v>26904</v>
      </c>
      <c r="G4" s="6" t="n">
        <v>26567</v>
      </c>
      <c r="H4" s="6" t="n">
        <v>24637</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31835</v>
      </c>
      <c r="C4" s="6" t="n">
        <v>31305</v>
      </c>
      <c r="D4" s="6" t="n">
        <v>31238</v>
      </c>
      <c r="E4" s="6" t="n">
        <v>30194</v>
      </c>
      <c r="F4" s="6" t="n">
        <v>31853</v>
      </c>
      <c r="G4" s="6" t="n">
        <v>33862</v>
      </c>
      <c r="H4" s="6" t="n">
        <v>31542</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38995</v>
      </c>
      <c r="C4" s="6" t="n">
        <v>37214</v>
      </c>
      <c r="D4" s="6" t="n">
        <v>37402</v>
      </c>
      <c r="E4" s="6" t="n">
        <v>35815</v>
      </c>
      <c r="F4" s="6" t="n">
        <v>37909</v>
      </c>
      <c r="G4" s="6" t="n">
        <v>40163</v>
      </c>
      <c r="H4" s="6" t="n">
        <v>37976</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RWAs</t>
        </is>
      </c>
      <c r="B4" s="6" t="n">
        <v>194300</v>
      </c>
      <c r="C4" s="6" t="n">
        <v>186996</v>
      </c>
      <c r="D4" s="6" t="n">
        <v>182560</v>
      </c>
      <c r="E4" s="6" t="n">
        <v>174902</v>
      </c>
      <c r="F4" s="6" t="n">
        <v>161576</v>
      </c>
      <c r="G4" s="6" t="n">
        <v>170862</v>
      </c>
      <c r="H4" s="6" t="n">
        <v>171940</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158922</v>
      </c>
      <c r="C4" s="6" t="n">
        <v>151614</v>
      </c>
      <c r="D4" s="6" t="n">
        <v>147061</v>
      </c>
      <c r="E4" s="6" t="n">
        <v>144602</v>
      </c>
      <c r="F4" s="6" t="n">
        <v>129643</v>
      </c>
      <c r="G4" s="6" t="n">
        <v>137461</v>
      </c>
      <c r="H4" s="6" t="n">
        <v>138990</v>
      </c>
      <c r="I4" s="6" t="n"/>
      <c r="J4" s="6" t="n"/>
    </row>
    <row r="5">
      <c r="A5" s="6" t="inlineStr">
        <is>
          <t>Counterparty credit risk (CCR)</t>
        </is>
      </c>
      <c r="B5" s="6" t="n">
        <v>1386</v>
      </c>
      <c r="C5" s="6" t="n">
        <v>1363</v>
      </c>
      <c r="D5" s="6" t="n">
        <v>1329</v>
      </c>
      <c r="E5" s="6" t="n">
        <v>1115</v>
      </c>
      <c r="F5" s="6" t="n">
        <v>1464</v>
      </c>
      <c r="G5" s="6" t="n">
        <v>2488</v>
      </c>
      <c r="H5" s="6" t="n">
        <v>2102</v>
      </c>
      <c r="I5" s="6" t="n"/>
      <c r="J5" s="6" t="n"/>
    </row>
    <row r="6">
      <c r="A6" s="6" t="inlineStr">
        <is>
          <t>Securitisation exposures in the non-trading/banking book (after the cap)</t>
        </is>
      </c>
      <c r="B6" s="6" t="n">
        <v>7777</v>
      </c>
      <c r="C6" s="6" t="n">
        <v>7648</v>
      </c>
      <c r="D6" s="6" t="n">
        <v>8246</v>
      </c>
      <c r="E6" s="6" t="n">
        <v>5899</v>
      </c>
      <c r="F6" s="6" t="n">
        <v>5373</v>
      </c>
      <c r="G6" s="6" t="n">
        <v>5116</v>
      </c>
      <c r="H6" s="6" t="n">
        <v>4497</v>
      </c>
      <c r="I6" s="6" t="n"/>
      <c r="J6" s="6" t="n"/>
    </row>
    <row r="7">
      <c r="A7" s="6" t="inlineStr">
        <is>
          <t>Position, foreign exchange and commodities risks (Market risk)</t>
        </is>
      </c>
      <c r="B7" s="6" t="n">
        <v>177</v>
      </c>
      <c r="C7" s="6" t="n">
        <v>292</v>
      </c>
      <c r="D7" s="6" t="n">
        <v>319</v>
      </c>
      <c r="E7" s="6" t="n">
        <v>82</v>
      </c>
      <c r="F7" s="6" t="n">
        <v>203</v>
      </c>
      <c r="G7" s="6" t="n">
        <v>210</v>
      </c>
      <c r="H7" s="6" t="n">
        <v>171</v>
      </c>
      <c r="I7" s="6" t="n"/>
      <c r="J7" s="6" t="n"/>
    </row>
    <row r="8">
      <c r="A8" s="6" t="inlineStr">
        <is>
          <t>Operational risk</t>
        </is>
      </c>
      <c r="B8" s="6" t="n">
        <v>26038</v>
      </c>
      <c r="C8" s="6" t="n">
        <v>26079</v>
      </c>
      <c r="D8" s="6" t="n">
        <v>25605</v>
      </c>
      <c r="E8" s="6" t="n">
        <v>23204</v>
      </c>
      <c r="F8" s="6" t="n">
        <v>22575</v>
      </c>
      <c r="G8" s="6" t="n">
        <v>23307</v>
      </c>
      <c r="H8" s="6" t="n">
        <v>24413</v>
      </c>
      <c r="I8" s="6" t="n"/>
      <c r="J8" s="6" t="n"/>
    </row>
    <row r="9">
      <c r="A9" s="6" t="inlineStr">
        <is>
          <t>Memo: Amounts below the thresholds for deduction (subject to 250% risk weight)</t>
        </is>
      </c>
      <c r="B9" s="6" t="n">
        <v>747</v>
      </c>
      <c r="C9" s="6" t="n">
        <v>1211</v>
      </c>
      <c r="D9" s="6" t="n">
        <v>1424</v>
      </c>
      <c r="E9" s="6" t="n">
        <v>1864</v>
      </c>
      <c r="F9" s="6" t="n">
        <v>2318</v>
      </c>
      <c r="G9" s="6" t="n">
        <v>2280</v>
      </c>
      <c r="H9" s="6" t="n">
        <v>1767</v>
      </c>
      <c r="I9" s="6" t="n"/>
      <c r="J9" s="6" t="n"/>
    </row>
    <row r="10">
      <c r="A10" s="5" t="inlineStr">
        <is>
          <t>Total</t>
        </is>
      </c>
      <c r="B10" s="5" t="n">
        <v>194300</v>
      </c>
      <c r="C10" s="5" t="n">
        <v>186996</v>
      </c>
      <c r="D10" s="5" t="n">
        <v>182560</v>
      </c>
      <c r="E10" s="5" t="n">
        <v>174902</v>
      </c>
      <c r="F10" s="5" t="n">
        <v>161576</v>
      </c>
      <c r="G10" s="5" t="n">
        <v>170862</v>
      </c>
      <c r="H10" s="5" t="n">
        <v>171940</v>
      </c>
      <c r="I10" s="5" t="n"/>
      <c r="J10" s="5" t="n"/>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NSFR</t>
        </is>
      </c>
      <c r="B4" s="6" t="inlineStr">
        <is>
          <t>119%</t>
        </is>
      </c>
      <c r="C4" s="6" t="inlineStr">
        <is>
          <t>124%</t>
        </is>
      </c>
      <c r="D4" s="6" t="inlineStr">
        <is>
          <t>126%</t>
        </is>
      </c>
      <c r="E4" s="6" t="n"/>
      <c r="F4" s="6" t="n"/>
      <c r="G4" s="6" t="n"/>
      <c r="H4" s="6" t="n"/>
      <c r="I4" s="6" t="n"/>
      <c r="J4" s="6" t="n"/>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A numeric MREL ratio for Lloyds Bank plc Group was not disclosed in the reviewed Lloyds Bank plc year-end reports; parent-level or instrument data is not substituted.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2026-09-16T00:50:20Z</dcterms:created>
  <dcterms:modified xmlns:dcterms="http://purl.org/dc/terms/" xmlns:xsi="http://www.w3.org/2001/XMLSchema-instance" xsi:type="dcterms:W3CDTF">2026-09-16T00:50:20Z</dcterms:modified>
</cp:coreProperties>
</file>