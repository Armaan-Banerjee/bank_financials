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E5395"/>
        <bgColor rgb="002E539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ICBC (London)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ICBC (London)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ICBC (London)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ICBC (London)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ser>
          <idx val="3"/>
          <order val="3"/>
          <tx>
            <strRef>
              <f>'Overview'!AG28</f>
            </strRef>
          </tx>
          <spPr>
            <a:ln xmlns:a="http://schemas.openxmlformats.org/drawingml/2006/main">
              <a:prstDash val="solid"/>
            </a:ln>
          </spPr>
          <cat>
            <numRef>
              <f>'Overview'!$AH$24:$AL$24</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ICBC (London)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ICBC (London)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2393946</v>
      </c>
      <c r="C6" s="5" t="n">
        <v>1702129</v>
      </c>
      <c r="D6" s="5" t="n">
        <v>1514720</v>
      </c>
      <c r="E6" s="5" t="n">
        <v>1538139</v>
      </c>
      <c r="F6" s="5" t="n">
        <v>1420688</v>
      </c>
      <c r="I6" t="inlineStr">
        <is>
          <t>Total Assets</t>
        </is>
      </c>
      <c r="J6" t="n">
        <v>1420688</v>
      </c>
      <c r="K6" t="n">
        <v>1538139</v>
      </c>
      <c r="L6" t="n">
        <v>1514720</v>
      </c>
      <c r="M6" t="n">
        <v>1702129</v>
      </c>
      <c r="N6" t="n">
        <v>2393946</v>
      </c>
      <c r="AO6" t="inlineStr">
        <is>
          <t>CET1 Ratio</t>
        </is>
      </c>
      <c r="AR6" t="n">
        <v>56.3</v>
      </c>
      <c r="AS6" t="n">
        <v>70.16</v>
      </c>
      <c r="AT6" t="n">
        <v>81.09</v>
      </c>
    </row>
    <row r="7">
      <c r="A7" s="5" t="inlineStr">
        <is>
          <t>Loans and advances to customers</t>
        </is>
      </c>
      <c r="B7" s="5" t="n">
        <v>413326</v>
      </c>
      <c r="C7" s="5" t="n">
        <v>336256</v>
      </c>
      <c r="D7" s="5" t="n">
        <v>429281</v>
      </c>
      <c r="E7" s="5" t="n">
        <v>331484</v>
      </c>
      <c r="F7" s="5" t="n">
        <v>128348</v>
      </c>
      <c r="I7" t="inlineStr">
        <is>
          <t>Loans and advances to customers</t>
        </is>
      </c>
      <c r="J7" t="n">
        <v>128348</v>
      </c>
      <c r="K7" t="n">
        <v>331484</v>
      </c>
      <c r="L7" t="n">
        <v>429281</v>
      </c>
      <c r="M7" t="n">
        <v>336256</v>
      </c>
      <c r="N7" t="n">
        <v>413326</v>
      </c>
      <c r="AO7" t="inlineStr">
        <is>
          <t>Tier 1 Ratio</t>
        </is>
      </c>
      <c r="AR7" t="n">
        <v>56.3</v>
      </c>
      <c r="AS7" t="n">
        <v>70.16</v>
      </c>
      <c r="AT7" t="n">
        <v>81.09</v>
      </c>
    </row>
    <row r="8">
      <c r="A8" s="5" t="inlineStr">
        <is>
          <t>Customer accounts</t>
        </is>
      </c>
      <c r="B8" s="5" t="n">
        <v>160911</v>
      </c>
      <c r="C8" s="5" t="n">
        <v>165625</v>
      </c>
      <c r="D8" s="5" t="n">
        <v>244297</v>
      </c>
      <c r="E8" s="5" t="n">
        <v>247933</v>
      </c>
      <c r="F8" s="5" t="n">
        <v>530469</v>
      </c>
      <c r="I8" t="inlineStr">
        <is>
          <t>Customer accounts</t>
        </is>
      </c>
      <c r="J8" t="n">
        <v>530469</v>
      </c>
      <c r="K8" t="n">
        <v>247933</v>
      </c>
      <c r="L8" t="n">
        <v>244297</v>
      </c>
      <c r="M8" t="n">
        <v>165625</v>
      </c>
      <c r="N8" t="n">
        <v>160911</v>
      </c>
      <c r="AO8" t="inlineStr">
        <is>
          <t>Total Capital Ratio</t>
        </is>
      </c>
      <c r="AR8" t="n">
        <v>56.3</v>
      </c>
      <c r="AS8" t="n">
        <v>70.16</v>
      </c>
      <c r="AT8" t="n">
        <v>81.09</v>
      </c>
    </row>
    <row r="9">
      <c r="A9" s="5" t="inlineStr">
        <is>
          <t>Total Share Capital and Reserves</t>
        </is>
      </c>
      <c r="B9" s="5" t="n">
        <v>591416</v>
      </c>
      <c r="C9" s="5" t="n">
        <v>544650</v>
      </c>
      <c r="D9" s="5" t="n">
        <v>501030</v>
      </c>
      <c r="E9" s="5" t="n">
        <v>467879</v>
      </c>
      <c r="F9" s="5" t="n">
        <v>467598</v>
      </c>
      <c r="I9" t="inlineStr">
        <is>
          <t>Total Share Capital and Reserves</t>
        </is>
      </c>
      <c r="J9" t="n">
        <v>467598</v>
      </c>
      <c r="K9" t="n">
        <v>467879</v>
      </c>
      <c r="L9" t="n">
        <v>501030</v>
      </c>
      <c r="M9" t="n">
        <v>544650</v>
      </c>
      <c r="N9" t="n">
        <v>591416</v>
      </c>
      <c r="AO9" t="inlineStr">
        <is>
          <t>Leverage Ratio</t>
        </is>
      </c>
      <c r="AR9" t="n">
        <v>35.41</v>
      </c>
      <c r="AS9" t="n">
        <v>33.77</v>
      </c>
      <c r="AT9" t="n">
        <v>47.48</v>
      </c>
    </row>
    <row r="10">
      <c r="AO10" t="inlineStr">
        <is>
          <t>LCR</t>
        </is>
      </c>
      <c r="AR10" t="n">
        <v>282.28</v>
      </c>
      <c r="AS10" t="n">
        <v>175.13</v>
      </c>
      <c r="AT10" t="n">
        <v>143.7</v>
      </c>
    </row>
    <row r="11">
      <c r="A11" s="3" t="inlineStr">
        <is>
          <t>Profit &amp; Loss Summary ($'000)</t>
        </is>
      </c>
      <c r="AO11" t="inlineStr">
        <is>
          <t>NSFR</t>
        </is>
      </c>
      <c r="AR11" t="n">
        <v>135.79</v>
      </c>
      <c r="AS11" t="n">
        <v>149.33</v>
      </c>
      <c r="AT11" t="n">
        <v>173.34</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68820</v>
      </c>
      <c r="C13" s="5" t="n">
        <v>65404</v>
      </c>
      <c r="D13" s="5" t="n">
        <v>43392</v>
      </c>
      <c r="E13" s="5" t="n">
        <v>25279</v>
      </c>
      <c r="F13" s="5" t="n">
        <v>23221</v>
      </c>
      <c r="Q13" t="inlineStr">
        <is>
          <t>Total operating income</t>
        </is>
      </c>
      <c r="R13" t="n">
        <v>23221</v>
      </c>
      <c r="S13" t="n">
        <v>25279</v>
      </c>
      <c r="T13" t="n">
        <v>43392</v>
      </c>
      <c r="U13" t="n">
        <v>65404</v>
      </c>
      <c r="V13" t="n">
        <v>68820</v>
      </c>
    </row>
    <row r="14">
      <c r="A14" s="5" t="inlineStr">
        <is>
          <t>Operating expenses</t>
        </is>
      </c>
      <c r="B14" s="5" t="n">
        <v>-11513</v>
      </c>
      <c r="C14" s="5" t="n">
        <v>-10875</v>
      </c>
      <c r="D14" s="5" t="n">
        <v>-10005</v>
      </c>
      <c r="E14" s="5" t="n">
        <v>-10609</v>
      </c>
      <c r="F14" s="5" t="n">
        <v>-3425</v>
      </c>
      <c r="Q14" t="inlineStr">
        <is>
          <t>Operating expenses</t>
        </is>
      </c>
      <c r="R14" t="n">
        <v>-3425</v>
      </c>
      <c r="S14" t="n">
        <v>-10609</v>
      </c>
      <c r="T14" t="n">
        <v>-10005</v>
      </c>
      <c r="U14" t="n">
        <v>-10875</v>
      </c>
      <c r="V14" t="n">
        <v>-11513</v>
      </c>
    </row>
    <row r="15">
      <c r="A15" s="5" t="inlineStr">
        <is>
          <t>Profit for the financial year</t>
        </is>
      </c>
      <c r="B15" s="5" t="n">
        <v>42880</v>
      </c>
      <c r="C15" s="5" t="n">
        <v>39663</v>
      </c>
      <c r="D15" s="5" t="n">
        <v>26135</v>
      </c>
      <c r="E15" s="5" t="n">
        <v>11367</v>
      </c>
      <c r="F15" s="5" t="n">
        <v>15516</v>
      </c>
      <c r="Q15" t="inlineStr">
        <is>
          <t>Profit for the financial year</t>
        </is>
      </c>
      <c r="R15" t="n">
        <v>15516</v>
      </c>
      <c r="S15" t="n">
        <v>11367</v>
      </c>
      <c r="T15" t="n">
        <v>26135</v>
      </c>
      <c r="U15" t="n">
        <v>39663</v>
      </c>
      <c r="V15" t="n">
        <v>42880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544650</v>
      </c>
      <c r="C19" s="5" t="n">
        <v>501030</v>
      </c>
      <c r="D19" s="5" t="n">
        <v>467879</v>
      </c>
      <c r="E19" s="5" t="n">
        <v>467598</v>
      </c>
      <c r="F19" s="5" t="n">
        <v>456485</v>
      </c>
      <c r="Y19" t="inlineStr">
        <is>
          <t>Opening equity</t>
        </is>
      </c>
      <c r="Z19" t="n">
        <v>456485</v>
      </c>
      <c r="AA19" t="n">
        <v>467598</v>
      </c>
      <c r="AB19" t="n">
        <v>467879</v>
      </c>
      <c r="AC19" t="n">
        <v>501030</v>
      </c>
      <c r="AD19" t="n">
        <v>544650</v>
      </c>
    </row>
    <row r="20">
      <c r="A20" s="5" t="inlineStr">
        <is>
          <t>Total comprehensive income for the year</t>
        </is>
      </c>
      <c r="B20" s="5" t="n">
        <v>46766</v>
      </c>
      <c r="C20" s="5" t="n">
        <v>43620</v>
      </c>
      <c r="D20" s="5" t="n">
        <v>33151</v>
      </c>
      <c r="E20" s="5" t="n">
        <v>281</v>
      </c>
      <c r="F20" s="5" t="n">
        <v>11113</v>
      </c>
      <c r="Y20" t="inlineStr">
        <is>
          <t>Total comprehensive income for the year</t>
        </is>
      </c>
      <c r="Z20" t="n">
        <v>11113</v>
      </c>
      <c r="AA20" t="n">
        <v>281</v>
      </c>
      <c r="AB20" t="n">
        <v>33151</v>
      </c>
      <c r="AC20" t="n">
        <v>43620</v>
      </c>
      <c r="AD20" t="n">
        <v>46766</v>
      </c>
    </row>
    <row r="21">
      <c r="A21" s="5" t="inlineStr">
        <is>
          <t>Closing equity</t>
        </is>
      </c>
      <c r="B21" s="5" t="n">
        <v>591416</v>
      </c>
      <c r="C21" s="5" t="n">
        <v>544650</v>
      </c>
      <c r="D21" s="5" t="n">
        <v>501030</v>
      </c>
      <c r="E21" s="5" t="n">
        <v>467879</v>
      </c>
      <c r="F21" s="5" t="n">
        <v>467598</v>
      </c>
      <c r="Y21" t="inlineStr">
        <is>
          <t>Closing equity</t>
        </is>
      </c>
      <c r="Z21" t="n">
        <v>467598</v>
      </c>
      <c r="AA21" t="n">
        <v>467879</v>
      </c>
      <c r="AB21" t="n">
        <v>501030</v>
      </c>
      <c r="AC21" t="n">
        <v>544650</v>
      </c>
      <c r="AD21" t="n">
        <v>591416</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Net cash used in operating activities</t>
        </is>
      </c>
      <c r="B25" s="5" t="n">
        <v>1366477</v>
      </c>
      <c r="C25" s="5" t="n">
        <v>-174234</v>
      </c>
      <c r="D25" s="5" t="n">
        <v>129403</v>
      </c>
      <c r="E25" s="5" t="n">
        <v>-108415</v>
      </c>
      <c r="F25" s="5" t="n">
        <v>-51743</v>
      </c>
      <c r="AG25" t="inlineStr">
        <is>
          <t>Net cash used in operating activities</t>
        </is>
      </c>
      <c r="AH25" t="n">
        <v>-51743</v>
      </c>
      <c r="AI25" t="n">
        <v>-108415</v>
      </c>
      <c r="AJ25" t="n">
        <v>129403</v>
      </c>
      <c r="AK25" t="n">
        <v>-174234</v>
      </c>
      <c r="AL25" t="n">
        <v>1366477</v>
      </c>
    </row>
    <row r="26">
      <c r="A26" s="5" t="inlineStr">
        <is>
          <t>Net cash used in investing activities</t>
        </is>
      </c>
      <c r="B26" s="5" t="n">
        <v>-764</v>
      </c>
      <c r="C26" s="5" t="n">
        <v>-447</v>
      </c>
      <c r="D26" s="5" t="n">
        <v>-275</v>
      </c>
      <c r="E26" s="5" t="n">
        <v>-525</v>
      </c>
      <c r="F26" s="5" t="n">
        <v>-793</v>
      </c>
      <c r="AG26" t="inlineStr">
        <is>
          <t>Net cash used in investing activities</t>
        </is>
      </c>
      <c r="AH26" t="n">
        <v>-793</v>
      </c>
      <c r="AI26" t="n">
        <v>-525</v>
      </c>
      <c r="AJ26" t="n">
        <v>-275</v>
      </c>
      <c r="AK26" t="n">
        <v>-447</v>
      </c>
      <c r="AL26" t="n">
        <v>-764</v>
      </c>
    </row>
    <row r="27">
      <c r="A27" s="5" t="inlineStr">
        <is>
          <t>Net cash from financing activities</t>
        </is>
      </c>
      <c r="B27" s="5" t="n">
        <v>0</v>
      </c>
      <c r="C27" s="5" t="n">
        <v>0</v>
      </c>
      <c r="D27" s="5" t="n">
        <v>0</v>
      </c>
      <c r="E27" s="5" t="n">
        <v>0</v>
      </c>
      <c r="F27" s="5" t="n">
        <v>0</v>
      </c>
      <c r="AG27" t="inlineStr">
        <is>
          <t>Net cash from financing activities</t>
        </is>
      </c>
      <c r="AH27" t="n">
        <v>0</v>
      </c>
      <c r="AI27" t="n">
        <v>0</v>
      </c>
      <c r="AJ27" t="n">
        <v>0</v>
      </c>
      <c r="AK27" t="n">
        <v>0</v>
      </c>
      <c r="AL27" t="n">
        <v>0</v>
      </c>
    </row>
    <row r="28">
      <c r="A28" s="5" t="inlineStr">
        <is>
          <t>Cash and cash equivalents at 31 December</t>
        </is>
      </c>
      <c r="B28" s="5" t="n">
        <v>1498693</v>
      </c>
      <c r="C28" s="5" t="n">
        <v>139627</v>
      </c>
      <c r="D28" s="5" t="n">
        <v>316971</v>
      </c>
      <c r="E28" s="5" t="n">
        <v>180382</v>
      </c>
      <c r="F28" s="5" t="n">
        <v>307556</v>
      </c>
      <c r="AG28" t="inlineStr">
        <is>
          <t>Cash and cash equivalents at 31 December</t>
        </is>
      </c>
      <c r="AH28" t="n">
        <v>307556</v>
      </c>
      <c r="AI28" t="n">
        <v>180382</v>
      </c>
      <c r="AJ28" t="n">
        <v>316971</v>
      </c>
      <c r="AK28" t="n">
        <v>139627</v>
      </c>
      <c r="AL28" t="n">
        <v>1498693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81.09%</t>
        </is>
      </c>
      <c r="C32" s="6" t="inlineStr">
        <is>
          <t>70.16%</t>
        </is>
      </c>
      <c r="D32" s="6" t="inlineStr">
        <is>
          <t>56.30%</t>
        </is>
      </c>
      <c r="E32" s="6" t="n"/>
      <c r="F32" s="6" t="n"/>
    </row>
    <row r="33">
      <c r="A33" s="6" t="inlineStr">
        <is>
          <t>Tier 1 Ratio</t>
        </is>
      </c>
      <c r="B33" s="6" t="inlineStr">
        <is>
          <t>81.09%</t>
        </is>
      </c>
      <c r="C33" s="6" t="inlineStr">
        <is>
          <t>70.16%</t>
        </is>
      </c>
      <c r="D33" s="6" t="inlineStr">
        <is>
          <t>56.30%</t>
        </is>
      </c>
      <c r="E33" s="6" t="n"/>
      <c r="F33" s="6" t="n"/>
    </row>
    <row r="34">
      <c r="A34" s="6" t="inlineStr">
        <is>
          <t>Total Capital Ratio</t>
        </is>
      </c>
      <c r="B34" s="6" t="inlineStr">
        <is>
          <t>81.09%</t>
        </is>
      </c>
      <c r="C34" s="6" t="inlineStr">
        <is>
          <t>70.16%</t>
        </is>
      </c>
      <c r="D34" s="6" t="inlineStr">
        <is>
          <t>56.30%</t>
        </is>
      </c>
      <c r="E34" s="6" t="n"/>
      <c r="F34" s="6" t="n"/>
    </row>
    <row r="35">
      <c r="A35" s="6" t="inlineStr">
        <is>
          <t>Leverage Ratio</t>
        </is>
      </c>
      <c r="B35" s="6" t="inlineStr">
        <is>
          <t>47.48%</t>
        </is>
      </c>
      <c r="C35" s="6" t="inlineStr">
        <is>
          <t>33.77%</t>
        </is>
      </c>
      <c r="D35" s="6" t="inlineStr">
        <is>
          <t>35.41%</t>
        </is>
      </c>
      <c r="E35" s="6" t="n"/>
      <c r="F35" s="6" t="n"/>
    </row>
    <row r="36">
      <c r="A36" s="6" t="inlineStr">
        <is>
          <t>LCR</t>
        </is>
      </c>
      <c r="B36" s="6" t="inlineStr">
        <is>
          <t>143.70%</t>
        </is>
      </c>
      <c r="C36" s="6" t="inlineStr">
        <is>
          <t>175.13%</t>
        </is>
      </c>
      <c r="D36" s="6" t="inlineStr">
        <is>
          <t>282.28%</t>
        </is>
      </c>
      <c r="E36" s="6" t="n"/>
      <c r="F36" s="6" t="n"/>
    </row>
    <row r="37">
      <c r="A37" s="6" t="inlineStr">
        <is>
          <t>NSFR</t>
        </is>
      </c>
      <c r="B37" s="6" t="inlineStr">
        <is>
          <t>173.34%</t>
        </is>
      </c>
      <c r="C37" s="6" t="inlineStr">
        <is>
          <t>149.33%</t>
        </is>
      </c>
      <c r="D37" s="6" t="inlineStr">
        <is>
          <t>135.79%</t>
        </is>
      </c>
      <c r="E37" s="6" t="n"/>
      <c r="F37" s="6" t="n"/>
    </row>
    <row r="39" ht="45" customHeight="1">
      <c r="A39" s="7" t="inlineStr">
        <is>
          <t>Note: Figures are duplicated from the detail sheets for at-a-glance trend viewing; see each sheet's own source citation for the underlying document/page. Pillar 3 ratios are only publicly disclosed from FY2023 onward (no FY2022/FY2021 Pillar 3 document exists); blank cells for those years are intentional, not zeros.</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ICBC (London) plc — Balance Sheet</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1062471</v>
      </c>
      <c r="C5" s="6" t="n">
        <v>43857</v>
      </c>
      <c r="D5" s="6" t="n">
        <v>196360</v>
      </c>
      <c r="E5" s="6" t="n">
        <v>107136</v>
      </c>
      <c r="F5" s="6" t="n">
        <v>149090</v>
      </c>
    </row>
    <row r="6">
      <c r="A6" s="6" t="inlineStr">
        <is>
          <t>Loans and advances to banks</t>
        </is>
      </c>
      <c r="B6" s="6" t="n">
        <v>511222</v>
      </c>
      <c r="C6" s="6" t="n">
        <v>934969</v>
      </c>
      <c r="D6" s="6" t="n">
        <v>523491</v>
      </c>
      <c r="E6" s="6" t="n">
        <v>612456</v>
      </c>
      <c r="F6" s="6" t="n">
        <v>537966</v>
      </c>
    </row>
    <row r="7">
      <c r="A7" s="6" t="inlineStr">
        <is>
          <t>Loans and advances to customers</t>
        </is>
      </c>
      <c r="B7" s="6" t="n">
        <v>413326</v>
      </c>
      <c r="C7" s="6" t="n">
        <v>336256</v>
      </c>
      <c r="D7" s="6" t="n">
        <v>429281</v>
      </c>
      <c r="E7" s="6" t="n">
        <v>331484</v>
      </c>
      <c r="F7" s="6" t="n">
        <v>128348</v>
      </c>
    </row>
    <row r="8">
      <c r="A8" s="6" t="inlineStr">
        <is>
          <t>Derivative financial instruments</t>
        </is>
      </c>
      <c r="B8" s="6" t="n">
        <v>0</v>
      </c>
      <c r="C8" s="6" t="n">
        <v>255</v>
      </c>
      <c r="D8" s="6" t="n">
        <v>66</v>
      </c>
      <c r="E8" s="6" t="n">
        <v>0</v>
      </c>
      <c r="F8" s="6" t="n">
        <v>21</v>
      </c>
    </row>
    <row r="9">
      <c r="A9" s="6" t="inlineStr">
        <is>
          <t>Financial investments at FVOCI</t>
        </is>
      </c>
      <c r="B9" s="6" t="n">
        <v>320996</v>
      </c>
      <c r="C9" s="6" t="n">
        <v>313176</v>
      </c>
      <c r="D9" s="6" t="n">
        <v>251961</v>
      </c>
      <c r="E9" s="6" t="n">
        <v>263048</v>
      </c>
      <c r="F9" s="6" t="n">
        <v>350258</v>
      </c>
    </row>
    <row r="10">
      <c r="A10" s="6" t="inlineStr">
        <is>
          <t>Financial investments at amortised cost</t>
        </is>
      </c>
      <c r="B10" s="6" t="n">
        <v>35803</v>
      </c>
      <c r="C10" s="6" t="n">
        <v>27177</v>
      </c>
      <c r="D10" s="6" t="n">
        <v>68805</v>
      </c>
      <c r="E10" s="6" t="n">
        <v>175266</v>
      </c>
      <c r="F10" s="6" t="n">
        <v>209357</v>
      </c>
    </row>
    <row r="11">
      <c r="A11" s="6" t="inlineStr">
        <is>
          <t>Intangible assets</t>
        </is>
      </c>
      <c r="B11" s="6" t="n">
        <v>244</v>
      </c>
      <c r="C11" s="6" t="n">
        <v>220</v>
      </c>
      <c r="D11" s="6" t="n">
        <v>186</v>
      </c>
      <c r="E11" s="6" t="n">
        <v>162</v>
      </c>
      <c r="F11" s="6" t="n">
        <v>167</v>
      </c>
    </row>
    <row r="12">
      <c r="A12" s="6" t="inlineStr">
        <is>
          <t>Tangible fixed assets</t>
        </is>
      </c>
      <c r="B12" s="6" t="n">
        <v>29460</v>
      </c>
      <c r="C12" s="6" t="n">
        <v>29928</v>
      </c>
      <c r="D12" s="6" t="n">
        <v>30669</v>
      </c>
      <c r="E12" s="6" t="n">
        <v>31651</v>
      </c>
      <c r="F12" s="6" t="n">
        <v>32585</v>
      </c>
    </row>
    <row r="13">
      <c r="A13" s="6" t="inlineStr">
        <is>
          <t>Current tax assets</t>
        </is>
      </c>
      <c r="B13" s="6" t="n"/>
      <c r="C13" s="6" t="n"/>
      <c r="D13" s="6" t="n"/>
      <c r="E13" s="6" t="n">
        <v>0</v>
      </c>
      <c r="F13" s="6" t="n">
        <v>28</v>
      </c>
    </row>
    <row r="14">
      <c r="A14" s="6" t="inlineStr">
        <is>
          <t>Deferred tax assets</t>
        </is>
      </c>
      <c r="B14" s="6" t="n">
        <v>614</v>
      </c>
      <c r="C14" s="6" t="n">
        <v>614</v>
      </c>
      <c r="D14" s="6" t="n">
        <v>569</v>
      </c>
      <c r="E14" s="6" t="n">
        <v>3489</v>
      </c>
      <c r="F14" s="6" t="n"/>
    </row>
    <row r="15">
      <c r="A15" s="6" t="inlineStr">
        <is>
          <t>Prepayments, accrued income and other assets</t>
        </is>
      </c>
      <c r="B15" s="6" t="n">
        <v>19810</v>
      </c>
      <c r="C15" s="6" t="n">
        <v>15677</v>
      </c>
      <c r="D15" s="6" t="n">
        <v>13332</v>
      </c>
      <c r="E15" s="6" t="n">
        <v>13447</v>
      </c>
      <c r="F15" s="6" t="n">
        <v>12868</v>
      </c>
    </row>
    <row r="16">
      <c r="A16" s="5" t="inlineStr">
        <is>
          <t>Total Assets</t>
        </is>
      </c>
      <c r="B16" s="5" t="n">
        <v>2393946</v>
      </c>
      <c r="C16" s="5" t="n">
        <v>1702129</v>
      </c>
      <c r="D16" s="5" t="n">
        <v>1514720</v>
      </c>
      <c r="E16" s="5" t="n">
        <v>1538139</v>
      </c>
      <c r="F16" s="5" t="n">
        <v>1420688</v>
      </c>
    </row>
    <row r="17">
      <c r="A17" s="5" t="inlineStr">
        <is>
          <t>Liabilities</t>
        </is>
      </c>
      <c r="B17" s="6" t="n"/>
      <c r="C17" s="6" t="n"/>
      <c r="D17" s="6" t="n"/>
      <c r="E17" s="6" t="n"/>
      <c r="F17" s="6" t="n"/>
    </row>
    <row r="18">
      <c r="A18" s="6" t="inlineStr">
        <is>
          <t>Deposits by banks</t>
        </is>
      </c>
      <c r="B18" s="6" t="n">
        <v>1622117</v>
      </c>
      <c r="C18" s="6" t="n">
        <v>974702</v>
      </c>
      <c r="D18" s="6" t="n">
        <v>751531</v>
      </c>
      <c r="E18" s="6" t="n">
        <v>810645</v>
      </c>
      <c r="F18" s="6" t="n">
        <v>411211</v>
      </c>
    </row>
    <row r="19">
      <c r="A19" s="6" t="inlineStr">
        <is>
          <t>Customer accounts</t>
        </is>
      </c>
      <c r="B19" s="6" t="n">
        <v>160911</v>
      </c>
      <c r="C19" s="6" t="n">
        <v>165625</v>
      </c>
      <c r="D19" s="6" t="n">
        <v>244297</v>
      </c>
      <c r="E19" s="6" t="n">
        <v>247933</v>
      </c>
      <c r="F19" s="6" t="n">
        <v>530469</v>
      </c>
    </row>
    <row r="20">
      <c r="A20" s="6" t="inlineStr">
        <is>
          <t>Derivative financial instruments</t>
        </is>
      </c>
      <c r="B20" s="6" t="n">
        <v>2245</v>
      </c>
      <c r="C20" s="6" t="n">
        <v>0</v>
      </c>
      <c r="D20" s="6" t="n">
        <v>0</v>
      </c>
      <c r="E20" s="6" t="n">
        <v>0</v>
      </c>
      <c r="F20" s="6" t="n">
        <v>117</v>
      </c>
    </row>
    <row r="21">
      <c r="A21" s="6" t="inlineStr">
        <is>
          <t>Other liabilities</t>
        </is>
      </c>
      <c r="B21" s="6" t="n">
        <v>12447</v>
      </c>
      <c r="C21" s="6" t="n">
        <v>10872</v>
      </c>
      <c r="D21" s="6" t="n">
        <v>11801</v>
      </c>
      <c r="E21" s="6" t="n">
        <v>8101</v>
      </c>
      <c r="F21" s="6" t="n">
        <v>8054</v>
      </c>
    </row>
    <row r="22">
      <c r="A22" s="6" t="inlineStr">
        <is>
          <t>Accruals and deferred income</t>
        </is>
      </c>
      <c r="B22" s="6" t="n">
        <v>1924</v>
      </c>
      <c r="C22" s="6" t="n">
        <v>3121</v>
      </c>
      <c r="D22" s="6" t="n">
        <v>5343</v>
      </c>
      <c r="E22" s="6" t="n">
        <v>2751</v>
      </c>
      <c r="F22" s="6" t="n">
        <v>476</v>
      </c>
    </row>
    <row r="23">
      <c r="A23" s="6" t="inlineStr">
        <is>
          <t>Provisions for liabilities</t>
        </is>
      </c>
      <c r="B23" s="6" t="n"/>
      <c r="C23" s="6" t="n"/>
      <c r="D23" s="6" t="n"/>
      <c r="E23" s="6" t="n">
        <v>0</v>
      </c>
      <c r="F23" s="6" t="n">
        <v>1915</v>
      </c>
    </row>
    <row r="24">
      <c r="A24" s="6" t="inlineStr">
        <is>
          <t>Current tax liabilities</t>
        </is>
      </c>
      <c r="B24" s="6" t="n">
        <v>27</v>
      </c>
      <c r="C24" s="6" t="n">
        <v>1705</v>
      </c>
      <c r="D24" s="6" t="n">
        <v>718</v>
      </c>
      <c r="E24" s="6" t="n">
        <v>830</v>
      </c>
      <c r="F24" s="6" t="n">
        <v>0</v>
      </c>
    </row>
    <row r="25">
      <c r="A25" s="6" t="inlineStr">
        <is>
          <t>Deferred tax liabilities</t>
        </is>
      </c>
      <c r="B25" s="6" t="n">
        <v>2859</v>
      </c>
      <c r="C25" s="6" t="n">
        <v>1454</v>
      </c>
      <c r="D25" s="6" t="n">
        <v>0</v>
      </c>
      <c r="E25" s="6" t="n">
        <v>0</v>
      </c>
      <c r="F25" s="6" t="n">
        <v>848</v>
      </c>
    </row>
    <row r="26">
      <c r="A26" s="5" t="inlineStr">
        <is>
          <t>Total Liabilities</t>
        </is>
      </c>
      <c r="B26" s="5" t="n">
        <v>1802530</v>
      </c>
      <c r="C26" s="5" t="n">
        <v>1157479</v>
      </c>
      <c r="D26" s="5" t="n">
        <v>1013690</v>
      </c>
      <c r="E26" s="5" t="n">
        <v>1070260</v>
      </c>
      <c r="F26" s="5" t="n">
        <v>953090</v>
      </c>
    </row>
    <row r="27">
      <c r="A27" s="5" t="inlineStr">
        <is>
          <t>Share Capital and Reserves</t>
        </is>
      </c>
      <c r="B27" s="6" t="n"/>
      <c r="C27" s="6" t="n"/>
      <c r="D27" s="6" t="n"/>
      <c r="E27" s="6" t="n"/>
      <c r="F27" s="6" t="n"/>
    </row>
    <row r="28">
      <c r="A28" s="6" t="inlineStr">
        <is>
          <t>Called up share capital</t>
        </is>
      </c>
      <c r="B28" s="6" t="n">
        <v>200000</v>
      </c>
      <c r="C28" s="6" t="n">
        <v>200000</v>
      </c>
      <c r="D28" s="6" t="n">
        <v>200000</v>
      </c>
      <c r="E28" s="6" t="n">
        <v>200000</v>
      </c>
      <c r="F28" s="6" t="n">
        <v>200000</v>
      </c>
    </row>
    <row r="29">
      <c r="A29" s="6" t="inlineStr">
        <is>
          <t>Retained earnings</t>
        </is>
      </c>
      <c r="B29" s="6" t="n">
        <v>389313</v>
      </c>
      <c r="C29" s="6" t="n">
        <v>346433</v>
      </c>
      <c r="D29" s="6" t="n">
        <v>306770</v>
      </c>
      <c r="E29" s="6" t="n">
        <v>280635</v>
      </c>
      <c r="F29" s="6" t="n">
        <v>269268</v>
      </c>
    </row>
    <row r="30">
      <c r="A30" s="6" t="inlineStr">
        <is>
          <t>Other reserves</t>
        </is>
      </c>
      <c r="B30" s="6" t="n">
        <v>2103</v>
      </c>
      <c r="C30" s="6" t="n">
        <v>-1783</v>
      </c>
      <c r="D30" s="6" t="n">
        <v>-5740</v>
      </c>
      <c r="E30" s="6" t="n">
        <v>-12756</v>
      </c>
      <c r="F30" s="6" t="n">
        <v>-1670</v>
      </c>
    </row>
    <row r="31">
      <c r="A31" s="5" t="inlineStr">
        <is>
          <t>Total Share Capital and Reserves</t>
        </is>
      </c>
      <c r="B31" s="5" t="n">
        <v>591416</v>
      </c>
      <c r="C31" s="5" t="n">
        <v>544650</v>
      </c>
      <c r="D31" s="5" t="n">
        <v>501030</v>
      </c>
      <c r="E31" s="5" t="n">
        <v>467879</v>
      </c>
      <c r="F31" s="5" t="n">
        <v>467598</v>
      </c>
    </row>
    <row r="32">
      <c r="A32" s="5" t="inlineStr">
        <is>
          <t>Total Liabilities and Share Capital and Reserves</t>
        </is>
      </c>
      <c r="B32" s="5" t="n">
        <v>2393946</v>
      </c>
      <c r="C32" s="5" t="n">
        <v>1702129</v>
      </c>
      <c r="D32" s="5" t="n">
        <v>1514720</v>
      </c>
      <c r="E32" s="5" t="n">
        <v>1538139</v>
      </c>
      <c r="F32" s="5" t="n">
        <v>1420688</v>
      </c>
    </row>
    <row r="34" ht="170" customHeight="1">
      <c r="A34"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Note: the FY2021-2023 Companies House filings are scanned (image-only) documents; those years' figures were transcribed from page renders. The Statement of Changes in Equity reconciles exactly at every year boundary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t>
        </is>
      </c>
    </row>
  </sheetData>
  <mergeCells count="1">
    <mergeCell ref="A34:F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ICBC (London) plc — Profit and Loss Account / Statement of Comprehensive Income</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t>
        </is>
      </c>
      <c r="B5" s="6" t="n">
        <v>73022</v>
      </c>
      <c r="C5" s="6" t="n">
        <v>80464</v>
      </c>
      <c r="D5" s="6" t="n">
        <v>64844</v>
      </c>
      <c r="E5" s="6" t="n">
        <v>27188</v>
      </c>
      <c r="F5" s="6" t="n">
        <v>19740</v>
      </c>
    </row>
    <row r="6">
      <c r="A6" s="6" t="inlineStr">
        <is>
          <t>Interest payable</t>
        </is>
      </c>
      <c r="B6" s="6" t="n">
        <v>-17005</v>
      </c>
      <c r="C6" s="6" t="n">
        <v>-24461</v>
      </c>
      <c r="D6" s="6" t="n">
        <v>-28971</v>
      </c>
      <c r="E6" s="6" t="n">
        <v>-8992</v>
      </c>
      <c r="F6" s="6" t="n">
        <v>-4294</v>
      </c>
    </row>
    <row r="7">
      <c r="A7" s="5" t="inlineStr">
        <is>
          <t>Net interest income</t>
        </is>
      </c>
      <c r="B7" s="5" t="n">
        <v>56017</v>
      </c>
      <c r="C7" s="5" t="n">
        <v>56003</v>
      </c>
      <c r="D7" s="5" t="n">
        <v>35873</v>
      </c>
      <c r="E7" s="5" t="n">
        <v>18196</v>
      </c>
      <c r="F7" s="5" t="n">
        <v>15446</v>
      </c>
    </row>
    <row r="8">
      <c r="A8" s="6" t="inlineStr">
        <is>
          <t>Fees and commissions receivable</t>
        </is>
      </c>
      <c r="B8" s="6" t="n">
        <v>2656</v>
      </c>
      <c r="C8" s="6" t="n">
        <v>2516</v>
      </c>
      <c r="D8" s="6" t="n">
        <v>1671</v>
      </c>
      <c r="E8" s="6" t="n">
        <v>1234</v>
      </c>
      <c r="F8" s="6" t="n">
        <v>1629</v>
      </c>
    </row>
    <row r="9">
      <c r="A9" s="6" t="inlineStr">
        <is>
          <t>Fees and commissions payable</t>
        </is>
      </c>
      <c r="B9" s="6" t="n">
        <v>-360</v>
      </c>
      <c r="C9" s="6" t="n">
        <v>-403</v>
      </c>
      <c r="D9" s="6" t="n">
        <v>-371</v>
      </c>
      <c r="E9" s="6" t="n">
        <v>-369</v>
      </c>
      <c r="F9" s="6" t="n">
        <v>-394</v>
      </c>
    </row>
    <row r="10">
      <c r="A10" s="5" t="inlineStr">
        <is>
          <t>Net fees and commissions</t>
        </is>
      </c>
      <c r="B10" s="5" t="n">
        <v>2296</v>
      </c>
      <c r="C10" s="5" t="n">
        <v>2113</v>
      </c>
      <c r="D10" s="5" t="n">
        <v>1300</v>
      </c>
      <c r="E10" s="5" t="n">
        <v>865</v>
      </c>
      <c r="F10" s="5" t="n">
        <v>1235</v>
      </c>
    </row>
    <row r="11">
      <c r="A11" s="6" t="inlineStr">
        <is>
          <t>Dealing (loss)/profit</t>
        </is>
      </c>
      <c r="B11" s="6" t="n">
        <v>709</v>
      </c>
      <c r="C11" s="6" t="n">
        <v>515</v>
      </c>
      <c r="D11" s="6" t="n">
        <v>375</v>
      </c>
      <c r="E11" s="6" t="n">
        <v>-365</v>
      </c>
      <c r="F11" s="6" t="n">
        <v>422</v>
      </c>
    </row>
    <row r="12">
      <c r="A12" s="6" t="inlineStr">
        <is>
          <t>Other operating income</t>
        </is>
      </c>
      <c r="B12" s="6" t="n">
        <v>9798</v>
      </c>
      <c r="C12" s="6" t="n">
        <v>6773</v>
      </c>
      <c r="D12" s="6" t="n">
        <v>5844</v>
      </c>
      <c r="E12" s="6" t="n">
        <v>6583</v>
      </c>
      <c r="F12" s="6" t="n">
        <v>6118</v>
      </c>
    </row>
    <row r="13">
      <c r="A13" s="5" t="inlineStr">
        <is>
          <t>Other income</t>
        </is>
      </c>
      <c r="B13" s="5" t="n">
        <v>10507</v>
      </c>
      <c r="C13" s="5" t="n">
        <v>7288</v>
      </c>
      <c r="D13" s="5" t="n">
        <v>6219</v>
      </c>
      <c r="E13" s="5" t="n">
        <v>6218</v>
      </c>
      <c r="F13" s="5" t="n">
        <v>6540</v>
      </c>
    </row>
    <row r="14">
      <c r="A14" s="5" t="inlineStr">
        <is>
          <t>Total operating income</t>
        </is>
      </c>
      <c r="B14" s="5" t="n">
        <v>68820</v>
      </c>
      <c r="C14" s="5" t="n">
        <v>65404</v>
      </c>
      <c r="D14" s="5" t="n">
        <v>43392</v>
      </c>
      <c r="E14" s="5" t="n">
        <v>25279</v>
      </c>
      <c r="F14" s="5" t="n">
        <v>23221</v>
      </c>
    </row>
    <row r="15">
      <c r="A15" s="5" t="inlineStr">
        <is>
          <t>Operating expenses</t>
        </is>
      </c>
      <c r="B15" s="6" t="n"/>
      <c r="C15" s="6" t="n"/>
      <c r="D15" s="6" t="n"/>
      <c r="E15" s="6" t="n"/>
      <c r="F15" s="6" t="n"/>
    </row>
    <row r="16">
      <c r="A16" s="6" t="inlineStr">
        <is>
          <t>Staff costs</t>
        </is>
      </c>
      <c r="B16" s="6" t="n">
        <v>-41255</v>
      </c>
      <c r="C16" s="6" t="n">
        <v>-38325</v>
      </c>
      <c r="D16" s="6" t="n">
        <v>-39301</v>
      </c>
      <c r="E16" s="6" t="n">
        <v>-39373</v>
      </c>
      <c r="F16" s="6" t="n">
        <v>-38201</v>
      </c>
    </row>
    <row r="17">
      <c r="A17" s="6" t="inlineStr">
        <is>
          <t>Depreciation and amortisation</t>
        </is>
      </c>
      <c r="B17" s="6" t="n">
        <v>-1208</v>
      </c>
      <c r="C17" s="6" t="n">
        <v>-1154</v>
      </c>
      <c r="D17" s="6" t="n">
        <v>-1234</v>
      </c>
      <c r="E17" s="6" t="n">
        <v>-1463</v>
      </c>
      <c r="F17" s="6" t="n">
        <v>-1962</v>
      </c>
    </row>
    <row r="18">
      <c r="A18" s="6" t="inlineStr">
        <is>
          <t>Other operating charges</t>
        </is>
      </c>
      <c r="B18" s="6" t="n">
        <v>-10247</v>
      </c>
      <c r="C18" s="6" t="n">
        <v>-10487</v>
      </c>
      <c r="D18" s="6" t="n">
        <v>-9009</v>
      </c>
      <c r="E18" s="6" t="n">
        <v>-7385</v>
      </c>
      <c r="F18" s="6" t="n">
        <v>-8297</v>
      </c>
    </row>
    <row r="19">
      <c r="A19" s="6" t="inlineStr">
        <is>
          <t>Reimbursement of expenses attributable to the Branch</t>
        </is>
      </c>
      <c r="B19" s="6" t="n">
        <v>41197</v>
      </c>
      <c r="C19" s="6" t="n">
        <v>39091</v>
      </c>
      <c r="D19" s="6" t="n">
        <v>39539</v>
      </c>
      <c r="E19" s="6" t="n">
        <v>38664</v>
      </c>
      <c r="F19" s="6" t="n">
        <v>38503</v>
      </c>
    </row>
    <row r="20">
      <c r="A20" s="5" t="inlineStr">
        <is>
          <t>Operating expenses</t>
        </is>
      </c>
      <c r="B20" s="5" t="n">
        <v>-11513</v>
      </c>
      <c r="C20" s="5" t="n">
        <v>-10875</v>
      </c>
      <c r="D20" s="5" t="n">
        <v>-10005</v>
      </c>
      <c r="E20" s="5" t="n">
        <v>-10609</v>
      </c>
      <c r="F20" s="5" t="n">
        <v>-3425</v>
      </c>
    </row>
    <row r="21">
      <c r="A21" s="6" t="inlineStr">
        <is>
          <t>Impairment (losses)/releases</t>
        </is>
      </c>
      <c r="B21" s="6" t="n">
        <v>-52</v>
      </c>
      <c r="C21" s="6" t="n">
        <v>312</v>
      </c>
      <c r="D21" s="6" t="n">
        <v>1180</v>
      </c>
      <c r="E21" s="6" t="n">
        <v>-1052</v>
      </c>
      <c r="F21" s="6" t="n">
        <v>6532</v>
      </c>
    </row>
    <row r="22">
      <c r="A22" s="5" t="inlineStr">
        <is>
          <t>Profit on ordinary activities before tax</t>
        </is>
      </c>
      <c r="B22" s="5" t="n">
        <v>57255</v>
      </c>
      <c r="C22" s="5" t="n">
        <v>54841</v>
      </c>
      <c r="D22" s="5" t="n">
        <v>34567</v>
      </c>
      <c r="E22" s="5" t="n">
        <v>14670</v>
      </c>
      <c r="F22" s="5" t="n">
        <v>19796</v>
      </c>
    </row>
    <row r="23">
      <c r="A23" s="6" t="inlineStr">
        <is>
          <t>Tax on profit on ordinary activities</t>
        </is>
      </c>
      <c r="B23" s="6" t="n">
        <v>-14375</v>
      </c>
      <c r="C23" s="6" t="n">
        <v>-15178</v>
      </c>
      <c r="D23" s="6" t="n">
        <v>-8432</v>
      </c>
      <c r="E23" s="6" t="n">
        <v>-3303</v>
      </c>
      <c r="F23" s="6" t="n">
        <v>-4280</v>
      </c>
    </row>
    <row r="24">
      <c r="A24" s="5" t="inlineStr">
        <is>
          <t>Profit for the financial year</t>
        </is>
      </c>
      <c r="B24" s="5" t="n">
        <v>42880</v>
      </c>
      <c r="C24" s="5" t="n">
        <v>39663</v>
      </c>
      <c r="D24" s="5" t="n">
        <v>26135</v>
      </c>
      <c r="E24" s="5" t="n">
        <v>11367</v>
      </c>
      <c r="F24" s="5" t="n">
        <v>15516</v>
      </c>
    </row>
    <row r="25">
      <c r="A25" s="5" t="inlineStr">
        <is>
          <t>Other comprehensive income</t>
        </is>
      </c>
      <c r="B25" s="6" t="n"/>
      <c r="C25" s="6" t="n"/>
      <c r="D25" s="6" t="n"/>
      <c r="E25" s="6" t="n"/>
      <c r="F25" s="6" t="n"/>
    </row>
    <row r="26">
      <c r="A26" s="6" t="inlineStr">
        <is>
          <t>Change in fair value of financial investments at FVOCI</t>
        </is>
      </c>
      <c r="B26" s="6" t="n">
        <v>5190</v>
      </c>
      <c r="C26" s="6" t="n">
        <v>5430</v>
      </c>
      <c r="D26" s="6" t="n">
        <v>10201</v>
      </c>
      <c r="E26" s="6" t="n">
        <v>-15385</v>
      </c>
      <c r="F26" s="6" t="n">
        <v>-5679</v>
      </c>
    </row>
    <row r="27">
      <c r="A27" s="6" t="inlineStr">
        <is>
          <t>Impairment allowance on financial investments at FVOCI</t>
        </is>
      </c>
      <c r="B27" s="6" t="n">
        <v>-7</v>
      </c>
      <c r="C27" s="6" t="n">
        <v>-116</v>
      </c>
      <c r="D27" s="6" t="n">
        <v>-88</v>
      </c>
      <c r="E27" s="6" t="n">
        <v>123</v>
      </c>
      <c r="F27" s="6" t="n">
        <v>-416</v>
      </c>
    </row>
    <row r="28">
      <c r="A28" s="6" t="inlineStr">
        <is>
          <t>Tax on components of other comprehensive income</t>
        </is>
      </c>
      <c r="B28" s="6" t="n">
        <v>-1297</v>
      </c>
      <c r="C28" s="6" t="n">
        <v>-1357</v>
      </c>
      <c r="D28" s="6" t="n">
        <v>-3097</v>
      </c>
      <c r="E28" s="6" t="n">
        <v>4176</v>
      </c>
      <c r="F28" s="6" t="n">
        <v>1692</v>
      </c>
    </row>
    <row r="29">
      <c r="A29" s="5" t="inlineStr">
        <is>
          <t>Other comprehensive income for the year, net of income tax</t>
        </is>
      </c>
      <c r="B29" s="5" t="n">
        <v>3886</v>
      </c>
      <c r="C29" s="5" t="n">
        <v>3957</v>
      </c>
      <c r="D29" s="5" t="n">
        <v>7016</v>
      </c>
      <c r="E29" s="5" t="n">
        <v>-11086</v>
      </c>
      <c r="F29" s="5" t="n">
        <v>-4403</v>
      </c>
    </row>
    <row r="30">
      <c r="A30" s="5" t="inlineStr">
        <is>
          <t>Total comprehensive income for the year</t>
        </is>
      </c>
      <c r="B30" s="5" t="n">
        <v>46766</v>
      </c>
      <c r="C30" s="5" t="n">
        <v>43620</v>
      </c>
      <c r="D30" s="5" t="n">
        <v>33151</v>
      </c>
      <c r="E30" s="5" t="n">
        <v>281</v>
      </c>
      <c r="F30" s="5" t="n">
        <v>11113</v>
      </c>
    </row>
    <row r="32" ht="170" customHeight="1">
      <c r="A32"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Note: the FY2021-2023 Companies House filings are scanned (image-only) documents; those years' figures were transcribed from page renders. The Statement of Changes in Equity reconciles exactly at every year boundary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t>
        </is>
      </c>
    </row>
  </sheetData>
  <mergeCells count="1">
    <mergeCell ref="A32:F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ICBC (London) plc — Statement of Changes in Equity</t>
        </is>
      </c>
    </row>
    <row r="2">
      <c r="A2" s="2" t="inlineStr">
        <is>
          <t>$'000 - chronological, oldest to newest. Equity reconciliation ladder confirmed: every year's own closing balance ties exactly to both the next year's own opening balance and that year's own Balance Sheet Total Share Capital and Reserves - zero plug rows needed anywhere.</t>
        </is>
      </c>
    </row>
    <row r="3">
      <c r="A3" s="4" t="inlineStr">
        <is>
          <t>Movement</t>
        </is>
      </c>
      <c r="B3" s="4" t="inlineStr">
        <is>
          <t>Share capital</t>
        </is>
      </c>
      <c r="C3" s="4" t="inlineStr">
        <is>
          <t>Retained earning</t>
        </is>
      </c>
      <c r="D3" s="4" t="inlineStr">
        <is>
          <t>Other reserves</t>
        </is>
      </c>
      <c r="E3" s="4" t="inlineStr">
        <is>
          <t>Total shareholder's funds</t>
        </is>
      </c>
    </row>
    <row r="4">
      <c r="A4" s="6" t="inlineStr">
        <is>
          <t>At 1 January 2021</t>
        </is>
      </c>
      <c r="B4" s="6" t="n">
        <v>200000</v>
      </c>
      <c r="C4" s="6" t="n">
        <v>253752</v>
      </c>
      <c r="D4" s="6" t="n">
        <v>2733</v>
      </c>
      <c r="E4" s="6" t="n">
        <v>456485</v>
      </c>
    </row>
    <row r="5">
      <c r="A5" s="6" t="inlineStr">
        <is>
          <t>Profit for the year</t>
        </is>
      </c>
      <c r="B5" s="6" t="n"/>
      <c r="C5" s="6" t="n">
        <v>15516</v>
      </c>
      <c r="D5" s="6" t="n"/>
      <c r="E5" s="6" t="n">
        <v>15516</v>
      </c>
    </row>
    <row r="6">
      <c r="A6" s="6" t="inlineStr">
        <is>
          <t>Change in fair value of financial investments at FVOCI</t>
        </is>
      </c>
      <c r="B6" s="6" t="n"/>
      <c r="C6" s="6" t="n"/>
      <c r="D6" s="6" t="n">
        <v>-5679</v>
      </c>
      <c r="E6" s="6" t="n">
        <v>-5679</v>
      </c>
    </row>
    <row r="7">
      <c r="A7" s="6" t="inlineStr">
        <is>
          <t>Impairment charged on financial investments at FVOCI</t>
        </is>
      </c>
      <c r="B7" s="6" t="n"/>
      <c r="C7" s="6" t="n"/>
      <c r="D7" s="6" t="n">
        <v>-416</v>
      </c>
      <c r="E7" s="6" t="n">
        <v>-416</v>
      </c>
    </row>
    <row r="8">
      <c r="A8" s="6" t="inlineStr">
        <is>
          <t>Tax on other comprehensive income</t>
        </is>
      </c>
      <c r="B8" s="6" t="n"/>
      <c r="C8" s="6" t="n"/>
      <c r="D8" s="6" t="n">
        <v>1692</v>
      </c>
      <c r="E8" s="6" t="n">
        <v>1692</v>
      </c>
    </row>
    <row r="9">
      <c r="A9" s="5" t="inlineStr">
        <is>
          <t>At 31 December 2021</t>
        </is>
      </c>
      <c r="B9" s="5" t="n">
        <v>200000</v>
      </c>
      <c r="C9" s="5" t="n">
        <v>269268</v>
      </c>
      <c r="D9" s="5" t="n">
        <v>-1670</v>
      </c>
      <c r="E9" s="5" t="n">
        <v>467598</v>
      </c>
    </row>
    <row r="10">
      <c r="A10" s="6" t="inlineStr">
        <is>
          <t>At 1 January 2022 (= FY2021 closing)</t>
        </is>
      </c>
      <c r="B10" s="6" t="n">
        <v>200000</v>
      </c>
      <c r="C10" s="6" t="n">
        <v>269268</v>
      </c>
      <c r="D10" s="6" t="n">
        <v>-1670</v>
      </c>
      <c r="E10" s="6" t="n">
        <v>467598</v>
      </c>
    </row>
    <row r="11">
      <c r="A11" s="6" t="inlineStr">
        <is>
          <t>Profit for the year</t>
        </is>
      </c>
      <c r="B11" s="6" t="n"/>
      <c r="C11" s="6" t="n">
        <v>11367</v>
      </c>
      <c r="D11" s="6" t="n"/>
      <c r="E11" s="6" t="n">
        <v>11367</v>
      </c>
    </row>
    <row r="12">
      <c r="A12" s="6" t="inlineStr">
        <is>
          <t>Change in fair value of financial investments at FVOCI</t>
        </is>
      </c>
      <c r="B12" s="6" t="n"/>
      <c r="C12" s="6" t="n"/>
      <c r="D12" s="6" t="n">
        <v>-15385</v>
      </c>
      <c r="E12" s="6" t="n">
        <v>-15385</v>
      </c>
    </row>
    <row r="13">
      <c r="A13" s="6" t="inlineStr">
        <is>
          <t>Impairment released on financial investments at FVOCI</t>
        </is>
      </c>
      <c r="B13" s="6" t="n"/>
      <c r="C13" s="6" t="n"/>
      <c r="D13" s="6" t="n">
        <v>123</v>
      </c>
      <c r="E13" s="6" t="n">
        <v>123</v>
      </c>
    </row>
    <row r="14">
      <c r="A14" s="6" t="inlineStr">
        <is>
          <t>Deferred tax liability recognised through equity</t>
        </is>
      </c>
      <c r="B14" s="6" t="n"/>
      <c r="C14" s="6" t="n"/>
      <c r="D14" s="6" t="n">
        <v>4176</v>
      </c>
      <c r="E14" s="6" t="n">
        <v>4176</v>
      </c>
    </row>
    <row r="15">
      <c r="A15" s="5" t="inlineStr">
        <is>
          <t>At 31 December 2022</t>
        </is>
      </c>
      <c r="B15" s="5" t="n">
        <v>200000</v>
      </c>
      <c r="C15" s="5" t="n">
        <v>280635</v>
      </c>
      <c r="D15" s="5" t="n">
        <v>-12756</v>
      </c>
      <c r="E15" s="5" t="n">
        <v>467879</v>
      </c>
    </row>
    <row r="16">
      <c r="A16" s="6" t="inlineStr">
        <is>
          <t>At 1 January 2023 (= FY2022 closing)</t>
        </is>
      </c>
      <c r="B16" s="6" t="n">
        <v>200000</v>
      </c>
      <c r="C16" s="6" t="n">
        <v>280635</v>
      </c>
      <c r="D16" s="6" t="n">
        <v>-12756</v>
      </c>
      <c r="E16" s="6" t="n">
        <v>467879</v>
      </c>
    </row>
    <row r="17">
      <c r="A17" s="6" t="inlineStr">
        <is>
          <t>Profit for the year</t>
        </is>
      </c>
      <c r="B17" s="6" t="n"/>
      <c r="C17" s="6" t="n">
        <v>26135</v>
      </c>
      <c r="D17" s="6" t="n"/>
      <c r="E17" s="6" t="n">
        <v>26135</v>
      </c>
    </row>
    <row r="18">
      <c r="A18" s="6" t="inlineStr">
        <is>
          <t>Change in fair value of financial investments at FVOCI</t>
        </is>
      </c>
      <c r="B18" s="6" t="n"/>
      <c r="C18" s="6" t="n"/>
      <c r="D18" s="6" t="n">
        <v>10201</v>
      </c>
      <c r="E18" s="6" t="n">
        <v>10201</v>
      </c>
    </row>
    <row r="19">
      <c r="A19" s="6" t="inlineStr">
        <is>
          <t>Impairment charged on financial investments at FVOCI</t>
        </is>
      </c>
      <c r="B19" s="6" t="n"/>
      <c r="C19" s="6" t="n"/>
      <c r="D19" s="6" t="n">
        <v>-88</v>
      </c>
      <c r="E19" s="6" t="n">
        <v>-88</v>
      </c>
    </row>
    <row r="20">
      <c r="A20" s="6" t="inlineStr">
        <is>
          <t>Tax on other comprehensive income</t>
        </is>
      </c>
      <c r="B20" s="6" t="n"/>
      <c r="C20" s="6" t="n"/>
      <c r="D20" s="6" t="n">
        <v>-3097</v>
      </c>
      <c r="E20" s="6" t="n">
        <v>-3097</v>
      </c>
    </row>
    <row r="21">
      <c r="A21" s="5" t="inlineStr">
        <is>
          <t>At 31 December 2023</t>
        </is>
      </c>
      <c r="B21" s="5" t="n">
        <v>200000</v>
      </c>
      <c r="C21" s="5" t="n">
        <v>306770</v>
      </c>
      <c r="D21" s="5" t="n">
        <v>-5740</v>
      </c>
      <c r="E21" s="5" t="n">
        <v>501030</v>
      </c>
    </row>
    <row r="22">
      <c r="A22" s="6" t="inlineStr">
        <is>
          <t>At 1 January 2024 (= FY2023 closing)</t>
        </is>
      </c>
      <c r="B22" s="6" t="n">
        <v>200000</v>
      </c>
      <c r="C22" s="6" t="n">
        <v>306770</v>
      </c>
      <c r="D22" s="6" t="n">
        <v>-5740</v>
      </c>
      <c r="E22" s="6" t="n">
        <v>501030</v>
      </c>
    </row>
    <row r="23">
      <c r="A23" s="6" t="inlineStr">
        <is>
          <t>Profit for the year</t>
        </is>
      </c>
      <c r="B23" s="6" t="n"/>
      <c r="C23" s="6" t="n">
        <v>39663</v>
      </c>
      <c r="D23" s="6" t="n"/>
      <c r="E23" s="6" t="n">
        <v>39663</v>
      </c>
    </row>
    <row r="24">
      <c r="A24" s="6" t="inlineStr">
        <is>
          <t>Change in fair value of financial investments at FVOCI</t>
        </is>
      </c>
      <c r="B24" s="6" t="n"/>
      <c r="C24" s="6" t="n"/>
      <c r="D24" s="6" t="n">
        <v>5430</v>
      </c>
      <c r="E24" s="6" t="n">
        <v>5430</v>
      </c>
    </row>
    <row r="25">
      <c r="A25" s="6" t="inlineStr">
        <is>
          <t>Impairment charged on financial investments at FVOCI</t>
        </is>
      </c>
      <c r="B25" s="6" t="n"/>
      <c r="C25" s="6" t="n"/>
      <c r="D25" s="6" t="n">
        <v>-116</v>
      </c>
      <c r="E25" s="6" t="n">
        <v>-116</v>
      </c>
    </row>
    <row r="26">
      <c r="A26" s="6" t="inlineStr">
        <is>
          <t>Tax on other comprehensive income</t>
        </is>
      </c>
      <c r="B26" s="6" t="n"/>
      <c r="C26" s="6" t="n"/>
      <c r="D26" s="6" t="n">
        <v>-1357</v>
      </c>
      <c r="E26" s="6" t="n">
        <v>-1357</v>
      </c>
    </row>
    <row r="27">
      <c r="A27" s="5" t="inlineStr">
        <is>
          <t>At 31 December 2024</t>
        </is>
      </c>
      <c r="B27" s="5" t="n">
        <v>200000</v>
      </c>
      <c r="C27" s="5" t="n">
        <v>346433</v>
      </c>
      <c r="D27" s="5" t="n">
        <v>-1783</v>
      </c>
      <c r="E27" s="5" t="n">
        <v>544650</v>
      </c>
    </row>
    <row r="28">
      <c r="A28" s="6" t="inlineStr">
        <is>
          <t>At 1 January 2025 (= FY2024 closing)</t>
        </is>
      </c>
      <c r="B28" s="6" t="n">
        <v>200000</v>
      </c>
      <c r="C28" s="6" t="n">
        <v>346433</v>
      </c>
      <c r="D28" s="6" t="n">
        <v>-1783</v>
      </c>
      <c r="E28" s="6" t="n">
        <v>544650</v>
      </c>
    </row>
    <row r="29">
      <c r="A29" s="6" t="inlineStr">
        <is>
          <t>Profit for the year</t>
        </is>
      </c>
      <c r="B29" s="6" t="n"/>
      <c r="C29" s="6" t="n">
        <v>42880</v>
      </c>
      <c r="D29" s="6" t="n"/>
      <c r="E29" s="6" t="n">
        <v>42880</v>
      </c>
    </row>
    <row r="30">
      <c r="A30" s="6" t="inlineStr">
        <is>
          <t>Change in fair value of financial investments at FVOCI</t>
        </is>
      </c>
      <c r="B30" s="6" t="n"/>
      <c r="C30" s="6" t="n"/>
      <c r="D30" s="6" t="n">
        <v>5190</v>
      </c>
      <c r="E30" s="6" t="n">
        <v>5190</v>
      </c>
    </row>
    <row r="31">
      <c r="A31" s="6" t="inlineStr">
        <is>
          <t>Impairment released on financial investments at FVOCI</t>
        </is>
      </c>
      <c r="B31" s="6" t="n"/>
      <c r="C31" s="6" t="n"/>
      <c r="D31" s="6" t="n">
        <v>-7</v>
      </c>
      <c r="E31" s="6" t="n">
        <v>-7</v>
      </c>
    </row>
    <row r="32">
      <c r="A32" s="6" t="inlineStr">
        <is>
          <t>Tax on other comprehensive income</t>
        </is>
      </c>
      <c r="B32" s="6" t="n"/>
      <c r="C32" s="6" t="n"/>
      <c r="D32" s="6" t="n">
        <v>-1297</v>
      </c>
      <c r="E32" s="6" t="n">
        <v>-1297</v>
      </c>
    </row>
    <row r="33">
      <c r="A33" s="5" t="inlineStr">
        <is>
          <t>At 31 December 2025</t>
        </is>
      </c>
      <c r="B33" s="5" t="n">
        <v>200000</v>
      </c>
      <c r="C33" s="5" t="n">
        <v>389313</v>
      </c>
      <c r="D33" s="5" t="n">
        <v>2103</v>
      </c>
      <c r="E33" s="5" t="n">
        <v>591416</v>
      </c>
    </row>
    <row r="35" ht="150" customHeight="1">
      <c r="A35"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Note: the FY2021-2023 Companies House filings are scanned (image-only) documents; those years' figures were transcribed from page renders. The Statement of Changes in Equity reconciles exactly at every year boundary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t>
        </is>
      </c>
    </row>
  </sheetData>
  <mergeCells count="1">
    <mergeCell ref="A35:E3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ICBC (London) plc — Statement of Cash Flows</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Reconciliation of profit for the year to net cash flows from operating activities</t>
        </is>
      </c>
      <c r="B4" s="6" t="n"/>
      <c r="C4" s="6" t="n"/>
      <c r="D4" s="6" t="n"/>
      <c r="E4" s="6" t="n"/>
      <c r="F4" s="6" t="n"/>
    </row>
    <row r="5">
      <c r="A5" s="6" t="inlineStr">
        <is>
          <t>Profit for the year</t>
        </is>
      </c>
      <c r="B5" s="6" t="n">
        <v>42880</v>
      </c>
      <c r="C5" s="6" t="n">
        <v>39663</v>
      </c>
      <c r="D5" s="6" t="n">
        <v>26135</v>
      </c>
      <c r="E5" s="6" t="n">
        <v>11367</v>
      </c>
      <c r="F5" s="6" t="n">
        <v>15516</v>
      </c>
    </row>
    <row r="6">
      <c r="A6" s="6" t="inlineStr">
        <is>
          <t>Depreciation of tangible fixed assets</t>
        </is>
      </c>
      <c r="B6" s="6" t="n">
        <v>1106</v>
      </c>
      <c r="C6" s="6" t="n">
        <v>1073</v>
      </c>
      <c r="D6" s="6" t="n">
        <v>1070</v>
      </c>
      <c r="E6" s="6" t="n">
        <v>1301</v>
      </c>
      <c r="F6" s="6" t="n">
        <v>1819</v>
      </c>
    </row>
    <row r="7">
      <c r="A7" s="6" t="inlineStr">
        <is>
          <t>Amortisation of intangible assets</t>
        </is>
      </c>
      <c r="B7" s="6" t="n">
        <v>102</v>
      </c>
      <c r="C7" s="6" t="n">
        <v>81</v>
      </c>
      <c r="D7" s="6" t="n">
        <v>164</v>
      </c>
      <c r="E7" s="6" t="n">
        <v>162</v>
      </c>
      <c r="F7" s="6" t="n">
        <v>143</v>
      </c>
    </row>
    <row r="8">
      <c r="A8" s="6" t="inlineStr">
        <is>
          <t>Impairment losses</t>
        </is>
      </c>
      <c r="B8" s="6" t="n">
        <v>52</v>
      </c>
      <c r="C8" s="6" t="n">
        <v>-312</v>
      </c>
      <c r="D8" s="6" t="n">
        <v>-1180</v>
      </c>
      <c r="E8" s="6" t="n">
        <v>1052</v>
      </c>
      <c r="F8" s="6" t="n">
        <v>-6532</v>
      </c>
    </row>
    <row r="9">
      <c r="A9" s="6" t="inlineStr">
        <is>
          <t>Interest income</t>
        </is>
      </c>
      <c r="B9" s="6" t="n">
        <v>-73022</v>
      </c>
      <c r="C9" s="6" t="n">
        <v>-80464</v>
      </c>
      <c r="D9" s="6" t="n">
        <v>-64844</v>
      </c>
      <c r="E9" s="6" t="n">
        <v>-27188</v>
      </c>
      <c r="F9" s="6" t="n">
        <v>-19740</v>
      </c>
    </row>
    <row r="10">
      <c r="A10" s="6" t="inlineStr">
        <is>
          <t>Interest expense</t>
        </is>
      </c>
      <c r="B10" s="6" t="n">
        <v>17005</v>
      </c>
      <c r="C10" s="6" t="n">
        <v>24461</v>
      </c>
      <c r="D10" s="6" t="n">
        <v>28971</v>
      </c>
      <c r="E10" s="6" t="n">
        <v>8992</v>
      </c>
      <c r="F10" s="6" t="n">
        <v>4294</v>
      </c>
    </row>
    <row r="11">
      <c r="A11" s="6" t="inlineStr">
        <is>
          <t>Gain on sale of financial investments at FVOCI</t>
        </is>
      </c>
      <c r="B11" s="6" t="n">
        <v>-139</v>
      </c>
      <c r="C11" s="6" t="n">
        <v>0</v>
      </c>
      <c r="D11" s="6" t="n"/>
      <c r="E11" s="6" t="n"/>
      <c r="F11" s="6" t="n">
        <v>0</v>
      </c>
    </row>
    <row r="12">
      <c r="A12" s="6" t="inlineStr">
        <is>
          <t>Exchange gain and accretion of discounts and amortisation of premiums on financial investments</t>
        </is>
      </c>
      <c r="B12" s="6" t="n">
        <v>4619</v>
      </c>
      <c r="C12" s="6" t="n">
        <v>7528</v>
      </c>
      <c r="D12" s="6" t="n">
        <v>-4149</v>
      </c>
      <c r="E12" s="6" t="n">
        <v>21189</v>
      </c>
      <c r="F12" s="6" t="n">
        <v>555</v>
      </c>
    </row>
    <row r="13">
      <c r="A13" s="6" t="inlineStr">
        <is>
          <t>Revaluation (gain)/loss on financial derivatives</t>
        </is>
      </c>
      <c r="B13" s="6" t="n">
        <v>2500</v>
      </c>
      <c r="C13" s="6" t="n">
        <v>-189</v>
      </c>
      <c r="D13" s="6" t="n">
        <v>-66</v>
      </c>
      <c r="E13" s="6" t="n">
        <v>-96</v>
      </c>
      <c r="F13" s="6" t="n">
        <v>-497</v>
      </c>
    </row>
    <row r="14">
      <c r="A14" s="6" t="inlineStr">
        <is>
          <t>Tax on profit on ordinary activities</t>
        </is>
      </c>
      <c r="B14" s="6" t="n">
        <v>14375</v>
      </c>
      <c r="C14" s="6" t="n">
        <v>15178</v>
      </c>
      <c r="D14" s="6" t="n">
        <v>8432</v>
      </c>
      <c r="E14" s="6" t="n">
        <v>3303</v>
      </c>
      <c r="F14" s="6" t="n">
        <v>4280</v>
      </c>
    </row>
    <row r="15">
      <c r="A15" s="5" t="inlineStr">
        <is>
          <t>Changes in operating assets and liabilities</t>
        </is>
      </c>
      <c r="B15" s="6" t="n"/>
      <c r="C15" s="6" t="n"/>
      <c r="D15" s="6" t="n"/>
      <c r="E15" s="6" t="n"/>
      <c r="F15" s="6" t="n"/>
    </row>
    <row r="16">
      <c r="A16" s="6" t="inlineStr">
        <is>
          <t>Loans to banks</t>
        </is>
      </c>
      <c r="B16" s="6" t="n">
        <v>764198</v>
      </c>
      <c r="C16" s="6" t="n">
        <v>-436287</v>
      </c>
      <c r="D16" s="6" t="n">
        <v>136996</v>
      </c>
      <c r="E16" s="6" t="n">
        <v>-160146</v>
      </c>
      <c r="F16" s="6" t="n">
        <v>149827</v>
      </c>
    </row>
    <row r="17">
      <c r="A17" s="6" t="inlineStr">
        <is>
          <t>Loans and advances to customers</t>
        </is>
      </c>
      <c r="B17" s="6" t="n">
        <v>-77176</v>
      </c>
      <c r="C17" s="6" t="n">
        <v>93250</v>
      </c>
      <c r="D17" s="6" t="n">
        <v>-97842</v>
      </c>
      <c r="E17" s="6" t="n">
        <v>-203380</v>
      </c>
      <c r="F17" s="6" t="n">
        <v>305578</v>
      </c>
    </row>
    <row r="18">
      <c r="A18" s="6" t="inlineStr">
        <is>
          <t>Financial investments at FVOCI</t>
        </is>
      </c>
      <c r="B18" s="6" t="n">
        <v>408</v>
      </c>
      <c r="C18" s="6" t="n">
        <v>-60711</v>
      </c>
      <c r="D18" s="6" t="n">
        <v>17973</v>
      </c>
      <c r="E18" s="6" t="n">
        <v>66827</v>
      </c>
      <c r="F18" s="6" t="n">
        <v>46073</v>
      </c>
    </row>
    <row r="19">
      <c r="A19" s="6" t="inlineStr">
        <is>
          <t>Financial investments at amortised cost</t>
        </is>
      </c>
      <c r="B19" s="6" t="n">
        <v>-9488</v>
      </c>
      <c r="C19" s="6" t="n">
        <v>41729</v>
      </c>
      <c r="D19" s="6" t="n">
        <v>106936</v>
      </c>
      <c r="E19" s="6" t="n">
        <v>35881</v>
      </c>
      <c r="F19" s="6" t="n">
        <v>-13036</v>
      </c>
    </row>
    <row r="20">
      <c r="A20" s="6" t="inlineStr">
        <is>
          <t>Other assets</t>
        </is>
      </c>
      <c r="B20" s="6" t="n">
        <v>-3319</v>
      </c>
      <c r="C20" s="6" t="n">
        <v>-957</v>
      </c>
      <c r="D20" s="6" t="n">
        <v>1104</v>
      </c>
      <c r="E20" s="6" t="n">
        <v>-720</v>
      </c>
      <c r="F20" s="6" t="n">
        <v>1762</v>
      </c>
    </row>
    <row r="21">
      <c r="A21" s="6" t="inlineStr">
        <is>
          <t>Deposits by banks</t>
        </is>
      </c>
      <c r="B21" s="6" t="n">
        <v>647415</v>
      </c>
      <c r="C21" s="6" t="n">
        <v>223171</v>
      </c>
      <c r="D21" s="6" t="n">
        <v>-59118</v>
      </c>
      <c r="E21" s="6" t="n">
        <v>399437</v>
      </c>
      <c r="F21" s="6" t="n">
        <v>-699204</v>
      </c>
    </row>
    <row r="22">
      <c r="A22" s="6" t="inlineStr">
        <is>
          <t>Deposits from customers</t>
        </is>
      </c>
      <c r="B22" s="6" t="n">
        <v>-4714</v>
      </c>
      <c r="C22" s="6" t="n">
        <v>-78671</v>
      </c>
      <c r="D22" s="6" t="n">
        <v>-3639</v>
      </c>
      <c r="E22" s="6" t="n">
        <v>-282533</v>
      </c>
      <c r="F22" s="6" t="n">
        <v>143585</v>
      </c>
    </row>
    <row r="23">
      <c r="A23" s="6" t="inlineStr">
        <is>
          <t>Other liabilities</t>
        </is>
      </c>
      <c r="B23" s="6" t="n">
        <v>1613</v>
      </c>
      <c r="C23" s="6" t="n">
        <v>-1030</v>
      </c>
      <c r="D23" s="6" t="n">
        <v>3697</v>
      </c>
      <c r="E23" s="6" t="n">
        <v>-1865</v>
      </c>
      <c r="F23" s="6" t="n">
        <v>1733</v>
      </c>
    </row>
    <row r="24">
      <c r="A24" s="6" t="inlineStr">
        <is>
          <t>Interest received</t>
        </is>
      </c>
      <c r="B24" s="6" t="n">
        <v>72209</v>
      </c>
      <c r="C24" s="6" t="n">
        <v>79076</v>
      </c>
      <c r="D24" s="6" t="n">
        <v>63856</v>
      </c>
      <c r="E24" s="6" t="n">
        <v>27330</v>
      </c>
      <c r="F24" s="6" t="n">
        <v>20462</v>
      </c>
    </row>
    <row r="25">
      <c r="A25" s="6" t="inlineStr">
        <is>
          <t>Interest paid</t>
        </is>
      </c>
      <c r="B25" s="6" t="n">
        <v>-18202</v>
      </c>
      <c r="C25" s="6" t="n">
        <v>-26683</v>
      </c>
      <c r="D25" s="6" t="n">
        <v>-26378</v>
      </c>
      <c r="E25" s="6" t="n">
        <v>-6721</v>
      </c>
      <c r="F25" s="6" t="n">
        <v>-5095</v>
      </c>
    </row>
    <row r="26">
      <c r="A26" s="6" t="inlineStr">
        <is>
          <t>Income tax paid</t>
        </is>
      </c>
      <c r="B26" s="6" t="n">
        <v>-15945</v>
      </c>
      <c r="C26" s="6" t="n">
        <v>-14140</v>
      </c>
      <c r="D26" s="6" t="n">
        <v>-8715</v>
      </c>
      <c r="E26" s="6" t="n">
        <v>-2607</v>
      </c>
      <c r="F26" s="6" t="n">
        <v>-3266</v>
      </c>
    </row>
    <row r="27">
      <c r="A27" s="5" t="inlineStr">
        <is>
          <t>Net cash used in operating activities</t>
        </is>
      </c>
      <c r="B27" s="5" t="n">
        <v>1366477</v>
      </c>
      <c r="C27" s="5" t="n">
        <v>-174234</v>
      </c>
      <c r="D27" s="5" t="n">
        <v>129403</v>
      </c>
      <c r="E27" s="5" t="n">
        <v>-108415</v>
      </c>
      <c r="F27" s="5" t="n">
        <v>-51743</v>
      </c>
    </row>
    <row r="28">
      <c r="A28" s="5" t="inlineStr">
        <is>
          <t>Cash flow from investing activities</t>
        </is>
      </c>
      <c r="B28" s="6" t="n"/>
      <c r="C28" s="6" t="n"/>
      <c r="D28" s="6" t="n"/>
      <c r="E28" s="6" t="n"/>
      <c r="F28" s="6" t="n"/>
    </row>
    <row r="29">
      <c r="A29" s="6" t="inlineStr">
        <is>
          <t>Acquisition of tangible fixed assets</t>
        </is>
      </c>
      <c r="B29" s="6" t="n">
        <v>-638</v>
      </c>
      <c r="C29" s="6" t="n">
        <v>-332</v>
      </c>
      <c r="D29" s="6" t="n">
        <v>-87</v>
      </c>
      <c r="E29" s="6" t="n">
        <v>-367</v>
      </c>
      <c r="F29" s="6" t="n">
        <v>-660</v>
      </c>
    </row>
    <row r="30">
      <c r="A30" s="6" t="inlineStr">
        <is>
          <t>Acquisition of intangible assets</t>
        </is>
      </c>
      <c r="B30" s="6" t="n">
        <v>-126</v>
      </c>
      <c r="C30" s="6" t="n">
        <v>-115</v>
      </c>
      <c r="D30" s="6" t="n">
        <v>-188</v>
      </c>
      <c r="E30" s="6" t="n">
        <v>-158</v>
      </c>
      <c r="F30" s="6" t="n">
        <v>-133</v>
      </c>
    </row>
    <row r="31">
      <c r="A31" s="5" t="inlineStr">
        <is>
          <t>Net cash used in investing activities</t>
        </is>
      </c>
      <c r="B31" s="5" t="n">
        <v>-764</v>
      </c>
      <c r="C31" s="5" t="n">
        <v>-447</v>
      </c>
      <c r="D31" s="5" t="n">
        <v>-275</v>
      </c>
      <c r="E31" s="5" t="n">
        <v>-525</v>
      </c>
      <c r="F31" s="5" t="n">
        <v>-793</v>
      </c>
    </row>
    <row r="32">
      <c r="A32" s="5" t="inlineStr">
        <is>
          <t>Net cash from financing activities</t>
        </is>
      </c>
      <c r="B32" s="5" t="n">
        <v>0</v>
      </c>
      <c r="C32" s="5" t="n">
        <v>0</v>
      </c>
      <c r="D32" s="5" t="n">
        <v>0</v>
      </c>
      <c r="E32" s="5" t="n">
        <v>0</v>
      </c>
      <c r="F32" s="5" t="n">
        <v>0</v>
      </c>
    </row>
    <row r="33">
      <c r="A33" s="5" t="inlineStr">
        <is>
          <t>Net decrease in cash and cash equivalents</t>
        </is>
      </c>
      <c r="B33" s="5" t="n">
        <v>1365713</v>
      </c>
      <c r="C33" s="5" t="n">
        <v>-174681</v>
      </c>
      <c r="D33" s="5" t="n">
        <v>129128</v>
      </c>
      <c r="E33" s="5" t="n">
        <v>-108940</v>
      </c>
      <c r="F33" s="5" t="n">
        <v>-52536</v>
      </c>
    </row>
    <row r="34">
      <c r="A34" s="6" t="inlineStr">
        <is>
          <t>Cash and cash equivalents at 1 January</t>
        </is>
      </c>
      <c r="B34" s="6" t="n">
        <v>139627</v>
      </c>
      <c r="C34" s="6" t="n">
        <v>316971</v>
      </c>
      <c r="D34" s="6" t="n">
        <v>180382</v>
      </c>
      <c r="E34" s="6" t="n">
        <v>307556</v>
      </c>
      <c r="F34" s="6" t="n">
        <v>361540</v>
      </c>
    </row>
    <row r="35">
      <c r="A35" s="6" t="inlineStr">
        <is>
          <t>Effects of exchange rates on cash and cash equivalents</t>
        </is>
      </c>
      <c r="B35" s="6" t="n">
        <v>-6647</v>
      </c>
      <c r="C35" s="6" t="n">
        <v>-2663</v>
      </c>
      <c r="D35" s="6" t="n">
        <v>7461</v>
      </c>
      <c r="E35" s="6" t="n">
        <v>-18234</v>
      </c>
      <c r="F35" s="6" t="n">
        <v>-1448</v>
      </c>
    </row>
    <row r="36">
      <c r="A36" s="5" t="inlineStr">
        <is>
          <t>Cash and cash equivalents at 31 December</t>
        </is>
      </c>
      <c r="B36" s="5" t="n">
        <v>1498693</v>
      </c>
      <c r="C36" s="5" t="n">
        <v>139627</v>
      </c>
      <c r="D36" s="5" t="n">
        <v>316971</v>
      </c>
      <c r="E36" s="5" t="n">
        <v>180382</v>
      </c>
      <c r="F36" s="5" t="n">
        <v>307556</v>
      </c>
    </row>
    <row r="38" ht="140" customHeight="1">
      <c r="A38" s="8" t="inlineStr">
        <is>
          <t>Sources — all figures are ICBC (London) plc Statement of Cash Flows, $'000:
FY2025 &amp; FY2024: ICBC (London) plc Annual Report and Financial Statements 2025, p.27 (Statement of Cash Flows) — https://v.icbc.com.cn/userfiles/Resources/ICBC/haiwai/ICBCLondon/download/2025/ICBCReport2025.pdf
FY2024 comparative cross-checked against ICBC (London) plc Annual Report 2024, p.29 (Statement of Cash flows) — https://v.icbc.com.cn/userfiles/Resources/ICBC/haiwai/ICBCLondon/download/2024/ICBCReport2024.pdf
FY2023: ICBC (London) plc Annual Report and Financial Statements 2023 (Companies House filing, full accounts), p.30 (Statement of Cash flows) — https://find-and-update.company-information.service.gov.uk/company/04552753/filing-history/MzQyNDQ0NTU5OWFkaXF6a2N4/document?format=pdf&amp;download=0
FY2022: ICBC (London) plc Annual Report and Financial Statements 2022 (Companies House filing, full accounts), p.28 (Statement of Cash flows) — https://find-and-update.company-information.service.gov.uk/company/04552753/filing-history/MzM4MTkxOTA4OGFkaXF6a2N4/document?format=pdf&amp;download=0
FY2021: ICBC (London) plc Annual Report and Financial Statements 2021 (Companies House filing, full accounts), p.30 (Statement of Cash flows) — https://find-and-update.company-information.service.gov.uk/company/04552753/filing-history/MzM0MDgwMDM4MGFkaXF6a2N4/document?format=pdf&amp;download=0
Note: the FY2021-2023 Companies House filings are scanned (image-only) documents; those years' figures were transcribed from page renders. All five years cross-reconcile exactly year-on-year (each year's closing cash and cash equivalents equals the following year's opening balance). 'Gain on sale of financial investments at FVOCI' was not a separate line in the FY2022/FY2023 statements (folded into the exchange gain/amortisation line); blank cells indicate that year's statement did not disclose that specific line. The source document's own labels ('Net decrease in cash and cash equivalents', 'Net cash used in operating activities') are reproduced verbatim even in years where the reported figure is positive.</t>
        </is>
      </c>
    </row>
  </sheetData>
  <mergeCells count="1">
    <mergeCell ref="A38:F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ICBC (London) plc — Asset Quality</t>
        </is>
      </c>
    </row>
    <row r="2">
      <c r="A2" s="2" t="inlineStr">
        <is>
          <t>Loans and advances to customers, 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by IFRS 9 stage</t>
        </is>
      </c>
      <c r="B4" s="6" t="n"/>
      <c r="C4" s="6" t="n"/>
      <c r="D4" s="6" t="n"/>
      <c r="E4" s="6" t="n"/>
      <c r="F4" s="6" t="n"/>
    </row>
    <row r="5">
      <c r="A5" s="6" t="inlineStr">
        <is>
          <t>Gross carrying amount</t>
        </is>
      </c>
      <c r="B5" s="6" t="n">
        <v>413561</v>
      </c>
      <c r="C5" s="6" t="n">
        <v>336385</v>
      </c>
      <c r="D5" s="6" t="n">
        <v>429636</v>
      </c>
      <c r="E5" s="6" t="n">
        <v>331794</v>
      </c>
      <c r="F5" s="6" t="n">
        <v>128414</v>
      </c>
    </row>
    <row r="6">
      <c r="A6" s="6" t="inlineStr">
        <is>
          <t>Stage 1 loss allowance</t>
        </is>
      </c>
      <c r="B6" s="6" t="n">
        <v>-235</v>
      </c>
      <c r="C6" s="6" t="n">
        <v>-129</v>
      </c>
      <c r="D6" s="6" t="n">
        <v>-355</v>
      </c>
      <c r="E6" s="6" t="n">
        <v>-310</v>
      </c>
      <c r="F6" s="6" t="n">
        <v>-66</v>
      </c>
    </row>
    <row r="7">
      <c r="A7" s="6" t="inlineStr">
        <is>
          <t>Stage 2 loss allowance</t>
        </is>
      </c>
      <c r="B7" s="6" t="n">
        <v>0</v>
      </c>
      <c r="C7" s="6" t="n">
        <v>0</v>
      </c>
      <c r="D7" s="6" t="n">
        <v>0</v>
      </c>
      <c r="E7" s="6" t="n">
        <v>0</v>
      </c>
      <c r="F7" s="6" t="n">
        <v>0</v>
      </c>
    </row>
    <row r="8">
      <c r="A8" s="6" t="inlineStr">
        <is>
          <t>Stage 3 loss allowance</t>
        </is>
      </c>
      <c r="B8" s="6" t="n">
        <v>0</v>
      </c>
      <c r="C8" s="6" t="n">
        <v>0</v>
      </c>
      <c r="D8" s="6" t="n">
        <v>0</v>
      </c>
      <c r="E8" s="6" t="n">
        <v>0</v>
      </c>
      <c r="F8" s="6" t="n">
        <v>0</v>
      </c>
    </row>
    <row r="9">
      <c r="A9" s="5" t="inlineStr">
        <is>
          <t>Net carrying amount</t>
        </is>
      </c>
      <c r="B9" s="5" t="n">
        <v>413326</v>
      </c>
      <c r="C9" s="5" t="n">
        <v>336256</v>
      </c>
      <c r="D9" s="5" t="n">
        <v>429281</v>
      </c>
      <c r="E9" s="5" t="n">
        <v>331484</v>
      </c>
      <c r="F9" s="5" t="n">
        <v>128348</v>
      </c>
    </row>
    <row r="10">
      <c r="A10" s="6" t="inlineStr">
        <is>
          <t>Stage 1 coverage ratio (Stage 1 allowance / gross carrying amount)</t>
        </is>
      </c>
      <c r="B10" s="6" t="inlineStr">
        <is>
          <t>0.06%</t>
        </is>
      </c>
      <c r="C10" s="6" t="inlineStr">
        <is>
          <t>0.04%</t>
        </is>
      </c>
      <c r="D10" s="6" t="inlineStr">
        <is>
          <t>0.08%</t>
        </is>
      </c>
      <c r="E10" s="6" t="inlineStr">
        <is>
          <t>0.09%</t>
        </is>
      </c>
      <c r="F10" s="6" t="inlineStr">
        <is>
          <t>0.05%</t>
        </is>
      </c>
    </row>
    <row r="11">
      <c r="A11" s="6" t="inlineStr">
        <is>
          <t>Stage 2/3 (impaired) exposure as % of gross carrying amount</t>
        </is>
      </c>
      <c r="B11" s="6" t="inlineStr">
        <is>
          <t>0.00%</t>
        </is>
      </c>
      <c r="C11" s="6" t="inlineStr">
        <is>
          <t>0.00%</t>
        </is>
      </c>
      <c r="D11" s="6" t="inlineStr">
        <is>
          <t>0.00%</t>
        </is>
      </c>
      <c r="E11" s="6" t="inlineStr">
        <is>
          <t>0.00%</t>
        </is>
      </c>
      <c r="F11" s="6" t="inlineStr">
        <is>
          <t>0.00%</t>
        </is>
      </c>
    </row>
    <row r="13" ht="170" customHeight="1">
      <c r="A13" s="8" t="inlineStr">
        <is>
          <t>Sources — ICBC (London) plc, Loans and advances to customers, $'000, IFRS 9 stage-1/2/3 impairment allowance breakdown:
FY2025: Annual Report 2025, Note 11(i) — https://v.icbc.com.cn/userfiles/Resources/ICBC/haiwai/ICBCLondon/download/2025/ICBCReport2025.pdf
FY2024: Annual Report 2025, Note 11(i) (2024 comparative) — https://v.icbc.com.cn/userfiles/Resources/ICBC/haiwai/ICBCLondon/download/2025/ICBCReport2025.pdf. Cross-checked against Annual Report 2024, Note 11(i) — https://v.icbc.com.cn/userfiles/Resources/ICBC/haiwai/ICBCLondon/download/2024/ICBCReport2024.pdf
FY2023: Annual Report 2024, Note 11(i) (2023 comparative) — https://v.icbc.com.cn/userfiles/Resources/ICBC/haiwai/ICBCLondon/download/2024/ICBCReport2024.pdf
FY2022: Annual Report 2023 (Companies House filing), Note 11(i) — https://find-and-update.company-information.service.gov.uk/company/04552753/filing-history/MzQyNDQ0NTU5OWFkaXF6a2N4/document?format=pdf&amp;download=0
FY2021: Annual Report 2022 (Companies House filing), Note 11(i) — https://find-and-update.company-information.service.gov.uk/company/04552753/filing-history/MzM4MTkxOTA4OGFkaXF6a2N4/document?format=pdf&amp;download=0
Gross carrying amount and net carrying amount for Loans and advances to customers sourced from each year's own Note 10 (or comparative column); confirmed by reading Note 11 in full for every year that the Bank's entire loans-and-advances-to-customers book sits in IFRS 9 Stage 1 throughout FY2021-FY2025 - no Stage 2 or Stage 3 balance has existed at any year-end in this range (a genuine feature of this book, not an omission - Stage 2 exposure of $4,594k did exist at the opening of FY2021 per the Bank's own comparative disclosure, but had cleared to nil by 31 December 2021, before this workbook's coverage begins). Loans and advances to banks (inter-bank placements) are kept separate from the customer loan book above and are not included in this sheet's coverage or ratios, consistent with how other banks in this project separate Inter-Group/interbank placements from customer-facing credit risk.</t>
        </is>
      </c>
    </row>
  </sheetData>
  <mergeCells count="1">
    <mergeCell ref="A13:F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ICBC (London) plc — CET1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547878</v>
      </c>
      <c r="C4" s="6" t="n">
        <v>504454</v>
      </c>
      <c r="D4" s="6" t="n">
        <v>474459</v>
      </c>
      <c r="E4" s="6" t="n"/>
      <c r="F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Pillar 3 disclosures are only publicly available from FY2024 onward (the 2025 document's own comparative columns reach back to 31/12/2024; the 2024 document's comparative columns reach back to 31/12/2023). No FY2022 or FY2021 Pillar 3 disclosure document exists on the bank's site. The FY2024 RWA/ratio figures used here are taken from the FY2024 disclosure's own current-period column rather than the FY2025 disclosure's restated comparative column, which shows a slightly different RWA (715,739.38 vs. 719,040.48) and CET1/Tier1/Total capital ratio (70.48% vs. 70.16%) for the same date despite an identical capital figure — both are the bank's own official disclosures.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ICBC (London) plc — CET1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81.09%</t>
        </is>
      </c>
      <c r="C4" s="6" t="inlineStr">
        <is>
          <t>70.16%</t>
        </is>
      </c>
      <c r="D4" s="6" t="inlineStr">
        <is>
          <t>56.30%</t>
        </is>
      </c>
      <c r="E4" s="6" t="n"/>
      <c r="F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Pillar 3 disclosures are only publicly available from FY2024 onward (the 2025 document's own comparative columns reach back to 31/12/2024; the 2024 document's comparative columns reach back to 31/12/2023). No FY2022 or FY2021 Pillar 3 disclosure document exists on the bank's site. The FY2024 RWA/ratio figures used here are taken from the FY2024 disclosure's own current-period column rather than the FY2025 disclosure's restated comparative column, which shows a slightly different RWA (715,739.38 vs. 719,040.48) and CET1/Tier1/Total capital ratio (70.48% vs. 70.16%) for the same date despite an identical capital figure — both are the bank's own official disclosures.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ICBC (London) plc — Tier 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547878</v>
      </c>
      <c r="C4" s="6" t="n">
        <v>504454</v>
      </c>
      <c r="D4" s="6" t="n">
        <v>474459</v>
      </c>
      <c r="E4" s="6" t="n"/>
      <c r="F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Pillar 3 disclosures are only publicly available from FY2024 onward (the 2025 document's own comparative columns reach back to 31/12/2024; the 2024 document's comparative columns reach back to 31/12/2023). No FY2022 or FY2021 Pillar 3 disclosure document exists on the bank's site. The FY2024 RWA/ratio figures used here are taken from the FY2024 disclosure's own current-period column rather than the FY2025 disclosure's restated comparative column, which shows a slightly different RWA (715,739.38 vs. 719,040.48) and CET1/Tier1/Total capital ratio (70.48% vs. 70.16%) for the same date despite an identical capital figure — both are the bank's own official disclosures.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ICBC (London) plc — Tier 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81.09%</t>
        </is>
      </c>
      <c r="C4" s="6" t="inlineStr">
        <is>
          <t>70.16%</t>
        </is>
      </c>
      <c r="D4" s="6" t="inlineStr">
        <is>
          <t>56.30%</t>
        </is>
      </c>
      <c r="E4" s="6" t="n"/>
      <c r="F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Pillar 3 disclosures are only publicly available from FY2024 onward (the 2025 document's own comparative columns reach back to 31/12/2024; the 2024 document's comparative columns reach back to 31/12/2023). No FY2022 or FY2021 Pillar 3 disclosure document exists on the bank's site. The FY2024 RWA/ratio figures used here are taken from the FY2024 disclosure's own current-period column rather than the FY2025 disclosure's restated comparative column, which shows a slightly different RWA (715,739.38 vs. 719,040.48) and CET1/Tier1/Total capital ratio (70.48% vs. 70.16%) for the same date despite an identical capital figure — both are the bank's own official disclosures.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ICBC (London) plc — Total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547878</v>
      </c>
      <c r="C4" s="6" t="n">
        <v>504454</v>
      </c>
      <c r="D4" s="6" t="n">
        <v>474459</v>
      </c>
      <c r="E4" s="6" t="n"/>
      <c r="F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Pillar 3 disclosures are only publicly available from FY2024 onward (the 2025 document's own comparative columns reach back to 31/12/2024; the 2024 document's comparative columns reach back to 31/12/2023). No FY2022 or FY2021 Pillar 3 disclosure document exists on the bank's site. The FY2024 RWA/ratio figures used here are taken from the FY2024 disclosure's own current-period column rather than the FY2025 disclosure's restated comparative column, which shows a slightly different RWA (715,739.38 vs. 719,040.48) and CET1/Tier1/Total capital ratio (70.48% vs. 70.16%) for the same date despite an identical capital figure — both are the bank's own official disclosures.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ICBC (London) plc — Total Capital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81.09%</t>
        </is>
      </c>
      <c r="C4" s="6" t="inlineStr">
        <is>
          <t>70.16%</t>
        </is>
      </c>
      <c r="D4" s="6" t="inlineStr">
        <is>
          <t>56.30%</t>
        </is>
      </c>
      <c r="E4" s="6" t="n"/>
      <c r="F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Pillar 3 disclosures are only publicly available from FY2024 onward (the 2025 document's own comparative columns reach back to 31/12/2024; the 2024 document's comparative columns reach back to 31/12/2023). No FY2022 or FY2021 Pillar 3 disclosure document exists on the bank's site. The FY2024 RWA/ratio figures used here are taken from the FY2024 disclosure's own current-period column rather than the FY2025 disclosure's restated comparative column, which shows a slightly different RWA (715,739.38 vs. 719,040.48) and CET1/Tier1/Total capital ratio (70.48% vs. 70.16%) for the same date despite an identical capital figure — both are the bank's own official disclosures.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ICBC (London) plc — Total RWAs</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675668</v>
      </c>
      <c r="C4" s="6" t="n">
        <v>719040</v>
      </c>
      <c r="D4" s="6" t="n">
        <v>842738</v>
      </c>
      <c r="E4" s="6" t="n"/>
      <c r="F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Pillar 3 disclosures are only publicly available from FY2024 onward (the 2025 document's own comparative columns reach back to 31/12/2024; the 2024 document's comparative columns reach back to 31/12/2023). No FY2022 or FY2021 Pillar 3 disclosure document exists on the bank's site. The FY2024 RWA/ratio figures used here are taken from the FY2024 disclosure's own current-period column rather than the FY2025 disclosure's restated comparative column, which shows a slightly different RWA (715,739.38 vs. 719,040.48) and CET1/Tier1/Total capital ratio (70.48% vs. 70.16%) for the same date despite an identical capital figure — both are the bank's own official disclosures.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ICBC (London) plc — RWA Breakdown</t>
        </is>
      </c>
    </row>
    <row r="2">
      <c r="A2" s="2" t="inlineStr">
        <is>
          <t>Solo basis, UK OV1 template,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v>590477.63</v>
      </c>
      <c r="C4" s="6" t="n">
        <v>660913.86</v>
      </c>
      <c r="D4" s="6" t="n"/>
      <c r="E4" s="6" t="n"/>
      <c r="F4" s="6" t="n"/>
    </row>
    <row r="5">
      <c r="A5" s="6" t="inlineStr">
        <is>
          <t>Counterparty credit risk (CCR)</t>
        </is>
      </c>
      <c r="B5" s="6" t="n">
        <v>748.8099999999999</v>
      </c>
      <c r="C5" s="6" t="n">
        <v>294.72</v>
      </c>
      <c r="D5" s="6" t="n"/>
      <c r="E5" s="6" t="n"/>
      <c r="F5" s="6" t="n"/>
    </row>
    <row r="6">
      <c r="A6" s="6" t="inlineStr">
        <is>
          <t>Operational risk</t>
        </is>
      </c>
      <c r="B6" s="6" t="n">
        <v>84197.3</v>
      </c>
      <c r="C6" s="6" t="n">
        <v>57831.9</v>
      </c>
      <c r="D6" s="6" t="n"/>
      <c r="E6" s="6" t="n"/>
      <c r="F6" s="6" t="n"/>
    </row>
    <row r="7">
      <c r="A7" s="5" t="inlineStr">
        <is>
          <t>Total risk weighted exposure amount</t>
        </is>
      </c>
      <c r="B7" s="5" t="n">
        <v>675423.74</v>
      </c>
      <c r="C7" s="5" t="n">
        <v>719040.48</v>
      </c>
      <c r="D7" s="5" t="n"/>
      <c r="E7" s="5" t="n"/>
      <c r="F7" s="5" t="n"/>
    </row>
    <row r="9" ht="170" customHeight="1">
      <c r="A9" s="8" t="inlineStr">
        <is>
          <t>Sources — ICBC (London) plc (solo basis), Annex 1 — UK OV1 template (Overview of risk weighted exposure amounts), $'000:
FY2025: ICBC (London) plc Pillar 3 Disclosures 2025, p.14-15 (31/12/2025 column) — https://v.icbc.com.cn/userfiles/Resources/ICBC/haiwai/ICBCLondon/download/2025/2025_pillar_3_disclosure.pdf
FY2024: ICBC (London) plc Pillar 3 Disclosures 2024, p.15-16 (31/12/2024 column) — https://v.icbc.com.cn/userfiles/Resources/ICBC/haiwai/ICBCLondon/download/2024/2024_pillar_3_disclosure.pdf
Note: the OV1 category-level RWA breakdown table is only publicly available from FY2024 onward (same disclosure-start limitation as the other Pillar 3 sheets in this workbook - see the CET1/Tier 1/etc. sheets' own source note). No FY2023, FY2022 or FY2021 OV1 table exists; only the aggregate Total RWA figure for those years is disclosed (in the KM1 template, see the Total RWAs sheet), not a category-level split. FY2025's OV1 Total ($675,423.74k) and FY2024's OV1 Total ($719,040.48k, matching the Total RWAs sheet's disclosed figure exactly) both come from the Bank's own Pillar 3 documents; FY2025's OV1 Total differs slightly ($675,423.74k vs. $675,668k) from the Total RWAs sheet's KM1-sourced figure for the same date - both are the Bank's own official disclosures, reproduced as reported rather than force-reconciled.</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ICBC (London) plc — Leverage Ratio</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total exposure measure ($'000)</t>
        </is>
      </c>
      <c r="B4" s="6" t="n">
        <v>1153889</v>
      </c>
      <c r="C4" s="6" t="n">
        <v>1493767</v>
      </c>
      <c r="D4" s="6" t="n">
        <v>1339718</v>
      </c>
      <c r="E4" s="6" t="n"/>
      <c r="F4" s="6" t="n"/>
    </row>
    <row r="5">
      <c r="A5" s="6" t="inlineStr">
        <is>
          <t>Leverage ratio (%)</t>
        </is>
      </c>
      <c r="B5" s="6" t="inlineStr">
        <is>
          <t>47.48%</t>
        </is>
      </c>
      <c r="C5" s="6" t="inlineStr">
        <is>
          <t>33.77%</t>
        </is>
      </c>
      <c r="D5" s="6" t="inlineStr">
        <is>
          <t>35.41%</t>
        </is>
      </c>
      <c r="E5" s="6" t="n"/>
      <c r="F5" s="6" t="n"/>
    </row>
    <row r="7" ht="140" customHeight="1">
      <c r="A7"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Pillar 3 disclosures are only publicly available from FY2024 onward (the 2025 document's own comparative columns reach back to 31/12/2024; the 2024 document's comparative columns reach back to 31/12/2023). No FY2022 or FY2021 Pillar 3 disclosure document exists on the bank's site. The FY2024 RWA/ratio figures used here are taken from the FY2024 disclosure's own current-period column rather than the FY2025 disclosure's restated comparative column, which shows a slightly different RWA (715,739.38 vs. 719,040.48) and CET1/Tier1/Total capital ratio (70.48% vs. 70.16%) for the same date despite an identical capital figure — both are the bank's own official disclosures.</t>
        </is>
      </c>
    </row>
  </sheetData>
  <mergeCells count="1">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ICBC (London) plc — LCR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($'000)</t>
        </is>
      </c>
      <c r="B4" s="6" t="n">
        <v>1374779</v>
      </c>
      <c r="C4" s="6" t="n">
        <v>328482</v>
      </c>
      <c r="D4" s="6" t="n">
        <v>384069</v>
      </c>
      <c r="E4" s="6" t="n"/>
      <c r="F4" s="6" t="n"/>
    </row>
    <row r="5">
      <c r="A5" s="6" t="inlineStr">
        <is>
          <t>Total net cash outflows, adjusted value ($'000)</t>
        </is>
      </c>
      <c r="B5" s="6" t="n">
        <v>956680</v>
      </c>
      <c r="C5" s="6" t="n">
        <v>187564</v>
      </c>
      <c r="D5" s="6" t="n">
        <v>136060</v>
      </c>
      <c r="E5" s="6" t="n"/>
      <c r="F5" s="6" t="n"/>
    </row>
    <row r="6">
      <c r="A6" s="6" t="inlineStr">
        <is>
          <t>Liquidity Coverage Ratio (%)</t>
        </is>
      </c>
      <c r="B6" s="6" t="inlineStr">
        <is>
          <t>143.70%</t>
        </is>
      </c>
      <c r="C6" s="6" t="inlineStr">
        <is>
          <t>175.13%</t>
        </is>
      </c>
      <c r="D6" s="6" t="inlineStr">
        <is>
          <t>282.28%</t>
        </is>
      </c>
      <c r="E6" s="6" t="n"/>
      <c r="F6" s="6" t="n"/>
    </row>
    <row r="7" ht="60" customHeight="1">
      <c r="A7" s="7" t="inlineStr">
        <is>
          <t>Note: LCR figures are single month-end (31 December) spot observations as disclosed in the KM1 template, not a 12-month trailing average.</t>
        </is>
      </c>
    </row>
    <row r="9" ht="140" customHeight="1">
      <c r="A9"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Pillar 3 disclosures are only publicly available from FY2024 onward (the 2025 document's own comparative columns reach back to 31/12/2024; the 2024 document's comparative columns reach back to 31/12/2023). No FY2022 or FY2021 Pillar 3 disclosure document exists on the bank's site. The FY2024 RWA/ratio figures used here are taken from the FY2024 disclosure's own current-period column rather than the FY2025 disclosure's restated comparative column, which shows a slightly different RWA (715,739.38 vs. 719,040.48) and CET1/Tier1/Total capital ratio (70.48% vs. 70.16%) for the same date despite an identical capital figure — both are the bank's own official disclosures.</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ICBC (London) plc — NSFR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($'000)</t>
        </is>
      </c>
      <c r="B4" s="6" t="n">
        <v>581574</v>
      </c>
      <c r="C4" s="6" t="n">
        <v>608924</v>
      </c>
      <c r="D4" s="6" t="n">
        <v>694607</v>
      </c>
      <c r="E4" s="6" t="n"/>
      <c r="F4" s="6" t="n"/>
    </row>
    <row r="5">
      <c r="A5" s="6" t="inlineStr">
        <is>
          <t>Total required stable funding ($'000)</t>
        </is>
      </c>
      <c r="B5" s="6" t="n">
        <v>335509</v>
      </c>
      <c r="C5" s="6" t="n">
        <v>407762</v>
      </c>
      <c r="D5" s="6" t="n">
        <v>511527</v>
      </c>
      <c r="E5" s="6" t="n"/>
      <c r="F5" s="6" t="n"/>
    </row>
    <row r="6">
      <c r="A6" s="6" t="inlineStr">
        <is>
          <t>Net Stable Funding Ratio (%)</t>
        </is>
      </c>
      <c r="B6" s="6" t="inlineStr">
        <is>
          <t>173.34%</t>
        </is>
      </c>
      <c r="C6" s="6" t="inlineStr">
        <is>
          <t>149.33%</t>
        </is>
      </c>
      <c r="D6" s="6" t="inlineStr">
        <is>
          <t>135.79%</t>
        </is>
      </c>
      <c r="E6" s="6" t="n"/>
      <c r="F6" s="6" t="n"/>
    </row>
    <row r="8" ht="140" customHeight="1">
      <c r="A8"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Pillar 3 disclosures are only publicly available from FY2024 onward (the 2025 document's own comparative columns reach back to 31/12/2024; the 2024 document's comparative columns reach back to 31/12/2023). No FY2022 or FY2021 Pillar 3 disclosure document exists on the bank's site. The FY2024 RWA/ratio figures used here are taken from the FY2024 disclosure's own current-period column rather than the FY2025 disclosure's restated comparative column, which shows a slightly different RWA (715,739.38 vs. 719,040.48) and CET1/Tier1/Total capital ratio (70.48% vs. 70.16%) for the same date despite an identical capital figure — both are the bank's own official disclosures.</t>
        </is>
      </c>
    </row>
  </sheetData>
  <mergeCells count="1">
    <mergeCell ref="A8:F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ICBC (London)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5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MREL is not referenced anywhere in either available Pillar 3 disclosure document; ICBC (London) plc does not appear to be subject to a separate MREL requirement.</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2026-09-03T10:41:28Z</dcterms:created>
  <dcterms:modified xmlns:dcterms="http://purl.org/dc/terms/" xmlns:xsi="http://www.w3.org/2001/XMLSchema-instance" xsi:type="dcterms:W3CDTF">2026-09-03T10:41:28Z</dcterms:modified>
</cp:coreProperties>
</file>