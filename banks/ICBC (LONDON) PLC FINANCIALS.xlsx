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E5395"/>
        <bgColor rgb="002E539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ICBC (London)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ICBC (London)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xmlns:a="http://schemas.openxmlformats.org/drawingml/2006/main">
              <a:prstDash val="solid"/>
            </a:ln>
          </spPr>
          <marker>
            <symbol val="none"/>
            <spPr>
              <a:ln xmlns:a="http://schemas.openxmlformats.org/drawingml/2006/main">
                <a:prstDash val="solid"/>
              </a:ln>
            </spPr>
          </marker>
          <cat>
            <numRef>
              <f>'Overview'!$R$5:$V$5</f>
            </numRef>
          </cat>
          <val>
            <numRef>
              <f>'Overview'!$R$6:$V$6</f>
            </numRef>
          </val>
          <smooth val="0"/>
        </ser>
        <ser>
          <idx val="1"/>
          <order val="1"/>
          <tx>
            <strRef>
              <f>'Overview'!Q7</f>
            </strRef>
          </tx>
          <spPr>
            <a:ln xmlns:a="http://schemas.openxmlformats.org/drawingml/2006/main">
              <a:prstDash val="solid"/>
            </a:ln>
          </spPr>
          <marker>
            <symbol val="none"/>
            <spPr>
              <a:ln xmlns:a="http://schemas.openxmlformats.org/drawingml/2006/main">
                <a:prstDash val="solid"/>
              </a:ln>
            </spPr>
          </marker>
          <cat>
            <numRef>
              <f>'Overview'!$R$5:$V$5</f>
            </numRef>
          </cat>
          <val>
            <numRef>
              <f>'Overview'!$R$7:$V$7</f>
            </numRef>
          </val>
          <smooth val="0"/>
        </ser>
        <ser>
          <idx val="2"/>
          <order val="2"/>
          <tx>
            <strRef>
              <f>'Overview'!Q8</f>
            </strRef>
          </tx>
          <spPr>
            <a:ln xmlns:a="http://schemas.openxmlformats.org/drawingml/2006/main">
              <a:prstDash val="solid"/>
            </a:ln>
          </spPr>
          <marker>
            <symbol val="none"/>
            <spPr>
              <a:ln xmlns:a="http://schemas.openxmlformats.org/drawingml/2006/main">
                <a:prstDash val="solid"/>
              </a:ln>
            </spPr>
          </marker>
          <cat>
            <numRef>
              <f>'Overview'!$R$5:$V$5</f>
            </numRef>
          </cat>
          <val>
            <numRef>
              <f>'Overview'!$R$8:$V$8</f>
            </numRef>
          </val>
          <smooth val="0"/>
        </ser>
        <ser>
          <idx val="3"/>
          <order val="3"/>
          <tx>
            <strRef>
              <f>'Overview'!Q9</f>
            </strRef>
          </tx>
          <spPr>
            <a:ln xmlns:a="http://schemas.openxmlformats.org/drawingml/2006/main">
              <a:prstDash val="solid"/>
            </a:ln>
          </spPr>
          <marker>
            <symbol val="none"/>
            <spPr>
              <a:ln xmlns:a="http://schemas.openxmlformats.org/drawingml/2006/main">
                <a:prstDash val="solid"/>
              </a:ln>
            </spPr>
          </marker>
          <cat>
            <numRef>
              <f>'Overview'!$R$5:$V$5</f>
            </numRef>
          </cat>
          <val>
            <numRef>
              <f>'Overview'!$R$9:$V$9</f>
            </numRef>
          </val>
          <smooth val="0"/>
        </ser>
        <ser>
          <idx val="4"/>
          <order val="4"/>
          <tx>
            <strRef>
              <f>'Overview'!Q10</f>
            </strRef>
          </tx>
          <spPr>
            <a:ln xmlns:a="http://schemas.openxmlformats.org/drawingml/2006/main">
              <a:prstDash val="solid"/>
            </a:ln>
          </spPr>
          <marker>
            <symbol val="none"/>
            <spPr>
              <a:ln xmlns:a="http://schemas.openxmlformats.org/drawingml/2006/main">
                <a:prstDash val="solid"/>
              </a:ln>
            </spPr>
          </marker>
          <cat>
            <numRef>
              <f>'Overview'!$R$5:$V$5</f>
            </numRef>
          </cat>
          <val>
            <numRef>
              <f>'Overview'!$R$10:$V$10</f>
            </numRef>
          </val>
          <smooth val="0"/>
        </ser>
        <ser>
          <idx val="5"/>
          <order val="5"/>
          <tx>
            <strRef>
              <f>'Overview'!Q11</f>
            </strRef>
          </tx>
          <spPr>
            <a:ln xmlns:a="http://schemas.openxmlformats.org/drawingml/2006/main">
              <a:prstDash val="solid"/>
            </a:ln>
          </spPr>
          <marker>
            <symbol val="none"/>
            <spPr>
              <a:ln xmlns:a="http://schemas.openxmlformats.org/drawingml/2006/mai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44</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ICBC (London) plc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used in operating activities</t>
        </is>
      </c>
      <c r="B6" s="5" t="n">
        <v>1366477</v>
      </c>
      <c r="C6" s="5" t="n">
        <v>-174234</v>
      </c>
      <c r="D6" s="5" t="n">
        <v>129403</v>
      </c>
      <c r="E6" s="5" t="n">
        <v>-108415</v>
      </c>
      <c r="F6" s="5" t="n">
        <v>-51743</v>
      </c>
      <c r="I6" t="inlineStr">
        <is>
          <t>Net cash used in operating activities</t>
        </is>
      </c>
      <c r="J6" t="n">
        <v>-51743</v>
      </c>
      <c r="K6" t="n">
        <v>-108415</v>
      </c>
      <c r="L6" t="n">
        <v>129403</v>
      </c>
      <c r="M6" t="n">
        <v>-174234</v>
      </c>
      <c r="N6" t="n">
        <v>1366477</v>
      </c>
      <c r="Q6" t="inlineStr">
        <is>
          <t>CET1 Ratio</t>
        </is>
      </c>
      <c r="T6" t="n">
        <v>56.3</v>
      </c>
      <c r="U6" t="n">
        <v>70.16</v>
      </c>
      <c r="V6" t="n">
        <v>81.09</v>
      </c>
    </row>
    <row r="7">
      <c r="A7" s="5" t="inlineStr">
        <is>
          <t>Net cash used in investing activities</t>
        </is>
      </c>
      <c r="B7" s="5" t="n">
        <v>-764</v>
      </c>
      <c r="C7" s="5" t="n">
        <v>-447</v>
      </c>
      <c r="D7" s="5" t="n">
        <v>-275</v>
      </c>
      <c r="E7" s="5" t="n">
        <v>-525</v>
      </c>
      <c r="F7" s="5" t="n">
        <v>-793</v>
      </c>
      <c r="I7" t="inlineStr">
        <is>
          <t>Net cash used in investing activities</t>
        </is>
      </c>
      <c r="J7" t="n">
        <v>-793</v>
      </c>
      <c r="K7" t="n">
        <v>-525</v>
      </c>
      <c r="L7" t="n">
        <v>-275</v>
      </c>
      <c r="M7" t="n">
        <v>-447</v>
      </c>
      <c r="N7" t="n">
        <v>-764</v>
      </c>
      <c r="Q7" t="inlineStr">
        <is>
          <t>Tier 1 Ratio</t>
        </is>
      </c>
      <c r="T7" t="n">
        <v>56.3</v>
      </c>
      <c r="U7" t="n">
        <v>70.16</v>
      </c>
      <c r="V7" t="n">
        <v>81.09</v>
      </c>
    </row>
    <row r="8">
      <c r="A8" s="5" t="inlineStr">
        <is>
          <t>Net cash from financing activities</t>
        </is>
      </c>
      <c r="B8" s="5" t="n">
        <v>0</v>
      </c>
      <c r="C8" s="5" t="n">
        <v>0</v>
      </c>
      <c r="D8" s="5" t="n">
        <v>0</v>
      </c>
      <c r="E8" s="5" t="n">
        <v>0</v>
      </c>
      <c r="F8" s="5" t="n">
        <v>0</v>
      </c>
      <c r="I8" t="inlineStr">
        <is>
          <t>Net cash from financing activities</t>
        </is>
      </c>
      <c r="J8" t="n">
        <v>0</v>
      </c>
      <c r="K8" t="n">
        <v>0</v>
      </c>
      <c r="L8" t="n">
        <v>0</v>
      </c>
      <c r="M8" t="n">
        <v>0</v>
      </c>
      <c r="N8" t="n">
        <v>0</v>
      </c>
      <c r="Q8" t="inlineStr">
        <is>
          <t>Total Capital Ratio</t>
        </is>
      </c>
      <c r="T8" t="n">
        <v>56.3</v>
      </c>
      <c r="U8" t="n">
        <v>70.16</v>
      </c>
      <c r="V8" t="n">
        <v>81.09</v>
      </c>
    </row>
    <row r="9">
      <c r="A9" s="5" t="inlineStr">
        <is>
          <t>Cash and cash equivalents at 31 December</t>
        </is>
      </c>
      <c r="B9" s="5" t="n">
        <v>1498693</v>
      </c>
      <c r="C9" s="5" t="n">
        <v>139627</v>
      </c>
      <c r="D9" s="5" t="n">
        <v>316971</v>
      </c>
      <c r="E9" s="5" t="n">
        <v>180382</v>
      </c>
      <c r="F9" s="5" t="n">
        <v>307556</v>
      </c>
      <c r="I9" t="inlineStr">
        <is>
          <t>Cash and cash equivalents at 31 December</t>
        </is>
      </c>
      <c r="J9" t="n">
        <v>307556</v>
      </c>
      <c r="K9" t="n">
        <v>180382</v>
      </c>
      <c r="L9" t="n">
        <v>316971</v>
      </c>
      <c r="M9" t="n">
        <v>139627</v>
      </c>
      <c r="N9" t="n">
        <v>1498693</v>
      </c>
      <c r="Q9" t="inlineStr">
        <is>
          <t>Leverage Ratio</t>
        </is>
      </c>
      <c r="T9" t="n">
        <v>35.41</v>
      </c>
      <c r="U9" t="n">
        <v>33.77</v>
      </c>
      <c r="V9" t="n">
        <v>47.48</v>
      </c>
    </row>
    <row r="10">
      <c r="Q10" t="inlineStr">
        <is>
          <t>LCR</t>
        </is>
      </c>
      <c r="T10" t="n">
        <v>282.28</v>
      </c>
      <c r="U10" t="n">
        <v>175.13</v>
      </c>
      <c r="V10" t="n">
        <v>143.7</v>
      </c>
    </row>
    <row r="11">
      <c r="A11" s="3" t="inlineStr">
        <is>
          <t>Pillar 3 Key Metrics</t>
        </is>
      </c>
      <c r="Q11" t="inlineStr">
        <is>
          <t>NSFR</t>
        </is>
      </c>
      <c r="T11" t="n">
        <v>135.79</v>
      </c>
      <c r="U11" t="n">
        <v>149.33</v>
      </c>
      <c r="V11" t="n">
        <v>173.34</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81.09%</t>
        </is>
      </c>
      <c r="C13" s="6" t="inlineStr">
        <is>
          <t>70.16%</t>
        </is>
      </c>
      <c r="D13" s="6" t="inlineStr">
        <is>
          <t>56.30%</t>
        </is>
      </c>
      <c r="E13" s="6" t="n"/>
      <c r="F13" s="6" t="n"/>
    </row>
    <row r="14">
      <c r="A14" s="6" t="inlineStr">
        <is>
          <t>Tier 1 Ratio</t>
        </is>
      </c>
      <c r="B14" s="6" t="inlineStr">
        <is>
          <t>81.09%</t>
        </is>
      </c>
      <c r="C14" s="6" t="inlineStr">
        <is>
          <t>70.16%</t>
        </is>
      </c>
      <c r="D14" s="6" t="inlineStr">
        <is>
          <t>56.30%</t>
        </is>
      </c>
      <c r="E14" s="6" t="n"/>
      <c r="F14" s="6" t="n"/>
    </row>
    <row r="15">
      <c r="A15" s="6" t="inlineStr">
        <is>
          <t>Total Capital Ratio</t>
        </is>
      </c>
      <c r="B15" s="6" t="inlineStr">
        <is>
          <t>81.09%</t>
        </is>
      </c>
      <c r="C15" s="6" t="inlineStr">
        <is>
          <t>70.16%</t>
        </is>
      </c>
      <c r="D15" s="6" t="inlineStr">
        <is>
          <t>56.30%</t>
        </is>
      </c>
      <c r="E15" s="6" t="n"/>
      <c r="F15" s="6" t="n"/>
    </row>
    <row r="16">
      <c r="A16" s="6" t="inlineStr">
        <is>
          <t>Leverage Ratio</t>
        </is>
      </c>
      <c r="B16" s="6" t="inlineStr">
        <is>
          <t>47.48%</t>
        </is>
      </c>
      <c r="C16" s="6" t="inlineStr">
        <is>
          <t>33.77%</t>
        </is>
      </c>
      <c r="D16" s="6" t="inlineStr">
        <is>
          <t>35.41%</t>
        </is>
      </c>
      <c r="E16" s="6" t="n"/>
      <c r="F16" s="6" t="n"/>
    </row>
    <row r="17">
      <c r="A17" s="6" t="inlineStr">
        <is>
          <t>LCR</t>
        </is>
      </c>
      <c r="B17" s="6" t="inlineStr">
        <is>
          <t>143.70%</t>
        </is>
      </c>
      <c r="C17" s="6" t="inlineStr">
        <is>
          <t>175.13%</t>
        </is>
      </c>
      <c r="D17" s="6" t="inlineStr">
        <is>
          <t>282.28%</t>
        </is>
      </c>
      <c r="E17" s="6" t="n"/>
      <c r="F17" s="6" t="n"/>
    </row>
    <row r="18">
      <c r="A18" s="6" t="inlineStr">
        <is>
          <t>NSFR</t>
        </is>
      </c>
      <c r="B18" s="6" t="inlineStr">
        <is>
          <t>173.34%</t>
        </is>
      </c>
      <c r="C18" s="6" t="inlineStr">
        <is>
          <t>149.33%</t>
        </is>
      </c>
      <c r="D18" s="6" t="inlineStr">
        <is>
          <t>135.79%</t>
        </is>
      </c>
      <c r="E18" s="6" t="n"/>
      <c r="F18" s="6" t="n"/>
    </row>
    <row r="20" ht="45" customHeight="1">
      <c r="A20" s="7" t="inlineStr">
        <is>
          <t>Note: Figures are duplicated from the detail sheets for at-a-glance trend viewing; see each sheet's own source citation for the underlying document/page. Pillar 3 ratios are only publicly disclosed from FY2023 onward (no FY2022/FY2021 Pillar 3 document exists); blank cells for those years are intentional, not zeros.</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ICBC (London) plc — Statement of Cash Flows</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Reconciliation of profit for the year to net cash flows from operating activities</t>
        </is>
      </c>
      <c r="B4" s="6" t="n"/>
      <c r="C4" s="6" t="n"/>
      <c r="D4" s="6" t="n"/>
      <c r="E4" s="6" t="n"/>
      <c r="F4" s="6" t="n"/>
    </row>
    <row r="5">
      <c r="A5" s="6" t="inlineStr">
        <is>
          <t>Profit for the year</t>
        </is>
      </c>
      <c r="B5" s="6" t="n">
        <v>42880</v>
      </c>
      <c r="C5" s="6" t="n">
        <v>39663</v>
      </c>
      <c r="D5" s="6" t="n">
        <v>26135</v>
      </c>
      <c r="E5" s="6" t="n">
        <v>11367</v>
      </c>
      <c r="F5" s="6" t="n">
        <v>15516</v>
      </c>
    </row>
    <row r="6">
      <c r="A6" s="6" t="inlineStr">
        <is>
          <t>Depreciation of tangible fixed assets</t>
        </is>
      </c>
      <c r="B6" s="6" t="n">
        <v>1106</v>
      </c>
      <c r="C6" s="6" t="n">
        <v>1073</v>
      </c>
      <c r="D6" s="6" t="n">
        <v>1070</v>
      </c>
      <c r="E6" s="6" t="n">
        <v>1301</v>
      </c>
      <c r="F6" s="6" t="n">
        <v>1819</v>
      </c>
    </row>
    <row r="7">
      <c r="A7" s="6" t="inlineStr">
        <is>
          <t>Amortisation of intangible assets</t>
        </is>
      </c>
      <c r="B7" s="6" t="n">
        <v>102</v>
      </c>
      <c r="C7" s="6" t="n">
        <v>81</v>
      </c>
      <c r="D7" s="6" t="n">
        <v>164</v>
      </c>
      <c r="E7" s="6" t="n">
        <v>162</v>
      </c>
      <c r="F7" s="6" t="n">
        <v>143</v>
      </c>
    </row>
    <row r="8">
      <c r="A8" s="6" t="inlineStr">
        <is>
          <t>Impairment losses</t>
        </is>
      </c>
      <c r="B8" s="6" t="n">
        <v>52</v>
      </c>
      <c r="C8" s="6" t="n">
        <v>-312</v>
      </c>
      <c r="D8" s="6" t="n">
        <v>-1180</v>
      </c>
      <c r="E8" s="6" t="n">
        <v>1052</v>
      </c>
      <c r="F8" s="6" t="n">
        <v>-6532</v>
      </c>
    </row>
    <row r="9">
      <c r="A9" s="6" t="inlineStr">
        <is>
          <t>Interest income</t>
        </is>
      </c>
      <c r="B9" s="6" t="n">
        <v>-73022</v>
      </c>
      <c r="C9" s="6" t="n">
        <v>-80464</v>
      </c>
      <c r="D9" s="6" t="n">
        <v>-64844</v>
      </c>
      <c r="E9" s="6" t="n">
        <v>-27188</v>
      </c>
      <c r="F9" s="6" t="n">
        <v>-19740</v>
      </c>
    </row>
    <row r="10">
      <c r="A10" s="6" t="inlineStr">
        <is>
          <t>Interest expense</t>
        </is>
      </c>
      <c r="B10" s="6" t="n">
        <v>17005</v>
      </c>
      <c r="C10" s="6" t="n">
        <v>24461</v>
      </c>
      <c r="D10" s="6" t="n">
        <v>28971</v>
      </c>
      <c r="E10" s="6" t="n">
        <v>8992</v>
      </c>
      <c r="F10" s="6" t="n">
        <v>4294</v>
      </c>
    </row>
    <row r="11">
      <c r="A11" s="6" t="inlineStr">
        <is>
          <t>Gain on sale of financial investments at FVOCI</t>
        </is>
      </c>
      <c r="B11" s="6" t="n">
        <v>-139</v>
      </c>
      <c r="C11" s="6" t="n">
        <v>0</v>
      </c>
      <c r="D11" s="6" t="n"/>
      <c r="E11" s="6" t="n"/>
      <c r="F11" s="6" t="n">
        <v>0</v>
      </c>
    </row>
    <row r="12">
      <c r="A12" s="6" t="inlineStr">
        <is>
          <t>Exchange gain and accretion of discounts and amortisation of premiums on financial investments</t>
        </is>
      </c>
      <c r="B12" s="6" t="n">
        <v>4619</v>
      </c>
      <c r="C12" s="6" t="n">
        <v>7528</v>
      </c>
      <c r="D12" s="6" t="n">
        <v>-4149</v>
      </c>
      <c r="E12" s="6" t="n">
        <v>21189</v>
      </c>
      <c r="F12" s="6" t="n">
        <v>555</v>
      </c>
    </row>
    <row r="13">
      <c r="A13" s="6" t="inlineStr">
        <is>
          <t>Revaluation (gain)/loss on financial derivatives</t>
        </is>
      </c>
      <c r="B13" s="6" t="n">
        <v>2500</v>
      </c>
      <c r="C13" s="6" t="n">
        <v>-189</v>
      </c>
      <c r="D13" s="6" t="n">
        <v>-66</v>
      </c>
      <c r="E13" s="6" t="n">
        <v>-96</v>
      </c>
      <c r="F13" s="6" t="n">
        <v>-497</v>
      </c>
    </row>
    <row r="14">
      <c r="A14" s="6" t="inlineStr">
        <is>
          <t>Tax on profit on ordinary activities</t>
        </is>
      </c>
      <c r="B14" s="6" t="n">
        <v>14375</v>
      </c>
      <c r="C14" s="6" t="n">
        <v>15178</v>
      </c>
      <c r="D14" s="6" t="n">
        <v>8432</v>
      </c>
      <c r="E14" s="6" t="n">
        <v>3303</v>
      </c>
      <c r="F14" s="6" t="n">
        <v>4280</v>
      </c>
    </row>
    <row r="15">
      <c r="A15" s="5" t="inlineStr">
        <is>
          <t>Changes in operating assets and liabilities</t>
        </is>
      </c>
      <c r="B15" s="6" t="n"/>
      <c r="C15" s="6" t="n"/>
      <c r="D15" s="6" t="n"/>
      <c r="E15" s="6" t="n"/>
      <c r="F15" s="6" t="n"/>
    </row>
    <row r="16">
      <c r="A16" s="6" t="inlineStr">
        <is>
          <t>Loans to banks</t>
        </is>
      </c>
      <c r="B16" s="6" t="n">
        <v>764198</v>
      </c>
      <c r="C16" s="6" t="n">
        <v>-436287</v>
      </c>
      <c r="D16" s="6" t="n">
        <v>136996</v>
      </c>
      <c r="E16" s="6" t="n">
        <v>-160146</v>
      </c>
      <c r="F16" s="6" t="n">
        <v>149827</v>
      </c>
    </row>
    <row r="17">
      <c r="A17" s="6" t="inlineStr">
        <is>
          <t>Loans and advances to customers</t>
        </is>
      </c>
      <c r="B17" s="6" t="n">
        <v>-77176</v>
      </c>
      <c r="C17" s="6" t="n">
        <v>93250</v>
      </c>
      <c r="D17" s="6" t="n">
        <v>-97842</v>
      </c>
      <c r="E17" s="6" t="n">
        <v>-203380</v>
      </c>
      <c r="F17" s="6" t="n">
        <v>305578</v>
      </c>
    </row>
    <row r="18">
      <c r="A18" s="6" t="inlineStr">
        <is>
          <t>Financial investments at FVOCI</t>
        </is>
      </c>
      <c r="B18" s="6" t="n">
        <v>408</v>
      </c>
      <c r="C18" s="6" t="n">
        <v>-60711</v>
      </c>
      <c r="D18" s="6" t="n">
        <v>17973</v>
      </c>
      <c r="E18" s="6" t="n">
        <v>66827</v>
      </c>
      <c r="F18" s="6" t="n">
        <v>46073</v>
      </c>
    </row>
    <row r="19">
      <c r="A19" s="6" t="inlineStr">
        <is>
          <t>Financial investments at amortised cost</t>
        </is>
      </c>
      <c r="B19" s="6" t="n">
        <v>-9488</v>
      </c>
      <c r="C19" s="6" t="n">
        <v>41729</v>
      </c>
      <c r="D19" s="6" t="n">
        <v>106936</v>
      </c>
      <c r="E19" s="6" t="n">
        <v>35881</v>
      </c>
      <c r="F19" s="6" t="n">
        <v>-13036</v>
      </c>
    </row>
    <row r="20">
      <c r="A20" s="6" t="inlineStr">
        <is>
          <t>Other assets</t>
        </is>
      </c>
      <c r="B20" s="6" t="n">
        <v>-3319</v>
      </c>
      <c r="C20" s="6" t="n">
        <v>-957</v>
      </c>
      <c r="D20" s="6" t="n">
        <v>1104</v>
      </c>
      <c r="E20" s="6" t="n">
        <v>-720</v>
      </c>
      <c r="F20" s="6" t="n">
        <v>1762</v>
      </c>
    </row>
    <row r="21">
      <c r="A21" s="6" t="inlineStr">
        <is>
          <t>Deposits by banks</t>
        </is>
      </c>
      <c r="B21" s="6" t="n">
        <v>647415</v>
      </c>
      <c r="C21" s="6" t="n">
        <v>223171</v>
      </c>
      <c r="D21" s="6" t="n">
        <v>-59118</v>
      </c>
      <c r="E21" s="6" t="n">
        <v>399437</v>
      </c>
      <c r="F21" s="6" t="n">
        <v>-699204</v>
      </c>
    </row>
    <row r="22">
      <c r="A22" s="6" t="inlineStr">
        <is>
          <t>Deposits from customers</t>
        </is>
      </c>
      <c r="B22" s="6" t="n">
        <v>-4714</v>
      </c>
      <c r="C22" s="6" t="n">
        <v>-78671</v>
      </c>
      <c r="D22" s="6" t="n">
        <v>-3639</v>
      </c>
      <c r="E22" s="6" t="n">
        <v>-282533</v>
      </c>
      <c r="F22" s="6" t="n">
        <v>143585</v>
      </c>
    </row>
    <row r="23">
      <c r="A23" s="6" t="inlineStr">
        <is>
          <t>Other liabilities</t>
        </is>
      </c>
      <c r="B23" s="6" t="n">
        <v>1613</v>
      </c>
      <c r="C23" s="6" t="n">
        <v>-1030</v>
      </c>
      <c r="D23" s="6" t="n">
        <v>3697</v>
      </c>
      <c r="E23" s="6" t="n">
        <v>-1865</v>
      </c>
      <c r="F23" s="6" t="n">
        <v>1733</v>
      </c>
    </row>
    <row r="24">
      <c r="A24" s="6" t="inlineStr">
        <is>
          <t>Interest received</t>
        </is>
      </c>
      <c r="B24" s="6" t="n">
        <v>72209</v>
      </c>
      <c r="C24" s="6" t="n">
        <v>79076</v>
      </c>
      <c r="D24" s="6" t="n">
        <v>63856</v>
      </c>
      <c r="E24" s="6" t="n">
        <v>27330</v>
      </c>
      <c r="F24" s="6" t="n">
        <v>20462</v>
      </c>
    </row>
    <row r="25">
      <c r="A25" s="6" t="inlineStr">
        <is>
          <t>Interest paid</t>
        </is>
      </c>
      <c r="B25" s="6" t="n">
        <v>-18202</v>
      </c>
      <c r="C25" s="6" t="n">
        <v>-26683</v>
      </c>
      <c r="D25" s="6" t="n">
        <v>-26378</v>
      </c>
      <c r="E25" s="6" t="n">
        <v>-6721</v>
      </c>
      <c r="F25" s="6" t="n">
        <v>-5095</v>
      </c>
    </row>
    <row r="26">
      <c r="A26" s="6" t="inlineStr">
        <is>
          <t>Income tax paid</t>
        </is>
      </c>
      <c r="B26" s="6" t="n">
        <v>-15945</v>
      </c>
      <c r="C26" s="6" t="n">
        <v>-14140</v>
      </c>
      <c r="D26" s="6" t="n">
        <v>-8715</v>
      </c>
      <c r="E26" s="6" t="n">
        <v>-2607</v>
      </c>
      <c r="F26" s="6" t="n">
        <v>-3266</v>
      </c>
    </row>
    <row r="27">
      <c r="A27" s="5" t="inlineStr">
        <is>
          <t>Net cash used in operating activities</t>
        </is>
      </c>
      <c r="B27" s="5" t="n">
        <v>1366477</v>
      </c>
      <c r="C27" s="5" t="n">
        <v>-174234</v>
      </c>
      <c r="D27" s="5" t="n">
        <v>129403</v>
      </c>
      <c r="E27" s="5" t="n">
        <v>-108415</v>
      </c>
      <c r="F27" s="5" t="n">
        <v>-51743</v>
      </c>
    </row>
    <row r="28">
      <c r="A28" s="5" t="inlineStr">
        <is>
          <t>Cash flow from investing activities</t>
        </is>
      </c>
      <c r="B28" s="6" t="n"/>
      <c r="C28" s="6" t="n"/>
      <c r="D28" s="6" t="n"/>
      <c r="E28" s="6" t="n"/>
      <c r="F28" s="6" t="n"/>
    </row>
    <row r="29">
      <c r="A29" s="6" t="inlineStr">
        <is>
          <t>Acquisition of tangible fixed assets</t>
        </is>
      </c>
      <c r="B29" s="6" t="n">
        <v>-638</v>
      </c>
      <c r="C29" s="6" t="n">
        <v>-332</v>
      </c>
      <c r="D29" s="6" t="n">
        <v>-87</v>
      </c>
      <c r="E29" s="6" t="n">
        <v>-367</v>
      </c>
      <c r="F29" s="6" t="n">
        <v>-660</v>
      </c>
    </row>
    <row r="30">
      <c r="A30" s="6" t="inlineStr">
        <is>
          <t>Acquisition of intangible assets</t>
        </is>
      </c>
      <c r="B30" s="6" t="n">
        <v>-126</v>
      </c>
      <c r="C30" s="6" t="n">
        <v>-115</v>
      </c>
      <c r="D30" s="6" t="n">
        <v>-188</v>
      </c>
      <c r="E30" s="6" t="n">
        <v>-158</v>
      </c>
      <c r="F30" s="6" t="n">
        <v>-133</v>
      </c>
    </row>
    <row r="31">
      <c r="A31" s="5" t="inlineStr">
        <is>
          <t>Net cash used in investing activities</t>
        </is>
      </c>
      <c r="B31" s="5" t="n">
        <v>-764</v>
      </c>
      <c r="C31" s="5" t="n">
        <v>-447</v>
      </c>
      <c r="D31" s="5" t="n">
        <v>-275</v>
      </c>
      <c r="E31" s="5" t="n">
        <v>-525</v>
      </c>
      <c r="F31" s="5" t="n">
        <v>-793</v>
      </c>
    </row>
    <row r="32">
      <c r="A32" s="5" t="inlineStr">
        <is>
          <t>Net cash from financing activities</t>
        </is>
      </c>
      <c r="B32" s="5" t="n">
        <v>0</v>
      </c>
      <c r="C32" s="5" t="n">
        <v>0</v>
      </c>
      <c r="D32" s="5" t="n">
        <v>0</v>
      </c>
      <c r="E32" s="5" t="n">
        <v>0</v>
      </c>
      <c r="F32" s="5" t="n">
        <v>0</v>
      </c>
    </row>
    <row r="33">
      <c r="A33" s="5" t="inlineStr">
        <is>
          <t>Net decrease in cash and cash equivalents</t>
        </is>
      </c>
      <c r="B33" s="5" t="n">
        <v>1365713</v>
      </c>
      <c r="C33" s="5" t="n">
        <v>-174681</v>
      </c>
      <c r="D33" s="5" t="n">
        <v>129128</v>
      </c>
      <c r="E33" s="5" t="n">
        <v>-108940</v>
      </c>
      <c r="F33" s="5" t="n">
        <v>-52536</v>
      </c>
    </row>
    <row r="34">
      <c r="A34" s="6" t="inlineStr">
        <is>
          <t>Cash and cash equivalents at 1 January</t>
        </is>
      </c>
      <c r="B34" s="6" t="n">
        <v>139627</v>
      </c>
      <c r="C34" s="6" t="n">
        <v>316971</v>
      </c>
      <c r="D34" s="6" t="n">
        <v>180382</v>
      </c>
      <c r="E34" s="6" t="n">
        <v>307556</v>
      </c>
      <c r="F34" s="6" t="n">
        <v>361540</v>
      </c>
    </row>
    <row r="35">
      <c r="A35" s="6" t="inlineStr">
        <is>
          <t>Effects of exchange rates on cash and cash equivalents</t>
        </is>
      </c>
      <c r="B35" s="6" t="n">
        <v>-6647</v>
      </c>
      <c r="C35" s="6" t="n">
        <v>-2663</v>
      </c>
      <c r="D35" s="6" t="n">
        <v>7461</v>
      </c>
      <c r="E35" s="6" t="n">
        <v>-18234</v>
      </c>
      <c r="F35" s="6" t="n">
        <v>-1448</v>
      </c>
    </row>
    <row r="36">
      <c r="A36" s="5" t="inlineStr">
        <is>
          <t>Cash and cash equivalents at 31 December</t>
        </is>
      </c>
      <c r="B36" s="5" t="n">
        <v>1498693</v>
      </c>
      <c r="C36" s="5" t="n">
        <v>139627</v>
      </c>
      <c r="D36" s="5" t="n">
        <v>316971</v>
      </c>
      <c r="E36" s="5" t="n">
        <v>180382</v>
      </c>
      <c r="F36" s="5" t="n">
        <v>307556</v>
      </c>
    </row>
    <row r="38" ht="140" customHeight="1">
      <c r="A38" s="8" t="inlineStr">
        <is>
          <t>Sources — all figures are ICBC (London) plc Statement of Cash Flows, $'000:
FY2025 &amp; FY2024: ICBC (London) plc Annual Report and Financial Statements 2025, p.27 (Statement of Cash Flows) — https://v.icbc.com.cn/userfiles/Resources/ICBC/haiwai/ICBCLondon/download/2025/ICBCReport2025.pdf
FY2024 comparative cross-checked against ICBC (London) plc Annual Report 2024, p.29 (Statement of Cash flows) — https://v.icbc.com.cn/userfiles/Resources/ICBC/haiwai/ICBCLondon/download/2024/ICBCReport2024.pdf
FY2023: ICBC (London) plc Annual Report and Financial Statements 2023 (Companies House filing, full accounts), p.30 (Statement of Cash flows) — https://find-and-update.company-information.service.gov.uk/company/04552753/filing-history/MzQyNDQ0NTU5OWFkaXF6a2N4/document?format=pdf&amp;download=0
FY2022: ICBC (London) plc Annual Report and Financial Statements 2022 (Companies House filing, full accounts), p.28 (Statement of Cash flows) — https://find-and-update.company-information.service.gov.uk/company/04552753/filing-history/MzM4MTkxOTA4OGFkaXF6a2N4/document?format=pdf&amp;download=0
FY2021: ICBC (London) plc Annual Report and Financial Statements 2021 (Companies House filing, full accounts), p.30 (Statement of Cash flows) — https://find-and-update.company-information.service.gov.uk/company/04552753/filing-history/MzM0MDgwMDM4MGFkaXF6a2N4/document?format=pdf&amp;download=0
Note: the FY2021-2023 Companies House filings are scanned (image-only) documents; those years' figures were transcribed from page renders. All five years cross-reconcile exactly year-on-year (each year's closing cash and cash equivalents equals the following year's opening balance). 'Gain on sale of financial investments at FVOCI' was not a separate line in the FY2022/FY2023 statements (folded into the exchange gain/amortisation line); blank cells indicate that year's statement did not disclose that specific line. The source document's own labels ('Net decrease in cash and cash equivalents', 'Net cash used in operating activities') are reproduced verbatim even in years where the reported figure is positive.</t>
        </is>
      </c>
    </row>
  </sheetData>
  <mergeCells count="1">
    <mergeCell ref="A38:F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ICBC (London) plc — CET1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547878</v>
      </c>
      <c r="C4" s="6" t="n">
        <v>504454</v>
      </c>
      <c r="D4" s="6" t="n">
        <v>474459</v>
      </c>
      <c r="E4" s="6" t="n"/>
      <c r="F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Pillar 3 disclosures are only publicly available from FY2024 onward (the 2025 document's own comparative columns reach back to 31/12/2024; the 2024 document's comparative columns reach back to 31/12/2023). No FY2022 or FY2021 Pillar 3 disclosure document exists on the bank's site. The FY2024 RWA/ratio figures used here are taken from the FY2024 disclosure's own current-period column rather than the FY2025 disclosure's restated comparative column, which shows a slightly different RWA (715,739.38 vs. 719,040.48) and CET1/Tier1/Total capital ratio (70.48% vs. 70.16%) for the same date despite an identical capital figure — both are the bank's own official disclosures.</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ICBC (London) plc — CET1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81.09%</t>
        </is>
      </c>
      <c r="C4" s="6" t="inlineStr">
        <is>
          <t>70.16%</t>
        </is>
      </c>
      <c r="D4" s="6" t="inlineStr">
        <is>
          <t>56.30%</t>
        </is>
      </c>
      <c r="E4" s="6" t="n"/>
      <c r="F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Pillar 3 disclosures are only publicly available from FY2024 onward (the 2025 document's own comparative columns reach back to 31/12/2024; the 2024 document's comparative columns reach back to 31/12/2023). No FY2022 or FY2021 Pillar 3 disclosure document exists on the bank's site. The FY2024 RWA/ratio figures used here are taken from the FY2024 disclosure's own current-period column rather than the FY2025 disclosure's restated comparative column, which shows a slightly different RWA (715,739.38 vs. 719,040.48) and CET1/Tier1/Total capital ratio (70.48% vs. 70.16%) for the same date despite an identical capital figure — both are the bank's own official disclosures.</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ICBC (London) plc — Tier 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547878</v>
      </c>
      <c r="C4" s="6" t="n">
        <v>504454</v>
      </c>
      <c r="D4" s="6" t="n">
        <v>474459</v>
      </c>
      <c r="E4" s="6" t="n"/>
      <c r="F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Pillar 3 disclosures are only publicly available from FY2024 onward (the 2025 document's own comparative columns reach back to 31/12/2024; the 2024 document's comparative columns reach back to 31/12/2023). No FY2022 or FY2021 Pillar 3 disclosure document exists on the bank's site. The FY2024 RWA/ratio figures used here are taken from the FY2024 disclosure's own current-period column rather than the FY2025 disclosure's restated comparative column, which shows a slightly different RWA (715,739.38 vs. 719,040.48) and CET1/Tier1/Total capital ratio (70.48% vs. 70.16%) for the same date despite an identical capital figure — both are the bank's own official disclosures.</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ICBC (London) plc — Tier 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81.09%</t>
        </is>
      </c>
      <c r="C4" s="6" t="inlineStr">
        <is>
          <t>70.16%</t>
        </is>
      </c>
      <c r="D4" s="6" t="inlineStr">
        <is>
          <t>56.30%</t>
        </is>
      </c>
      <c r="E4" s="6" t="n"/>
      <c r="F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Pillar 3 disclosures are only publicly available from FY2024 onward (the 2025 document's own comparative columns reach back to 31/12/2024; the 2024 document's comparative columns reach back to 31/12/2023). No FY2022 or FY2021 Pillar 3 disclosure document exists on the bank's site. The FY2024 RWA/ratio figures used here are taken from the FY2024 disclosure's own current-period column rather than the FY2025 disclosure's restated comparative column, which shows a slightly different RWA (715,739.38 vs. 719,040.48) and CET1/Tier1/Total capital ratio (70.48% vs. 70.16%) for the same date despite an identical capital figure — both are the bank's own official disclosures.</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ICBC (London) plc — Total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547878</v>
      </c>
      <c r="C4" s="6" t="n">
        <v>504454</v>
      </c>
      <c r="D4" s="6" t="n">
        <v>474459</v>
      </c>
      <c r="E4" s="6" t="n"/>
      <c r="F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Pillar 3 disclosures are only publicly available from FY2024 onward (the 2025 document's own comparative columns reach back to 31/12/2024; the 2024 document's comparative columns reach back to 31/12/2023). No FY2022 or FY2021 Pillar 3 disclosure document exists on the bank's site. The FY2024 RWA/ratio figures used here are taken from the FY2024 disclosure's own current-period column rather than the FY2025 disclosure's restated comparative column, which shows a slightly different RWA (715,739.38 vs. 719,040.48) and CET1/Tier1/Total capital ratio (70.48% vs. 70.16%) for the same date despite an identical capital figure — both are the bank's own official disclosures.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ICBC (London) plc — Total Capital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81.09%</t>
        </is>
      </c>
      <c r="C4" s="6" t="inlineStr">
        <is>
          <t>70.16%</t>
        </is>
      </c>
      <c r="D4" s="6" t="inlineStr">
        <is>
          <t>56.30%</t>
        </is>
      </c>
      <c r="E4" s="6" t="n"/>
      <c r="F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Pillar 3 disclosures are only publicly available from FY2024 onward (the 2025 document's own comparative columns reach back to 31/12/2024; the 2024 document's comparative columns reach back to 31/12/2023). No FY2022 or FY2021 Pillar 3 disclosure document exists on the bank's site. The FY2024 RWA/ratio figures used here are taken from the FY2024 disclosure's own current-period column rather than the FY2025 disclosure's restated comparative column, which shows a slightly different RWA (715,739.38 vs. 719,040.48) and CET1/Tier1/Total capital ratio (70.48% vs. 70.16%) for the same date despite an identical capital figure — both are the bank's own official disclosures.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ICBC (London) plc — Total RWAs</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675668</v>
      </c>
      <c r="C4" s="6" t="n">
        <v>719040</v>
      </c>
      <c r="D4" s="6" t="n">
        <v>842738</v>
      </c>
      <c r="E4" s="6" t="n"/>
      <c r="F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Pillar 3 disclosures are only publicly available from FY2024 onward (the 2025 document's own comparative columns reach back to 31/12/2024; the 2024 document's comparative columns reach back to 31/12/2023). No FY2022 or FY2021 Pillar 3 disclosure document exists on the bank's site. The FY2024 RWA/ratio figures used here are taken from the FY2024 disclosure's own current-period column rather than the FY2025 disclosure's restated comparative column, which shows a slightly different RWA (715,739.38 vs. 719,040.48) and CET1/Tier1/Total capital ratio (70.48% vs. 70.16%) for the same date despite an identical capital figure — both are the bank's own official disclosures.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ICBC (London) plc — Leverage Ratio</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total exposure measure ($'000)</t>
        </is>
      </c>
      <c r="B4" s="6" t="n">
        <v>1153889</v>
      </c>
      <c r="C4" s="6" t="n">
        <v>1493767</v>
      </c>
      <c r="D4" s="6" t="n">
        <v>1339718</v>
      </c>
      <c r="E4" s="6" t="n"/>
      <c r="F4" s="6" t="n"/>
    </row>
    <row r="5">
      <c r="A5" s="6" t="inlineStr">
        <is>
          <t>Leverage ratio (%)</t>
        </is>
      </c>
      <c r="B5" s="6" t="inlineStr">
        <is>
          <t>47.48%</t>
        </is>
      </c>
      <c r="C5" s="6" t="inlineStr">
        <is>
          <t>33.77%</t>
        </is>
      </c>
      <c r="D5" s="6" t="inlineStr">
        <is>
          <t>35.41%</t>
        </is>
      </c>
      <c r="E5" s="6" t="n"/>
      <c r="F5" s="6" t="n"/>
    </row>
    <row r="7" ht="140" customHeight="1">
      <c r="A7"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Pillar 3 disclosures are only publicly available from FY2024 onward (the 2025 document's own comparative columns reach back to 31/12/2024; the 2024 document's comparative columns reach back to 31/12/2023). No FY2022 or FY2021 Pillar 3 disclosure document exists on the bank's site. The FY2024 RWA/ratio figures used here are taken from the FY2024 disclosure's own current-period column rather than the FY2025 disclosure's restated comparative column, which shows a slightly different RWA (715,739.38 vs. 719,040.48) and CET1/Tier1/Total capital ratio (70.48% vs. 70.16%) for the same date despite an identical capital figure — both are the bank's own official disclosures.</t>
        </is>
      </c>
    </row>
  </sheetData>
  <mergeCells count="1">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ICBC (London) plc — LCR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($'000)</t>
        </is>
      </c>
      <c r="B4" s="6" t="n">
        <v>1374779</v>
      </c>
      <c r="C4" s="6" t="n">
        <v>328482</v>
      </c>
      <c r="D4" s="6" t="n">
        <v>384069</v>
      </c>
      <c r="E4" s="6" t="n"/>
      <c r="F4" s="6" t="n"/>
    </row>
    <row r="5">
      <c r="A5" s="6" t="inlineStr">
        <is>
          <t>Total net cash outflows, adjusted value ($'000)</t>
        </is>
      </c>
      <c r="B5" s="6" t="n">
        <v>956680</v>
      </c>
      <c r="C5" s="6" t="n">
        <v>187564</v>
      </c>
      <c r="D5" s="6" t="n">
        <v>136060</v>
      </c>
      <c r="E5" s="6" t="n"/>
      <c r="F5" s="6" t="n"/>
    </row>
    <row r="6">
      <c r="A6" s="6" t="inlineStr">
        <is>
          <t>Liquidity Coverage Ratio (%)</t>
        </is>
      </c>
      <c r="B6" s="6" t="inlineStr">
        <is>
          <t>143.70%</t>
        </is>
      </c>
      <c r="C6" s="6" t="inlineStr">
        <is>
          <t>175.13%</t>
        </is>
      </c>
      <c r="D6" s="6" t="inlineStr">
        <is>
          <t>282.28%</t>
        </is>
      </c>
      <c r="E6" s="6" t="n"/>
      <c r="F6" s="6" t="n"/>
    </row>
    <row r="7" ht="60" customHeight="1">
      <c r="A7" s="7" t="inlineStr">
        <is>
          <t>Note: LCR figures are single month-end (31 December) spot observations as disclosed in the KM1 template, not a 12-month trailing average.</t>
        </is>
      </c>
    </row>
    <row r="9" ht="140" customHeight="1">
      <c r="A9"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Pillar 3 disclosures are only publicly available from FY2024 onward (the 2025 document's own comparative columns reach back to 31/12/2024; the 2024 document's comparative columns reach back to 31/12/2023). No FY2022 or FY2021 Pillar 3 disclosure document exists on the bank's site. The FY2024 RWA/ratio figures used here are taken from the FY2024 disclosure's own current-period column rather than the FY2025 disclosure's restated comparative column, which shows a slightly different RWA (715,739.38 vs. 719,040.48) and CET1/Tier1/Total capital ratio (70.48% vs. 70.16%) for the same date despite an identical capital figure — both are the bank's own official disclosures.</t>
        </is>
      </c>
    </row>
  </sheetData>
  <mergeCells count="2">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ICBC (London) plc — NSFR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($'000)</t>
        </is>
      </c>
      <c r="B4" s="6" t="n">
        <v>581574</v>
      </c>
      <c r="C4" s="6" t="n">
        <v>608924</v>
      </c>
      <c r="D4" s="6" t="n">
        <v>694607</v>
      </c>
      <c r="E4" s="6" t="n"/>
      <c r="F4" s="6" t="n"/>
    </row>
    <row r="5">
      <c r="A5" s="6" t="inlineStr">
        <is>
          <t>Total required stable funding ($'000)</t>
        </is>
      </c>
      <c r="B5" s="6" t="n">
        <v>335509</v>
      </c>
      <c r="C5" s="6" t="n">
        <v>407762</v>
      </c>
      <c r="D5" s="6" t="n">
        <v>511527</v>
      </c>
      <c r="E5" s="6" t="n"/>
      <c r="F5" s="6" t="n"/>
    </row>
    <row r="6">
      <c r="A6" s="6" t="inlineStr">
        <is>
          <t>Net Stable Funding Ratio (%)</t>
        </is>
      </c>
      <c r="B6" s="6" t="inlineStr">
        <is>
          <t>173.34%</t>
        </is>
      </c>
      <c r="C6" s="6" t="inlineStr">
        <is>
          <t>149.33%</t>
        </is>
      </c>
      <c r="D6" s="6" t="inlineStr">
        <is>
          <t>135.79%</t>
        </is>
      </c>
      <c r="E6" s="6" t="n"/>
      <c r="F6" s="6" t="n"/>
    </row>
    <row r="8" ht="140" customHeight="1">
      <c r="A8"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Pillar 3 disclosures are only publicly available from FY2024 onward (the 2025 document's own comparative columns reach back to 31/12/2024; the 2024 document's comparative columns reach back to 31/12/2023). No FY2022 or FY2021 Pillar 3 disclosure document exists on the bank's site. The FY2024 RWA/ratio figures used here are taken from the FY2024 disclosure's own current-period column rather than the FY2025 disclosure's restated comparative column, which shows a slightly different RWA (715,739.38 vs. 719,040.48) and CET1/Tier1/Total capital ratio (70.48% vs. 70.16%) for the same date despite an identical capital figure — both are the bank's own official disclosures.</t>
        </is>
      </c>
    </row>
  </sheetData>
  <mergeCells count="1">
    <mergeCell ref="A8:F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ICBC (London)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5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MREL is not referenced anywhere in either available Pillar 3 disclosure document; ICBC (London) plc does not appear to be subject to a separate MREL requirement.</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2026-08-29T08:15:28Z</dcterms:created>
  <dcterms:modified xmlns:dcterms="http://purl.org/dc/terms/" xmlns:xsi="http://www.w3.org/2001/XMLSchema-instance" xsi:type="dcterms:W3CDTF">2026-08-29T08:15:28Z</dcterms:modified>
</cp:coreProperties>
</file>