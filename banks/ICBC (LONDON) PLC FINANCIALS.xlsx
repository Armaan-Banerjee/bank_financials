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2393946</v>
      </c>
      <c r="C6" s="5" t="n">
        <v>1702129</v>
      </c>
      <c r="D6" s="5" t="n">
        <v>1514720</v>
      </c>
      <c r="E6" s="5" t="n">
        <v>1538139</v>
      </c>
      <c r="F6" s="5" t="n">
        <v>1420688</v>
      </c>
      <c r="G6" s="5" t="n">
        <v>1997713</v>
      </c>
      <c r="H6" s="5" t="n">
        <v>2254083</v>
      </c>
      <c r="I6" s="5" t="n">
        <v>2374631</v>
      </c>
      <c r="J6" s="5" t="n">
        <v>2431239</v>
      </c>
      <c r="K6" s="5" t="n">
        <v>2722265</v>
      </c>
      <c r="L6" s="5" t="n">
        <v>3212625</v>
      </c>
      <c r="M6" s="5" t="n">
        <v>3825238</v>
      </c>
      <c r="P6" t="inlineStr">
        <is>
          <t>Total Assets</t>
        </is>
      </c>
      <c r="Q6" t="n">
        <v>3825238</v>
      </c>
      <c r="R6" t="n">
        <v>3212625</v>
      </c>
      <c r="S6" t="n">
        <v>2722265</v>
      </c>
      <c r="T6" t="n">
        <v>2431239</v>
      </c>
      <c r="U6" t="n">
        <v>2374631</v>
      </c>
      <c r="V6" t="n">
        <v>2254083</v>
      </c>
      <c r="W6" t="n">
        <v>1997713</v>
      </c>
      <c r="X6" t="n">
        <v>1420688</v>
      </c>
      <c r="Y6" t="n">
        <v>1538139</v>
      </c>
      <c r="Z6" t="n">
        <v>1514720</v>
      </c>
      <c r="AA6" t="n">
        <v>1702129</v>
      </c>
      <c r="AB6" t="n">
        <v>2393946</v>
      </c>
      <c r="BX6" t="inlineStr">
        <is>
          <t>CET1 Ratio</t>
        </is>
      </c>
      <c r="CH6" t="n">
        <v>56.3</v>
      </c>
      <c r="CI6" t="n">
        <v>70.16</v>
      </c>
      <c r="CJ6" t="n">
        <v>81.09</v>
      </c>
    </row>
    <row r="7">
      <c r="A7" s="5" t="inlineStr">
        <is>
          <t>Loans and advances to customers</t>
        </is>
      </c>
      <c r="B7" s="5" t="n">
        <v>413326</v>
      </c>
      <c r="C7" s="5" t="n">
        <v>336256</v>
      </c>
      <c r="D7" s="5" t="n">
        <v>429281</v>
      </c>
      <c r="E7" s="5" t="n">
        <v>331484</v>
      </c>
      <c r="F7" s="5" t="n">
        <v>128348</v>
      </c>
      <c r="G7" s="5" t="n">
        <v>428558</v>
      </c>
      <c r="H7" s="5" t="n">
        <v>513279</v>
      </c>
      <c r="I7" s="5" t="n">
        <v>809084</v>
      </c>
      <c r="J7" s="5" t="n">
        <v>953232</v>
      </c>
      <c r="K7" s="5" t="n">
        <v>1024525</v>
      </c>
      <c r="L7" s="5" t="n">
        <v>1347144</v>
      </c>
      <c r="M7" s="5" t="n">
        <v>2151215</v>
      </c>
      <c r="P7" t="inlineStr">
        <is>
          <t>Loans and advances to customers</t>
        </is>
      </c>
      <c r="Q7" t="n">
        <v>2151215</v>
      </c>
      <c r="R7" t="n">
        <v>1347144</v>
      </c>
      <c r="S7" t="n">
        <v>1024525</v>
      </c>
      <c r="T7" t="n">
        <v>953232</v>
      </c>
      <c r="U7" t="n">
        <v>809084</v>
      </c>
      <c r="V7" t="n">
        <v>513279</v>
      </c>
      <c r="W7" t="n">
        <v>428558</v>
      </c>
      <c r="X7" t="n">
        <v>128348</v>
      </c>
      <c r="Y7" t="n">
        <v>331484</v>
      </c>
      <c r="Z7" t="n">
        <v>429281</v>
      </c>
      <c r="AA7" t="n">
        <v>336256</v>
      </c>
      <c r="AB7" t="n">
        <v>413326</v>
      </c>
      <c r="BX7" t="inlineStr">
        <is>
          <t>Tier 1 Ratio</t>
        </is>
      </c>
      <c r="CH7" t="n">
        <v>56.3</v>
      </c>
      <c r="CI7" t="n">
        <v>70.16</v>
      </c>
      <c r="CJ7" t="n">
        <v>81.09</v>
      </c>
    </row>
    <row r="8">
      <c r="A8" s="5" t="inlineStr">
        <is>
          <t>Customer accounts</t>
        </is>
      </c>
      <c r="B8" s="5" t="n">
        <v>160911</v>
      </c>
      <c r="C8" s="5" t="n">
        <v>165625</v>
      </c>
      <c r="D8" s="5" t="n">
        <v>244297</v>
      </c>
      <c r="E8" s="5" t="n">
        <v>247933</v>
      </c>
      <c r="F8" s="5" t="n">
        <v>530469</v>
      </c>
      <c r="G8" s="5" t="n">
        <v>386884</v>
      </c>
      <c r="H8" s="5" t="n">
        <v>395956</v>
      </c>
      <c r="I8" s="5" t="n">
        <v>467426</v>
      </c>
      <c r="J8" s="5" t="n">
        <v>375734</v>
      </c>
      <c r="K8" s="5" t="n">
        <v>391012</v>
      </c>
      <c r="L8" s="5" t="n">
        <v>661083</v>
      </c>
      <c r="M8" s="5" t="n">
        <v>860894</v>
      </c>
      <c r="P8" t="inlineStr">
        <is>
          <t>Customer accounts</t>
        </is>
      </c>
      <c r="Q8" t="n">
        <v>860894</v>
      </c>
      <c r="R8" t="n">
        <v>661083</v>
      </c>
      <c r="S8" t="n">
        <v>391012</v>
      </c>
      <c r="T8" t="n">
        <v>375734</v>
      </c>
      <c r="U8" t="n">
        <v>467426</v>
      </c>
      <c r="V8" t="n">
        <v>395956</v>
      </c>
      <c r="W8" t="n">
        <v>386884</v>
      </c>
      <c r="X8" t="n">
        <v>530469</v>
      </c>
      <c r="Y8" t="n">
        <v>247933</v>
      </c>
      <c r="Z8" t="n">
        <v>244297</v>
      </c>
      <c r="AA8" t="n">
        <v>165625</v>
      </c>
      <c r="AB8" t="n">
        <v>160911</v>
      </c>
      <c r="BX8" t="inlineStr">
        <is>
          <t>Total Capital Ratio</t>
        </is>
      </c>
      <c r="CH8" t="n">
        <v>56.3</v>
      </c>
      <c r="CI8" t="n">
        <v>70.16</v>
      </c>
      <c r="CJ8" t="n">
        <v>81.09</v>
      </c>
    </row>
    <row r="9">
      <c r="A9" s="5" t="inlineStr">
        <is>
          <t>Total Share Capital and Reserves</t>
        </is>
      </c>
      <c r="B9" s="5" t="n">
        <v>591416</v>
      </c>
      <c r="C9" s="5" t="n">
        <v>544650</v>
      </c>
      <c r="D9" s="5" t="n">
        <v>501030</v>
      </c>
      <c r="E9" s="5" t="n">
        <v>467879</v>
      </c>
      <c r="F9" s="5" t="n">
        <v>467598</v>
      </c>
      <c r="G9" s="5" t="n">
        <v>456485</v>
      </c>
      <c r="H9" s="5" t="n">
        <v>443933</v>
      </c>
      <c r="I9" s="5" t="n">
        <v>422437</v>
      </c>
      <c r="J9" s="5" t="n">
        <v>398400</v>
      </c>
      <c r="K9" s="5" t="n">
        <v>378047</v>
      </c>
      <c r="L9" s="5" t="n">
        <v>357275</v>
      </c>
      <c r="M9" s="5" t="n">
        <v>322451</v>
      </c>
      <c r="P9" t="inlineStr">
        <is>
          <t>Total Share Capital and Reserves</t>
        </is>
      </c>
      <c r="Q9" t="n">
        <v>322451</v>
      </c>
      <c r="R9" t="n">
        <v>357275</v>
      </c>
      <c r="S9" t="n">
        <v>378047</v>
      </c>
      <c r="T9" t="n">
        <v>398400</v>
      </c>
      <c r="U9" t="n">
        <v>422437</v>
      </c>
      <c r="V9" t="n">
        <v>443933</v>
      </c>
      <c r="W9" t="n">
        <v>456485</v>
      </c>
      <c r="X9" t="n">
        <v>467598</v>
      </c>
      <c r="Y9" t="n">
        <v>467879</v>
      </c>
      <c r="Z9" t="n">
        <v>501030</v>
      </c>
      <c r="AA9" t="n">
        <v>544650</v>
      </c>
      <c r="AB9" t="n">
        <v>591416</v>
      </c>
      <c r="BX9" t="inlineStr">
        <is>
          <t>Leverage Ratio</t>
        </is>
      </c>
      <c r="CH9" t="n">
        <v>35.41</v>
      </c>
      <c r="CI9" t="n">
        <v>33.77</v>
      </c>
      <c r="CJ9" t="n">
        <v>47.48</v>
      </c>
    </row>
    <row r="10">
      <c r="BX10" t="inlineStr">
        <is>
          <t>LCR</t>
        </is>
      </c>
      <c r="CB10" t="n">
        <v>418</v>
      </c>
      <c r="CC10" t="n">
        <v>250</v>
      </c>
      <c r="CD10" t="n">
        <v>255</v>
      </c>
      <c r="CE10" t="n">
        <v>372</v>
      </c>
      <c r="CH10" t="n">
        <v>282.28</v>
      </c>
      <c r="CI10" t="n">
        <v>175.13</v>
      </c>
      <c r="CJ10" t="n">
        <v>143.7</v>
      </c>
    </row>
    <row r="11">
      <c r="A11" s="3" t="inlineStr">
        <is>
          <t>Profit &amp; Loss Summary ($'000)</t>
        </is>
      </c>
      <c r="BX11" t="inlineStr">
        <is>
          <t>NSFR</t>
        </is>
      </c>
      <c r="CH11" t="n">
        <v>135.79</v>
      </c>
      <c r="CI11" t="n">
        <v>149.33</v>
      </c>
      <c r="CJ11" t="n">
        <v>173.34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68820</v>
      </c>
      <c r="C13" s="5" t="n">
        <v>65404</v>
      </c>
      <c r="D13" s="5" t="n">
        <v>43392</v>
      </c>
      <c r="E13" s="5" t="n">
        <v>25279</v>
      </c>
      <c r="F13" s="5" t="n">
        <v>23221</v>
      </c>
      <c r="G13" s="5" t="n">
        <v>26360</v>
      </c>
      <c r="H13" s="5" t="n">
        <v>34958</v>
      </c>
      <c r="I13" s="5" t="n">
        <v>42364</v>
      </c>
      <c r="J13" s="5" t="n">
        <v>39587</v>
      </c>
      <c r="K13" s="5" t="n">
        <v>61163</v>
      </c>
      <c r="L13" s="5" t="n">
        <v>70456</v>
      </c>
      <c r="M13" s="5" t="n">
        <v>69154</v>
      </c>
      <c r="AE13" t="inlineStr">
        <is>
          <t>Total operating income</t>
        </is>
      </c>
      <c r="AF13" t="n">
        <v>69154</v>
      </c>
      <c r="AG13" t="n">
        <v>70456</v>
      </c>
      <c r="AH13" t="n">
        <v>61163</v>
      </c>
      <c r="AI13" t="n">
        <v>39587</v>
      </c>
      <c r="AJ13" t="n">
        <v>42364</v>
      </c>
      <c r="AK13" t="n">
        <v>34958</v>
      </c>
      <c r="AL13" t="n">
        <v>26360</v>
      </c>
      <c r="AM13" t="n">
        <v>23221</v>
      </c>
      <c r="AN13" t="n">
        <v>25279</v>
      </c>
      <c r="AO13" t="n">
        <v>43392</v>
      </c>
      <c r="AP13" t="n">
        <v>65404</v>
      </c>
      <c r="AQ13" t="n">
        <v>68820</v>
      </c>
    </row>
    <row r="14">
      <c r="A14" s="5" t="inlineStr">
        <is>
          <t>Operating expenses</t>
        </is>
      </c>
      <c r="B14" s="5" t="n">
        <v>-11513</v>
      </c>
      <c r="C14" s="5" t="n">
        <v>-10875</v>
      </c>
      <c r="D14" s="5" t="n">
        <v>-10005</v>
      </c>
      <c r="E14" s="5" t="n">
        <v>-10609</v>
      </c>
      <c r="F14" s="5" t="n">
        <v>-3425</v>
      </c>
      <c r="G14" s="5" t="n">
        <v>-9570</v>
      </c>
      <c r="H14" s="5" t="n">
        <v>-10040</v>
      </c>
      <c r="I14" s="5" t="n">
        <v>-11219</v>
      </c>
      <c r="J14" s="5" t="n">
        <v>-11427</v>
      </c>
      <c r="K14" s="5" t="n">
        <v>-31300</v>
      </c>
      <c r="L14" s="5" t="n">
        <v>-26622</v>
      </c>
      <c r="M14" s="5" t="n">
        <v>-23918</v>
      </c>
      <c r="AE14" t="inlineStr">
        <is>
          <t>Operating expenses</t>
        </is>
      </c>
      <c r="AF14" t="n">
        <v>-23918</v>
      </c>
      <c r="AG14" t="n">
        <v>-26622</v>
      </c>
      <c r="AH14" t="n">
        <v>-31300</v>
      </c>
      <c r="AI14" t="n">
        <v>-11427</v>
      </c>
      <c r="AJ14" t="n">
        <v>-11219</v>
      </c>
      <c r="AK14" t="n">
        <v>-10040</v>
      </c>
      <c r="AL14" t="n">
        <v>-9570</v>
      </c>
      <c r="AM14" t="n">
        <v>-3425</v>
      </c>
      <c r="AN14" t="n">
        <v>-10609</v>
      </c>
      <c r="AO14" t="n">
        <v>-10005</v>
      </c>
      <c r="AP14" t="n">
        <v>-10875</v>
      </c>
      <c r="AQ14" t="n">
        <v>-11513</v>
      </c>
    </row>
    <row r="15">
      <c r="A15" s="5" t="inlineStr">
        <is>
          <t>Profit for the financial year</t>
        </is>
      </c>
      <c r="B15" s="5" t="n">
        <v>42880</v>
      </c>
      <c r="C15" s="5" t="n">
        <v>39663</v>
      </c>
      <c r="D15" s="5" t="n">
        <v>26135</v>
      </c>
      <c r="E15" s="5" t="n">
        <v>11367</v>
      </c>
      <c r="F15" s="5" t="n">
        <v>15516</v>
      </c>
      <c r="G15" s="5" t="n">
        <v>10535</v>
      </c>
      <c r="H15" s="5" t="n">
        <v>18982</v>
      </c>
      <c r="I15" s="5" t="n">
        <v>25367</v>
      </c>
      <c r="J15" s="5" t="n">
        <v>21698</v>
      </c>
      <c r="K15" s="5" t="n">
        <v>20808</v>
      </c>
      <c r="L15" s="5" t="n">
        <v>34931</v>
      </c>
      <c r="M15" s="5" t="n">
        <v>23916</v>
      </c>
      <c r="AE15" t="inlineStr">
        <is>
          <t>Profit for the financial year</t>
        </is>
      </c>
      <c r="AF15" t="n">
        <v>23916</v>
      </c>
      <c r="AG15" t="n">
        <v>34931</v>
      </c>
      <c r="AH15" t="n">
        <v>20808</v>
      </c>
      <c r="AI15" t="n">
        <v>21698</v>
      </c>
      <c r="AJ15" t="n">
        <v>25367</v>
      </c>
      <c r="AK15" t="n">
        <v>18982</v>
      </c>
      <c r="AL15" t="n">
        <v>10535</v>
      </c>
      <c r="AM15" t="n">
        <v>15516</v>
      </c>
      <c r="AN15" t="n">
        <v>11367</v>
      </c>
      <c r="AO15" t="n">
        <v>26135</v>
      </c>
      <c r="AP15" t="n">
        <v>39663</v>
      </c>
      <c r="AQ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544650</v>
      </c>
      <c r="C19" s="5" t="n">
        <v>501030</v>
      </c>
      <c r="D19" s="5" t="n">
        <v>467879</v>
      </c>
      <c r="E19" s="5" t="n">
        <v>467598</v>
      </c>
      <c r="F19" s="5" t="n">
        <v>456485</v>
      </c>
      <c r="G19" s="5" t="n">
        <v>443933</v>
      </c>
      <c r="H19" s="5" t="n">
        <v>422437</v>
      </c>
      <c r="I19" s="5" t="n">
        <v>398400</v>
      </c>
      <c r="J19" s="5" t="n">
        <v>378047</v>
      </c>
      <c r="K19" s="5" t="n">
        <v>357275</v>
      </c>
      <c r="L19" s="5" t="n">
        <v>322451</v>
      </c>
      <c r="M19" s="5" t="n">
        <v>296885</v>
      </c>
      <c r="AT19" t="inlineStr">
        <is>
          <t>Opening equity</t>
        </is>
      </c>
      <c r="AU19" t="n">
        <v>296885</v>
      </c>
      <c r="AV19" t="n">
        <v>322451</v>
      </c>
      <c r="AW19" t="n">
        <v>357275</v>
      </c>
      <c r="AX19" t="n">
        <v>378047</v>
      </c>
      <c r="AY19" t="n">
        <v>398400</v>
      </c>
      <c r="AZ19" t="n">
        <v>422437</v>
      </c>
      <c r="BA19" t="n">
        <v>443933</v>
      </c>
      <c r="BB19" t="n">
        <v>456485</v>
      </c>
      <c r="BC19" t="n">
        <v>467598</v>
      </c>
      <c r="BD19" t="n">
        <v>467879</v>
      </c>
      <c r="BE19" t="n">
        <v>501030</v>
      </c>
      <c r="BF19" t="n">
        <v>544650</v>
      </c>
    </row>
    <row r="20">
      <c r="A20" s="5" t="inlineStr">
        <is>
          <t>Total comprehensive income for the year</t>
        </is>
      </c>
      <c r="B20" s="5" t="n">
        <v>46766</v>
      </c>
      <c r="C20" s="5" t="n">
        <v>43620</v>
      </c>
      <c r="D20" s="5" t="n">
        <v>33151</v>
      </c>
      <c r="E20" s="5" t="n">
        <v>281</v>
      </c>
      <c r="F20" s="5" t="n">
        <v>11113</v>
      </c>
      <c r="G20" s="5" t="n">
        <v>12552</v>
      </c>
      <c r="H20" s="5" t="n">
        <v>21496</v>
      </c>
      <c r="I20" s="5" t="n">
        <v>24201</v>
      </c>
      <c r="J20" s="5" t="n">
        <v>20353</v>
      </c>
      <c r="K20" s="5" t="n">
        <v>20772</v>
      </c>
      <c r="L20" s="5" t="n">
        <v>34824</v>
      </c>
      <c r="M20" s="5" t="n">
        <v>25566</v>
      </c>
      <c r="AT20" t="inlineStr">
        <is>
          <t>Total comprehensive income for the year</t>
        </is>
      </c>
      <c r="AU20" t="n">
        <v>25566</v>
      </c>
      <c r="AV20" t="n">
        <v>34824</v>
      </c>
      <c r="AW20" t="n">
        <v>20772</v>
      </c>
      <c r="AX20" t="n">
        <v>20353</v>
      </c>
      <c r="AY20" t="n">
        <v>24201</v>
      </c>
      <c r="AZ20" t="n">
        <v>21496</v>
      </c>
      <c r="BA20" t="n">
        <v>12552</v>
      </c>
      <c r="BB20" t="n">
        <v>11113</v>
      </c>
      <c r="BC20" t="n">
        <v>281</v>
      </c>
      <c r="BD20" t="n">
        <v>33151</v>
      </c>
      <c r="BE20" t="n">
        <v>43620</v>
      </c>
      <c r="BF20" t="n">
        <v>46766</v>
      </c>
    </row>
    <row r="21">
      <c r="A21" s="5" t="inlineStr">
        <is>
          <t>Closing equity</t>
        </is>
      </c>
      <c r="B21" s="5" t="n">
        <v>591416</v>
      </c>
      <c r="C21" s="5" t="n">
        <v>544650</v>
      </c>
      <c r="D21" s="5" t="n">
        <v>501030</v>
      </c>
      <c r="E21" s="5" t="n">
        <v>467879</v>
      </c>
      <c r="F21" s="5" t="n">
        <v>467598</v>
      </c>
      <c r="G21" s="5" t="n">
        <v>456485</v>
      </c>
      <c r="H21" s="5" t="n">
        <v>443933</v>
      </c>
      <c r="I21" s="5" t="n">
        <v>422437</v>
      </c>
      <c r="J21" s="5" t="n">
        <v>398400</v>
      </c>
      <c r="K21" s="5" t="n">
        <v>378047</v>
      </c>
      <c r="L21" s="5" t="n">
        <v>357275</v>
      </c>
      <c r="M21" s="5" t="n">
        <v>322451</v>
      </c>
      <c r="AT21" t="inlineStr">
        <is>
          <t>Closing equity</t>
        </is>
      </c>
      <c r="AU21" t="n">
        <v>322451</v>
      </c>
      <c r="AV21" t="n">
        <v>357275</v>
      </c>
      <c r="AW21" t="n">
        <v>378047</v>
      </c>
      <c r="AX21" t="n">
        <v>398400</v>
      </c>
      <c r="AY21" t="n">
        <v>422437</v>
      </c>
      <c r="AZ21" t="n">
        <v>443933</v>
      </c>
      <c r="BA21" t="n">
        <v>456485</v>
      </c>
      <c r="BB21" t="n">
        <v>467598</v>
      </c>
      <c r="BC21" t="n">
        <v>467879</v>
      </c>
      <c r="BD21" t="n">
        <v>501030</v>
      </c>
      <c r="BE21" t="n">
        <v>544650</v>
      </c>
      <c r="BF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M24" s="4" t="inlineStr">
        <is>
          <t>FY2014</t>
        </is>
      </c>
      <c r="BJ24" t="inlineStr">
        <is>
          <t>FY2014</t>
        </is>
      </c>
      <c r="BK24" t="inlineStr">
        <is>
          <t>FY2015</t>
        </is>
      </c>
      <c r="BL24" t="inlineStr">
        <is>
          <t>FY2016</t>
        </is>
      </c>
      <c r="BM24" t="inlineStr">
        <is>
          <t>FY2017</t>
        </is>
      </c>
      <c r="BN24" t="inlineStr">
        <is>
          <t>FY2018</t>
        </is>
      </c>
      <c r="BO24" t="inlineStr">
        <is>
          <t>FY2019</t>
        </is>
      </c>
      <c r="BP24" t="inlineStr">
        <is>
          <t>FY2020</t>
        </is>
      </c>
      <c r="BQ24" t="inlineStr">
        <is>
          <t>FY2021</t>
        </is>
      </c>
      <c r="BR24" t="inlineStr">
        <is>
          <t>FY2022</t>
        </is>
      </c>
      <c r="BS24" t="inlineStr">
        <is>
          <t>FY2023</t>
        </is>
      </c>
      <c r="BT24" t="inlineStr">
        <is>
          <t>FY2024</t>
        </is>
      </c>
      <c r="BU24" t="inlineStr">
        <is>
          <t>FY2025</t>
        </is>
      </c>
    </row>
    <row r="25">
      <c r="A25" s="5" t="inlineStr">
        <is>
          <t>Net cash used in operating activities</t>
        </is>
      </c>
      <c r="B25" s="5" t="n">
        <v>1366477</v>
      </c>
      <c r="C25" s="5" t="n">
        <v>-174234</v>
      </c>
      <c r="D25" s="5" t="n">
        <v>129403</v>
      </c>
      <c r="E25" s="5" t="n">
        <v>-108415</v>
      </c>
      <c r="F25" s="5" t="n">
        <v>-51743</v>
      </c>
      <c r="G25" s="5" t="n">
        <v>-117758</v>
      </c>
      <c r="H25" s="5" t="n">
        <v>353344</v>
      </c>
      <c r="I25" s="5" t="n">
        <v>76619</v>
      </c>
      <c r="J25" s="5" t="n">
        <v>78623</v>
      </c>
      <c r="K25" s="5" t="n">
        <v>-7467</v>
      </c>
      <c r="L25" s="5" t="n">
        <v>-145622</v>
      </c>
      <c r="M25" s="5" t="n">
        <v>73081</v>
      </c>
      <c r="BI25" t="inlineStr">
        <is>
          <t>Net cash used in operating activities</t>
        </is>
      </c>
      <c r="BJ25" t="n">
        <v>73081</v>
      </c>
      <c r="BK25" t="n">
        <v>-145622</v>
      </c>
      <c r="BL25" t="n">
        <v>-7467</v>
      </c>
      <c r="BM25" t="n">
        <v>78623</v>
      </c>
      <c r="BN25" t="n">
        <v>76619</v>
      </c>
      <c r="BO25" t="n">
        <v>353344</v>
      </c>
      <c r="BP25" t="n">
        <v>-117758</v>
      </c>
      <c r="BQ25" t="n">
        <v>-51743</v>
      </c>
      <c r="BR25" t="n">
        <v>-108415</v>
      </c>
      <c r="BS25" t="n">
        <v>129403</v>
      </c>
      <c r="BT25" t="n">
        <v>-174234</v>
      </c>
      <c r="BU25" t="n">
        <v>1366477</v>
      </c>
    </row>
    <row r="26">
      <c r="A26" s="5" t="inlineStr">
        <is>
          <t>Net cash used in investing activities</t>
        </is>
      </c>
      <c r="B26" s="5" t="n">
        <v>-764</v>
      </c>
      <c r="C26" s="5" t="n">
        <v>-447</v>
      </c>
      <c r="D26" s="5" t="n">
        <v>-275</v>
      </c>
      <c r="E26" s="5" t="n">
        <v>-525</v>
      </c>
      <c r="F26" s="5" t="n">
        <v>-793</v>
      </c>
      <c r="G26" s="5" t="n">
        <v>-386</v>
      </c>
      <c r="H26" s="5" t="n">
        <v>37751</v>
      </c>
      <c r="I26" s="5" t="n">
        <v>-71973</v>
      </c>
      <c r="J26" s="5" t="n">
        <v>-130118</v>
      </c>
      <c r="K26" s="5" t="n">
        <v>94561</v>
      </c>
      <c r="L26" s="5" t="n">
        <v>115276</v>
      </c>
      <c r="M26" s="5" t="n">
        <v>-23711</v>
      </c>
      <c r="BI26" t="inlineStr">
        <is>
          <t>Net cash used in investing activities</t>
        </is>
      </c>
      <c r="BJ26" t="n">
        <v>-23711</v>
      </c>
      <c r="BK26" t="n">
        <v>115276</v>
      </c>
      <c r="BL26" t="n">
        <v>94561</v>
      </c>
      <c r="BM26" t="n">
        <v>-130118</v>
      </c>
      <c r="BN26" t="n">
        <v>-71973</v>
      </c>
      <c r="BO26" t="n">
        <v>37751</v>
      </c>
      <c r="BP26" t="n">
        <v>-386</v>
      </c>
      <c r="BQ26" t="n">
        <v>-793</v>
      </c>
      <c r="BR26" t="n">
        <v>-525</v>
      </c>
      <c r="BS26" t="n">
        <v>-275</v>
      </c>
      <c r="BT26" t="n">
        <v>-447</v>
      </c>
      <c r="BU26" t="n">
        <v>-764</v>
      </c>
    </row>
    <row r="27">
      <c r="A27" s="5" t="inlineStr">
        <is>
          <t>Net cash from financing activities</t>
        </is>
      </c>
      <c r="B27" s="5" t="n">
        <v>0</v>
      </c>
      <c r="C27" s="5" t="n">
        <v>0</v>
      </c>
      <c r="D27" s="5" t="n">
        <v>0</v>
      </c>
      <c r="E27" s="5" t="n">
        <v>0</v>
      </c>
      <c r="F27" s="5" t="n">
        <v>0</v>
      </c>
      <c r="G27" s="5" t="n">
        <v>0</v>
      </c>
      <c r="H27" s="5" t="n">
        <v>0</v>
      </c>
      <c r="I27" s="5" t="n">
        <v>0</v>
      </c>
      <c r="J27" s="5" t="n">
        <v>0</v>
      </c>
      <c r="K27" s="5" t="n">
        <v>0</v>
      </c>
      <c r="L27" s="5" t="n">
        <v>0</v>
      </c>
      <c r="M27" s="5" t="n">
        <v>0</v>
      </c>
      <c r="BI27" t="inlineStr">
        <is>
          <t>Net cash from financing activities</t>
        </is>
      </c>
      <c r="BJ27" t="n">
        <v>0</v>
      </c>
      <c r="BK27" t="n">
        <v>0</v>
      </c>
      <c r="BL27" t="n">
        <v>0</v>
      </c>
      <c r="BM27" t="n">
        <v>0</v>
      </c>
      <c r="BN27" t="n">
        <v>0</v>
      </c>
      <c r="BO27" t="n">
        <v>0</v>
      </c>
      <c r="BP27" t="n">
        <v>0</v>
      </c>
      <c r="BQ27" t="n">
        <v>0</v>
      </c>
      <c r="BR27" t="n">
        <v>0</v>
      </c>
      <c r="BS27" t="n">
        <v>0</v>
      </c>
      <c r="BT27" t="n">
        <v>0</v>
      </c>
      <c r="BU27" t="n">
        <v>0</v>
      </c>
    </row>
    <row r="28">
      <c r="A28" s="5" t="inlineStr">
        <is>
          <t>Cash and cash equivalents at 31 December</t>
        </is>
      </c>
      <c r="B28" s="5" t="n">
        <v>1498693</v>
      </c>
      <c r="C28" s="5" t="n">
        <v>139627</v>
      </c>
      <c r="D28" s="5" t="n">
        <v>316971</v>
      </c>
      <c r="E28" s="5" t="n">
        <v>180382</v>
      </c>
      <c r="F28" s="5" t="n">
        <v>307556</v>
      </c>
      <c r="G28" s="5" t="n">
        <v>361540</v>
      </c>
      <c r="H28" s="5" t="n">
        <v>470286</v>
      </c>
      <c r="I28" s="5" t="n">
        <v>78694</v>
      </c>
      <c r="J28" s="5" t="n">
        <v>71939</v>
      </c>
      <c r="K28" s="5" t="n">
        <v>126704</v>
      </c>
      <c r="L28" s="5" t="n">
        <v>41812</v>
      </c>
      <c r="M28" s="5" t="n">
        <v>73549</v>
      </c>
      <c r="BI28" t="inlineStr">
        <is>
          <t>Cash and cash equivalents at 31 December</t>
        </is>
      </c>
      <c r="BJ28" t="n">
        <v>73549</v>
      </c>
      <c r="BK28" t="n">
        <v>41812</v>
      </c>
      <c r="BL28" t="n">
        <v>126704</v>
      </c>
      <c r="BM28" t="n">
        <v>71939</v>
      </c>
      <c r="BN28" t="n">
        <v>78694</v>
      </c>
      <c r="BO28" t="n">
        <v>470286</v>
      </c>
      <c r="BP28" t="n">
        <v>361540</v>
      </c>
      <c r="BQ28" t="n">
        <v>307556</v>
      </c>
      <c r="BR28" t="n">
        <v>180382</v>
      </c>
      <c r="BS28" t="n">
        <v>316971</v>
      </c>
      <c r="BT28" t="n">
        <v>139627</v>
      </c>
      <c r="BU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81.09%</t>
        </is>
      </c>
      <c r="C32" s="6" t="inlineStr">
        <is>
          <t>70.16%</t>
        </is>
      </c>
      <c r="D32" s="6" t="inlineStr">
        <is>
          <t>56.30%</t>
        </is>
      </c>
      <c r="E32" s="6" t="n"/>
      <c r="F32" s="6" t="n"/>
      <c r="G32" s="6" t="n"/>
      <c r="H32" s="6" t="n"/>
      <c r="I32" s="6" t="n"/>
      <c r="J32" s="6" t="n"/>
      <c r="K32" s="6" t="n"/>
      <c r="L32" s="6" t="n"/>
      <c r="M32" s="6" t="n"/>
    </row>
    <row r="33">
      <c r="A33" s="6" t="inlineStr">
        <is>
          <t>Tier 1 Ratio</t>
        </is>
      </c>
      <c r="B33" s="6" t="inlineStr">
        <is>
          <t>81.09%</t>
        </is>
      </c>
      <c r="C33" s="6" t="inlineStr">
        <is>
          <t>70.16%</t>
        </is>
      </c>
      <c r="D33" s="6" t="inlineStr">
        <is>
          <t>56.30%</t>
        </is>
      </c>
      <c r="E33" s="6" t="n"/>
      <c r="F33" s="6" t="n"/>
      <c r="G33" s="6" t="n"/>
      <c r="H33" s="6" t="n"/>
      <c r="I33" s="6" t="n"/>
      <c r="J33" s="6" t="n"/>
      <c r="K33" s="6" t="n"/>
      <c r="L33" s="6" t="n"/>
      <c r="M33" s="6" t="n"/>
    </row>
    <row r="34">
      <c r="A34" s="6" t="inlineStr">
        <is>
          <t>Total Capital Ratio</t>
        </is>
      </c>
      <c r="B34" s="6" t="inlineStr">
        <is>
          <t>81.09%</t>
        </is>
      </c>
      <c r="C34" s="6" t="inlineStr">
        <is>
          <t>70.16%</t>
        </is>
      </c>
      <c r="D34" s="6" t="inlineStr">
        <is>
          <t>56.30%</t>
        </is>
      </c>
      <c r="E34" s="6" t="n"/>
      <c r="F34" s="6" t="n"/>
      <c r="G34" s="6" t="n"/>
      <c r="H34" s="6" t="n"/>
      <c r="I34" s="6" t="n"/>
      <c r="J34" s="6" t="n"/>
      <c r="K34" s="6" t="n"/>
      <c r="L34" s="6" t="n"/>
      <c r="M34" s="6" t="n"/>
    </row>
    <row r="35">
      <c r="A35" s="6" t="inlineStr">
        <is>
          <t>Leverage Ratio</t>
        </is>
      </c>
      <c r="B35" s="6" t="inlineStr">
        <is>
          <t>47.48%</t>
        </is>
      </c>
      <c r="C35" s="6" t="inlineStr">
        <is>
          <t>33.77%</t>
        </is>
      </c>
      <c r="D35" s="6" t="inlineStr">
        <is>
          <t>35.41%</t>
        </is>
      </c>
      <c r="E35" s="6" t="n"/>
      <c r="F35" s="6" t="n"/>
      <c r="G35" s="6" t="n"/>
      <c r="H35" s="6" t="n"/>
      <c r="I35" s="6" t="n"/>
      <c r="J35" s="6" t="n"/>
      <c r="K35" s="6" t="n"/>
      <c r="L35" s="6" t="n"/>
      <c r="M35" s="6" t="n"/>
    </row>
    <row r="36">
      <c r="A36" s="6" t="inlineStr">
        <is>
          <t>LCR</t>
        </is>
      </c>
      <c r="B36" s="6" t="inlineStr">
        <is>
          <t>143.70%</t>
        </is>
      </c>
      <c r="C36" s="6" t="inlineStr">
        <is>
          <t>175.13%</t>
        </is>
      </c>
      <c r="D36" s="6" t="inlineStr">
        <is>
          <t>282.28%</t>
        </is>
      </c>
      <c r="E36" s="6" t="n"/>
      <c r="F36" s="6" t="n"/>
      <c r="G36" s="6" t="inlineStr">
        <is>
          <t>372%</t>
        </is>
      </c>
      <c r="H36" s="6" t="inlineStr">
        <is>
          <t>255%</t>
        </is>
      </c>
      <c r="I36" s="6" t="inlineStr">
        <is>
          <t>250%</t>
        </is>
      </c>
      <c r="J36" s="6" t="inlineStr">
        <is>
          <t>418%</t>
        </is>
      </c>
      <c r="K36" s="6" t="n"/>
      <c r="L36" s="6" t="n"/>
      <c r="M36" s="6" t="n"/>
    </row>
    <row r="37">
      <c r="A37" s="6" t="inlineStr">
        <is>
          <t>NSFR</t>
        </is>
      </c>
      <c r="B37" s="6" t="inlineStr">
        <is>
          <t>173.34%</t>
        </is>
      </c>
      <c r="C37" s="6" t="inlineStr">
        <is>
          <t>149.33%</t>
        </is>
      </c>
      <c r="D37" s="6" t="inlineStr">
        <is>
          <t>135.79%</t>
        </is>
      </c>
      <c r="E37" s="6" t="n"/>
      <c r="F37" s="6" t="n"/>
      <c r="G37" s="6" t="n"/>
      <c r="H37" s="6" t="n"/>
      <c r="I37" s="6" t="n"/>
      <c r="J37" s="6" t="n"/>
      <c r="K37" s="6" t="n"/>
      <c r="L37" s="6" t="n"/>
      <c r="M37" s="6" t="n"/>
    </row>
    <row r="39" ht="45" customHeight="1">
      <c r="A39" s="7" t="inlineStr">
        <is>
          <t>Note: Figures are duplicated from the detail sheets for at-a-glance trend viewing; see each sheet's own source citation for the underlying document/page. RWA-denominated Pillar 3 ratios (CET1/Tier1/Total Capital Ratio, Leverage Ratio, NSFR) are only publicly disclosed from FY2023 onward - no risk-weighted-assets figure of any kind exists in the Bank's own FY2014-FY2022 Annual Reports, even though the underlying CET1/Tier1/Total Capital £ amounts are disclosed back to FY2014 (see those sheets' own source note); blank cells for those years/ratios are intentional, not zeros. LCR is the one ratio disclosed earlier, as a narrative percentage from FY2017 (see the LCR sheet's own source note for FY2014-2016's absence).</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1062471</v>
      </c>
      <c r="C5" s="6" t="n">
        <v>43857</v>
      </c>
      <c r="D5" s="6" t="n">
        <v>196360</v>
      </c>
      <c r="E5" s="6" t="n">
        <v>107136</v>
      </c>
      <c r="F5" s="6" t="n">
        <v>149090</v>
      </c>
      <c r="G5" s="6" t="n">
        <v>200967</v>
      </c>
      <c r="H5" s="6" t="n">
        <v>376810</v>
      </c>
      <c r="I5" s="6" t="n">
        <v>10369</v>
      </c>
      <c r="J5" s="6" t="n">
        <v>162</v>
      </c>
      <c r="K5" s="6" t="n">
        <v>145</v>
      </c>
      <c r="L5" s="6" t="n">
        <v>197</v>
      </c>
      <c r="M5" s="6" t="n">
        <v>243</v>
      </c>
      <c r="N5" s="6" t="n">
        <v>108</v>
      </c>
    </row>
    <row r="6">
      <c r="A6" s="6" t="inlineStr">
        <is>
          <t>Loans and advances to banks</t>
        </is>
      </c>
      <c r="B6" s="6" t="n">
        <v>511222</v>
      </c>
      <c r="C6" s="6" t="n">
        <v>934969</v>
      </c>
      <c r="D6" s="6" t="n">
        <v>523491</v>
      </c>
      <c r="E6" s="6" t="n">
        <v>612456</v>
      </c>
      <c r="F6" s="6" t="n">
        <v>537966</v>
      </c>
      <c r="G6" s="6" t="n">
        <v>689413</v>
      </c>
      <c r="H6" s="6" t="n">
        <v>741330</v>
      </c>
      <c r="I6" s="6" t="n">
        <v>900153</v>
      </c>
      <c r="J6" s="6" t="n">
        <v>840064</v>
      </c>
      <c r="K6" s="6" t="n">
        <v>1171593</v>
      </c>
      <c r="L6" s="6" t="n">
        <v>1289728</v>
      </c>
      <c r="M6" s="6" t="n">
        <v>967756</v>
      </c>
      <c r="N6" s="6" t="n">
        <v>956543</v>
      </c>
    </row>
    <row r="7">
      <c r="A7" s="6" t="inlineStr">
        <is>
          <t>Loans and advances to customers</t>
        </is>
      </c>
      <c r="B7" s="6" t="n">
        <v>413326</v>
      </c>
      <c r="C7" s="6" t="n">
        <v>336256</v>
      </c>
      <c r="D7" s="6" t="n">
        <v>429281</v>
      </c>
      <c r="E7" s="6" t="n">
        <v>331484</v>
      </c>
      <c r="F7" s="6" t="n">
        <v>128348</v>
      </c>
      <c r="G7" s="6" t="n">
        <v>428558</v>
      </c>
      <c r="H7" s="6" t="n">
        <v>513279</v>
      </c>
      <c r="I7" s="6" t="n">
        <v>809084</v>
      </c>
      <c r="J7" s="6" t="n">
        <v>953232</v>
      </c>
      <c r="K7" s="6" t="n">
        <v>1024525</v>
      </c>
      <c r="L7" s="6" t="n">
        <v>1347144</v>
      </c>
      <c r="M7" s="6" t="n">
        <v>2151215</v>
      </c>
      <c r="N7" s="6" t="n">
        <v>1845322</v>
      </c>
    </row>
    <row r="8">
      <c r="A8" s="6" t="inlineStr">
        <is>
          <t>Derivative financial instruments</t>
        </is>
      </c>
      <c r="B8" s="6" t="n">
        <v>0</v>
      </c>
      <c r="C8" s="6" t="n">
        <v>255</v>
      </c>
      <c r="D8" s="6" t="n">
        <v>66</v>
      </c>
      <c r="E8" s="6" t="n">
        <v>0</v>
      </c>
      <c r="F8" s="6" t="n">
        <v>21</v>
      </c>
      <c r="G8" s="6" t="n">
        <v>26115</v>
      </c>
      <c r="H8" s="6" t="n">
        <v>17623</v>
      </c>
      <c r="I8" s="6" t="n">
        <v>12667</v>
      </c>
      <c r="J8" s="6" t="n">
        <v>52120</v>
      </c>
      <c r="K8" s="6" t="n">
        <v>86329</v>
      </c>
      <c r="L8" s="6" t="n">
        <v>33699</v>
      </c>
      <c r="M8" s="6" t="n">
        <v>40673</v>
      </c>
      <c r="N8" s="6" t="n">
        <v>1455</v>
      </c>
    </row>
    <row r="9">
      <c r="A9" s="6" t="inlineStr">
        <is>
          <t>Financial investments at FVOCI</t>
        </is>
      </c>
      <c r="B9" s="6" t="n">
        <v>320996</v>
      </c>
      <c r="C9" s="6" t="n">
        <v>313176</v>
      </c>
      <c r="D9" s="6" t="n">
        <v>251961</v>
      </c>
      <c r="E9" s="6" t="n">
        <v>263048</v>
      </c>
      <c r="F9" s="6" t="n">
        <v>350258</v>
      </c>
      <c r="G9" s="6" t="n">
        <v>402959</v>
      </c>
      <c r="H9" s="6" t="n">
        <v>391350</v>
      </c>
      <c r="I9" s="6" t="n">
        <v>393988</v>
      </c>
      <c r="J9" s="6" t="n">
        <v>448210</v>
      </c>
      <c r="K9" s="6" t="n">
        <v>388541</v>
      </c>
      <c r="L9" s="6" t="n">
        <v>489848</v>
      </c>
      <c r="M9" s="6" t="n">
        <v>610135</v>
      </c>
      <c r="N9" s="6" t="n">
        <v>597407</v>
      </c>
    </row>
    <row r="10">
      <c r="A10" s="6" t="inlineStr">
        <is>
          <t>Financial investments at amortised cost</t>
        </is>
      </c>
      <c r="B10" s="6" t="n">
        <v>35803</v>
      </c>
      <c r="C10" s="6" t="n">
        <v>27177</v>
      </c>
      <c r="D10" s="6" t="n">
        <v>68805</v>
      </c>
      <c r="E10" s="6" t="n">
        <v>175266</v>
      </c>
      <c r="F10" s="6" t="n">
        <v>209357</v>
      </c>
      <c r="G10" s="6" t="n">
        <v>194293</v>
      </c>
      <c r="H10" s="6" t="n">
        <v>160762</v>
      </c>
      <c r="I10" s="6" t="n">
        <v>191156</v>
      </c>
      <c r="J10" s="6" t="n">
        <v>69522</v>
      </c>
      <c r="K10" s="6" t="n"/>
      <c r="L10" s="6" t="n"/>
      <c r="M10" s="6" t="n"/>
      <c r="N10" s="6" t="n"/>
    </row>
    <row r="11">
      <c r="A11" s="6" t="inlineStr">
        <is>
          <t>Intangible assets</t>
        </is>
      </c>
      <c r="B11" s="6" t="n">
        <v>244</v>
      </c>
      <c r="C11" s="6" t="n">
        <v>220</v>
      </c>
      <c r="D11" s="6" t="n">
        <v>186</v>
      </c>
      <c r="E11" s="6" t="n">
        <v>162</v>
      </c>
      <c r="F11" s="6" t="n">
        <v>167</v>
      </c>
      <c r="G11" s="6" t="n">
        <v>155</v>
      </c>
      <c r="H11" s="6" t="n">
        <v>159</v>
      </c>
      <c r="I11" s="6" t="n">
        <v>144</v>
      </c>
      <c r="J11" s="6" t="n">
        <v>178</v>
      </c>
      <c r="K11" s="6" t="n">
        <v>28</v>
      </c>
      <c r="L11" s="6" t="n"/>
      <c r="M11" s="6" t="n"/>
      <c r="N11" s="6" t="n"/>
    </row>
    <row r="12">
      <c r="A12" s="6" t="inlineStr">
        <is>
          <t>Tangible fixed assets</t>
        </is>
      </c>
      <c r="B12" s="6" t="n">
        <v>29460</v>
      </c>
      <c r="C12" s="6" t="n">
        <v>29928</v>
      </c>
      <c r="D12" s="6" t="n">
        <v>30669</v>
      </c>
      <c r="E12" s="6" t="n">
        <v>31651</v>
      </c>
      <c r="F12" s="6" t="n">
        <v>32585</v>
      </c>
      <c r="G12" s="6" t="n">
        <v>33744</v>
      </c>
      <c r="H12" s="6" t="n">
        <v>35321</v>
      </c>
      <c r="I12" s="6" t="n">
        <v>36761</v>
      </c>
      <c r="J12" s="6" t="n">
        <v>37994</v>
      </c>
      <c r="K12" s="6" t="n">
        <v>39488</v>
      </c>
      <c r="L12" s="6" t="n">
        <v>41314</v>
      </c>
      <c r="M12" s="6" t="n">
        <v>42850</v>
      </c>
      <c r="N12" s="6" t="n">
        <v>44732</v>
      </c>
    </row>
    <row r="13">
      <c r="A13" s="6" t="inlineStr">
        <is>
          <t>Current tax assets</t>
        </is>
      </c>
      <c r="B13" s="6" t="n"/>
      <c r="C13" s="6" t="n"/>
      <c r="D13" s="6" t="n"/>
      <c r="E13" s="6" t="n">
        <v>0</v>
      </c>
      <c r="F13" s="6" t="n">
        <v>28</v>
      </c>
      <c r="G13" s="6" t="n">
        <v>6154</v>
      </c>
      <c r="H13" s="6" t="n"/>
      <c r="I13" s="6" t="n"/>
      <c r="J13" s="6" t="n"/>
      <c r="K13" s="6" t="n"/>
      <c r="L13" s="6" t="n"/>
      <c r="M13" s="6" t="n"/>
      <c r="N13" s="6" t="n"/>
    </row>
    <row r="14">
      <c r="A14" s="6" t="inlineStr">
        <is>
          <t>Deferred tax assets</t>
        </is>
      </c>
      <c r="B14" s="6" t="n">
        <v>614</v>
      </c>
      <c r="C14" s="6" t="n">
        <v>614</v>
      </c>
      <c r="D14" s="6" t="n">
        <v>569</v>
      </c>
      <c r="E14" s="6" t="n">
        <v>3489</v>
      </c>
      <c r="F14" s="6" t="n"/>
      <c r="G14" s="6" t="n"/>
      <c r="H14" s="6" t="n"/>
      <c r="I14" s="6" t="n"/>
      <c r="J14" s="6" t="n"/>
      <c r="K14" s="6" t="n"/>
      <c r="L14" s="6" t="n"/>
      <c r="M14" s="6" t="n"/>
      <c r="N14" s="6" t="n"/>
    </row>
    <row r="15">
      <c r="A15" s="6" t="inlineStr">
        <is>
          <t>Prepayments, accrued income and other assets</t>
        </is>
      </c>
      <c r="B15" s="6" t="n">
        <v>19810</v>
      </c>
      <c r="C15" s="6" t="n">
        <v>15677</v>
      </c>
      <c r="D15" s="6" t="n">
        <v>13332</v>
      </c>
      <c r="E15" s="6" t="n">
        <v>13447</v>
      </c>
      <c r="F15" s="6" t="n">
        <v>12868</v>
      </c>
      <c r="G15" s="6" t="n">
        <v>15355</v>
      </c>
      <c r="H15" s="6" t="n">
        <v>17449</v>
      </c>
      <c r="I15" s="6" t="n">
        <v>20309</v>
      </c>
      <c r="J15" s="6" t="n">
        <v>29757</v>
      </c>
      <c r="K15" s="6" t="n">
        <v>11616</v>
      </c>
      <c r="L15" s="6" t="n">
        <v>10695</v>
      </c>
      <c r="M15" s="6" t="n">
        <v>12366</v>
      </c>
      <c r="N15" s="6" t="n">
        <v>16299</v>
      </c>
    </row>
    <row r="16">
      <c r="A16" s="5" t="inlineStr">
        <is>
          <t>Total Assets</t>
        </is>
      </c>
      <c r="B16" s="5" t="n">
        <v>2393946</v>
      </c>
      <c r="C16" s="5" t="n">
        <v>1702129</v>
      </c>
      <c r="D16" s="5" t="n">
        <v>1514720</v>
      </c>
      <c r="E16" s="5" t="n">
        <v>1538139</v>
      </c>
      <c r="F16" s="5" t="n">
        <v>1420688</v>
      </c>
      <c r="G16" s="5" t="n">
        <v>1997713</v>
      </c>
      <c r="H16" s="5" t="n">
        <v>2254083</v>
      </c>
      <c r="I16" s="5" t="n">
        <v>2374631</v>
      </c>
      <c r="J16" s="5" t="n">
        <v>2431239</v>
      </c>
      <c r="K16" s="5" t="n">
        <v>2722265</v>
      </c>
      <c r="L16" s="5" t="n">
        <v>3212625</v>
      </c>
      <c r="M16" s="5" t="n">
        <v>3825238</v>
      </c>
      <c r="N16" s="5" t="n">
        <v>3461866</v>
      </c>
    </row>
    <row r="17">
      <c r="A17" s="5" t="inlineStr">
        <is>
          <t>Liabilities</t>
        </is>
      </c>
      <c r="B17" s="6" t="n"/>
      <c r="C17" s="6" t="n"/>
      <c r="D17" s="6" t="n"/>
      <c r="E17" s="6" t="n"/>
      <c r="F17" s="6" t="n"/>
      <c r="G17" s="6" t="n"/>
      <c r="H17" s="6" t="n"/>
      <c r="I17" s="6" t="n"/>
      <c r="J17" s="6" t="n"/>
      <c r="K17" s="6" t="n"/>
      <c r="L17" s="6" t="n"/>
      <c r="M17" s="6" t="n"/>
      <c r="N17" s="6" t="n"/>
    </row>
    <row r="18">
      <c r="A18" s="6" t="inlineStr">
        <is>
          <t>Deposits by banks</t>
        </is>
      </c>
      <c r="B18" s="6" t="n">
        <v>1622117</v>
      </c>
      <c r="C18" s="6" t="n">
        <v>974702</v>
      </c>
      <c r="D18" s="6" t="n">
        <v>751531</v>
      </c>
      <c r="E18" s="6" t="n">
        <v>810645</v>
      </c>
      <c r="F18" s="6" t="n">
        <v>411211</v>
      </c>
      <c r="G18" s="6" t="n">
        <v>1110415</v>
      </c>
      <c r="H18" s="6" t="n">
        <v>1380084</v>
      </c>
      <c r="I18" s="6" t="n">
        <v>1355754</v>
      </c>
      <c r="J18" s="6" t="n">
        <v>1475894</v>
      </c>
      <c r="K18" s="6" t="n">
        <v>1754538</v>
      </c>
      <c r="L18" s="6" t="n">
        <v>2048191</v>
      </c>
      <c r="M18" s="6" t="n">
        <v>2487979</v>
      </c>
      <c r="N18" s="6" t="n">
        <v>2300836</v>
      </c>
    </row>
    <row r="19">
      <c r="A19" s="6" t="inlineStr">
        <is>
          <t>Customer accounts</t>
        </is>
      </c>
      <c r="B19" s="6" t="n">
        <v>160911</v>
      </c>
      <c r="C19" s="6" t="n">
        <v>165625</v>
      </c>
      <c r="D19" s="6" t="n">
        <v>244297</v>
      </c>
      <c r="E19" s="6" t="n">
        <v>247933</v>
      </c>
      <c r="F19" s="6" t="n">
        <v>530469</v>
      </c>
      <c r="G19" s="6" t="n">
        <v>386884</v>
      </c>
      <c r="H19" s="6" t="n">
        <v>395956</v>
      </c>
      <c r="I19" s="6" t="n">
        <v>467426</v>
      </c>
      <c r="J19" s="6" t="n">
        <v>375734</v>
      </c>
      <c r="K19" s="6" t="n">
        <v>391012</v>
      </c>
      <c r="L19" s="6" t="n">
        <v>661083</v>
      </c>
      <c r="M19" s="6" t="n">
        <v>860894</v>
      </c>
      <c r="N19" s="6" t="n">
        <v>742938</v>
      </c>
    </row>
    <row r="20">
      <c r="A20" s="6" t="inlineStr">
        <is>
          <t>Derivative financial instruments</t>
        </is>
      </c>
      <c r="B20" s="6" t="n">
        <v>2245</v>
      </c>
      <c r="C20" s="6" t="n">
        <v>0</v>
      </c>
      <c r="D20" s="6" t="n">
        <v>0</v>
      </c>
      <c r="E20" s="6" t="n">
        <v>0</v>
      </c>
      <c r="F20" s="6" t="n">
        <v>117</v>
      </c>
      <c r="G20" s="6" t="n">
        <v>26708</v>
      </c>
      <c r="H20" s="6" t="n">
        <v>17277</v>
      </c>
      <c r="I20" s="6" t="n">
        <v>12466</v>
      </c>
      <c r="J20" s="6" t="n">
        <v>50936</v>
      </c>
      <c r="K20" s="6" t="n">
        <v>85667</v>
      </c>
      <c r="L20" s="6" t="n">
        <v>32245</v>
      </c>
      <c r="M20" s="6" t="n">
        <v>34706</v>
      </c>
      <c r="N20" s="6" t="n">
        <v>3263</v>
      </c>
    </row>
    <row r="21">
      <c r="A21" s="6" t="inlineStr">
        <is>
          <t>Other liabilities</t>
        </is>
      </c>
      <c r="B21" s="6" t="n">
        <v>12447</v>
      </c>
      <c r="C21" s="6" t="n">
        <v>10872</v>
      </c>
      <c r="D21" s="6" t="n">
        <v>11801</v>
      </c>
      <c r="E21" s="6" t="n">
        <v>8101</v>
      </c>
      <c r="F21" s="6" t="n">
        <v>8054</v>
      </c>
      <c r="G21" s="6" t="n">
        <v>11467</v>
      </c>
      <c r="H21" s="6" t="n">
        <v>7882</v>
      </c>
      <c r="I21" s="6" t="n">
        <v>7363</v>
      </c>
      <c r="J21" s="6" t="n">
        <v>18913</v>
      </c>
      <c r="K21" s="6" t="n">
        <v>4691</v>
      </c>
      <c r="L21" s="6" t="n">
        <v>4191</v>
      </c>
      <c r="M21" s="6" t="n">
        <v>4265</v>
      </c>
      <c r="N21" s="6" t="n">
        <v>4206</v>
      </c>
    </row>
    <row r="22">
      <c r="A22" s="6" t="inlineStr">
        <is>
          <t>Accruals and deferred income</t>
        </is>
      </c>
      <c r="B22" s="6" t="n">
        <v>1924</v>
      </c>
      <c r="C22" s="6" t="n">
        <v>3121</v>
      </c>
      <c r="D22" s="6" t="n">
        <v>5343</v>
      </c>
      <c r="E22" s="6" t="n">
        <v>2751</v>
      </c>
      <c r="F22" s="6" t="n">
        <v>476</v>
      </c>
      <c r="G22" s="6" t="n">
        <v>1280</v>
      </c>
      <c r="H22" s="6" t="n">
        <v>3133</v>
      </c>
      <c r="I22" s="6" t="n">
        <v>4564</v>
      </c>
      <c r="J22" s="6" t="n">
        <v>3433</v>
      </c>
      <c r="K22" s="6" t="n">
        <v>3658</v>
      </c>
      <c r="L22" s="6" t="n">
        <v>3933</v>
      </c>
      <c r="M22" s="6" t="n">
        <v>12212</v>
      </c>
      <c r="N22" s="6" t="n">
        <v>7239</v>
      </c>
    </row>
    <row r="23">
      <c r="A23" s="6" t="inlineStr">
        <is>
          <t>Subordinated loan</t>
        </is>
      </c>
      <c r="B23" s="6" t="n"/>
      <c r="C23" s="6" t="n"/>
      <c r="D23" s="6" t="n"/>
      <c r="E23" s="6" t="n"/>
      <c r="F23" s="6" t="n"/>
      <c r="G23" s="6" t="n"/>
      <c r="H23" s="6" t="n"/>
      <c r="I23" s="6" t="n">
        <v>100000</v>
      </c>
      <c r="J23" s="6" t="n">
        <v>100000</v>
      </c>
      <c r="K23" s="6" t="n">
        <v>100000</v>
      </c>
      <c r="L23" s="6" t="n">
        <v>100000</v>
      </c>
      <c r="M23" s="6" t="n">
        <v>100000</v>
      </c>
      <c r="N23" s="6" t="n">
        <v>100000</v>
      </c>
    </row>
    <row r="24">
      <c r="A24" s="6" t="inlineStr">
        <is>
          <t>Provisions for liabilities</t>
        </is>
      </c>
      <c r="B24" s="6" t="n"/>
      <c r="C24" s="6" t="n"/>
      <c r="D24" s="6" t="n"/>
      <c r="E24" s="6" t="n">
        <v>0</v>
      </c>
      <c r="F24" s="6" t="n">
        <v>1915</v>
      </c>
      <c r="G24" s="6" t="n">
        <v>2303</v>
      </c>
      <c r="H24" s="6" t="n">
        <v>2633</v>
      </c>
      <c r="I24" s="6" t="n">
        <v>2997</v>
      </c>
      <c r="J24" s="6" t="n">
        <v>3220</v>
      </c>
      <c r="K24" s="6" t="n">
        <v>1135</v>
      </c>
      <c r="L24" s="6" t="n">
        <v>241</v>
      </c>
      <c r="M24" s="6" t="n">
        <v>440</v>
      </c>
      <c r="N24" s="6" t="n">
        <v>1351</v>
      </c>
    </row>
    <row r="25">
      <c r="A25" s="6" t="inlineStr">
        <is>
          <t>Current tax liabilities</t>
        </is>
      </c>
      <c r="B25" s="6" t="n">
        <v>27</v>
      </c>
      <c r="C25" s="6" t="n">
        <v>1705</v>
      </c>
      <c r="D25" s="6" t="n">
        <v>718</v>
      </c>
      <c r="E25" s="6" t="n">
        <v>830</v>
      </c>
      <c r="F25" s="6" t="n">
        <v>0</v>
      </c>
      <c r="G25" s="6" t="n">
        <v>0</v>
      </c>
      <c r="H25" s="6" t="n">
        <v>1805</v>
      </c>
      <c r="I25" s="6" t="n">
        <v>1175</v>
      </c>
      <c r="J25" s="6" t="n">
        <v>4091</v>
      </c>
      <c r="K25" s="6" t="n">
        <v>2357</v>
      </c>
      <c r="L25" s="6" t="n">
        <v>4421</v>
      </c>
      <c r="M25" s="6" t="n">
        <v>2135</v>
      </c>
      <c r="N25" s="6" t="n">
        <v>4915</v>
      </c>
    </row>
    <row r="26">
      <c r="A26" s="6" t="inlineStr">
        <is>
          <t>Deferred tax liabilities</t>
        </is>
      </c>
      <c r="B26" s="6" t="n">
        <v>2859</v>
      </c>
      <c r="C26" s="6" t="n">
        <v>1454</v>
      </c>
      <c r="D26" s="6" t="n">
        <v>0</v>
      </c>
      <c r="E26" s="6" t="n">
        <v>0</v>
      </c>
      <c r="F26" s="6" t="n">
        <v>848</v>
      </c>
      <c r="G26" s="6" t="n">
        <v>2171</v>
      </c>
      <c r="H26" s="6" t="n">
        <v>1380</v>
      </c>
      <c r="I26" s="6" t="n">
        <v>449</v>
      </c>
      <c r="J26" s="6" t="n">
        <v>618</v>
      </c>
      <c r="K26" s="6" t="n">
        <v>1160</v>
      </c>
      <c r="L26" s="6" t="n">
        <v>1045</v>
      </c>
      <c r="M26" s="6" t="n">
        <v>156</v>
      </c>
      <c r="N26" s="6" t="n">
        <v>233</v>
      </c>
    </row>
    <row r="27">
      <c r="A27" s="5" t="inlineStr">
        <is>
          <t>Total Liabilities</t>
        </is>
      </c>
      <c r="B27" s="5" t="n">
        <v>1802530</v>
      </c>
      <c r="C27" s="5" t="n">
        <v>1157479</v>
      </c>
      <c r="D27" s="5" t="n">
        <v>1013690</v>
      </c>
      <c r="E27" s="5" t="n">
        <v>1070260</v>
      </c>
      <c r="F27" s="5" t="n">
        <v>953090</v>
      </c>
      <c r="G27" s="5" t="n">
        <v>1541223</v>
      </c>
      <c r="H27" s="5" t="n">
        <v>1810150</v>
      </c>
      <c r="I27" s="5" t="n">
        <v>1952194</v>
      </c>
      <c r="J27" s="5" t="n">
        <v>2032839</v>
      </c>
      <c r="K27" s="5" t="n">
        <v>2344218</v>
      </c>
      <c r="L27" s="5" t="n">
        <v>2855350</v>
      </c>
      <c r="M27" s="5" t="n">
        <v>3502787</v>
      </c>
      <c r="N27" s="5" t="n">
        <v>3164981</v>
      </c>
    </row>
    <row r="28">
      <c r="A28" s="5" t="inlineStr">
        <is>
          <t>Share Capital and Reserves</t>
        </is>
      </c>
      <c r="B28" s="6" t="n"/>
      <c r="C28" s="6" t="n"/>
      <c r="D28" s="6" t="n"/>
      <c r="E28" s="6" t="n"/>
      <c r="F28" s="6" t="n"/>
      <c r="G28" s="6" t="n"/>
      <c r="H28" s="6" t="n"/>
      <c r="I28" s="6" t="n"/>
      <c r="J28" s="6" t="n"/>
      <c r="K28" s="6" t="n"/>
      <c r="L28" s="6" t="n"/>
      <c r="M28" s="6" t="n"/>
      <c r="N28" s="6" t="n"/>
    </row>
    <row r="29">
      <c r="A29" s="6" t="inlineStr">
        <is>
          <t>Called up share capital</t>
        </is>
      </c>
      <c r="B29" s="6" t="n">
        <v>200000</v>
      </c>
      <c r="C29" s="6" t="n">
        <v>200000</v>
      </c>
      <c r="D29" s="6" t="n">
        <v>200000</v>
      </c>
      <c r="E29" s="6" t="n">
        <v>200000</v>
      </c>
      <c r="F29" s="6" t="n">
        <v>200000</v>
      </c>
      <c r="G29" s="6" t="n">
        <v>200000</v>
      </c>
      <c r="H29" s="6" t="n">
        <v>200000</v>
      </c>
      <c r="I29" s="6" t="n">
        <v>200000</v>
      </c>
      <c r="J29" s="6" t="n">
        <v>200000</v>
      </c>
      <c r="K29" s="6" t="n">
        <v>200000</v>
      </c>
      <c r="L29" s="6" t="n">
        <v>200000</v>
      </c>
      <c r="M29" s="6" t="n">
        <v>200000</v>
      </c>
      <c r="N29" s="6" t="n">
        <v>200000</v>
      </c>
    </row>
    <row r="30">
      <c r="A30" s="6" t="inlineStr">
        <is>
          <t>Retained earnings</t>
        </is>
      </c>
      <c r="B30" s="6" t="n">
        <v>389313</v>
      </c>
      <c r="C30" s="6" t="n">
        <v>346433</v>
      </c>
      <c r="D30" s="6" t="n">
        <v>306770</v>
      </c>
      <c r="E30" s="6" t="n">
        <v>280635</v>
      </c>
      <c r="F30" s="6" t="n">
        <v>269268</v>
      </c>
      <c r="G30" s="6" t="n">
        <v>253752</v>
      </c>
      <c r="H30" s="6" t="n">
        <v>243217</v>
      </c>
      <c r="I30" s="6" t="n">
        <v>224235</v>
      </c>
      <c r="J30" s="6" t="n">
        <v>199057</v>
      </c>
      <c r="K30" s="6" t="n">
        <v>177359</v>
      </c>
      <c r="L30" s="6" t="n">
        <v>156551</v>
      </c>
      <c r="M30" s="6" t="n">
        <v>121620</v>
      </c>
      <c r="N30" s="6" t="n">
        <v>97704</v>
      </c>
    </row>
    <row r="31">
      <c r="A31" s="6" t="inlineStr">
        <is>
          <t>Other reserves</t>
        </is>
      </c>
      <c r="B31" s="6" t="n">
        <v>2103</v>
      </c>
      <c r="C31" s="6" t="n">
        <v>-1783</v>
      </c>
      <c r="D31" s="6" t="n">
        <v>-5740</v>
      </c>
      <c r="E31" s="6" t="n">
        <v>-12756</v>
      </c>
      <c r="F31" s="6" t="n">
        <v>-1670</v>
      </c>
      <c r="G31" s="6" t="n">
        <v>2733</v>
      </c>
      <c r="H31" s="6" t="n">
        <v>716</v>
      </c>
      <c r="I31" s="6" t="n">
        <v>-1798</v>
      </c>
      <c r="J31" s="6" t="n">
        <v>-657</v>
      </c>
      <c r="K31" s="6" t="n">
        <v>688</v>
      </c>
      <c r="L31" s="6" t="n">
        <v>724</v>
      </c>
      <c r="M31" s="6" t="n">
        <v>831</v>
      </c>
      <c r="N31" s="6" t="n">
        <v>-819</v>
      </c>
    </row>
    <row r="32">
      <c r="A32" s="5" t="inlineStr">
        <is>
          <t>Total Share Capital and Reserves</t>
        </is>
      </c>
      <c r="B32" s="5" t="n">
        <v>591416</v>
      </c>
      <c r="C32" s="5" t="n">
        <v>544650</v>
      </c>
      <c r="D32" s="5" t="n">
        <v>501030</v>
      </c>
      <c r="E32" s="5" t="n">
        <v>467879</v>
      </c>
      <c r="F32" s="5" t="n">
        <v>467598</v>
      </c>
      <c r="G32" s="5" t="n">
        <v>456485</v>
      </c>
      <c r="H32" s="5" t="n">
        <v>443933</v>
      </c>
      <c r="I32" s="5" t="n">
        <v>422437</v>
      </c>
      <c r="J32" s="5" t="n">
        <v>398400</v>
      </c>
      <c r="K32" s="5" t="n">
        <v>378047</v>
      </c>
      <c r="L32" s="5" t="n">
        <v>357275</v>
      </c>
      <c r="M32" s="5" t="n">
        <v>322451</v>
      </c>
      <c r="N32" s="5" t="n">
        <v>296885</v>
      </c>
    </row>
    <row r="33">
      <c r="A33" s="5" t="inlineStr">
        <is>
          <t>Total Liabilities and Share Capital and Reserves</t>
        </is>
      </c>
      <c r="B33" s="5" t="n">
        <v>2393946</v>
      </c>
      <c r="C33" s="5" t="n">
        <v>1702129</v>
      </c>
      <c r="D33" s="5" t="n">
        <v>1514720</v>
      </c>
      <c r="E33" s="5" t="n">
        <v>1538139</v>
      </c>
      <c r="F33" s="5" t="n">
        <v>1420688</v>
      </c>
      <c r="G33" s="5" t="n">
        <v>1997713</v>
      </c>
      <c r="H33" s="5" t="n">
        <v>2254083</v>
      </c>
      <c r="I33" s="5" t="n">
        <v>2374631</v>
      </c>
      <c r="J33" s="5" t="n">
        <v>2431239</v>
      </c>
      <c r="K33" s="5" t="n">
        <v>2722265</v>
      </c>
      <c r="L33" s="5" t="n">
        <v>3212625</v>
      </c>
      <c r="M33" s="5" t="n">
        <v>3825238</v>
      </c>
      <c r="N33" s="5" t="n">
        <v>3461866</v>
      </c>
    </row>
    <row r="35" ht="170"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5:N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receivable</t>
        </is>
      </c>
      <c r="B5" s="6" t="n">
        <v>73022</v>
      </c>
      <c r="C5" s="6" t="n">
        <v>80464</v>
      </c>
      <c r="D5" s="6" t="n">
        <v>64844</v>
      </c>
      <c r="E5" s="6" t="n">
        <v>27188</v>
      </c>
      <c r="F5" s="6" t="n">
        <v>19740</v>
      </c>
      <c r="G5" s="6" t="n">
        <v>30618</v>
      </c>
      <c r="H5" s="6" t="n">
        <v>55674</v>
      </c>
      <c r="I5" s="6" t="n">
        <v>67411</v>
      </c>
      <c r="J5" s="6" t="n">
        <v>57976</v>
      </c>
      <c r="K5" s="6" t="n">
        <v>69484</v>
      </c>
      <c r="L5" s="6" t="n">
        <v>82919</v>
      </c>
      <c r="M5" s="6" t="n">
        <v>89344</v>
      </c>
      <c r="N5" s="6" t="n">
        <v>71086</v>
      </c>
    </row>
    <row r="6">
      <c r="A6" s="6" t="inlineStr">
        <is>
          <t>Interest payable</t>
        </is>
      </c>
      <c r="B6" s="6" t="n">
        <v>-17005</v>
      </c>
      <c r="C6" s="6" t="n">
        <v>-24461</v>
      </c>
      <c r="D6" s="6" t="n">
        <v>-28971</v>
      </c>
      <c r="E6" s="6" t="n">
        <v>-8992</v>
      </c>
      <c r="F6" s="6" t="n">
        <v>-4294</v>
      </c>
      <c r="G6" s="6" t="n">
        <v>-12493</v>
      </c>
      <c r="H6" s="6" t="n">
        <v>-29651</v>
      </c>
      <c r="I6" s="6" t="n">
        <v>-37960</v>
      </c>
      <c r="J6" s="6" t="n">
        <v>-29349</v>
      </c>
      <c r="K6" s="6" t="n">
        <v>-32005</v>
      </c>
      <c r="L6" s="6" t="n">
        <v>-36884</v>
      </c>
      <c r="M6" s="6" t="n">
        <v>-39318</v>
      </c>
      <c r="N6" s="6" t="n">
        <v>-27956</v>
      </c>
    </row>
    <row r="7">
      <c r="A7" s="5" t="inlineStr">
        <is>
          <t>Net interest income</t>
        </is>
      </c>
      <c r="B7" s="5" t="n">
        <v>56017</v>
      </c>
      <c r="C7" s="5" t="n">
        <v>56003</v>
      </c>
      <c r="D7" s="5" t="n">
        <v>35873</v>
      </c>
      <c r="E7" s="5" t="n">
        <v>18196</v>
      </c>
      <c r="F7" s="5" t="n">
        <v>15446</v>
      </c>
      <c r="G7" s="5" t="n">
        <v>18125</v>
      </c>
      <c r="H7" s="5" t="n">
        <v>26023</v>
      </c>
      <c r="I7" s="5" t="n">
        <v>29451</v>
      </c>
      <c r="J7" s="5" t="n">
        <v>28627</v>
      </c>
      <c r="K7" s="5" t="n">
        <v>37479</v>
      </c>
      <c r="L7" s="5" t="n">
        <v>46035</v>
      </c>
      <c r="M7" s="5" t="n">
        <v>50026</v>
      </c>
      <c r="N7" s="5" t="n">
        <v>43130</v>
      </c>
    </row>
    <row r="8">
      <c r="A8" s="6" t="inlineStr">
        <is>
          <t>Fees and commissions receivable</t>
        </is>
      </c>
      <c r="B8" s="6" t="n">
        <v>2656</v>
      </c>
      <c r="C8" s="6" t="n">
        <v>2516</v>
      </c>
      <c r="D8" s="6" t="n">
        <v>1671</v>
      </c>
      <c r="E8" s="6" t="n">
        <v>1234</v>
      </c>
      <c r="F8" s="6" t="n">
        <v>1629</v>
      </c>
      <c r="G8" s="6" t="n">
        <v>1466</v>
      </c>
      <c r="H8" s="6" t="n">
        <v>1750</v>
      </c>
      <c r="I8" s="6" t="n">
        <v>4325</v>
      </c>
      <c r="J8" s="6" t="n">
        <v>7074</v>
      </c>
      <c r="K8" s="6" t="n">
        <v>6777</v>
      </c>
      <c r="L8" s="6" t="n">
        <v>13574</v>
      </c>
      <c r="M8" s="6" t="n">
        <v>17296</v>
      </c>
      <c r="N8" s="6" t="n">
        <v>21279</v>
      </c>
    </row>
    <row r="9">
      <c r="A9" s="6" t="inlineStr">
        <is>
          <t>Fees and commissions payable</t>
        </is>
      </c>
      <c r="B9" s="6" t="n">
        <v>-360</v>
      </c>
      <c r="C9" s="6" t="n">
        <v>-403</v>
      </c>
      <c r="D9" s="6" t="n">
        <v>-371</v>
      </c>
      <c r="E9" s="6" t="n">
        <v>-369</v>
      </c>
      <c r="F9" s="6" t="n">
        <v>-394</v>
      </c>
      <c r="G9" s="6" t="n">
        <v>-550</v>
      </c>
      <c r="H9" s="6" t="n">
        <v>-2819</v>
      </c>
      <c r="I9" s="6" t="n">
        <v>-1127</v>
      </c>
      <c r="J9" s="6" t="n">
        <v>-2339</v>
      </c>
      <c r="K9" s="6" t="n">
        <v>-1451</v>
      </c>
      <c r="L9" s="6" t="n">
        <v>-2011</v>
      </c>
      <c r="M9" s="6" t="n">
        <v>-834</v>
      </c>
      <c r="N9" s="6" t="n">
        <v>-912</v>
      </c>
    </row>
    <row r="10">
      <c r="A10" s="5" t="inlineStr">
        <is>
          <t>Net fees and commissions</t>
        </is>
      </c>
      <c r="B10" s="5" t="n">
        <v>2296</v>
      </c>
      <c r="C10" s="5" t="n">
        <v>2113</v>
      </c>
      <c r="D10" s="5" t="n">
        <v>1300</v>
      </c>
      <c r="E10" s="5" t="n">
        <v>865</v>
      </c>
      <c r="F10" s="5" t="n">
        <v>1235</v>
      </c>
      <c r="G10" s="5" t="n">
        <v>916</v>
      </c>
      <c r="H10" s="5" t="n">
        <v>-1069</v>
      </c>
      <c r="I10" s="5" t="n">
        <v>3198</v>
      </c>
      <c r="J10" s="5" t="n">
        <v>4735</v>
      </c>
      <c r="K10" s="5" t="n">
        <v>5326</v>
      </c>
      <c r="L10" s="5" t="n">
        <v>11563</v>
      </c>
      <c r="M10" s="5" t="n">
        <v>16462</v>
      </c>
      <c r="N10" s="5" t="n">
        <v>20367</v>
      </c>
    </row>
    <row r="11">
      <c r="A11" s="6" t="inlineStr">
        <is>
          <t>Dealing (loss)/profit</t>
        </is>
      </c>
      <c r="B11" s="6" t="n">
        <v>709</v>
      </c>
      <c r="C11" s="6" t="n">
        <v>515</v>
      </c>
      <c r="D11" s="6" t="n">
        <v>375</v>
      </c>
      <c r="E11" s="6" t="n">
        <v>-365</v>
      </c>
      <c r="F11" s="6" t="n">
        <v>422</v>
      </c>
      <c r="G11" s="6" t="n">
        <v>1179</v>
      </c>
      <c r="H11" s="6" t="n">
        <v>630</v>
      </c>
      <c r="I11" s="6" t="n">
        <v>1396</v>
      </c>
      <c r="J11" s="6" t="n">
        <v>1051</v>
      </c>
      <c r="K11" s="6" t="n">
        <v>354</v>
      </c>
      <c r="L11" s="6" t="n">
        <v>-1482</v>
      </c>
      <c r="M11" s="6" t="n">
        <v>-838</v>
      </c>
      <c r="N11" s="6" t="n">
        <v>-1175</v>
      </c>
    </row>
    <row r="12">
      <c r="A12" s="6" t="inlineStr">
        <is>
          <t>Other operating income</t>
        </is>
      </c>
      <c r="B12" s="6" t="n">
        <v>9798</v>
      </c>
      <c r="C12" s="6" t="n">
        <v>6773</v>
      </c>
      <c r="D12" s="6" t="n">
        <v>5844</v>
      </c>
      <c r="E12" s="6" t="n">
        <v>6583</v>
      </c>
      <c r="F12" s="6" t="n">
        <v>6118</v>
      </c>
      <c r="G12" s="6" t="n">
        <v>6140</v>
      </c>
      <c r="H12" s="6" t="n">
        <v>9374</v>
      </c>
      <c r="I12" s="6" t="n">
        <v>8288</v>
      </c>
      <c r="J12" s="6" t="n">
        <v>5174</v>
      </c>
      <c r="K12" s="6" t="n">
        <v>18010</v>
      </c>
      <c r="L12" s="6" t="n">
        <v>14340</v>
      </c>
      <c r="M12" s="6" t="n">
        <v>3497</v>
      </c>
      <c r="N12" s="6" t="n">
        <v>-240</v>
      </c>
    </row>
    <row r="13">
      <c r="A13" s="5" t="inlineStr">
        <is>
          <t>Other income</t>
        </is>
      </c>
      <c r="B13" s="5" t="n">
        <v>10507</v>
      </c>
      <c r="C13" s="5" t="n">
        <v>7288</v>
      </c>
      <c r="D13" s="5" t="n">
        <v>6219</v>
      </c>
      <c r="E13" s="5" t="n">
        <v>6218</v>
      </c>
      <c r="F13" s="5" t="n">
        <v>6540</v>
      </c>
      <c r="G13" s="5" t="n">
        <v>7319</v>
      </c>
      <c r="H13" s="5" t="n">
        <v>10004</v>
      </c>
      <c r="I13" s="5" t="n">
        <v>9715</v>
      </c>
      <c r="J13" s="5" t="n">
        <v>6225</v>
      </c>
      <c r="K13" s="5" t="n">
        <v>18358</v>
      </c>
      <c r="L13" s="5" t="n">
        <v>12858</v>
      </c>
      <c r="M13" s="5" t="n">
        <v>2666</v>
      </c>
      <c r="N13" s="5" t="n">
        <v>-1415</v>
      </c>
    </row>
    <row r="14">
      <c r="A14" s="5" t="inlineStr">
        <is>
          <t>Total operating income</t>
        </is>
      </c>
      <c r="B14" s="5" t="n">
        <v>68820</v>
      </c>
      <c r="C14" s="5" t="n">
        <v>65404</v>
      </c>
      <c r="D14" s="5" t="n">
        <v>43392</v>
      </c>
      <c r="E14" s="5" t="n">
        <v>25279</v>
      </c>
      <c r="F14" s="5" t="n">
        <v>23221</v>
      </c>
      <c r="G14" s="5" t="n">
        <v>26360</v>
      </c>
      <c r="H14" s="5" t="n">
        <v>34958</v>
      </c>
      <c r="I14" s="5" t="n">
        <v>42364</v>
      </c>
      <c r="J14" s="5" t="n">
        <v>39587</v>
      </c>
      <c r="K14" s="5" t="n">
        <v>61163</v>
      </c>
      <c r="L14" s="5" t="n">
        <v>70456</v>
      </c>
      <c r="M14" s="5" t="n">
        <v>69154</v>
      </c>
      <c r="N14" s="5" t="n">
        <v>62082</v>
      </c>
    </row>
    <row r="15">
      <c r="A15" s="5" t="inlineStr">
        <is>
          <t>Operating expenses</t>
        </is>
      </c>
      <c r="B15" s="6" t="n"/>
      <c r="C15" s="6" t="n"/>
      <c r="D15" s="6" t="n"/>
      <c r="E15" s="6" t="n"/>
      <c r="F15" s="6" t="n"/>
      <c r="G15" s="6" t="n"/>
      <c r="H15" s="6" t="n"/>
      <c r="I15" s="6" t="n"/>
      <c r="J15" s="6" t="n"/>
      <c r="K15" s="6" t="n"/>
      <c r="L15" s="6" t="n"/>
      <c r="M15" s="6" t="n"/>
      <c r="N15" s="6" t="n"/>
    </row>
    <row r="16">
      <c r="A16" s="6" t="inlineStr">
        <is>
          <t>Staff costs</t>
        </is>
      </c>
      <c r="B16" s="6" t="n">
        <v>-41255</v>
      </c>
      <c r="C16" s="6" t="n">
        <v>-38325</v>
      </c>
      <c r="D16" s="6" t="n">
        <v>-39301</v>
      </c>
      <c r="E16" s="6" t="n">
        <v>-39373</v>
      </c>
      <c r="F16" s="6" t="n">
        <v>-38201</v>
      </c>
      <c r="G16" s="6" t="n">
        <v>-34134</v>
      </c>
      <c r="H16" s="6" t="n">
        <v>-33657</v>
      </c>
      <c r="I16" s="6" t="n">
        <v>-30039</v>
      </c>
      <c r="J16" s="6" t="n">
        <v>-25684</v>
      </c>
      <c r="K16" s="6" t="n">
        <v>-19533</v>
      </c>
      <c r="L16" s="6" t="n">
        <v>-16789</v>
      </c>
      <c r="M16" s="6" t="n">
        <v>-14898</v>
      </c>
      <c r="N16" s="6" t="n">
        <v>-12955</v>
      </c>
    </row>
    <row r="17">
      <c r="A17" s="6" t="inlineStr">
        <is>
          <t>Depreciation and amortisation</t>
        </is>
      </c>
      <c r="B17" s="6" t="n">
        <v>-1208</v>
      </c>
      <c r="C17" s="6" t="n">
        <v>-1154</v>
      </c>
      <c r="D17" s="6" t="n">
        <v>-1234</v>
      </c>
      <c r="E17" s="6" t="n">
        <v>-1463</v>
      </c>
      <c r="F17" s="6" t="n">
        <v>-1962</v>
      </c>
      <c r="G17" s="6" t="n">
        <v>-1967</v>
      </c>
      <c r="H17" s="6" t="n">
        <v>-1830</v>
      </c>
      <c r="I17" s="6" t="n">
        <v>-1783</v>
      </c>
      <c r="J17" s="6" t="n">
        <v>-1741</v>
      </c>
      <c r="K17" s="6" t="n">
        <v>-1882</v>
      </c>
      <c r="L17" s="6" t="n">
        <v>-1912</v>
      </c>
      <c r="M17" s="6" t="n">
        <v>-1980</v>
      </c>
      <c r="N17" s="6" t="n">
        <v>-2422</v>
      </c>
    </row>
    <row r="18">
      <c r="A18" s="6" t="inlineStr">
        <is>
          <t>Other operating charges</t>
        </is>
      </c>
      <c r="B18" s="6" t="n">
        <v>-10247</v>
      </c>
      <c r="C18" s="6" t="n">
        <v>-10487</v>
      </c>
      <c r="D18" s="6" t="n">
        <v>-9009</v>
      </c>
      <c r="E18" s="6" t="n">
        <v>-7385</v>
      </c>
      <c r="F18" s="6" t="n">
        <v>-8297</v>
      </c>
      <c r="G18" s="6" t="n">
        <v>-8012</v>
      </c>
      <c r="H18" s="6" t="n">
        <v>-8291</v>
      </c>
      <c r="I18" s="6" t="n">
        <v>-9094</v>
      </c>
      <c r="J18" s="6" t="n">
        <v>-10623</v>
      </c>
      <c r="K18" s="6" t="n">
        <v>-9885</v>
      </c>
      <c r="L18" s="6" t="n">
        <v>-7921</v>
      </c>
      <c r="M18" s="6" t="n">
        <v>-7040</v>
      </c>
      <c r="N18" s="6" t="n">
        <v>-7755</v>
      </c>
    </row>
    <row r="19">
      <c r="A19" s="6" t="inlineStr">
        <is>
          <t>Reimbursement of expenses attributable to the Branch</t>
        </is>
      </c>
      <c r="B19" s="6" t="n">
        <v>41197</v>
      </c>
      <c r="C19" s="6" t="n">
        <v>39091</v>
      </c>
      <c r="D19" s="6" t="n">
        <v>39539</v>
      </c>
      <c r="E19" s="6" t="n">
        <v>38664</v>
      </c>
      <c r="F19" s="6" t="n">
        <v>38503</v>
      </c>
      <c r="G19" s="6" t="n">
        <v>34543</v>
      </c>
      <c r="H19" s="6" t="n">
        <v>33738</v>
      </c>
      <c r="I19" s="6" t="n">
        <v>29697</v>
      </c>
      <c r="J19" s="6" t="n">
        <v>26621</v>
      </c>
      <c r="K19" s="6" t="n"/>
      <c r="L19" s="6" t="n"/>
      <c r="M19" s="6" t="n"/>
      <c r="N19" s="6" t="n"/>
    </row>
    <row r="20">
      <c r="A20" s="5" t="inlineStr">
        <is>
          <t>Operating expenses</t>
        </is>
      </c>
      <c r="B20" s="5" t="n">
        <v>-11513</v>
      </c>
      <c r="C20" s="5" t="n">
        <v>-10875</v>
      </c>
      <c r="D20" s="5" t="n">
        <v>-10005</v>
      </c>
      <c r="E20" s="5" t="n">
        <v>-10609</v>
      </c>
      <c r="F20" s="5" t="n">
        <v>-3425</v>
      </c>
      <c r="G20" s="5" t="n">
        <v>-9570</v>
      </c>
      <c r="H20" s="5" t="n">
        <v>-10040</v>
      </c>
      <c r="I20" s="5" t="n">
        <v>-11219</v>
      </c>
      <c r="J20" s="5" t="n">
        <v>-11427</v>
      </c>
      <c r="K20" s="5" t="n">
        <v>-31300</v>
      </c>
      <c r="L20" s="5" t="n">
        <v>-26622</v>
      </c>
      <c r="M20" s="5" t="n">
        <v>-23918</v>
      </c>
      <c r="N20" s="5" t="n">
        <v>-23132</v>
      </c>
    </row>
    <row r="21">
      <c r="A21" s="6" t="inlineStr">
        <is>
          <t>Impairment (losses)/releases</t>
        </is>
      </c>
      <c r="B21" s="6" t="n">
        <v>-52</v>
      </c>
      <c r="C21" s="6" t="n">
        <v>312</v>
      </c>
      <c r="D21" s="6" t="n">
        <v>1180</v>
      </c>
      <c r="E21" s="6" t="n">
        <v>-1052</v>
      </c>
      <c r="F21" s="6" t="n">
        <v>6532</v>
      </c>
      <c r="G21" s="6" t="n">
        <v>-3907</v>
      </c>
      <c r="H21" s="6" t="n">
        <v>-618</v>
      </c>
      <c r="I21" s="6" t="n">
        <v>-167</v>
      </c>
      <c r="J21" s="6" t="n">
        <v>-1269</v>
      </c>
      <c r="K21" s="6" t="n">
        <v>-2941</v>
      </c>
      <c r="L21" s="6" t="n">
        <v>921</v>
      </c>
      <c r="M21" s="6" t="n">
        <v>-14710</v>
      </c>
      <c r="N21" s="6" t="n">
        <v>-247</v>
      </c>
    </row>
    <row r="22">
      <c r="A22" s="5" t="inlineStr">
        <is>
          <t>Profit on ordinary activities before tax</t>
        </is>
      </c>
      <c r="B22" s="5" t="n">
        <v>57255</v>
      </c>
      <c r="C22" s="5" t="n">
        <v>54841</v>
      </c>
      <c r="D22" s="5" t="n">
        <v>34567</v>
      </c>
      <c r="E22" s="5" t="n">
        <v>14670</v>
      </c>
      <c r="F22" s="5" t="n">
        <v>19796</v>
      </c>
      <c r="G22" s="5" t="n">
        <v>12883</v>
      </c>
      <c r="H22" s="5" t="n">
        <v>24300</v>
      </c>
      <c r="I22" s="5" t="n">
        <v>30978</v>
      </c>
      <c r="J22" s="5" t="n">
        <v>26891</v>
      </c>
      <c r="K22" s="5" t="n">
        <v>26922</v>
      </c>
      <c r="L22" s="5" t="n">
        <v>44755</v>
      </c>
      <c r="M22" s="5" t="n">
        <v>30526</v>
      </c>
      <c r="N22" s="5" t="n">
        <v>38703</v>
      </c>
    </row>
    <row r="23">
      <c r="A23" s="6" t="inlineStr">
        <is>
          <t>Tax on profit on ordinary activities</t>
        </is>
      </c>
      <c r="B23" s="6" t="n">
        <v>-14375</v>
      </c>
      <c r="C23" s="6" t="n">
        <v>-15178</v>
      </c>
      <c r="D23" s="6" t="n">
        <v>-8432</v>
      </c>
      <c r="E23" s="6" t="n">
        <v>-3303</v>
      </c>
      <c r="F23" s="6" t="n">
        <v>-4280</v>
      </c>
      <c r="G23" s="6" t="n">
        <v>-2348</v>
      </c>
      <c r="H23" s="6" t="n">
        <v>-5318</v>
      </c>
      <c r="I23" s="6" t="n">
        <v>-5611</v>
      </c>
      <c r="J23" s="6" t="n">
        <v>-5193</v>
      </c>
      <c r="K23" s="6" t="n">
        <v>-6114</v>
      </c>
      <c r="L23" s="6" t="n">
        <v>-9824</v>
      </c>
      <c r="M23" s="6" t="n">
        <v>-6610</v>
      </c>
      <c r="N23" s="6" t="n">
        <v>-9802</v>
      </c>
    </row>
    <row r="24">
      <c r="A24" s="5" t="inlineStr">
        <is>
          <t>Profit for the financial year</t>
        </is>
      </c>
      <c r="B24" s="5" t="n">
        <v>42880</v>
      </c>
      <c r="C24" s="5" t="n">
        <v>39663</v>
      </c>
      <c r="D24" s="5" t="n">
        <v>26135</v>
      </c>
      <c r="E24" s="5" t="n">
        <v>11367</v>
      </c>
      <c r="F24" s="5" t="n">
        <v>15516</v>
      </c>
      <c r="G24" s="5" t="n">
        <v>10535</v>
      </c>
      <c r="H24" s="5" t="n">
        <v>18982</v>
      </c>
      <c r="I24" s="5" t="n">
        <v>25367</v>
      </c>
      <c r="J24" s="5" t="n">
        <v>21698</v>
      </c>
      <c r="K24" s="5" t="n">
        <v>20808</v>
      </c>
      <c r="L24" s="5" t="n">
        <v>34931</v>
      </c>
      <c r="M24" s="5" t="n">
        <v>23916</v>
      </c>
      <c r="N24" s="5" t="n">
        <v>28901</v>
      </c>
    </row>
    <row r="25">
      <c r="A25" s="5" t="inlineStr">
        <is>
          <t>Other comprehensive income</t>
        </is>
      </c>
      <c r="B25" s="6" t="n"/>
      <c r="C25" s="6" t="n"/>
      <c r="D25" s="6" t="n"/>
      <c r="E25" s="6" t="n"/>
      <c r="F25" s="6" t="n"/>
      <c r="G25" s="6" t="n"/>
      <c r="H25" s="6" t="n"/>
      <c r="I25" s="6" t="n"/>
      <c r="J25" s="6" t="n"/>
      <c r="K25" s="6" t="n"/>
      <c r="L25" s="6" t="n"/>
      <c r="M25" s="6" t="n"/>
      <c r="N25" s="6" t="n"/>
    </row>
    <row r="26">
      <c r="A26" s="6" t="inlineStr">
        <is>
          <t>Change in fair value of financial investments at FVOCI</t>
        </is>
      </c>
      <c r="B26" s="6" t="n">
        <v>5190</v>
      </c>
      <c r="C26" s="6" t="n">
        <v>5430</v>
      </c>
      <c r="D26" s="6" t="n">
        <v>10201</v>
      </c>
      <c r="E26" s="6" t="n">
        <v>-15385</v>
      </c>
      <c r="F26" s="6" t="n">
        <v>-5679</v>
      </c>
      <c r="G26" s="6" t="n">
        <v>2244</v>
      </c>
      <c r="H26" s="6" t="n">
        <v>3342</v>
      </c>
      <c r="I26" s="6" t="n">
        <v>-1431</v>
      </c>
      <c r="J26" s="6" t="n">
        <v>-2033</v>
      </c>
      <c r="K26" s="6" t="n">
        <v>-86</v>
      </c>
      <c r="L26" s="6" t="n">
        <v>480</v>
      </c>
      <c r="M26" s="6" t="n">
        <v>2279</v>
      </c>
      <c r="N26" s="6" t="n">
        <v>-6402</v>
      </c>
    </row>
    <row r="27">
      <c r="A27" s="6" t="inlineStr">
        <is>
          <t>Impairment allowance on financial investments at FVOCI</t>
        </is>
      </c>
      <c r="B27" s="6" t="n">
        <v>-7</v>
      </c>
      <c r="C27" s="6" t="n">
        <v>-116</v>
      </c>
      <c r="D27" s="6" t="n">
        <v>-88</v>
      </c>
      <c r="E27" s="6" t="n">
        <v>123</v>
      </c>
      <c r="F27" s="6" t="n">
        <v>-416</v>
      </c>
      <c r="G27" s="6" t="n">
        <v>417</v>
      </c>
      <c r="H27" s="6" t="n">
        <v>30</v>
      </c>
      <c r="I27" s="6" t="n">
        <v>72</v>
      </c>
      <c r="J27" s="6" t="n"/>
      <c r="K27" s="6" t="n"/>
      <c r="L27" s="6" t="n"/>
      <c r="M27" s="6" t="n"/>
      <c r="N27" s="6" t="n"/>
    </row>
    <row r="28">
      <c r="A28" s="6" t="inlineStr">
        <is>
          <t>Available-for-sale reserve recycled through profit and loss upon disposal</t>
        </is>
      </c>
      <c r="B28" s="6" t="n"/>
      <c r="C28" s="6" t="n"/>
      <c r="D28" s="6" t="n"/>
      <c r="E28" s="6" t="n"/>
      <c r="F28" s="6" t="n"/>
      <c r="G28" s="6" t="n"/>
      <c r="H28" s="6" t="n"/>
      <c r="I28" s="6" t="n"/>
      <c r="J28" s="6" t="n"/>
      <c r="K28" s="6" t="n">
        <v>62</v>
      </c>
      <c r="L28" s="6" t="n"/>
      <c r="M28" s="6" t="n">
        <v>-61</v>
      </c>
      <c r="N28" s="6" t="n">
        <v>2212</v>
      </c>
    </row>
    <row r="29">
      <c r="A29" s="6" t="inlineStr">
        <is>
          <t>Tax on components of other comprehensive income</t>
        </is>
      </c>
      <c r="B29" s="6" t="n">
        <v>-1297</v>
      </c>
      <c r="C29" s="6" t="n">
        <v>-1357</v>
      </c>
      <c r="D29" s="6" t="n">
        <v>-3097</v>
      </c>
      <c r="E29" s="6" t="n">
        <v>4176</v>
      </c>
      <c r="F29" s="6" t="n">
        <v>1692</v>
      </c>
      <c r="G29" s="6" t="n">
        <v>-644</v>
      </c>
      <c r="H29" s="6" t="n">
        <v>-858</v>
      </c>
      <c r="I29" s="6" t="n">
        <v>193</v>
      </c>
      <c r="J29" s="6" t="n">
        <v>688</v>
      </c>
      <c r="K29" s="6" t="n">
        <v>-12</v>
      </c>
      <c r="L29" s="6" t="n">
        <v>-587</v>
      </c>
      <c r="M29" s="6" t="n">
        <v>-568</v>
      </c>
      <c r="N29" s="6" t="n">
        <v>971</v>
      </c>
    </row>
    <row r="30">
      <c r="A30" s="5" t="inlineStr">
        <is>
          <t>Other comprehensive income for the year, net of income tax</t>
        </is>
      </c>
      <c r="B30" s="5" t="n">
        <v>3886</v>
      </c>
      <c r="C30" s="5" t="n">
        <v>3957</v>
      </c>
      <c r="D30" s="5" t="n">
        <v>7016</v>
      </c>
      <c r="E30" s="5" t="n">
        <v>-11086</v>
      </c>
      <c r="F30" s="5" t="n">
        <v>-4403</v>
      </c>
      <c r="G30" s="5" t="n">
        <v>2017</v>
      </c>
      <c r="H30" s="5" t="n">
        <v>2514</v>
      </c>
      <c r="I30" s="5" t="n">
        <v>-1166</v>
      </c>
      <c r="J30" s="5" t="n">
        <v>-1345</v>
      </c>
      <c r="K30" s="5" t="n">
        <v>-36</v>
      </c>
      <c r="L30" s="5" t="n">
        <v>-107</v>
      </c>
      <c r="M30" s="5" t="n">
        <v>1650</v>
      </c>
      <c r="N30" s="5" t="n">
        <v>-3219</v>
      </c>
    </row>
    <row r="31">
      <c r="A31" s="5" t="inlineStr">
        <is>
          <t>Total comprehensive income for the year</t>
        </is>
      </c>
      <c r="B31" s="5" t="n">
        <v>46766</v>
      </c>
      <c r="C31" s="5" t="n">
        <v>43620</v>
      </c>
      <c r="D31" s="5" t="n">
        <v>33151</v>
      </c>
      <c r="E31" s="5" t="n">
        <v>281</v>
      </c>
      <c r="F31" s="5" t="n">
        <v>11113</v>
      </c>
      <c r="G31" s="5" t="n">
        <v>12552</v>
      </c>
      <c r="H31" s="5" t="n">
        <v>21496</v>
      </c>
      <c r="I31" s="5" t="n">
        <v>24201</v>
      </c>
      <c r="J31" s="5" t="n">
        <v>20353</v>
      </c>
      <c r="K31" s="5" t="n">
        <v>20772</v>
      </c>
      <c r="L31" s="5" t="n">
        <v>34824</v>
      </c>
      <c r="M31" s="5" t="n">
        <v>25566</v>
      </c>
      <c r="N31" s="5" t="n">
        <v>25682</v>
      </c>
    </row>
    <row r="33" ht="170" customHeight="1">
      <c r="A3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3:N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2013</t>
        </is>
      </c>
      <c r="B4" s="6" t="n">
        <v>200000</v>
      </c>
      <c r="C4" s="6" t="n">
        <v>68803</v>
      </c>
      <c r="D4" s="6" t="n">
        <v>2400</v>
      </c>
      <c r="E4" s="6" t="n">
        <v>271203</v>
      </c>
    </row>
    <row r="5">
      <c r="A5" s="6" t="inlineStr">
        <is>
          <t>Profit for the year</t>
        </is>
      </c>
      <c r="B5" s="6" t="n"/>
      <c r="C5" s="6" t="n">
        <v>28901</v>
      </c>
      <c r="D5" s="6" t="n"/>
      <c r="E5" s="6" t="n">
        <v>28901</v>
      </c>
    </row>
    <row r="6">
      <c r="A6" s="6" t="inlineStr">
        <is>
          <t>Change in fair value of available-for-sale financial investments</t>
        </is>
      </c>
      <c r="B6" s="6" t="n"/>
      <c r="C6" s="6" t="n"/>
      <c r="D6" s="6" t="n">
        <v>-6402</v>
      </c>
      <c r="E6" s="6" t="n">
        <v>-6402</v>
      </c>
    </row>
    <row r="7">
      <c r="A7" s="6" t="inlineStr">
        <is>
          <t>Available-for-sale reserve recycled through profit and loss upon disposal</t>
        </is>
      </c>
      <c r="B7" s="6" t="n"/>
      <c r="C7" s="6" t="n"/>
      <c r="D7" s="6" t="n">
        <v>2212</v>
      </c>
      <c r="E7" s="6" t="n">
        <v>2212</v>
      </c>
    </row>
    <row r="8">
      <c r="A8" s="6" t="inlineStr">
        <is>
          <t>Tax on other comprehensive income</t>
        </is>
      </c>
      <c r="B8" s="6" t="n"/>
      <c r="C8" s="6" t="n"/>
      <c r="D8" s="6" t="n">
        <v>971</v>
      </c>
      <c r="E8" s="6" t="n">
        <v>971</v>
      </c>
    </row>
    <row r="9">
      <c r="A9" s="5" t="inlineStr">
        <is>
          <t>At 31 December 2013</t>
        </is>
      </c>
      <c r="B9" s="5" t="n">
        <v>200000</v>
      </c>
      <c r="C9" s="5" t="n">
        <v>97704</v>
      </c>
      <c r="D9" s="5" t="n">
        <v>-819</v>
      </c>
      <c r="E9" s="5" t="n">
        <v>296885</v>
      </c>
    </row>
    <row r="10">
      <c r="A10" s="6" t="inlineStr">
        <is>
          <t>At 1 January 2014 (= FY2013 closing)</t>
        </is>
      </c>
      <c r="B10" s="6" t="n">
        <v>200000</v>
      </c>
      <c r="C10" s="6" t="n">
        <v>97704</v>
      </c>
      <c r="D10" s="6" t="n">
        <v>-819</v>
      </c>
      <c r="E10" s="6" t="n">
        <v>296885</v>
      </c>
    </row>
    <row r="11">
      <c r="A11" s="6" t="inlineStr">
        <is>
          <t>Profit for the year</t>
        </is>
      </c>
      <c r="B11" s="6" t="n"/>
      <c r="C11" s="6" t="n">
        <v>23916</v>
      </c>
      <c r="D11" s="6" t="n"/>
      <c r="E11" s="6" t="n">
        <v>23916</v>
      </c>
    </row>
    <row r="12">
      <c r="A12" s="6" t="inlineStr">
        <is>
          <t>Change in fair value of available-for-sale financial investments</t>
        </is>
      </c>
      <c r="B12" s="6" t="n"/>
      <c r="C12" s="6" t="n"/>
      <c r="D12" s="6" t="n">
        <v>2279</v>
      </c>
      <c r="E12" s="6" t="n">
        <v>2279</v>
      </c>
    </row>
    <row r="13">
      <c r="A13" s="6" t="inlineStr">
        <is>
          <t>Available-for-sale reserve recycled through profit and loss upon disposal</t>
        </is>
      </c>
      <c r="B13" s="6" t="n"/>
      <c r="C13" s="6" t="n"/>
      <c r="D13" s="6" t="n">
        <v>-61</v>
      </c>
      <c r="E13" s="6" t="n">
        <v>-61</v>
      </c>
    </row>
    <row r="14">
      <c r="A14" s="6" t="inlineStr">
        <is>
          <t>Tax on other comprehensive income</t>
        </is>
      </c>
      <c r="B14" s="6" t="n"/>
      <c r="C14" s="6" t="n"/>
      <c r="D14" s="6" t="n">
        <v>-568</v>
      </c>
      <c r="E14" s="6" t="n">
        <v>-568</v>
      </c>
    </row>
    <row r="15">
      <c r="A15" s="5" t="inlineStr">
        <is>
          <t>At 31 December 2014</t>
        </is>
      </c>
      <c r="B15" s="5" t="n">
        <v>200000</v>
      </c>
      <c r="C15" s="5" t="n">
        <v>121620</v>
      </c>
      <c r="D15" s="5" t="n">
        <v>831</v>
      </c>
      <c r="E15" s="5" t="n">
        <v>322451</v>
      </c>
    </row>
    <row r="16">
      <c r="A16" s="6" t="inlineStr">
        <is>
          <t>At 1 January 2015 (= FY2014 closing)</t>
        </is>
      </c>
      <c r="B16" s="6" t="n">
        <v>200000</v>
      </c>
      <c r="C16" s="6" t="n">
        <v>121620</v>
      </c>
      <c r="D16" s="6" t="n">
        <v>831</v>
      </c>
      <c r="E16" s="6" t="n">
        <v>322451</v>
      </c>
    </row>
    <row r="17">
      <c r="A17" s="6" t="inlineStr">
        <is>
          <t>Profit for the year</t>
        </is>
      </c>
      <c r="B17" s="6" t="n"/>
      <c r="C17" s="6" t="n">
        <v>34931</v>
      </c>
      <c r="D17" s="6" t="n"/>
      <c r="E17" s="6" t="n">
        <v>34931</v>
      </c>
    </row>
    <row r="18">
      <c r="A18" s="6" t="inlineStr">
        <is>
          <t>Change in fair value of available-for-sale financial investments</t>
        </is>
      </c>
      <c r="B18" s="6" t="n"/>
      <c r="C18" s="6" t="n"/>
      <c r="D18" s="6" t="n">
        <v>480</v>
      </c>
      <c r="E18" s="6" t="n">
        <v>480</v>
      </c>
    </row>
    <row r="19">
      <c r="A19" s="6" t="inlineStr">
        <is>
          <t>Tax on other comprehensive income</t>
        </is>
      </c>
      <c r="B19" s="6" t="n"/>
      <c r="C19" s="6" t="n"/>
      <c r="D19" s="6" t="n">
        <v>-587</v>
      </c>
      <c r="E19" s="6" t="n">
        <v>-587</v>
      </c>
    </row>
    <row r="20">
      <c r="A20" s="5" t="inlineStr">
        <is>
          <t>At 31 December 2015</t>
        </is>
      </c>
      <c r="B20" s="5" t="n">
        <v>200000</v>
      </c>
      <c r="C20" s="5" t="n">
        <v>156551</v>
      </c>
      <c r="D20" s="5" t="n">
        <v>724</v>
      </c>
      <c r="E20" s="5" t="n">
        <v>357275</v>
      </c>
    </row>
    <row r="21">
      <c r="A21" s="6" t="inlineStr">
        <is>
          <t>At 1 January 2016 (= FY2015 closing)</t>
        </is>
      </c>
      <c r="B21" s="6" t="n">
        <v>200000</v>
      </c>
      <c r="C21" s="6" t="n">
        <v>156551</v>
      </c>
      <c r="D21" s="6" t="n">
        <v>724</v>
      </c>
      <c r="E21" s="6" t="n">
        <v>357275</v>
      </c>
    </row>
    <row r="22">
      <c r="A22" s="6" t="inlineStr">
        <is>
          <t>Profit for the year</t>
        </is>
      </c>
      <c r="B22" s="6" t="n"/>
      <c r="C22" s="6" t="n">
        <v>20808</v>
      </c>
      <c r="D22" s="6" t="n"/>
      <c r="E22" s="6" t="n">
        <v>20808</v>
      </c>
    </row>
    <row r="23">
      <c r="A23" s="6" t="inlineStr">
        <is>
          <t>Change in fair value of available-for-sale financial investments</t>
        </is>
      </c>
      <c r="B23" s="6" t="n"/>
      <c r="C23" s="6" t="n"/>
      <c r="D23" s="6" t="n">
        <v>-86</v>
      </c>
      <c r="E23" s="6" t="n">
        <v>-86</v>
      </c>
    </row>
    <row r="24">
      <c r="A24" s="6" t="inlineStr">
        <is>
          <t>Available-for-sale reserve recycled through profit and loss upon disposal</t>
        </is>
      </c>
      <c r="B24" s="6" t="n"/>
      <c r="C24" s="6" t="n"/>
      <c r="D24" s="6" t="n">
        <v>62</v>
      </c>
      <c r="E24" s="6" t="n">
        <v>62</v>
      </c>
    </row>
    <row r="25">
      <c r="A25" s="6" t="inlineStr">
        <is>
          <t>Tax on other comprehensive income</t>
        </is>
      </c>
      <c r="B25" s="6" t="n"/>
      <c r="C25" s="6" t="n"/>
      <c r="D25" s="6" t="n">
        <v>-12</v>
      </c>
      <c r="E25" s="6" t="n">
        <v>-12</v>
      </c>
    </row>
    <row r="26">
      <c r="A26" s="5" t="inlineStr">
        <is>
          <t>At 31 December 2016</t>
        </is>
      </c>
      <c r="B26" s="5" t="n">
        <v>200000</v>
      </c>
      <c r="C26" s="5" t="n">
        <v>177359</v>
      </c>
      <c r="D26" s="5" t="n">
        <v>688</v>
      </c>
      <c r="E26" s="5" t="n">
        <v>378047</v>
      </c>
    </row>
    <row r="27">
      <c r="A27" s="6" t="inlineStr">
        <is>
          <t>At 1 January 2017 (= FY2016 closing)</t>
        </is>
      </c>
      <c r="B27" s="6" t="n">
        <v>200000</v>
      </c>
      <c r="C27" s="6" t="n">
        <v>177359</v>
      </c>
      <c r="D27" s="6" t="n">
        <v>688</v>
      </c>
      <c r="E27" s="6" t="n">
        <v>378047</v>
      </c>
    </row>
    <row r="28">
      <c r="A28" s="6" t="inlineStr">
        <is>
          <t>Profit for the year</t>
        </is>
      </c>
      <c r="B28" s="6" t="n"/>
      <c r="C28" s="6" t="n">
        <v>21698</v>
      </c>
      <c r="D28" s="6" t="n"/>
      <c r="E28" s="6" t="n">
        <v>21698</v>
      </c>
    </row>
    <row r="29">
      <c r="A29" s="6" t="inlineStr">
        <is>
          <t>Change in fair value of available-for-sale financial investments</t>
        </is>
      </c>
      <c r="B29" s="6" t="n"/>
      <c r="C29" s="6" t="n"/>
      <c r="D29" s="6" t="n">
        <v>-2033</v>
      </c>
      <c r="E29" s="6" t="n">
        <v>-2033</v>
      </c>
    </row>
    <row r="30">
      <c r="A30" s="6" t="inlineStr">
        <is>
          <t>Tax on other comprehensive income</t>
        </is>
      </c>
      <c r="B30" s="6" t="n"/>
      <c r="C30" s="6" t="n"/>
      <c r="D30" s="6" t="n">
        <v>688</v>
      </c>
      <c r="E30" s="6" t="n">
        <v>688</v>
      </c>
    </row>
    <row r="31">
      <c r="A31" s="5" t="inlineStr">
        <is>
          <t>At 31 December 2017</t>
        </is>
      </c>
      <c r="B31" s="5" t="n">
        <v>200000</v>
      </c>
      <c r="C31" s="5" t="n">
        <v>199057</v>
      </c>
      <c r="D31" s="5" t="n">
        <v>-657</v>
      </c>
      <c r="E31" s="5" t="n">
        <v>398400</v>
      </c>
    </row>
    <row r="32">
      <c r="A32" s="6" t="inlineStr">
        <is>
          <t>At 1 January 2018 (= FY2017 closing)</t>
        </is>
      </c>
      <c r="B32" s="6" t="n">
        <v>200000</v>
      </c>
      <c r="C32" s="6" t="n">
        <v>199057</v>
      </c>
      <c r="D32" s="6" t="n">
        <v>-657</v>
      </c>
      <c r="E32" s="6" t="n">
        <v>398400</v>
      </c>
    </row>
    <row r="33">
      <c r="A33" s="6" t="inlineStr">
        <is>
          <t>Adjustment on initial application of IFRS 9</t>
        </is>
      </c>
      <c r="B33" s="6" t="n"/>
      <c r="C33" s="6" t="n">
        <v>-189</v>
      </c>
      <c r="D33" s="6" t="n">
        <v>25</v>
      </c>
      <c r="E33" s="6" t="n">
        <v>-164</v>
      </c>
    </row>
    <row r="34">
      <c r="A34" s="5" t="inlineStr">
        <is>
          <t>Restated balance at 1 January 2018</t>
        </is>
      </c>
      <c r="B34" s="5" t="n">
        <v>200000</v>
      </c>
      <c r="C34" s="5" t="n">
        <v>198868</v>
      </c>
      <c r="D34" s="5" t="n">
        <v>-632</v>
      </c>
      <c r="E34" s="5" t="n">
        <v>398236</v>
      </c>
    </row>
    <row r="35">
      <c r="A35" s="6" t="inlineStr">
        <is>
          <t>Profit for the year</t>
        </is>
      </c>
      <c r="B35" s="6" t="n"/>
      <c r="C35" s="6" t="n">
        <v>25367</v>
      </c>
      <c r="D35" s="6" t="n"/>
      <c r="E35" s="6" t="n">
        <v>25367</v>
      </c>
    </row>
    <row r="36">
      <c r="A36" s="6" t="inlineStr">
        <is>
          <t>Change in fair value of financial investments at FVOCI</t>
        </is>
      </c>
      <c r="B36" s="6" t="n"/>
      <c r="C36" s="6" t="n"/>
      <c r="D36" s="6" t="n">
        <v>-1431</v>
      </c>
      <c r="E36" s="6" t="n">
        <v>-1431</v>
      </c>
    </row>
    <row r="37">
      <c r="A37" s="6" t="inlineStr">
        <is>
          <t>Impairment allowance charged on financial investments at FVOCI</t>
        </is>
      </c>
      <c r="B37" s="6" t="n"/>
      <c r="C37" s="6" t="n"/>
      <c r="D37" s="6" t="n">
        <v>72</v>
      </c>
      <c r="E37" s="6" t="n">
        <v>72</v>
      </c>
    </row>
    <row r="38">
      <c r="A38" s="6" t="inlineStr">
        <is>
          <t>Tax on other comprehensive income</t>
        </is>
      </c>
      <c r="B38" s="6" t="n"/>
      <c r="C38" s="6" t="n"/>
      <c r="D38" s="6" t="n">
        <v>193</v>
      </c>
      <c r="E38" s="6" t="n">
        <v>193</v>
      </c>
    </row>
    <row r="39">
      <c r="A39" s="5" t="inlineStr">
        <is>
          <t>At 31 December 2018</t>
        </is>
      </c>
      <c r="B39" s="5" t="n">
        <v>200000</v>
      </c>
      <c r="C39" s="5" t="n">
        <v>224235</v>
      </c>
      <c r="D39" s="5" t="n">
        <v>-1798</v>
      </c>
      <c r="E39" s="5" t="n">
        <v>422437</v>
      </c>
    </row>
    <row r="40">
      <c r="A40" s="6" t="inlineStr">
        <is>
          <t>At 1 January 2019 (= FY2018 closing)</t>
        </is>
      </c>
      <c r="B40" s="6" t="n">
        <v>200000</v>
      </c>
      <c r="C40" s="6" t="n">
        <v>224235</v>
      </c>
      <c r="D40" s="6" t="n">
        <v>-1798</v>
      </c>
      <c r="E40" s="6" t="n">
        <v>422437</v>
      </c>
    </row>
    <row r="41">
      <c r="A41" s="6" t="inlineStr">
        <is>
          <t>Profit for the year</t>
        </is>
      </c>
      <c r="B41" s="6" t="n"/>
      <c r="C41" s="6" t="n">
        <v>18982</v>
      </c>
      <c r="D41" s="6" t="n"/>
      <c r="E41" s="6" t="n">
        <v>18982</v>
      </c>
    </row>
    <row r="42">
      <c r="A42" s="6" t="inlineStr">
        <is>
          <t>Change in fair value of financial investments at FVOCI</t>
        </is>
      </c>
      <c r="B42" s="6" t="n"/>
      <c r="C42" s="6" t="n"/>
      <c r="D42" s="6" t="n">
        <v>3342</v>
      </c>
      <c r="E42" s="6" t="n">
        <v>3342</v>
      </c>
    </row>
    <row r="43">
      <c r="A43" s="6" t="inlineStr">
        <is>
          <t>Impairment allowance charged on financial investments at FVOCI</t>
        </is>
      </c>
      <c r="B43" s="6" t="n"/>
      <c r="C43" s="6" t="n"/>
      <c r="D43" s="6" t="n">
        <v>30</v>
      </c>
      <c r="E43" s="6" t="n">
        <v>30</v>
      </c>
    </row>
    <row r="44">
      <c r="A44" s="6" t="inlineStr">
        <is>
          <t>Tax on other comprehensive income</t>
        </is>
      </c>
      <c r="B44" s="6" t="n"/>
      <c r="C44" s="6" t="n"/>
      <c r="D44" s="6" t="n">
        <v>-858</v>
      </c>
      <c r="E44" s="6" t="n">
        <v>-858</v>
      </c>
    </row>
    <row r="45">
      <c r="A45" s="5" t="inlineStr">
        <is>
          <t>At 31 December 2019</t>
        </is>
      </c>
      <c r="B45" s="5" t="n">
        <v>200000</v>
      </c>
      <c r="C45" s="5" t="n">
        <v>243217</v>
      </c>
      <c r="D45" s="5" t="n">
        <v>716</v>
      </c>
      <c r="E45" s="5" t="n">
        <v>443933</v>
      </c>
    </row>
    <row r="46">
      <c r="A46" s="6" t="inlineStr">
        <is>
          <t>At 1 January 2020 (= FY2019 closing)</t>
        </is>
      </c>
      <c r="B46" s="6" t="n">
        <v>200000</v>
      </c>
      <c r="C46" s="6" t="n">
        <v>243217</v>
      </c>
      <c r="D46" s="6" t="n">
        <v>716</v>
      </c>
      <c r="E46" s="6" t="n">
        <v>443933</v>
      </c>
    </row>
    <row r="47">
      <c r="A47" s="6" t="inlineStr">
        <is>
          <t>Profit for the year</t>
        </is>
      </c>
      <c r="B47" s="6" t="n"/>
      <c r="C47" s="6" t="n">
        <v>10535</v>
      </c>
      <c r="D47" s="6" t="n"/>
      <c r="E47" s="6" t="n">
        <v>10535</v>
      </c>
    </row>
    <row r="48">
      <c r="A48" s="6" t="inlineStr">
        <is>
          <t>Change in fair value of financial investments at FVOCI</t>
        </is>
      </c>
      <c r="B48" s="6" t="n"/>
      <c r="C48" s="6" t="n"/>
      <c r="D48" s="6" t="n">
        <v>2244</v>
      </c>
      <c r="E48" s="6" t="n">
        <v>2244</v>
      </c>
    </row>
    <row r="49">
      <c r="A49" s="6" t="inlineStr">
        <is>
          <t>Impairment allowance released on financial investments at FVOCI</t>
        </is>
      </c>
      <c r="B49" s="6" t="n"/>
      <c r="C49" s="6" t="n"/>
      <c r="D49" s="6" t="n">
        <v>417</v>
      </c>
      <c r="E49" s="6" t="n">
        <v>417</v>
      </c>
    </row>
    <row r="50">
      <c r="A50" s="6" t="inlineStr">
        <is>
          <t>Tax on other comprehensive income</t>
        </is>
      </c>
      <c r="B50" s="6" t="n"/>
      <c r="C50" s="6" t="n"/>
      <c r="D50" s="6" t="n">
        <v>-644</v>
      </c>
      <c r="E50" s="6" t="n">
        <v>-644</v>
      </c>
    </row>
    <row r="51">
      <c r="A51" s="5" t="inlineStr">
        <is>
          <t>At 31 December 2020</t>
        </is>
      </c>
      <c r="B51" s="5" t="n">
        <v>200000</v>
      </c>
      <c r="C51" s="5" t="n">
        <v>253752</v>
      </c>
      <c r="D51" s="5" t="n">
        <v>2733</v>
      </c>
      <c r="E51" s="5" t="n">
        <v>456485</v>
      </c>
    </row>
    <row r="52">
      <c r="A52" s="6" t="inlineStr">
        <is>
          <t>At 1 January 2021</t>
        </is>
      </c>
      <c r="B52" s="6" t="n">
        <v>200000</v>
      </c>
      <c r="C52" s="6" t="n">
        <v>253752</v>
      </c>
      <c r="D52" s="6" t="n">
        <v>2733</v>
      </c>
      <c r="E52" s="6" t="n">
        <v>456485</v>
      </c>
    </row>
    <row r="53">
      <c r="A53" s="6" t="inlineStr">
        <is>
          <t>Profit for the year</t>
        </is>
      </c>
      <c r="B53" s="6" t="n"/>
      <c r="C53" s="6" t="n">
        <v>15516</v>
      </c>
      <c r="D53" s="6" t="n"/>
      <c r="E53" s="6" t="n">
        <v>15516</v>
      </c>
    </row>
    <row r="54">
      <c r="A54" s="6" t="inlineStr">
        <is>
          <t>Change in fair value of financial investments at FVOCI</t>
        </is>
      </c>
      <c r="B54" s="6" t="n"/>
      <c r="C54" s="6" t="n"/>
      <c r="D54" s="6" t="n">
        <v>-5679</v>
      </c>
      <c r="E54" s="6" t="n">
        <v>-5679</v>
      </c>
    </row>
    <row r="55">
      <c r="A55" s="6" t="inlineStr">
        <is>
          <t>Impairment charged on financial investments at FVOCI</t>
        </is>
      </c>
      <c r="B55" s="6" t="n"/>
      <c r="C55" s="6" t="n"/>
      <c r="D55" s="6" t="n">
        <v>-416</v>
      </c>
      <c r="E55" s="6" t="n">
        <v>-416</v>
      </c>
    </row>
    <row r="56">
      <c r="A56" s="6" t="inlineStr">
        <is>
          <t>Tax on other comprehensive income</t>
        </is>
      </c>
      <c r="B56" s="6" t="n"/>
      <c r="C56" s="6" t="n"/>
      <c r="D56" s="6" t="n">
        <v>1692</v>
      </c>
      <c r="E56" s="6" t="n">
        <v>1692</v>
      </c>
    </row>
    <row r="57">
      <c r="A57" s="5" t="inlineStr">
        <is>
          <t>At 31 December 2021</t>
        </is>
      </c>
      <c r="B57" s="5" t="n">
        <v>200000</v>
      </c>
      <c r="C57" s="5" t="n">
        <v>269268</v>
      </c>
      <c r="D57" s="5" t="n">
        <v>-1670</v>
      </c>
      <c r="E57" s="5" t="n">
        <v>467598</v>
      </c>
    </row>
    <row r="58">
      <c r="A58" s="6" t="inlineStr">
        <is>
          <t>At 1 January 2022 (= FY2021 closing)</t>
        </is>
      </c>
      <c r="B58" s="6" t="n">
        <v>200000</v>
      </c>
      <c r="C58" s="6" t="n">
        <v>269268</v>
      </c>
      <c r="D58" s="6" t="n">
        <v>-1670</v>
      </c>
      <c r="E58" s="6" t="n">
        <v>467598</v>
      </c>
    </row>
    <row r="59">
      <c r="A59" s="6" t="inlineStr">
        <is>
          <t>Profit for the year</t>
        </is>
      </c>
      <c r="B59" s="6" t="n"/>
      <c r="C59" s="6" t="n">
        <v>11367</v>
      </c>
      <c r="D59" s="6" t="n"/>
      <c r="E59" s="6" t="n">
        <v>11367</v>
      </c>
    </row>
    <row r="60">
      <c r="A60" s="6" t="inlineStr">
        <is>
          <t>Change in fair value of financial investments at FVOCI</t>
        </is>
      </c>
      <c r="B60" s="6" t="n"/>
      <c r="C60" s="6" t="n"/>
      <c r="D60" s="6" t="n">
        <v>-15385</v>
      </c>
      <c r="E60" s="6" t="n">
        <v>-15385</v>
      </c>
    </row>
    <row r="61">
      <c r="A61" s="6" t="inlineStr">
        <is>
          <t>Impairment released on financial investments at FVOCI</t>
        </is>
      </c>
      <c r="B61" s="6" t="n"/>
      <c r="C61" s="6" t="n"/>
      <c r="D61" s="6" t="n">
        <v>123</v>
      </c>
      <c r="E61" s="6" t="n">
        <v>123</v>
      </c>
    </row>
    <row r="62">
      <c r="A62" s="6" t="inlineStr">
        <is>
          <t>Deferred tax liability recognised through equity</t>
        </is>
      </c>
      <c r="B62" s="6" t="n"/>
      <c r="C62" s="6" t="n"/>
      <c r="D62" s="6" t="n">
        <v>4176</v>
      </c>
      <c r="E62" s="6" t="n">
        <v>4176</v>
      </c>
    </row>
    <row r="63">
      <c r="A63" s="5" t="inlineStr">
        <is>
          <t>At 31 December 2022</t>
        </is>
      </c>
      <c r="B63" s="5" t="n">
        <v>200000</v>
      </c>
      <c r="C63" s="5" t="n">
        <v>280635</v>
      </c>
      <c r="D63" s="5" t="n">
        <v>-12756</v>
      </c>
      <c r="E63" s="5" t="n">
        <v>467879</v>
      </c>
    </row>
    <row r="64">
      <c r="A64" s="6" t="inlineStr">
        <is>
          <t>At 1 January 2023 (= FY2022 closing)</t>
        </is>
      </c>
      <c r="B64" s="6" t="n">
        <v>200000</v>
      </c>
      <c r="C64" s="6" t="n">
        <v>280635</v>
      </c>
      <c r="D64" s="6" t="n">
        <v>-12756</v>
      </c>
      <c r="E64" s="6" t="n">
        <v>467879</v>
      </c>
    </row>
    <row r="65">
      <c r="A65" s="6" t="inlineStr">
        <is>
          <t>Profit for the year</t>
        </is>
      </c>
      <c r="B65" s="6" t="n"/>
      <c r="C65" s="6" t="n">
        <v>26135</v>
      </c>
      <c r="D65" s="6" t="n"/>
      <c r="E65" s="6" t="n">
        <v>26135</v>
      </c>
    </row>
    <row r="66">
      <c r="A66" s="6" t="inlineStr">
        <is>
          <t>Change in fair value of financial investments at FVOCI</t>
        </is>
      </c>
      <c r="B66" s="6" t="n"/>
      <c r="C66" s="6" t="n"/>
      <c r="D66" s="6" t="n">
        <v>10201</v>
      </c>
      <c r="E66" s="6" t="n">
        <v>10201</v>
      </c>
    </row>
    <row r="67">
      <c r="A67" s="6" t="inlineStr">
        <is>
          <t>Impairment charged on financial investments at FVOCI</t>
        </is>
      </c>
      <c r="B67" s="6" t="n"/>
      <c r="C67" s="6" t="n"/>
      <c r="D67" s="6" t="n">
        <v>-88</v>
      </c>
      <c r="E67" s="6" t="n">
        <v>-88</v>
      </c>
    </row>
    <row r="68">
      <c r="A68" s="6" t="inlineStr">
        <is>
          <t>Tax on other comprehensive income</t>
        </is>
      </c>
      <c r="B68" s="6" t="n"/>
      <c r="C68" s="6" t="n"/>
      <c r="D68" s="6" t="n">
        <v>-3097</v>
      </c>
      <c r="E68" s="6" t="n">
        <v>-3097</v>
      </c>
    </row>
    <row r="69">
      <c r="A69" s="5" t="inlineStr">
        <is>
          <t>At 31 December 2023</t>
        </is>
      </c>
      <c r="B69" s="5" t="n">
        <v>200000</v>
      </c>
      <c r="C69" s="5" t="n">
        <v>306770</v>
      </c>
      <c r="D69" s="5" t="n">
        <v>-5740</v>
      </c>
      <c r="E69" s="5" t="n">
        <v>501030</v>
      </c>
    </row>
    <row r="70">
      <c r="A70" s="6" t="inlineStr">
        <is>
          <t>At 1 January 2024 (= FY2023 closing)</t>
        </is>
      </c>
      <c r="B70" s="6" t="n">
        <v>200000</v>
      </c>
      <c r="C70" s="6" t="n">
        <v>306770</v>
      </c>
      <c r="D70" s="6" t="n">
        <v>-5740</v>
      </c>
      <c r="E70" s="6" t="n">
        <v>501030</v>
      </c>
    </row>
    <row r="71">
      <c r="A71" s="6" t="inlineStr">
        <is>
          <t>Profit for the year</t>
        </is>
      </c>
      <c r="B71" s="6" t="n"/>
      <c r="C71" s="6" t="n">
        <v>39663</v>
      </c>
      <c r="D71" s="6" t="n"/>
      <c r="E71" s="6" t="n">
        <v>39663</v>
      </c>
    </row>
    <row r="72">
      <c r="A72" s="6" t="inlineStr">
        <is>
          <t>Change in fair value of financial investments at FVOCI</t>
        </is>
      </c>
      <c r="B72" s="6" t="n"/>
      <c r="C72" s="6" t="n"/>
      <c r="D72" s="6" t="n">
        <v>5430</v>
      </c>
      <c r="E72" s="6" t="n">
        <v>5430</v>
      </c>
    </row>
    <row r="73">
      <c r="A73" s="6" t="inlineStr">
        <is>
          <t>Impairment charged on financial investments at FVOCI</t>
        </is>
      </c>
      <c r="B73" s="6" t="n"/>
      <c r="C73" s="6" t="n"/>
      <c r="D73" s="6" t="n">
        <v>-116</v>
      </c>
      <c r="E73" s="6" t="n">
        <v>-116</v>
      </c>
    </row>
    <row r="74">
      <c r="A74" s="6" t="inlineStr">
        <is>
          <t>Tax on other comprehensive income</t>
        </is>
      </c>
      <c r="B74" s="6" t="n"/>
      <c r="C74" s="6" t="n"/>
      <c r="D74" s="6" t="n">
        <v>-1357</v>
      </c>
      <c r="E74" s="6" t="n">
        <v>-1357</v>
      </c>
    </row>
    <row r="75">
      <c r="A75" s="5" t="inlineStr">
        <is>
          <t>At 31 December 2024</t>
        </is>
      </c>
      <c r="B75" s="5" t="n">
        <v>200000</v>
      </c>
      <c r="C75" s="5" t="n">
        <v>346433</v>
      </c>
      <c r="D75" s="5" t="n">
        <v>-1783</v>
      </c>
      <c r="E75" s="5" t="n">
        <v>544650</v>
      </c>
    </row>
    <row r="76">
      <c r="A76" s="6" t="inlineStr">
        <is>
          <t>At 1 January 2025 (= FY2024 closing)</t>
        </is>
      </c>
      <c r="B76" s="6" t="n">
        <v>200000</v>
      </c>
      <c r="C76" s="6" t="n">
        <v>346433</v>
      </c>
      <c r="D76" s="6" t="n">
        <v>-1783</v>
      </c>
      <c r="E76" s="6" t="n">
        <v>544650</v>
      </c>
    </row>
    <row r="77">
      <c r="A77" s="6" t="inlineStr">
        <is>
          <t>Profit for the year</t>
        </is>
      </c>
      <c r="B77" s="6" t="n"/>
      <c r="C77" s="6" t="n">
        <v>42880</v>
      </c>
      <c r="D77" s="6" t="n"/>
      <c r="E77" s="6" t="n">
        <v>42880</v>
      </c>
    </row>
    <row r="78">
      <c r="A78" s="6" t="inlineStr">
        <is>
          <t>Change in fair value of financial investments at FVOCI</t>
        </is>
      </c>
      <c r="B78" s="6" t="n"/>
      <c r="C78" s="6" t="n"/>
      <c r="D78" s="6" t="n">
        <v>5190</v>
      </c>
      <c r="E78" s="6" t="n">
        <v>5190</v>
      </c>
    </row>
    <row r="79">
      <c r="A79" s="6" t="inlineStr">
        <is>
          <t>Impairment released on financial investments at FVOCI</t>
        </is>
      </c>
      <c r="B79" s="6" t="n"/>
      <c r="C79" s="6" t="n"/>
      <c r="D79" s="6" t="n">
        <v>-7</v>
      </c>
      <c r="E79" s="6" t="n">
        <v>-7</v>
      </c>
    </row>
    <row r="80">
      <c r="A80" s="6" t="inlineStr">
        <is>
          <t>Tax on other comprehensive income</t>
        </is>
      </c>
      <c r="B80" s="6" t="n"/>
      <c r="C80" s="6" t="n"/>
      <c r="D80" s="6" t="n">
        <v>-1297</v>
      </c>
      <c r="E80" s="6" t="n">
        <v>-1297</v>
      </c>
    </row>
    <row r="81">
      <c r="A81" s="5" t="inlineStr">
        <is>
          <t>At 31 December 2025</t>
        </is>
      </c>
      <c r="B81" s="5" t="n">
        <v>200000</v>
      </c>
      <c r="C81" s="5" t="n">
        <v>389313</v>
      </c>
      <c r="D81" s="5" t="n">
        <v>2103</v>
      </c>
      <c r="E81" s="5" t="n">
        <v>591416</v>
      </c>
    </row>
    <row r="83" ht="150" customHeight="1">
      <c r="A8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83:E8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Reconciliation of profit for the year to net cash flows from operating activities</t>
        </is>
      </c>
      <c r="B4" s="6" t="n"/>
      <c r="C4" s="6" t="n"/>
      <c r="D4" s="6" t="n"/>
      <c r="E4" s="6" t="n"/>
      <c r="F4" s="6" t="n"/>
      <c r="G4" s="6" t="n"/>
      <c r="H4" s="6" t="n"/>
      <c r="I4" s="6" t="n"/>
      <c r="J4" s="6" t="n"/>
      <c r="K4" s="6" t="n"/>
      <c r="L4" s="6" t="n"/>
      <c r="M4" s="6" t="n"/>
      <c r="N4" s="6" t="n"/>
    </row>
    <row r="5">
      <c r="A5" s="6" t="inlineStr">
        <is>
          <t>Profit for the year</t>
        </is>
      </c>
      <c r="B5" s="6" t="n">
        <v>42880</v>
      </c>
      <c r="C5" s="6" t="n">
        <v>39663</v>
      </c>
      <c r="D5" s="6" t="n">
        <v>26135</v>
      </c>
      <c r="E5" s="6" t="n">
        <v>11367</v>
      </c>
      <c r="F5" s="6" t="n">
        <v>15516</v>
      </c>
      <c r="G5" s="6" t="n">
        <v>10535</v>
      </c>
      <c r="H5" s="6" t="n">
        <v>18982</v>
      </c>
      <c r="I5" s="6" t="n">
        <v>25367</v>
      </c>
      <c r="J5" s="6" t="n">
        <v>21698</v>
      </c>
      <c r="K5" s="6" t="n">
        <v>20808</v>
      </c>
      <c r="L5" s="6" t="n">
        <v>34931</v>
      </c>
      <c r="M5" s="6" t="n">
        <v>23916</v>
      </c>
      <c r="N5" s="6" t="n"/>
    </row>
    <row r="6">
      <c r="A6" s="6" t="inlineStr">
        <is>
          <t>Depreciation of tangible fixed assets</t>
        </is>
      </c>
      <c r="B6" s="6" t="n">
        <v>1106</v>
      </c>
      <c r="C6" s="6" t="n">
        <v>1073</v>
      </c>
      <c r="D6" s="6" t="n">
        <v>1070</v>
      </c>
      <c r="E6" s="6" t="n">
        <v>1301</v>
      </c>
      <c r="F6" s="6" t="n">
        <v>1819</v>
      </c>
      <c r="G6" s="6" t="n">
        <v>1816</v>
      </c>
      <c r="H6" s="6" t="n">
        <v>1742</v>
      </c>
      <c r="I6" s="6" t="n">
        <v>1701</v>
      </c>
      <c r="J6" s="6" t="n">
        <v>1668</v>
      </c>
      <c r="K6" s="6" t="n">
        <v>1879</v>
      </c>
      <c r="L6" s="6" t="n">
        <v>1912</v>
      </c>
      <c r="M6" s="6" t="n">
        <v>1980</v>
      </c>
      <c r="N6" s="6" t="n"/>
    </row>
    <row r="7">
      <c r="A7" s="6" t="inlineStr">
        <is>
          <t>Amortisation of intangible assets</t>
        </is>
      </c>
      <c r="B7" s="6" t="n">
        <v>102</v>
      </c>
      <c r="C7" s="6" t="n">
        <v>81</v>
      </c>
      <c r="D7" s="6" t="n">
        <v>164</v>
      </c>
      <c r="E7" s="6" t="n">
        <v>162</v>
      </c>
      <c r="F7" s="6" t="n">
        <v>143</v>
      </c>
      <c r="G7" s="6" t="n">
        <v>151</v>
      </c>
      <c r="H7" s="6" t="n">
        <v>88</v>
      </c>
      <c r="I7" s="6" t="n">
        <v>99</v>
      </c>
      <c r="J7" s="6" t="n">
        <v>73</v>
      </c>
      <c r="K7" s="6" t="n">
        <v>3</v>
      </c>
      <c r="L7" s="6" t="n"/>
      <c r="M7" s="6" t="n"/>
      <c r="N7" s="6" t="n"/>
    </row>
    <row r="8">
      <c r="A8" s="6" t="inlineStr">
        <is>
          <t>Impairment losses</t>
        </is>
      </c>
      <c r="B8" s="6" t="n">
        <v>52</v>
      </c>
      <c r="C8" s="6" t="n">
        <v>-312</v>
      </c>
      <c r="D8" s="6" t="n">
        <v>-1180</v>
      </c>
      <c r="E8" s="6" t="n">
        <v>1052</v>
      </c>
      <c r="F8" s="6" t="n">
        <v>-6532</v>
      </c>
      <c r="G8" s="6" t="n">
        <v>3907</v>
      </c>
      <c r="H8" s="6" t="n">
        <v>618</v>
      </c>
      <c r="I8" s="6" t="n">
        <v>167</v>
      </c>
      <c r="J8" s="6" t="n">
        <v>1269</v>
      </c>
      <c r="K8" s="6" t="n">
        <v>2941</v>
      </c>
      <c r="L8" s="6" t="n">
        <v>-921</v>
      </c>
      <c r="M8" s="6" t="n">
        <v>14710</v>
      </c>
      <c r="N8" s="6" t="n"/>
    </row>
    <row r="9">
      <c r="A9" s="6" t="inlineStr">
        <is>
          <t>Interest income</t>
        </is>
      </c>
      <c r="B9" s="6" t="n">
        <v>-73022</v>
      </c>
      <c r="C9" s="6" t="n">
        <v>-80464</v>
      </c>
      <c r="D9" s="6" t="n">
        <v>-64844</v>
      </c>
      <c r="E9" s="6" t="n">
        <v>-27188</v>
      </c>
      <c r="F9" s="6" t="n">
        <v>-19740</v>
      </c>
      <c r="G9" s="6" t="n">
        <v>-30618</v>
      </c>
      <c r="H9" s="6" t="n">
        <v>-55674</v>
      </c>
      <c r="I9" s="6" t="n">
        <v>-67411</v>
      </c>
      <c r="J9" s="6" t="n">
        <v>-57976</v>
      </c>
      <c r="K9" s="6" t="n">
        <v>-69484</v>
      </c>
      <c r="L9" s="6" t="n">
        <v>-82919</v>
      </c>
      <c r="M9" s="6" t="n">
        <v>-89344</v>
      </c>
      <c r="N9" s="6" t="n"/>
    </row>
    <row r="10">
      <c r="A10" s="6" t="inlineStr">
        <is>
          <t>Interest expense</t>
        </is>
      </c>
      <c r="B10" s="6" t="n">
        <v>17005</v>
      </c>
      <c r="C10" s="6" t="n">
        <v>24461</v>
      </c>
      <c r="D10" s="6" t="n">
        <v>28971</v>
      </c>
      <c r="E10" s="6" t="n">
        <v>8992</v>
      </c>
      <c r="F10" s="6" t="n">
        <v>4294</v>
      </c>
      <c r="G10" s="6" t="n">
        <v>12493</v>
      </c>
      <c r="H10" s="6" t="n">
        <v>29651</v>
      </c>
      <c r="I10" s="6" t="n">
        <v>37960</v>
      </c>
      <c r="J10" s="6" t="n">
        <v>29349</v>
      </c>
      <c r="K10" s="6" t="n">
        <v>32005</v>
      </c>
      <c r="L10" s="6" t="n">
        <v>36884</v>
      </c>
      <c r="M10" s="6" t="n">
        <v>39318</v>
      </c>
      <c r="N10" s="6" t="n"/>
    </row>
    <row r="11">
      <c r="A11" s="6" t="inlineStr">
        <is>
          <t>Gain on sale of financial investments at FVOCI</t>
        </is>
      </c>
      <c r="B11" s="6" t="n">
        <v>-139</v>
      </c>
      <c r="C11" s="6" t="n">
        <v>0</v>
      </c>
      <c r="D11" s="6" t="n"/>
      <c r="E11" s="6" t="n"/>
      <c r="F11" s="6" t="n">
        <v>0</v>
      </c>
      <c r="G11" s="6" t="n">
        <v>-199</v>
      </c>
      <c r="H11" s="6" t="n">
        <v>0</v>
      </c>
      <c r="I11" s="6" t="n">
        <v>-28</v>
      </c>
      <c r="J11" s="6" t="n">
        <v>0</v>
      </c>
      <c r="K11" s="6" t="n">
        <v>7</v>
      </c>
      <c r="L11" s="6" t="n">
        <v>0</v>
      </c>
      <c r="M11" s="6" t="n"/>
      <c r="N11" s="6" t="n"/>
    </row>
    <row r="12">
      <c r="A12" s="6" t="inlineStr">
        <is>
          <t>Exchange gain and accretion of discounts and amortisation of premiums on financial investments</t>
        </is>
      </c>
      <c r="B12" s="6" t="n">
        <v>4619</v>
      </c>
      <c r="C12" s="6" t="n">
        <v>7528</v>
      </c>
      <c r="D12" s="6" t="n">
        <v>-4149</v>
      </c>
      <c r="E12" s="6" t="n">
        <v>21189</v>
      </c>
      <c r="F12" s="6" t="n">
        <v>555</v>
      </c>
      <c r="G12" s="6" t="n">
        <v>-15104</v>
      </c>
      <c r="H12" s="6" t="n">
        <v>-2297</v>
      </c>
      <c r="I12" s="6" t="n">
        <v>474</v>
      </c>
      <c r="J12" s="6" t="n">
        <v>1767</v>
      </c>
      <c r="K12" s="6" t="n">
        <v>8834</v>
      </c>
      <c r="L12" s="6" t="n">
        <v>6506</v>
      </c>
      <c r="M12" s="6" t="n">
        <v>13934</v>
      </c>
      <c r="N12" s="6" t="n"/>
    </row>
    <row r="13">
      <c r="A13" s="6" t="inlineStr">
        <is>
          <t>Revaluation (gain)/loss on financial derivatives</t>
        </is>
      </c>
      <c r="B13" s="6" t="n">
        <v>2500</v>
      </c>
      <c r="C13" s="6" t="n">
        <v>-189</v>
      </c>
      <c r="D13" s="6" t="n">
        <v>-66</v>
      </c>
      <c r="E13" s="6" t="n">
        <v>-96</v>
      </c>
      <c r="F13" s="6" t="n">
        <v>-497</v>
      </c>
      <c r="G13" s="6" t="n">
        <v>939</v>
      </c>
      <c r="H13" s="6" t="n">
        <v>-145</v>
      </c>
      <c r="I13" s="6" t="n">
        <v>983</v>
      </c>
      <c r="J13" s="6" t="n">
        <v>-522</v>
      </c>
      <c r="K13" s="6" t="n">
        <v>792</v>
      </c>
      <c r="L13" s="6" t="n">
        <v>4512</v>
      </c>
      <c r="M13" s="6" t="n">
        <v>-7775</v>
      </c>
      <c r="N13" s="6" t="n"/>
    </row>
    <row r="14">
      <c r="A14" s="6" t="inlineStr">
        <is>
          <t>Tax on profit on ordinary activities</t>
        </is>
      </c>
      <c r="B14" s="6" t="n">
        <v>14375</v>
      </c>
      <c r="C14" s="6" t="n">
        <v>15178</v>
      </c>
      <c r="D14" s="6" t="n">
        <v>8432</v>
      </c>
      <c r="E14" s="6" t="n">
        <v>3303</v>
      </c>
      <c r="F14" s="6" t="n">
        <v>4280</v>
      </c>
      <c r="G14" s="6" t="n">
        <v>2348</v>
      </c>
      <c r="H14" s="6" t="n">
        <v>5318</v>
      </c>
      <c r="I14" s="6" t="n">
        <v>5611</v>
      </c>
      <c r="J14" s="6" t="n">
        <v>5193</v>
      </c>
      <c r="K14" s="6" t="n">
        <v>6114</v>
      </c>
      <c r="L14" s="6" t="n">
        <v>9824</v>
      </c>
      <c r="M14" s="6" t="n">
        <v>6610</v>
      </c>
      <c r="N14" s="6" t="n"/>
    </row>
    <row r="15">
      <c r="A15" s="5" t="inlineStr">
        <is>
          <t>Changes in operating assets and liabilities</t>
        </is>
      </c>
      <c r="B15" s="6" t="n"/>
      <c r="C15" s="6" t="n"/>
      <c r="D15" s="6" t="n"/>
      <c r="E15" s="6" t="n"/>
      <c r="F15" s="6" t="n"/>
      <c r="G15" s="6" t="n"/>
      <c r="H15" s="6" t="n"/>
      <c r="I15" s="6" t="n"/>
      <c r="J15" s="6" t="n"/>
      <c r="K15" s="6" t="n"/>
      <c r="L15" s="6" t="n"/>
      <c r="M15" s="6" t="n"/>
      <c r="N15" s="6" t="n"/>
    </row>
    <row r="16">
      <c r="A16" s="6" t="inlineStr">
        <is>
          <t>Loans to banks</t>
        </is>
      </c>
      <c r="B16" s="6" t="n">
        <v>764198</v>
      </c>
      <c r="C16" s="6" t="n">
        <v>-436287</v>
      </c>
      <c r="D16" s="6" t="n">
        <v>136996</v>
      </c>
      <c r="E16" s="6" t="n">
        <v>-160146</v>
      </c>
      <c r="F16" s="6" t="n">
        <v>149827</v>
      </c>
      <c r="G16" s="6" t="n">
        <v>118342</v>
      </c>
      <c r="H16" s="6" t="n">
        <v>183979</v>
      </c>
      <c r="I16" s="6" t="n">
        <v>-63378</v>
      </c>
      <c r="J16" s="6" t="n">
        <v>276532</v>
      </c>
      <c r="K16" s="6" t="n">
        <v>203049</v>
      </c>
      <c r="L16" s="6" t="n">
        <v>-353423</v>
      </c>
      <c r="M16" s="6" t="n">
        <v>37241</v>
      </c>
      <c r="N16" s="6" t="n"/>
    </row>
    <row r="17">
      <c r="A17" s="6" t="inlineStr">
        <is>
          <t>Loans and advances to customers</t>
        </is>
      </c>
      <c r="B17" s="6" t="n">
        <v>-77176</v>
      </c>
      <c r="C17" s="6" t="n">
        <v>93250</v>
      </c>
      <c r="D17" s="6" t="n">
        <v>-97842</v>
      </c>
      <c r="E17" s="6" t="n">
        <v>-203380</v>
      </c>
      <c r="F17" s="6" t="n">
        <v>305578</v>
      </c>
      <c r="G17" s="6" t="n">
        <v>82313</v>
      </c>
      <c r="H17" s="6" t="n">
        <v>294894</v>
      </c>
      <c r="I17" s="6" t="n">
        <v>144068</v>
      </c>
      <c r="J17" s="6" t="n">
        <v>70269</v>
      </c>
      <c r="K17" s="6" t="n">
        <v>319708</v>
      </c>
      <c r="L17" s="6" t="n">
        <v>804752</v>
      </c>
      <c r="M17" s="6" t="n">
        <v>-320653</v>
      </c>
      <c r="N17" s="6" t="n"/>
    </row>
    <row r="18">
      <c r="A18" s="6" t="inlineStr">
        <is>
          <t>Financial investments at FVOCI</t>
        </is>
      </c>
      <c r="B18" s="6" t="n">
        <v>408</v>
      </c>
      <c r="C18" s="6" t="n">
        <v>-60711</v>
      </c>
      <c r="D18" s="6" t="n">
        <v>17973</v>
      </c>
      <c r="E18" s="6" t="n">
        <v>66827</v>
      </c>
      <c r="F18" s="6" t="n">
        <v>46073</v>
      </c>
      <c r="G18" s="6" t="n">
        <v>-6671</v>
      </c>
      <c r="H18" s="6" t="n">
        <v>8156</v>
      </c>
      <c r="I18" s="6" t="n"/>
      <c r="J18" s="6" t="n"/>
      <c r="K18" s="6" t="n"/>
      <c r="L18" s="6" t="n"/>
      <c r="M18" s="6" t="n"/>
      <c r="N18" s="6" t="n"/>
    </row>
    <row r="19">
      <c r="A19" s="6" t="inlineStr">
        <is>
          <t>Financial investments at amortised cost</t>
        </is>
      </c>
      <c r="B19" s="6" t="n">
        <v>-9488</v>
      </c>
      <c r="C19" s="6" t="n">
        <v>41729</v>
      </c>
      <c r="D19" s="6" t="n">
        <v>106936</v>
      </c>
      <c r="E19" s="6" t="n">
        <v>35881</v>
      </c>
      <c r="F19" s="6" t="n">
        <v>-13036</v>
      </c>
      <c r="G19" s="6" t="n">
        <v>-30674</v>
      </c>
      <c r="H19" s="6" t="n">
        <v>30000</v>
      </c>
      <c r="I19" s="6" t="n"/>
      <c r="J19" s="6" t="n"/>
      <c r="K19" s="6" t="n"/>
      <c r="L19" s="6" t="n"/>
      <c r="M19" s="6" t="n"/>
      <c r="N19" s="6" t="n"/>
    </row>
    <row r="20">
      <c r="A20" s="6" t="inlineStr">
        <is>
          <t>Other assets</t>
        </is>
      </c>
      <c r="B20" s="6" t="n">
        <v>-3319</v>
      </c>
      <c r="C20" s="6" t="n">
        <v>-957</v>
      </c>
      <c r="D20" s="6" t="n">
        <v>1104</v>
      </c>
      <c r="E20" s="6" t="n">
        <v>-720</v>
      </c>
      <c r="F20" s="6" t="n">
        <v>1762</v>
      </c>
      <c r="G20" s="6" t="n">
        <v>512</v>
      </c>
      <c r="H20" s="6" t="n">
        <v>-801</v>
      </c>
      <c r="I20" s="6" t="n">
        <v>-3158</v>
      </c>
      <c r="J20" s="6" t="n">
        <v>-16268</v>
      </c>
      <c r="K20" s="6" t="n">
        <v>-538</v>
      </c>
      <c r="L20" s="6" t="n">
        <v>-94</v>
      </c>
      <c r="M20" s="6" t="n">
        <v>5198</v>
      </c>
      <c r="N20" s="6" t="n"/>
    </row>
    <row r="21">
      <c r="A21" s="6" t="inlineStr">
        <is>
          <t>Deposits by banks</t>
        </is>
      </c>
      <c r="B21" s="6" t="n">
        <v>647415</v>
      </c>
      <c r="C21" s="6" t="n">
        <v>223171</v>
      </c>
      <c r="D21" s="6" t="n">
        <v>-59118</v>
      </c>
      <c r="E21" s="6" t="n">
        <v>399437</v>
      </c>
      <c r="F21" s="6" t="n">
        <v>-699204</v>
      </c>
      <c r="G21" s="6" t="n">
        <v>-269669</v>
      </c>
      <c r="H21" s="6" t="n">
        <v>24330</v>
      </c>
      <c r="I21" s="6" t="n">
        <v>-120140</v>
      </c>
      <c r="J21" s="6" t="n">
        <v>-278644</v>
      </c>
      <c r="K21" s="6" t="n">
        <v>-293653</v>
      </c>
      <c r="L21" s="6" t="n">
        <v>-439788</v>
      </c>
      <c r="M21" s="6" t="n">
        <v>187143</v>
      </c>
      <c r="N21" s="6" t="n"/>
    </row>
    <row r="22">
      <c r="A22" s="6" t="inlineStr">
        <is>
          <t>Deposits from customers</t>
        </is>
      </c>
      <c r="B22" s="6" t="n">
        <v>-4714</v>
      </c>
      <c r="C22" s="6" t="n">
        <v>-78671</v>
      </c>
      <c r="D22" s="6" t="n">
        <v>-3639</v>
      </c>
      <c r="E22" s="6" t="n">
        <v>-282533</v>
      </c>
      <c r="F22" s="6" t="n">
        <v>143585</v>
      </c>
      <c r="G22" s="6" t="n">
        <v>-9072</v>
      </c>
      <c r="H22" s="6" t="n">
        <v>-71470</v>
      </c>
      <c r="I22" s="6" t="n">
        <v>91692</v>
      </c>
      <c r="J22" s="6" t="n">
        <v>-15278</v>
      </c>
      <c r="K22" s="6" t="n">
        <v>-270071</v>
      </c>
      <c r="L22" s="6" t="n">
        <v>-199811</v>
      </c>
      <c r="M22" s="6" t="n">
        <v>117956</v>
      </c>
      <c r="N22" s="6" t="n"/>
    </row>
    <row r="23">
      <c r="A23" s="6" t="inlineStr">
        <is>
          <t>Subordinated loan repaid</t>
        </is>
      </c>
      <c r="B23" s="6" t="n"/>
      <c r="C23" s="6" t="n"/>
      <c r="D23" s="6" t="n"/>
      <c r="E23" s="6" t="n"/>
      <c r="F23" s="6" t="n"/>
      <c r="G23" s="6" t="n"/>
      <c r="H23" s="6" t="n">
        <v>-100000</v>
      </c>
      <c r="I23" s="6" t="n"/>
      <c r="J23" s="6" t="n"/>
      <c r="K23" s="6" t="n"/>
      <c r="L23" s="6" t="n"/>
      <c r="M23" s="6" t="n"/>
      <c r="N23" s="6" t="n"/>
    </row>
    <row r="24">
      <c r="A24" s="6" t="inlineStr">
        <is>
          <t>Other liabilities</t>
        </is>
      </c>
      <c r="B24" s="6" t="n">
        <v>1613</v>
      </c>
      <c r="C24" s="6" t="n">
        <v>-1030</v>
      </c>
      <c r="D24" s="6" t="n">
        <v>3697</v>
      </c>
      <c r="E24" s="6" t="n">
        <v>-1865</v>
      </c>
      <c r="F24" s="6" t="n">
        <v>1733</v>
      </c>
      <c r="G24" s="6" t="n">
        <v>-2281</v>
      </c>
      <c r="H24" s="6" t="n">
        <v>200</v>
      </c>
      <c r="I24" s="6" t="n">
        <v>154</v>
      </c>
      <c r="J24" s="6" t="n">
        <v>16506</v>
      </c>
      <c r="K24" s="6" t="n">
        <v>1149</v>
      </c>
      <c r="L24" s="6" t="n">
        <v>251</v>
      </c>
      <c r="M24" s="6" t="n">
        <v>-852</v>
      </c>
      <c r="N24" s="6" t="n"/>
    </row>
    <row r="25">
      <c r="A25" s="6" t="inlineStr">
        <is>
          <t>Interest received</t>
        </is>
      </c>
      <c r="B25" s="6" t="n">
        <v>72209</v>
      </c>
      <c r="C25" s="6" t="n">
        <v>79076</v>
      </c>
      <c r="D25" s="6" t="n">
        <v>63856</v>
      </c>
      <c r="E25" s="6" t="n">
        <v>27330</v>
      </c>
      <c r="F25" s="6" t="n">
        <v>20462</v>
      </c>
      <c r="G25" s="6" t="n">
        <v>32200</v>
      </c>
      <c r="H25" s="6" t="n">
        <v>59335</v>
      </c>
      <c r="I25" s="6" t="n">
        <v>66312</v>
      </c>
      <c r="J25" s="6" t="n">
        <v>66073</v>
      </c>
      <c r="K25" s="6" t="n">
        <v>69101</v>
      </c>
      <c r="L25" s="6" t="n">
        <v>84684</v>
      </c>
      <c r="M25" s="6" t="n">
        <v>88079</v>
      </c>
      <c r="N25" s="6" t="n"/>
    </row>
    <row r="26">
      <c r="A26" s="6" t="inlineStr">
        <is>
          <t>Interest paid</t>
        </is>
      </c>
      <c r="B26" s="6" t="n">
        <v>-18202</v>
      </c>
      <c r="C26" s="6" t="n">
        <v>-26683</v>
      </c>
      <c r="D26" s="6" t="n">
        <v>-26378</v>
      </c>
      <c r="E26" s="6" t="n">
        <v>-6721</v>
      </c>
      <c r="F26" s="6" t="n">
        <v>-5095</v>
      </c>
      <c r="G26" s="6" t="n">
        <v>-14346</v>
      </c>
      <c r="H26" s="6" t="n">
        <v>-30790</v>
      </c>
      <c r="I26" s="6" t="n">
        <v>-36643</v>
      </c>
      <c r="J26" s="6" t="n">
        <v>-29773</v>
      </c>
      <c r="K26" s="6" t="n">
        <v>-32035</v>
      </c>
      <c r="L26" s="6" t="n">
        <v>-45687</v>
      </c>
      <c r="M26" s="6" t="n">
        <v>-34345</v>
      </c>
      <c r="N26" s="6" t="n"/>
    </row>
    <row r="27">
      <c r="A27" s="6" t="inlineStr">
        <is>
          <t>Income tax paid</t>
        </is>
      </c>
      <c r="B27" s="6" t="n">
        <v>-15945</v>
      </c>
      <c r="C27" s="6" t="n">
        <v>-14140</v>
      </c>
      <c r="D27" s="6" t="n">
        <v>-8715</v>
      </c>
      <c r="E27" s="6" t="n">
        <v>-2607</v>
      </c>
      <c r="F27" s="6" t="n">
        <v>-3266</v>
      </c>
      <c r="G27" s="6" t="n">
        <v>-4680</v>
      </c>
      <c r="H27" s="6" t="n">
        <v>-4616</v>
      </c>
      <c r="I27" s="6" t="n">
        <v>-7208</v>
      </c>
      <c r="J27" s="6" t="n">
        <v>-3313</v>
      </c>
      <c r="K27" s="6" t="n">
        <v>-8075</v>
      </c>
      <c r="L27" s="6" t="n">
        <v>-7235</v>
      </c>
      <c r="M27" s="6" t="n">
        <v>-10035</v>
      </c>
      <c r="N27" s="6" t="n"/>
    </row>
    <row r="28">
      <c r="A28" s="5" t="inlineStr">
        <is>
          <t>Net cash used in operating activities</t>
        </is>
      </c>
      <c r="B28" s="5" t="n">
        <v>1366477</v>
      </c>
      <c r="C28" s="5" t="n">
        <v>-174234</v>
      </c>
      <c r="D28" s="5" t="n">
        <v>129403</v>
      </c>
      <c r="E28" s="5" t="n">
        <v>-108415</v>
      </c>
      <c r="F28" s="5" t="n">
        <v>-51743</v>
      </c>
      <c r="G28" s="5" t="n">
        <v>-117758</v>
      </c>
      <c r="H28" s="5" t="n">
        <v>353344</v>
      </c>
      <c r="I28" s="5" t="n">
        <v>76619</v>
      </c>
      <c r="J28" s="5" t="n">
        <v>78623</v>
      </c>
      <c r="K28" s="5" t="n">
        <v>-7467</v>
      </c>
      <c r="L28" s="5" t="n">
        <v>-145622</v>
      </c>
      <c r="M28" s="5" t="n">
        <v>73081</v>
      </c>
      <c r="N28" s="5" t="n"/>
    </row>
    <row r="29">
      <c r="A29" s="5" t="inlineStr">
        <is>
          <t>Cash flow from investing activities</t>
        </is>
      </c>
      <c r="B29" s="6" t="n"/>
      <c r="C29" s="6" t="n"/>
      <c r="D29" s="6" t="n"/>
      <c r="E29" s="6" t="n"/>
      <c r="F29" s="6" t="n"/>
      <c r="G29" s="6" t="n"/>
      <c r="H29" s="6" t="n"/>
      <c r="I29" s="6" t="n"/>
      <c r="J29" s="6" t="n"/>
      <c r="K29" s="6" t="n"/>
      <c r="L29" s="6" t="n"/>
      <c r="M29" s="6" t="n"/>
      <c r="N29" s="6" t="n"/>
    </row>
    <row r="30">
      <c r="A30" s="6" t="inlineStr">
        <is>
          <t>Acquisition of financial investments at FVOCI</t>
        </is>
      </c>
      <c r="B30" s="6" t="n"/>
      <c r="C30" s="6" t="n"/>
      <c r="D30" s="6" t="n"/>
      <c r="E30" s="6" t="n"/>
      <c r="F30" s="6" t="n"/>
      <c r="G30" s="6" t="n"/>
      <c r="H30" s="6" t="n">
        <v>-48844</v>
      </c>
      <c r="I30" s="6" t="n">
        <v>-224306</v>
      </c>
      <c r="J30" s="6" t="n">
        <v>-226102</v>
      </c>
      <c r="K30" s="6" t="n"/>
      <c r="L30" s="6" t="n"/>
      <c r="M30" s="6" t="n">
        <v>-157226</v>
      </c>
      <c r="N30" s="6" t="n"/>
    </row>
    <row r="31">
      <c r="A31" s="6" t="inlineStr">
        <is>
          <t>Maturity/Disposal of financial investments at FVOCI</t>
        </is>
      </c>
      <c r="B31" s="6" t="n"/>
      <c r="C31" s="6" t="n"/>
      <c r="D31" s="6" t="n"/>
      <c r="E31" s="6" t="n"/>
      <c r="F31" s="6" t="n"/>
      <c r="G31" s="6" t="n"/>
      <c r="H31" s="6" t="n">
        <v>57000</v>
      </c>
      <c r="I31" s="6" t="n">
        <v>275189</v>
      </c>
      <c r="J31" s="6" t="n">
        <v>166059</v>
      </c>
      <c r="K31" s="6" t="n">
        <v>94644</v>
      </c>
      <c r="L31" s="6" t="n">
        <v>115652</v>
      </c>
      <c r="M31" s="6" t="n">
        <v>133613</v>
      </c>
      <c r="N31" s="6" t="n"/>
    </row>
    <row r="32">
      <c r="A32" s="6" t="inlineStr">
        <is>
          <t>Acquisition of financial investments at amortised cost</t>
        </is>
      </c>
      <c r="B32" s="6" t="n"/>
      <c r="C32" s="6" t="n"/>
      <c r="D32" s="6" t="n"/>
      <c r="E32" s="6" t="n"/>
      <c r="F32" s="6" t="n"/>
      <c r="G32" s="6" t="n"/>
      <c r="H32" s="6" t="n"/>
      <c r="I32" s="6" t="n">
        <v>-142014</v>
      </c>
      <c r="J32" s="6" t="n">
        <v>-69678</v>
      </c>
      <c r="K32" s="6" t="n"/>
      <c r="L32" s="6" t="n"/>
      <c r="M32" s="6" t="n"/>
      <c r="N32" s="6" t="n"/>
    </row>
    <row r="33">
      <c r="A33" s="6" t="inlineStr">
        <is>
          <t>Maturity of financial investments at amortised cost</t>
        </is>
      </c>
      <c r="B33" s="6" t="n"/>
      <c r="C33" s="6" t="n"/>
      <c r="D33" s="6" t="n"/>
      <c r="E33" s="6" t="n"/>
      <c r="F33" s="6" t="n"/>
      <c r="G33" s="6" t="n"/>
      <c r="H33" s="6" t="n">
        <v>30000</v>
      </c>
      <c r="I33" s="6" t="n">
        <v>19688</v>
      </c>
      <c r="J33" s="6" t="n"/>
      <c r="K33" s="6" t="n"/>
      <c r="L33" s="6" t="n"/>
      <c r="M33" s="6" t="n"/>
      <c r="N33" s="6" t="n"/>
    </row>
    <row r="34">
      <c r="A34" s="6" t="inlineStr">
        <is>
          <t>Acquisition of tangible fixed assets</t>
        </is>
      </c>
      <c r="B34" s="6" t="n">
        <v>-638</v>
      </c>
      <c r="C34" s="6" t="n">
        <v>-332</v>
      </c>
      <c r="D34" s="6" t="n">
        <v>-87</v>
      </c>
      <c r="E34" s="6" t="n">
        <v>-367</v>
      </c>
      <c r="F34" s="6" t="n">
        <v>-660</v>
      </c>
      <c r="G34" s="6" t="n">
        <v>-239</v>
      </c>
      <c r="H34" s="6" t="n">
        <v>-302</v>
      </c>
      <c r="I34" s="6" t="n">
        <v>-468</v>
      </c>
      <c r="J34" s="6" t="n">
        <v>-174</v>
      </c>
      <c r="K34" s="6" t="n">
        <v>-53</v>
      </c>
      <c r="L34" s="6" t="n">
        <v>-376</v>
      </c>
      <c r="M34" s="6" t="n">
        <v>-98</v>
      </c>
      <c r="N34" s="6" t="n"/>
    </row>
    <row r="35">
      <c r="A35" s="6" t="inlineStr">
        <is>
          <t>Disposal of tangible fixed assets</t>
        </is>
      </c>
      <c r="B35" s="6" t="n"/>
      <c r="C35" s="6" t="n"/>
      <c r="D35" s="6" t="n"/>
      <c r="E35" s="6" t="n"/>
      <c r="F35" s="6" t="n"/>
      <c r="G35" s="6" t="n"/>
      <c r="H35" s="6" t="n"/>
      <c r="I35" s="6" t="n">
        <v>3</v>
      </c>
      <c r="J35" s="6" t="n"/>
      <c r="K35" s="6" t="n">
        <v>1</v>
      </c>
      <c r="L35" s="6" t="n"/>
      <c r="M35" s="6" t="n"/>
      <c r="N35" s="6" t="n"/>
    </row>
    <row r="36">
      <c r="A36" s="6" t="inlineStr">
        <is>
          <t>Acquisition of intangible assets</t>
        </is>
      </c>
      <c r="B36" s="6" t="n">
        <v>-126</v>
      </c>
      <c r="C36" s="6" t="n">
        <v>-115</v>
      </c>
      <c r="D36" s="6" t="n">
        <v>-188</v>
      </c>
      <c r="E36" s="6" t="n">
        <v>-158</v>
      </c>
      <c r="F36" s="6" t="n">
        <v>-133</v>
      </c>
      <c r="G36" s="6" t="n">
        <v>-147</v>
      </c>
      <c r="H36" s="6" t="n">
        <v>-103</v>
      </c>
      <c r="I36" s="6" t="n">
        <v>-65</v>
      </c>
      <c r="J36" s="6" t="n">
        <v>-223</v>
      </c>
      <c r="K36" s="6" t="n">
        <v>-31</v>
      </c>
      <c r="L36" s="6" t="n"/>
      <c r="M36" s="6" t="n"/>
      <c r="N36" s="6" t="n"/>
    </row>
    <row r="37">
      <c r="A37" s="5" t="inlineStr">
        <is>
          <t>Net cash used in investing activities</t>
        </is>
      </c>
      <c r="B37" s="5" t="n">
        <v>-764</v>
      </c>
      <c r="C37" s="5" t="n">
        <v>-447</v>
      </c>
      <c r="D37" s="5" t="n">
        <v>-275</v>
      </c>
      <c r="E37" s="5" t="n">
        <v>-525</v>
      </c>
      <c r="F37" s="5" t="n">
        <v>-793</v>
      </c>
      <c r="G37" s="5" t="n">
        <v>-386</v>
      </c>
      <c r="H37" s="5" t="n">
        <v>37751</v>
      </c>
      <c r="I37" s="5" t="n">
        <v>-71973</v>
      </c>
      <c r="J37" s="5" t="n">
        <v>-130118</v>
      </c>
      <c r="K37" s="5" t="n">
        <v>94561</v>
      </c>
      <c r="L37" s="5" t="n">
        <v>115276</v>
      </c>
      <c r="M37" s="5" t="n">
        <v>-23711</v>
      </c>
      <c r="N37" s="5" t="n"/>
    </row>
    <row r="38">
      <c r="A38" s="5" t="inlineStr">
        <is>
          <t>Net cash from financing activities</t>
        </is>
      </c>
      <c r="B38" s="5" t="n">
        <v>0</v>
      </c>
      <c r="C38" s="5" t="n">
        <v>0</v>
      </c>
      <c r="D38" s="5" t="n">
        <v>0</v>
      </c>
      <c r="E38" s="5" t="n">
        <v>0</v>
      </c>
      <c r="F38" s="5" t="n">
        <v>0</v>
      </c>
      <c r="G38" s="5" t="n">
        <v>0</v>
      </c>
      <c r="H38" s="5" t="n">
        <v>0</v>
      </c>
      <c r="I38" s="5" t="n">
        <v>0</v>
      </c>
      <c r="J38" s="5" t="n">
        <v>0</v>
      </c>
      <c r="K38" s="5" t="n">
        <v>0</v>
      </c>
      <c r="L38" s="5" t="n">
        <v>0</v>
      </c>
      <c r="M38" s="5" t="n">
        <v>0</v>
      </c>
      <c r="N38" s="5" t="n"/>
    </row>
    <row r="39">
      <c r="A39" s="5" t="inlineStr">
        <is>
          <t>Net decrease in cash and cash equivalents</t>
        </is>
      </c>
      <c r="B39" s="5" t="n">
        <v>1365713</v>
      </c>
      <c r="C39" s="5" t="n">
        <v>-174681</v>
      </c>
      <c r="D39" s="5" t="n">
        <v>129128</v>
      </c>
      <c r="E39" s="5" t="n">
        <v>-108940</v>
      </c>
      <c r="F39" s="5" t="n">
        <v>-52536</v>
      </c>
      <c r="G39" s="5" t="n">
        <v>-118144</v>
      </c>
      <c r="H39" s="5" t="n">
        <v>391095</v>
      </c>
      <c r="I39" s="5" t="n">
        <v>4646</v>
      </c>
      <c r="J39" s="5" t="n">
        <v>-51495</v>
      </c>
      <c r="K39" s="5" t="n">
        <v>87094</v>
      </c>
      <c r="L39" s="5" t="n">
        <v>-30346</v>
      </c>
      <c r="M39" s="5" t="n">
        <v>49370</v>
      </c>
      <c r="N39" s="5" t="n"/>
    </row>
    <row r="40">
      <c r="A40" s="6" t="inlineStr">
        <is>
          <t>Cash and cash equivalents at 1 January</t>
        </is>
      </c>
      <c r="B40" s="6" t="n">
        <v>139627</v>
      </c>
      <c r="C40" s="6" t="n">
        <v>316971</v>
      </c>
      <c r="D40" s="6" t="n">
        <v>180382</v>
      </c>
      <c r="E40" s="6" t="n">
        <v>307556</v>
      </c>
      <c r="F40" s="6" t="n">
        <v>361540</v>
      </c>
      <c r="G40" s="6" t="n">
        <v>470286</v>
      </c>
      <c r="H40" s="6" t="n">
        <v>78694</v>
      </c>
      <c r="I40" s="6" t="n">
        <v>71939</v>
      </c>
      <c r="J40" s="6" t="n">
        <v>126704</v>
      </c>
      <c r="K40" s="6" t="n">
        <v>41812</v>
      </c>
      <c r="L40" s="6" t="n">
        <v>73549</v>
      </c>
      <c r="M40" s="6" t="n">
        <v>25010</v>
      </c>
      <c r="N40" s="6" t="n"/>
    </row>
    <row r="41">
      <c r="A41" s="6" t="inlineStr">
        <is>
          <t>Effects of exchange rates on cash and cash equivalents</t>
        </is>
      </c>
      <c r="B41" s="6" t="n">
        <v>-6647</v>
      </c>
      <c r="C41" s="6" t="n">
        <v>-2663</v>
      </c>
      <c r="D41" s="6" t="n">
        <v>7461</v>
      </c>
      <c r="E41" s="6" t="n">
        <v>-18234</v>
      </c>
      <c r="F41" s="6" t="n">
        <v>-1448</v>
      </c>
      <c r="G41" s="6" t="n">
        <v>9398</v>
      </c>
      <c r="H41" s="6" t="n">
        <v>497</v>
      </c>
      <c r="I41" s="6" t="n">
        <v>2109</v>
      </c>
      <c r="J41" s="6" t="n">
        <v>-3270</v>
      </c>
      <c r="K41" s="6" t="n">
        <v>-2202</v>
      </c>
      <c r="L41" s="6" t="n">
        <v>-1391</v>
      </c>
      <c r="M41" s="6" t="n">
        <v>-831</v>
      </c>
      <c r="N41" s="6" t="n"/>
    </row>
    <row r="42">
      <c r="A42" s="5" t="inlineStr">
        <is>
          <t>Cash and cash equivalents at 31 December</t>
        </is>
      </c>
      <c r="B42" s="5" t="n">
        <v>1498693</v>
      </c>
      <c r="C42" s="5" t="n">
        <v>139627</v>
      </c>
      <c r="D42" s="5" t="n">
        <v>316971</v>
      </c>
      <c r="E42" s="5" t="n">
        <v>180382</v>
      </c>
      <c r="F42" s="5" t="n">
        <v>307556</v>
      </c>
      <c r="G42" s="5" t="n">
        <v>361540</v>
      </c>
      <c r="H42" s="5" t="n">
        <v>470286</v>
      </c>
      <c r="I42" s="5" t="n">
        <v>78694</v>
      </c>
      <c r="J42" s="5" t="n">
        <v>71939</v>
      </c>
      <c r="K42" s="5" t="n">
        <v>126704</v>
      </c>
      <c r="L42" s="5" t="n">
        <v>41812</v>
      </c>
      <c r="M42" s="5" t="n">
        <v>73549</v>
      </c>
      <c r="N42" s="5" t="n"/>
    </row>
    <row r="44" ht="140" customHeight="1">
      <c r="A44"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FY2020: ICBC (London) plc Annual Report and Financial Statements 2020 (Companies House filing, scanned/OCR'd), p.26 (Statement of Cash flows, own 2020 column) — https://find-and-update.company-information.service.gov.uk/company/04552753/filing-history/MzMwMzE1ODk3MWFkaXF6a2N4/document?format=pdf&amp;download=0
FY2019: ICBC (London) plc Annual Report and Financial Statements 2019 (Companies House filing, scanned/OCR'd), p.26 (Statement of Cash Flows, own 2019 column) — https://find-and-update.company-information.service.gov.uk/company/04552753/filing-history/MzI2NjQ0ODkzMGFkaXF6a2N4/document?format=pdf&amp;download=0. Cross-checked against the FY2020 filing's restated 2019 comparative — https://find-and-update.company-information.service.gov.uk/company/04552753/filing-history/MzMwMzE1ODk3MWFkaXF6a2N4/document?format=pdf&amp;download=0 — which differs by exactly $58k on 'Interest income'/'Interest received' only (see note below); the FY2019 filing's own originally-published figures are used.
FY2018: ICBC (London) plc Annual Report and Financial Statements 2019 (Companies House filing, scanned/OCR'd), p.26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the FY2019 filing's clean comparative column is used instead and cross-checked by internal arithmetic.
FY2017: ICBC (London) plc Annual Report and Financial Statements 2017 (Companies House filing, scanned/OCR'd), p.21-22 (Statement of Cash flows, own 2017 column) — https://find-and-update.company-information.service.gov.uk/company/04552753/filing-history/MzIwNjY1MzA2MGFkaXF6a2N4/document?format=pdf&amp;download=0
FY2016: ICBC (London) plc Annual Report and Financial Statements 2016 (Companies House filing, scanned/OCR'd), p.16 (Statement of Cash flows, own 2016 column) — https://find-and-update.company-information.service.gov.uk/company/04552753/filing-history/MzE3NzMxODYyNWFkaXF6a2N4/document?format=pdf&amp;download=0
FY2015: ICBC (London) plc Annual Report and Financial Statements 2015 (Companies House filing, scanned/OCR'd), p.16 (Statement of Cash flows, own 2015 column) — https://find-and-update.company-information.service.gov.uk/company/04552753/filing-history/MzE0ODY5NjMzOGFkaXF6a2N4/document?format=pdf&amp;download=0
FY2014: no cash flow statement exists in ICBC (London) plc's own FY2014 Annual Report (https://find-and-update.company-information.service.gov.uk/company/04552753/filing-history/MzEyNTk1Nzg1NGFkaXF6a2N4/document?format=pdf&amp;download=0) — its own accounting policies note states the Bank 'has taken advantage of the exemption from the requirement to prepare a cash flow statement on the grounds that it is a wholly-owned subsidiary' of ICBC Ltd. FY2014 figures are therefore sourced entirely from the FY2015 Annual Report's 2014 comparative column, p.16 — https://find-and-update.company-information.service.gov.uk/company/04552753/filing-history/MzE0ODY5NjMzOGFkaXF6a2N4/document?format=pdf&amp;download=0 — the earliest year for which a cash flow statement covering FY2014 exists at all.
Note: the FY2014-2023 Companies House filings are scanned (image-only) documents; those years' figures were transcribed from page renders or OCR text, cross-checked by internal arithmetic and year-boundary reconciliation (each year's own closing cash and cash equivalents equals the following year's opening balance - confirmed at every boundary FY2014 through FY2025). 'Gain on sale of financial investments at FVOCI' was not a separate line in several years'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 Presentation change: FY2014-2019's own filings present 'Acquisition/Maturity of financial investments at FVOCI/amortised cost' under investing activities; from FY2020 onward the same items are folded into operating activities instead (confirmed by a direct mismatch between FY2019's own reported operating cash flow of $353,344k and FY2020's restated FY2019 comparative of $391,500k, with investing activities showing $37,751k vs. $(405)k for the same reason) - each year's own originally-published classification is used, not force-reconciled to a later year's restated presentation. Separately, FY2020's own filing carries a footnote: 'Interest income from financial derivatives of $58k, which was disclosed under interest income in 2019, has been reclassified under the dealing profit in 2020' - a $58k difference between FY2019's originally-published and FY2020's restated comparative 'Interest income'/'Interest received' figures, consistent with the same reclassification documented on the Profit &amp; Loss sheet. The $100,000k Subordinated loan (see the Balance Sheet's own note) was fully repaid in April 2019, shown here as a single '$(100,000)k' financing-shaped outflow within FY2019's operating-liabilities changes, matching the Bank's own presentation of the repayment within operating activities (not financing activities, which is nil in every year of this workbook).</t>
        </is>
      </c>
    </row>
  </sheetData>
  <mergeCells count="1">
    <mergeCell ref="A44:N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legacy IAS 39 basis (FY2014-2017, specific/collective impairment)</t>
        </is>
      </c>
      <c r="B4" s="6" t="n"/>
      <c r="C4" s="6" t="n"/>
      <c r="D4" s="6" t="n"/>
      <c r="E4" s="6" t="n"/>
      <c r="F4" s="6" t="n"/>
      <c r="G4" s="6" t="n"/>
      <c r="H4" s="6" t="n"/>
      <c r="I4" s="6" t="n"/>
      <c r="J4" s="6" t="n"/>
      <c r="K4" s="6" t="n"/>
      <c r="L4" s="6" t="n"/>
      <c r="M4" s="6" t="n"/>
    </row>
    <row r="5">
      <c r="A5" s="6" t="inlineStr">
        <is>
          <t>Gross carrying amount (net of loan fees received in advance)</t>
        </is>
      </c>
      <c r="B5" s="6" t="n"/>
      <c r="C5" s="6" t="n"/>
      <c r="D5" s="6" t="n"/>
      <c r="E5" s="6" t="n"/>
      <c r="F5" s="6" t="n"/>
      <c r="G5" s="6" t="n"/>
      <c r="H5" s="6" t="n"/>
      <c r="I5" s="6" t="n"/>
      <c r="J5" s="6" t="n">
        <v>960267</v>
      </c>
      <c r="K5" s="6" t="n">
        <v>1041515</v>
      </c>
      <c r="L5" s="6" t="n">
        <v>1361223</v>
      </c>
      <c r="M5" s="6" t="n">
        <v>2165975</v>
      </c>
    </row>
    <row r="6">
      <c r="A6" s="6" t="inlineStr">
        <is>
          <t>Collective impairment allowance</t>
        </is>
      </c>
      <c r="B6" s="6" t="n"/>
      <c r="C6" s="6" t="n"/>
      <c r="D6" s="6" t="n"/>
      <c r="E6" s="6" t="n"/>
      <c r="F6" s="6" t="n"/>
      <c r="G6" s="6" t="n"/>
      <c r="H6" s="6" t="n"/>
      <c r="I6" s="6" t="n"/>
      <c r="J6" s="6" t="n">
        <v>-2035</v>
      </c>
      <c r="K6" s="6" t="n">
        <v>-1990</v>
      </c>
      <c r="L6" s="6" t="n">
        <v>-2079</v>
      </c>
      <c r="M6" s="6" t="n">
        <v>-2760</v>
      </c>
    </row>
    <row r="7">
      <c r="A7" s="6" t="inlineStr">
        <is>
          <t>Specific impairment allowance</t>
        </is>
      </c>
      <c r="B7" s="6" t="n"/>
      <c r="C7" s="6" t="n"/>
      <c r="D7" s="6" t="n"/>
      <c r="E7" s="6" t="n"/>
      <c r="F7" s="6" t="n"/>
      <c r="G7" s="6" t="n"/>
      <c r="H7" s="6" t="n"/>
      <c r="I7" s="6" t="n"/>
      <c r="J7" s="6" t="n">
        <v>-5000</v>
      </c>
      <c r="K7" s="6" t="n">
        <v>-15000</v>
      </c>
      <c r="L7" s="6" t="n">
        <v>-12000</v>
      </c>
      <c r="M7" s="6" t="n">
        <v>-12000</v>
      </c>
    </row>
    <row r="8">
      <c r="A8" s="5" t="inlineStr">
        <is>
          <t>Net carrying amount</t>
        </is>
      </c>
      <c r="B8" s="5" t="n"/>
      <c r="C8" s="5" t="n"/>
      <c r="D8" s="5" t="n"/>
      <c r="E8" s="5" t="n"/>
      <c r="F8" s="5" t="n"/>
      <c r="G8" s="5" t="n"/>
      <c r="H8" s="5" t="n"/>
      <c r="I8" s="5" t="n"/>
      <c r="J8" s="5" t="n">
        <v>953232</v>
      </c>
      <c r="K8" s="5" t="n">
        <v>1024525</v>
      </c>
      <c r="L8" s="5" t="n">
        <v>1347144</v>
      </c>
      <c r="M8" s="5" t="n">
        <v>2151215</v>
      </c>
    </row>
    <row r="9">
      <c r="A9" s="6" t="inlineStr">
        <is>
          <t>Specific provision coverage of specifically-impaired loans</t>
        </is>
      </c>
      <c r="B9" s="6" t="n"/>
      <c r="C9" s="6" t="n"/>
      <c r="D9" s="6" t="n"/>
      <c r="E9" s="6" t="n"/>
      <c r="F9" s="6" t="n"/>
      <c r="G9" s="6" t="n"/>
      <c r="H9" s="6" t="n"/>
      <c r="I9" s="6" t="n"/>
      <c r="J9" s="6" t="inlineStr">
        <is>
          <t>$5,000k allowance held against $5,000k of gross specifically-impaired loans (2016: $15,000k against $30,000k)</t>
        </is>
      </c>
      <c r="K9" s="6" t="n"/>
      <c r="L9" s="6" t="n"/>
      <c r="M9" s="6" t="n"/>
    </row>
    <row r="10">
      <c r="A10" s="5" t="inlineStr">
        <is>
          <t>Loans and advances to customers, by IFRS 9 stage (FY2018 onward)</t>
        </is>
      </c>
      <c r="B10" s="6" t="n"/>
      <c r="C10" s="6" t="n"/>
      <c r="D10" s="6" t="n"/>
      <c r="E10" s="6" t="n"/>
      <c r="F10" s="6" t="n"/>
      <c r="G10" s="6" t="n"/>
      <c r="H10" s="6" t="n"/>
      <c r="I10" s="6" t="n"/>
      <c r="J10" s="6" t="n"/>
      <c r="K10" s="6" t="n"/>
      <c r="L10" s="6" t="n"/>
      <c r="M10" s="6" t="n"/>
    </row>
    <row r="11">
      <c r="A11" s="6" t="inlineStr">
        <is>
          <t>Gross carrying amount</t>
        </is>
      </c>
      <c r="B11" s="6" t="n">
        <v>413561</v>
      </c>
      <c r="C11" s="6" t="n">
        <v>336385</v>
      </c>
      <c r="D11" s="6" t="n">
        <v>429636</v>
      </c>
      <c r="E11" s="6" t="n">
        <v>331794</v>
      </c>
      <c r="F11" s="6" t="n">
        <v>128414</v>
      </c>
      <c r="G11" s="6" t="n">
        <v>433992</v>
      </c>
      <c r="H11" s="6" t="n">
        <v>516305</v>
      </c>
      <c r="I11" s="6" t="n">
        <v>816199</v>
      </c>
      <c r="J11" s="6" t="n"/>
      <c r="K11" s="6" t="n"/>
      <c r="L11" s="6" t="n"/>
      <c r="M11" s="6" t="n"/>
    </row>
    <row r="12">
      <c r="A12" s="6" t="inlineStr">
        <is>
          <t>Stage 1 loss allowance</t>
        </is>
      </c>
      <c r="B12" s="6" t="n">
        <v>-235</v>
      </c>
      <c r="C12" s="6" t="n">
        <v>-129</v>
      </c>
      <c r="D12" s="6" t="n">
        <v>-355</v>
      </c>
      <c r="E12" s="6" t="n">
        <v>-310</v>
      </c>
      <c r="F12" s="6" t="n">
        <v>-66</v>
      </c>
      <c r="G12" s="6" t="n">
        <v>-840</v>
      </c>
      <c r="H12" s="6" t="n">
        <v>-306</v>
      </c>
      <c r="I12" s="6" t="n">
        <v>-1004</v>
      </c>
      <c r="J12" s="6" t="n"/>
      <c r="K12" s="6" t="n"/>
      <c r="L12" s="6" t="n"/>
      <c r="M12" s="6" t="n"/>
    </row>
    <row r="13">
      <c r="A13" s="6" t="inlineStr">
        <is>
          <t>Stage 2 loss allowance</t>
        </is>
      </c>
      <c r="B13" s="6" t="n">
        <v>0</v>
      </c>
      <c r="C13" s="6" t="n">
        <v>0</v>
      </c>
      <c r="D13" s="6" t="n">
        <v>0</v>
      </c>
      <c r="E13" s="6" t="n">
        <v>0</v>
      </c>
      <c r="F13" s="6" t="n">
        <v>0</v>
      </c>
      <c r="G13" s="6" t="n">
        <v>-4594</v>
      </c>
      <c r="H13" s="6" t="n">
        <v>-2720</v>
      </c>
      <c r="I13" s="6" t="n">
        <v>-1111</v>
      </c>
      <c r="J13" s="6" t="n"/>
      <c r="K13" s="6" t="n"/>
      <c r="L13" s="6" t="n"/>
      <c r="M13" s="6" t="n"/>
    </row>
    <row r="14">
      <c r="A14" s="6" t="inlineStr">
        <is>
          <t>Stage 3 loss allowance</t>
        </is>
      </c>
      <c r="B14" s="6" t="n">
        <v>0</v>
      </c>
      <c r="C14" s="6" t="n">
        <v>0</v>
      </c>
      <c r="D14" s="6" t="n">
        <v>0</v>
      </c>
      <c r="E14" s="6" t="n">
        <v>0</v>
      </c>
      <c r="F14" s="6" t="n">
        <v>0</v>
      </c>
      <c r="G14" s="6" t="n">
        <v>0</v>
      </c>
      <c r="H14" s="6" t="n">
        <v>0</v>
      </c>
      <c r="I14" s="6" t="n">
        <v>-5000</v>
      </c>
      <c r="J14" s="6" t="n"/>
      <c r="K14" s="6" t="n"/>
      <c r="L14" s="6" t="n"/>
      <c r="M14" s="6" t="n"/>
    </row>
    <row r="15">
      <c r="A15" s="5" t="inlineStr">
        <is>
          <t>Net carrying amount</t>
        </is>
      </c>
      <c r="B15" s="5" t="n">
        <v>413326</v>
      </c>
      <c r="C15" s="5" t="n">
        <v>336256</v>
      </c>
      <c r="D15" s="5" t="n">
        <v>429281</v>
      </c>
      <c r="E15" s="5" t="n">
        <v>331484</v>
      </c>
      <c r="F15" s="5" t="n">
        <v>128348</v>
      </c>
      <c r="G15" s="5" t="n">
        <v>428558</v>
      </c>
      <c r="H15" s="5" t="n">
        <v>513279</v>
      </c>
      <c r="I15" s="5" t="n">
        <v>809084</v>
      </c>
      <c r="J15" s="5" t="n"/>
      <c r="K15" s="5" t="n"/>
      <c r="L15" s="5" t="n"/>
      <c r="M15" s="5" t="n"/>
    </row>
    <row r="16">
      <c r="A16" s="6" t="inlineStr">
        <is>
          <t>Stage 1 coverage ratio (Stage 1 allowance / gross carrying amount)</t>
        </is>
      </c>
      <c r="B16" s="6" t="inlineStr">
        <is>
          <t>0.06%</t>
        </is>
      </c>
      <c r="C16" s="6" t="inlineStr">
        <is>
          <t>0.04%</t>
        </is>
      </c>
      <c r="D16" s="6" t="inlineStr">
        <is>
          <t>0.08%</t>
        </is>
      </c>
      <c r="E16" s="6" t="inlineStr">
        <is>
          <t>0.09%</t>
        </is>
      </c>
      <c r="F16" s="6" t="inlineStr">
        <is>
          <t>0.05%</t>
        </is>
      </c>
      <c r="G16" s="6" t="inlineStr">
        <is>
          <t>0.19%</t>
        </is>
      </c>
      <c r="H16" s="6" t="inlineStr">
        <is>
          <t>0.06%</t>
        </is>
      </c>
      <c r="I16" s="6" t="inlineStr">
        <is>
          <t>0.12%</t>
        </is>
      </c>
      <c r="J16" s="6" t="n"/>
      <c r="K16" s="6" t="n"/>
      <c r="L16" s="6" t="n"/>
      <c r="M16" s="6" t="n"/>
    </row>
    <row r="17">
      <c r="A17" s="6" t="inlineStr">
        <is>
          <t>Stage 2/3 (impaired) exposure as % of gross carrying amount</t>
        </is>
      </c>
      <c r="B17" s="6" t="inlineStr">
        <is>
          <t>0.00%</t>
        </is>
      </c>
      <c r="C17" s="6" t="inlineStr">
        <is>
          <t>0.00%</t>
        </is>
      </c>
      <c r="D17" s="6" t="inlineStr">
        <is>
          <t>0.00%</t>
        </is>
      </c>
      <c r="E17" s="6" t="inlineStr">
        <is>
          <t>0.00%</t>
        </is>
      </c>
      <c r="F17" s="6" t="inlineStr">
        <is>
          <t>0.00%</t>
        </is>
      </c>
      <c r="G17" s="6" t="n"/>
      <c r="H17" s="6" t="n"/>
      <c r="I17" s="6" t="n"/>
      <c r="J17" s="6" t="n"/>
      <c r="K17" s="6" t="n"/>
      <c r="L17" s="6" t="n"/>
      <c r="M17" s="6" t="n"/>
    </row>
    <row r="19" ht="170" customHeight="1">
      <c r="A19" s="8" t="inlineStr">
        <is>
          <t>Sources — ICBC (London) plc, Loans and advances to customers, $'000: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FY2020: Annual Report 2020 (Companies House filing, scanned/OCR'd), Note 11(i) (own 2020 closing balance) — https://find-and-update.company-information.service.gov.uk/company/04552753/filing-history/MzMwMzE1ODk3MWFkaXF6a2N4/document?format=pdf&amp;download=0
FY2019: Annual Report 2019 (Companies House filing, scanned/OCR'd), Note 10(i) (own 2019 closing balance) — https://find-and-update.company-information.service.gov.uk/company/04552753/filing-history/MzI2NjQ0ODkzMGFkaXF6a2N4/document?format=pdf&amp;download=0. Cross-checked against Annual Report 2020, Note 11(i) (2019 comparative) — https://find-and-update.company-information.service.gov.uk/company/04552753/filing-history/MzMwMzE1ODk3MWFkaXF6a2N4/document?format=pdf&amp;download=0
FY2018: Annual Report 2019 (Companies House filing), Note 10(i) (2018 comparative column, showing the 1 January 2018 IFRS 9 day-1 transition) — https://find-and-update.company-information.service.gov.uk/company/04552753/filing-history/MzI2NjQ0ODkzMGFkaXF6a2N4/document?format=pdf&amp;download=0
FY2017: Annual Report 2017 (Companies House filing, scanned/OCR'd), Note 10 (own 2017 closing balance, IAS 39 specific/collective basis) — https://find-and-update.company-information.service.gov.uk/company/04552753/filing-history/MzIwNjY1MzA2MGFkaXF6a2N4/document?format=pdf&amp;download=0
FY2016: Annual Report 2016 (Companies House filing, scanned/OCR'd), Note 10 (own 2016 closing balance) — https://find-and-update.company-information.service.gov.uk/company/04552753/filing-history/MzE3NzMxODYyNWFkaXF6a2N4/document?format=pdf&amp;download=0
FY2015: Annual Report 2015 (Companies House filing, scanned/OCR'd), Note 10 (own 2015 closing balance) — https://find-and-update.company-information.service.gov.uk/company/04552753/filing-history/MzE0ODY5NjMzOGFkaXF6a2N4/document?format=pdf&amp;download=0
FY2014: Annual Report 2015, Note 10 (2014 comparative column, the earliest year with a full specific/collective impairment allowance breakdown) — https://find-and-update.company-information.service.gov.uk/company/04552753/filing-history/MzE0ODY5NjMzOGFkaXF6a2N4/document?format=pdf&amp;download=0
Gross carrying amount and net carrying amount for Loans and advances to customers sourced from each year's own Note 9/10 (or comparative column); confirmed by reading the relevant note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 Methodology change: FY2014-2017 use an IAS 39 incurred-loss basis (impairment allowance split between 'specific' and 'collective' provisions, no forward-looking staging); IFRS 9's expected-credit-loss Stage 1/2/3 model was adopted 1 January 2018, with the transition shown as its own row on this sheet using the Bank's own day-1 restatement (FY2017 closing allowance across banks and customers combined of $7,280k restated to $7,096k, a $184k net day-1 credit release per the Bank's own Note 10 - customer-only allowance moves from $7,035k [$2,035k collective + $5,000k specific] to a Stage 1/2/3 split of $608k/$1,252k/$5,000k = $6,860k, before the year's own FY2018 charge is applied) - the two bases are presented as separate sections rather than forced into a single column, consistent with how other banks on this project handle the same transition. 'Stage 2/3 exposure as % of gross carrying amount' is left blank for FY2018-2020: each year's own Note 10/11 discloses the impairment ALLOWANCE by stage (used above) but not the gross loan balance by stage, so this specific ratio cannot be computed for those years without guessing an exposure split - blank is used rather than a derived approximation.</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547878</v>
      </c>
      <c r="C4" s="6" t="n">
        <v>504454</v>
      </c>
      <c r="D4" s="6" t="n">
        <v>474459</v>
      </c>
      <c r="E4" s="6" t="n"/>
      <c r="F4" s="6" t="n"/>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81.09%</t>
        </is>
      </c>
      <c r="C4" s="6" t="inlineStr">
        <is>
          <t>70.16%</t>
        </is>
      </c>
      <c r="D4" s="6" t="inlineStr">
        <is>
          <t>56.30%</t>
        </is>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547878</v>
      </c>
      <c r="C4" s="6" t="n">
        <v>504454</v>
      </c>
      <c r="D4" s="6" t="n">
        <v>474459</v>
      </c>
      <c r="E4" s="6" t="n"/>
      <c r="F4" s="6" t="n"/>
      <c r="G4" s="6" t="n">
        <v>456128</v>
      </c>
      <c r="H4" s="6" t="n">
        <v>443521</v>
      </c>
      <c r="I4" s="6" t="n">
        <v>422168</v>
      </c>
      <c r="J4" s="6" t="n">
        <v>397848</v>
      </c>
      <c r="K4" s="6" t="n">
        <v>378047</v>
      </c>
      <c r="L4" s="6" t="n">
        <v>357275</v>
      </c>
      <c r="M4" s="6" t="n">
        <v>322451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81.09%</t>
        </is>
      </c>
      <c r="C4" s="6" t="inlineStr">
        <is>
          <t>70.16%</t>
        </is>
      </c>
      <c r="D4" s="6" t="inlineStr">
        <is>
          <t>56.30%</t>
        </is>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547878</v>
      </c>
      <c r="C4" s="6" t="n">
        <v>504454</v>
      </c>
      <c r="D4" s="6" t="n">
        <v>474459</v>
      </c>
      <c r="E4" s="6" t="n"/>
      <c r="F4" s="6" t="n"/>
      <c r="G4" s="6" t="n">
        <v>456128</v>
      </c>
      <c r="H4" s="6" t="n">
        <v>443521</v>
      </c>
      <c r="I4" s="6" t="n">
        <v>518606</v>
      </c>
      <c r="J4" s="6" t="n">
        <v>500128</v>
      </c>
      <c r="K4" s="6" t="n">
        <v>480067</v>
      </c>
      <c r="L4" s="6" t="n">
        <v>459354</v>
      </c>
      <c r="M4" s="6" t="n">
        <v>425451</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notes for any year FY2014-2020 (confirmed by reading each year's own Annual Report in full, including its Directors'/Strategic Report capital narrative) - only the £ capital amounts themselves.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'Tier 1 Capital' before FY2017 is simply total audited equity (share capital + retained earnings + AFS reserve/other reserves, with no regulatory deduction); from FY2017 a 'Less: Regulatory adjustments' line first appears, reducing Tier 1 Capital slightly below total equity.</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81.09%</t>
        </is>
      </c>
      <c r="C4" s="6" t="inlineStr">
        <is>
          <t>70.16%</t>
        </is>
      </c>
      <c r="D4" s="6" t="inlineStr">
        <is>
          <t>56.30%</t>
        </is>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675668</v>
      </c>
      <c r="C4" s="6" t="n">
        <v>719040</v>
      </c>
      <c r="D4" s="6" t="n">
        <v>842738</v>
      </c>
      <c r="E4" s="6" t="n"/>
      <c r="F4" s="6" t="n"/>
      <c r="G4" s="6" t="n"/>
      <c r="H4" s="6" t="n"/>
      <c r="I4" s="6" t="n"/>
      <c r="J4" s="6" t="n"/>
      <c r="K4" s="6" t="n"/>
      <c r="L4" s="6" t="n"/>
      <c r="M4" s="6" t="n"/>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risk (excluding CCR)</t>
        </is>
      </c>
      <c r="B4" s="6" t="n">
        <v>590477.63</v>
      </c>
      <c r="C4" s="6" t="n">
        <v>660913.86</v>
      </c>
      <c r="D4" s="6" t="n"/>
      <c r="E4" s="6" t="n"/>
      <c r="F4" s="6" t="n"/>
      <c r="G4" s="6" t="n"/>
      <c r="H4" s="6" t="n"/>
      <c r="I4" s="6" t="n"/>
      <c r="J4" s="6" t="n"/>
      <c r="K4" s="6" t="n"/>
      <c r="L4" s="6" t="n"/>
      <c r="M4" s="6" t="n"/>
    </row>
    <row r="5">
      <c r="A5" s="6" t="inlineStr">
        <is>
          <t>Counterparty credit risk (CCR)</t>
        </is>
      </c>
      <c r="B5" s="6" t="n">
        <v>748.8099999999999</v>
      </c>
      <c r="C5" s="6" t="n">
        <v>294.72</v>
      </c>
      <c r="D5" s="6" t="n"/>
      <c r="E5" s="6" t="n"/>
      <c r="F5" s="6" t="n"/>
      <c r="G5" s="6" t="n"/>
      <c r="H5" s="6" t="n"/>
      <c r="I5" s="6" t="n"/>
      <c r="J5" s="6" t="n"/>
      <c r="K5" s="6" t="n"/>
      <c r="L5" s="6" t="n"/>
      <c r="M5" s="6" t="n"/>
    </row>
    <row r="6">
      <c r="A6" s="6" t="inlineStr">
        <is>
          <t>Operational risk</t>
        </is>
      </c>
      <c r="B6" s="6" t="n">
        <v>84197.3</v>
      </c>
      <c r="C6" s="6" t="n">
        <v>57831.9</v>
      </c>
      <c r="D6" s="6" t="n"/>
      <c r="E6" s="6" t="n"/>
      <c r="F6" s="6" t="n"/>
      <c r="G6" s="6" t="n"/>
      <c r="H6" s="6" t="n"/>
      <c r="I6" s="6" t="n"/>
      <c r="J6" s="6" t="n"/>
      <c r="K6" s="6" t="n"/>
      <c r="L6" s="6" t="n"/>
      <c r="M6" s="6" t="n"/>
    </row>
    <row r="7">
      <c r="A7" s="5" t="inlineStr">
        <is>
          <t>Total risk weighted exposure amount</t>
        </is>
      </c>
      <c r="B7" s="5" t="n">
        <v>675423.74</v>
      </c>
      <c r="C7" s="5" t="n">
        <v>719040.48</v>
      </c>
      <c r="D7" s="5" t="n"/>
      <c r="E7" s="5" t="n"/>
      <c r="F7" s="5" t="n"/>
      <c r="G7" s="5" t="n"/>
      <c r="H7" s="5" t="n"/>
      <c r="I7" s="5" t="n"/>
      <c r="J7" s="5" t="n"/>
      <c r="K7" s="5" t="n"/>
      <c r="L7" s="5" t="n"/>
      <c r="M7" s="5" t="n"/>
    </row>
    <row r="9" ht="170" customHeight="1">
      <c r="A9"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Note: the OV1 category-level RWA breakdown table is only publicly available from FY2024 onward (same disclosure-start limitation as the other Pillar 3 sheets in this workbook - see the CET1/Tier 1/etc. sheets' own source note). No FY2023, FY2022 or FY2021 OV1 table exists; only the aggregate Total RWA figure for those years is disclosed (in the KM1 template, see the Total RWAs sheet), not a category-level split.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total exposure measure ($'000)</t>
        </is>
      </c>
      <c r="B4" s="6" t="n">
        <v>1153889</v>
      </c>
      <c r="C4" s="6" t="n">
        <v>1493767</v>
      </c>
      <c r="D4" s="6" t="n">
        <v>1339718</v>
      </c>
      <c r="E4" s="6" t="n"/>
      <c r="F4" s="6" t="n"/>
      <c r="G4" s="6" t="n"/>
      <c r="H4" s="6" t="n"/>
      <c r="I4" s="6" t="n"/>
      <c r="J4" s="6" t="n"/>
      <c r="K4" s="6" t="n"/>
      <c r="L4" s="6" t="n"/>
      <c r="M4" s="6" t="n"/>
    </row>
    <row r="5">
      <c r="A5" s="6" t="inlineStr">
        <is>
          <t>Leverage ratio (%)</t>
        </is>
      </c>
      <c r="B5" s="6" t="inlineStr">
        <is>
          <t>47.48%</t>
        </is>
      </c>
      <c r="C5" s="6" t="inlineStr">
        <is>
          <t>33.77%</t>
        </is>
      </c>
      <c r="D5" s="6" t="inlineStr">
        <is>
          <t>35.41%</t>
        </is>
      </c>
      <c r="E5" s="6" t="n"/>
      <c r="F5" s="6" t="n"/>
      <c r="G5" s="6" t="n"/>
      <c r="H5" s="6" t="n"/>
      <c r="I5" s="6" t="n"/>
      <c r="J5" s="6" t="n"/>
      <c r="K5" s="6" t="n"/>
      <c r="L5" s="6" t="n"/>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($'000)</t>
        </is>
      </c>
      <c r="B4" s="6" t="n">
        <v>1374779</v>
      </c>
      <c r="C4" s="6" t="n">
        <v>328482</v>
      </c>
      <c r="D4" s="6" t="n">
        <v>384069</v>
      </c>
      <c r="E4" s="6" t="n"/>
      <c r="F4" s="6" t="n"/>
      <c r="G4" s="6" t="n"/>
      <c r="H4" s="6" t="n"/>
      <c r="I4" s="6" t="n"/>
      <c r="J4" s="6" t="n"/>
      <c r="K4" s="6" t="n"/>
      <c r="L4" s="6" t="n"/>
      <c r="M4" s="6" t="n"/>
    </row>
    <row r="5">
      <c r="A5" s="6" t="inlineStr">
        <is>
          <t>Total net cash outflows, adjusted value ($'000)</t>
        </is>
      </c>
      <c r="B5" s="6" t="n">
        <v>956680</v>
      </c>
      <c r="C5" s="6" t="n">
        <v>187564</v>
      </c>
      <c r="D5" s="6" t="n">
        <v>136060</v>
      </c>
      <c r="E5" s="6" t="n"/>
      <c r="F5" s="6" t="n"/>
      <c r="G5" s="6" t="n"/>
      <c r="H5" s="6" t="n"/>
      <c r="I5" s="6" t="n"/>
      <c r="J5" s="6" t="n"/>
      <c r="K5" s="6" t="n"/>
      <c r="L5" s="6" t="n"/>
      <c r="M5" s="6" t="n"/>
    </row>
    <row r="6">
      <c r="A6" s="6" t="inlineStr">
        <is>
          <t>Liquidity Coverage Ratio (%)</t>
        </is>
      </c>
      <c r="B6" s="6" t="inlineStr">
        <is>
          <t>143.70%</t>
        </is>
      </c>
      <c r="C6" s="6" t="inlineStr">
        <is>
          <t>175.13%</t>
        </is>
      </c>
      <c r="D6" s="6" t="inlineStr">
        <is>
          <t>282.28%</t>
        </is>
      </c>
      <c r="E6" s="6" t="n"/>
      <c r="F6" s="6" t="n"/>
      <c r="G6" s="6" t="inlineStr">
        <is>
          <t>372%</t>
        </is>
      </c>
      <c r="H6" s="6" t="inlineStr">
        <is>
          <t>255%</t>
        </is>
      </c>
      <c r="I6" s="6" t="inlineStr">
        <is>
          <t>250%</t>
        </is>
      </c>
      <c r="J6" s="6" t="inlineStr">
        <is>
          <t>418%</t>
        </is>
      </c>
      <c r="K6" s="6" t="n"/>
      <c r="L6" s="6" t="n"/>
      <c r="M6" s="6" t="n"/>
    </row>
    <row r="7" ht="60" customHeight="1">
      <c r="A7" s="7" t="inlineStr">
        <is>
          <t>Note: LCR figures are single month-end (31 December) spot observations as disclosed in the KM1 template, not a 12-month trailing average. FY2017-2020 figures are as-stated percentages from the narrative risk section of each year's own Annual Report (no HQLA/net-cash-outflow £ breakdown is disclosed for those years, only the resulting ratio itself) - e.g. Annual Report 2017, p.14: 'the Bank had a Liquidity Coverage Ratio (LCR) of 418%' — https://find-and-update.company-information.service.gov.uk/company/04552753/filing-history/MzIwNjY1MzA2MGFkaXF6a2N4/document?format=pdf&amp;download=0. No LCR percentage of any kind is disclosed in the FY2014-2016 Annual Reports (those years' own narrative only describes the LCR/NSFR regime being newly implemented, without stating a ratio) - blank cells for FY2014-2016 are a genuine disclosure gap, not a missing transcription.</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($'000)</t>
        </is>
      </c>
      <c r="B4" s="6" t="n">
        <v>581574</v>
      </c>
      <c r="C4" s="6" t="n">
        <v>608924</v>
      </c>
      <c r="D4" s="6" t="n">
        <v>694607</v>
      </c>
      <c r="E4" s="6" t="n"/>
      <c r="F4" s="6" t="n"/>
      <c r="G4" s="6" t="n"/>
      <c r="H4" s="6" t="n"/>
      <c r="I4" s="6" t="n"/>
      <c r="J4" s="6" t="n"/>
      <c r="K4" s="6" t="n"/>
      <c r="L4" s="6" t="n"/>
      <c r="M4" s="6" t="n"/>
    </row>
    <row r="5">
      <c r="A5" s="6" t="inlineStr">
        <is>
          <t>Total required stable funding ($'000)</t>
        </is>
      </c>
      <c r="B5" s="6" t="n">
        <v>335509</v>
      </c>
      <c r="C5" s="6" t="n">
        <v>407762</v>
      </c>
      <c r="D5" s="6" t="n">
        <v>511527</v>
      </c>
      <c r="E5" s="6" t="n"/>
      <c r="F5" s="6" t="n"/>
      <c r="G5" s="6" t="n"/>
      <c r="H5" s="6" t="n"/>
      <c r="I5" s="6" t="n"/>
      <c r="J5" s="6" t="n"/>
      <c r="K5" s="6" t="n"/>
      <c r="L5" s="6" t="n"/>
      <c r="M5" s="6" t="n"/>
    </row>
    <row r="6">
      <c r="A6" s="6" t="inlineStr">
        <is>
          <t>Net Stable Funding Ratio (%)</t>
        </is>
      </c>
      <c r="B6" s="6" t="inlineStr">
        <is>
          <t>173.34%</t>
        </is>
      </c>
      <c r="C6" s="6" t="inlineStr">
        <is>
          <t>149.33%</t>
        </is>
      </c>
      <c r="D6" s="6" t="inlineStr">
        <is>
          <t>135.79%</t>
        </is>
      </c>
      <c r="E6" s="6" t="n"/>
      <c r="F6" s="6" t="n"/>
      <c r="G6" s="6" t="n"/>
      <c r="H6" s="6" t="n"/>
      <c r="I6" s="6" t="n"/>
      <c r="J6" s="6" t="n"/>
      <c r="K6" s="6" t="n"/>
      <c r="L6" s="6" t="n"/>
      <c r="M6" s="6" t="n"/>
    </row>
    <row r="8" ht="140" customHeight="1">
      <c r="A8"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Note: ICBC (London) plc's formal Pillar 3/KM1-style RWA and ratio disclosures are only publicly available from FY2023 onward (no Pillar 3 disclosure document, and no risk-weighted-assets figure of any kind, exists anywhere in the Bank's own FY2014-FY2022 Annual Reports - each year's own accounts instead point readers to a web address for the (not separately filed) Pillar 3 disclosure). CET1/Tier 1/Total Capital £ amounts, however, ARE disclosed every year back to FY2014 via each year's own 'Regulatory capital' note (see the CET1/Tier 1/Total Capital sheets' own FY2014-FY2020 source note); it is only the RWA denominator - and therefore the CET1/Tier1/Total Capital Ratio, Total RWAs, RWA Breakdown, Leverage Ratio and NSFR sheets - that remains genuinely undisclosed for FY2014-FY2020. This is a real widening of the Pillar 3 disclosure-start finding already recorded in this note for FY2021-2022 (that gap remains a separate, smaller finding from a follow-up out of this ticket's scope).</t>
        </is>
      </c>
    </row>
  </sheetData>
  <mergeCells count="1">
    <mergeCell ref="A8:M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2024, p.12-13 (31/12/2023 comparative column, the only public source for this year) — https://v.icbc.com.cn/userfiles/Resources/ICBC/haiwai/ICBCLondon/download/2024/2024_pillar_3_disclosure.pdf
MREL is not referenced anywhere in either available Pillar 3 disclosure document; ICBC (London) plc does not appear to be subject to a separate MREL requirement.</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2026-09-06T20:46:42Z</dcterms:created>
  <dcterms:modified xmlns:dcterms="http://purl.org/dc/terms/" xmlns:xsi="http://www.w3.org/2001/XMLSchema-instance" xsi:type="dcterms:W3CDTF">2026-09-06T20:46:42Z</dcterms:modified>
</cp:coreProperties>
</file>