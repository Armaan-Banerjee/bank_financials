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'Overview'!$AU$18:$AY$18</f>
            </numRef>
          </cat>
          <val>
            <numRef>
              <f>'Overview'!$AU$19:$AY$19</f>
            </numRef>
          </val>
        </ser>
        <ser>
          <idx val="1"/>
          <order val="1"/>
          <tx>
            <strRef>
              <f>'Overview'!AT20</f>
            </strRef>
          </tx>
          <spPr>
            <a:ln xmlns:a="http://schemas.openxmlformats.org/drawingml/2006/main">
              <a:prstDash val="solid"/>
            </a:ln>
          </spPr>
          <cat>
            <numRef>
              <f>'Overview'!$AU$18:$AY$18</f>
            </numRef>
          </cat>
          <val>
            <numRef>
              <f>'Overview'!$AU$20:$AY$20</f>
            </numRef>
          </val>
        </ser>
        <ser>
          <idx val="2"/>
          <order val="2"/>
          <tx>
            <strRef>
              <f>'Overview'!AT21</f>
            </strRef>
          </tx>
          <spPr>
            <a:ln xmlns:a="http://schemas.openxmlformats.org/drawingml/2006/main">
              <a:prstDash val="solid"/>
            </a:ln>
          </spPr>
          <cat>
            <numRef>
              <f>'Overview'!$AU$18:$AY$18</f>
            </numRef>
          </cat>
          <val>
            <numRef>
              <f>'Overview'!$AU$21:$AY$21</f>
            </numRef>
          </val>
        </ser>
        <ser>
          <idx val="3"/>
          <order val="3"/>
          <tx>
            <strRef>
              <f>'Overview'!AT22</f>
            </strRef>
          </tx>
          <spPr>
            <a:ln xmlns:a="http://schemas.openxmlformats.org/drawingml/2006/main">
              <a:prstDash val="solid"/>
            </a:ln>
          </spPr>
          <cat>
            <numRef>
              <f>'Overview'!$AU$18:$AY$18</f>
            </numRef>
          </cat>
          <val>
            <numRef>
              <f>'Overview'!$AU$22:$AY$22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'Overview'!BB26</f>
            </strRef>
          </tx>
          <spPr>
            <a:ln xmlns:a="http://schemas.openxmlformats.org/drawingml/2006/main">
              <a:prstDash val="solid"/>
            </a:ln>
          </spPr>
          <cat>
            <numRef>
              <f>'Overview'!$BC$25:$BN$25</f>
            </numRef>
          </cat>
          <val>
            <numRef>
              <f>'Overview'!$BC$26:$BN$26</f>
            </numRef>
          </val>
        </ser>
        <ser>
          <idx val="1"/>
          <order val="1"/>
          <tx>
            <strRef>
              <f>'Overview'!BB27</f>
            </strRef>
          </tx>
          <spPr>
            <a:ln xmlns:a="http://schemas.openxmlformats.org/drawingml/2006/main">
              <a:prstDash val="solid"/>
            </a:ln>
          </spPr>
          <cat>
            <numRef>
              <f>'Overview'!$BC$25:$BN$25</f>
            </numRef>
          </cat>
          <val>
            <numRef>
              <f>'Overview'!$BC$27:$BN$27</f>
            </numRef>
          </val>
        </ser>
        <ser>
          <idx val="2"/>
          <order val="2"/>
          <tx>
            <strRef>
              <f>'Overview'!BB28</f>
            </strRef>
          </tx>
          <spPr>
            <a:ln xmlns:a="http://schemas.openxmlformats.org/drawingml/2006/main">
              <a:prstDash val="solid"/>
            </a:ln>
          </spPr>
          <cat>
            <numRef>
              <f>'Overview'!$BC$25:$BN$25</f>
            </numRef>
          </cat>
          <val>
            <numRef>
              <f>'Overview'!$BC$28:$BN$28</f>
            </numRef>
          </val>
        </ser>
        <ser>
          <idx val="3"/>
          <order val="3"/>
          <tx>
            <strRef>
              <f>'Overview'!BB29</f>
            </strRef>
          </tx>
          <spPr>
            <a:ln xmlns:a="http://schemas.openxmlformats.org/drawingml/2006/main">
              <a:prstDash val="solid"/>
            </a:ln>
          </spPr>
          <cat>
            <numRef>
              <f>'Overview'!$BC$25:$BN$25</f>
            </numRef>
          </cat>
          <val>
            <numRef>
              <f>'Overview'!$BC$29:$BN$29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'Overview'!BQ6</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'Overview'!$BR$6:$CC$6</f>
            </numRef>
          </val>
          <smooth val="0"/>
        </ser>
        <ser>
          <idx val="1"/>
          <order val="1"/>
          <tx>
            <strRef>
              <f>'Overview'!BQ7</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'Overview'!$BR$7:$CC$7</f>
            </numRef>
          </val>
          <smooth val="0"/>
        </ser>
        <ser>
          <idx val="2"/>
          <order val="2"/>
          <tx>
            <strRef>
              <f>'Overview'!BQ8</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'Overview'!$BR$8:$CC$8</f>
            </numRef>
          </val>
          <smooth val="0"/>
        </ser>
        <ser>
          <idx val="3"/>
          <order val="3"/>
          <tx>
            <strRef>
              <f>'Overview'!BQ9</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'Overview'!$BR$9:$CC$9</f>
            </numRef>
          </val>
          <smooth val="0"/>
        </ser>
        <ser>
          <idx val="4"/>
          <order val="4"/>
          <tx>
            <strRef>
              <f>'Overview'!BQ10</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'Overview'!$BR$10:$CC$10</f>
            </numRef>
          </val>
          <smooth val="0"/>
        </ser>
        <ser>
          <idx val="5"/>
          <order val="5"/>
          <tx>
            <strRef>
              <f>'Overview'!BQ11</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'Overview'!$BR$11:$CC$11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3052026/nwb-plc-pillar-3-q1-2026.pdf" TargetMode="External" Id="rId13"/><Relationship Type="http://schemas.openxmlformats.org/officeDocument/2006/relationships/hyperlink" Target="https://investors.natwestgroup.com/~/media/Files/R/RBS-IR-V2/results-center/12082026/nwb-plc-pillar-3-hy-2026.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7022023/nwb-plc-pillar-3-report.pdf" TargetMode="External" Id="rId16"/><Relationship Type="http://schemas.openxmlformats.org/officeDocument/2006/relationships/hyperlink" Target="https://investors.natwestgroup.com/~/media/Files/R/RBS-IR-V2/results-center/17022023/nwb-plc-pillar-3-report.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3-11-2023/natwest-bank-plc-pillar-3-q3-2023.pdf" TargetMode="External" Id="rId19"/><Relationship Type="http://schemas.openxmlformats.org/officeDocument/2006/relationships/hyperlink" Target="https://investors.natwestgroup.com/~/media/Files/R/RBS-IR-V2/results-center/13-11-2023/natwest-bank-plc-pillar-3-q3-2023.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2112024/nwb-plc-pillar-3-q3-2024.pdf" TargetMode="External" Id="rId22"/><Relationship Type="http://schemas.openxmlformats.org/officeDocument/2006/relationships/hyperlink" Target="https://investors.natwestgroup.com/~/media/Files/R/RBS-IR-V2/results-center/12112024/nwb-plc-pillar-3-q3-2024.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1112025/11112025-nwb-pillar-3-report.pdf" TargetMode="External" Id="rId25"/><Relationship Type="http://schemas.openxmlformats.org/officeDocument/2006/relationships/hyperlink" Target="https://investors.natwestgroup.com/~/media/Files/R/RBS-IR-V2/results-center/11112025/11112025-nwb-pillar-3-report.pdf" TargetMode="External" Id="rId26"/><Relationship Type="http://schemas.openxmlformats.org/officeDocument/2006/relationships/hyperlink" Target="https://investors.natwestgroup.com/~/media/Files/R/RBS-IR-V2/results-center/13052026/nwb-plc-pillar-3-q1-2026.pdf" TargetMode="External" Id="rId27"/><Relationship Type="http://schemas.openxmlformats.org/officeDocument/2006/relationships/hyperlink" Target="https://investors.natwestgroup.com/~/media/Files/R/RBS-IR-V2/results-center/12082026/nwb-plc-pillar-3-hy-2026.pdf" TargetMode="External" Id="rId28"/><Relationship Type="http://schemas.openxmlformats.org/officeDocument/2006/relationships/hyperlink" Target="https://investors.natwestgroup.com/~/media/Files/R/RBS-IR-V2/results-center/17022023/nwb-plc-pillar-3-report.pdf" TargetMode="External" Id="rId29"/><Relationship Type="http://schemas.openxmlformats.org/officeDocument/2006/relationships/hyperlink" Target="https://investors.natwestgroup.com/~/media/Files/R/RBS-IR-V2/results-center/17022023/nwb-plc-pillar-3-report.pdf" TargetMode="External" Id="rId30"/><Relationship Type="http://schemas.openxmlformats.org/officeDocument/2006/relationships/hyperlink" Target="https://investors.natwestgroup.com/~/media/Files/R/RBS-IR-V2/results-center/17022023/nwb-plc-pillar-3-report.pdf" TargetMode="External" Id="rId31"/><Relationship Type="http://schemas.openxmlformats.org/officeDocument/2006/relationships/hyperlink" Target="https://investors.natwestgroup.com/~/media/Files/R/RBS-IR-V2/results-center/13-11-2023/natwest-bank-plc-pillar-3-q3-2023.pdf" TargetMode="External" Id="rId32"/><Relationship Type="http://schemas.openxmlformats.org/officeDocument/2006/relationships/hyperlink" Target="https://investors.natwestgroup.com/~/media/Files/R/RBS-IR-V2/results-center/13-11-2023/natwest-bank-plc-pillar-3-q3-2023.pdf" TargetMode="External" Id="rId33"/><Relationship Type="http://schemas.openxmlformats.org/officeDocument/2006/relationships/hyperlink" Target="https://investors.natwestgroup.com/~/media/Files/R/RBS-IR-V2/results-center/13-11-2023/natwest-bank-plc-pillar-3-q3-2023.pdf" TargetMode="External" Id="rId34"/><Relationship Type="http://schemas.openxmlformats.org/officeDocument/2006/relationships/hyperlink" Target="https://investors.natwestgroup.com/~/media/Files/R/RBS-IR-V2/results-center/12112024/nwb-plc-pillar-3-q3-2024.pdf" TargetMode="External" Id="rId35"/><Relationship Type="http://schemas.openxmlformats.org/officeDocument/2006/relationships/hyperlink" Target="https://investors.natwestgroup.com/~/media/Files/R/RBS-IR-V2/results-center/12112024/nwb-plc-pillar-3-q3-2024.pdf" TargetMode="External" Id="rId36"/><Relationship Type="http://schemas.openxmlformats.org/officeDocument/2006/relationships/hyperlink" Target="https://investors.natwestgroup.com/~/media/Files/R/RBS-IR-V2/results-center/12112024/nwb-plc-pillar-3-q3-2024.pdf" TargetMode="External" Id="rId37"/><Relationship Type="http://schemas.openxmlformats.org/officeDocument/2006/relationships/hyperlink" Target="https://investors.natwestgroup.com/~/media/Files/R/RBS-IR-V2/results-center/11112025/11112025-nwb-pillar-3-report.pdf" TargetMode="External" Id="rId38"/><Relationship Type="http://schemas.openxmlformats.org/officeDocument/2006/relationships/hyperlink" Target="https://investors.natwestgroup.com/~/media/Files/R/RBS-IR-V2/results-center/11112025/11112025-nwb-pillar-3-report.pdf" TargetMode="External" Id="rId39"/><Relationship Type="http://schemas.openxmlformats.org/officeDocument/2006/relationships/hyperlink" Target="https://investors.natwestgroup.com/~/media/Files/R/RBS-IR-V2/results-center/11112025/11112025-nwb-pillar-3-report.pdf" TargetMode="External" Id="rId40"/><Relationship Type="http://schemas.openxmlformats.org/officeDocument/2006/relationships/hyperlink" Target="https://investors.natwestgroup.com/~/media/Files/R/RBS-IR-V2/results-center/13052026/nwb-plc-pillar-3-q1-2026.pdf" TargetMode="External" Id="rId41"/><Relationship Type="http://schemas.openxmlformats.org/officeDocument/2006/relationships/hyperlink" Target="https://investors.natwestgroup.com/~/media/Files/R/RBS-IR-V2/results-center/12082026/nwb-plc-pillar-3-hy-2026.pdf" TargetMode="External" Id="rId42"/><Relationship Type="http://schemas.openxmlformats.org/officeDocument/2006/relationships/hyperlink" Target="https://investors.natwestgroup.com/~/media/Files/R/RBS-IR-V2/results-center/17022023/nwb-plc-pillar-3-report.pdf" TargetMode="External" Id="rId43"/><Relationship Type="http://schemas.openxmlformats.org/officeDocument/2006/relationships/hyperlink" Target="https://investors.natwestgroup.com/~/media/Files/R/RBS-IR-V2/results-center/17022023/nwb-plc-pillar-3-report.pdf" TargetMode="External" Id="rId44"/><Relationship Type="http://schemas.openxmlformats.org/officeDocument/2006/relationships/hyperlink" Target="https://investors.natwestgroup.com/~/media/Files/R/RBS-IR-V2/results-center/17022023/nwb-plc-pillar-3-report.pdf" TargetMode="External" Id="rId45"/><Relationship Type="http://schemas.openxmlformats.org/officeDocument/2006/relationships/hyperlink" Target="https://investors.natwestgroup.com/~/media/Files/R/RBS-IR-V2/results-center/13-11-2023/natwest-bank-plc-pillar-3-q3-2023.pdf" TargetMode="External" Id="rId46"/><Relationship Type="http://schemas.openxmlformats.org/officeDocument/2006/relationships/hyperlink" Target="https://investors.natwestgroup.com/~/media/Files/R/RBS-IR-V2/results-center/13-11-2023/natwest-bank-plc-pillar-3-q3-2023.pdf" TargetMode="External" Id="rId47"/><Relationship Type="http://schemas.openxmlformats.org/officeDocument/2006/relationships/hyperlink" Target="https://investors.natwestgroup.com/~/media/Files/R/RBS-IR-V2/results-center/13-11-2023/natwest-bank-plc-pillar-3-q3-2023.pdf" TargetMode="External" Id="rId48"/><Relationship Type="http://schemas.openxmlformats.org/officeDocument/2006/relationships/hyperlink" Target="https://investors.natwestgroup.com/~/media/Files/R/RBS-IR-V2/results-center/12112024/nwb-plc-pillar-3-q3-2024.pdf" TargetMode="External" Id="rId49"/><Relationship Type="http://schemas.openxmlformats.org/officeDocument/2006/relationships/hyperlink" Target="https://investors.natwestgroup.com/~/media/Files/R/RBS-IR-V2/results-center/12112024/nwb-plc-pillar-3-q3-2024.pdf" TargetMode="External" Id="rId50"/><Relationship Type="http://schemas.openxmlformats.org/officeDocument/2006/relationships/hyperlink" Target="https://investors.natwestgroup.com/~/media/Files/R/RBS-IR-V2/results-center/12112024/nwb-plc-pillar-3-q3-2024.pdf" TargetMode="External" Id="rId51"/><Relationship Type="http://schemas.openxmlformats.org/officeDocument/2006/relationships/hyperlink" Target="https://investors.natwestgroup.com/~/media/Files/R/RBS-IR-V2/results-center/11112025/11112025-nwb-pillar-3-report.pdf" TargetMode="External" Id="rId52"/><Relationship Type="http://schemas.openxmlformats.org/officeDocument/2006/relationships/hyperlink" Target="https://investors.natwestgroup.com/~/media/Files/R/RBS-IR-V2/results-center/11112025/11112025-nwb-pillar-3-report.pdf" TargetMode="External" Id="rId53"/><Relationship Type="http://schemas.openxmlformats.org/officeDocument/2006/relationships/hyperlink" Target="https://investors.natwestgroup.com/~/media/Files/R/RBS-IR-V2/results-center/11112025/11112025-nwb-pillar-3-report.pdf" TargetMode="External" Id="rId54"/><Relationship Type="http://schemas.openxmlformats.org/officeDocument/2006/relationships/hyperlink" Target="https://investors.natwestgroup.com/~/media/Files/R/RBS-IR-V2/results-center/13052026/nwb-plc-pillar-3-q1-2026.pdf" TargetMode="External" Id="rId55"/><Relationship Type="http://schemas.openxmlformats.org/officeDocument/2006/relationships/hyperlink" Target="https://investors.natwestgroup.com/~/media/Files/R/RBS-IR-V2/results-center/12082026/nwb-plc-pillar-3-hy-2026.pdf" TargetMode="External" Id="rId56"/><Relationship Type="http://schemas.openxmlformats.org/officeDocument/2006/relationships/hyperlink" Target="https://investors.natwestgroup.com/~/media/Files/R/RBS-IR-V2/results-center/17022023/nwb-plc-pillar-3-report.pdf" TargetMode="External" Id="rId57"/><Relationship Type="http://schemas.openxmlformats.org/officeDocument/2006/relationships/hyperlink" Target="https://investors.natwestgroup.com/~/media/Files/R/RBS-IR-V2/results-center/17022023/nwb-plc-pillar-3-report.pdf" TargetMode="External" Id="rId58"/><Relationship Type="http://schemas.openxmlformats.org/officeDocument/2006/relationships/hyperlink" Target="https://investors.natwestgroup.com/~/media/Files/R/RBS-IR-V2/results-center/17022023/nwb-plc-pillar-3-report.pdf" TargetMode="External" Id="rId59"/><Relationship Type="http://schemas.openxmlformats.org/officeDocument/2006/relationships/hyperlink" Target="https://investors.natwestgroup.com/~/media/Files/R/RBS-IR-V2/results-center/13-11-2023/natwest-bank-plc-pillar-3-q3-2023.pdf" TargetMode="External" Id="rId60"/><Relationship Type="http://schemas.openxmlformats.org/officeDocument/2006/relationships/hyperlink" Target="https://investors.natwestgroup.com/~/media/Files/R/RBS-IR-V2/results-center/13-11-2023/natwest-bank-plc-pillar-3-q3-2023.pdf" TargetMode="External" Id="rId61"/><Relationship Type="http://schemas.openxmlformats.org/officeDocument/2006/relationships/hyperlink" Target="https://investors.natwestgroup.com/~/media/Files/R/RBS-IR-V2/results-center/13-11-2023/natwest-bank-plc-pillar-3-q3-2023.pdf" TargetMode="External" Id="rId62"/><Relationship Type="http://schemas.openxmlformats.org/officeDocument/2006/relationships/hyperlink" Target="https://investors.natwestgroup.com/~/media/Files/R/RBS-IR-V2/results-center/12112024/nwb-plc-pillar-3-q3-2024.pdf" TargetMode="External" Id="rId63"/><Relationship Type="http://schemas.openxmlformats.org/officeDocument/2006/relationships/hyperlink" Target="https://investors.natwestgroup.com/~/media/Files/R/RBS-IR-V2/results-center/12112024/nwb-plc-pillar-3-q3-2024.pdf" TargetMode="External" Id="rId64"/><Relationship Type="http://schemas.openxmlformats.org/officeDocument/2006/relationships/hyperlink" Target="https://investors.natwestgroup.com/~/media/Files/R/RBS-IR-V2/results-center/12112024/nwb-plc-pillar-3-q3-2024.pdf" TargetMode="External" Id="rId65"/><Relationship Type="http://schemas.openxmlformats.org/officeDocument/2006/relationships/hyperlink" Target="https://investors.natwestgroup.com/~/media/Files/R/RBS-IR-V2/results-center/11112025/11112025-nwb-pillar-3-report.pdf" TargetMode="External" Id="rId66"/><Relationship Type="http://schemas.openxmlformats.org/officeDocument/2006/relationships/hyperlink" Target="https://investors.natwestgroup.com/~/media/Files/R/RBS-IR-V2/results-center/11112025/11112025-nwb-pillar-3-report.pdf" TargetMode="External" Id="rId67"/><Relationship Type="http://schemas.openxmlformats.org/officeDocument/2006/relationships/hyperlink" Target="https://investors.natwestgroup.com/~/media/Files/R/RBS-IR-V2/results-center/11112025/11112025-nwb-pillar-3-report.pdf" TargetMode="External" Id="rId68"/><Relationship Type="http://schemas.openxmlformats.org/officeDocument/2006/relationships/hyperlink" Target="https://investors.natwestgroup.com/~/media/Files/R/RBS-IR-V2/results-center/13052026/nwb-plc-pillar-3-q1-2026.pdf" TargetMode="External" Id="rId69"/><Relationship Type="http://schemas.openxmlformats.org/officeDocument/2006/relationships/hyperlink" Target="https://investors.natwestgroup.com/~/media/Files/R/RBS-IR-V2/results-center/12082026/nwb-plc-pillar-3-hy-2026.pdf" TargetMode="External" Id="rId70"/><Relationship Type="http://schemas.openxmlformats.org/officeDocument/2006/relationships/hyperlink" Target="https://investors.natwestgroup.com/~/media/Files/R/RBS-IR-V2/results-center/17022023/nwb-plc-pillar-3-report.pdf" TargetMode="External" Id="rId71"/><Relationship Type="http://schemas.openxmlformats.org/officeDocument/2006/relationships/hyperlink" Target="https://investors.natwestgroup.com/~/media/Files/R/RBS-IR-V2/results-center/17022023/nwb-plc-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3-11-2023/natwest-bank-plc-pillar-3-q3-2023.pdf" TargetMode="External" Id="rId74"/><Relationship Type="http://schemas.openxmlformats.org/officeDocument/2006/relationships/hyperlink" Target="https://investors.natwestgroup.com/~/media/Files/R/RBS-IR-V2/results-center/13-11-2023/natwest-bank-plc-pillar-3-q3-2023.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2112024/nwb-plc-pillar-3-q3-2024.pdf" TargetMode="External" Id="rId77"/><Relationship Type="http://schemas.openxmlformats.org/officeDocument/2006/relationships/hyperlink" Target="https://investors.natwestgroup.com/~/media/Files/R/RBS-IR-V2/results-center/12112024/nwb-plc-pillar-3-q3-2024.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1112025/11112025-nwb-pillar-3-report.pdf" TargetMode="External" Id="rId80"/><Relationship Type="http://schemas.openxmlformats.org/officeDocument/2006/relationships/hyperlink" Target="https://investors.natwestgroup.com/~/media/Files/R/RBS-IR-V2/results-center/11112025/11112025-nwb-pillar-3-report.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3052026/nwb-plc-pillar-3-q1-2026.pdf" TargetMode="External" Id="rId83"/><Relationship Type="http://schemas.openxmlformats.org/officeDocument/2006/relationships/hyperlink" Target="https://investors.natwestgroup.com/~/media/Files/R/RBS-IR-V2/results-center/12082026/nwb-plc-pillar-3-hy-2026.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3052026/nwb-plc-pillar-3-q1-2026.pdf" TargetMode="External" Id="rId97"/><Relationship Type="http://schemas.openxmlformats.org/officeDocument/2006/relationships/hyperlink" Target="https://investors.natwestgroup.com/~/media/Files/R/RBS-IR-V2/results-center/12082026/nwb-plc-pillar-3-hy-2026.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7022023/nwb-plc-pillar-3-report.pdf" TargetMode="External" Id="rId100"/><Relationship Type="http://schemas.openxmlformats.org/officeDocument/2006/relationships/hyperlink" Target="https://investors.natwestgroup.com/~/media/Files/R/RBS-IR-V2/results-center/17022023/nwb-plc-pillar-3-report.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3-11-2023/natwest-bank-plc-pillar-3-q3-2023.pdf" TargetMode="External" Id="rId103"/><Relationship Type="http://schemas.openxmlformats.org/officeDocument/2006/relationships/hyperlink" Target="https://investors.natwestgroup.com/~/media/Files/R/RBS-IR-V2/results-center/13-11-2023/natwest-bank-plc-pillar-3-q3-2023.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2112024/nwb-plc-pillar-3-q3-2024.pdf" TargetMode="External" Id="rId106"/><Relationship Type="http://schemas.openxmlformats.org/officeDocument/2006/relationships/hyperlink" Target="https://investors.natwestgroup.com/~/media/Files/R/RBS-IR-V2/results-center/12112024/nwb-plc-pillar-3-q3-2024.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1112025/11112025-nwb-pillar-3-report.pdf" TargetMode="External" Id="rId109"/><Relationship Type="http://schemas.openxmlformats.org/officeDocument/2006/relationships/hyperlink" Target="https://investors.natwestgroup.com/~/media/Files/R/RBS-IR-V2/results-center/11112025/11112025-nwb-pillar-3-report.pdf" TargetMode="External" Id="rId110"/><Relationship Type="http://schemas.openxmlformats.org/officeDocument/2006/relationships/hyperlink" Target="https://investors.natwestgroup.com/~/media/Files/R/RBS-IR-V2/results-center/13052026/nwb-plc-pillar-3-q1-2026.pdf" TargetMode="External" Id="rId111"/><Relationship Type="http://schemas.openxmlformats.org/officeDocument/2006/relationships/hyperlink" Target="https://investors.natwestgroup.com/~/media/Files/R/RBS-IR-V2/results-center/12082026/nwb-plc-pillar-3-hy-2026.pdf" TargetMode="External" Id="rId112"/><Relationship Type="http://schemas.openxmlformats.org/officeDocument/2006/relationships/hyperlink" Target="https://investors.natwestgroup.com/~/media/Files/R/RBS-IR-V2/results-center/17022023/nwb-plc-pillar-3-report.pdf" TargetMode="External" Id="rId113"/><Relationship Type="http://schemas.openxmlformats.org/officeDocument/2006/relationships/hyperlink" Target="https://investors.natwestgroup.com/~/media/Files/R/RBS-IR-V2/results-center/17022023/nwb-plc-pillar-3-report.pdf" TargetMode="External" Id="rId114"/><Relationship Type="http://schemas.openxmlformats.org/officeDocument/2006/relationships/hyperlink" Target="https://investors.natwestgroup.com/~/media/Files/R/RBS-IR-V2/results-center/17022023/nwb-plc-pillar-3-report.pdf" TargetMode="External" Id="rId115"/><Relationship Type="http://schemas.openxmlformats.org/officeDocument/2006/relationships/hyperlink" Target="https://investors.natwestgroup.com/~/media/Files/R/RBS-IR-V2/results-center/13-11-2023/natwest-bank-plc-pillar-3-q3-2023.pdf" TargetMode="External" Id="rId116"/><Relationship Type="http://schemas.openxmlformats.org/officeDocument/2006/relationships/hyperlink" Target="https://investors.natwestgroup.com/~/media/Files/R/RBS-IR-V2/results-center/13-11-2023/natwest-bank-plc-pillar-3-q3-2023.pdf" TargetMode="External" Id="rId117"/><Relationship Type="http://schemas.openxmlformats.org/officeDocument/2006/relationships/hyperlink" Target="https://investors.natwestgroup.com/~/media/Files/R/RBS-IR-V2/results-center/13-11-2023/natwest-bank-plc-pillar-3-q3-2023.pdf" TargetMode="External" Id="rId118"/><Relationship Type="http://schemas.openxmlformats.org/officeDocument/2006/relationships/hyperlink" Target="https://investors.natwestgroup.com/~/media/Files/R/RBS-IR-V2/results-center/12112024/nwb-plc-pillar-3-q3-2024.pdf" TargetMode="External" Id="rId119"/><Relationship Type="http://schemas.openxmlformats.org/officeDocument/2006/relationships/hyperlink" Target="https://investors.natwestgroup.com/~/media/Files/R/RBS-IR-V2/results-center/12112024/nwb-plc-pillar-3-q3-2024.pdf" TargetMode="External" Id="rId120"/><Relationship Type="http://schemas.openxmlformats.org/officeDocument/2006/relationships/hyperlink" Target="https://investors.natwestgroup.com/~/media/Files/R/RBS-IR-V2/results-center/12112024/nwb-plc-pillar-3-q3-2024.pdf" TargetMode="External" Id="rId121"/><Relationship Type="http://schemas.openxmlformats.org/officeDocument/2006/relationships/hyperlink" Target="https://investors.natwestgroup.com/~/media/Files/R/RBS-IR-V2/results-center/11112025/11112025-nwb-pillar-3-report.pdf" TargetMode="External" Id="rId122"/><Relationship Type="http://schemas.openxmlformats.org/officeDocument/2006/relationships/hyperlink" Target="https://investors.natwestgroup.com/~/media/Files/R/RBS-IR-V2/results-center/11112025/11112025-nwb-pillar-3-report.pdf" TargetMode="External" Id="rId123"/><Relationship Type="http://schemas.openxmlformats.org/officeDocument/2006/relationships/hyperlink" Target="https://investors.natwestgroup.com/~/media/Files/R/RBS-IR-V2/results-center/11112025/11112025-nwb-pillar-3-report.pdf" TargetMode="External" Id="rId124"/><Relationship Type="http://schemas.openxmlformats.org/officeDocument/2006/relationships/hyperlink" Target="https://investors.natwestgroup.com/~/media/Files/R/RBS-IR-V2/results-center/13052026/nwb-plc-pillar-3-q1-2026.pdf" TargetMode="External" Id="rId125"/><Relationship Type="http://schemas.openxmlformats.org/officeDocument/2006/relationships/hyperlink" Target="https://investors.natwestgroup.com/~/media/Files/R/RBS-IR-V2/results-center/12082026/nwb-plc-pillar-3-hy-2026.pdf" TargetMode="External" Id="rId126"/><Relationship Type="http://schemas.openxmlformats.org/officeDocument/2006/relationships/hyperlink" Target="https://investors.natwestgroup.com/~/media/Files/R/RBS-IR-V2/results-center/17022023/nwb-plc-pillar-3-report.pdf" TargetMode="External" Id="rId127"/><Relationship Type="http://schemas.openxmlformats.org/officeDocument/2006/relationships/hyperlink" Target="https://investors.natwestgroup.com/~/media/Files/R/RBS-IR-V2/results-center/17022023/nwb-plc-pillar-3-report.pdf" TargetMode="External" Id="rId128"/><Relationship Type="http://schemas.openxmlformats.org/officeDocument/2006/relationships/hyperlink" Target="https://investors.natwestgroup.com/~/media/Files/R/RBS-IR-V2/results-center/17022023/nwb-plc-pillar-3-report.pdf" TargetMode="External" Id="rId129"/><Relationship Type="http://schemas.openxmlformats.org/officeDocument/2006/relationships/hyperlink" Target="https://investors.natwestgroup.com/~/media/Files/R/RBS-IR-V2/results-center/13-11-2023/natwest-bank-plc-pillar-3-q3-2023.pdf" TargetMode="External" Id="rId130"/><Relationship Type="http://schemas.openxmlformats.org/officeDocument/2006/relationships/hyperlink" Target="https://investors.natwestgroup.com/~/media/Files/R/RBS-IR-V2/results-center/13-11-2023/natwest-bank-plc-pillar-3-q3-2023.pdf" TargetMode="External" Id="rId131"/><Relationship Type="http://schemas.openxmlformats.org/officeDocument/2006/relationships/hyperlink" Target="https://investors.natwestgroup.com/~/media/Files/R/RBS-IR-V2/results-center/13-11-2023/natwest-bank-plc-pillar-3-q3-2023.pdf" TargetMode="External" Id="rId132"/><Relationship Type="http://schemas.openxmlformats.org/officeDocument/2006/relationships/hyperlink" Target="https://investors.natwestgroup.com/~/media/Files/R/RBS-IR-V2/results-center/12112024/nwb-plc-pillar-3-q3-2024.pdf" TargetMode="External" Id="rId133"/><Relationship Type="http://schemas.openxmlformats.org/officeDocument/2006/relationships/hyperlink" Target="https://investors.natwestgroup.com/~/media/Files/R/RBS-IR-V2/results-center/12112024/nwb-plc-pillar-3-q3-2024.pdf" TargetMode="External" Id="rId134"/><Relationship Type="http://schemas.openxmlformats.org/officeDocument/2006/relationships/hyperlink" Target="https://investors.natwestgroup.com/~/media/Files/R/RBS-IR-V2/results-center/12112024/nwb-plc-pillar-3-q3-2024.pdf" TargetMode="External" Id="rId135"/><Relationship Type="http://schemas.openxmlformats.org/officeDocument/2006/relationships/hyperlink" Target="https://investors.natwestgroup.com/~/media/Files/R/RBS-IR-V2/results-center/11112025/11112025-nwb-pillar-3-report.pdf" TargetMode="External" Id="rId136"/><Relationship Type="http://schemas.openxmlformats.org/officeDocument/2006/relationships/hyperlink" Target="https://investors.natwestgroup.com/~/media/Files/R/RBS-IR-V2/results-center/11112025/11112025-nwb-pillar-3-report.pdf" TargetMode="External" Id="rId137"/><Relationship Type="http://schemas.openxmlformats.org/officeDocument/2006/relationships/hyperlink" Target="https://investors.natwestgroup.com/~/media/Files/R/RBS-IR-V2/results-center/11112025/11112025-nwb-pillar-3-report.pdf" TargetMode="External" Id="rId138"/><Relationship Type="http://schemas.openxmlformats.org/officeDocument/2006/relationships/hyperlink" Target="https://investors.natwestgroup.com/~/media/Files/R/RBS-IR-V2/results-center/13052026/nwb-plc-pillar-3-q1-2026.pdf" TargetMode="External" Id="rId139"/><Relationship Type="http://schemas.openxmlformats.org/officeDocument/2006/relationships/hyperlink" Target="https://investors.natwestgroup.com/~/media/Files/R/RBS-IR-V2/results-center/12082026/nwb-plc-pillar-3-hy-2026.pdf" TargetMode="External" Id="rId140"/></Relationships>
</file>

<file path=xl/worksheets/sheet1.xml><?xml version="1.0" encoding="utf-8"?>
<worksheet xmlns="http://schemas.openxmlformats.org/spreadsheetml/2006/main">
  <sheetPr>
    <outlinePr summaryBelow="1" summaryRight="1"/>
    <pageSetUpPr/>
  </sheetPr>
  <dimension ref="A1:CC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R5" t="inlineStr">
        <is>
          <t>FY2014</t>
        </is>
      </c>
      <c r="BS5" t="inlineStr">
        <is>
          <t>FY2015</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Q6" t="inlineStr">
        <is>
          <t>CET1 Ratio</t>
        </is>
      </c>
      <c r="BR6" t="n">
        <v>13.9</v>
      </c>
      <c r="BS6" t="n">
        <v>11.6</v>
      </c>
      <c r="BT6" t="n">
        <v>16.1</v>
      </c>
      <c r="BU6" t="n">
        <v>23.5</v>
      </c>
      <c r="BV6" t="n">
        <v>17.4</v>
      </c>
      <c r="BW6" t="n">
        <v>15.9</v>
      </c>
      <c r="BX6" t="n">
        <v>17.8</v>
      </c>
      <c r="BY6" t="n">
        <v>16.1</v>
      </c>
      <c r="BZ6" t="n">
        <v>11.3</v>
      </c>
      <c r="CA6" t="n">
        <v>11.6</v>
      </c>
      <c r="CB6" t="n">
        <v>11.4</v>
      </c>
      <c r="CC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Q7" t="inlineStr">
        <is>
          <t>Tier 1 Ratio</t>
        </is>
      </c>
      <c r="BR7" t="n">
        <v>14</v>
      </c>
      <c r="BS7" t="n">
        <v>11.6</v>
      </c>
      <c r="BT7" t="n">
        <v>16.1</v>
      </c>
      <c r="BU7" t="n">
        <v>23.5</v>
      </c>
      <c r="BV7" t="n">
        <v>20.4</v>
      </c>
      <c r="BW7" t="n">
        <v>18.6</v>
      </c>
      <c r="BX7" t="n">
        <v>20.2</v>
      </c>
      <c r="BY7" t="n">
        <v>18.6</v>
      </c>
      <c r="BZ7" t="n">
        <v>13.3</v>
      </c>
      <c r="CA7" t="n">
        <v>13.4</v>
      </c>
      <c r="CB7" t="n">
        <v>13.9</v>
      </c>
      <c r="CC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Q8" t="inlineStr">
        <is>
          <t>Total Capital Ratio</t>
        </is>
      </c>
      <c r="BR8" t="n">
        <v>21.7</v>
      </c>
      <c r="BS8" t="n">
        <v>19.6</v>
      </c>
      <c r="BT8" t="n">
        <v>23.3</v>
      </c>
      <c r="BU8" t="n">
        <v>30.9</v>
      </c>
      <c r="BV8" t="n">
        <v>24.5</v>
      </c>
      <c r="BW8" t="n">
        <v>22</v>
      </c>
      <c r="BX8" t="n">
        <v>23.9</v>
      </c>
      <c r="BY8" t="n">
        <v>22</v>
      </c>
      <c r="BZ8" t="n">
        <v>15.9</v>
      </c>
      <c r="CA8" t="n">
        <v>16.3</v>
      </c>
      <c r="CB8" t="n">
        <v>16.6</v>
      </c>
      <c r="CC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Q9" t="inlineStr">
        <is>
          <t>Leverage Ratio</t>
        </is>
      </c>
      <c r="BS9" t="n">
        <v>4.7</v>
      </c>
      <c r="BT9" t="n">
        <v>6.1</v>
      </c>
      <c r="BU9" t="n">
        <v>6.2</v>
      </c>
      <c r="BV9" t="n">
        <v>5.2</v>
      </c>
      <c r="BW9" t="n">
        <v>5</v>
      </c>
      <c r="BX9" t="n">
        <v>4.7</v>
      </c>
      <c r="BY9" t="n">
        <v>3.8</v>
      </c>
      <c r="BZ9" t="n">
        <v>4.4</v>
      </c>
      <c r="CA9" t="n">
        <v>4.5</v>
      </c>
      <c r="CB9" t="n">
        <v>4.4</v>
      </c>
      <c r="CC9" t="n">
        <v>4.2</v>
      </c>
    </row>
    <row r="10">
      <c r="BQ10" t="inlineStr">
        <is>
          <t>LCR (UK DoLSub)</t>
        </is>
      </c>
      <c r="BV10" t="n">
        <v>153</v>
      </c>
      <c r="BW10" t="n">
        <v>145</v>
      </c>
      <c r="BX10" t="n">
        <v>152</v>
      </c>
      <c r="BY10" t="n">
        <v>169</v>
      </c>
      <c r="BZ10" t="n">
        <v>131</v>
      </c>
      <c r="CA10" t="n">
        <v>138</v>
      </c>
      <c r="CB10" t="n">
        <v>147</v>
      </c>
      <c r="CC10" t="n">
        <v>151</v>
      </c>
    </row>
    <row r="11">
      <c r="A11" s="3" t="inlineStr">
        <is>
          <t>Profit &amp; Loss Summary (£m (NWB Group basis - see BASIS NOTE))</t>
        </is>
      </c>
      <c r="BQ11" t="inlineStr">
        <is>
          <t>NSFR (UK DoLSub)</t>
        </is>
      </c>
      <c r="BV11" t="n">
        <v>144</v>
      </c>
      <c r="BW11" t="n">
        <v>137</v>
      </c>
      <c r="BX11" t="n">
        <v>144</v>
      </c>
      <c r="BY11" t="n">
        <v>151</v>
      </c>
      <c r="BZ11" t="n">
        <v>137</v>
      </c>
      <c r="CA11" t="n">
        <v>126</v>
      </c>
      <c r="CB11" t="n">
        <v>136</v>
      </c>
      <c r="CC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AU18" t="inlineStr">
        <is>
          <t>FY2021</t>
        </is>
      </c>
      <c r="AV18" t="inlineStr">
        <is>
          <t>FY2022</t>
        </is>
      </c>
      <c r="AW18" t="inlineStr">
        <is>
          <t>FY2023</t>
        </is>
      </c>
      <c r="AX18" t="inlineStr">
        <is>
          <t>FY2024</t>
        </is>
      </c>
      <c r="AY18" t="inlineStr">
        <is>
          <t>FY2025</t>
        </is>
      </c>
    </row>
    <row r="19">
      <c r="A19" s="5" t="inlineStr">
        <is>
          <t>Opening equity</t>
        </is>
      </c>
      <c r="B19" s="5" t="n">
        <v>21609</v>
      </c>
      <c r="C19" s="5" t="n">
        <v>19701</v>
      </c>
      <c r="D19" s="5" t="n">
        <v>18243</v>
      </c>
      <c r="E19" s="5" t="n">
        <v>19166</v>
      </c>
      <c r="F19" s="5" t="n">
        <v>18464</v>
      </c>
      <c r="AT19" t="inlineStr">
        <is>
          <t>Opening equity</t>
        </is>
      </c>
      <c r="AU19" t="n">
        <v>18464</v>
      </c>
      <c r="AV19" t="n">
        <v>19166</v>
      </c>
      <c r="AW19" t="n">
        <v>18243</v>
      </c>
      <c r="AX19" t="n">
        <v>19701</v>
      </c>
      <c r="AY19" t="n">
        <v>21609</v>
      </c>
    </row>
    <row r="20">
      <c r="A20" s="5" t="inlineStr">
        <is>
          <t>Total comprehensive income for the year</t>
        </is>
      </c>
      <c r="B20" s="5" t="n">
        <v>4338</v>
      </c>
      <c r="C20" s="5" t="n">
        <v>3566</v>
      </c>
      <c r="D20" s="5" t="n">
        <v>3211</v>
      </c>
      <c r="E20" s="5" t="n">
        <v>2619</v>
      </c>
      <c r="F20" s="5" t="n">
        <v>2556</v>
      </c>
      <c r="AT20" t="inlineStr">
        <is>
          <t>Total comprehensive income for the year</t>
        </is>
      </c>
      <c r="AU20" t="n">
        <v>2556</v>
      </c>
      <c r="AV20" t="n">
        <v>2619</v>
      </c>
      <c r="AW20" t="n">
        <v>3211</v>
      </c>
      <c r="AX20" t="n">
        <v>3566</v>
      </c>
      <c r="AY20" t="n">
        <v>4338</v>
      </c>
    </row>
    <row r="21">
      <c r="A21" s="5" t="inlineStr">
        <is>
          <t>Other equity movements, net</t>
        </is>
      </c>
      <c r="B21" s="5" t="n">
        <v>-3262</v>
      </c>
      <c r="C21" s="5" t="n">
        <v>-1658</v>
      </c>
      <c r="D21" s="5" t="n">
        <v>-1753</v>
      </c>
      <c r="E21" s="5" t="n">
        <v>-3542</v>
      </c>
      <c r="F21" s="5" t="n">
        <v>-1854</v>
      </c>
      <c r="AT21" t="inlineStr">
        <is>
          <t>Other equity movements, net</t>
        </is>
      </c>
      <c r="AU21" t="n">
        <v>-1854</v>
      </c>
      <c r="AV21" t="n">
        <v>-3542</v>
      </c>
      <c r="AW21" t="n">
        <v>-1753</v>
      </c>
      <c r="AX21" t="n">
        <v>-1658</v>
      </c>
      <c r="AY21" t="n">
        <v>-3262</v>
      </c>
    </row>
    <row r="22">
      <c r="A22" s="5" t="inlineStr">
        <is>
          <t>Closing equity</t>
        </is>
      </c>
      <c r="B22" s="5" t="n">
        <v>22685</v>
      </c>
      <c r="C22" s="5" t="n">
        <v>21609</v>
      </c>
      <c r="D22" s="5" t="n">
        <v>19701</v>
      </c>
      <c r="E22" s="5" t="n">
        <v>18243</v>
      </c>
      <c r="F22" s="5" t="n">
        <v>19166</v>
      </c>
      <c r="AT22" t="inlineStr">
        <is>
          <t>Closing equity</t>
        </is>
      </c>
      <c r="AU22" t="n">
        <v>19166</v>
      </c>
      <c r="AV22" t="n">
        <v>18243</v>
      </c>
      <c r="AW22" t="n">
        <v>19701</v>
      </c>
      <c r="AX22" t="n">
        <v>21609</v>
      </c>
      <c r="AY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C25" t="inlineStr">
        <is>
          <t>FY2014</t>
        </is>
      </c>
      <c r="BD25" t="inlineStr">
        <is>
          <t>FY2015</t>
        </is>
      </c>
      <c r="BE25" t="inlineStr">
        <is>
          <t>FY2016</t>
        </is>
      </c>
      <c r="BF25" t="inlineStr">
        <is>
          <t>FY2017</t>
        </is>
      </c>
      <c r="BG25" t="inlineStr">
        <is>
          <t>FY2018</t>
        </is>
      </c>
      <c r="BH25" t="inlineStr">
        <is>
          <t>FY2019</t>
        </is>
      </c>
      <c r="BI25" t="inlineStr">
        <is>
          <t>FY2020</t>
        </is>
      </c>
      <c r="BJ25" t="inlineStr">
        <is>
          <t>FY2021</t>
        </is>
      </c>
      <c r="BK25" t="inlineStr">
        <is>
          <t>FY2022</t>
        </is>
      </c>
      <c r="BL25" t="inlineStr">
        <is>
          <t>FY2023</t>
        </is>
      </c>
      <c r="BM25" t="inlineStr">
        <is>
          <t>FY2024</t>
        </is>
      </c>
      <c r="BN25" t="inlineStr">
        <is>
          <t>FY2025</t>
        </is>
      </c>
    </row>
    <row r="26">
      <c r="A26" s="5" t="inlineStr">
        <is>
          <t>Net cash from/(used in) operating activities</t>
        </is>
      </c>
      <c r="B26" s="5" t="n">
        <v>13528</v>
      </c>
      <c r="C26" s="5" t="n">
        <v>-1896</v>
      </c>
      <c r="D26" s="5" t="n">
        <v>-4382</v>
      </c>
      <c r="E26" s="5" t="n">
        <v>-40929</v>
      </c>
      <c r="F26" s="5" t="n">
        <v>36574</v>
      </c>
      <c r="G26" s="5" t="n">
        <v>27500</v>
      </c>
      <c r="H26" s="5" t="n">
        <v>-16503</v>
      </c>
      <c r="I26" s="5" t="n">
        <v>-6199</v>
      </c>
      <c r="J26" s="5" t="n">
        <v>26282</v>
      </c>
      <c r="K26" s="5" t="n">
        <v>-6821</v>
      </c>
      <c r="L26" s="5" t="n">
        <v>-11</v>
      </c>
      <c r="M26" s="5" t="n">
        <v>-5836</v>
      </c>
      <c r="BB26" t="inlineStr">
        <is>
          <t>Net cash from/(used in) operating activities</t>
        </is>
      </c>
      <c r="BC26" t="n">
        <v>-5836</v>
      </c>
      <c r="BD26" t="n">
        <v>-11</v>
      </c>
      <c r="BE26" t="n">
        <v>-6821</v>
      </c>
      <c r="BF26" t="n">
        <v>26282</v>
      </c>
      <c r="BG26" t="n">
        <v>-6199</v>
      </c>
      <c r="BH26" t="n">
        <v>-16503</v>
      </c>
      <c r="BI26" t="n">
        <v>27500</v>
      </c>
      <c r="BJ26" t="n">
        <v>36574</v>
      </c>
      <c r="BK26" t="n">
        <v>-40929</v>
      </c>
      <c r="BL26" t="n">
        <v>-4382</v>
      </c>
      <c r="BM26" t="n">
        <v>-1896</v>
      </c>
      <c r="BN26" t="n">
        <v>13528</v>
      </c>
    </row>
    <row r="27">
      <c r="A27" s="5" t="inlineStr">
        <is>
          <t>Net cash from/(used in) investing activities</t>
        </is>
      </c>
      <c r="B27" s="5" t="n">
        <v>-11262</v>
      </c>
      <c r="C27" s="5" t="n">
        <v>-9382</v>
      </c>
      <c r="D27" s="5" t="n">
        <v>-17008</v>
      </c>
      <c r="E27" s="5" t="n">
        <v>12745</v>
      </c>
      <c r="F27" s="5" t="n">
        <v>4216</v>
      </c>
      <c r="G27" s="5" t="n">
        <v>4610</v>
      </c>
      <c r="H27" s="5" t="n">
        <v>1345</v>
      </c>
      <c r="I27" s="5" t="n">
        <v>-30346</v>
      </c>
      <c r="J27" s="5" t="n">
        <v>-4667</v>
      </c>
      <c r="K27" s="5" t="n">
        <v>-351</v>
      </c>
      <c r="L27" s="5" t="n">
        <v>-83</v>
      </c>
      <c r="M27" s="5" t="n">
        <v>471</v>
      </c>
      <c r="BB27" t="inlineStr">
        <is>
          <t>Net cash from/(used in) investing activities</t>
        </is>
      </c>
      <c r="BC27" t="n">
        <v>471</v>
      </c>
      <c r="BD27" t="n">
        <v>-83</v>
      </c>
      <c r="BE27" t="n">
        <v>-351</v>
      </c>
      <c r="BF27" t="n">
        <v>-4667</v>
      </c>
      <c r="BG27" t="n">
        <v>-30346</v>
      </c>
      <c r="BH27" t="n">
        <v>1345</v>
      </c>
      <c r="BI27" t="n">
        <v>4610</v>
      </c>
      <c r="BJ27" t="n">
        <v>4216</v>
      </c>
      <c r="BK27" t="n">
        <v>12745</v>
      </c>
      <c r="BL27" t="n">
        <v>-17008</v>
      </c>
      <c r="BM27" t="n">
        <v>-9382</v>
      </c>
      <c r="BN27" t="n">
        <v>-11262</v>
      </c>
    </row>
    <row r="28">
      <c r="A28" s="5" t="inlineStr">
        <is>
          <t>Net cash from/(used in) financing activities</t>
        </is>
      </c>
      <c r="B28" s="5" t="n">
        <v>-1918</v>
      </c>
      <c r="C28" s="5" t="n">
        <v>-2267</v>
      </c>
      <c r="D28" s="5" t="n">
        <v>-1203</v>
      </c>
      <c r="E28" s="5" t="n">
        <v>-2991</v>
      </c>
      <c r="F28" s="5" t="n">
        <v>-1454</v>
      </c>
      <c r="G28" s="5" t="n">
        <v>823</v>
      </c>
      <c r="H28" s="5" t="n">
        <v>-76</v>
      </c>
      <c r="I28" s="5" t="n">
        <v>3244</v>
      </c>
      <c r="J28" s="5" t="n">
        <v>-184</v>
      </c>
      <c r="K28" s="5" t="n">
        <v>1063</v>
      </c>
      <c r="L28" s="5" t="n">
        <v>158</v>
      </c>
      <c r="M28" s="5" t="n">
        <v>1075</v>
      </c>
      <c r="BB28" t="inlineStr">
        <is>
          <t>Net cash from/(used in) financing activities</t>
        </is>
      </c>
      <c r="BC28" t="n">
        <v>1075</v>
      </c>
      <c r="BD28" t="n">
        <v>158</v>
      </c>
      <c r="BE28" t="n">
        <v>1063</v>
      </c>
      <c r="BF28" t="n">
        <v>-184</v>
      </c>
      <c r="BG28" t="n">
        <v>3244</v>
      </c>
      <c r="BH28" t="n">
        <v>-76</v>
      </c>
      <c r="BI28" t="n">
        <v>823</v>
      </c>
      <c r="BJ28" t="n">
        <v>-1454</v>
      </c>
      <c r="BK28" t="n">
        <v>-2991</v>
      </c>
      <c r="BL28" t="n">
        <v>-1203</v>
      </c>
      <c r="BM28" t="n">
        <v>-2267</v>
      </c>
      <c r="BN28" t="n">
        <v>-1918</v>
      </c>
    </row>
    <row r="29">
      <c r="A29" s="5" t="inlineStr">
        <is>
          <t>Cash and cash equivalents at end of year</t>
        </is>
      </c>
      <c r="B29" s="5" t="n">
        <v>39167</v>
      </c>
      <c r="C29" s="5" t="n">
        <v>38678</v>
      </c>
      <c r="D29" s="5" t="n">
        <v>52482</v>
      </c>
      <c r="E29" s="5" t="n">
        <v>75472</v>
      </c>
      <c r="F29" s="5" t="n">
        <v>105546</v>
      </c>
      <c r="G29" s="5" t="n">
        <v>67194</v>
      </c>
      <c r="H29" s="5" t="n">
        <v>33620</v>
      </c>
      <c r="I29" s="5" t="n">
        <v>49492</v>
      </c>
      <c r="J29" s="5" t="n">
        <v>82444</v>
      </c>
      <c r="K29" s="5" t="n">
        <v>61151</v>
      </c>
      <c r="L29" s="5" t="n">
        <v>66187</v>
      </c>
      <c r="M29" s="5" t="n">
        <v>66178</v>
      </c>
      <c r="BB29" t="inlineStr">
        <is>
          <t>Cash and cash equivalents at end of year</t>
        </is>
      </c>
      <c r="BC29" t="n">
        <v>66178</v>
      </c>
      <c r="BD29" t="n">
        <v>66187</v>
      </c>
      <c r="BE29" t="n">
        <v>61151</v>
      </c>
      <c r="BF29" t="n">
        <v>82444</v>
      </c>
      <c r="BG29" t="n">
        <v>49492</v>
      </c>
      <c r="BH29" t="n">
        <v>33620</v>
      </c>
      <c r="BI29" t="n">
        <v>67194</v>
      </c>
      <c r="BJ29" t="n">
        <v>105546</v>
      </c>
      <c r="BK29" t="n">
        <v>75472</v>
      </c>
      <c r="BL29" t="n">
        <v>52482</v>
      </c>
      <c r="BM29" t="n">
        <v>38678</v>
      </c>
      <c r="BN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30"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39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t>
        </is>
      </c>
    </row>
    <row r="35" ht="280" customHeight="1">
      <c r="A35" s="8" t="inlineStr">
        <is>
          <t>(continued)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2">
    <mergeCell ref="A35:O35"/>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39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t>
        </is>
      </c>
    </row>
    <row r="39" ht="280" customHeight="1">
      <c r="A39" s="8" t="inlineStr">
        <is>
          <t>(continued)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2">
    <mergeCell ref="A37:O37"/>
    <mergeCell ref="A39:O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6"/>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77"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row r="166" ht="390" customHeight="1">
      <c r="A166" s="8" t="inlineStr">
        <is>
          <t>(continued)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2">
    <mergeCell ref="A164:K164"/>
    <mergeCell ref="A166:K16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351"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377"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row r="41" ht="299" customHeight="1">
      <c r="A41" s="8" t="inlineStr">
        <is>
          <t>(continued)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2">
    <mergeCell ref="A41:M4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18.96%</t>
        </is>
      </c>
      <c r="C4" s="6" t="inlineStr">
        <is>
          <t>16.58%</t>
        </is>
      </c>
      <c r="D4" s="6" t="inlineStr">
        <is>
          <t>18.50%</t>
        </is>
      </c>
      <c r="E4" s="6" t="inlineStr">
        <is>
          <t>19.72%</t>
        </is>
      </c>
      <c r="F4" s="6" t="inlineStr">
        <is>
          <t>15.45%</t>
        </is>
      </c>
      <c r="G4" s="6" t="inlineStr">
        <is>
          <t>2.94%</t>
        </is>
      </c>
      <c r="H4" s="6" t="inlineStr">
        <is>
          <t>4.87%</t>
        </is>
      </c>
      <c r="I4" s="6" t="inlineStr">
        <is>
          <t>16.45%</t>
        </is>
      </c>
      <c r="J4" s="6" t="inlineStr">
        <is>
          <t>13.50%</t>
        </is>
      </c>
      <c r="K4" s="6" t="inlineStr">
        <is>
          <t>-6.52%</t>
        </is>
      </c>
      <c r="L4" s="6" t="inlineStr">
        <is>
          <t>-9.81%</t>
        </is>
      </c>
      <c r="M4" s="6" t="n"/>
    </row>
    <row r="5">
      <c r="A5" s="6" t="inlineStr">
        <is>
          <t>Return on equity - year-end equity basis</t>
        </is>
      </c>
      <c r="B5" s="6" t="inlineStr">
        <is>
          <t>18.51%</t>
        </is>
      </c>
      <c r="C5" s="6" t="inlineStr">
        <is>
          <t>15.85%</t>
        </is>
      </c>
      <c r="D5" s="6" t="inlineStr">
        <is>
          <t>17.81%</t>
        </is>
      </c>
      <c r="E5" s="6" t="inlineStr">
        <is>
          <t>20.22%</t>
        </is>
      </c>
      <c r="F5" s="6" t="inlineStr">
        <is>
          <t>15.17%</t>
        </is>
      </c>
      <c r="G5" s="6" t="inlineStr">
        <is>
          <t>2.90%</t>
        </is>
      </c>
      <c r="H5" s="6" t="inlineStr">
        <is>
          <t>4.90%</t>
        </is>
      </c>
      <c r="I5" s="6" t="inlineStr">
        <is>
          <t>15.13%</t>
        </is>
      </c>
      <c r="J5" s="6" t="inlineStr">
        <is>
          <t>13.47%</t>
        </is>
      </c>
      <c r="K5" s="6" t="inlineStr">
        <is>
          <t>-5.67%</t>
        </is>
      </c>
      <c r="L5" s="6" t="inlineStr">
        <is>
          <t>-10.69%</t>
        </is>
      </c>
      <c r="M5" s="6" t="inlineStr">
        <is>
          <t>13.02%</t>
        </is>
      </c>
    </row>
    <row r="6">
      <c r="A6" s="6" t="inlineStr">
        <is>
          <t>Return on assets - average assets basis</t>
        </is>
      </c>
      <c r="B6" s="6" t="inlineStr">
        <is>
          <t>0.97%</t>
        </is>
      </c>
      <c r="C6" s="6" t="inlineStr">
        <is>
          <t>0.82%</t>
        </is>
      </c>
      <c r="D6" s="6" t="inlineStr">
        <is>
          <t>0.86%</t>
        </is>
      </c>
      <c r="E6" s="6" t="inlineStr">
        <is>
          <t>0.89%</t>
        </is>
      </c>
      <c r="F6" s="6" t="inlineStr">
        <is>
          <t>0.72%</t>
        </is>
      </c>
      <c r="G6" s="6" t="inlineStr">
        <is>
          <t>0.16%</t>
        </is>
      </c>
      <c r="H6" s="6" t="inlineStr">
        <is>
          <t>0.29%</t>
        </is>
      </c>
      <c r="I6" s="6" t="inlineStr">
        <is>
          <t>0.99%</t>
        </is>
      </c>
      <c r="J6" s="6" t="inlineStr">
        <is>
          <t>0.85%</t>
        </is>
      </c>
      <c r="K6" s="6" t="inlineStr">
        <is>
          <t>-0.39%</t>
        </is>
      </c>
      <c r="L6" s="6" t="inlineStr">
        <is>
          <t>-0.55%</t>
        </is>
      </c>
      <c r="M6" s="6" t="n"/>
    </row>
    <row r="7">
      <c r="A7" s="6" t="inlineStr">
        <is>
          <t>Return on assets - year-end assets basis</t>
        </is>
      </c>
      <c r="B7" s="6" t="inlineStr">
        <is>
          <t>0.94%</t>
        </is>
      </c>
      <c r="C7" s="6" t="inlineStr">
        <is>
          <t>0.81%</t>
        </is>
      </c>
      <c r="D7" s="6" t="inlineStr">
        <is>
          <t>0.85%</t>
        </is>
      </c>
      <c r="E7" s="6" t="inlineStr">
        <is>
          <t>0.92%</t>
        </is>
      </c>
      <c r="F7" s="6" t="inlineStr">
        <is>
          <t>0.68%</t>
        </is>
      </c>
      <c r="G7" s="6" t="inlineStr">
        <is>
          <t>0.14%</t>
        </is>
      </c>
      <c r="H7" s="6" t="inlineStr">
        <is>
          <t>0.28%</t>
        </is>
      </c>
      <c r="I7" s="6" t="inlineStr">
        <is>
          <t>0.92%</t>
        </is>
      </c>
      <c r="J7" s="6" t="inlineStr">
        <is>
          <t>0.80%</t>
        </is>
      </c>
      <c r="K7" s="6" t="inlineStr">
        <is>
          <t>-0.38%</t>
        </is>
      </c>
      <c r="L7" s="6" t="inlineStr">
        <is>
          <t>-0.55%</t>
        </is>
      </c>
      <c r="M7" s="6" t="inlineStr">
        <is>
          <t>0.79%</t>
        </is>
      </c>
    </row>
    <row r="8">
      <c r="A8" s="6" t="inlineStr">
        <is>
          <t>National Westminster Bank Public Limited Company's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row>
    <row r="9" ht="104" customHeight="1">
      <c r="A9" s="7" t="inlineStr">
        <is>
          <t>Note: COMPUTED, NOT PUBLISHED. National Westminster Bank Plc publishes NO profitability return measure in its own 2025 Annual Report and Accounts. The official 186-page born-digital report was searched in full for 'return on tangible equity', 'return on equity', 'return on assets', word-bounded 'RoTE|ROE|ROA', and KPI/performance headings. The only 'return on assets' occurrences are pension-plan asset returns; no bank ROE, ROA or RoTE is stated. The opening Performance overview reports attributable profit GBP4,198m, cost:income ratio 53.2%, loans, deposits and CET1, but no return measure.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FY2018, where return on equity is 16.45% on an average basis and 15.13%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t>
        </is>
      </c>
    </row>
    <row r="11" ht="170" customHeight="1">
      <c r="A11" s="8" t="inlineStr">
        <is>
          <t>Computed by this workbook's own build script from the Profit &amp; Loss and Balance Sheet sheets of this same workbook - the Profit &amp; Loss row “profit for the year” and the Balance Sheet rows “total equity (owners' equity - no nci at nwb plc solo level)” and “total assets”, resolved BY LABEL at build time through the shared resolver scripts/profitability_rows.py, so this sheet cannot drift from the statements it summarises. Those rows are themselves transcribed from National Westminster Bank Public Limited Company's Annual Report and Accounts for each year; see the source cells on the Balance Sheet and Profit &amp; Loss sheets for the exact document, page and table behind every input to every percentage above.
The finding that National Westminster Bank Public Limited Company publishes no return of its own is recorded in research/profitability/published_returns.jsonl under ‘NATIONAL WESTMINSTER BANK PLC’, verified against the bank's own annual report rendered at 300 dpi.</t>
        </is>
      </c>
    </row>
  </sheetData>
  <mergeCells count="2">
    <mergeCell ref="A11:M11"/>
    <mergeCell ref="A9:M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Westminster Bank Plc — KM1 Key Metrics</t>
        </is>
      </c>
    </row>
    <row r="2">
      <c r="A2" s="2" t="inlineStr">
        <is>
          <t>NWB Plc's own "UK KM1: Key metrics template", from its own standalone Pillar 3 Report each year, reproduced in its own row order, row numbers and printed precision. £m and % as published. FY2021 is the 2022 edition's comparative column (NWB Plc published no FY2021 Pillar 3). Rows 15-20 are blank in every edition because the Bank discloses liquidity at UK DoLSub sub-group level under a PRA waiver, not at entity level. Shown for FY2021-FY2025 only: the UK KM1 template post-dates this workbook's earlier years, which are sourced from Annual Report capital tables instead.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14968</v>
      </c>
      <c r="C5" s="6" t="n">
        <v>14181</v>
      </c>
      <c r="D5" s="6" t="n">
        <v>14082</v>
      </c>
      <c r="E5" s="6" t="n">
        <v>12713</v>
      </c>
      <c r="F5" s="6" t="n">
        <v>13924</v>
      </c>
    </row>
    <row r="6">
      <c r="A6" s="6" t="inlineStr">
        <is>
          <t>2    Tier 1 capital</t>
        </is>
      </c>
      <c r="B6" s="6" t="n">
        <v>17910</v>
      </c>
      <c r="C6" s="6" t="n">
        <v>17258</v>
      </c>
      <c r="D6" s="6" t="n">
        <v>16360</v>
      </c>
      <c r="E6" s="6" t="n">
        <v>14956</v>
      </c>
      <c r="F6" s="6" t="n">
        <v>16039</v>
      </c>
    </row>
    <row r="7">
      <c r="A7" s="6" t="inlineStr">
        <is>
          <t>3    Total capital</t>
        </is>
      </c>
      <c r="B7" s="6" t="n">
        <v>21701</v>
      </c>
      <c r="C7" s="6" t="n">
        <v>20629</v>
      </c>
      <c r="D7" s="6" t="n">
        <v>19798</v>
      </c>
      <c r="E7" s="6" t="n">
        <v>17877</v>
      </c>
      <c r="F7" s="6" t="n">
        <v>18945</v>
      </c>
    </row>
    <row r="8">
      <c r="A8" s="5" t="inlineStr">
        <is>
          <t>Risk-weighted exposure amounts (£m)</t>
        </is>
      </c>
      <c r="B8" s="6" t="n"/>
      <c r="C8" s="6" t="n"/>
      <c r="D8" s="6" t="n"/>
      <c r="E8" s="6" t="n"/>
      <c r="F8" s="6" t="n"/>
    </row>
    <row r="9">
      <c r="A9" s="6" t="inlineStr">
        <is>
          <t>4    Total risk-weighted exposure amount</t>
        </is>
      </c>
      <c r="B9" s="6" t="n">
        <v>133749</v>
      </c>
      <c r="C9" s="6" t="n">
        <v>124522</v>
      </c>
      <c r="D9" s="6" t="n">
        <v>121740</v>
      </c>
      <c r="E9" s="6" t="n">
        <v>112428</v>
      </c>
      <c r="F9" s="6" t="n">
        <v>86217</v>
      </c>
    </row>
    <row r="10">
      <c r="A10" s="5" t="inlineStr">
        <is>
          <t>Capital ratios (as a percentage of risk-weighted exposure amount)</t>
        </is>
      </c>
      <c r="B10" s="6" t="n"/>
      <c r="C10" s="6" t="n"/>
      <c r="D10" s="6" t="n"/>
      <c r="E10" s="6" t="n"/>
      <c r="F10" s="6" t="n"/>
    </row>
    <row r="11">
      <c r="A11" s="6" t="inlineStr">
        <is>
          <t>5    Common equity tier 1 ratio (%)</t>
        </is>
      </c>
      <c r="B11" s="6" t="inlineStr">
        <is>
          <t>11.2%</t>
        </is>
      </c>
      <c r="C11" s="6" t="inlineStr">
        <is>
          <t>11.4%</t>
        </is>
      </c>
      <c r="D11" s="6" t="inlineStr">
        <is>
          <t>11.6%</t>
        </is>
      </c>
      <c r="E11" s="6" t="inlineStr">
        <is>
          <t>11.3%</t>
        </is>
      </c>
      <c r="F11" s="6" t="inlineStr">
        <is>
          <t>16.1%</t>
        </is>
      </c>
    </row>
    <row r="12">
      <c r="A12" s="6" t="inlineStr">
        <is>
          <t>6    Tier 1 ratio (%)</t>
        </is>
      </c>
      <c r="B12" s="6" t="inlineStr">
        <is>
          <t>13.4%</t>
        </is>
      </c>
      <c r="C12" s="6" t="inlineStr">
        <is>
          <t>13.9%</t>
        </is>
      </c>
      <c r="D12" s="6" t="inlineStr">
        <is>
          <t>13.4%</t>
        </is>
      </c>
      <c r="E12" s="6" t="inlineStr">
        <is>
          <t>13.3%</t>
        </is>
      </c>
      <c r="F12" s="6" t="inlineStr">
        <is>
          <t>18.6%</t>
        </is>
      </c>
    </row>
    <row r="13">
      <c r="A13" s="6" t="inlineStr">
        <is>
          <t>7    Total capital ratio (%)</t>
        </is>
      </c>
      <c r="B13" s="6" t="inlineStr">
        <is>
          <t>16.2%</t>
        </is>
      </c>
      <c r="C13" s="6" t="inlineStr">
        <is>
          <t>16.6%</t>
        </is>
      </c>
      <c r="D13" s="6" t="inlineStr">
        <is>
          <t>16.3%</t>
        </is>
      </c>
      <c r="E13" s="6" t="inlineStr">
        <is>
          <t>15.9%</t>
        </is>
      </c>
      <c r="F13" s="6" t="inlineStr">
        <is>
          <t>22.0%</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0.5%</t>
        </is>
      </c>
      <c r="C16" s="6" t="inlineStr">
        <is>
          <t>0.5%</t>
        </is>
      </c>
      <c r="D16" s="6" t="inlineStr">
        <is>
          <t>0.6%</t>
        </is>
      </c>
      <c r="E16" s="6" t="inlineStr">
        <is>
          <t>0.5%</t>
        </is>
      </c>
      <c r="F16" s="6" t="inlineStr">
        <is>
          <t>0.5%</t>
        </is>
      </c>
    </row>
    <row r="17">
      <c r="A17" s="6" t="inlineStr">
        <is>
          <t>UK 7c    Additional Tier 2 SREP requirements (%)</t>
        </is>
      </c>
      <c r="B17" s="6" t="inlineStr">
        <is>
          <t>0.6%</t>
        </is>
      </c>
      <c r="C17" s="6" t="inlineStr">
        <is>
          <t>0.7%</t>
        </is>
      </c>
      <c r="D17" s="6" t="inlineStr">
        <is>
          <t>0.7%</t>
        </is>
      </c>
      <c r="E17" s="6" t="inlineStr">
        <is>
          <t>0.7%</t>
        </is>
      </c>
      <c r="F17" s="6" t="inlineStr">
        <is>
          <t>0.7%</t>
        </is>
      </c>
    </row>
    <row r="18">
      <c r="A18" s="6" t="inlineStr">
        <is>
          <t>UK 7d    Total SREP own funds requirements (%)</t>
        </is>
      </c>
      <c r="B18" s="6" t="inlineStr">
        <is>
          <t>10.4%</t>
        </is>
      </c>
      <c r="C18" s="6" t="inlineStr">
        <is>
          <t>10.7%</t>
        </is>
      </c>
      <c r="D18" s="6" t="inlineStr">
        <is>
          <t>10.8%</t>
        </is>
      </c>
      <c r="E18" s="6" t="inlineStr">
        <is>
          <t>10.6%</t>
        </is>
      </c>
      <c r="F18" s="6" t="inlineStr">
        <is>
          <t>10.7%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1.8%</t>
        </is>
      </c>
      <c r="C21" s="6" t="inlineStr">
        <is>
          <t>1.8%</t>
        </is>
      </c>
      <c r="D21" s="6" t="inlineStr">
        <is>
          <t>1.8%</t>
        </is>
      </c>
      <c r="E21" s="6" t="inlineStr">
        <is>
          <t>0.9%</t>
        </is>
      </c>
      <c r="F21" s="6" t="inlineStr">
        <is>
          <t>0.0%</t>
        </is>
      </c>
    </row>
    <row r="22">
      <c r="A22" s="6" t="inlineStr">
        <is>
          <t>10    Global Systemically Important Institution buffer (%)</t>
        </is>
      </c>
      <c r="B22" s="6" t="n"/>
      <c r="C22" s="6" t="n"/>
      <c r="D22" s="6" t="n"/>
      <c r="E22" s="6" t="n"/>
      <c r="F22" s="6" t="n"/>
    </row>
    <row r="23">
      <c r="A23" s="6" t="inlineStr">
        <is>
          <t>UK 10a    Other Systemically Important Institution buffer (%)</t>
        </is>
      </c>
      <c r="B23" s="6" t="n"/>
      <c r="C23" s="6" t="n"/>
      <c r="D23" s="6" t="n"/>
      <c r="E23" s="6" t="n"/>
      <c r="F23" s="6" t="n"/>
    </row>
    <row r="24">
      <c r="A24" s="6" t="inlineStr">
        <is>
          <t>11    Combined buffer requirement (%)</t>
        </is>
      </c>
      <c r="B24" s="6" t="inlineStr">
        <is>
          <t>4.3%</t>
        </is>
      </c>
      <c r="C24" s="6" t="inlineStr">
        <is>
          <t>4.3%</t>
        </is>
      </c>
      <c r="D24" s="6" t="inlineStr">
        <is>
          <t>4.3%</t>
        </is>
      </c>
      <c r="E24" s="6" t="inlineStr">
        <is>
          <t>3.4%</t>
        </is>
      </c>
      <c r="F24" s="6" t="inlineStr">
        <is>
          <t>2.5%</t>
        </is>
      </c>
    </row>
    <row r="25">
      <c r="A25" s="6" t="inlineStr">
        <is>
          <t>UK 11a    Overall capital requirements (%)</t>
        </is>
      </c>
      <c r="B25" s="6" t="inlineStr">
        <is>
          <t>14.7%</t>
        </is>
      </c>
      <c r="C25" s="6" t="inlineStr">
        <is>
          <t>15.0%</t>
        </is>
      </c>
      <c r="D25" s="6" t="inlineStr">
        <is>
          <t>15.1%</t>
        </is>
      </c>
      <c r="E25" s="6" t="inlineStr">
        <is>
          <t>14.0%</t>
        </is>
      </c>
      <c r="F25" s="6" t="inlineStr">
        <is>
          <t>13.2%</t>
        </is>
      </c>
    </row>
    <row r="26">
      <c r="A26" s="6" t="inlineStr">
        <is>
          <t>12    CET1 available after meeting the total SREP own funds requirements (%)</t>
        </is>
      </c>
      <c r="B26" s="6" t="inlineStr">
        <is>
          <t>5.4%</t>
        </is>
      </c>
      <c r="C26" s="6" t="inlineStr">
        <is>
          <t>5.4%</t>
        </is>
      </c>
      <c r="D26" s="6" t="inlineStr">
        <is>
          <t>5.4%</t>
        </is>
      </c>
      <c r="E26" s="6" t="inlineStr">
        <is>
          <t>5.4%</t>
        </is>
      </c>
      <c r="F26" s="6" t="inlineStr">
        <is>
          <t>10.1%</t>
        </is>
      </c>
    </row>
    <row r="27">
      <c r="A27" s="5" t="inlineStr">
        <is>
          <t>Leverage ratio</t>
        </is>
      </c>
      <c r="B27" s="6" t="n"/>
      <c r="C27" s="6" t="n"/>
      <c r="D27" s="6" t="n"/>
      <c r="E27" s="6" t="n"/>
      <c r="F27" s="6" t="n"/>
    </row>
    <row r="28">
      <c r="A28" s="6" t="inlineStr">
        <is>
          <t>13    Total exposure measure excluding claims on central banks (£m)</t>
        </is>
      </c>
      <c r="B28" s="6" t="n">
        <v>424554</v>
      </c>
      <c r="C28" s="6" t="n">
        <v>390032</v>
      </c>
      <c r="D28" s="6" t="n">
        <v>359897</v>
      </c>
      <c r="E28" s="6" t="n">
        <v>341308</v>
      </c>
      <c r="F28" s="6" t="n"/>
    </row>
    <row r="29">
      <c r="A29" s="6" t="inlineStr">
        <is>
          <t>14    Leverage ratio excluding claims on central banks (%)</t>
        </is>
      </c>
      <c r="B29" s="6" t="inlineStr">
        <is>
          <t>4.2%</t>
        </is>
      </c>
      <c r="C29" s="6" t="inlineStr">
        <is>
          <t>4.4%</t>
        </is>
      </c>
      <c r="D29" s="6" t="inlineStr">
        <is>
          <t>4.5%</t>
        </is>
      </c>
      <c r="E29" s="6" t="inlineStr">
        <is>
          <t>4.4%</t>
        </is>
      </c>
      <c r="F29" s="6" t="n"/>
    </row>
    <row r="30">
      <c r="A30" s="5" t="inlineStr">
        <is>
          <t>Additional leverage ratio disclosure requirements</t>
        </is>
      </c>
      <c r="B30" s="6" t="n"/>
      <c r="C30" s="6" t="n"/>
      <c r="D30" s="6" t="n"/>
      <c r="E30" s="6" t="n"/>
      <c r="F30" s="6" t="n"/>
    </row>
    <row r="31">
      <c r="A31" s="6" t="inlineStr">
        <is>
          <t>UK 14a    Fully loaded ECL accounting model leverage ratio excluding claims on central banks (%)</t>
        </is>
      </c>
      <c r="B31" s="6" t="inlineStr">
        <is>
          <t>4.2%</t>
        </is>
      </c>
      <c r="C31" s="6" t="inlineStr">
        <is>
          <t>4.4%</t>
        </is>
      </c>
      <c r="D31" s="6" t="inlineStr">
        <is>
          <t>4.5%</t>
        </is>
      </c>
      <c r="E31" s="6" t="n"/>
      <c r="F31" s="6" t="n"/>
    </row>
    <row r="32">
      <c r="A32" s="6" t="inlineStr">
        <is>
          <t>UK 14b    Leverage ratio including claims on central banks (%)</t>
        </is>
      </c>
      <c r="B32" s="6" t="inlineStr">
        <is>
          <t>4.0%</t>
        </is>
      </c>
      <c r="C32" s="6" t="inlineStr">
        <is>
          <t>4.1%</t>
        </is>
      </c>
      <c r="D32" s="6" t="inlineStr">
        <is>
          <t>4.0%</t>
        </is>
      </c>
      <c r="E32" s="6" t="n"/>
      <c r="F32" s="6" t="n"/>
    </row>
    <row r="33">
      <c r="A33" s="6" t="inlineStr">
        <is>
          <t>UK 14c    Average leverage ratio excluding claims on central banks (%)</t>
        </is>
      </c>
      <c r="B33" s="6" t="inlineStr">
        <is>
          <t>4.6%</t>
        </is>
      </c>
      <c r="C33" s="6" t="inlineStr">
        <is>
          <t>4.5%</t>
        </is>
      </c>
      <c r="D33" s="6" t="inlineStr">
        <is>
          <t>4.5%</t>
        </is>
      </c>
      <c r="E33" s="6" t="n"/>
      <c r="F33" s="6" t="n"/>
    </row>
    <row r="34">
      <c r="A34" s="6" t="inlineStr">
        <is>
          <t>UK 14d    Average leverage ratio including claims on central banks (%)</t>
        </is>
      </c>
      <c r="B34" s="6" t="inlineStr">
        <is>
          <t>4.3%</t>
        </is>
      </c>
      <c r="C34" s="6" t="inlineStr">
        <is>
          <t>4.2%</t>
        </is>
      </c>
      <c r="D34" s="6" t="inlineStr">
        <is>
          <t>4.1%</t>
        </is>
      </c>
      <c r="E34" s="6" t="n"/>
      <c r="F34" s="6" t="n"/>
    </row>
    <row r="35">
      <c r="A35" s="6" t="inlineStr">
        <is>
          <t>UK 14e    Countercyclical leverage ratio buffer (%)</t>
        </is>
      </c>
      <c r="B35" s="6" t="inlineStr">
        <is>
          <t>0.6%</t>
        </is>
      </c>
      <c r="C35" s="6" t="inlineStr">
        <is>
          <t>0.6%</t>
        </is>
      </c>
      <c r="D35" s="6" t="inlineStr">
        <is>
          <t>0.6%</t>
        </is>
      </c>
      <c r="E35" s="6" t="n"/>
      <c r="F35" s="6" t="n"/>
    </row>
    <row r="36">
      <c r="A36" s="5" t="inlineStr">
        <is>
          <t>Liquidity coverage ratio — every cell shaded out by the Bank under the UK DoLSub waiver</t>
        </is>
      </c>
      <c r="B36" s="6" t="n"/>
      <c r="C36" s="6" t="n"/>
      <c r="D36" s="6" t="n"/>
      <c r="E36" s="6" t="n"/>
      <c r="F36" s="6" t="n"/>
    </row>
    <row r="37">
      <c r="A37" s="6" t="inlineStr">
        <is>
          <t>15    Total high-quality liquid assets (HQLA) (weighted value-average)</t>
        </is>
      </c>
      <c r="B37" s="6" t="n"/>
      <c r="C37" s="6" t="n"/>
      <c r="D37" s="6" t="n"/>
      <c r="E37" s="6" t="n"/>
      <c r="F37" s="6" t="n"/>
    </row>
    <row r="38">
      <c r="A38" s="6" t="inlineStr">
        <is>
          <t>UK 16a    Cash outflows - Total weighted value</t>
        </is>
      </c>
      <c r="B38" s="6" t="n"/>
      <c r="C38" s="6" t="n"/>
      <c r="D38" s="6" t="n"/>
      <c r="E38" s="6" t="n"/>
      <c r="F38" s="6" t="n"/>
    </row>
    <row r="39">
      <c r="A39" s="6" t="inlineStr">
        <is>
          <t>UK 16b    Cash inflows - Total weighted value</t>
        </is>
      </c>
      <c r="B39" s="6" t="n"/>
      <c r="C39" s="6" t="n"/>
      <c r="D39" s="6" t="n"/>
      <c r="E39" s="6" t="n"/>
      <c r="F39" s="6" t="n"/>
    </row>
    <row r="40">
      <c r="A40" s="6" t="inlineStr">
        <is>
          <t>16    Total net cash outflows (adjusted value)</t>
        </is>
      </c>
      <c r="B40" s="6" t="n"/>
      <c r="C40" s="6" t="n"/>
      <c r="D40" s="6" t="n"/>
      <c r="E40" s="6" t="n"/>
      <c r="F40" s="6" t="n"/>
    </row>
    <row r="41">
      <c r="A41" s="6" t="inlineStr">
        <is>
          <t>17    Liquidity coverage ratio (%)</t>
        </is>
      </c>
      <c r="B41" s="6" t="n"/>
      <c r="C41" s="6" t="n"/>
      <c r="D41" s="6" t="n"/>
      <c r="E41" s="6" t="n"/>
      <c r="F41" s="6" t="n"/>
    </row>
    <row r="42">
      <c r="A42" s="5" t="inlineStr">
        <is>
          <t>Net stable funding ratio — every cell shaded out by the Bank under the UK DoLSub waiver</t>
        </is>
      </c>
      <c r="B42" s="6" t="n"/>
      <c r="C42" s="6" t="n"/>
      <c r="D42" s="6" t="n"/>
      <c r="E42" s="6" t="n"/>
      <c r="F42" s="6" t="n"/>
    </row>
    <row r="43">
      <c r="A43" s="6" t="inlineStr">
        <is>
          <t>18    Total available stable funding</t>
        </is>
      </c>
      <c r="B43" s="6" t="n"/>
      <c r="C43" s="6" t="n"/>
      <c r="D43" s="6" t="n"/>
      <c r="E43" s="6" t="n"/>
      <c r="F43" s="6" t="n"/>
    </row>
    <row r="44">
      <c r="A44" s="6" t="inlineStr">
        <is>
          <t>19    Total required stable funding</t>
        </is>
      </c>
      <c r="B44" s="6" t="n"/>
      <c r="C44" s="6" t="n"/>
      <c r="D44" s="6" t="n"/>
      <c r="E44" s="6" t="n"/>
      <c r="F44" s="6" t="n"/>
    </row>
    <row r="45">
      <c r="A45" s="6" t="inlineStr">
        <is>
          <t>20    NSFR ratio (%)</t>
        </is>
      </c>
      <c r="B45" s="6" t="n"/>
      <c r="C45" s="6" t="n"/>
      <c r="D45" s="6" t="n"/>
      <c r="E45" s="6" t="n"/>
      <c r="F45" s="6" t="n"/>
    </row>
    <row r="47" ht="409" customHeight="1">
      <c r="A47" s="8" t="inlineStr">
        <is>
          <t>Sources - National Westminster Bank Plc's own Pillar 3 Report for each year, "UK KM1: Key metrics template" (Annex I: Key metrics and overview of risk-weighted assets). £m and % exactly as printed. Each year is taken from the edition in which it is the reporting year:
FY2025: NWB Plc Pillar 3 Report 2025, UK KM1 p.7, column '31 December 2025' - https://investors.natwestgroup.com/~/media/Files/R/RBS-IR-V2/results-center/13022026/nwb-pillar-3-report.pdf
FY2024: NWB Plc Pillar 3 Report 2024, UK KM1 p.7, column '31 December 2024' - https://investors.natwestgroup.com/~/media/Files/R/RBS-IR-V2/results-center/14022025/nwb-pillar-3-report.pdf
FY2023: NWB Plc Pillar 3 Report 2023, UK KM1 p.7, column '31 December 2023' - https://investors.natwestgroup.com/~/media/Files/R/RBS-IR-V2/results-center/16022024/nwb-plc-pillar-3-report.pdf
FY2022: NWB Plc Pillar 3 Report 2022, UK KM1 p.7, column '31 December 2022' - https://investors.natwestgroup.com/~/media/Files/R/RBS-IR-V2/results-center/17022023/nwb-plc-pillar-3-report.pdf
FY2021: the '31 December 2021' comparative column of the 2022 edition above - NWB Plc published no standalone Pillar 3 report for FY2021, and the FY2021 figures that do exist at this entity level appear inside NatWest Holdings Group's 2021 report as an IFRS 9-FL 'large subsidiaries' column, which is a DIFFERENT template and cannot supply UK KM1 rows: https://investors.natwestgroup.com/~/media/Files/R/RBS-IR-V2/results-center/18022022/nwh-pillar-3-supplement-fy-2021.pdf
LATEST-EDITION CHECK, 2026-09-16. NatWest Group's own investor site was enumerated directly - https://investors.natwestgroup.com/results-centre.aspx, which lists every Pillar 3 PDF the group hosts. The newest NWB Plc ANNUAL Pillar 3 is the 2025 report published 13 February 2026, already cited above and already in this workbook; NWB Plc's FY2026 year-end has not occurred. The site does carry two NEWER INTERIM NWB Plc editions than this workbook's Interim Pillar 3 sheet holds: Q1 2026 (https://investors.natwestgroup.com/~/media/Files/R/RBS-IR-V2/results-center/13052026/nwb-plc-pillar-3-q1-2026.pdf) and H1 2026 (https://investors.natwestgroup.com/~/media/Files/R/RBS-IR-V2/results-center/12082026/nwb-plc-pillar-3-hy-2026.pdf). They are noted here rather than transcribed, because this ticket covers the annual KM1 and neither adds a financial year. No annual year was added.
ENTITY, CHECKED ON THE DOCUMENT AND NOT ON THE WEBSITE. NatWest Group plc, NatWest Holdings Group, NatWest Markets Plc, The Royal Bank of Scotland plc and Coutts &amp; Company each publish their own Pillar 3 report from the same downloads page, each with its own UK KM1. Only documents headed "National Westminster Bank Plc ... Pillar 3 Report" are used above, and every column inside them is headed "NWB Plc". NatWest Group plc's KM1 is a different entity's disclosure and is NOT the source of any figure here. FY2021 was additionally confirmed by cross-reading NWH Group's 2021 report, whose NWB Plc column gives the same CET1 £13,924m and RWAs £86,217m as the 2022 edition's comparative.
TRANSCRIPTION NOTES:
• FIVE COLUMNS PER EDITION (31 Dec, 30 Sep, 30 Jun, 31 Mar, and the prior 31 Dec). Only the year-end column of each edition is carried here; the intra-year quarters are on the Interim Pillar 3 sheet.
• THE 2022 EDITION PRINTS ROWS NUMBERED 1-17 TWICE, ON CONSECUTIVE PAGES, FOR TWO DIFFERENT TEMPLATES. Page 6 is "IFRS 9-FL: Comparison of institutions' own funds and capital and leverage ratios with and without the application of transitional arrangements for IFRS 9", whose own preamble reads "Capital measures in this table are presented in line with table UK KM1". It is not UK KM1: its row 7 is Total risk-weighted assets where KM1's row 7 is Total capital ratio. The UK KM1 is on page 7 and is the only table used.
• ROWS 15-20 ARE BLANK IN EVERY EDITION BY A STATED WAIVER, not by omission, and not because they could not be found. The Bank prints all six rows with their cells shaded out and footnotes them: "Under the UK DoLSub waiver NWB plc liquidity is managed and disclosed at the sub-group level rather than entity level." This is the same kind of finding as a formal Article 432 exclusion: the Bank has declined to disclose liquidity at entity level, so no entity-level LCR or NSFR row exists to transcribe. The workbook's LCR and NSFR sheets carry the UK DoLSub (NWB Plc + RBS plc + Coutts &amp; Company) figures published elsewhere in the same reports - a sub-group basis, deliberately not copied into this entity-level template.</t>
        </is>
      </c>
    </row>
    <row r="49" ht="409" customHeight="1">
      <c r="A49" s="8" t="inlineStr">
        <is>
          <t>(continued)
• ROWS 10 AND UK 10a appear only in the 2022 edition, shaded blank there; the 2023-2025 editions drop them, footnoting "The following rows are not presented in the table above because they are not applicable: UK8a, UK9a, 10 and UK10a". The 2022 edition's equivalent footnote names only UK8a and UK9a. Rows UK 8a and UK 9a are absent from every edition for that stated reason.
• THE 1 JANUARY 2022 LEVERAGE BASIS BREAK: rows 13 and 14 are blank for FY2021 because the UK excluding-central-banks measure began on 1 January 2022. They are NOT filled from the prior CRR measure, which the same edition prints in its IFRS 9-FL table (rows 15/16: exposure measure £426,681m, ratio 3.8%) and which the Leverage Ratio sheet carries under its own basis caption. Two bases, never merged.
• UK 14a-14e are blank for FY2022 by the Bank's own footnote: "NWB Plc is not an LREQ firm therefore not subject to the additional leverage ratio disclosure requirements." The 2023 edition footnotes the switch: "From 1 January 2023, NWB Plc is subject to additional disclosure requirements for LREQ firms therefore 2022 comparatives are not available."
• PRINTED ZEROS KEPT AS ZEROS: row 9 reads "0.0" in the FY2021 column (the UK CCyB rate was 0% until 13 December 2022), and that is recorded as 0.0%, not left blank.
• A SOURCE TYPO: the 2023 edition numbers the leverage exposure row "13.0" instead of "13". The row is labelled "13" above, matching the other four editions; the typo is recorded here rather than reproduced in the label.
• IFRS 9 TRANSITIONAL BASIS. Every figure above is on the PRA transitional basis, as the Bank publishes it. The 2025 edition footnotes that NWB Plc's IFRS 9 transitional capital adjustments were maintained until 31 December 2024, so FY2021-FY2024 include that add-back and FY2025 does not - a basis change inside the series, stated by the Bank and not adjusted for here.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49:F49"/>
    <mergeCell ref="A47:F4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3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34"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row>
    <row r="6">
      <c r="A6" s="6" t="inlineStr">
        <is>
          <t>Total exposure measure including claims on central banks</t>
        </is>
      </c>
      <c r="B6" s="6" t="n">
        <v>453271</v>
      </c>
      <c r="C6" s="6" t="n">
        <v>424010</v>
      </c>
      <c r="D6" s="6" t="n">
        <v>407194</v>
      </c>
      <c r="E6" s="6" t="n">
        <v>403536</v>
      </c>
      <c r="F6" s="6" t="n"/>
      <c r="G6" s="6" t="n"/>
      <c r="H6" s="6" t="n"/>
      <c r="I6" s="6" t="n"/>
      <c r="J6" s="6" t="n"/>
      <c r="K6" s="6" t="n"/>
      <c r="L6" s="6" t="n"/>
    </row>
    <row r="7">
      <c r="A7" s="6" t="inlineStr">
        <is>
          <t>Claims on central banks excluded</t>
        </is>
      </c>
      <c r="B7" s="6" t="n">
        <v>-28717</v>
      </c>
      <c r="C7" s="6" t="n">
        <v>-33978</v>
      </c>
      <c r="D7" s="6" t="n">
        <v>-47297</v>
      </c>
      <c r="E7" s="6" t="n">
        <v>-62228</v>
      </c>
      <c r="F7" s="6" t="n"/>
      <c r="G7" s="6" t="n"/>
      <c r="H7" s="6" t="n"/>
      <c r="I7" s="6" t="n"/>
      <c r="J7" s="6" t="n"/>
      <c r="K7" s="6" t="n"/>
      <c r="L7" s="6" t="n"/>
    </row>
    <row r="8">
      <c r="A8" s="6" t="inlineStr">
        <is>
          <t>Leverage ratio including claims on central banks (%)</t>
        </is>
      </c>
      <c r="B8" s="6" t="inlineStr">
        <is>
          <t>4.0%</t>
        </is>
      </c>
      <c r="C8" s="6" t="inlineStr">
        <is>
          <t>4.1%</t>
        </is>
      </c>
      <c r="D8" s="6" t="inlineStr">
        <is>
          <t>4.0%</t>
        </is>
      </c>
      <c r="E8" s="6" t="inlineStr">
        <is>
          <t>3.7%</t>
        </is>
      </c>
      <c r="F8" s="6" t="n"/>
      <c r="G8" s="6" t="n"/>
      <c r="H8" s="6" t="n"/>
      <c r="I8" s="6" t="n"/>
      <c r="J8" s="6" t="n"/>
      <c r="K8" s="6" t="n"/>
      <c r="L8" s="6" t="n"/>
    </row>
    <row r="9" ht="273" customHeight="1">
      <c r="A9"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
BOTH LEVERAGE BASES NOW CARRIED, FY2022-FY2025 - ADDED 2026-10-09 (GA-026). Template UK LR2 (LRCom) prints BOTH measures: row 24 and UK-25c on the INCLUDING-claims-on-central-banks basis, UK-24b and 25 on the EXCLUDING basis, with the reconciling deduction at UK-24a. Until today this sheet carried only one side and did not say which, so a reader could not tell the two apart. The first two rows above are the EXCLUDING measure for FY2022 onward (confirmed below) and the three new rows are the including side. Row order is deliberate and must not be rearranged: check_overview_ties.py reads the FIRST cell printed as a percentage on a ratio sheet, so the excluding ratio has to keep its place ahead of the including one.
EACH YEAR FROM ITS OWN EDITION, template UK LR2 - LRCom 'continued', entity column headed 'NWB Plc' (the entity this workbook is about, not NatWest Group):
  FY2025 - NWB Plc Pillar 3 Report 2025, p.22, 31 December 2025 column: row 24 453,271; UK-24a (28,717); UK-24b 424,554; row 25 4.2%; UK-25c 4.0%.
  FY2024 - NWB Plc Pillar 3 Report 2024, p.24, 31 December 2024 column: row 24 424,010; UK-24a (33,978); UK-24b 390,032; row 25 4.4%; UK-25c 4.1%.
  FY2023 - NWB Plc Pillar 3 Report 2023, p.24, 31 December 2023 column: row 24 407,194; UK-24a (47,297); UK-24b 359,897; row 25 4.5%; UK-25c 4.0%.
  FY2022 - NWB Plc Pillar 3 Report 2022, p.21, 31 December 2022 column: row 24 403,536; UK-24a (62,228); UK-24b 341,308; row 25 4.4%; UK-25c 3.7%.
THE FY2022 EDITION'S SECOND COLUMN IS 30 JUNE 2022, NOT A YEAR-END, and is deliberately not used. Its own footnote says so: 'The prior period values are as at 30 June 2022 to provide a comparable view of the leverage metrics based on the current requirements in the Leverage Ratio (CRR) part of the PRA rulebook.' Read at 300 dpi to be certain of the column heading before anything was taken from that page (30 June 2022: row 24 430,222; UK-24a (90,136); UK-24b 340,086; UK-25c 3.4%).
CHECKS RUN BEFORE TRANSCRIBING. (1) ENTITY: the excluding measure printed at UK-24b reproduces the figure this sheet already carried in every one of the four years (424,554 / 390,032 / 359,897 / 341,308), so the table is the same entity as the rest of the workbook - the check that caught two other banks in this batch whose LR2 turned out to be group-level. (2) CROSS-EDITION: each edition's comparative column equals the next edition's own-year column to the last digit in all five rows (FY2024, FY2023 and FY2022 each checked twice). No self-disagreement. (3) ARITHMETIC: row 24 minus UK-24a equals UK-24b in all four years. (4) RATIO TIE: row 23 Tier 1 capital (leverage) divided by each exposure measure reproduces both printed ratios in all four years (e.g. FY2025 17,910/453,271 = 3.95% -&gt; 4.0%, 17,910/424,554 = 4.22% -&gt; 4.2%). Nothing here is computed on the bank's behalf; every figure is printed in the cited table.
FY2021 AND EARLIER GET NO INCLUDING-BASIS FIGURE, and that is correct rather than a gap: the UK dual basis took effect only for periods from 1 January 2022. The FY2021 source is in any case the NatWest Holdings Pillar 3 supplement, which prints the OLD CRR 'LRCom: Leverage ratio common disclosure template' - a single total exposure measure with no basis split and none of the UK-24a/UK-24b/UK-25c rows. See the 1 January 2022 basis-break note already recorded above and on the KM1 sheet; the two bases are never merged into one row.</t>
        </is>
      </c>
    </row>
    <row r="11" ht="150" customHeight="1">
      <c r="A11"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11:L11"/>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row>
    <row r="5" ht="39"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row>
    <row r="5" ht="3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ratio in the NWB Plc 2025 Pillar 3 or AR (searched 2026-09-19): only internal MREL amounts and the TLAC2 creditor ranking</t>
        </is>
      </c>
      <c r="C4" s="6" t="inlineStr">
        <is>
          <t>Not published – no MREL ratio in the NWB Plc 2024 Pillar 3 or AR (searched 2026-09-19): only internal MREL amounts and the TLAC2 creditor ranking</t>
        </is>
      </c>
      <c r="D4" s="6" t="inlineStr">
        <is>
          <t>Not published – no MREL ratio in the NWB Plc 2023 Pillar 3 or AR (searched 2026-09-19): only internal MREL amounts and the TLAC2 creditor ranking</t>
        </is>
      </c>
      <c r="E4" s="6" t="inlineStr">
        <is>
          <t>Not published – no MREL ratio in the NWB Plc 2022 Pillar 3 or AR (searched 2026-09-19): only internal MREL amounts and the TLAC2 creditor ranking</t>
        </is>
      </c>
      <c r="F4" s="6" t="inlineStr">
        <is>
          <t>Not published – no MREL ratio in the FY2021 accounts (OCR'd 2026-09-19): internal MREL amounts only; MREL cross-referred to the group Pillar 3</t>
        </is>
      </c>
      <c r="G4" s="6" t="inlineStr">
        <is>
          <t>Not published – no MREL ratio in the FY2020 accounts (OCR'd 2026-09-19): internal MREL amounts only; MREL cross-referred to the group Pillar 3</t>
        </is>
      </c>
      <c r="H4" s="6" t="inlineStr">
        <is>
          <t>Not published – no MREL ratio in the FY2019 accounts (OCR'd 2026-09-19): internal MREL amounts only; MREL cross-referred to the group Pillar 3</t>
        </is>
      </c>
      <c r="I4" s="6" t="inlineStr">
        <is>
          <t>Not published – no MREL ratio in the FY2018 accounts (OCR'd 2026-09-19): internal MREL amounts only; MREL cross-referred to the group Pillar 3</t>
        </is>
      </c>
      <c r="J4" s="6" t="inlineStr">
        <is>
          <t>Not published – the FY2017 accounts (OCR'd 2026-09-19) mention MREL only as regulatory narrative; no ratio for the entity</t>
        </is>
      </c>
      <c r="K4" s="6" t="inlineStr">
        <is>
          <t>Not published – the FY2016 accounts (OCR'd 2026-09-19) mention MREL only as regulatory narrative; no ratio for the entity</t>
        </is>
      </c>
      <c r="L4" s="6" t="inlineStr">
        <is>
          <t>Not published – the FY2015 accounts (OCR'd 2026-09-19) mention MREL only as regulatory narrative; no ratio for the entity</t>
        </is>
      </c>
      <c r="M4" s="6" t="inlineStr">
        <is>
          <t>Not published – the FY2014 accounts (OCR'd 2026-09-19) mention MREL only as regulatory narrative; no ratio for the entity</t>
        </is>
      </c>
    </row>
    <row r="5" ht="3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 GA-020 re-check 2026-09-19: NWB Plc Pillar 3 2022-2025 and Annual Reports 2022-2025 full-text searched, FY2014-FY2021 Companies House accounts OCR'd - internal MREL amounts, the TLAC2 creditor ranking and a cross-reference to the group Pillar 3 appear, never a ratio for NWB Plc.</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National Westminster Bank Plc — Interim Pillar 3</t>
        </is>
      </c>
    </row>
    <row r="2">
      <c r="A2" s="2" t="inlineStr">
        <is>
          <t>Quarterly UK KM1 key metrics, March 2022 to June 2026. Capital and leverage figures are NWB Plc entity-level disclosures in £m or percentages.</t>
        </is>
      </c>
    </row>
    <row r="3"/>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c r="P4" s="4" t="inlineStr">
        <is>
          <t>31 March 2026</t>
        </is>
      </c>
      <c r="Q4" s="4" t="inlineStr">
        <is>
          <t>30 June 2026</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c r="P5" s="9" t="n">
        <v>16253</v>
      </c>
      <c r="Q5" s="9" t="n">
        <v>15656</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c r="P6" s="9" t="n">
        <v>19194</v>
      </c>
      <c r="Q6" s="9" t="n">
        <v>19097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c r="P7" s="9" t="n">
        <v>23533</v>
      </c>
      <c r="Q7" s="9" t="n">
        <v>23433</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c r="P8" s="9" t="n">
        <v>136280</v>
      </c>
      <c r="Q8" s="9" t="n">
        <v>139256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c r="P9" s="9" t="inlineStr">
        <is>
          <t>11.9%</t>
        </is>
      </c>
      <c r="Q9" s="9" t="inlineStr">
        <is>
          <t>11.2%</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c r="P10" s="9" t="inlineStr">
        <is>
          <t>14.1%</t>
        </is>
      </c>
      <c r="Q10" s="9" t="inlineStr">
        <is>
          <t>13.7%</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c r="P11" s="9" t="inlineStr">
        <is>
          <t>17.3%</t>
        </is>
      </c>
      <c r="Q11" s="9" t="inlineStr">
        <is>
          <t>16.8%</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c r="P12" s="9" t="n">
        <v>432245</v>
      </c>
      <c r="Q12" s="9" t="n">
        <v>436753</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c r="P13" s="9" t="inlineStr">
        <is>
          <t>4.4%</t>
        </is>
      </c>
      <c r="Q13" s="9" t="inlineStr">
        <is>
          <t>4.4%</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0">
      <c r="A30" s="6" t="inlineStr">
        <is>
          <t>31 March 2026</t>
        </is>
      </c>
      <c r="B30" s="6" t="inlineStr">
        <is>
          <t>Q1 2026</t>
        </is>
      </c>
      <c r="C30" s="9" t="inlineStr">
        <is>
          <t>https://investors.natwestgroup.com/~/media/Files/R/RBS-IR-V2/results-center/13052026/nwb-plc-pillar-3-q1-2026.pdf</t>
        </is>
      </c>
      <c r="D30" s="6" t="inlineStr">
        <is>
          <t>p.5</t>
        </is>
      </c>
    </row>
    <row r="31">
      <c r="A31" s="6" t="inlineStr">
        <is>
          <t>30 June 2026</t>
        </is>
      </c>
      <c r="B31" s="6" t="inlineStr">
        <is>
          <t>H1 2026</t>
        </is>
      </c>
      <c r="C31" s="9" t="inlineStr">
        <is>
          <t>https://investors.natwestgroup.com/~/media/Files/R/RBS-IR-V2/results-center/12082026/nwb-plc-pillar-3-hy-2026.pdf</t>
        </is>
      </c>
      <c r="D31" s="6" t="inlineStr">
        <is>
          <t>p.5</t>
        </is>
      </c>
    </row>
    <row r="33" ht="130" customHeight="1">
      <c r="A33" s="8" t="inlineStr">
        <is>
          <t>Note: Sources for March 2022 to September 2025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
2026 periods (added 18 September 2026). 31 March 2026 comes from NWB Plc Pillar 3 - Q1 2026 (published 13 May 2026) and 30 June 2026 from NWB Plc Pillar 3 - H1 2026 (published 12 August 2026), each taken from the edition in which that date is the reporting date rather than from a later edition's comparative column. THERE IS NO FY2026 COLUMN ON ANY ANNUAL SHEET IN THIS WORKBOOK AND THERE CANNOT YET BE ONE: NWB Plc has a 31 December year-end, so the FY2026 reporting date (31 December 2026) had not been reached when this workbook was built, and no FY2026 Annual Report or annual Pillar 3 report exists. These two 2026 observations are a first-quarter and a half-year reporting date and are deliberately held here, dated, rather than placed in a year-end column - a 30 June measurement and a 31 December measurement are not the same thing. The 30 September 2026 quarter had not ended, so no Q3 2026 edition exists yet; that is an absence in the publication calendar, not a document that could not be obtained. Note that these two are the bank's Q1 and half-year editions, not Q3 editions like the earlier periods on this sheet, which is why their KM1 sits on printed page 5 rather than page 6.
Restatement check. Both 2026 editions reprint 31 December 2025 and the 2025 quarter-ends as comparatives, and all of them are printed identically to the figures this workbook already holds - 31 December 2025: CET1 £14,968m, tier 1 £17,910m, total capital £21,701m, RWEA £133,749m, 11.2% / 13.4% / 16.2%, leverage exposure £424,554m, leverage ratio 4.2% (matching the annual metric sheets); and 31 March, 30 June and 30 September 2025 each matching the columns already on this sheet. No restatement of any previously held figure was found, so nothing was overwritten. Both 2026 editions also agree digit-for-digit with each other on 31 March 2026. Consistent with the DoLSub waiver, rows 15-20 (LCR and NSFR) are printed EMPTY in both 2026 editions, with the bank's own footnote 3 stating that NWB Plc liquidity and funding are managed and disclosed at sub-group level rather than entity level - an explanation of where those figures live, not a gap in this transcription. Both editions also footnote that rows UK8a, UK9a, 10 and UK10a are omitted as not applicable.</t>
        </is>
      </c>
    </row>
  </sheetData>
  <mergeCells count="1">
    <mergeCell ref="A33:Q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D6" r:id="rId15"/>
    <hyperlink xmlns:r="http://schemas.openxmlformats.org/officeDocument/2006/relationships" ref="E6" r:id="rId16"/>
    <hyperlink xmlns:r="http://schemas.openxmlformats.org/officeDocument/2006/relationships" ref="F6" r:id="rId17"/>
    <hyperlink xmlns:r="http://schemas.openxmlformats.org/officeDocument/2006/relationships" ref="G6" r:id="rId18"/>
    <hyperlink xmlns:r="http://schemas.openxmlformats.org/officeDocument/2006/relationships" ref="H6" r:id="rId19"/>
    <hyperlink xmlns:r="http://schemas.openxmlformats.org/officeDocument/2006/relationships" ref="I6" r:id="rId20"/>
    <hyperlink xmlns:r="http://schemas.openxmlformats.org/officeDocument/2006/relationships" ref="J6" r:id="rId21"/>
    <hyperlink xmlns:r="http://schemas.openxmlformats.org/officeDocument/2006/relationships" ref="K6" r:id="rId22"/>
    <hyperlink xmlns:r="http://schemas.openxmlformats.org/officeDocument/2006/relationships" ref="L6" r:id="rId23"/>
    <hyperlink xmlns:r="http://schemas.openxmlformats.org/officeDocument/2006/relationships" ref="M6" r:id="rId24"/>
    <hyperlink xmlns:r="http://schemas.openxmlformats.org/officeDocument/2006/relationships" ref="N6" r:id="rId25"/>
    <hyperlink xmlns:r="http://schemas.openxmlformats.org/officeDocument/2006/relationships" ref="O6" r:id="rId26"/>
    <hyperlink xmlns:r="http://schemas.openxmlformats.org/officeDocument/2006/relationships" ref="P6" r:id="rId27"/>
    <hyperlink xmlns:r="http://schemas.openxmlformats.org/officeDocument/2006/relationships" ref="Q6" r:id="rId28"/>
    <hyperlink xmlns:r="http://schemas.openxmlformats.org/officeDocument/2006/relationships" ref="D7" r:id="rId29"/>
    <hyperlink xmlns:r="http://schemas.openxmlformats.org/officeDocument/2006/relationships" ref="E7" r:id="rId30"/>
    <hyperlink xmlns:r="http://schemas.openxmlformats.org/officeDocument/2006/relationships" ref="F7" r:id="rId31"/>
    <hyperlink xmlns:r="http://schemas.openxmlformats.org/officeDocument/2006/relationships" ref="G7" r:id="rId32"/>
    <hyperlink xmlns:r="http://schemas.openxmlformats.org/officeDocument/2006/relationships" ref="H7" r:id="rId33"/>
    <hyperlink xmlns:r="http://schemas.openxmlformats.org/officeDocument/2006/relationships" ref="I7" r:id="rId34"/>
    <hyperlink xmlns:r="http://schemas.openxmlformats.org/officeDocument/2006/relationships" ref="J7" r:id="rId35"/>
    <hyperlink xmlns:r="http://schemas.openxmlformats.org/officeDocument/2006/relationships" ref="K7" r:id="rId36"/>
    <hyperlink xmlns:r="http://schemas.openxmlformats.org/officeDocument/2006/relationships" ref="L7" r:id="rId37"/>
    <hyperlink xmlns:r="http://schemas.openxmlformats.org/officeDocument/2006/relationships" ref="M7" r:id="rId38"/>
    <hyperlink xmlns:r="http://schemas.openxmlformats.org/officeDocument/2006/relationships" ref="N7" r:id="rId39"/>
    <hyperlink xmlns:r="http://schemas.openxmlformats.org/officeDocument/2006/relationships" ref="O7" r:id="rId40"/>
    <hyperlink xmlns:r="http://schemas.openxmlformats.org/officeDocument/2006/relationships" ref="P7" r:id="rId41"/>
    <hyperlink xmlns:r="http://schemas.openxmlformats.org/officeDocument/2006/relationships" ref="Q7" r:id="rId42"/>
    <hyperlink xmlns:r="http://schemas.openxmlformats.org/officeDocument/2006/relationships" ref="D8" r:id="rId43"/>
    <hyperlink xmlns:r="http://schemas.openxmlformats.org/officeDocument/2006/relationships" ref="E8" r:id="rId44"/>
    <hyperlink xmlns:r="http://schemas.openxmlformats.org/officeDocument/2006/relationships" ref="F8" r:id="rId45"/>
    <hyperlink xmlns:r="http://schemas.openxmlformats.org/officeDocument/2006/relationships" ref="G8" r:id="rId46"/>
    <hyperlink xmlns:r="http://schemas.openxmlformats.org/officeDocument/2006/relationships" ref="H8" r:id="rId47"/>
    <hyperlink xmlns:r="http://schemas.openxmlformats.org/officeDocument/2006/relationships" ref="I8" r:id="rId48"/>
    <hyperlink xmlns:r="http://schemas.openxmlformats.org/officeDocument/2006/relationships" ref="J8" r:id="rId49"/>
    <hyperlink xmlns:r="http://schemas.openxmlformats.org/officeDocument/2006/relationships" ref="K8" r:id="rId50"/>
    <hyperlink xmlns:r="http://schemas.openxmlformats.org/officeDocument/2006/relationships" ref="L8" r:id="rId51"/>
    <hyperlink xmlns:r="http://schemas.openxmlformats.org/officeDocument/2006/relationships" ref="M8" r:id="rId52"/>
    <hyperlink xmlns:r="http://schemas.openxmlformats.org/officeDocument/2006/relationships" ref="N8" r:id="rId53"/>
    <hyperlink xmlns:r="http://schemas.openxmlformats.org/officeDocument/2006/relationships" ref="O8" r:id="rId54"/>
    <hyperlink xmlns:r="http://schemas.openxmlformats.org/officeDocument/2006/relationships" ref="P8" r:id="rId55"/>
    <hyperlink xmlns:r="http://schemas.openxmlformats.org/officeDocument/2006/relationships" ref="Q8" r:id="rId56"/>
    <hyperlink xmlns:r="http://schemas.openxmlformats.org/officeDocument/2006/relationships" ref="D9" r:id="rId57"/>
    <hyperlink xmlns:r="http://schemas.openxmlformats.org/officeDocument/2006/relationships" ref="E9" r:id="rId58"/>
    <hyperlink xmlns:r="http://schemas.openxmlformats.org/officeDocument/2006/relationships" ref="F9" r:id="rId59"/>
    <hyperlink xmlns:r="http://schemas.openxmlformats.org/officeDocument/2006/relationships" ref="G9" r:id="rId60"/>
    <hyperlink xmlns:r="http://schemas.openxmlformats.org/officeDocument/2006/relationships" ref="H9" r:id="rId61"/>
    <hyperlink xmlns:r="http://schemas.openxmlformats.org/officeDocument/2006/relationships" ref="I9" r:id="rId62"/>
    <hyperlink xmlns:r="http://schemas.openxmlformats.org/officeDocument/2006/relationships" ref="J9" r:id="rId63"/>
    <hyperlink xmlns:r="http://schemas.openxmlformats.org/officeDocument/2006/relationships" ref="K9" r:id="rId64"/>
    <hyperlink xmlns:r="http://schemas.openxmlformats.org/officeDocument/2006/relationships" ref="L9" r:id="rId65"/>
    <hyperlink xmlns:r="http://schemas.openxmlformats.org/officeDocument/2006/relationships" ref="M9" r:id="rId66"/>
    <hyperlink xmlns:r="http://schemas.openxmlformats.org/officeDocument/2006/relationships" ref="N9" r:id="rId67"/>
    <hyperlink xmlns:r="http://schemas.openxmlformats.org/officeDocument/2006/relationships" ref="O9" r:id="rId68"/>
    <hyperlink xmlns:r="http://schemas.openxmlformats.org/officeDocument/2006/relationships" ref="P9" r:id="rId69"/>
    <hyperlink xmlns:r="http://schemas.openxmlformats.org/officeDocument/2006/relationships" ref="Q9" r:id="rId70"/>
    <hyperlink xmlns:r="http://schemas.openxmlformats.org/officeDocument/2006/relationships" ref="D10" r:id="rId71"/>
    <hyperlink xmlns:r="http://schemas.openxmlformats.org/officeDocument/2006/relationships" ref="E10" r:id="rId72"/>
    <hyperlink xmlns:r="http://schemas.openxmlformats.org/officeDocument/2006/relationships" ref="F10" r:id="rId73"/>
    <hyperlink xmlns:r="http://schemas.openxmlformats.org/officeDocument/2006/relationships" ref="G10" r:id="rId74"/>
    <hyperlink xmlns:r="http://schemas.openxmlformats.org/officeDocument/2006/relationships" ref="H10" r:id="rId75"/>
    <hyperlink xmlns:r="http://schemas.openxmlformats.org/officeDocument/2006/relationships" ref="I10" r:id="rId76"/>
    <hyperlink xmlns:r="http://schemas.openxmlformats.org/officeDocument/2006/relationships" ref="J10" r:id="rId77"/>
    <hyperlink xmlns:r="http://schemas.openxmlformats.org/officeDocument/2006/relationships" ref="K10" r:id="rId78"/>
    <hyperlink xmlns:r="http://schemas.openxmlformats.org/officeDocument/2006/relationships" ref="L10" r:id="rId79"/>
    <hyperlink xmlns:r="http://schemas.openxmlformats.org/officeDocument/2006/relationships" ref="M10" r:id="rId80"/>
    <hyperlink xmlns:r="http://schemas.openxmlformats.org/officeDocument/2006/relationships" ref="N10" r:id="rId81"/>
    <hyperlink xmlns:r="http://schemas.openxmlformats.org/officeDocument/2006/relationships" ref="O10" r:id="rId82"/>
    <hyperlink xmlns:r="http://schemas.openxmlformats.org/officeDocument/2006/relationships" ref="P10" r:id="rId83"/>
    <hyperlink xmlns:r="http://schemas.openxmlformats.org/officeDocument/2006/relationships" ref="Q10" r:id="rId84"/>
    <hyperlink xmlns:r="http://schemas.openxmlformats.org/officeDocument/2006/relationships" ref="D11" r:id="rId85"/>
    <hyperlink xmlns:r="http://schemas.openxmlformats.org/officeDocument/2006/relationships" ref="E11" r:id="rId86"/>
    <hyperlink xmlns:r="http://schemas.openxmlformats.org/officeDocument/2006/relationships" ref="F11" r:id="rId87"/>
    <hyperlink xmlns:r="http://schemas.openxmlformats.org/officeDocument/2006/relationships" ref="G11" r:id="rId88"/>
    <hyperlink xmlns:r="http://schemas.openxmlformats.org/officeDocument/2006/relationships" ref="H11" r:id="rId89"/>
    <hyperlink xmlns:r="http://schemas.openxmlformats.org/officeDocument/2006/relationships" ref="I11" r:id="rId90"/>
    <hyperlink xmlns:r="http://schemas.openxmlformats.org/officeDocument/2006/relationships" ref="J11" r:id="rId91"/>
    <hyperlink xmlns:r="http://schemas.openxmlformats.org/officeDocument/2006/relationships" ref="K11" r:id="rId92"/>
    <hyperlink xmlns:r="http://schemas.openxmlformats.org/officeDocument/2006/relationships" ref="L11" r:id="rId93"/>
    <hyperlink xmlns:r="http://schemas.openxmlformats.org/officeDocument/2006/relationships" ref="M11" r:id="rId94"/>
    <hyperlink xmlns:r="http://schemas.openxmlformats.org/officeDocument/2006/relationships" ref="N11" r:id="rId95"/>
    <hyperlink xmlns:r="http://schemas.openxmlformats.org/officeDocument/2006/relationships" ref="O11" r:id="rId96"/>
    <hyperlink xmlns:r="http://schemas.openxmlformats.org/officeDocument/2006/relationships" ref="P11" r:id="rId97"/>
    <hyperlink xmlns:r="http://schemas.openxmlformats.org/officeDocument/2006/relationships" ref="Q11" r:id="rId98"/>
    <hyperlink xmlns:r="http://schemas.openxmlformats.org/officeDocument/2006/relationships" ref="D12" r:id="rId99"/>
    <hyperlink xmlns:r="http://schemas.openxmlformats.org/officeDocument/2006/relationships" ref="E12" r:id="rId100"/>
    <hyperlink xmlns:r="http://schemas.openxmlformats.org/officeDocument/2006/relationships" ref="F12" r:id="rId101"/>
    <hyperlink xmlns:r="http://schemas.openxmlformats.org/officeDocument/2006/relationships" ref="G12" r:id="rId102"/>
    <hyperlink xmlns:r="http://schemas.openxmlformats.org/officeDocument/2006/relationships" ref="H12" r:id="rId103"/>
    <hyperlink xmlns:r="http://schemas.openxmlformats.org/officeDocument/2006/relationships" ref="I12" r:id="rId104"/>
    <hyperlink xmlns:r="http://schemas.openxmlformats.org/officeDocument/2006/relationships" ref="J12" r:id="rId105"/>
    <hyperlink xmlns:r="http://schemas.openxmlformats.org/officeDocument/2006/relationships" ref="K12" r:id="rId106"/>
    <hyperlink xmlns:r="http://schemas.openxmlformats.org/officeDocument/2006/relationships" ref="L12" r:id="rId107"/>
    <hyperlink xmlns:r="http://schemas.openxmlformats.org/officeDocument/2006/relationships" ref="M12" r:id="rId108"/>
    <hyperlink xmlns:r="http://schemas.openxmlformats.org/officeDocument/2006/relationships" ref="N12" r:id="rId109"/>
    <hyperlink xmlns:r="http://schemas.openxmlformats.org/officeDocument/2006/relationships" ref="O12" r:id="rId110"/>
    <hyperlink xmlns:r="http://schemas.openxmlformats.org/officeDocument/2006/relationships" ref="P12" r:id="rId111"/>
    <hyperlink xmlns:r="http://schemas.openxmlformats.org/officeDocument/2006/relationships" ref="Q12" r:id="rId112"/>
    <hyperlink xmlns:r="http://schemas.openxmlformats.org/officeDocument/2006/relationships" ref="D13" r:id="rId113"/>
    <hyperlink xmlns:r="http://schemas.openxmlformats.org/officeDocument/2006/relationships" ref="E13" r:id="rId114"/>
    <hyperlink xmlns:r="http://schemas.openxmlformats.org/officeDocument/2006/relationships" ref="F13" r:id="rId115"/>
    <hyperlink xmlns:r="http://schemas.openxmlformats.org/officeDocument/2006/relationships" ref="G13" r:id="rId116"/>
    <hyperlink xmlns:r="http://schemas.openxmlformats.org/officeDocument/2006/relationships" ref="H13" r:id="rId117"/>
    <hyperlink xmlns:r="http://schemas.openxmlformats.org/officeDocument/2006/relationships" ref="I13" r:id="rId118"/>
    <hyperlink xmlns:r="http://schemas.openxmlformats.org/officeDocument/2006/relationships" ref="J13" r:id="rId119"/>
    <hyperlink xmlns:r="http://schemas.openxmlformats.org/officeDocument/2006/relationships" ref="K13" r:id="rId120"/>
    <hyperlink xmlns:r="http://schemas.openxmlformats.org/officeDocument/2006/relationships" ref="L13" r:id="rId121"/>
    <hyperlink xmlns:r="http://schemas.openxmlformats.org/officeDocument/2006/relationships" ref="M13" r:id="rId122"/>
    <hyperlink xmlns:r="http://schemas.openxmlformats.org/officeDocument/2006/relationships" ref="N13" r:id="rId123"/>
    <hyperlink xmlns:r="http://schemas.openxmlformats.org/officeDocument/2006/relationships" ref="O13" r:id="rId124"/>
    <hyperlink xmlns:r="http://schemas.openxmlformats.org/officeDocument/2006/relationships" ref="P13" r:id="rId125"/>
    <hyperlink xmlns:r="http://schemas.openxmlformats.org/officeDocument/2006/relationships" ref="Q13" r:id="rId126"/>
    <hyperlink xmlns:r="http://schemas.openxmlformats.org/officeDocument/2006/relationships" ref="C18" r:id="rId127"/>
    <hyperlink xmlns:r="http://schemas.openxmlformats.org/officeDocument/2006/relationships" ref="C19" r:id="rId128"/>
    <hyperlink xmlns:r="http://schemas.openxmlformats.org/officeDocument/2006/relationships" ref="C20" r:id="rId129"/>
    <hyperlink xmlns:r="http://schemas.openxmlformats.org/officeDocument/2006/relationships" ref="C21" r:id="rId130"/>
    <hyperlink xmlns:r="http://schemas.openxmlformats.org/officeDocument/2006/relationships" ref="C22" r:id="rId131"/>
    <hyperlink xmlns:r="http://schemas.openxmlformats.org/officeDocument/2006/relationships" ref="C23" r:id="rId132"/>
    <hyperlink xmlns:r="http://schemas.openxmlformats.org/officeDocument/2006/relationships" ref="C24" r:id="rId133"/>
    <hyperlink xmlns:r="http://schemas.openxmlformats.org/officeDocument/2006/relationships" ref="C25" r:id="rId134"/>
    <hyperlink xmlns:r="http://schemas.openxmlformats.org/officeDocument/2006/relationships" ref="C26" r:id="rId135"/>
    <hyperlink xmlns:r="http://schemas.openxmlformats.org/officeDocument/2006/relationships" ref="C27" r:id="rId136"/>
    <hyperlink xmlns:r="http://schemas.openxmlformats.org/officeDocument/2006/relationships" ref="C28" r:id="rId137"/>
    <hyperlink xmlns:r="http://schemas.openxmlformats.org/officeDocument/2006/relationships" ref="C29" r:id="rId138"/>
    <hyperlink xmlns:r="http://schemas.openxmlformats.org/officeDocument/2006/relationships" ref="C30" r:id="rId139"/>
    <hyperlink xmlns:r="http://schemas.openxmlformats.org/officeDocument/2006/relationships" ref="C3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2026-10-26T09:36:11Z</dcterms:created>
  <dcterms:modified xmlns:dcterms="http://purl.org/dc/terms/" xmlns:xsi="http://www.w3.org/2001/XMLSchema-instance" xsi:type="dcterms:W3CDTF">2026-10-26T09:36:11Z</dcterms:modified>
</cp:coreProperties>
</file>