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223DA"/>
        <bgColor rgb="004223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EFG Private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EFG Private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'Overview'!O6</f>
            </strRef>
          </tx>
          <spPr>
            <a:ln xmlns:a="http://schemas.openxmlformats.org/drawingml/2006/main">
              <a:prstDash val="solid"/>
            </a:ln>
          </spPr>
          <marker>
            <symbol val="none"/>
            <spPr>
              <a:ln xmlns:a="http://schemas.openxmlformats.org/drawingml/2006/main">
                <a:prstDash val="solid"/>
              </a:ln>
            </spPr>
          </marker>
          <cat>
            <numRef>
              <f>'Overview'!$P$5:$S$5</f>
            </numRef>
          </cat>
          <val>
            <numRef>
              <f>'Overview'!$P$6:$S$6</f>
            </numRef>
          </val>
          <smooth val="0"/>
        </ser>
        <ser>
          <idx val="1"/>
          <order val="1"/>
          <tx>
            <strRef>
              <f>'Overview'!O7</f>
            </strRef>
          </tx>
          <spPr>
            <a:ln xmlns:a="http://schemas.openxmlformats.org/drawingml/2006/main">
              <a:prstDash val="solid"/>
            </a:ln>
          </spPr>
          <marker>
            <symbol val="none"/>
            <spPr>
              <a:ln xmlns:a="http://schemas.openxmlformats.org/drawingml/2006/main">
                <a:prstDash val="solid"/>
              </a:ln>
            </spPr>
          </marker>
          <cat>
            <numRef>
              <f>'Overview'!$P$5:$S$5</f>
            </numRef>
          </cat>
          <val>
            <numRef>
              <f>'Overview'!$P$7:$S$7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18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40</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S1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s>
  <sheetData>
    <row r="1">
      <c r="A1" s="1" t="inlineStr">
        <is>
          <t>EFG Private Bank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P5" t="inlineStr">
        <is>
          <t>FY2021</t>
        </is>
      </c>
      <c r="Q5" t="inlineStr">
        <is>
          <t>FY2022</t>
        </is>
      </c>
      <c r="R5" t="inlineStr">
        <is>
          <t>FY2023</t>
        </is>
      </c>
      <c r="S5" t="inlineStr">
        <is>
          <t>FY2024</t>
        </is>
      </c>
    </row>
    <row r="6">
      <c r="A6" s="5" t="inlineStr">
        <is>
          <t>Net cash flows from operating activities</t>
        </is>
      </c>
      <c r="B6" s="5" t="n">
        <v>280358</v>
      </c>
      <c r="C6" s="5" t="n">
        <v>89816</v>
      </c>
      <c r="D6" s="5" t="n">
        <v>547141</v>
      </c>
      <c r="E6" s="5" t="n">
        <v>586667</v>
      </c>
      <c r="H6" t="inlineStr">
        <is>
          <t>Net cash flows from operating activities</t>
        </is>
      </c>
      <c r="I6" t="n">
        <v>586667</v>
      </c>
      <c r="J6" t="n">
        <v>547141</v>
      </c>
      <c r="K6" t="n">
        <v>89816</v>
      </c>
      <c r="L6" t="n">
        <v>280358</v>
      </c>
      <c r="O6" t="inlineStr">
        <is>
          <t>CET1 Ratio</t>
        </is>
      </c>
      <c r="P6" t="n">
        <v>14.8</v>
      </c>
      <c r="Q6" t="n">
        <v>10.9</v>
      </c>
    </row>
    <row r="7">
      <c r="A7" s="5" t="inlineStr">
        <is>
          <t>Net cash flows used in investing activities</t>
        </is>
      </c>
      <c r="B7" s="5" t="n">
        <v>-193074</v>
      </c>
      <c r="C7" s="5" t="n">
        <v>-604152</v>
      </c>
      <c r="D7" s="5" t="n">
        <v>-597130</v>
      </c>
      <c r="E7" s="5" t="n">
        <v>-6442</v>
      </c>
      <c r="H7" t="inlineStr">
        <is>
          <t>Net cash flows used in investing activities</t>
        </is>
      </c>
      <c r="I7" t="n">
        <v>-6442</v>
      </c>
      <c r="J7" t="n">
        <v>-597130</v>
      </c>
      <c r="K7" t="n">
        <v>-604152</v>
      </c>
      <c r="L7" t="n">
        <v>-193074</v>
      </c>
      <c r="O7" t="inlineStr">
        <is>
          <t>Total Capital Ratio</t>
        </is>
      </c>
      <c r="P7" t="n">
        <v>19.9</v>
      </c>
      <c r="Q7" t="n">
        <v>15.2</v>
      </c>
    </row>
    <row r="8">
      <c r="A8" s="5" t="inlineStr">
        <is>
          <t>Net cash flows from financing activities</t>
        </is>
      </c>
      <c r="B8" s="5" t="n">
        <v>-10064</v>
      </c>
      <c r="C8" s="5" t="n">
        <v>-20510</v>
      </c>
      <c r="D8" s="5" t="n">
        <v>-7747</v>
      </c>
      <c r="E8" s="5" t="n">
        <v>-97417</v>
      </c>
      <c r="H8" t="inlineStr">
        <is>
          <t>Net cash flows from financing activities</t>
        </is>
      </c>
      <c r="I8" t="n">
        <v>-97417</v>
      </c>
      <c r="J8" t="n">
        <v>-7747</v>
      </c>
      <c r="K8" t="n">
        <v>-20510</v>
      </c>
      <c r="L8" t="n">
        <v>-10064</v>
      </c>
    </row>
    <row r="9">
      <c r="A9" s="5" t="inlineStr">
        <is>
          <t>Cash and cash equivalents at end of period</t>
        </is>
      </c>
      <c r="B9" s="5" t="n">
        <v>846465</v>
      </c>
      <c r="C9" s="5" t="n">
        <v>769571</v>
      </c>
      <c r="D9" s="5" t="n">
        <v>1308463</v>
      </c>
      <c r="E9" s="5" t="n">
        <v>1369241</v>
      </c>
      <c r="H9" t="inlineStr">
        <is>
          <t>Cash and cash equivalents at end of period</t>
        </is>
      </c>
      <c r="I9" t="n">
        <v>1369241</v>
      </c>
      <c r="J9" t="n">
        <v>1308463</v>
      </c>
      <c r="K9" t="n">
        <v>769571</v>
      </c>
      <c r="L9" t="n">
        <v>846465</v>
      </c>
    </row>
    <row r="11">
      <c r="A11" s="3" t="inlineStr">
        <is>
          <t>Pillar 3 Key Metrics</t>
        </is>
      </c>
    </row>
    <row r="12">
      <c r="A12" s="4" t="inlineStr">
        <is>
          <t>Line item</t>
        </is>
      </c>
      <c r="B12" s="4" t="inlineStr">
        <is>
          <t>FY2024</t>
        </is>
      </c>
      <c r="C12" s="4" t="inlineStr">
        <is>
          <t>FY2023</t>
        </is>
      </c>
      <c r="D12" s="4" t="inlineStr">
        <is>
          <t>FY2022</t>
        </is>
      </c>
      <c r="E12" s="4" t="inlineStr">
        <is>
          <t>FY2021</t>
        </is>
      </c>
    </row>
    <row r="13">
      <c r="A13" s="6" t="inlineStr">
        <is>
          <t>CET1 Ratio</t>
        </is>
      </c>
      <c r="B13" s="6" t="n"/>
      <c r="C13" s="6" t="n"/>
      <c r="D13" s="6" t="inlineStr">
        <is>
          <t>10.9%</t>
        </is>
      </c>
      <c r="E13" s="6" t="inlineStr">
        <is>
          <t>14.8%</t>
        </is>
      </c>
    </row>
    <row r="14">
      <c r="A14" s="6" t="inlineStr">
        <is>
          <t>Total Capital Ratio</t>
        </is>
      </c>
      <c r="B14" s="6" t="n"/>
      <c r="C14" s="6" t="n"/>
      <c r="D14" s="6" t="inlineStr">
        <is>
          <t>15.2%</t>
        </is>
      </c>
      <c r="E14" s="6" t="inlineStr">
        <is>
          <t>19.9%</t>
        </is>
      </c>
    </row>
    <row r="16" ht="45" customHeight="1">
      <c r="A16" s="7" t="inlineStr">
        <is>
          <t>Note: FY2023/FY2024's own Annual Reports disclose only CET1 Capital (£m) - no ratio, no RWA, no Total Capital - so no ratios plot for those two years; see the CET1 Capital sheet and the Pillar 3 source note for the full disclosure-format explanation. Figures are duplicated from the detail sheets for at-a-glance trend viewing; see each sheet's own source citation for the underlying document/page.</t>
        </is>
      </c>
    </row>
  </sheetData>
  <mergeCells count="1">
    <mergeCell ref="A16:E1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EFG Private Bank Limited — Cash Flow Statement</t>
        </is>
      </c>
    </row>
    <row r="2">
      <c r="A2" s="2" t="inlineStr">
        <is>
          <t>Company basis, £'000. See source note at bottom.</t>
        </is>
      </c>
    </row>
    <row r="3">
      <c r="A3" s="4" t="inlineStr">
        <is>
          <t>Line item</t>
        </is>
      </c>
      <c r="B3" s="4" t="inlineStr">
        <is>
          <t>FY2024 (£'000)</t>
        </is>
      </c>
      <c r="C3" s="4" t="inlineStr">
        <is>
          <t>FY2023 (£'000)</t>
        </is>
      </c>
      <c r="D3" s="4" t="inlineStr">
        <is>
          <t>FY2022 (£'000)</t>
        </is>
      </c>
      <c r="E3" s="4" t="inlineStr">
        <is>
          <t>FY2021 (£'000)</t>
        </is>
      </c>
    </row>
    <row r="4">
      <c r="A4" s="5" t="inlineStr">
        <is>
          <t>Cash flows from operations</t>
        </is>
      </c>
      <c r="B4" s="6" t="n"/>
      <c r="C4" s="6" t="n"/>
      <c r="D4" s="6" t="n"/>
      <c r="E4" s="6" t="n"/>
    </row>
    <row r="5">
      <c r="A5" s="6" t="inlineStr">
        <is>
          <t>Profit before tax</t>
        </is>
      </c>
      <c r="B5" s="6" t="n">
        <v>26187</v>
      </c>
      <c r="C5" s="6" t="n">
        <v>40142</v>
      </c>
      <c r="D5" s="6" t="n">
        <v>34871</v>
      </c>
      <c r="E5" s="6" t="n">
        <v>99029</v>
      </c>
    </row>
    <row r="6">
      <c r="A6" s="6" t="inlineStr">
        <is>
          <t>Depreciation of fixed assets</t>
        </is>
      </c>
      <c r="B6" s="6" t="n">
        <v>4248</v>
      </c>
      <c r="C6" s="6" t="n">
        <v>3323</v>
      </c>
      <c r="D6" s="6" t="n">
        <v>4499</v>
      </c>
      <c r="E6" s="6" t="n">
        <v>4752</v>
      </c>
    </row>
    <row r="7">
      <c r="A7" s="6" t="inlineStr">
        <is>
          <t>Amortisation of intangibles</t>
        </is>
      </c>
      <c r="B7" s="6" t="n">
        <v>245</v>
      </c>
      <c r="C7" s="6" t="n">
        <v>551</v>
      </c>
      <c r="D7" s="6" t="n">
        <v>535</v>
      </c>
      <c r="E7" s="6" t="n">
        <v>434</v>
      </c>
    </row>
    <row r="8">
      <c r="A8" s="6" t="inlineStr">
        <is>
          <t>Amortisation of IFRS 2 reserve through profit and loss</t>
        </is>
      </c>
      <c r="B8" s="6" t="n">
        <v>9630</v>
      </c>
      <c r="C8" s="6" t="n">
        <v>6052</v>
      </c>
      <c r="D8" s="6" t="n">
        <v>4214</v>
      </c>
      <c r="E8" s="6" t="n">
        <v>4030</v>
      </c>
    </row>
    <row r="9">
      <c r="A9" s="6" t="inlineStr">
        <is>
          <t>Loss allowance provision</t>
        </is>
      </c>
      <c r="B9" s="6" t="n">
        <v>1690</v>
      </c>
      <c r="C9" s="6" t="n">
        <v>555</v>
      </c>
      <c r="D9" s="6" t="n">
        <v>-210</v>
      </c>
      <c r="E9" s="6" t="n">
        <v>37</v>
      </c>
    </row>
    <row r="10">
      <c r="A10" s="6" t="inlineStr">
        <is>
          <t>Loss/(gain) on sale of subsidiary as investment activity</t>
        </is>
      </c>
      <c r="B10" s="6" t="n"/>
      <c r="C10" s="6" t="n"/>
      <c r="D10" s="6" t="n">
        <v>0</v>
      </c>
      <c r="E10" s="6" t="n">
        <v>-68900</v>
      </c>
    </row>
    <row r="11">
      <c r="A11" s="6" t="inlineStr">
        <is>
          <t>Gains less losses on disposal of financial assets</t>
        </is>
      </c>
      <c r="B11" s="6" t="n">
        <v>0</v>
      </c>
      <c r="C11" s="6" t="n">
        <v>-217</v>
      </c>
      <c r="D11" s="6" t="n">
        <v>-147</v>
      </c>
      <c r="E11" s="6" t="n">
        <v>-60</v>
      </c>
    </row>
    <row r="12">
      <c r="A12" s="6" t="inlineStr">
        <is>
          <t>Dividend paid by subsidiary included in investment income</t>
        </is>
      </c>
      <c r="B12" s="6" t="n"/>
      <c r="C12" s="6" t="n"/>
      <c r="D12" s="6" t="n">
        <v>0</v>
      </c>
      <c r="E12" s="6" t="n">
        <v>-30000</v>
      </c>
    </row>
    <row r="13">
      <c r="A13" s="6" t="inlineStr">
        <is>
          <t>Lease interest per IFRS16</t>
        </is>
      </c>
      <c r="B13" s="6" t="n">
        <v>581</v>
      </c>
      <c r="C13" s="6" t="n">
        <v>435</v>
      </c>
      <c r="D13" s="6" t="n">
        <v>448</v>
      </c>
      <c r="E13" s="6" t="n">
        <v>156</v>
      </c>
    </row>
    <row r="14">
      <c r="A14" s="6" t="inlineStr">
        <is>
          <t>Change in interest accrual</t>
        </is>
      </c>
      <c r="B14" s="6" t="n">
        <v>-9430</v>
      </c>
      <c r="C14" s="6" t="n">
        <v>-4920</v>
      </c>
      <c r="D14" s="6" t="n"/>
      <c r="E14" s="6" t="n"/>
    </row>
    <row r="15">
      <c r="A15" s="6" t="inlineStr">
        <is>
          <t>Effect of foreign exchange</t>
        </is>
      </c>
      <c r="B15" s="6" t="n">
        <v>-5429</v>
      </c>
      <c r="C15" s="6" t="n">
        <v>51485</v>
      </c>
      <c r="D15" s="6" t="n">
        <v>-61770</v>
      </c>
      <c r="E15" s="6" t="n"/>
    </row>
    <row r="16">
      <c r="A16" s="6" t="inlineStr">
        <is>
          <t>Release of tax related provision</t>
        </is>
      </c>
      <c r="B16" s="6" t="n">
        <v>-1991</v>
      </c>
      <c r="C16" s="6" t="n"/>
      <c r="D16" s="6" t="n"/>
      <c r="E16" s="6" t="n"/>
    </row>
    <row r="17">
      <c r="A17" s="6" t="inlineStr">
        <is>
          <t>(Increase)/decrease in derivative financial instruments</t>
        </is>
      </c>
      <c r="B17" s="6" t="n">
        <v>-8951</v>
      </c>
      <c r="C17" s="6" t="n">
        <v>42583</v>
      </c>
      <c r="D17" s="6" t="n">
        <v>-57077</v>
      </c>
      <c r="E17" s="6" t="n">
        <v>-15336</v>
      </c>
    </row>
    <row r="18">
      <c r="A18" s="6" t="inlineStr">
        <is>
          <t>(Increase)/decrease in loans and advances to customers</t>
        </is>
      </c>
      <c r="B18" s="6" t="n">
        <v>-492079</v>
      </c>
      <c r="C18" s="6" t="n">
        <v>59123</v>
      </c>
      <c r="D18" s="6" t="n">
        <v>-202340</v>
      </c>
      <c r="E18" s="6" t="n">
        <v>-590609</v>
      </c>
    </row>
    <row r="19">
      <c r="A19" s="6" t="inlineStr">
        <is>
          <t>Decrease/(increase) in other assets</t>
        </is>
      </c>
      <c r="B19" s="6" t="n">
        <v>15349</v>
      </c>
      <c r="C19" s="6" t="n">
        <v>-21479</v>
      </c>
      <c r="D19" s="6" t="n">
        <v>-2019</v>
      </c>
      <c r="E19" s="6" t="n">
        <v>28685</v>
      </c>
    </row>
    <row r="20">
      <c r="A20" s="6" t="inlineStr">
        <is>
          <t>Increase/(decrease) in due to other banks</t>
        </is>
      </c>
      <c r="B20" s="6" t="n">
        <v>462830</v>
      </c>
      <c r="C20" s="6" t="n">
        <v>-63755</v>
      </c>
      <c r="D20" s="6" t="n">
        <v>219568</v>
      </c>
      <c r="E20" s="6" t="n">
        <v>11595</v>
      </c>
    </row>
    <row r="21">
      <c r="A21" s="6" t="inlineStr">
        <is>
          <t>Increase/(decrease) in due to customers</t>
        </is>
      </c>
      <c r="B21" s="6" t="n">
        <v>327090</v>
      </c>
      <c r="C21" s="6" t="n">
        <v>-46670</v>
      </c>
      <c r="D21" s="6" t="n">
        <v>609713</v>
      </c>
      <c r="E21" s="6" t="n">
        <v>1137564</v>
      </c>
    </row>
    <row r="22">
      <c r="A22" s="6" t="inlineStr">
        <is>
          <t>(Decrease)/increase in other liabilities and provisions</t>
        </is>
      </c>
      <c r="B22" s="6" t="n">
        <v>-30373</v>
      </c>
      <c r="C22" s="6" t="n">
        <v>35466</v>
      </c>
      <c r="D22" s="6" t="n">
        <v>5925</v>
      </c>
      <c r="E22" s="6" t="n">
        <v>12154</v>
      </c>
    </row>
    <row r="23">
      <c r="A23" s="6" t="inlineStr">
        <is>
          <t>Payments to tax authorities</t>
        </is>
      </c>
      <c r="B23" s="6" t="n">
        <v>-9774</v>
      </c>
      <c r="C23" s="6" t="n">
        <v>-5025</v>
      </c>
      <c r="D23" s="6" t="n"/>
      <c r="E23" s="6" t="n"/>
    </row>
    <row r="24">
      <c r="A24" s="6" t="inlineStr">
        <is>
          <t>Corporation tax paid</t>
        </is>
      </c>
      <c r="B24" s="6" t="n"/>
      <c r="C24" s="6" t="n"/>
      <c r="D24" s="6" t="n">
        <v>-2617</v>
      </c>
      <c r="E24" s="6" t="n">
        <v>-1183</v>
      </c>
    </row>
    <row r="25">
      <c r="A25" s="6" t="inlineStr">
        <is>
          <t>Payments to parent for participation in share scheme</t>
        </is>
      </c>
      <c r="B25" s="6" t="n">
        <v>-9465</v>
      </c>
      <c r="C25" s="6" t="n">
        <v>-7833</v>
      </c>
      <c r="D25" s="6" t="n">
        <v>-6452</v>
      </c>
      <c r="E25" s="6" t="n">
        <v>-5681</v>
      </c>
    </row>
    <row r="26">
      <c r="A26" s="5" t="inlineStr">
        <is>
          <t>Net cash flows from operating activities</t>
        </is>
      </c>
      <c r="B26" s="5" t="n">
        <v>280358</v>
      </c>
      <c r="C26" s="5" t="n">
        <v>89816</v>
      </c>
      <c r="D26" s="5" t="n">
        <v>547141</v>
      </c>
      <c r="E26" s="5" t="n">
        <v>586667</v>
      </c>
    </row>
    <row r="27">
      <c r="A27" s="5" t="inlineStr">
        <is>
          <t>Cash flows from investing activities</t>
        </is>
      </c>
      <c r="B27" s="6" t="n"/>
      <c r="C27" s="6" t="n"/>
      <c r="D27" s="6" t="n"/>
      <c r="E27" s="6" t="n"/>
    </row>
    <row r="28">
      <c r="A28" s="6" t="inlineStr">
        <is>
          <t>(Purchase) of investment securities</t>
        </is>
      </c>
      <c r="B28" s="6" t="n">
        <v>-1817999</v>
      </c>
      <c r="C28" s="6" t="n">
        <v>-1574973</v>
      </c>
      <c r="D28" s="6" t="n">
        <v>-1177277</v>
      </c>
      <c r="E28" s="6" t="n">
        <v>-453370</v>
      </c>
    </row>
    <row r="29">
      <c r="A29" s="6" t="inlineStr">
        <is>
          <t>Proceeds from maturities/sale of investment securities</t>
        </is>
      </c>
      <c r="B29" s="6" t="n">
        <v>1630203</v>
      </c>
      <c r="C29" s="6" t="n">
        <v>973586</v>
      </c>
      <c r="D29" s="6" t="n">
        <v>587790</v>
      </c>
      <c r="E29" s="6" t="n">
        <v>340452</v>
      </c>
    </row>
    <row r="30">
      <c r="A30" s="6" t="inlineStr">
        <is>
          <t>(Purchase) of capital in subsidiaries</t>
        </is>
      </c>
      <c r="B30" s="6" t="n"/>
      <c r="C30" s="6" t="n"/>
      <c r="D30" s="6" t="n"/>
      <c r="E30" s="6" t="n">
        <v>-1275</v>
      </c>
    </row>
    <row r="31">
      <c r="A31" s="6" t="inlineStr">
        <is>
          <t>Proceeds from disposal of subsidiary</t>
        </is>
      </c>
      <c r="B31" s="6" t="n"/>
      <c r="C31" s="6" t="n"/>
      <c r="D31" s="6" t="n"/>
      <c r="E31" s="6" t="n">
        <v>78900</v>
      </c>
    </row>
    <row r="32">
      <c r="A32" s="6" t="inlineStr">
        <is>
          <t>(Purchase) of property plant &amp; equipment</t>
        </is>
      </c>
      <c r="B32" s="6" t="n">
        <v>-2864</v>
      </c>
      <c r="C32" s="6" t="n">
        <v>-819</v>
      </c>
      <c r="D32" s="6" t="n">
        <v>-5793</v>
      </c>
      <c r="E32" s="6" t="n">
        <v>-176</v>
      </c>
    </row>
    <row r="33">
      <c r="A33" s="6" t="inlineStr">
        <is>
          <t>(Purchase) of intangible assets</t>
        </is>
      </c>
      <c r="B33" s="6" t="n">
        <v>-2414</v>
      </c>
      <c r="C33" s="6" t="n">
        <v>-1946</v>
      </c>
      <c r="D33" s="6" t="n">
        <v>-1850</v>
      </c>
      <c r="E33" s="6" t="n">
        <v>-973</v>
      </c>
    </row>
    <row r="34">
      <c r="A34" s="6" t="inlineStr">
        <is>
          <t>Proceeds from dividends</t>
        </is>
      </c>
      <c r="B34" s="6" t="n"/>
      <c r="C34" s="6" t="n"/>
      <c r="D34" s="6" t="n"/>
      <c r="E34" s="6" t="n">
        <v>30000</v>
      </c>
    </row>
    <row r="35">
      <c r="A35" s="5" t="inlineStr">
        <is>
          <t>Net cash flows used in investing activities</t>
        </is>
      </c>
      <c r="B35" s="5" t="n">
        <v>-193074</v>
      </c>
      <c r="C35" s="5" t="n">
        <v>-604152</v>
      </c>
      <c r="D35" s="5" t="n">
        <v>-597130</v>
      </c>
      <c r="E35" s="5" t="n">
        <v>-6442</v>
      </c>
    </row>
    <row r="36">
      <c r="A36" s="5" t="inlineStr">
        <is>
          <t>Cash flows from financing activities</t>
        </is>
      </c>
      <c r="B36" s="6" t="n"/>
      <c r="C36" s="6" t="n"/>
      <c r="D36" s="6" t="n"/>
      <c r="E36" s="6" t="n"/>
    </row>
    <row r="37">
      <c r="A37" s="6" t="inlineStr">
        <is>
          <t>Payment of AT1 interest</t>
        </is>
      </c>
      <c r="B37" s="6" t="n">
        <v>-7174</v>
      </c>
      <c r="C37" s="6" t="n">
        <v>-7154</v>
      </c>
      <c r="D37" s="6" t="n">
        <v>-5394</v>
      </c>
      <c r="E37" s="6" t="n">
        <v>-5389</v>
      </c>
    </row>
    <row r="38">
      <c r="A38" s="6" t="inlineStr">
        <is>
          <t>Payment of dividends</t>
        </is>
      </c>
      <c r="B38" s="6" t="n">
        <v>0</v>
      </c>
      <c r="C38" s="6" t="n">
        <v>-12676</v>
      </c>
      <c r="D38" s="6" t="n">
        <v>0</v>
      </c>
      <c r="E38" s="6" t="n">
        <v>-89000</v>
      </c>
    </row>
    <row r="39">
      <c r="A39" s="6" t="inlineStr">
        <is>
          <t>Lease interest repaid</t>
        </is>
      </c>
      <c r="B39" s="6" t="n">
        <v>-421</v>
      </c>
      <c r="C39" s="6" t="n">
        <v>-36</v>
      </c>
      <c r="D39" s="6" t="n">
        <v>-448</v>
      </c>
      <c r="E39" s="6" t="n"/>
    </row>
    <row r="40">
      <c r="A40" s="6" t="inlineStr">
        <is>
          <t>Lease disposal</t>
        </is>
      </c>
      <c r="B40" s="6" t="n">
        <v>-267</v>
      </c>
      <c r="C40" s="6" t="n"/>
      <c r="D40" s="6" t="n"/>
      <c r="E40" s="6" t="n"/>
    </row>
    <row r="41">
      <c r="A41" s="6" t="inlineStr">
        <is>
          <t>Lease principal repaid</t>
        </is>
      </c>
      <c r="B41" s="6" t="n">
        <v>-2202</v>
      </c>
      <c r="C41" s="6" t="n">
        <v>-644</v>
      </c>
      <c r="D41" s="6" t="n">
        <v>-1905</v>
      </c>
      <c r="E41" s="6" t="n">
        <v>-3028</v>
      </c>
    </row>
    <row r="42">
      <c r="A42" s="5" t="inlineStr">
        <is>
          <t>Net cash flows from financing activities</t>
        </is>
      </c>
      <c r="B42" s="5" t="n">
        <v>-10064</v>
      </c>
      <c r="C42" s="5" t="n">
        <v>-20510</v>
      </c>
      <c r="D42" s="5" t="n">
        <v>-7747</v>
      </c>
      <c r="E42" s="5" t="n">
        <v>-97417</v>
      </c>
    </row>
    <row r="43">
      <c r="A43" s="5" t="inlineStr">
        <is>
          <t>Net cash outflows/(inflows)</t>
        </is>
      </c>
      <c r="B43" s="5" t="n">
        <v>77220</v>
      </c>
      <c r="C43" s="5" t="n">
        <v>-534846</v>
      </c>
      <c r="D43" s="5" t="n">
        <v>-57736</v>
      </c>
      <c r="E43" s="5" t="n">
        <v>482808</v>
      </c>
    </row>
    <row r="44">
      <c r="A44" s="6" t="inlineStr">
        <is>
          <t>Effect of exchange rate changes on cash and cash equivalents</t>
        </is>
      </c>
      <c r="B44" s="6" t="n">
        <v>-326</v>
      </c>
      <c r="C44" s="6" t="n">
        <v>794</v>
      </c>
      <c r="D44" s="6" t="n">
        <v>-3042</v>
      </c>
      <c r="E44" s="6" t="n">
        <v>-12197</v>
      </c>
    </row>
    <row r="45">
      <c r="A45" s="5" t="inlineStr">
        <is>
          <t>Net change in cash and cash equivalents</t>
        </is>
      </c>
      <c r="B45" s="5" t="n">
        <v>76894</v>
      </c>
      <c r="C45" s="5" t="n">
        <v>-534052</v>
      </c>
      <c r="D45" s="5" t="n">
        <v>-60778</v>
      </c>
      <c r="E45" s="5" t="n">
        <v>470611</v>
      </c>
    </row>
    <row r="46">
      <c r="A46" s="6" t="inlineStr">
        <is>
          <t>Cash and cash equivalents at the beginning of period</t>
        </is>
      </c>
      <c r="B46" s="6" t="n">
        <v>769571</v>
      </c>
      <c r="C46" s="6" t="n">
        <v>1303623</v>
      </c>
      <c r="D46" s="6" t="n">
        <v>1369241</v>
      </c>
      <c r="E46" s="6" t="n">
        <v>898630</v>
      </c>
    </row>
    <row r="47">
      <c r="A47" s="5" t="inlineStr">
        <is>
          <t>Cash and cash equivalents at the end of period</t>
        </is>
      </c>
      <c r="B47" s="5" t="n">
        <v>846465</v>
      </c>
      <c r="C47" s="5" t="n">
        <v>769571</v>
      </c>
      <c r="D47" s="5" t="n">
        <v>1308463</v>
      </c>
      <c r="E47" s="5" t="n">
        <v>1369241</v>
      </c>
    </row>
    <row r="49" ht="280" customHeight="1">
      <c r="A49" s="8" t="inlineStr">
        <is>
          <t>Sources - EFG Private Bank Limited's own Cash Flow Statement, each year's own originally-published filing (not a later report's restated comparative):
FY2024: Annual Report and Financial Statements 2024, p.24-25 (Cash Flow Statement) - https://find-and-update.company-information.service.gov.uk/company/02321802/filing-history/MzQ2ODA5NDQ2MGFkaXF6a2N4/document?format=pdf&amp;download=0
FY2023: Annual Report and Financial Statements 2023, p.24-25 (Cash Flow Statement) - https://find-and-update.company-information.service.gov.uk/company/02321802/filing-history/MzQyMTAwMDI4OGFkaXF6a2N4/document?format=pdf&amp;download=0
FY2022: Annual Report and Financial Statements 2022, p.22 (Cash Flow Statement) - https://find-and-update.company-information.service.gov.uk/company/02321802/filing-history/MzM4ODQ3NjMwOWFkaXF6a2N4/document?format=pdf&amp;download=0
FY2021: Annual Report and Financial Statements 2021, p.22 (Cash Flow Statement) - https://find-and-update.company-information.service.gov.uk/company/02321802/filing-history/MzMzODA1ODgyNmFkaXF6a2N4/document?format=pdf&amp;download=0
EFG Private Bank Limited (company 02321802, FRN 144036), a UK subsidiary of EFG International AG (Switzerland, listed on the SIX Swiss Exchange). Each year's Cash Flow Statement figures are that year's own originally-published statement, not a later report's restated comparative - a genuine restatement exists between FY2021's own filing and its appearance as the FY2022 report's comparative (e.g. FY2021 operating activities £586,667k own filing vs £571,317k restated comparative), and again between FY2022's own filing and its appearance as the FY2023 report's comparative (£547,141k vs £542,301k). FY2023's own filing figures match exactly what the FY2024 report shows as its own comparative, so no restatement issue there.</t>
        </is>
      </c>
    </row>
  </sheetData>
  <mergeCells count="1">
    <mergeCell ref="A49:E4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CET1 Capital</t>
        </is>
      </c>
    </row>
    <row r="2">
      <c r="A2" s="2" t="inlineStr">
        <is>
          <t>£m</t>
        </is>
      </c>
    </row>
    <row r="3">
      <c r="A3" s="4" t="inlineStr">
        <is>
          <t>Metric</t>
        </is>
      </c>
      <c r="B3" s="4" t="inlineStr">
        <is>
          <t>FY2024</t>
        </is>
      </c>
      <c r="C3" s="4" t="inlineStr">
        <is>
          <t>FY2023</t>
        </is>
      </c>
      <c r="D3" s="4" t="inlineStr">
        <is>
          <t>FY2022</t>
        </is>
      </c>
      <c r="E3" s="4" t="inlineStr">
        <is>
          <t>FY2021</t>
        </is>
      </c>
    </row>
    <row r="4">
      <c r="A4" s="6" t="inlineStr">
        <is>
          <t>Common equity tier 1 capital</t>
        </is>
      </c>
      <c r="B4" s="6" t="n">
        <v>237.2</v>
      </c>
      <c r="C4" s="6" t="n">
        <v>205.8</v>
      </c>
      <c r="D4" s="6" t="n">
        <v>165.6</v>
      </c>
      <c r="E4" s="6" t="n">
        <v>195.2</v>
      </c>
    </row>
    <row r="5" ht="60" customHeight="1">
      <c r="A5" s="7" t="inlineStr">
        <is>
          <t>Note: FY2022/FY2021 stated as "(audited)" in the source; FY2024/FY2023 not marked audited/unaudited.</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(efginternational.com blocks automated fetches; no UK-specific regulatory disclosures page found) - all figures sourced from the statutory accounts' own Capital management note.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t>
        </is>
      </c>
    </row>
  </sheetData>
  <mergeCells count="2">
    <mergeCell ref="A5:E5"/>
    <mergeCell ref="A7:E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CET1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Common equity tier 1 capital ratio</t>
        </is>
      </c>
      <c r="B4" s="6" t="n"/>
      <c r="C4" s="6" t="n"/>
      <c r="D4" s="6" t="inlineStr">
        <is>
          <t>10.9%</t>
        </is>
      </c>
      <c r="E4" s="6" t="inlineStr">
        <is>
          <t>14.8%</t>
        </is>
      </c>
    </row>
    <row r="5" ht="60" customHeight="1">
      <c r="A5" s="7" t="inlineStr">
        <is>
          <t>Note: Not publicly disclosed for this entity. No standalone Pillar 3 document was locatable, and this metric does not appear in the statutory accounts' Capital management or Liquidity risk notes for this year (confirmed by reading both notes directly, not assumed).</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(efginternational.com blocks automated fetches; no UK-specific regulatory disclosures page found) - all figures sourced from the statutory accounts' own Capital management note.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t>
        </is>
      </c>
    </row>
  </sheetData>
  <mergeCells count="2">
    <mergeCell ref="A5:E5"/>
    <mergeCell ref="A7:E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Tier 1 Capital</t>
        </is>
      </c>
    </row>
    <row r="2">
      <c r="A2" s="2" t="inlineStr">
        <is>
          <t>£m</t>
        </is>
      </c>
    </row>
    <row r="3">
      <c r="A3" s="4" t="inlineStr">
        <is>
          <t>Metric</t>
        </is>
      </c>
      <c r="B3" s="4" t="inlineStr">
        <is>
          <t>FY2024</t>
        </is>
      </c>
      <c r="C3" s="4" t="inlineStr">
        <is>
          <t>FY2023</t>
        </is>
      </c>
      <c r="D3" s="4" t="inlineStr">
        <is>
          <t>FY2022</t>
        </is>
      </c>
      <c r="E3" s="4" t="inlineStr">
        <is>
          <t>FY2021</t>
        </is>
      </c>
    </row>
    <row r="4">
      <c r="A4" s="6" t="inlineStr">
        <is>
          <t>Tier 1 capital (= CET1 capital; no AT1 instruments disclosed any year)</t>
        </is>
      </c>
      <c r="B4" s="6" t="n">
        <v>237.2</v>
      </c>
      <c r="C4" s="6" t="n">
        <v>205.8</v>
      </c>
      <c r="D4" s="6" t="n">
        <v>165.6</v>
      </c>
      <c r="E4" s="6" t="n">
        <v>195.2</v>
      </c>
    </row>
    <row r="5" ht="60" customHeight="1">
      <c r="A5" s="7" t="inlineStr">
        <is>
          <t>Note: Tier 1 = CET1 throughout - no Additional Tier 1 instruments are mentioned anywhere in the source across any of the 4 years (the AT1 INTEREST paid in the Cash Flow Statement relates to a different capital instrument class disclosed elsewhere in the accounts as part of "other equity", not counted as regulatory Tier 1/AT1 capital in Note 34).</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(efginternational.com blocks automated fetches; no UK-specific regulatory disclosures page found) - all figures sourced from the statutory accounts' own Capital management note.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t>
        </is>
      </c>
    </row>
  </sheetData>
  <mergeCells count="2">
    <mergeCell ref="A5:E5"/>
    <mergeCell ref="A7:E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Tier 1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Tier 1 ratio (= CET1 ratio; no AT1 instruments disclosed any year)</t>
        </is>
      </c>
      <c r="B4" s="6" t="n"/>
      <c r="C4" s="6" t="n"/>
      <c r="D4" s="6" t="inlineStr">
        <is>
          <t>10.9%</t>
        </is>
      </c>
      <c r="E4" s="6" t="inlineStr">
        <is>
          <t>14.8%</t>
        </is>
      </c>
    </row>
    <row r="5" ht="60" customHeight="1">
      <c r="A5" s="7" t="inlineStr">
        <is>
          <t>Note: Not publicly disclosed for this entity. No standalone Pillar 3 document was locatable, and this metric does not appear in the statutory accounts' Capital management or Liquidity risk notes for this year (confirmed by reading both notes directly, not assumed).</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(efginternational.com blocks automated fetches; no UK-specific regulatory disclosures page found) - all figures sourced from the statutory accounts' own Capital management note.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t>
        </is>
      </c>
    </row>
  </sheetData>
  <mergeCells count="2">
    <mergeCell ref="A5:E5"/>
    <mergeCell ref="A7:E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Total Capital</t>
        </is>
      </c>
    </row>
    <row r="2">
      <c r="A2" s="2" t="inlineStr">
        <is>
          <t>£m</t>
        </is>
      </c>
    </row>
    <row r="3">
      <c r="A3" s="4" t="inlineStr">
        <is>
          <t>Metric</t>
        </is>
      </c>
      <c r="B3" s="4" t="inlineStr">
        <is>
          <t>FY2024</t>
        </is>
      </c>
      <c r="C3" s="4" t="inlineStr">
        <is>
          <t>FY2023</t>
        </is>
      </c>
      <c r="D3" s="4" t="inlineStr">
        <is>
          <t>FY2022</t>
        </is>
      </c>
      <c r="E3" s="4" t="inlineStr">
        <is>
          <t>FY2021</t>
        </is>
      </c>
    </row>
    <row r="4">
      <c r="A4" s="6" t="inlineStr">
        <is>
          <t>Total capital</t>
        </is>
      </c>
      <c r="B4" s="6" t="n"/>
      <c r="C4" s="6" t="n"/>
      <c r="D4" s="6" t="n">
        <v>232.3</v>
      </c>
      <c r="E4" s="6" t="n">
        <v>261.8</v>
      </c>
    </row>
    <row r="5" ht="60" customHeight="1">
      <c r="A5" s="7" t="inlineStr">
        <is>
          <t>Note: Not publicly disclosed for this entity. No standalone Pillar 3 document was locatable, and this metric does not appear in the statutory accounts' Capital management or Liquidity risk notes for this year (confirmed by reading both notes directly, not assumed). FY2022/FY2021 values are from the source's own table (Tier 1 + Tier 2; Tier 2 comprises unrealised FVOCI gains per the source's own definition, not separately itemised).</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(efginternational.com blocks automated fetches; no UK-specific regulatory disclosures page found) - all figures sourced from the statutory accounts' own Capital management note.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Total Capital Ratio</t>
        </is>
      </c>
    </row>
    <row r="2">
      <c r="A2" s="2" t="inlineStr">
        <is>
          <t>%</t>
        </is>
      </c>
    </row>
    <row r="3">
      <c r="A3" s="4" t="inlineStr">
        <is>
          <t>Metric</t>
        </is>
      </c>
      <c r="B3" s="4" t="inlineStr">
        <is>
          <t>FY2024</t>
        </is>
      </c>
      <c r="C3" s="4" t="inlineStr">
        <is>
          <t>FY2023</t>
        </is>
      </c>
      <c r="D3" s="4" t="inlineStr">
        <is>
          <t>FY2022</t>
        </is>
      </c>
      <c r="E3" s="4" t="inlineStr">
        <is>
          <t>FY2021</t>
        </is>
      </c>
    </row>
    <row r="4">
      <c r="A4" s="6" t="inlineStr">
        <is>
          <t>Total capital ratio</t>
        </is>
      </c>
      <c r="B4" s="6" t="n"/>
      <c r="C4" s="6" t="n"/>
      <c r="D4" s="6" t="inlineStr">
        <is>
          <t>15.2%</t>
        </is>
      </c>
      <c r="E4" s="6" t="inlineStr">
        <is>
          <t>19.9%</t>
        </is>
      </c>
    </row>
    <row r="5" ht="60" customHeight="1">
      <c r="A5" s="7" t="inlineStr">
        <is>
          <t>Note: Not publicly disclosed for this entity. No standalone Pillar 3 document was locatable, and this metric does not appear in the statutory accounts' Capital management or Liquidity risk notes for this year (confirmed by reading both notes directly, not assumed).</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(efginternational.com blocks automated fetches; no UK-specific regulatory disclosures page found) - all figures sourced from the statutory accounts' own Capital management note.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s>
  <sheetData>
    <row r="1">
      <c r="A1" s="1" t="inlineStr">
        <is>
          <t>EFG Private Bank Limited — Total RWAs</t>
        </is>
      </c>
    </row>
    <row r="2">
      <c r="A2" s="2" t="inlineStr">
        <is>
          <t>£m</t>
        </is>
      </c>
    </row>
    <row r="3">
      <c r="A3" s="4" t="inlineStr">
        <is>
          <t>Metric</t>
        </is>
      </c>
      <c r="B3" s="4" t="inlineStr">
        <is>
          <t>FY2024</t>
        </is>
      </c>
      <c r="C3" s="4" t="inlineStr">
        <is>
          <t>FY2023</t>
        </is>
      </c>
      <c r="D3" s="4" t="inlineStr">
        <is>
          <t>FY2022</t>
        </is>
      </c>
      <c r="E3" s="4" t="inlineStr">
        <is>
          <t>FY2021</t>
        </is>
      </c>
    </row>
    <row r="4">
      <c r="A4" s="6" t="inlineStr">
        <is>
          <t>Total risk weighted assets</t>
        </is>
      </c>
      <c r="B4" s="6" t="n"/>
      <c r="C4" s="6" t="n"/>
      <c r="D4" s="6" t="n">
        <v>1523.7</v>
      </c>
      <c r="E4" s="6" t="n">
        <v>1317.8</v>
      </c>
    </row>
    <row r="5" ht="60" customHeight="1">
      <c r="A5" s="7" t="inlineStr">
        <is>
          <t>Note: Not publicly disclosed for this entity. No standalone Pillar 3 document was locatable, and this metric does not appear in the statutory accounts' Capital management or Liquidity risk notes for this year (confirmed by reading both notes directly, not assumed). FY2022/FY2021 as directly stated in the source (not calculated).</t>
        </is>
      </c>
    </row>
    <row r="7" ht="17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(efginternational.com blocks automated fetches; no UK-specific regulatory disclosures page found) - all figures sourced from the statutory accounts' own Capital management note.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EFG Private Bank Limited — Leverage Ratio</t>
        </is>
      </c>
    </row>
    <row r="2">
      <c r="A2" s="2" t="inlineStr"/>
    </row>
    <row r="3">
      <c r="A3" s="4" t="inlineStr">
        <is>
          <t>Metric</t>
        </is>
      </c>
      <c r="B3" s="4" t="inlineStr">
        <is>
          <t>FY2024</t>
        </is>
      </c>
      <c r="C3" s="4" t="inlineStr">
        <is>
          <t>FY2023</t>
        </is>
      </c>
      <c r="D3" s="4" t="inlineStr">
        <is>
          <t>FY2022</t>
        </is>
      </c>
      <c r="E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publicly disclosed for this entity. No standalone Pillar 3 document was locatable, and this metric does not appear in the statutory accounts' Capital management or Liquidity risk notes for this year (confirmed by reading both notes directly, not assumed).</t>
        </is>
      </c>
    </row>
    <row r="7" ht="15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(efginternational.com blocks automated fetches; no UK-specific regulatory disclosures page found) - all figures sourced from the statutory accounts' own Capital management note.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EFG Private Bank Limited — LCR</t>
        </is>
      </c>
    </row>
    <row r="2">
      <c r="A2" s="2" t="inlineStr"/>
    </row>
    <row r="3">
      <c r="A3" s="4" t="inlineStr">
        <is>
          <t>Metric</t>
        </is>
      </c>
      <c r="B3" s="4" t="inlineStr">
        <is>
          <t>FY2024</t>
        </is>
      </c>
      <c r="C3" s="4" t="inlineStr">
        <is>
          <t>FY2023</t>
        </is>
      </c>
      <c r="D3" s="4" t="inlineStr">
        <is>
          <t>FY2022</t>
        </is>
      </c>
      <c r="E3" s="4" t="inlineStr">
        <is>
          <t>FY2021</t>
        </is>
      </c>
    </row>
    <row r="4">
      <c r="A4" s="6" t="inlineStr">
        <is>
          <t>LCR</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publicly disclosed for this entity. No standalone Pillar 3 document was locatable, and this metric does not appear in the statutory accounts' Capital management or Liquidity risk notes for this year (confirmed by reading both notes directly, not assumed).</t>
        </is>
      </c>
    </row>
    <row r="7" ht="15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(efginternational.com blocks automated fetches; no UK-specific regulatory disclosures page found) - all figures sourced from the statutory accounts' own Capital management note.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EFG Private Bank Limited — NSFR</t>
        </is>
      </c>
    </row>
    <row r="2">
      <c r="A2" s="2" t="inlineStr"/>
    </row>
    <row r="3">
      <c r="A3" s="4" t="inlineStr">
        <is>
          <t>Metric</t>
        </is>
      </c>
      <c r="B3" s="4" t="inlineStr">
        <is>
          <t>FY2024</t>
        </is>
      </c>
      <c r="C3" s="4" t="inlineStr">
        <is>
          <t>FY2023</t>
        </is>
      </c>
      <c r="D3" s="4" t="inlineStr">
        <is>
          <t>FY2022</t>
        </is>
      </c>
      <c r="E3" s="4" t="inlineStr">
        <is>
          <t>FY2021</t>
        </is>
      </c>
    </row>
    <row r="4">
      <c r="A4" s="6" t="inlineStr">
        <is>
          <t>NSFR</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publicly disclosed for this entity. No standalone Pillar 3 document was locatable, and this metric does not appear in the statutory accounts' Capital management or Liquidity risk notes for this year (confirmed by reading both notes directly, not assumed).</t>
        </is>
      </c>
    </row>
    <row r="7" ht="15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(efginternational.com blocks automated fetches; no UK-specific regulatory disclosures page found) - all figures sourced from the statutory accounts' own Capital management note.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EFG Private Bank Limited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publicly disclosed for this entity. No standalone Pillar 3 document was locatable, and this metric does not appear in the statutory accounts' Capital management or Liquidity risk notes for this year (confirmed by reading both notes directly, not assumed).</t>
        </is>
      </c>
    </row>
    <row r="7" ht="150" customHeight="1">
      <c r="A7" s="8" t="inlineStr">
        <is>
          <t>Sources - EFG Private Bank Limited's own accounts, Note 34 (Capital management), unless noted otherwise:
FY2024: Annual Report and Financial Statements 2024, p.83 - https://find-and-update.company-information.service.gov.uk/company/02321802/filing-history/MzQ2ODA5NDQ2MGFkaXF6a2N4/document?format=pdf&amp;download=0
FY2023: Annual Report and Financial Statements 2023, p.80 - https://find-and-update.company-information.service.gov.uk/company/02321802/filing-history/MzQyMTAwMDI4OGFkaXF6a2N4/document?format=pdf&amp;download=0
FY2022: Annual Report and Financial Statements 2022, p.60-61 - https://find-and-update.company-information.service.gov.uk/company/02321802/filing-history/MzM4ODQ3NjMwOWFkaXF6a2N4/document?format=pdf&amp;download=0
FY2021: as stated in the FY2022 Annual Report's own FY2021 comparative column, p.60-61 - https://find-and-update.company-information.service.gov.uk/company/02321802/filing-history/MzM4ODQ3NjMwOWFkaXF6a2N4/document?format=pdf&amp;download=0
No standalone Pillar 3 document was locatable for this entity (efginternational.com blocks automated fetches; no UK-specific regulatory disclosures page found) - all figures sourced from the statutory accounts' own Capital management note.
IMPORTANT DISCLOSURE-FORMAT NOTE: FY2021 and FY2022's own Annual Reports disclose a full capital table (CET1 Capital, Total Capital, Total RWAs, CET1 Ratio, Total Capital Ratio). FY2023 and FY2024's own Annual Reports disclose ONLY Common equity tier 1 capital (£m) - no ratio, no RWA, no Total Capital figure at all, confirmed by reading the full Capital management note in both reports. This is a genuine reduction in disclosure depth between report vintages, not a gap in this research. Liquidity risk (Note 29) is purely qualitative/contractual-maturity-table based in every year reviewed - no LCR/NSFR percentage is stated anywhere. No Leverage Ratio or MREL figure was found in any year.</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2026-08-29T13:08:14Z</dcterms:created>
  <dcterms:modified xmlns:dcterms="http://purl.org/dc/terms/" xmlns:xsi="http://www.w3.org/2001/XMLSchema-instance" xsi:type="dcterms:W3CDTF">2026-08-29T13:08:14Z</dcterms:modified>
</cp:coreProperties>
</file>