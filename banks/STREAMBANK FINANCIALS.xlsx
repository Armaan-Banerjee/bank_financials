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StreamBank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a:prstDash val="solid"/>
            </a:ln>
          </spPr>
          <cat>
            <numRef>
              <f>'Overview'!$I$5:$L$5</f>
            </numRef>
          </cat>
          <val>
            <numRef>
              <f>'Overview'!$I$6:$L$6</f>
            </numRef>
          </val>
        </ser>
        <ser>
          <idx val="1"/>
          <order val="1"/>
          <tx>
            <strRef>
              <f>'Overview'!H7</f>
            </strRef>
          </tx>
          <spPr>
            <a:ln>
              <a:prstDash val="solid"/>
            </a:ln>
          </spPr>
          <cat>
            <numRef>
              <f>'Overview'!$I$5:$L$5</f>
            </numRef>
          </cat>
          <val>
            <numRef>
              <f>'Overview'!$I$7:$L$7</f>
            </numRef>
          </val>
        </ser>
        <ser>
          <idx val="2"/>
          <order val="2"/>
          <tx>
            <strRef>
              <f>'Overview'!H8</f>
            </strRef>
          </tx>
          <spPr>
            <a:ln>
              <a:prstDash val="solid"/>
            </a:ln>
          </spPr>
          <cat>
            <numRef>
              <f>'Overview'!$I$5:$L$5</f>
            </numRef>
          </cat>
          <val>
            <numRef>
              <f>'Overview'!$I$8:$L$8</f>
            </numRef>
          </val>
        </ser>
        <ser>
          <idx val="3"/>
          <order val="3"/>
          <tx>
            <strRef>
              <f>'Overview'!H9</f>
            </strRef>
          </tx>
          <spPr>
            <a:l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StreamBank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'Overview'!O6</f>
            </strRef>
          </tx>
          <spPr>
            <a:ln>
              <a:prstDash val="solid"/>
            </a:ln>
          </spPr>
          <marker>
            <symbol val="none"/>
            <spPr>
              <a:ln>
                <a:prstDash val="solid"/>
              </a:ln>
            </spPr>
          </marker>
          <cat>
            <numRef>
              <f>'Overview'!$P$5:$S$5</f>
            </numRef>
          </cat>
          <val>
            <numRef>
              <f>'Overview'!$P$6:$S$6</f>
            </numRef>
          </val>
          <smooth val="0"/>
        </ser>
        <ser>
          <idx val="1"/>
          <order val="1"/>
          <tx>
            <strRef>
              <f>'Overview'!O7</f>
            </strRef>
          </tx>
          <spPr>
            <a:ln>
              <a:prstDash val="solid"/>
            </a:ln>
          </spPr>
          <marker>
            <symbol val="none"/>
            <spPr>
              <a:ln>
                <a:prstDash val="solid"/>
              </a:ln>
            </spPr>
          </marker>
          <cat>
            <numRef>
              <f>'Overview'!$P$5:$S$5</f>
            </numRef>
          </cat>
          <val>
            <numRef>
              <f>'Overview'!$P$7:$S$7</f>
            </numRef>
          </val>
          <smooth val="0"/>
        </ser>
        <ser>
          <idx val="2"/>
          <order val="2"/>
          <tx>
            <strRef>
              <f>'Overview'!O8</f>
            </strRef>
          </tx>
          <spPr>
            <a:ln>
              <a:prstDash val="solid"/>
            </a:ln>
          </spPr>
          <marker>
            <symbol val="none"/>
            <spPr>
              <a:ln>
                <a:prstDash val="solid"/>
              </a:ln>
            </spPr>
          </marker>
          <cat>
            <numRef>
              <f>'Overview'!$P$5:$S$5</f>
            </numRef>
          </cat>
          <val>
            <numRef>
              <f>'Overview'!$P$8:$S$8</f>
            </numRef>
          </val>
          <smooth val="0"/>
        </ser>
        <ser>
          <idx val="3"/>
          <order val="3"/>
          <tx>
            <strRef>
              <f>'Overview'!O9</f>
            </strRef>
          </tx>
          <spPr>
            <a:ln>
              <a:prstDash val="solid"/>
            </a:ln>
          </spPr>
          <marker>
            <symbol val="none"/>
            <spPr>
              <a:ln>
                <a:prstDash val="solid"/>
              </a:ln>
            </spPr>
          </marker>
          <cat>
            <numRef>
              <f>'Overview'!$P$5:$S$5</f>
            </numRef>
          </cat>
          <val>
            <numRef>
              <f>'Overview'!$P$9:$S$9</f>
            </numRef>
          </val>
          <smooth val="0"/>
        </ser>
        <ser>
          <idx val="4"/>
          <order val="4"/>
          <tx>
            <strRef>
              <f>'Overview'!O10</f>
            </strRef>
          </tx>
          <spPr>
            <a:ln>
              <a:prstDash val="solid"/>
            </a:ln>
          </spPr>
          <marker>
            <symbol val="none"/>
            <spPr>
              <a:ln>
                <a:prstDash val="solid"/>
              </a:ln>
            </spPr>
          </marker>
          <cat>
            <numRef>
              <f>'Overview'!$P$5:$S$5</f>
            </numRef>
          </cat>
          <val>
            <numRef>
              <f>'Overview'!$P$10:$S$10</f>
            </numRef>
          </val>
          <smooth val="0"/>
        </ser>
        <ser>
          <idx val="5"/>
          <order val="5"/>
          <tx>
            <strRef>
              <f>'Overview'!O11</f>
            </strRef>
          </tx>
          <spPr>
            <a:ln>
              <a:prstDash val="solid"/>
            </a:ln>
          </spPr>
          <marker>
            <symbol val="none"/>
            <spPr>
              <a:ln>
                <a:prstDash val="solid"/>
              </a:ln>
            </spPr>
          </marker>
          <cat>
            <numRef>
              <f>'Overview'!$P$5:$S$5</f>
            </numRef>
          </cat>
          <val>
            <numRef>
              <f>'Overview'!$P$11:$S$11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s>
  <sheetData>
    <row r="1">
      <c r="A1" s="1" t="inlineStr">
        <is>
          <t>StreamBank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 (15m)</t>
        </is>
      </c>
      <c r="E5" s="4" t="inlineStr">
        <is>
          <t>FY2021</t>
        </is>
      </c>
      <c r="I5" t="inlineStr">
        <is>
          <t>FY2021</t>
        </is>
      </c>
      <c r="J5" t="inlineStr">
        <is>
          <t>FY2023 (15m)</t>
        </is>
      </c>
      <c r="K5" t="inlineStr">
        <is>
          <t>FY2024</t>
        </is>
      </c>
      <c r="L5" t="inlineStr">
        <is>
          <t>FY2025</t>
        </is>
      </c>
      <c r="P5" t="inlineStr">
        <is>
          <t>FY2021</t>
        </is>
      </c>
      <c r="Q5" t="inlineStr">
        <is>
          <t>FY2023 (15m)</t>
        </is>
      </c>
      <c r="R5" t="inlineStr">
        <is>
          <t>FY2024</t>
        </is>
      </c>
      <c r="S5" t="inlineStr">
        <is>
          <t>FY2025</t>
        </is>
      </c>
    </row>
    <row r="6">
      <c r="A6" s="5" t="inlineStr">
        <is>
          <t>Net cash from operating activities</t>
        </is>
      </c>
      <c r="B6" s="5" t="n">
        <v>5616.8</v>
      </c>
      <c r="C6" s="5" t="n">
        <v>24482</v>
      </c>
      <c r="D6" s="5" t="n">
        <v>9419.799999999999</v>
      </c>
      <c r="E6" s="5" t="n">
        <v>272.8</v>
      </c>
      <c r="H6" t="inlineStr">
        <is>
          <t>Net cash from operating activities</t>
        </is>
      </c>
      <c r="I6" t="n">
        <v>272.8</v>
      </c>
      <c r="J6" t="n">
        <v>9419.799999999999</v>
      </c>
      <c r="K6" t="n">
        <v>24482</v>
      </c>
      <c r="L6" t="n">
        <v>5616.8</v>
      </c>
      <c r="O6" t="inlineStr">
        <is>
          <t>CET1 Ratio</t>
        </is>
      </c>
      <c r="R6" t="n">
        <v>22.2</v>
      </c>
      <c r="S6" t="n">
        <v>24.8</v>
      </c>
    </row>
    <row r="7">
      <c r="A7" s="5" t="inlineStr">
        <is>
          <t>Net cash from investing activities</t>
        </is>
      </c>
      <c r="B7" s="5" t="n">
        <v>-39.7</v>
      </c>
      <c r="C7" s="5" t="n">
        <v>-1044.6</v>
      </c>
      <c r="D7" s="5" t="n">
        <v>-11485.1</v>
      </c>
      <c r="E7" s="5" t="n">
        <v>-222.7</v>
      </c>
      <c r="H7" t="inlineStr">
        <is>
          <t>Net cash from investing activities</t>
        </is>
      </c>
      <c r="I7" t="n">
        <v>-222.7</v>
      </c>
      <c r="J7" t="n">
        <v>-11485.1</v>
      </c>
      <c r="K7" t="n">
        <v>-1044.6</v>
      </c>
      <c r="L7" t="n">
        <v>-39.7</v>
      </c>
      <c r="O7" t="inlineStr">
        <is>
          <t>Tier 1 Ratio</t>
        </is>
      </c>
      <c r="R7" t="n">
        <v>22.2</v>
      </c>
      <c r="S7" t="n">
        <v>24.8</v>
      </c>
    </row>
    <row r="8">
      <c r="A8" s="5" t="inlineStr">
        <is>
          <t>Net cash from financing activities</t>
        </is>
      </c>
      <c r="B8" s="5" t="n">
        <v>0</v>
      </c>
      <c r="C8" s="5" t="n">
        <v>3100</v>
      </c>
      <c r="D8" s="5" t="n">
        <v>16500</v>
      </c>
      <c r="E8" s="5" t="n">
        <v>37.5</v>
      </c>
      <c r="H8" t="inlineStr">
        <is>
          <t>Net cash from financing activities</t>
        </is>
      </c>
      <c r="I8" t="n">
        <v>37.5</v>
      </c>
      <c r="J8" t="n">
        <v>16500</v>
      </c>
      <c r="K8" t="n">
        <v>3100</v>
      </c>
      <c r="L8" t="n">
        <v>0</v>
      </c>
      <c r="O8" t="inlineStr">
        <is>
          <t>Total Capital Ratio</t>
        </is>
      </c>
      <c r="R8" t="n">
        <v>22.2</v>
      </c>
      <c r="S8" t="n">
        <v>24.8</v>
      </c>
    </row>
    <row r="9">
      <c r="A9" s="5" t="inlineStr">
        <is>
          <t>Cash and cash equivalents at end of year</t>
        </is>
      </c>
      <c r="B9" s="5" t="n">
        <v>46649.3</v>
      </c>
      <c r="C9" s="5" t="n">
        <v>41072.2</v>
      </c>
      <c r="D9" s="5" t="n">
        <v>14534.8</v>
      </c>
      <c r="E9" s="5" t="n">
        <v>100.1</v>
      </c>
      <c r="H9" t="inlineStr">
        <is>
          <t>Cash and cash equivalents at end of year</t>
        </is>
      </c>
      <c r="I9" t="n">
        <v>100.1</v>
      </c>
      <c r="J9" t="n">
        <v>14534.8</v>
      </c>
      <c r="K9" t="n">
        <v>41072.2</v>
      </c>
      <c r="L9" t="n">
        <v>46649.3</v>
      </c>
      <c r="O9" t="inlineStr">
        <is>
          <t>Leverage Ratio</t>
        </is>
      </c>
      <c r="R9" t="n">
        <v>21</v>
      </c>
      <c r="S9" t="n">
        <v>20.4</v>
      </c>
    </row>
    <row r="10">
      <c r="O10" t="inlineStr">
        <is>
          <t>LCR</t>
        </is>
      </c>
      <c r="R10" t="n">
        <v>54235</v>
      </c>
      <c r="S10" t="n">
        <v>9081.1</v>
      </c>
    </row>
    <row r="11">
      <c r="A11" s="3" t="inlineStr">
        <is>
          <t>Pillar 3 Key Metrics</t>
        </is>
      </c>
      <c r="O11" t="inlineStr">
        <is>
          <t>NSFR</t>
        </is>
      </c>
      <c r="R11" t="n">
        <v>223.8</v>
      </c>
      <c r="S11" t="n">
        <v>171.6</v>
      </c>
    </row>
    <row r="12">
      <c r="A12" s="4" t="inlineStr">
        <is>
          <t>Line item</t>
        </is>
      </c>
      <c r="B12" s="4" t="inlineStr">
        <is>
          <t>FY2025</t>
        </is>
      </c>
      <c r="C12" s="4" t="inlineStr">
        <is>
          <t>FY2024</t>
        </is>
      </c>
      <c r="D12" s="4" t="inlineStr">
        <is>
          <t>FY2023 (15m)</t>
        </is>
      </c>
      <c r="E12" s="4" t="inlineStr">
        <is>
          <t>FY2021</t>
        </is>
      </c>
    </row>
    <row r="13">
      <c r="A13" s="6" t="inlineStr">
        <is>
          <t>CET1 Ratio</t>
        </is>
      </c>
      <c r="B13" s="6" t="inlineStr">
        <is>
          <t>24.8%</t>
        </is>
      </c>
      <c r="C13" s="6" t="inlineStr">
        <is>
          <t>22.2%</t>
        </is>
      </c>
      <c r="D13" s="6" t="n"/>
      <c r="E13" s="6" t="n"/>
    </row>
    <row r="14">
      <c r="A14" s="6" t="inlineStr">
        <is>
          <t>Tier 1 Ratio</t>
        </is>
      </c>
      <c r="B14" s="6" t="inlineStr">
        <is>
          <t>24.8%</t>
        </is>
      </c>
      <c r="C14" s="6" t="inlineStr">
        <is>
          <t>22.2%</t>
        </is>
      </c>
      <c r="D14" s="6" t="n"/>
      <c r="E14" s="6" t="n"/>
    </row>
    <row r="15">
      <c r="A15" s="6" t="inlineStr">
        <is>
          <t>Total Capital Ratio</t>
        </is>
      </c>
      <c r="B15" s="6" t="inlineStr">
        <is>
          <t>24.8%</t>
        </is>
      </c>
      <c r="C15" s="6" t="inlineStr">
        <is>
          <t>22.2%</t>
        </is>
      </c>
      <c r="D15" s="6" t="n"/>
      <c r="E15" s="6" t="n"/>
    </row>
    <row r="16">
      <c r="A16" s="6" t="inlineStr">
        <is>
          <t>Leverage Ratio</t>
        </is>
      </c>
      <c r="B16" s="6" t="inlineStr">
        <is>
          <t>20.4%</t>
        </is>
      </c>
      <c r="C16" s="6" t="inlineStr">
        <is>
          <t>21.0%</t>
        </is>
      </c>
      <c r="D16" s="6" t="n"/>
      <c r="E16" s="6" t="n"/>
    </row>
    <row r="17">
      <c r="A17" s="6" t="inlineStr">
        <is>
          <t>LCR</t>
        </is>
      </c>
      <c r="B17" s="6" t="inlineStr">
        <is>
          <t>9081.1%</t>
        </is>
      </c>
      <c r="C17" s="6" t="inlineStr">
        <is>
          <t>54235.0%</t>
        </is>
      </c>
      <c r="D17" s="6" t="n"/>
      <c r="E17" s="6" t="n"/>
    </row>
    <row r="18">
      <c r="A18" s="6" t="inlineStr">
        <is>
          <t>NSFR</t>
        </is>
      </c>
      <c r="B18" s="6" t="inlineStr">
        <is>
          <t>171.6%</t>
        </is>
      </c>
      <c r="C18" s="6" t="inlineStr">
        <is>
          <t>223.8%</t>
        </is>
      </c>
      <c r="D18" s="6" t="n"/>
      <c r="E18" s="6" t="n"/>
    </row>
    <row r="20" ht="45" customHeight="1">
      <c r="A20" s="7" t="inlineStr">
        <is>
          <t>Note: Coverage is FY2021, FY2023 (15-month transition period), FY2024 and FY2025. FY2022 is intentionally absent because the accounting period was extended to 31 March 2023. Blank metric cells mean not publicly disclosed, not zero. Sources are entity-level; wider group data was not substituted.</t>
        </is>
      </c>
    </row>
  </sheetData>
  <mergeCells count="1">
    <mergeCell ref="A20:E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StreamBank PLC — Statement of Cash Flows</t>
        </is>
      </c>
    </row>
    <row r="2">
      <c r="A2" s="2" t="inlineStr">
        <is>
          <t>Standalone entity basis, £'000; FY2023 covers the 15-month transition period ended 31 March 2023; no separate FY2022 period was published</t>
        </is>
      </c>
    </row>
    <row r="3">
      <c r="A3" s="4" t="inlineStr">
        <is>
          <t>Line item</t>
        </is>
      </c>
      <c r="B3" s="4" t="inlineStr">
        <is>
          <t>FY2025 (£'000)</t>
        </is>
      </c>
      <c r="C3" s="4" t="inlineStr">
        <is>
          <t>FY2024 (£'000)</t>
        </is>
      </c>
      <c r="D3" s="4" t="inlineStr">
        <is>
          <t>FY2023 (15m) (£'000)</t>
        </is>
      </c>
      <c r="E3" s="4" t="inlineStr">
        <is>
          <t>FY2021 (£'000)</t>
        </is>
      </c>
    </row>
    <row r="4">
      <c r="A4" s="5" t="inlineStr">
        <is>
          <t>Cash flows from operating activities</t>
        </is>
      </c>
      <c r="B4" s="6" t="n"/>
      <c r="C4" s="6" t="n"/>
      <c r="D4" s="6" t="n"/>
      <c r="E4" s="6" t="n"/>
    </row>
    <row r="5">
      <c r="A5" s="6" t="inlineStr">
        <is>
          <t>Cash generated from operations</t>
        </is>
      </c>
      <c r="B5" s="6" t="n">
        <v>5616.8</v>
      </c>
      <c r="C5" s="6" t="n">
        <v>24482</v>
      </c>
      <c r="D5" s="6" t="n">
        <v>9419.799999999999</v>
      </c>
      <c r="E5" s="6" t="n">
        <v>272.8</v>
      </c>
    </row>
    <row r="6">
      <c r="A6" s="5" t="inlineStr">
        <is>
          <t>Net cash from operating activities</t>
        </is>
      </c>
      <c r="B6" s="5" t="n">
        <v>5616.8</v>
      </c>
      <c r="C6" s="5" t="n">
        <v>24482</v>
      </c>
      <c r="D6" s="5" t="n">
        <v>9419.799999999999</v>
      </c>
      <c r="E6" s="5" t="n">
        <v>272.8</v>
      </c>
    </row>
    <row r="7">
      <c r="A7" s="5" t="inlineStr">
        <is>
          <t>Cash flows from investing activities</t>
        </is>
      </c>
      <c r="B7" s="6" t="n"/>
      <c r="C7" s="6" t="n"/>
      <c r="D7" s="6" t="n"/>
      <c r="E7" s="6" t="n"/>
    </row>
    <row r="8">
      <c r="A8" s="6" t="inlineStr">
        <is>
          <t>Purchase of debt instruments</t>
        </is>
      </c>
      <c r="B8" s="6" t="n"/>
      <c r="C8" s="6" t="n">
        <v>-1000</v>
      </c>
      <c r="D8" s="6" t="n">
        <v>-3000</v>
      </c>
      <c r="E8" s="6" t="n"/>
    </row>
    <row r="9">
      <c r="A9" s="6" t="inlineStr">
        <is>
          <t>Disposal of debt instruments</t>
        </is>
      </c>
      <c r="B9" s="6" t="n">
        <v>1</v>
      </c>
      <c r="C9" s="6" t="n">
        <v>1</v>
      </c>
      <c r="D9" s="6" t="n"/>
      <c r="E9" s="6" t="n"/>
    </row>
    <row r="10">
      <c r="A10" s="6" t="inlineStr">
        <is>
          <t>Additions of intangible fixed assets</t>
        </is>
      </c>
      <c r="B10" s="6" t="n">
        <v>-1.2</v>
      </c>
      <c r="C10" s="6" t="n"/>
      <c r="D10" s="6" t="n"/>
      <c r="E10" s="6" t="n"/>
    </row>
    <row r="11">
      <c r="A11" s="6" t="inlineStr">
        <is>
          <t>Purchase of intangible fixed assets</t>
        </is>
      </c>
      <c r="B11" s="6" t="n"/>
      <c r="C11" s="6" t="n"/>
      <c r="D11" s="6" t="n">
        <v>-57</v>
      </c>
      <c r="E11" s="6" t="n">
        <v>-222.7</v>
      </c>
    </row>
    <row r="12">
      <c r="A12" s="6" t="inlineStr">
        <is>
          <t>Additions of tangible fixed assets</t>
        </is>
      </c>
      <c r="B12" s="6" t="n">
        <v>-39.5</v>
      </c>
      <c r="C12" s="6" t="n">
        <v>-45.6</v>
      </c>
      <c r="D12" s="6" t="n">
        <v>-84.59999999999999</v>
      </c>
      <c r="E12" s="6" t="n"/>
    </row>
    <row r="13">
      <c r="A13" s="6" t="inlineStr">
        <is>
          <t>Purchase of loans and advances to customers</t>
        </is>
      </c>
      <c r="B13" s="6" t="n"/>
      <c r="C13" s="6" t="n"/>
      <c r="D13" s="6" t="n">
        <v>-8343.5</v>
      </c>
      <c r="E13" s="6" t="n"/>
    </row>
    <row r="14">
      <c r="A14" s="5" t="inlineStr">
        <is>
          <t>Net cash from investing activities</t>
        </is>
      </c>
      <c r="B14" s="5" t="n">
        <v>-39.7</v>
      </c>
      <c r="C14" s="5" t="n">
        <v>-1044.6</v>
      </c>
      <c r="D14" s="5" t="n">
        <v>-11485.1</v>
      </c>
      <c r="E14" s="5" t="n">
        <v>-222.7</v>
      </c>
    </row>
    <row r="15">
      <c r="A15" s="5" t="inlineStr">
        <is>
          <t>Cash flows from financing activities</t>
        </is>
      </c>
      <c r="B15" s="6" t="n"/>
      <c r="C15" s="6" t="n"/>
      <c r="D15" s="6" t="n"/>
      <c r="E15" s="6" t="n"/>
    </row>
    <row r="16">
      <c r="A16" s="6" t="inlineStr">
        <is>
          <t>Share issuance</t>
        </is>
      </c>
      <c r="B16" s="6" t="n"/>
      <c r="C16" s="6" t="n">
        <v>3100</v>
      </c>
      <c r="D16" s="6" t="n">
        <v>16500</v>
      </c>
      <c r="E16" s="6" t="n">
        <v>37.5</v>
      </c>
    </row>
    <row r="17">
      <c r="A17" s="5" t="inlineStr">
        <is>
          <t>Net cash from financing activities</t>
        </is>
      </c>
      <c r="B17" s="5" t="n">
        <v>0</v>
      </c>
      <c r="C17" s="5" t="n">
        <v>3100</v>
      </c>
      <c r="D17" s="5" t="n">
        <v>16500</v>
      </c>
      <c r="E17" s="5" t="n">
        <v>37.5</v>
      </c>
    </row>
    <row r="18">
      <c r="A18" s="5" t="inlineStr">
        <is>
          <t>Net movement in cash and cash equivalents</t>
        </is>
      </c>
      <c r="B18" s="5" t="n">
        <v>5577.1</v>
      </c>
      <c r="C18" s="5" t="n">
        <v>26537.4</v>
      </c>
      <c r="D18" s="5" t="n">
        <v>14434.7</v>
      </c>
      <c r="E18" s="5" t="n">
        <v>87.59999999999999</v>
      </c>
    </row>
    <row r="19">
      <c r="A19" s="6" t="inlineStr">
        <is>
          <t>Cash and cash equivalents at beginning of year</t>
        </is>
      </c>
      <c r="B19" s="6" t="n">
        <v>41072.2</v>
      </c>
      <c r="C19" s="6" t="n">
        <v>14534.8</v>
      </c>
      <c r="D19" s="6" t="n">
        <v>100.1</v>
      </c>
      <c r="E19" s="6" t="n">
        <v>12.5</v>
      </c>
    </row>
    <row r="20">
      <c r="A20" s="5" t="inlineStr">
        <is>
          <t>Cash and cash equivalents at end of year</t>
        </is>
      </c>
      <c r="B20" s="5" t="n">
        <v>46649.3</v>
      </c>
      <c r="C20" s="5" t="n">
        <v>41072.2</v>
      </c>
      <c r="D20" s="5" t="n">
        <v>14534.8</v>
      </c>
      <c r="E20" s="5" t="n">
        <v>100.1</v>
      </c>
    </row>
    <row r="22" ht="220" customHeight="1">
      <c r="A22" s="8" t="inlineStr">
        <is>
          <t>Sources - StreamBank PLC standalone/entity basis; all figures £'000:
FY2025 and FY2024: StreamBank Plc Annual report and financial statements 2025, p.41 (cash flow statement) - https://streambank.co.uk/pdf/March-2025-Annual-Report-2025.pdf
FY2023 (15 months) and FY2021: StreamBank Plc Annual report and accounts 2023, p.40 (cash flow statement and 2021 comparative) - https://streambank.co.uk/pdf/StreamBank-Plc-Financial-Statements-31-March-2023-Signed.pdf
FY2021 filing copy: Companies House full accounts made up to 31 December 2021 - https://find-and-update.company-information.service.gov.uk/company/11995458/filing-history/MzM0MzQ4NDk4M2FkaXF6a2N4/document?download=0&amp;format=pdf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22:E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CET1 Capital</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Common Equity Tier 1 (CET1) capital</t>
        </is>
      </c>
      <c r="B4" s="6" t="n">
        <v>35066.3</v>
      </c>
      <c r="C4" s="6" t="n">
        <v>32012.2</v>
      </c>
      <c r="D4" s="6" t="n"/>
      <c r="E4" s="6" t="n"/>
    </row>
    <row r="5" ht="60" customHeight="1">
      <c r="A5" s="7" t="inlineStr">
        <is>
          <t>Note: Not publicly disclosed for FY2023 (15m) and FY2021 in the sources reviewed.</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CET1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Common Equity Tier 1 (CET1) ratio</t>
        </is>
      </c>
      <c r="B4" s="6" t="inlineStr">
        <is>
          <t>24.8%</t>
        </is>
      </c>
      <c r="C4" s="6" t="inlineStr">
        <is>
          <t>22.2%</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Tier 1 Capital</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Tier 1 capital</t>
        </is>
      </c>
      <c r="B4" s="6" t="n">
        <v>35066.3</v>
      </c>
      <c r="C4" s="6" t="n">
        <v>32012.2</v>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Tier 1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Tier 1 capital ratio</t>
        </is>
      </c>
      <c r="B4" s="6" t="inlineStr">
        <is>
          <t>24.8%</t>
        </is>
      </c>
      <c r="C4" s="6" t="inlineStr">
        <is>
          <t>22.2%</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Total Capital</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Total capital</t>
        </is>
      </c>
      <c r="B4" s="6" t="n">
        <v>35066.3</v>
      </c>
      <c r="C4" s="6" t="n">
        <v>32012.2</v>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Total Capital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Total capital ratio</t>
        </is>
      </c>
      <c r="B4" s="6" t="inlineStr">
        <is>
          <t>24.8%</t>
        </is>
      </c>
      <c r="C4" s="6" t="inlineStr">
        <is>
          <t>22.2%</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Total RWAs</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Risk-weighted exposure amounts</t>
        </is>
      </c>
      <c r="B4" s="6" t="n">
        <v>141336.1</v>
      </c>
      <c r="C4" s="6" t="n">
        <v>143947</v>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Leverage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Leverage ratio excluding claims on central banks</t>
        </is>
      </c>
      <c r="B4" s="6" t="inlineStr">
        <is>
          <t>20.4%</t>
        </is>
      </c>
      <c r="C4" s="6" t="inlineStr">
        <is>
          <t>21.0%</t>
        </is>
      </c>
      <c r="D4" s="6" t="n"/>
      <c r="E4" s="6" t="n"/>
    </row>
    <row r="5" ht="60" customHeight="1">
      <c r="A5" s="7" t="inlineStr">
        <is>
          <t>Note: The Pillar 3 document also reports ratios including central-bank claims of 16.6% (FY2025) and 17.3% (FY2024); this workbook uses the headline ratio excluding those claims. Earlier periods were not disclosed.</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LCR</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Liquidity Coverage Ratio</t>
        </is>
      </c>
      <c r="B4" s="6" t="inlineStr">
        <is>
          <t>9081.1%</t>
        </is>
      </c>
      <c r="C4" s="6" t="inlineStr">
        <is>
          <t>54235.0%</t>
        </is>
      </c>
      <c r="D4" s="6" t="n"/>
      <c r="E4" s="6" t="n"/>
    </row>
    <row r="5" ht="60" customHeight="1">
      <c r="A5" s="7" t="inlineStr">
        <is>
          <t>Note: Not publicly disclosed for FY2023 (15m) and FY2021. The source rounds the FY2025 table presentation to 9,081% in one location and reports 9,081.1% in UKB KM1; the latter is retained here.</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NSFR</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Net Stable Funding Ratio</t>
        </is>
      </c>
      <c r="B4" s="6" t="inlineStr">
        <is>
          <t>171.6%</t>
        </is>
      </c>
      <c r="C4" s="6" t="inlineStr">
        <is>
          <t>223.8%</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MREL Ratio</t>
        </is>
      </c>
    </row>
    <row r="2">
      <c r="A2" s="2" t="inlineStr"/>
    </row>
    <row r="3">
      <c r="A3" s="4" t="inlineStr">
        <is>
          <t>Metric</t>
        </is>
      </c>
      <c r="B3" s="4" t="inlineStr">
        <is>
          <t>FY2025</t>
        </is>
      </c>
      <c r="C3" s="4" t="inlineStr">
        <is>
          <t>FY2024</t>
        </is>
      </c>
      <c r="D3" s="4" t="inlineStr">
        <is>
          <t>FY2023 (15m)</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quantitative MREL ratio was found in the annual reports or Pillar 3 disclosures reviewed. StreamBank states it is assigned to the Modified Insolvency resolution category.</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2026-08-28T22:16:35Z</dcterms:created>
  <dcterms:modified xsi:type="dcterms:W3CDTF">2026-08-28T22:16:35Z</dcterms:modified>
</cp:coreProperties>
</file>