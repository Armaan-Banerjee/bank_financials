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KM1 Key Metrics" sheetId="7" state="visible" r:id="rId7"/>
    <sheet xmlns:r="http://schemas.openxmlformats.org/officeDocument/2006/relationships" name="CET1 Capital" sheetId="8" state="visible" r:id="rId8"/>
    <sheet xmlns:r="http://schemas.openxmlformats.org/officeDocument/2006/relationships" name="CET1 Ratio" sheetId="9" state="visible" r:id="rId9"/>
    <sheet xmlns:r="http://schemas.openxmlformats.org/officeDocument/2006/relationships" name="Tier 1 Capital" sheetId="10" state="visible" r:id="rId10"/>
    <sheet xmlns:r="http://schemas.openxmlformats.org/officeDocument/2006/relationships" name="Tier 1 Ratio" sheetId="11" state="visible" r:id="rId11"/>
    <sheet xmlns:r="http://schemas.openxmlformats.org/officeDocument/2006/relationships" name="Total Capital" sheetId="12" state="visible" r:id="rId12"/>
    <sheet xmlns:r="http://schemas.openxmlformats.org/officeDocument/2006/relationships" name="Total Capital Ratio" sheetId="13" state="visible" r:id="rId13"/>
    <sheet xmlns:r="http://schemas.openxmlformats.org/officeDocument/2006/relationships" name="Total RWAs" sheetId="14" state="visible" r:id="rId14"/>
    <sheet xmlns:r="http://schemas.openxmlformats.org/officeDocument/2006/relationships" name="RWA Breakdown" sheetId="15" state="visible" r:id="rId15"/>
    <sheet xmlns:r="http://schemas.openxmlformats.org/officeDocument/2006/relationships" name="Leverage Ratio" sheetId="16" state="visible" r:id="rId16"/>
    <sheet xmlns:r="http://schemas.openxmlformats.org/officeDocument/2006/relationships" name="LCR" sheetId="17" state="visible" r:id="rId17"/>
    <sheet xmlns:r="http://schemas.openxmlformats.org/officeDocument/2006/relationships" name="NSFR" sheetId="18" state="visible" r:id="rId18"/>
    <sheet xmlns:r="http://schemas.openxmlformats.org/officeDocument/2006/relationships" name="MREL Ratio" sheetId="19" state="visible" r:id="rId1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B4F6C"/>
        <bgColor rgb="000B4F6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StreamBank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'Overview'!I6</f>
            </strRef>
          </tx>
          <spPr>
            <a:ln xmlns:a="http://schemas.openxmlformats.org/drawingml/2006/main">
              <a:prstDash val="solid"/>
            </a:ln>
          </spPr>
          <cat>
            <numRef>
              <f>'Overview'!$J$5:$N$5</f>
            </numRef>
          </cat>
          <val>
            <numRef>
              <f>'Overview'!$J$6:$N$6</f>
            </numRef>
          </val>
        </ser>
        <ser>
          <idx val="1"/>
          <order val="1"/>
          <tx>
            <strRef>
              <f>'Overview'!I7</f>
            </strRef>
          </tx>
          <spPr>
            <a:ln xmlns:a="http://schemas.openxmlformats.org/drawingml/2006/main">
              <a:prstDash val="solid"/>
            </a:ln>
          </spPr>
          <cat>
            <numRef>
              <f>'Overview'!$J$5:$N$5</f>
            </numRef>
          </cat>
          <val>
            <numRef>
              <f>'Overview'!$J$7:$N$7</f>
            </numRef>
          </val>
        </ser>
        <ser>
          <idx val="2"/>
          <order val="2"/>
          <tx>
            <strRef>
              <f>'Overview'!I8</f>
            </strRef>
          </tx>
          <spPr>
            <a:ln xmlns:a="http://schemas.openxmlformats.org/drawingml/2006/main">
              <a:prstDash val="solid"/>
            </a:ln>
          </spPr>
          <cat>
            <numRef>
              <f>'Overview'!$J$5:$N$5</f>
            </numRef>
          </cat>
          <val>
            <numRef>
              <f>'Overview'!$J$8:$N$8</f>
            </numRef>
          </val>
        </ser>
        <ser>
          <idx val="3"/>
          <order val="3"/>
          <tx>
            <strRef>
              <f>'Overview'!I9</f>
            </strRef>
          </tx>
          <spPr>
            <a:ln xmlns:a="http://schemas.openxmlformats.org/drawingml/2006/main">
              <a:prstDash val="solid"/>
            </a:ln>
          </spPr>
          <cat>
            <numRef>
              <f>'Overview'!$J$5:$N$5</f>
            </numRef>
          </cat>
          <val>
            <numRef>
              <f>'Overview'!$J$9:$N$9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StreamBank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'Overview'!Q13</f>
            </strRef>
          </tx>
          <spPr>
            <a:ln xmlns:a="http://schemas.openxmlformats.org/drawingml/2006/main">
              <a:prstDash val="solid"/>
            </a:ln>
          </spPr>
          <cat>
            <numRef>
              <f>'Overview'!$R$12:$V$12</f>
            </numRef>
          </cat>
          <val>
            <numRef>
              <f>'Overview'!$R$13:$V$13</f>
            </numRef>
          </val>
        </ser>
        <ser>
          <idx val="1"/>
          <order val="1"/>
          <tx>
            <strRef>
              <f>'Overview'!Q14</f>
            </strRef>
          </tx>
          <spPr>
            <a:ln xmlns:a="http://schemas.openxmlformats.org/drawingml/2006/main">
              <a:prstDash val="solid"/>
            </a:ln>
          </spPr>
          <cat>
            <numRef>
              <f>'Overview'!$R$12:$V$12</f>
            </numRef>
          </cat>
          <val>
            <numRef>
              <f>'Overview'!$R$14:$V$14</f>
            </numRef>
          </val>
        </ser>
        <ser>
          <idx val="2"/>
          <order val="2"/>
          <tx>
            <strRef>
              <f>'Overview'!Q15</f>
            </strRef>
          </tx>
          <spPr>
            <a:ln xmlns:a="http://schemas.openxmlformats.org/drawingml/2006/main">
              <a:prstDash val="solid"/>
            </a:ln>
          </spPr>
          <cat>
            <numRef>
              <f>'Overview'!$R$12:$V$12</f>
            </numRef>
          </cat>
          <val>
            <numRef>
              <f>'Overview'!$R$15:$V$15</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StreamBank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'Overview'!Y19</f>
            </strRef>
          </tx>
          <spPr>
            <a:ln xmlns:a="http://schemas.openxmlformats.org/drawingml/2006/main">
              <a:prstDash val="solid"/>
            </a:ln>
          </spPr>
          <cat>
            <numRef>
              <f>'Overview'!$Z$18:$AD$18</f>
            </numRef>
          </cat>
          <val>
            <numRef>
              <f>'Overview'!$Z$19:$AD$19</f>
            </numRef>
          </val>
        </ser>
        <ser>
          <idx val="1"/>
          <order val="1"/>
          <tx>
            <strRef>
              <f>'Overview'!Y20</f>
            </strRef>
          </tx>
          <spPr>
            <a:ln xmlns:a="http://schemas.openxmlformats.org/drawingml/2006/main">
              <a:prstDash val="solid"/>
            </a:ln>
          </spPr>
          <cat>
            <numRef>
              <f>'Overview'!$Z$18:$AD$18</f>
            </numRef>
          </cat>
          <val>
            <numRef>
              <f>'Overview'!$Z$20:$AD$20</f>
            </numRef>
          </val>
        </ser>
        <ser>
          <idx val="2"/>
          <order val="2"/>
          <tx>
            <strRef>
              <f>'Overview'!Y21</f>
            </strRef>
          </tx>
          <spPr>
            <a:ln xmlns:a="http://schemas.openxmlformats.org/drawingml/2006/main">
              <a:prstDash val="solid"/>
            </a:ln>
          </spPr>
          <cat>
            <numRef>
              <f>'Overview'!$Z$18:$AD$18</f>
            </numRef>
          </cat>
          <val>
            <numRef>
              <f>'Overview'!$Z$21:$AD$21</f>
            </numRef>
          </val>
        </ser>
        <ser>
          <idx val="3"/>
          <order val="3"/>
          <tx>
            <strRef>
              <f>'Overview'!Y22</f>
            </strRef>
          </tx>
          <spPr>
            <a:ln xmlns:a="http://schemas.openxmlformats.org/drawingml/2006/main">
              <a:prstDash val="solid"/>
            </a:ln>
          </spPr>
          <cat>
            <numRef>
              <f>'Overview'!$Z$18:$AD$18</f>
            </numRef>
          </cat>
          <val>
            <numRef>
              <f>'Overview'!$Z$22:$AD$22</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StreamBank PLC — Cash Flow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'Overview'!AG26</f>
            </strRef>
          </tx>
          <spPr>
            <a:ln xmlns:a="http://schemas.openxmlformats.org/drawingml/2006/main">
              <a:prstDash val="solid"/>
            </a:ln>
          </spPr>
          <cat>
            <numRef>
              <f>'Overview'!$AH$25:$AL$25</f>
            </numRef>
          </cat>
          <val>
            <numRef>
              <f>'Overview'!$AH$26:$AL$26</f>
            </numRef>
          </val>
        </ser>
        <ser>
          <idx val="1"/>
          <order val="1"/>
          <tx>
            <strRef>
              <f>'Overview'!AG27</f>
            </strRef>
          </tx>
          <spPr>
            <a:ln xmlns:a="http://schemas.openxmlformats.org/drawingml/2006/main">
              <a:prstDash val="solid"/>
            </a:ln>
          </spPr>
          <cat>
            <numRef>
              <f>'Overview'!$AH$25:$AL$25</f>
            </numRef>
          </cat>
          <val>
            <numRef>
              <f>'Overview'!$AH$27:$AL$27</f>
            </numRef>
          </val>
        </ser>
        <ser>
          <idx val="2"/>
          <order val="2"/>
          <tx>
            <strRef>
              <f>'Overview'!AG28</f>
            </strRef>
          </tx>
          <spPr>
            <a:ln xmlns:a="http://schemas.openxmlformats.org/drawingml/2006/main">
              <a:prstDash val="solid"/>
            </a:ln>
          </spPr>
          <cat>
            <numRef>
              <f>'Overview'!$AH$25:$AL$25</f>
            </numRef>
          </cat>
          <val>
            <numRef>
              <f>'Overview'!$AH$28:$AL$28</f>
            </numRef>
          </val>
        </ser>
        <ser>
          <idx val="3"/>
          <order val="3"/>
          <tx>
            <strRef>
              <f>'Overview'!AG29</f>
            </strRef>
          </tx>
          <spPr>
            <a:ln xmlns:a="http://schemas.openxmlformats.org/drawingml/2006/main">
              <a:prstDash val="solid"/>
            </a:ln>
          </spPr>
          <cat>
            <numRef>
              <f>'Overview'!$AH$25:$AL$25</f>
            </numRef>
          </cat>
          <val>
            <numRef>
              <f>'Overview'!$AH$29:$AL$29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StreamBank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'Overview'!AO6</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'Overview'!$AP$6:$AT$6</f>
            </numRef>
          </val>
          <smooth val="0"/>
        </ser>
        <ser>
          <idx val="1"/>
          <order val="1"/>
          <tx>
            <strRef>
              <f>'Overview'!AO7</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'Overview'!$AP$7:$AT$7</f>
            </numRef>
          </val>
          <smooth val="0"/>
        </ser>
        <ser>
          <idx val="2"/>
          <order val="2"/>
          <tx>
            <strRef>
              <f>'Overview'!AO8</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'Overview'!$AP$8:$AT$8</f>
            </numRef>
          </val>
          <smooth val="0"/>
        </ser>
        <ser>
          <idx val="3"/>
          <order val="3"/>
          <tx>
            <strRef>
              <f>'Overview'!AO9</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'Overview'!$AP$9:$AT$9</f>
            </numRef>
          </val>
          <smooth val="0"/>
        </ser>
        <ser>
          <idx val="4"/>
          <order val="4"/>
          <tx>
            <strRef>
              <f>'Overview'!AO10</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'Overview'!$AP$10:$AT$10</f>
            </numRef>
          </val>
          <smooth val="0"/>
        </ser>
        <ser>
          <idx val="5"/>
          <order val="5"/>
          <tx>
            <strRef>
              <f>'Overview'!AO11</f>
            </strRef>
          </tx>
          <spPr>
            <a:ln xmlns:a="http://schemas.openxmlformats.org/drawingml/2006/main">
              <a:prstDash val="solid"/>
            </a:ln>
          </spPr>
          <marker>
            <symbol val="none"/>
            <spPr>
              <a:ln xmlns:a="http://schemas.openxmlformats.org/drawingml/2006/main">
                <a:prstDash val="solid"/>
              </a:ln>
            </spPr>
          </marker>
          <cat>
            <numRef>
              <f>'Overview'!$AP$5:$AT$5</f>
            </numRef>
          </cat>
          <val>
            <numRef>
              <f>'Overview'!$AP$11:$AT$11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s>
</file>

<file path=xl/drawings/drawing1.xml><?xml version="1.0" encoding="utf-8"?>
<wsDr xmlns="http://schemas.openxmlformats.org/drawingml/2006/spreadsheetDrawing">
  <oneCellAnchor>
    <from>
      <col>0</col>
      <colOff>0</colOff>
      <row>42</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64</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86</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108</row>
      <rowOff>0</rowOff>
    </from>
    <ext cx="8640000" cy="468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0</col>
      <colOff>0</colOff>
      <row>130</row>
      <rowOff>0</rowOff>
    </from>
    <ext cx="8640000" cy="576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T40"/>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s>
  <sheetData>
    <row r="1">
      <c r="A1" s="1" t="inlineStr">
        <is>
          <t>StreamBank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FY2026</t>
        </is>
      </c>
      <c r="C5" s="4" t="inlineStr">
        <is>
          <t>FY2025</t>
        </is>
      </c>
      <c r="D5" s="4" t="inlineStr">
        <is>
          <t>FY2024</t>
        </is>
      </c>
      <c r="E5" s="4" t="inlineStr">
        <is>
          <t>FY2023 (15m)</t>
        </is>
      </c>
      <c r="F5" s="4" t="inlineStr">
        <is>
          <t>FY2021</t>
        </is>
      </c>
      <c r="J5" t="inlineStr">
        <is>
          <t>FY2021</t>
        </is>
      </c>
      <c r="K5" t="inlineStr">
        <is>
          <t>FY2023 (15m)</t>
        </is>
      </c>
      <c r="L5" t="inlineStr">
        <is>
          <t>FY2024</t>
        </is>
      </c>
      <c r="M5" t="inlineStr">
        <is>
          <t>FY2025</t>
        </is>
      </c>
      <c r="N5" t="inlineStr">
        <is>
          <t>FY2026</t>
        </is>
      </c>
      <c r="AP5" t="inlineStr">
        <is>
          <t>FY2021</t>
        </is>
      </c>
      <c r="AQ5" t="inlineStr">
        <is>
          <t>FY2023 (15m)</t>
        </is>
      </c>
      <c r="AR5" t="inlineStr">
        <is>
          <t>FY2024</t>
        </is>
      </c>
      <c r="AS5" t="inlineStr">
        <is>
          <t>FY2025</t>
        </is>
      </c>
      <c r="AT5" t="inlineStr">
        <is>
          <t>FY2026</t>
        </is>
      </c>
    </row>
    <row r="6">
      <c r="A6" s="5" t="inlineStr">
        <is>
          <t>Total assets</t>
        </is>
      </c>
      <c r="B6" s="5" t="n">
        <v>196350.8</v>
      </c>
      <c r="C6" s="5" t="n">
        <v>210383.4</v>
      </c>
      <c r="D6" s="5" t="n">
        <v>185251.3</v>
      </c>
      <c r="E6" s="5" t="n">
        <v>50714.7</v>
      </c>
      <c r="F6" s="5" t="n">
        <v>447.9</v>
      </c>
      <c r="I6" t="inlineStr">
        <is>
          <t>Total assets</t>
        </is>
      </c>
      <c r="J6" t="n">
        <v>447.9</v>
      </c>
      <c r="K6" t="n">
        <v>50714.7</v>
      </c>
      <c r="L6" t="n">
        <v>185251.3</v>
      </c>
      <c r="M6" t="n">
        <v>210383.4</v>
      </c>
      <c r="N6" t="n">
        <v>196350.8</v>
      </c>
      <c r="AO6" t="inlineStr">
        <is>
          <t>CET1 Ratio</t>
        </is>
      </c>
      <c r="AQ6" t="n">
        <v>50.6</v>
      </c>
      <c r="AR6" t="n">
        <v>22.2</v>
      </c>
      <c r="AS6" t="n">
        <v>24.8</v>
      </c>
      <c r="AT6" t="n">
        <v>21.6</v>
      </c>
    </row>
    <row r="7">
      <c r="A7" s="5" t="inlineStr">
        <is>
          <t>Loans and advances to customers</t>
        </is>
      </c>
      <c r="B7" s="5" t="n">
        <v>154981.9</v>
      </c>
      <c r="C7" s="5" t="n">
        <v>156706.3</v>
      </c>
      <c r="D7" s="5" t="n">
        <v>137242</v>
      </c>
      <c r="E7" s="5" t="n">
        <v>31221</v>
      </c>
      <c r="F7" s="5" t="n"/>
      <c r="I7" t="inlineStr">
        <is>
          <t>Loans and advances to customers</t>
        </is>
      </c>
      <c r="K7" t="n">
        <v>31221</v>
      </c>
      <c r="L7" t="n">
        <v>137242</v>
      </c>
      <c r="M7" t="n">
        <v>156706.3</v>
      </c>
      <c r="N7" t="n">
        <v>154981.9</v>
      </c>
      <c r="AO7" t="inlineStr">
        <is>
          <t>Tier 1 Ratio</t>
        </is>
      </c>
      <c r="AQ7" t="n">
        <v>50.6</v>
      </c>
      <c r="AR7" t="n">
        <v>22.2</v>
      </c>
      <c r="AS7" t="n">
        <v>24.8</v>
      </c>
      <c r="AT7" t="n">
        <v>21.6</v>
      </c>
    </row>
    <row r="8">
      <c r="A8" s="5" t="inlineStr">
        <is>
          <t>Deposits from customers</t>
        </is>
      </c>
      <c r="B8" s="5" t="n">
        <v>163123</v>
      </c>
      <c r="C8" s="5" t="n">
        <v>173512.6</v>
      </c>
      <c r="D8" s="5" t="n">
        <v>149625.7</v>
      </c>
      <c r="E8" s="5" t="n">
        <v>16632.2</v>
      </c>
      <c r="F8" s="5" t="n"/>
      <c r="I8" t="inlineStr">
        <is>
          <t>Deposits from customers</t>
        </is>
      </c>
      <c r="K8" t="n">
        <v>16632.2</v>
      </c>
      <c r="L8" t="n">
        <v>149625.7</v>
      </c>
      <c r="M8" t="n">
        <v>173512.6</v>
      </c>
      <c r="N8" t="n">
        <v>163123</v>
      </c>
      <c r="AO8" t="inlineStr">
        <is>
          <t>Total Capital Ratio</t>
        </is>
      </c>
      <c r="AQ8" t="n">
        <v>50.6</v>
      </c>
      <c r="AR8" t="n">
        <v>22.2</v>
      </c>
      <c r="AS8" t="n">
        <v>24.8</v>
      </c>
      <c r="AT8" t="n">
        <v>21.6</v>
      </c>
    </row>
    <row r="9">
      <c r="A9" s="5" t="inlineStr">
        <is>
          <t>Total equity</t>
        </is>
      </c>
      <c r="B9" s="5" t="n">
        <v>32374.8</v>
      </c>
      <c r="C9" s="5" t="n">
        <v>35209.5</v>
      </c>
      <c r="D9" s="5" t="n">
        <v>34227.2</v>
      </c>
      <c r="E9" s="5" t="n">
        <v>33437.8</v>
      </c>
      <c r="F9" s="5" t="n">
        <v>-352.6</v>
      </c>
      <c r="I9" t="inlineStr">
        <is>
          <t>Total equity</t>
        </is>
      </c>
      <c r="J9" t="n">
        <v>-352.6</v>
      </c>
      <c r="K9" t="n">
        <v>33437.8</v>
      </c>
      <c r="L9" t="n">
        <v>34227.2</v>
      </c>
      <c r="M9" t="n">
        <v>35209.5</v>
      </c>
      <c r="N9" t="n">
        <v>32374.8</v>
      </c>
      <c r="AO9" t="inlineStr">
        <is>
          <t>Leverage Ratio (CRR, excl. central bank claims)</t>
        </is>
      </c>
      <c r="AR9" t="n">
        <v>21</v>
      </c>
      <c r="AS9" t="n">
        <v>20.4</v>
      </c>
    </row>
    <row r="10">
      <c r="AO10" t="inlineStr">
        <is>
          <t>LCR</t>
        </is>
      </c>
      <c r="AR10" t="n">
        <v>54235</v>
      </c>
      <c r="AS10" t="n">
        <v>9081.1</v>
      </c>
    </row>
    <row r="11">
      <c r="A11" s="3" t="inlineStr">
        <is>
          <t>Profit &amp; Loss Summary (£'000)</t>
        </is>
      </c>
      <c r="AO11" t="inlineStr">
        <is>
          <t>NSFR</t>
        </is>
      </c>
      <c r="AR11" t="n">
        <v>223.8</v>
      </c>
      <c r="AS11" t="n">
        <v>171.6</v>
      </c>
    </row>
    <row r="12">
      <c r="A12" s="4" t="inlineStr">
        <is>
          <t>Line item</t>
        </is>
      </c>
      <c r="B12" s="4" t="inlineStr">
        <is>
          <t>FY2026</t>
        </is>
      </c>
      <c r="C12" s="4" t="inlineStr">
        <is>
          <t>FY2025</t>
        </is>
      </c>
      <c r="D12" s="4" t="inlineStr">
        <is>
          <t>FY2024</t>
        </is>
      </c>
      <c r="E12" s="4" t="inlineStr">
        <is>
          <t>FY2023 (15m)</t>
        </is>
      </c>
      <c r="F12" s="4" t="inlineStr">
        <is>
          <t>FY2021</t>
        </is>
      </c>
      <c r="R12" t="inlineStr">
        <is>
          <t>FY2021</t>
        </is>
      </c>
      <c r="S12" t="inlineStr">
        <is>
          <t>FY2023 (15m)</t>
        </is>
      </c>
      <c r="T12" t="inlineStr">
        <is>
          <t>FY2024</t>
        </is>
      </c>
      <c r="U12" t="inlineStr">
        <is>
          <t>FY2025</t>
        </is>
      </c>
      <c r="V12" t="inlineStr">
        <is>
          <t>FY2026</t>
        </is>
      </c>
    </row>
    <row r="13">
      <c r="A13" s="5" t="inlineStr">
        <is>
          <t>Net interest income</t>
        </is>
      </c>
      <c r="B13" s="5" t="n">
        <v>11579.4</v>
      </c>
      <c r="C13" s="5" t="n">
        <v>11259.3</v>
      </c>
      <c r="D13" s="5" t="n">
        <v>5342.1</v>
      </c>
      <c r="E13" s="5" t="n">
        <v>1749.8</v>
      </c>
      <c r="F13" s="5" t="n"/>
      <c r="Q13" t="inlineStr">
        <is>
          <t>Net interest income</t>
        </is>
      </c>
      <c r="S13" t="n">
        <v>1749.8</v>
      </c>
      <c r="T13" t="n">
        <v>5342.1</v>
      </c>
      <c r="U13" t="n">
        <v>11259.3</v>
      </c>
      <c r="V13" t="n">
        <v>11579.4</v>
      </c>
    </row>
    <row r="14">
      <c r="A14" s="5" t="inlineStr">
        <is>
          <t>Total operating expense</t>
        </is>
      </c>
      <c r="B14" s="5" t="n">
        <v>-15877</v>
      </c>
      <c r="C14" s="5" t="n">
        <v>-10163.3</v>
      </c>
      <c r="D14" s="5" t="n">
        <v>-8663.6</v>
      </c>
      <c r="E14" s="5" t="n">
        <v>-6386.1</v>
      </c>
      <c r="F14" s="5" t="n">
        <v>-527.6</v>
      </c>
      <c r="Q14" t="inlineStr">
        <is>
          <t>Total operating expense</t>
        </is>
      </c>
      <c r="R14" t="n">
        <v>-527.6</v>
      </c>
      <c r="S14" t="n">
        <v>-6386.1</v>
      </c>
      <c r="T14" t="n">
        <v>-8663.6</v>
      </c>
      <c r="U14" t="n">
        <v>-10163.3</v>
      </c>
      <c r="V14" t="n">
        <v>-15877</v>
      </c>
    </row>
    <row r="15">
      <c r="A15" s="5" t="inlineStr">
        <is>
          <t>Profit/(Loss) for the year</t>
        </is>
      </c>
      <c r="B15" s="5" t="n">
        <v>-2901.7</v>
      </c>
      <c r="C15" s="5" t="n">
        <v>908.3</v>
      </c>
      <c r="D15" s="5" t="n">
        <v>-2395</v>
      </c>
      <c r="E15" s="5" t="n">
        <v>-3645.1</v>
      </c>
      <c r="F15" s="5" t="n">
        <v>-402.6</v>
      </c>
      <c r="Q15" t="inlineStr">
        <is>
          <t>Profit/(Loss) for the year</t>
        </is>
      </c>
      <c r="R15" t="n">
        <v>-402.6</v>
      </c>
      <c r="S15" t="n">
        <v>-3645.1</v>
      </c>
      <c r="T15" t="n">
        <v>-2395</v>
      </c>
      <c r="U15" t="n">
        <v>908.3</v>
      </c>
      <c r="V15" t="n">
        <v>-2901.7</v>
      </c>
    </row>
    <row r="17">
      <c r="A17" s="3" t="inlineStr">
        <is>
          <t>Statement of Changes in Equity Summary (£'000)</t>
        </is>
      </c>
    </row>
    <row r="18">
      <c r="A18" s="4" t="inlineStr">
        <is>
          <t>Line item</t>
        </is>
      </c>
      <c r="B18" s="4" t="inlineStr">
        <is>
          <t>FY2026</t>
        </is>
      </c>
      <c r="C18" s="4" t="inlineStr">
        <is>
          <t>FY2025</t>
        </is>
      </c>
      <c r="D18" s="4" t="inlineStr">
        <is>
          <t>FY2024</t>
        </is>
      </c>
      <c r="E18" s="4" t="inlineStr">
        <is>
          <t>FY2023 (15m)</t>
        </is>
      </c>
      <c r="F18" s="4" t="inlineStr">
        <is>
          <t>FY2021</t>
        </is>
      </c>
      <c r="Z18" t="inlineStr">
        <is>
          <t>FY2021</t>
        </is>
      </c>
      <c r="AA18" t="inlineStr">
        <is>
          <t>FY2023 (15m)</t>
        </is>
      </c>
      <c r="AB18" t="inlineStr">
        <is>
          <t>FY2024</t>
        </is>
      </c>
      <c r="AC18" t="inlineStr">
        <is>
          <t>FY2025</t>
        </is>
      </c>
      <c r="AD18" t="inlineStr">
        <is>
          <t>FY2026</t>
        </is>
      </c>
    </row>
    <row r="19">
      <c r="A19" s="5" t="inlineStr">
        <is>
          <t>Opening equity</t>
        </is>
      </c>
      <c r="B19" s="5" t="n">
        <v>35209.5</v>
      </c>
      <c r="C19" s="5" t="n">
        <v>34227.2</v>
      </c>
      <c r="D19" s="5" t="n">
        <v>33437.8</v>
      </c>
      <c r="E19" s="5" t="n">
        <v>-352.6</v>
      </c>
      <c r="F19" s="5" t="n">
        <v>50</v>
      </c>
      <c r="Y19" t="inlineStr">
        <is>
          <t>Opening equity</t>
        </is>
      </c>
      <c r="Z19" t="n">
        <v>50</v>
      </c>
      <c r="AA19" t="n">
        <v>-352.6</v>
      </c>
      <c r="AB19" t="n">
        <v>33437.8</v>
      </c>
      <c r="AC19" t="n">
        <v>34227.2</v>
      </c>
      <c r="AD19" t="n">
        <v>35209.5</v>
      </c>
    </row>
    <row r="20">
      <c r="A20" s="5" t="inlineStr">
        <is>
          <t>Total comprehensive income/(loss) for the year</t>
        </is>
      </c>
      <c r="B20" s="5" t="n">
        <v>-2834.8</v>
      </c>
      <c r="C20" s="5" t="n">
        <v>982.3</v>
      </c>
      <c r="D20" s="5" t="n">
        <v>-2310.6</v>
      </c>
      <c r="E20" s="5" t="n">
        <v>-3659.6</v>
      </c>
      <c r="F20" s="5" t="n">
        <v>-402.6</v>
      </c>
      <c r="Y20" t="inlineStr">
        <is>
          <t>Total comprehensive income/(loss) for the year</t>
        </is>
      </c>
      <c r="Z20" t="n">
        <v>-402.6</v>
      </c>
      <c r="AA20" t="n">
        <v>-3659.6</v>
      </c>
      <c r="AB20" t="n">
        <v>-2310.6</v>
      </c>
      <c r="AC20" t="n">
        <v>982.3</v>
      </c>
      <c r="AD20" t="n">
        <v>-2834.8</v>
      </c>
    </row>
    <row r="21">
      <c r="A21" s="5" t="inlineStr">
        <is>
          <t>Other equity movements, net</t>
        </is>
      </c>
      <c r="B21" s="5" t="n">
        <v>0</v>
      </c>
      <c r="C21" s="5" t="n">
        <v>0</v>
      </c>
      <c r="D21" s="5" t="n">
        <v>3100</v>
      </c>
      <c r="E21" s="5" t="n">
        <v>37450</v>
      </c>
      <c r="F21" s="5" t="n">
        <v>0</v>
      </c>
      <c r="Y21" t="inlineStr">
        <is>
          <t>Other equity movements, net</t>
        </is>
      </c>
      <c r="Z21" t="n">
        <v>0</v>
      </c>
      <c r="AA21" t="n">
        <v>37450</v>
      </c>
      <c r="AB21" t="n">
        <v>3100</v>
      </c>
      <c r="AC21" t="n">
        <v>0</v>
      </c>
      <c r="AD21" t="n">
        <v>0</v>
      </c>
    </row>
    <row r="22">
      <c r="A22" s="5" t="inlineStr">
        <is>
          <t>Closing equity</t>
        </is>
      </c>
      <c r="B22" s="5" t="n">
        <v>32374.8</v>
      </c>
      <c r="C22" s="5" t="n">
        <v>35209.5</v>
      </c>
      <c r="D22" s="5" t="n">
        <v>34227.2</v>
      </c>
      <c r="E22" s="5" t="n">
        <v>33437.8</v>
      </c>
      <c r="F22" s="5" t="n">
        <v>-352.6</v>
      </c>
      <c r="Y22" t="inlineStr">
        <is>
          <t>Closing equity</t>
        </is>
      </c>
      <c r="Z22" t="n">
        <v>-352.6</v>
      </c>
      <c r="AA22" t="n">
        <v>33437.8</v>
      </c>
      <c r="AB22" t="n">
        <v>34227.2</v>
      </c>
      <c r="AC22" t="n">
        <v>35209.5</v>
      </c>
      <c r="AD22" t="n">
        <v>32374.8</v>
      </c>
    </row>
    <row r="24">
      <c r="A24" s="3" t="inlineStr">
        <is>
          <t>Cash Flow Summary (£'000)</t>
        </is>
      </c>
    </row>
    <row r="25">
      <c r="A25" s="4" t="inlineStr">
        <is>
          <t>Line item</t>
        </is>
      </c>
      <c r="B25" s="4" t="inlineStr">
        <is>
          <t>FY2026</t>
        </is>
      </c>
      <c r="C25" s="4" t="inlineStr">
        <is>
          <t>FY2025</t>
        </is>
      </c>
      <c r="D25" s="4" t="inlineStr">
        <is>
          <t>FY2024</t>
        </is>
      </c>
      <c r="E25" s="4" t="inlineStr">
        <is>
          <t>FY2023 (15m)</t>
        </is>
      </c>
      <c r="F25" s="4" t="inlineStr">
        <is>
          <t>FY2021</t>
        </is>
      </c>
      <c r="AH25" t="inlineStr">
        <is>
          <t>FY2021</t>
        </is>
      </c>
      <c r="AI25" t="inlineStr">
        <is>
          <t>FY2023 (15m)</t>
        </is>
      </c>
      <c r="AJ25" t="inlineStr">
        <is>
          <t>FY2024</t>
        </is>
      </c>
      <c r="AK25" t="inlineStr">
        <is>
          <t>FY2025</t>
        </is>
      </c>
      <c r="AL25" t="inlineStr">
        <is>
          <t>FY2026</t>
        </is>
      </c>
    </row>
    <row r="26">
      <c r="A26" s="5" t="inlineStr">
        <is>
          <t>Net cash from operating activities</t>
        </is>
      </c>
      <c r="B26" s="5" t="n">
        <v>-13466</v>
      </c>
      <c r="C26" s="5" t="n">
        <v>5616.8</v>
      </c>
      <c r="D26" s="5" t="n">
        <v>24482</v>
      </c>
      <c r="E26" s="5" t="n">
        <v>9419.799999999999</v>
      </c>
      <c r="F26" s="5" t="n">
        <v>272.8</v>
      </c>
      <c r="AG26" t="inlineStr">
        <is>
          <t>Net cash from operating activities</t>
        </is>
      </c>
      <c r="AH26" t="n">
        <v>272.8</v>
      </c>
      <c r="AI26" t="n">
        <v>9419.799999999999</v>
      </c>
      <c r="AJ26" t="n">
        <v>24482</v>
      </c>
      <c r="AK26" t="n">
        <v>5616.8</v>
      </c>
      <c r="AL26" t="n">
        <v>-13466</v>
      </c>
    </row>
    <row r="27">
      <c r="A27" s="5" t="inlineStr">
        <is>
          <t>Net cash from investing activities</t>
        </is>
      </c>
      <c r="B27" s="5" t="n">
        <v>-46.7</v>
      </c>
      <c r="C27" s="5" t="n">
        <v>-39.7</v>
      </c>
      <c r="D27" s="5" t="n">
        <v>-1044.6</v>
      </c>
      <c r="E27" s="5" t="n">
        <v>-11485.1</v>
      </c>
      <c r="F27" s="5" t="n">
        <v>-222.7</v>
      </c>
      <c r="AG27" t="inlineStr">
        <is>
          <t>Net cash from investing activities</t>
        </is>
      </c>
      <c r="AH27" t="n">
        <v>-222.7</v>
      </c>
      <c r="AI27" t="n">
        <v>-11485.1</v>
      </c>
      <c r="AJ27" t="n">
        <v>-1044.6</v>
      </c>
      <c r="AK27" t="n">
        <v>-39.7</v>
      </c>
      <c r="AL27" t="n">
        <v>-46.7</v>
      </c>
    </row>
    <row r="28">
      <c r="A28" s="5" t="inlineStr">
        <is>
          <t>Net cash from financing activities</t>
        </is>
      </c>
      <c r="B28" s="5" t="n">
        <v>0</v>
      </c>
      <c r="C28" s="5" t="n">
        <v>0</v>
      </c>
      <c r="D28" s="5" t="n">
        <v>3100</v>
      </c>
      <c r="E28" s="5" t="n">
        <v>16500</v>
      </c>
      <c r="F28" s="5" t="n">
        <v>37.5</v>
      </c>
      <c r="AG28" t="inlineStr">
        <is>
          <t>Net cash from financing activities</t>
        </is>
      </c>
      <c r="AH28" t="n">
        <v>37.5</v>
      </c>
      <c r="AI28" t="n">
        <v>16500</v>
      </c>
      <c r="AJ28" t="n">
        <v>3100</v>
      </c>
      <c r="AK28" t="n">
        <v>0</v>
      </c>
      <c r="AL28" t="n">
        <v>0</v>
      </c>
    </row>
    <row r="29">
      <c r="A29" s="5" t="inlineStr">
        <is>
          <t>Cash and cash equivalents at end of year</t>
        </is>
      </c>
      <c r="B29" s="5" t="n">
        <v>33136.6</v>
      </c>
      <c r="C29" s="5" t="n">
        <v>46649.3</v>
      </c>
      <c r="D29" s="5" t="n">
        <v>41072.2</v>
      </c>
      <c r="E29" s="5" t="n">
        <v>14534.8</v>
      </c>
      <c r="F29" s="5" t="n">
        <v>100.1</v>
      </c>
      <c r="AG29" t="inlineStr">
        <is>
          <t>Cash and cash equivalents at end of year</t>
        </is>
      </c>
      <c r="AH29" t="n">
        <v>100.1</v>
      </c>
      <c r="AI29" t="n">
        <v>14534.8</v>
      </c>
      <c r="AJ29" t="n">
        <v>41072.2</v>
      </c>
      <c r="AK29" t="n">
        <v>46649.3</v>
      </c>
      <c r="AL29" t="n">
        <v>33136.6</v>
      </c>
    </row>
    <row r="31">
      <c r="A31" s="3" t="inlineStr">
        <is>
          <t>Pillar 3 Key Metrics</t>
        </is>
      </c>
    </row>
    <row r="32">
      <c r="A32" s="4" t="inlineStr">
        <is>
          <t>Line item</t>
        </is>
      </c>
      <c r="B32" s="4" t="inlineStr">
        <is>
          <t>FY2026</t>
        </is>
      </c>
      <c r="C32" s="4" t="inlineStr">
        <is>
          <t>FY2025</t>
        </is>
      </c>
      <c r="D32" s="4" t="inlineStr">
        <is>
          <t>FY2024</t>
        </is>
      </c>
      <c r="E32" s="4" t="inlineStr">
        <is>
          <t>FY2023 (15m)</t>
        </is>
      </c>
      <c r="F32" s="4" t="inlineStr">
        <is>
          <t>FY2021</t>
        </is>
      </c>
    </row>
    <row r="33">
      <c r="A33" s="6" t="inlineStr">
        <is>
          <t>CET1 Ratio</t>
        </is>
      </c>
      <c r="B33" s="6" t="inlineStr">
        <is>
          <t>21.6%</t>
        </is>
      </c>
      <c r="C33" s="6" t="inlineStr">
        <is>
          <t>24.8%</t>
        </is>
      </c>
      <c r="D33" s="6" t="inlineStr">
        <is>
          <t>22.2%</t>
        </is>
      </c>
      <c r="E33" s="6" t="inlineStr">
        <is>
          <t>50.6%</t>
        </is>
      </c>
      <c r="F33" s="6" t="n"/>
    </row>
    <row r="34">
      <c r="A34" s="6" t="inlineStr">
        <is>
          <t>Tier 1 Ratio</t>
        </is>
      </c>
      <c r="B34" s="6" t="inlineStr">
        <is>
          <t>21.6%</t>
        </is>
      </c>
      <c r="C34" s="6" t="inlineStr">
        <is>
          <t>24.8%</t>
        </is>
      </c>
      <c r="D34" s="6" t="inlineStr">
        <is>
          <t>22.2%</t>
        </is>
      </c>
      <c r="E34" s="6" t="inlineStr">
        <is>
          <t>50.6%</t>
        </is>
      </c>
      <c r="F34" s="6" t="n"/>
    </row>
    <row r="35">
      <c r="A35" s="6" t="inlineStr">
        <is>
          <t>Total Capital Ratio</t>
        </is>
      </c>
      <c r="B35" s="6" t="inlineStr">
        <is>
          <t>21.6%</t>
        </is>
      </c>
      <c r="C35" s="6" t="inlineStr">
        <is>
          <t>24.8%</t>
        </is>
      </c>
      <c r="D35" s="6" t="inlineStr">
        <is>
          <t>22.2%</t>
        </is>
      </c>
      <c r="E35" s="6" t="inlineStr">
        <is>
          <t>50.6%</t>
        </is>
      </c>
      <c r="F35" s="6" t="n"/>
    </row>
    <row r="36">
      <c r="A36" s="6" t="inlineStr">
        <is>
          <t>Leverage Ratio (CRR, excl. central bank claims)</t>
        </is>
      </c>
      <c r="B36" s="6" t="inlineStr">
        <is>
          <t>Not publicly disclosed</t>
        </is>
      </c>
      <c r="C36" s="6" t="inlineStr">
        <is>
          <t>20.4%</t>
        </is>
      </c>
      <c r="D36" s="6" t="inlineStr">
        <is>
          <t>21.0%</t>
        </is>
      </c>
      <c r="E36" s="6" t="inlineStr">
        <is>
          <t>Not publicly disclosed</t>
        </is>
      </c>
      <c r="F36" s="6" t="inlineStr">
        <is>
          <t>Not applicable – no banking licence in FY2021: Authorisation with Restrictions June 2022, full licence February 2023 (FY2023 Annual Report, pp.12-13)</t>
        </is>
      </c>
    </row>
    <row r="37">
      <c r="A37" s="6" t="inlineStr">
        <is>
          <t>LCR</t>
        </is>
      </c>
      <c r="B37" s="6" t="inlineStr">
        <is>
          <t>Not published – no FY2026 Pillar 3 (site JS bundle enumerated 2026-09-19: FY2024/FY2025 only; SDDT Ru 3.1 opt-in 04/05/2024); FY2026 Annual Report gives no LCR %</t>
        </is>
      </c>
      <c r="C37" s="6" t="inlineStr">
        <is>
          <t>9081.1%</t>
        </is>
      </c>
      <c r="D37" s="6" t="inlineStr">
        <is>
          <t>54235.0%</t>
        </is>
      </c>
      <c r="E37" s="6" t="inlineStr">
        <is>
          <t>Not publicly disclosed</t>
        </is>
      </c>
      <c r="F37" s="6" t="inlineStr">
        <is>
          <t>Not applicable – no banking licence in FY2021: Authorisation with Restrictions June 2022, full licence February 2023 (FY2023 Annual Report, pp.12-13)</t>
        </is>
      </c>
    </row>
    <row r="38">
      <c r="A38" s="6" t="inlineStr">
        <is>
          <t>NSFR</t>
        </is>
      </c>
      <c r="B38" s="6" t="inlineStr">
        <is>
          <t>Not publicly disclosed</t>
        </is>
      </c>
      <c r="C38" s="6" t="inlineStr">
        <is>
          <t>171.6%</t>
        </is>
      </c>
      <c r="D38" s="6" t="inlineStr">
        <is>
          <t>223.8%</t>
        </is>
      </c>
      <c r="E38" s="6" t="inlineStr">
        <is>
          <t>Not publicly disclosed</t>
        </is>
      </c>
      <c r="F38" s="6" t="inlineStr">
        <is>
          <t>Not applicable – no banking licence in FY2021: Authorisation with Restrictions June 2022, full licence February 2023 (FY2023 Annual Report, pp.12-13)</t>
        </is>
      </c>
    </row>
    <row r="40" ht="286" customHeight="1">
      <c r="A40" s="7" t="inlineStr">
        <is>
          <t>Note: Coverage is FY2021, FY2023 (15-month transition period), FY2024, FY2025 and FY2026. FY2026 was added on 2026-09-15 from the Annual report and financial statements 2026 (Companies House full accounts made up to 31 March 2026, filed 31 July 2026). IMPORTANT for FY2026: the four statement sheets and Asset Quality are complete, but the capital metrics come from that report's Note 22 'Capital' rather than a Pillar 3 document, because no FY2026 Pillar 3 report has been published yet - a different basis from FY2025/FY2024 (the FY2026 report's own FY2025 comparative is CET1 34,182.8 / 24.1%, against the Pillar 3 35,066.3 / 24.8% retained here), so read the FY2026-vs-FY2025 capital movement with that in mind. FY2026 Total RWAs, RWA Breakdown, Leverage Ratio, LCR and NSFR read 'Not publicly disclosed' (they previously sat blank, which is indistinguishable from an unresearched year) because the FY2026 Annual Report discloses none of them and nothing was derived. THAT ABSENCE IS NOW ENUMERATED, NOT GUESSED AT (2026-09-15): streambank.co.uk is a single-page app where every URL returns the same 25,989-byte shell, so filename permutation could never prove anything; instead the compiled JS bundle at /js/app.js was downloaded and every PDF path in it extracted, giving the complete set of six documents the site links to - of which EXACTLY TWO are Pillar 3 files, covering FY2024 and FY2025 only. There is no FY2026 and no FY2023 Pillar 3 edition. That enumeration also surfaced a text-native copy of the FY2026 Annual Report on the Bank's own site, which replaced the OCR of the scanned Companies House filing as the basis for these negatives. NOTE THE LEVERAGE RATIO SHEET CARRIES THREE ROWS: the Annual Reports headline a "Leverage ratio" (FY2026 19.2%, FY2023 182.3%) that their own footnotes define as "CET1 capital divided by liabilities" - not a CRR ratio at all, as the impossible FY2023 figure above 100% makes plain - so those are quarantined on a clearly-labelled memo row and the CRR rows stay blank for those years. StreamBank is NOT treated as SDDT-exempt despite holding the Rule 3.1 modification (waiver ref A00007820P.pdf, start 04/05/2024, no end date, confirmed against a fresh download of the PRA register on 2026-09-15): on a pure date test it would cover FY2025 and FY2026, but the Bank published a full Pillar 3 disclosure for FY2025 anyway (Board-approved 18 September 2025, eleven months after the start date) and states in that document that it regards the changes as "delayed until 1 January 2027". FY2026's gap is therefore most likely publication lag - the FY2025 edition appeared about six months after its year-end, so an FY2026 equivalent would only be due around September 2026 - and is worth ONE re-check rather than being closed as structural. The FY2026 report is also the first to split gross loans by IFRS 9 stage, so the Asset Quality sheet now carries that split for FY2024-FY2026. FY2022 is intentionally absent because the accounting period was extended to 31 March 2023. Blank metric cells mean not publicly disclosed, not zero. FY2023 capital/RWA/ratio figures were added in the 2026-09-12 disclosure audit from the Bank's own FY2023 Annual Report capital note (unaudited); FY2023 leverage/LCR/NSFR remain genuinely undisclosed, and FY2021 predates the Bank's banking licence entirely (Authorisation with Restrictions June 2022, full licence February 2023) so no regulatory metrics exist for it. Sources are entity-level; wider group data was not substituted.</t>
        </is>
      </c>
    </row>
  </sheetData>
  <mergeCells count="1">
    <mergeCell ref="A40:F40"/>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24"/>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StreamBank Plc — Balance Sheet</t>
        </is>
      </c>
    </row>
    <row r="2">
      <c r="A2" s="2" t="inlineStr">
        <is>
          <t>Standalone entity basis, £'000; FY2023 covers the 15-month transition period ended 31 March 2023; no separate FY2022 period was published</t>
        </is>
      </c>
    </row>
    <row r="3">
      <c r="A3" s="4" t="inlineStr">
        <is>
          <t>Line item</t>
        </is>
      </c>
      <c r="B3" s="4" t="inlineStr">
        <is>
          <t>FY2026 (£'000)</t>
        </is>
      </c>
      <c r="C3" s="4" t="inlineStr">
        <is>
          <t>FY2025 (£'000)</t>
        </is>
      </c>
      <c r="D3" s="4" t="inlineStr">
        <is>
          <t>FY2024 (£'000)</t>
        </is>
      </c>
      <c r="E3" s="4" t="inlineStr">
        <is>
          <t>FY2023 (15m) (£'000)</t>
        </is>
      </c>
      <c r="F3" s="4" t="inlineStr">
        <is>
          <t>FY2021 (£'000)</t>
        </is>
      </c>
    </row>
    <row r="4">
      <c r="A4" s="5" t="inlineStr">
        <is>
          <t>Assets</t>
        </is>
      </c>
      <c r="B4" s="6" t="n"/>
      <c r="C4" s="6" t="n"/>
      <c r="D4" s="6" t="n"/>
      <c r="E4" s="6" t="n"/>
      <c r="F4" s="6" t="n"/>
    </row>
    <row r="5">
      <c r="A5" s="6" t="inlineStr">
        <is>
          <t>Cash and balances at central banks</t>
        </is>
      </c>
      <c r="B5" s="6" t="n">
        <v>26943.9</v>
      </c>
      <c r="C5" s="6" t="n">
        <v>38692.5</v>
      </c>
      <c r="D5" s="6" t="n">
        <v>32730.1</v>
      </c>
      <c r="E5" s="6" t="n"/>
      <c r="F5" s="6" t="n"/>
    </row>
    <row r="6">
      <c r="A6" s="6" t="inlineStr">
        <is>
          <t>Cash and balances with other banks / credit institutions</t>
        </is>
      </c>
      <c r="B6" s="6" t="n">
        <v>6192.7</v>
      </c>
      <c r="C6" s="6" t="n">
        <v>7956.8</v>
      </c>
      <c r="D6" s="6" t="n">
        <v>8342.1</v>
      </c>
      <c r="E6" s="6" t="n">
        <v>14534.8</v>
      </c>
      <c r="F6" s="6" t="n">
        <v>100.1</v>
      </c>
    </row>
    <row r="7">
      <c r="A7" s="6" t="inlineStr">
        <is>
          <t>Debt instruments at fair value through OCI</t>
        </is>
      </c>
      <c r="B7" s="6" t="n">
        <v>4279.1</v>
      </c>
      <c r="C7" s="6" t="n">
        <v>4190</v>
      </c>
      <c r="D7" s="6" t="n">
        <v>4092.2</v>
      </c>
      <c r="E7" s="6" t="n">
        <v>2985.5</v>
      </c>
      <c r="F7" s="6" t="n"/>
    </row>
    <row r="8">
      <c r="A8" s="6" t="inlineStr">
        <is>
          <t>Loans and advances to customers</t>
        </is>
      </c>
      <c r="B8" s="6" t="n">
        <v>154981.9</v>
      </c>
      <c r="C8" s="6" t="n">
        <v>156706.3</v>
      </c>
      <c r="D8" s="6" t="n">
        <v>137242</v>
      </c>
      <c r="E8" s="6" t="n">
        <v>31221</v>
      </c>
      <c r="F8" s="6" t="n"/>
    </row>
    <row r="9">
      <c r="A9" s="6" t="inlineStr">
        <is>
          <t>Intangible assets</t>
        </is>
      </c>
      <c r="B9" s="6" t="n">
        <v>82.8</v>
      </c>
      <c r="C9" s="6" t="n">
        <v>139</v>
      </c>
      <c r="D9" s="6" t="n">
        <v>193.8</v>
      </c>
      <c r="E9" s="6" t="n">
        <v>249.8</v>
      </c>
      <c r="F9" s="6" t="n">
        <v>222.8</v>
      </c>
    </row>
    <row r="10">
      <c r="A10" s="6" t="inlineStr">
        <is>
          <t>Property, plant &amp; equipment</t>
        </is>
      </c>
      <c r="B10" s="6" t="n">
        <v>74.90000000000001</v>
      </c>
      <c r="C10" s="6" t="n">
        <v>71.3</v>
      </c>
      <c r="D10" s="6" t="n">
        <v>76.09999999999999</v>
      </c>
      <c r="E10" s="6" t="n">
        <v>64.09999999999999</v>
      </c>
      <c r="F10" s="6" t="n"/>
    </row>
    <row r="11">
      <c r="A11" s="6" t="inlineStr">
        <is>
          <t>Deferred tax assets</t>
        </is>
      </c>
      <c r="B11" s="6" t="n">
        <v>2606.6</v>
      </c>
      <c r="C11" s="6" t="n">
        <v>1683.3</v>
      </c>
      <c r="D11" s="6" t="n">
        <v>2017.1</v>
      </c>
      <c r="E11" s="6" t="n">
        <v>1017.3</v>
      </c>
      <c r="F11" s="6" t="n">
        <v>125</v>
      </c>
    </row>
    <row r="12">
      <c r="A12" s="6" t="inlineStr">
        <is>
          <t>Other assets</t>
        </is>
      </c>
      <c r="B12" s="6" t="n">
        <v>1188.9</v>
      </c>
      <c r="C12" s="6" t="n">
        <v>944.2</v>
      </c>
      <c r="D12" s="6" t="n">
        <v>557.9</v>
      </c>
      <c r="E12" s="6" t="n">
        <v>642.2</v>
      </c>
      <c r="F12" s="6" t="n"/>
    </row>
    <row r="13">
      <c r="A13" s="5" t="inlineStr">
        <is>
          <t>Total assets</t>
        </is>
      </c>
      <c r="B13" s="5" t="n">
        <v>196350.8</v>
      </c>
      <c r="C13" s="5" t="n">
        <v>210383.4</v>
      </c>
      <c r="D13" s="5" t="n">
        <v>185251.3</v>
      </c>
      <c r="E13" s="5" t="n">
        <v>50714.7</v>
      </c>
      <c r="F13" s="5" t="n">
        <v>447.9</v>
      </c>
    </row>
    <row r="14">
      <c r="A14" s="5" t="inlineStr">
        <is>
          <t>Liabilities</t>
        </is>
      </c>
      <c r="B14" s="6" t="n"/>
      <c r="C14" s="6" t="n"/>
      <c r="D14" s="6" t="n"/>
      <c r="E14" s="6" t="n"/>
      <c r="F14" s="6" t="n"/>
    </row>
    <row r="15">
      <c r="A15" s="6" t="inlineStr">
        <is>
          <t>Deposits from customers</t>
        </is>
      </c>
      <c r="B15" s="6" t="n">
        <v>163123</v>
      </c>
      <c r="C15" s="6" t="n">
        <v>173512.6</v>
      </c>
      <c r="D15" s="6" t="n">
        <v>149625.7</v>
      </c>
      <c r="E15" s="6" t="n">
        <v>16632.2</v>
      </c>
      <c r="F15" s="6" t="n"/>
    </row>
    <row r="16">
      <c r="A16" s="6" t="inlineStr">
        <is>
          <t>Other liabilities</t>
        </is>
      </c>
      <c r="B16" s="6" t="n">
        <v>853</v>
      </c>
      <c r="C16" s="6" t="n">
        <v>1661.3</v>
      </c>
      <c r="D16" s="6" t="n">
        <v>1398.4</v>
      </c>
      <c r="E16" s="6" t="n">
        <v>644.7</v>
      </c>
      <c r="F16" s="6" t="n">
        <v>800.5</v>
      </c>
    </row>
    <row r="17">
      <c r="A17" s="5" t="inlineStr">
        <is>
          <t>Total liabilities</t>
        </is>
      </c>
      <c r="B17" s="5" t="n">
        <v>163976</v>
      </c>
      <c r="C17" s="5" t="n">
        <v>175173.9</v>
      </c>
      <c r="D17" s="5" t="n">
        <v>151024.1</v>
      </c>
      <c r="E17" s="5" t="n">
        <v>17276.9</v>
      </c>
      <c r="F17" s="5" t="n">
        <v>800.5</v>
      </c>
    </row>
    <row r="18">
      <c r="A18" s="5" t="inlineStr">
        <is>
          <t>Equity</t>
        </is>
      </c>
      <c r="B18" s="6" t="n"/>
      <c r="C18" s="6" t="n"/>
      <c r="D18" s="6" t="n"/>
      <c r="E18" s="6" t="n"/>
      <c r="F18" s="6" t="n"/>
    </row>
    <row r="19">
      <c r="A19" s="6" t="inlineStr">
        <is>
          <t>Share capital</t>
        </is>
      </c>
      <c r="B19" s="6" t="n">
        <v>40600</v>
      </c>
      <c r="C19" s="6" t="n">
        <v>40600</v>
      </c>
      <c r="D19" s="6" t="n">
        <v>40600</v>
      </c>
      <c r="E19" s="6" t="n">
        <v>37500</v>
      </c>
      <c r="F19" s="6" t="n">
        <v>50</v>
      </c>
    </row>
    <row r="20">
      <c r="A20" s="6" t="inlineStr">
        <is>
          <t>Accumulated losses</t>
        </is>
      </c>
      <c r="B20" s="6" t="n">
        <v>-8225.200000000001</v>
      </c>
      <c r="C20" s="6" t="n">
        <v>-5390.5</v>
      </c>
      <c r="D20" s="6" t="n">
        <v>-6372.8</v>
      </c>
      <c r="E20" s="6" t="n">
        <v>-4062.2</v>
      </c>
      <c r="F20" s="6" t="n">
        <v>-402.6</v>
      </c>
    </row>
    <row r="21">
      <c r="A21" s="5" t="inlineStr">
        <is>
          <t>Total equity</t>
        </is>
      </c>
      <c r="B21" s="5" t="n">
        <v>32374.8</v>
      </c>
      <c r="C21" s="5" t="n">
        <v>35209.5</v>
      </c>
      <c r="D21" s="5" t="n">
        <v>34227.2</v>
      </c>
      <c r="E21" s="5" t="n">
        <v>33437.8</v>
      </c>
      <c r="F21" s="5" t="n">
        <v>-352.6</v>
      </c>
    </row>
    <row r="22">
      <c r="A22" s="5" t="inlineStr">
        <is>
          <t>Total equity and liabilities</t>
        </is>
      </c>
      <c r="B22" s="5" t="n">
        <v>196350.8</v>
      </c>
      <c r="C22" s="5" t="n">
        <v>210383.4</v>
      </c>
      <c r="D22" s="5" t="n">
        <v>185251.3</v>
      </c>
      <c r="E22" s="5" t="n">
        <v>50714.7</v>
      </c>
      <c r="F22" s="5" t="n">
        <v>447.9</v>
      </c>
    </row>
    <row r="24" ht="260" customHeight="1">
      <c r="A24" s="8" t="inlineStr">
        <is>
          <t>Sources - StreamBank PLC standalone/entity basis; all figures £'000:
FY2026: StreamBank Plc Annual report and financial statements 2026 (Companies House full accounts made up to 31 March 2026, filed 31 July 2026), p.44 (Income Statement), p.45 (Statement of Comprehensive Income), p.46 (Statement of Financial Position), p.47 (Statement of Changes in Equity) - https://find-and-update.company-information.service.gov.uk/company/11995458/filing-history/MzUzNDg0MTU0OWFkaXF6a2N4/document?format=pdf&amp;download=0
FY2025: StreamBank Plc Annual report and financial statements 2025, p.37 (Income Statement), p.38 (Statement of Comprehensive Income), p.39 (Statement of Financial Position), p.40 (Statement of Changes in Equity) - https://streambank.co.uk/pdf/March-2025-Annual-Report-2025.pdf
FY2024: StreamBank Plc Annual report and financial statements 2024, p.37 (Income Statement), p.39 (Statement of Financial Position) - https://streambank.co.uk/pdf/StreamBank-Plc-FY24-Live-PwC-Signed.pdf
FY2023 (15 months) and FY2021: StreamBank Plc Annual report and accounts 2023, p.36 (Income Statement), p.37 (Statement of Other Comprehensive Income), p.38 (Statement of Financial Position), p.39 (Statement of Changes in Equity) - https://streambank.co.uk/pdf/StreamBank-Plc-Financial-Statements-31-March-2023-Signed.pdf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
PRESENTATION NOTE: FY2025/FY2024's own report labels the cash line 'Cash balances held with other banks'; FY2023/FY2021's own report labels the equivalent line 'Loans and advances to credit institutions'. Both are combined here under one label as they cover the same underlying balance (repayable-on-demand deposits with UK banks). FY2021 had not yet begun lending or taking deposits (confirmed by that year's own Balance Sheet showing no Loans and advances to customers or Deposits from customers line at all) - blank cells for FY2021 are genuinely nil, not a data gap.</t>
        </is>
      </c>
    </row>
  </sheetData>
  <mergeCells count="1">
    <mergeCell ref="A24:F2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StreamBank Plc — Profit &amp; Loss</t>
        </is>
      </c>
    </row>
    <row r="2">
      <c r="A2" s="2" t="inlineStr">
        <is>
          <t>Standalone entity basis, £'000; FY2023 covers the 15-month transition period ended 31 March 2023; results relate entirely to continuing operations</t>
        </is>
      </c>
    </row>
    <row r="3">
      <c r="A3" s="4" t="inlineStr">
        <is>
          <t>Line item</t>
        </is>
      </c>
      <c r="B3" s="4" t="inlineStr">
        <is>
          <t>FY2026 (£'000)</t>
        </is>
      </c>
      <c r="C3" s="4" t="inlineStr">
        <is>
          <t>FY2025 (£'000)</t>
        </is>
      </c>
      <c r="D3" s="4" t="inlineStr">
        <is>
          <t>FY2024 (£'000)</t>
        </is>
      </c>
      <c r="E3" s="4" t="inlineStr">
        <is>
          <t>FY2023 (15m) (£'000)</t>
        </is>
      </c>
      <c r="F3" s="4" t="inlineStr">
        <is>
          <t>FY2021 (£'000)</t>
        </is>
      </c>
    </row>
    <row r="4">
      <c r="A4" s="5" t="inlineStr">
        <is>
          <t>Income</t>
        </is>
      </c>
      <c r="B4" s="6" t="n"/>
      <c r="C4" s="6" t="n"/>
      <c r="D4" s="6" t="n"/>
      <c r="E4" s="6" t="n"/>
      <c r="F4" s="6" t="n"/>
    </row>
    <row r="5">
      <c r="A5" s="6" t="inlineStr">
        <is>
          <t>Interest receivable and similar income</t>
        </is>
      </c>
      <c r="B5" s="6" t="n">
        <v>19405.3</v>
      </c>
      <c r="C5" s="6" t="n">
        <v>19996.4</v>
      </c>
      <c r="D5" s="6" t="n">
        <v>8950.299999999999</v>
      </c>
      <c r="E5" s="6" t="n">
        <v>2039.8</v>
      </c>
      <c r="F5" s="6" t="n"/>
    </row>
    <row r="6">
      <c r="A6" s="6" t="inlineStr">
        <is>
          <t>Interest payable and similar charges</t>
        </is>
      </c>
      <c r="B6" s="6" t="n">
        <v>-7825.9</v>
      </c>
      <c r="C6" s="6" t="n">
        <v>-8737.1</v>
      </c>
      <c r="D6" s="6" t="n">
        <v>-3608.2</v>
      </c>
      <c r="E6" s="6" t="n">
        <v>-290</v>
      </c>
      <c r="F6" s="6" t="n"/>
    </row>
    <row r="7">
      <c r="A7" s="5" t="inlineStr">
        <is>
          <t>Net interest income</t>
        </is>
      </c>
      <c r="B7" s="5" t="n">
        <v>11579.4</v>
      </c>
      <c r="C7" s="5" t="n">
        <v>11259.3</v>
      </c>
      <c r="D7" s="5" t="n">
        <v>5342.1</v>
      </c>
      <c r="E7" s="5" t="n">
        <v>1749.8</v>
      </c>
      <c r="F7" s="5" t="n"/>
    </row>
    <row r="8">
      <c r="A8" s="6" t="inlineStr">
        <is>
          <t>Other operating income/(expense)</t>
        </is>
      </c>
      <c r="B8" s="6" t="n">
        <v>450.4</v>
      </c>
      <c r="C8" s="6" t="n">
        <v>121.3</v>
      </c>
      <c r="D8" s="6" t="n">
        <v>-96.59999999999999</v>
      </c>
      <c r="E8" s="6" t="n">
        <v>99</v>
      </c>
      <c r="F8" s="6" t="n"/>
    </row>
    <row r="9">
      <c r="A9" s="5" t="inlineStr">
        <is>
          <t>Net operating income</t>
        </is>
      </c>
      <c r="B9" s="5" t="n">
        <v>12029.8</v>
      </c>
      <c r="C9" s="5" t="n">
        <v>11380.6</v>
      </c>
      <c r="D9" s="5" t="n">
        <v>5245.5</v>
      </c>
      <c r="E9" s="5" t="n">
        <v>1848.8</v>
      </c>
      <c r="F9" s="5" t="n"/>
    </row>
    <row r="10">
      <c r="A10" s="5" t="inlineStr">
        <is>
          <t>Operating expenses</t>
        </is>
      </c>
      <c r="B10" s="6" t="n"/>
      <c r="C10" s="6" t="n"/>
      <c r="D10" s="6" t="n"/>
      <c r="E10" s="6" t="n"/>
      <c r="F10" s="6" t="n"/>
    </row>
    <row r="11">
      <c r="A11" s="6" t="inlineStr">
        <is>
          <t>Staff costs</t>
        </is>
      </c>
      <c r="B11" s="6" t="n">
        <v>-5603.4</v>
      </c>
      <c r="C11" s="6" t="n">
        <v>-5243.6</v>
      </c>
      <c r="D11" s="6" t="n">
        <v>-4701.2</v>
      </c>
      <c r="E11" s="6" t="n">
        <v>-3754.5</v>
      </c>
      <c r="F11" s="6" t="n"/>
    </row>
    <row r="12">
      <c r="A12" s="6" t="inlineStr">
        <is>
          <t>Other operating expenses</t>
        </is>
      </c>
      <c r="B12" s="6" t="n">
        <v>-3759.7</v>
      </c>
      <c r="C12" s="6" t="n">
        <v>-3141</v>
      </c>
      <c r="D12" s="6" t="n">
        <v>-2670.9</v>
      </c>
      <c r="E12" s="6" t="n">
        <v>-1980.4</v>
      </c>
      <c r="F12" s="6" t="n">
        <v>-527.6</v>
      </c>
    </row>
    <row r="13">
      <c r="A13" s="6" t="inlineStr">
        <is>
          <t>Impairment losses on loans and advances to customers</t>
        </is>
      </c>
      <c r="B13" s="6" t="n">
        <v>-6414.6</v>
      </c>
      <c r="C13" s="6" t="n">
        <v>-1678.4</v>
      </c>
      <c r="D13" s="6" t="n">
        <v>-1201.9</v>
      </c>
      <c r="E13" s="6" t="n">
        <v>-600.8</v>
      </c>
      <c r="F13" s="6" t="n"/>
    </row>
    <row r="14">
      <c r="A14" s="6" t="inlineStr">
        <is>
          <t>Depreciation and amortisation</t>
        </is>
      </c>
      <c r="B14" s="6" t="n">
        <v>-99.3</v>
      </c>
      <c r="C14" s="6" t="n">
        <v>-100.3</v>
      </c>
      <c r="D14" s="6" t="n">
        <v>-89.59999999999999</v>
      </c>
      <c r="E14" s="6" t="n">
        <v>-50.4</v>
      </c>
      <c r="F14" s="6" t="n"/>
    </row>
    <row r="15">
      <c r="A15" s="5" t="inlineStr">
        <is>
          <t>Total operating expenses (sum of Staff costs + Other operating expenses + Depreciation and amortisation - excludes impairment losses on loans and advances)</t>
        </is>
      </c>
      <c r="B15" s="5" t="n">
        <v>-9462.4</v>
      </c>
      <c r="C15" s="5" t="n">
        <v>-8484.9</v>
      </c>
      <c r="D15" s="5" t="n">
        <v>-7461.7</v>
      </c>
      <c r="E15" s="5" t="n">
        <v>-5785.3</v>
      </c>
      <c r="F15" s="5" t="n">
        <v>-527.6</v>
      </c>
    </row>
    <row r="16">
      <c r="A16" s="5" t="inlineStr">
        <is>
          <t>Profit/(Loss) before taxation</t>
        </is>
      </c>
      <c r="B16" s="5" t="n">
        <v>-3847.2</v>
      </c>
      <c r="C16" s="5" t="n">
        <v>1217.3</v>
      </c>
      <c r="D16" s="5" t="n">
        <v>-3418.1</v>
      </c>
      <c r="E16" s="5" t="n">
        <v>-4537.4</v>
      </c>
      <c r="F16" s="5" t="n">
        <v>-527.6</v>
      </c>
    </row>
    <row r="17">
      <c r="A17" s="6" t="inlineStr">
        <is>
          <t>Tax (charge)/credit</t>
        </is>
      </c>
      <c r="B17" s="6" t="n">
        <v>945.5</v>
      </c>
      <c r="C17" s="6" t="n">
        <v>-309</v>
      </c>
      <c r="D17" s="6" t="n">
        <v>1023.1</v>
      </c>
      <c r="E17" s="6" t="n">
        <v>892.3</v>
      </c>
      <c r="F17" s="6" t="n">
        <v>125</v>
      </c>
    </row>
    <row r="18">
      <c r="A18" s="5" t="inlineStr">
        <is>
          <t>Profit/(Loss) for the year</t>
        </is>
      </c>
      <c r="B18" s="5" t="n">
        <v>-2901.7</v>
      </c>
      <c r="C18" s="5" t="n">
        <v>908.3</v>
      </c>
      <c r="D18" s="5" t="n">
        <v>-2395</v>
      </c>
      <c r="E18" s="5" t="n">
        <v>-3645.1</v>
      </c>
      <c r="F18" s="5" t="n">
        <v>-402.6</v>
      </c>
    </row>
    <row r="19">
      <c r="A19" s="5" t="inlineStr">
        <is>
          <t>Other comprehensive income</t>
        </is>
      </c>
      <c r="B19" s="6" t="n"/>
      <c r="C19" s="6" t="n"/>
      <c r="D19" s="6" t="n"/>
      <c r="E19" s="6" t="n"/>
      <c r="F19" s="6" t="n"/>
    </row>
    <row r="20">
      <c r="A20" s="6" t="inlineStr">
        <is>
          <t>Fair value adjustment through OCI</t>
        </is>
      </c>
      <c r="B20" s="6" t="n">
        <v>89.09999999999999</v>
      </c>
      <c r="C20" s="6" t="n">
        <v>98.8</v>
      </c>
      <c r="D20" s="6" t="n">
        <v>107.7</v>
      </c>
      <c r="E20" s="6" t="n">
        <v>-14.5</v>
      </c>
      <c r="F20" s="6" t="n"/>
    </row>
    <row r="21">
      <c r="A21" s="6" t="inlineStr">
        <is>
          <t>Deferred tax thereon</t>
        </is>
      </c>
      <c r="B21" s="6" t="n">
        <v>-22.2</v>
      </c>
      <c r="C21" s="6" t="n">
        <v>-24.8</v>
      </c>
      <c r="D21" s="6" t="n">
        <v>-23.3</v>
      </c>
      <c r="E21" s="6" t="n"/>
      <c r="F21" s="6" t="n"/>
    </row>
    <row r="22">
      <c r="A22" s="5" t="inlineStr">
        <is>
          <t>Total other comprehensive income</t>
        </is>
      </c>
      <c r="B22" s="5" t="n">
        <v>66.90000000000001</v>
      </c>
      <c r="C22" s="5" t="n">
        <v>74</v>
      </c>
      <c r="D22" s="5" t="n">
        <v>84.40000000000001</v>
      </c>
      <c r="E22" s="5" t="n">
        <v>-14.5</v>
      </c>
      <c r="F22" s="5" t="n"/>
    </row>
    <row r="23">
      <c r="A23" s="5" t="inlineStr">
        <is>
          <t>Total comprehensive income/(expense) for the year</t>
        </is>
      </c>
      <c r="B23" s="5" t="n">
        <v>-2834.8</v>
      </c>
      <c r="C23" s="5" t="n">
        <v>982.3</v>
      </c>
      <c r="D23" s="5" t="n">
        <v>-2310.6</v>
      </c>
      <c r="E23" s="5" t="n">
        <v>-3659.6</v>
      </c>
      <c r="F23" s="5" t="n">
        <v>-402.6</v>
      </c>
    </row>
    <row r="25" ht="260" customHeight="1">
      <c r="A25" s="8" t="inlineStr">
        <is>
          <t>Sources - StreamBank PLC standalone/entity basis; all figures £'000:
FY2026: StreamBank Plc Annual report and financial statements 2026 (Companies House full accounts made up to 31 March 2026, filed 31 July 2026), p.44 (Income Statement), p.45 (Statement of Comprehensive Income), p.46 (Statement of Financial Position), p.47 (Statement of Changes in Equity) - https://find-and-update.company-information.service.gov.uk/company/11995458/filing-history/MzUzNDg0MTU0OWFkaXF6a2N4/document?format=pdf&amp;download=0
FY2025: StreamBank Plc Annual report and financial statements 2025, p.37 (Income Statement), p.38 (Statement of Comprehensive Income), p.39 (Statement of Financial Position), p.40 (Statement of Changes in Equity) - https://streambank.co.uk/pdf/March-2025-Annual-Report-2025.pdf
FY2024: StreamBank Plc Annual report and financial statements 2024, p.37 (Income Statement), p.39 (Statement of Financial Position) - https://streambank.co.uk/pdf/StreamBank-Plc-FY24-Live-PwC-Signed.pdf
FY2023 (15 months) and FY2021: StreamBank Plc Annual report and accounts 2023, p.36 (Income Statement), p.37 (Statement of Other Comprehensive Income), p.38 (Statement of Financial Position), p.39 (Statement of Changes in Equity) - https://streambank.co.uk/pdf/StreamBank-Plc-Financial-Statements-31-March-2023-Signed.pdf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
FY2021 predates the start of lending/deposit-taking operations - no interest income/expense, impairment, or OCI was disclosed for that year (confirmed by that year's own Income Statement and Statement of Other Comprehensive Income, both showing '-' for those lines); FY2021's sole cost was Other Operating expenses.</t>
        </is>
      </c>
    </row>
  </sheetData>
  <mergeCells count="1">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5"/>
  <sheetViews>
    <sheetView workbookViewId="0">
      <pane ySplit="4" topLeftCell="A5" activePane="bottomLeft" state="frozen"/>
      <selection pane="bottomLeft" activeCell="A1" sqref="A1"/>
    </sheetView>
  </sheetViews>
  <sheetFormatPr baseColWidth="8" defaultRowHeight="15"/>
  <cols>
    <col width="76" customWidth="1" min="1" max="1"/>
    <col width="15" customWidth="1" min="2" max="2"/>
    <col width="15" customWidth="1" min="3" max="3"/>
    <col width="15" customWidth="1" min="4" max="4"/>
  </cols>
  <sheetData>
    <row r="1">
      <c r="A1" s="1" t="inlineStr">
        <is>
          <t>StreamBank Plc — Statement of Changes in Equity</t>
        </is>
      </c>
    </row>
    <row r="2">
      <c r="A2" s="2" t="inlineStr">
        <is>
          <t>Standalone entity basis, £'000; FY2023 row covers the 15-month transition period ended 31 March 2023. Ties exactly to the Balance Sheet's own Total equity at every year-end except FY2026, where the source itself is £0.1k out - see source note.</t>
        </is>
      </c>
    </row>
    <row r="3">
      <c r="A3" s="4" t="inlineStr">
        <is>
          <t>Movement</t>
        </is>
      </c>
      <c r="B3" s="4" t="inlineStr">
        <is>
          <t>Called up share capital</t>
        </is>
      </c>
      <c r="C3" s="4" t="inlineStr">
        <is>
          <t>Accumulated losses</t>
        </is>
      </c>
      <c r="D3" s="4" t="inlineStr">
        <is>
          <t>Total</t>
        </is>
      </c>
    </row>
    <row r="4">
      <c r="A4" s="5" t="inlineStr">
        <is>
          <t>As at 1 January 2021</t>
        </is>
      </c>
      <c r="B4" s="5" t="n">
        <v>50</v>
      </c>
      <c r="C4" s="5" t="n">
        <v>0</v>
      </c>
      <c r="D4" s="5" t="n">
        <v>50</v>
      </c>
    </row>
    <row r="5">
      <c r="A5" s="6" t="inlineStr">
        <is>
          <t>Loss for the financial year (FY2021)</t>
        </is>
      </c>
      <c r="B5" s="6" t="n"/>
      <c r="C5" s="6" t="n">
        <v>-527.6</v>
      </c>
      <c r="D5" s="6" t="n">
        <v>-527.6</v>
      </c>
    </row>
    <row r="6">
      <c r="A6" s="6" t="inlineStr">
        <is>
          <t>Other comprehensive income (FY2021)</t>
        </is>
      </c>
      <c r="B6" s="6" t="n"/>
      <c r="C6" s="6" t="n">
        <v>125</v>
      </c>
      <c r="D6" s="6" t="n">
        <v>125</v>
      </c>
    </row>
    <row r="7">
      <c r="A7" s="5" t="inlineStr">
        <is>
          <t>As at 31 December 2021</t>
        </is>
      </c>
      <c r="B7" s="5" t="n">
        <v>50</v>
      </c>
      <c r="C7" s="5" t="n">
        <v>-402.6</v>
      </c>
      <c r="D7" s="5" t="n">
        <v>-352.6</v>
      </c>
    </row>
    <row r="8">
      <c r="A8" s="6" t="inlineStr">
        <is>
          <t>Loss for the financial period (FY2023, 15mo)</t>
        </is>
      </c>
      <c r="B8" s="6" t="n"/>
      <c r="C8" s="6" t="n">
        <v>-3645.1</v>
      </c>
      <c r="D8" s="6" t="n">
        <v>-3645.1</v>
      </c>
    </row>
    <row r="9">
      <c r="A9" s="6" t="inlineStr">
        <is>
          <t>Fair value adjustment through OCI (FY2023)</t>
        </is>
      </c>
      <c r="B9" s="6" t="n"/>
      <c r="C9" s="6" t="n">
        <v>-14.5</v>
      </c>
      <c r="D9" s="6" t="n">
        <v>-14.5</v>
      </c>
    </row>
    <row r="10">
      <c r="A10" s="6" t="inlineStr">
        <is>
          <t>Increase in share capital (FY2023)</t>
        </is>
      </c>
      <c r="B10" s="6" t="n">
        <v>37450</v>
      </c>
      <c r="C10" s="6" t="n"/>
      <c r="D10" s="6" t="n">
        <v>37450</v>
      </c>
    </row>
    <row r="11">
      <c r="A11" s="5" t="inlineStr">
        <is>
          <t>As at 31 March 2023</t>
        </is>
      </c>
      <c r="B11" s="5" t="n">
        <v>37500</v>
      </c>
      <c r="C11" s="5" t="n">
        <v>-4062.2</v>
      </c>
      <c r="D11" s="5" t="n">
        <v>33437.8</v>
      </c>
    </row>
    <row r="12">
      <c r="A12" s="6" t="inlineStr">
        <is>
          <t>Loss for the financial year (FY2024)</t>
        </is>
      </c>
      <c r="B12" s="6" t="n"/>
      <c r="C12" s="6" t="n">
        <v>-2395</v>
      </c>
      <c r="D12" s="6" t="n">
        <v>-2395</v>
      </c>
    </row>
    <row r="13">
      <c r="A13" s="6" t="inlineStr">
        <is>
          <t>Other comprehensive income (FY2024)</t>
        </is>
      </c>
      <c r="B13" s="6" t="n"/>
      <c r="C13" s="6" t="n">
        <v>84.40000000000001</v>
      </c>
      <c r="D13" s="6" t="n">
        <v>84.40000000000001</v>
      </c>
    </row>
    <row r="14">
      <c r="A14" s="6" t="inlineStr">
        <is>
          <t>Increase in share capital (FY2024)</t>
        </is>
      </c>
      <c r="B14" s="6" t="n">
        <v>3100</v>
      </c>
      <c r="C14" s="6" t="n"/>
      <c r="D14" s="6" t="n">
        <v>3100</v>
      </c>
    </row>
    <row r="15">
      <c r="A15" s="5" t="inlineStr">
        <is>
          <t>As at 31 March 2024</t>
        </is>
      </c>
      <c r="B15" s="5" t="n">
        <v>40600</v>
      </c>
      <c r="C15" s="5" t="n">
        <v>-6372.8</v>
      </c>
      <c r="D15" s="5" t="n">
        <v>34227.2</v>
      </c>
    </row>
    <row r="16">
      <c r="A16" s="6" t="inlineStr">
        <is>
          <t>Profit for the financial year (FY2025)</t>
        </is>
      </c>
      <c r="B16" s="6" t="n"/>
      <c r="C16" s="6" t="n">
        <v>908.3</v>
      </c>
      <c r="D16" s="6" t="n">
        <v>908.3</v>
      </c>
    </row>
    <row r="17">
      <c r="A17" s="6" t="inlineStr">
        <is>
          <t>Other comprehensive income (FY2025)</t>
        </is>
      </c>
      <c r="B17" s="6" t="n"/>
      <c r="C17" s="6" t="n">
        <v>74</v>
      </c>
      <c r="D17" s="6" t="n">
        <v>74</v>
      </c>
    </row>
    <row r="18">
      <c r="A18" s="6" t="inlineStr">
        <is>
          <t>Increase in share capital (FY2025)</t>
        </is>
      </c>
      <c r="B18" s="6" t="n">
        <v>0</v>
      </c>
      <c r="C18" s="6" t="n"/>
      <c r="D18" s="6" t="n">
        <v>0</v>
      </c>
    </row>
    <row r="19">
      <c r="A19" s="5" t="inlineStr">
        <is>
          <t>As at 31 March 2025</t>
        </is>
      </c>
      <c r="B19" s="5" t="n">
        <v>40600</v>
      </c>
      <c r="C19" s="5" t="n">
        <v>-5390.5</v>
      </c>
      <c r="D19" s="5" t="n">
        <v>35209.5</v>
      </c>
    </row>
    <row r="20">
      <c r="A20" s="6" t="inlineStr">
        <is>
          <t>Loss for the financial year (FY2026)</t>
        </is>
      </c>
      <c r="B20" s="6" t="n"/>
      <c r="C20" s="6" t="n">
        <v>-2901.7</v>
      </c>
      <c r="D20" s="6" t="n">
        <v>-2901.7</v>
      </c>
    </row>
    <row r="21">
      <c r="A21" s="6" t="inlineStr">
        <is>
          <t>Other comprehensive income (FY2026)</t>
        </is>
      </c>
      <c r="B21" s="6" t="n"/>
      <c r="C21" s="6" t="n">
        <v>66.90000000000001</v>
      </c>
      <c r="D21" s="6" t="n">
        <v>66.90000000000001</v>
      </c>
    </row>
    <row r="22">
      <c r="A22" s="6" t="inlineStr">
        <is>
          <t>Increase in share capital (FY2026)</t>
        </is>
      </c>
      <c r="B22" s="6" t="n">
        <v>0</v>
      </c>
      <c r="C22" s="6" t="n"/>
      <c r="D22" s="6" t="n">
        <v>0</v>
      </c>
    </row>
    <row r="23">
      <c r="A23" s="5" t="inlineStr">
        <is>
          <t>As at 31 March 2026</t>
        </is>
      </c>
      <c r="B23" s="5" t="n">
        <v>40600</v>
      </c>
      <c r="C23" s="5" t="n">
        <v>-8225.200000000001</v>
      </c>
      <c r="D23" s="5" t="n">
        <v>32374.8</v>
      </c>
    </row>
    <row r="25" ht="351" customHeight="1">
      <c r="A25" s="8" t="inlineStr">
        <is>
          <t>Sources - StreamBank PLC standalone/entity basis; all figures £'000:
FY2026: StreamBank Plc Annual report and financial statements 2026 (Companies House full accounts made up to 31 March 2026, filed 31 July 2026), p.44 (Income Statement), p.45 (Statement of Comprehensive Income), p.46 (Statement of Financial Position), p.47 (Statement of Changes in Equity) - https://find-and-update.company-information.service.gov.uk/company/11995458/filing-history/MzUzNDg0MTU0OWFkaXF6a2N4/document?format=pdf&amp;download=0
FY2025: StreamBank Plc Annual report and financial statements 2025, p.37 (Income Statement), p.38 (Statement of Comprehensive Income), p.39 (Statement of Financial Position), p.40 (Statement of Changes in Equity) - https://streambank.co.uk/pdf/March-2025-Annual-Report-2025.pdf
FY2024: StreamBank Plc Annual report and financial statements 2024, p.37 (Income Statement), p.39 (Statement of Financial Position) - https://streambank.co.uk/pdf/StreamBank-Plc-FY24-Live-PwC-Signed.pdf
FY2023 (15 months) and FY2021: StreamBank Plc Annual report and accounts 2023, p.36 (Income Statement), p.37 (Statement of Other Comprehensive Income), p.38 (Statement of Financial Position), p.39 (Statement of Changes in Equity) - https://streambank.co.uk/pdf/StreamBank-Plc-Financial-Statements-31-March-2023-Signed.pdf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
SOURCE ANOMALY, reproduced as disclosed, not silently corrected: the FY2021 row of StreamBank's own Statement of Changes in Equity (AR2023, p.39) labels a +£125.0k movement 'Other comprehensive income', but that figure exactly matches the FY2021 tax credit reported in the Income Statement (p.36), while the same year's own Statement of Other Comprehensive Income (p.37) shows nil OCI for FY2021. The 'Loss for the financial year' row used here (£527.6k) is therefore the FY2021 loss before tax, not the £402.6k loss after tax - the two figures net to the correct £402.6k movement and tie exactly to the Balance Sheet's own FY2021 Total equity, so the underlying numbers are not in question, only the source's own row labelling for that one year.
SECOND SOURCE ANOMALY (FY2026), reproduced as disclosed, not force-reconciled: the FY2026 Statement of Changes in Equity (AR2026, p.47) opens at Accumulated losses (5,390.4) / Total equity 35,209.6, but the FY2025 section of that same statement closes at (5,390.5) / 35,209.5, which is also what both the FY2026 and FY2025 Balance Sheets report. The £0.1k break is in the source, not in transcription - confirmed by re-rendering p.47 at 450 DPI. This workbook carries the Balance-Sheet-consistent (5,390.5) / 35,209.5 opening, so the FY2026 movement rows (loss 2,901.7 + OCI 66.9 = 2,834.8) arithmetically imply a closing of (8,225.3) / 32,374.7 rather than the printed (8,225.2) / 32,374.8. The printed closing is used, because it is what both the FY2026 Balance Sheet and Note 22 report; the residual £0.1k is the source's own rounding, not a missing movement.</t>
        </is>
      </c>
    </row>
  </sheetData>
  <mergeCells count="1">
    <mergeCell ref="A25:D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 width="15" customWidth="1" min="5" max="5"/>
    <col width="15" customWidth="1" min="6" max="6"/>
  </cols>
  <sheetData>
    <row r="1">
      <c r="A1" s="1" t="inlineStr">
        <is>
          <t>StreamBank PLC — Statement of Cash Flows</t>
        </is>
      </c>
    </row>
    <row r="2">
      <c r="A2" s="2" t="inlineStr">
        <is>
          <t>Standalone entity basis, £'000; FY2023 covers the 15-month transition period ended 31 March 2023; no separate FY2022 period was published</t>
        </is>
      </c>
    </row>
    <row r="3">
      <c r="A3" s="4" t="inlineStr">
        <is>
          <t>Line item</t>
        </is>
      </c>
      <c r="B3" s="4" t="inlineStr">
        <is>
          <t>FY2026 (£'000)</t>
        </is>
      </c>
      <c r="C3" s="4" t="inlineStr">
        <is>
          <t>FY2025 (£'000)</t>
        </is>
      </c>
      <c r="D3" s="4" t="inlineStr">
        <is>
          <t>FY2024 (£'000)</t>
        </is>
      </c>
      <c r="E3" s="4" t="inlineStr">
        <is>
          <t>FY2023 (15m) (£'000)</t>
        </is>
      </c>
      <c r="F3" s="4" t="inlineStr">
        <is>
          <t>FY2021 (£'000)</t>
        </is>
      </c>
    </row>
    <row r="4">
      <c r="A4" s="5" t="inlineStr">
        <is>
          <t>Cash flows from operating activities</t>
        </is>
      </c>
      <c r="B4" s="6" t="n"/>
      <c r="C4" s="6" t="n"/>
      <c r="D4" s="6" t="n"/>
      <c r="E4" s="6" t="n"/>
      <c r="F4" s="6" t="n"/>
    </row>
    <row r="5">
      <c r="A5" s="6" t="inlineStr">
        <is>
          <t>Cash generated from operations</t>
        </is>
      </c>
      <c r="B5" s="6" t="n">
        <v>-13466</v>
      </c>
      <c r="C5" s="6" t="n">
        <v>5616.8</v>
      </c>
      <c r="D5" s="6" t="n">
        <v>24482</v>
      </c>
      <c r="E5" s="6" t="n">
        <v>9419.799999999999</v>
      </c>
      <c r="F5" s="6" t="n">
        <v>272.8</v>
      </c>
    </row>
    <row r="6">
      <c r="A6" s="5" t="inlineStr">
        <is>
          <t>Net cash from operating activities</t>
        </is>
      </c>
      <c r="B6" s="5" t="n">
        <v>-13466</v>
      </c>
      <c r="C6" s="5" t="n">
        <v>5616.8</v>
      </c>
      <c r="D6" s="5" t="n">
        <v>24482</v>
      </c>
      <c r="E6" s="5" t="n">
        <v>9419.799999999999</v>
      </c>
      <c r="F6" s="5" t="n">
        <v>272.8</v>
      </c>
    </row>
    <row r="7">
      <c r="A7" s="5" t="inlineStr">
        <is>
          <t>Cash flows from investing activities</t>
        </is>
      </c>
      <c r="B7" s="6" t="n"/>
      <c r="C7" s="6" t="n"/>
      <c r="D7" s="6" t="n"/>
      <c r="E7" s="6" t="n"/>
      <c r="F7" s="6" t="n"/>
    </row>
    <row r="8">
      <c r="A8" s="6" t="inlineStr">
        <is>
          <t>Purchase of debt instruments</t>
        </is>
      </c>
      <c r="B8" s="6" t="n"/>
      <c r="C8" s="6" t="n"/>
      <c r="D8" s="6" t="n">
        <v>-1000</v>
      </c>
      <c r="E8" s="6" t="n">
        <v>-3000</v>
      </c>
      <c r="F8" s="6" t="n"/>
    </row>
    <row r="9">
      <c r="A9" s="6" t="inlineStr">
        <is>
          <t>Disposal of debt instruments</t>
        </is>
      </c>
      <c r="B9" s="6" t="n"/>
      <c r="C9" s="6" t="n">
        <v>1</v>
      </c>
      <c r="D9" s="6" t="n">
        <v>1</v>
      </c>
      <c r="E9" s="6" t="n"/>
      <c r="F9" s="6" t="n"/>
    </row>
    <row r="10">
      <c r="A10" s="6" t="inlineStr">
        <is>
          <t>Additions of intangible fixed assets</t>
        </is>
      </c>
      <c r="B10" s="6" t="n"/>
      <c r="C10" s="6" t="n">
        <v>-1.2</v>
      </c>
      <c r="D10" s="6" t="n"/>
      <c r="E10" s="6" t="n"/>
      <c r="F10" s="6" t="n"/>
    </row>
    <row r="11">
      <c r="A11" s="6" t="inlineStr">
        <is>
          <t>Purchase of intangible fixed assets</t>
        </is>
      </c>
      <c r="B11" s="6" t="n"/>
      <c r="C11" s="6" t="n"/>
      <c r="D11" s="6" t="n"/>
      <c r="E11" s="6" t="n">
        <v>-57</v>
      </c>
      <c r="F11" s="6" t="n">
        <v>-222.7</v>
      </c>
    </row>
    <row r="12">
      <c r="A12" s="6" t="inlineStr">
        <is>
          <t>Additions of tangible fixed assets</t>
        </is>
      </c>
      <c r="B12" s="6" t="n">
        <v>-46.7</v>
      </c>
      <c r="C12" s="6" t="n">
        <v>-39.5</v>
      </c>
      <c r="D12" s="6" t="n">
        <v>-45.6</v>
      </c>
      <c r="E12" s="6" t="n">
        <v>-84.59999999999999</v>
      </c>
      <c r="F12" s="6" t="n"/>
    </row>
    <row r="13">
      <c r="A13" s="6" t="inlineStr">
        <is>
          <t>Purchase of loans and advances to customers</t>
        </is>
      </c>
      <c r="B13" s="6" t="n"/>
      <c r="C13" s="6" t="n"/>
      <c r="D13" s="6" t="n"/>
      <c r="E13" s="6" t="n">
        <v>-8343.5</v>
      </c>
      <c r="F13" s="6" t="n"/>
    </row>
    <row r="14">
      <c r="A14" s="5" t="inlineStr">
        <is>
          <t>Net cash from investing activities</t>
        </is>
      </c>
      <c r="B14" s="5" t="n">
        <v>-46.7</v>
      </c>
      <c r="C14" s="5" t="n">
        <v>-39.7</v>
      </c>
      <c r="D14" s="5" t="n">
        <v>-1044.6</v>
      </c>
      <c r="E14" s="5" t="n">
        <v>-11485.1</v>
      </c>
      <c r="F14" s="5" t="n">
        <v>-222.7</v>
      </c>
    </row>
    <row r="15">
      <c r="A15" s="5" t="inlineStr">
        <is>
          <t>Cash flows from financing activities</t>
        </is>
      </c>
      <c r="B15" s="6" t="n"/>
      <c r="C15" s="6" t="n"/>
      <c r="D15" s="6" t="n"/>
      <c r="E15" s="6" t="n"/>
      <c r="F15" s="6" t="n"/>
    </row>
    <row r="16">
      <c r="A16" s="6" t="inlineStr">
        <is>
          <t>Share issuance</t>
        </is>
      </c>
      <c r="B16" s="6" t="n"/>
      <c r="C16" s="6" t="n"/>
      <c r="D16" s="6" t="n">
        <v>3100</v>
      </c>
      <c r="E16" s="6" t="n">
        <v>16500</v>
      </c>
      <c r="F16" s="6" t="n">
        <v>37.5</v>
      </c>
    </row>
    <row r="17">
      <c r="A17" s="5" t="inlineStr">
        <is>
          <t>Net cash from financing activities</t>
        </is>
      </c>
      <c r="B17" s="5" t="n">
        <v>0</v>
      </c>
      <c r="C17" s="5" t="n">
        <v>0</v>
      </c>
      <c r="D17" s="5" t="n">
        <v>3100</v>
      </c>
      <c r="E17" s="5" t="n">
        <v>16500</v>
      </c>
      <c r="F17" s="5" t="n">
        <v>37.5</v>
      </c>
    </row>
    <row r="18">
      <c r="A18" s="5" t="inlineStr">
        <is>
          <t>Net movement in cash and cash equivalents</t>
        </is>
      </c>
      <c r="B18" s="5" t="n">
        <v>-13512.7</v>
      </c>
      <c r="C18" s="5" t="n">
        <v>5577.1</v>
      </c>
      <c r="D18" s="5" t="n">
        <v>26537.4</v>
      </c>
      <c r="E18" s="5" t="n">
        <v>14434.7</v>
      </c>
      <c r="F18" s="5" t="n">
        <v>87.59999999999999</v>
      </c>
    </row>
    <row r="19">
      <c r="A19" s="6" t="inlineStr">
        <is>
          <t>Cash and cash equivalents at beginning of year</t>
        </is>
      </c>
      <c r="B19" s="6" t="n">
        <v>46649.3</v>
      </c>
      <c r="C19" s="6" t="n">
        <v>41072.2</v>
      </c>
      <c r="D19" s="6" t="n">
        <v>14534.8</v>
      </c>
      <c r="E19" s="6" t="n">
        <v>100.1</v>
      </c>
      <c r="F19" s="6" t="n">
        <v>12.5</v>
      </c>
    </row>
    <row r="20">
      <c r="A20" s="5" t="inlineStr">
        <is>
          <t>Cash and cash equivalents at end of year</t>
        </is>
      </c>
      <c r="B20" s="5" t="n">
        <v>33136.6</v>
      </c>
      <c r="C20" s="5" t="n">
        <v>46649.3</v>
      </c>
      <c r="D20" s="5" t="n">
        <v>41072.2</v>
      </c>
      <c r="E20" s="5" t="n">
        <v>14534.8</v>
      </c>
      <c r="F20" s="5" t="n">
        <v>100.1</v>
      </c>
    </row>
    <row r="22" ht="220" customHeight="1">
      <c r="A22" s="8" t="inlineStr">
        <is>
          <t>Sources - StreamBank PLC standalone/entity basis; all figures £'000:
FY2026: StreamBank Plc Annual report and financial statements 2026, p.48 (Statement of Cash Flows) - https://find-and-update.company-information.service.gov.uk/company/11995458/filing-history/MzUzNDg0MTU0OWFkaXF6a2N4/document?format=pdf&amp;download=0
FY2025 and FY2024: StreamBank Plc Annual report and financial statements 2025, p.41 (cash flow statement) - https://streambank.co.uk/pdf/March-2025-Annual-Report-2025.pdf
FY2023 (15 months) and FY2021: StreamBank Plc Annual report and accounts 2023, p.40 (cash flow statement and 2021 comparative) - https://streambank.co.uk/pdf/StreamBank-Plc-Financial-Statements-31-March-2023-Signed.pdf
FY2021 filing copy: Companies House full accounts made up to 31 December 2021 - https://find-and-update.company-information.service.gov.uk/company/11995458/filing-history/MzM0MzQ4NDk4M2FkaXF6a2N4/document?download=0&amp;format=pdf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1">
    <mergeCell ref="A22:F2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s>
  <sheetData>
    <row r="1">
      <c r="A1" s="1" t="inlineStr">
        <is>
          <t>StreamBank Plc — Asset Quality / Credit Risk Disclosures</t>
        </is>
      </c>
    </row>
    <row r="2">
      <c r="A2" s="2" t="inlineStr">
        <is>
          <t>Standalone entity basis, £'000; FY2023 covers the 15-month transition period ended 31 March 2023. FY2021 predates the start of lending - genuinely nil, not a data gap.</t>
        </is>
      </c>
    </row>
    <row r="3">
      <c r="A3" s="4" t="inlineStr">
        <is>
          <t>Line item</t>
        </is>
      </c>
      <c r="B3" s="4" t="inlineStr">
        <is>
          <t>FY2026 (£'000)</t>
        </is>
      </c>
      <c r="C3" s="4" t="inlineStr">
        <is>
          <t>FY2025 (£'000)</t>
        </is>
      </c>
      <c r="D3" s="4" t="inlineStr">
        <is>
          <t>FY2024 (£'000)</t>
        </is>
      </c>
      <c r="E3" s="4" t="inlineStr">
        <is>
          <t>FY2023 (15m) (£'000)</t>
        </is>
      </c>
    </row>
    <row r="4">
      <c r="A4" s="5" t="inlineStr">
        <is>
          <t>Loan book</t>
        </is>
      </c>
      <c r="B4" s="6" t="n"/>
      <c r="C4" s="6" t="n"/>
      <c r="D4" s="6" t="n"/>
      <c r="E4" s="6" t="n"/>
    </row>
    <row r="5">
      <c r="A5" s="6" t="inlineStr">
        <is>
          <t>Gross loans and advances to customers</t>
        </is>
      </c>
      <c r="B5" s="6" t="n">
        <v>165422.4</v>
      </c>
      <c r="C5" s="6" t="n">
        <v>160288.5</v>
      </c>
      <c r="D5" s="6" t="n">
        <v>139145.8</v>
      </c>
      <c r="E5" s="6" t="n">
        <v>31821.8</v>
      </c>
    </row>
    <row r="6">
      <c r="A6" s="6" t="inlineStr">
        <is>
          <t>Less: ECL allowance</t>
        </is>
      </c>
      <c r="B6" s="6" t="n">
        <v>-10440.5</v>
      </c>
      <c r="C6" s="6" t="n">
        <v>-3582.2</v>
      </c>
      <c r="D6" s="6" t="n">
        <v>-1903.8</v>
      </c>
      <c r="E6" s="6" t="n">
        <v>-600.8</v>
      </c>
    </row>
    <row r="7">
      <c r="A7" s="5" t="inlineStr">
        <is>
          <t>Net loans and advances to customers</t>
        </is>
      </c>
      <c r="B7" s="5" t="n">
        <v>154981.9</v>
      </c>
      <c r="C7" s="5" t="n">
        <v>156706.3</v>
      </c>
      <c r="D7" s="5" t="n">
        <v>137242</v>
      </c>
      <c r="E7" s="5" t="n">
        <v>31221</v>
      </c>
    </row>
    <row r="8">
      <c r="A8" s="5" t="inlineStr">
        <is>
          <t>Gross loan balance by IFRS 9 stage</t>
        </is>
      </c>
      <c r="B8" s="6" t="n"/>
      <c r="C8" s="6" t="n"/>
      <c r="D8" s="6" t="n"/>
      <c r="E8" s="6" t="n"/>
    </row>
    <row r="9">
      <c r="A9" s="6" t="inlineStr">
        <is>
          <t>Stage 1 (satisfactory)</t>
        </is>
      </c>
      <c r="B9" s="6" t="n">
        <v>102055.6</v>
      </c>
      <c r="C9" s="6" t="n">
        <v>97094.5</v>
      </c>
      <c r="D9" s="6" t="n">
        <v>118244.3</v>
      </c>
      <c r="E9" s="6" t="n"/>
    </row>
    <row r="10">
      <c r="A10" s="6" t="inlineStr">
        <is>
          <t>Stage 2 (watchlist)</t>
        </is>
      </c>
      <c r="B10" s="6" t="n">
        <v>8545.1</v>
      </c>
      <c r="C10" s="6" t="n">
        <v>21609.2</v>
      </c>
      <c r="D10" s="6" t="n">
        <v>9807.4</v>
      </c>
      <c r="E10" s="6" t="n"/>
    </row>
    <row r="11">
      <c r="A11" s="6" t="inlineStr">
        <is>
          <t>Stage 3 (default / credit-impaired)</t>
        </is>
      </c>
      <c r="B11" s="6" t="n">
        <v>54821.7</v>
      </c>
      <c r="C11" s="6" t="n">
        <v>41584.8</v>
      </c>
      <c r="D11" s="6" t="n">
        <v>11094.1</v>
      </c>
      <c r="E11" s="6" t="n"/>
    </row>
    <row r="12">
      <c r="A12" s="5" t="inlineStr">
        <is>
          <t>ECL allowance by IFRS 9 stage</t>
        </is>
      </c>
      <c r="B12" s="6" t="n"/>
      <c r="C12" s="6" t="n"/>
      <c r="D12" s="6" t="n"/>
      <c r="E12" s="6" t="n"/>
    </row>
    <row r="13">
      <c r="A13" s="6" t="inlineStr">
        <is>
          <t>Stage 1 (12-month ECL)</t>
        </is>
      </c>
      <c r="B13" s="6" t="n">
        <v>310.9</v>
      </c>
      <c r="C13" s="6" t="n">
        <v>307</v>
      </c>
      <c r="D13" s="6" t="n">
        <v>233</v>
      </c>
      <c r="E13" s="6" t="n">
        <v>47.7</v>
      </c>
    </row>
    <row r="14">
      <c r="A14" s="6" t="inlineStr">
        <is>
          <t>Stage 2 (lifetime ECL, not credit-impaired)</t>
        </is>
      </c>
      <c r="B14" s="6" t="n">
        <v>96.40000000000001</v>
      </c>
      <c r="C14" s="6" t="n">
        <v>107</v>
      </c>
      <c r="D14" s="6" t="n">
        <v>3.6</v>
      </c>
      <c r="E14" s="6" t="n">
        <v>0.6</v>
      </c>
    </row>
    <row r="15">
      <c r="A15" s="6" t="inlineStr">
        <is>
          <t>Stage 3 (lifetime ECL, credit-impaired)</t>
        </is>
      </c>
      <c r="B15" s="6" t="n">
        <v>10033.2</v>
      </c>
      <c r="C15" s="6" t="n">
        <v>3168.2</v>
      </c>
      <c r="D15" s="6" t="n">
        <v>1667.2</v>
      </c>
      <c r="E15" s="6" t="n">
        <v>552.5</v>
      </c>
    </row>
    <row r="16">
      <c r="A16" s="5" t="inlineStr">
        <is>
          <t>Derived ratios</t>
        </is>
      </c>
      <c r="B16" s="6" t="n"/>
      <c r="C16" s="6" t="n"/>
      <c r="D16" s="6" t="n"/>
      <c r="E16" s="6" t="n"/>
    </row>
    <row r="17">
      <c r="A17" s="6" t="inlineStr">
        <is>
          <t>ECL coverage ratio (total ECL / gross loans)</t>
        </is>
      </c>
      <c r="B17" s="6" t="inlineStr">
        <is>
          <t>6.31%</t>
        </is>
      </c>
      <c r="C17" s="6" t="inlineStr">
        <is>
          <t>2.23%</t>
        </is>
      </c>
      <c r="D17" s="6" t="inlineStr">
        <is>
          <t>1.37%</t>
        </is>
      </c>
      <c r="E17" s="6" t="inlineStr">
        <is>
          <t>1.89%</t>
        </is>
      </c>
    </row>
    <row r="18">
      <c r="A18" s="6" t="inlineStr">
        <is>
          <t>Stage 3 share of gross loans (NPL ratio)</t>
        </is>
      </c>
      <c r="B18" s="6" t="inlineStr">
        <is>
          <t>33.14%</t>
        </is>
      </c>
      <c r="C18" s="6" t="inlineStr">
        <is>
          <t>25.94%</t>
        </is>
      </c>
      <c r="D18" s="6" t="inlineStr">
        <is>
          <t>7.97%</t>
        </is>
      </c>
      <c r="E18" s="6" t="n"/>
    </row>
    <row r="20" ht="312" customHeight="1">
      <c r="A20" s="8" t="inlineStr">
        <is>
          <t>Sources - StreamBank PLC standalone/entity basis, all figures £'000:
FY2026 and FY2025: StreamBank Plc Annual report and financial statements 2026, p.63 (Note 12 Loans and advances to customers, Note 13 Impairment losses by IFRS 9 stage) and p.75 (Note 21, gross loan balance stage roll-forward tables for March 2026 and March 2025) - https://find-and-update.company-information.service.gov.uk/company/11995458/filing-history/MzUzNDg0MTU0OWFkaXF6a2N4/document?format=pdf&amp;download=0
FY2024 gross-by-stage: StreamBank Plc Annual report and financial statements 2026, p.75, opening 'At 31 March 2024' row of the March 2025 roll-forward (Stage 1 118,244.3; Stage 2 9,807.4; Stage 3 11,094.1; Total 139,145.8, which ties exactly to the FY2024 gross balance above) - https://find-and-update.company-information.service.gov.uk/company/11995458/filing-history/MzUzNDg0MTU0OWFkaXF6a2N4/document?format=pdf&amp;download=0
FY2025 and FY2024: StreamBank Plc Annual report and financial statements 2025, p.53-54 (Note 12 Loans and advances to customers, Note 13 Impairment losses by IFRS 9 stage) - https://streambank.co.uk/pdf/March-2025-Annual-Report-2025.pdf
FY2023: StreamBank Plc Annual report and accounts 2023, p.51-52 (Note 11 Loans and advances to customers, Note 12 Impairment losses by IFRS 9 stage) - https://streambank.co.uk/pdf/StreamBank-Plc-Financial-Statements-31-March-2023-Signed.pdf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
FY2021 had no loans and advances to customers at all (confirmed by that year's own Balance Sheet and Note 11 comparative column, both showing '-') - the Bank had not yet begun lending.
GROSS-BY-STAGE, added 2026-09-15: the FY2026 Annual Report is the first StreamBank report to disclose the gross loan balance split by IFRS 9 stage. Its Note 21 roll-forward tables give the split at 31 March 2026, 31 March 2025 and 31 March 2024, so those three years are now populated. FY2023 remains blank - neither the FY2023 nor the FY2025 report discloses a gross-by-stage split, only the ECL allowance roll-forward. The Stage 3 share of gross loans is therefore available from FY2024 onward and is left blank for FY2023.
Both derived ratios are calculated from the disclosed figures on the same sheet, not transcribed: ECL coverage ratio = total ECL allowance / gross loans; Stage 3 share = Stage 3 gross balance / total gross loans. (The FY2025 coverage ratio was corrected from 2.24% to 2.23% on 2026-09-15; 3,582.2 / 160,288.5 = 2.2348%, which rounds down.)</t>
        </is>
      </c>
    </row>
  </sheetData>
  <mergeCells count="1">
    <mergeCell ref="A20:E2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2" customWidth="1" min="1" max="1"/>
    <col width="15" customWidth="1" min="2" max="2"/>
    <col width="15" customWidth="1" min="3" max="3"/>
    <col width="15" customWidth="1" min="4" max="4"/>
  </cols>
  <sheetData>
    <row r="1">
      <c r="A1" s="1" t="inlineStr">
        <is>
          <t>StreamBank Plc — KM1 Key Metrics</t>
        </is>
      </c>
    </row>
    <row r="2">
      <c r="A2" s="2" t="inlineStr">
        <is>
          <t>StreamBank's own published 'Template UKB KM1 - Key metrics template', reproduced in the Bank's row order with its own row numbers. Amounts in £'000, ratios as printed. Only the FY2025 and FY2024 Pillar 3 editions exist, so only those two columns carry figures.</t>
        </is>
      </c>
    </row>
    <row r="3">
      <c r="A3" s="4" t="inlineStr">
        <is>
          <t>Line item</t>
        </is>
      </c>
      <c r="B3" s="4" t="inlineStr">
        <is>
          <t>FY2026</t>
        </is>
      </c>
      <c r="C3" s="4" t="inlineStr">
        <is>
          <t>FY2025</t>
        </is>
      </c>
      <c r="D3" s="4" t="inlineStr">
        <is>
          <t>FY2024</t>
        </is>
      </c>
    </row>
    <row r="4">
      <c r="A4" s="5" t="inlineStr">
        <is>
          <t>Available own funds</t>
        </is>
      </c>
      <c r="B4" s="6" t="n"/>
      <c r="C4" s="6" t="n"/>
      <c r="D4" s="6" t="n"/>
    </row>
    <row r="5">
      <c r="A5" s="6" t="inlineStr">
        <is>
          <t>1    Common Equity Tier 1 (CET1) (£'000)</t>
        </is>
      </c>
      <c r="B5" s="6" t="n"/>
      <c r="C5" s="6" t="n">
        <v>35066.3</v>
      </c>
      <c r="D5" s="6" t="n">
        <v>32012.2</v>
      </c>
    </row>
    <row r="6">
      <c r="A6" s="6" t="inlineStr">
        <is>
          <t>2    Tier 1 (£'000)</t>
        </is>
      </c>
      <c r="B6" s="6" t="n"/>
      <c r="C6" s="6" t="n">
        <v>35066.3</v>
      </c>
      <c r="D6" s="6" t="n">
        <v>32012.2</v>
      </c>
    </row>
    <row r="7">
      <c r="A7" s="6" t="inlineStr">
        <is>
          <t>3    Total capital (£'000)</t>
        </is>
      </c>
      <c r="B7" s="6" t="n"/>
      <c r="C7" s="6" t="n">
        <v>35066.3</v>
      </c>
      <c r="D7" s="6" t="n">
        <v>32012.2</v>
      </c>
    </row>
    <row r="8">
      <c r="A8" s="5" t="inlineStr">
        <is>
          <t>Risk-weighted exposure</t>
        </is>
      </c>
      <c r="B8" s="6" t="n"/>
      <c r="C8" s="6" t="n"/>
      <c r="D8" s="6" t="n"/>
    </row>
    <row r="9">
      <c r="A9" s="6" t="inlineStr">
        <is>
          <t>4    Risk-weighted exposure amounts (£'000)</t>
        </is>
      </c>
      <c r="B9" s="6" t="inlineStr">
        <is>
          <t>Not published - SDDT Rule 3.1 opt-in from 04/05/2024; no FY2026 edition</t>
        </is>
      </c>
      <c r="C9" s="6" t="n">
        <v>141336.1</v>
      </c>
      <c r="D9" s="6" t="n">
        <v>143947</v>
      </c>
    </row>
    <row r="10">
      <c r="A10" s="5" t="inlineStr">
        <is>
          <t>Total risk-weighted exposures (£'000) [printed unnumbered]</t>
        </is>
      </c>
      <c r="B10" s="5" t="n"/>
      <c r="C10" s="5" t="n">
        <v>141336.1</v>
      </c>
      <c r="D10" s="5" t="n">
        <v>143947</v>
      </c>
    </row>
    <row r="11">
      <c r="A11" s="5" t="inlineStr">
        <is>
          <t>Capital Ratios</t>
        </is>
      </c>
      <c r="B11" s="6" t="n"/>
      <c r="C11" s="6" t="n"/>
      <c r="D11" s="6" t="n"/>
    </row>
    <row r="12">
      <c r="A12" s="6" t="inlineStr">
        <is>
          <t>5    Common Equity Tier 1 ratio (%)</t>
        </is>
      </c>
      <c r="B12" s="6" t="n"/>
      <c r="C12" s="6" t="inlineStr">
        <is>
          <t>24.8%</t>
        </is>
      </c>
      <c r="D12" s="6" t="inlineStr">
        <is>
          <t>22.2%</t>
        </is>
      </c>
    </row>
    <row r="13">
      <c r="A13" s="6" t="inlineStr">
        <is>
          <t>6    Tier 1 ratio (%)</t>
        </is>
      </c>
      <c r="B13" s="6" t="n"/>
      <c r="C13" s="6" t="inlineStr">
        <is>
          <t>24.8%</t>
        </is>
      </c>
      <c r="D13" s="6" t="inlineStr">
        <is>
          <t>22.2%</t>
        </is>
      </c>
    </row>
    <row r="14">
      <c r="A14" s="6" t="inlineStr">
        <is>
          <t>7    Total capital ratio</t>
        </is>
      </c>
      <c r="B14" s="6" t="n"/>
      <c r="C14" s="6" t="inlineStr">
        <is>
          <t>24.8%</t>
        </is>
      </c>
      <c r="D14" s="6" t="inlineStr">
        <is>
          <t>22.2%</t>
        </is>
      </c>
    </row>
    <row r="15">
      <c r="A15" s="5" t="inlineStr">
        <is>
          <t>Combined buffer requirements</t>
        </is>
      </c>
      <c r="B15" s="6" t="n"/>
      <c r="C15" s="6" t="n"/>
      <c r="D15" s="6" t="n"/>
    </row>
    <row r="16">
      <c r="A16" s="6" t="inlineStr">
        <is>
          <t>8    Capital conservation buffer (%)</t>
        </is>
      </c>
      <c r="B16" s="6" t="n"/>
      <c r="C16" s="6" t="inlineStr">
        <is>
          <t>2.5%</t>
        </is>
      </c>
      <c r="D16" s="6" t="inlineStr">
        <is>
          <t>2.5%</t>
        </is>
      </c>
    </row>
    <row r="17">
      <c r="A17" s="6" t="inlineStr">
        <is>
          <t>9    Institution specific capital countercyclical buffer (%)</t>
        </is>
      </c>
      <c r="B17" s="6" t="n"/>
      <c r="C17" s="6" t="inlineStr">
        <is>
          <t>2.0%</t>
        </is>
      </c>
      <c r="D17" s="6" t="inlineStr">
        <is>
          <t>2.0%</t>
        </is>
      </c>
    </row>
    <row r="18">
      <c r="A18" s="6" t="inlineStr">
        <is>
          <t>11    Combined buffer requirements (%)</t>
        </is>
      </c>
      <c r="B18" s="6" t="n"/>
      <c r="C18" s="6" t="inlineStr">
        <is>
          <t>4.5%</t>
        </is>
      </c>
      <c r="D18" s="6" t="inlineStr">
        <is>
          <t>4.5%</t>
        </is>
      </c>
    </row>
    <row r="19">
      <c r="A19" s="6" t="inlineStr">
        <is>
          <t>UK 11a    Overall capital requirements (%)</t>
        </is>
      </c>
      <c r="B19" s="6" t="n"/>
      <c r="C19" s="6" t="inlineStr">
        <is>
          <t>17.7%</t>
        </is>
      </c>
      <c r="D19" s="6" t="inlineStr">
        <is>
          <t>18.6%</t>
        </is>
      </c>
    </row>
    <row r="20">
      <c r="A20" s="6" t="inlineStr">
        <is>
          <t>12    CET1 available after meeting the total SREP own fund requirements (%)</t>
        </is>
      </c>
      <c r="B20" s="6" t="n"/>
      <c r="C20" s="6" t="inlineStr">
        <is>
          <t>12.9%</t>
        </is>
      </c>
      <c r="D20" s="6" t="inlineStr">
        <is>
          <t>8.1%</t>
        </is>
      </c>
    </row>
    <row r="21">
      <c r="A21" s="5" t="inlineStr">
        <is>
          <t>Leverage ratio</t>
        </is>
      </c>
      <c r="B21" s="6" t="n"/>
      <c r="C21" s="6" t="n"/>
      <c r="D21" s="6" t="n"/>
    </row>
    <row r="22">
      <c r="A22" s="6" t="inlineStr">
        <is>
          <t>13    Total leverage Ratio exposure (£'000)</t>
        </is>
      </c>
      <c r="B22" s="6" t="n"/>
      <c r="C22" s="6" t="n">
        <v>211074.5</v>
      </c>
      <c r="D22" s="6" t="n">
        <v>185251.3</v>
      </c>
    </row>
    <row r="23">
      <c r="A23" s="6" t="inlineStr">
        <is>
          <t>14    Leverage ratio</t>
        </is>
      </c>
      <c r="B23" s="6" t="n"/>
      <c r="C23" s="6" t="inlineStr">
        <is>
          <t>20.4%</t>
        </is>
      </c>
      <c r="D23" s="6" t="inlineStr">
        <is>
          <t>21.0%</t>
        </is>
      </c>
    </row>
    <row r="24">
      <c r="A24" s="5" t="inlineStr">
        <is>
          <t>Liquidity Coverage Ratio</t>
        </is>
      </c>
      <c r="B24" s="6" t="n"/>
      <c r="C24" s="6" t="n"/>
      <c r="D24" s="6" t="n"/>
    </row>
    <row r="25">
      <c r="A25" s="6" t="inlineStr">
        <is>
          <t>15    Total high quality liquid assets (HQLA) after haircuts (£'000)</t>
        </is>
      </c>
      <c r="B25" s="6" t="n"/>
      <c r="C25" s="6" t="n">
        <v>42368.4</v>
      </c>
      <c r="D25" s="6" t="n">
        <v>36457.1</v>
      </c>
    </row>
    <row r="26">
      <c r="A26" s="6" t="inlineStr">
        <is>
          <t>UK 16a    Cash outflows – Total weighted value (£'000)</t>
        </is>
      </c>
      <c r="B26" s="6" t="n"/>
      <c r="C26" s="6" t="n">
        <v>1866.2</v>
      </c>
      <c r="D26" s="6" t="n">
        <v>268.9</v>
      </c>
    </row>
    <row r="27">
      <c r="A27" s="6" t="inlineStr">
        <is>
          <t>UK 16b    Cash inflows – Total weighted value (£'000)</t>
        </is>
      </c>
      <c r="B27" s="6" t="n"/>
      <c r="C27" s="6" t="n">
        <v>1399.7</v>
      </c>
      <c r="D27" s="6" t="n">
        <v>201.6</v>
      </c>
    </row>
    <row r="28">
      <c r="A28" s="6" t="inlineStr">
        <is>
          <t>17    Liquidity Coverage Ratio (%)</t>
        </is>
      </c>
      <c r="B28" s="6" t="n"/>
      <c r="C28" s="6" t="inlineStr">
        <is>
          <t>9,081.1%</t>
        </is>
      </c>
      <c r="D28" s="6" t="inlineStr">
        <is>
          <t>54,235.0%</t>
        </is>
      </c>
    </row>
    <row r="29">
      <c r="A29" s="5" t="inlineStr">
        <is>
          <t>Net Stable Funding Ratio</t>
        </is>
      </c>
      <c r="B29" s="6" t="n"/>
      <c r="C29" s="6" t="n"/>
      <c r="D29" s="6" t="n"/>
    </row>
    <row r="30">
      <c r="A30" s="6" t="inlineStr">
        <is>
          <t>18    Total available stable funding (£'000)</t>
        </is>
      </c>
      <c r="B30" s="6" t="n"/>
      <c r="C30" s="6" t="n">
        <v>197849.3</v>
      </c>
      <c r="D30" s="6" t="n">
        <v>174066.2</v>
      </c>
    </row>
    <row r="31">
      <c r="A31" s="6" t="inlineStr">
        <is>
          <t>19    Total required stable funding (£'000)</t>
        </is>
      </c>
      <c r="B31" s="6" t="n"/>
      <c r="C31" s="6" t="n">
        <v>115289.6</v>
      </c>
      <c r="D31" s="6" t="n">
        <v>77785.2</v>
      </c>
    </row>
    <row r="32">
      <c r="A32" s="6" t="inlineStr">
        <is>
          <t>20    NSFR ratio (%)</t>
        </is>
      </c>
      <c r="B32" s="6" t="n"/>
      <c r="C32" s="6" t="inlineStr">
        <is>
          <t>171.6%</t>
        </is>
      </c>
      <c r="D32" s="6" t="inlineStr">
        <is>
          <t>223.8%</t>
        </is>
      </c>
    </row>
    <row r="34" ht="325" customHeight="1">
      <c r="A34" s="8" t="inlineStr">
        <is>
          <t>Sources - StreamBank PLC's own 'Template UKB KM1 - Key metrics template', section 3 'Key Regulatory Metrics', taken from EACH YEAR'S OWN Pillar 3 edition rather than from a later edition's comparative column:
FY2025: StreamBank Pillar 3 Disclosures 2025, printed page 9 (PDF page 11) - https://streambank.co.uk/pdf/March-2025-Pillar-3-Disclosures.pdf
FY2024: StreamBank Pillar 3 Disclosures 2024, printed page 8 (PDF page 10) - https://streambank.co.uk/pdf/FY24-Pillar-3-StreamBank-PLC.pdf
FREE SECOND OPINION, TAKEN AND PASSED: the FY2025 edition prints a full 2024 comparative column beside its 2025 column, and every one of the 22 rows reproduces the FY2024 edition digit-for-digit (CET1 32,012.2; RWEA 143,947.0; CET1 ratio 22.2%; UK 11a 18.6%; row 12 8.1%; leverage exposure 185,251.3; leverage ratio 21.0%; HQLA 36,457.1; LCR 54,235.0%; ASF 174,066.2; RSF 77,785.2; NSFR 223.8%). The FY2024 column above is nevertheless transcribed from the FY2024 edition itself, per this workbook's convention; the comparative is used only as confirmation.
ONLY TWO EDITIONS OF THIS TEMPLATE EXIST, AND THAT IS AN ENUMERATED FINDING, NOT A FAILED SEARCH. Re-confirmed 2026-09-16 by the same route the p3_sources() SITE ENUMERATION NOTE sets out: streambank.co.uk is a single-page app whose every URL returns the same 25,989-byte HTML shell, so the compiled bundle at https://streambank.co.uk/js/app.js (930,330 bytes) was downloaded again and every '.pdf' string extracted. It still lists exactly six StreamBank documents, of which exactly two are Pillar 3 files - FY24-Pillar-3-StreamBank-PLC.pdf and March-2025-Pillar-3-Disclosures.pdf. Confirming probes on 2026-09-16: March-2026-Pillar-3-Disclosures.pdf, FY26-Pillar-3-StreamBank-PLC.pdf and Pillar-3-Disclosures-2026.pdf all redirect to the soft-404 shell, while March-2025-Pillar-3-Disclosures.pdf still returns a real 779,478-byte application/pdf with %PDF magic bytes from the same directory - so the absence is specific to FY2026, not a site-wide outage or a block. RE-RUN 2026-09-18 and UNCHANGED: app.js is still 930,330 bytes and still lists the same six StreamBank PDFs and the same two Pillar 3 files; March-2025-Pillar-3-Disclosures.pdf still serves 779,478 bytes of application/pdf with %PDF magic bytes (the same-day positive control) while March-2026-Pillar-3-Disclosures.pdf and FY26-Pillar-3-StreamBank-PLC.pdf both return the 25,989-byte text/html soft-404 shell.
      SO: FY2026, FY2023 AND FY2021 CARRY NO KM1 COLUMN, for three different and separately-established reasons. FY2026: no Pillar 3 edition has been published yet (most likely publication lag - the FY2025 edition was Board-approved 18 September 2025, about six months after its 31 March 2025 year-end), and the FY2026 Annual Report contains no KM1 and no RWA, leverage, LCR or NSFR figure of any kind. FY2023 (the 15-month transition period): StreamBank began publishing Pillar 3 disclosures with FY2024 and the FY2024 edition's KM1 is single-column with no FY2023 comparative. FY2021: the entity (then Activtrades Loans PLC) held no banking licence, so no disclosure obligation could attach. None of these three is back-filled from the statutory accounts - that is a different basis, and the Annual Report capital note this workbook uses for FY2023 and FY2026 on the single-metric sheets is not this template.</t>
        </is>
      </c>
    </row>
    <row r="36" ht="325" customHeight="1">
      <c r="A36" s="8" t="inlineStr">
        <is>
          <t>(continued)
ROW 13 IS INTERNALLY INCONSISTENT WITH THE BANK'S OWN LEVERAGE TEMPLATE - RECORDED AS PUBLISHED, NOT CORRECTED. KM1 row 13 'Total leverage Ratio exposure' is 211,074.5 (FY2025) and 185,251.3 (FY2024), but the same documents' UK LR2 leverage template reports THREE different exposure figures for FY2025: on balance sheet items 211,074.5 (row 1), total exposure INCLUDING claims on central banks 210,935.5 (row 24) and total exposure EXCLUDING claims on central banks 172,243.0 (row UK 24b). Row 14's 20.4% is the EXCLUDING-claims ratio (35,066.3 / 172,243.0 = 20.4%), so it does not divide by the exposure printed directly above it: 35,066.3 / 211,074.5 = 16.6%, which is the Bank's own INCLUDING-claims ratio (LR2 row UK 25c). The same pattern holds in FY2024 (row 13 185,251.3; excluding-claims denominator 152,521.2; 21.0% vs 17.3%). Both figures are reproduced exactly as printed; the mismatch is the source document's and is recorded rather than reconciled. The Leverage Ratio sheet in this workbook carries both bases on separate labelled rows.
NO BASIS BREAK IS VISIBLE IN THIS TEMPLATE. StreamBank's first KM1 edition is FY2024, which is already after the 1 January 2022 leverage change, so rows 13/14 carry one caption throughout and there are no two-caption blocks. The captions are the Bank's own short forms ('Total leverage Ratio exposure', 'Leverage ratio'), NOT the template's fuller '...excluding claims on central banks' wording, even though row 14's figure is on the excluding-claims basis - see the paragraph above.
ROWS THE BANK DOES NOT PRINT ARE ABSENT, NOT ZERO. StreamBank's template omits rows UK 7a-7d (additional SREP own funds requirements), UK 8a, UK 9a, 10 and UK 10a (the systemic-risk and G-SII/O-SII buffers) and rows 21-23 entirely, in BOTH editions. Those rows are simply not in the table - there is no dash, no zero and no 'n/a' cell to reproduce - so they are not shown here at all rather than shown blank. The Bank does print an unnumbered bold 'Total risk-weighted exposures' row immediately beneath row 4, repeating row 4's figure; it is kept above because the Bank printed it.
PRECISION IS THE BANK'S OWN. Amounts are printed to one decimal place in £'000 and ratios to one decimal place throughout, and the LCR is printed with a thousands separator ('9,081.1%', '54,235.0%'), which is reproduced as printed. Row 7 is captioned 'Total capital ratio' without the '(%)' that rows 5 and 6 carry; that too is the Bank's own styling.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2">
    <mergeCell ref="A34:D34"/>
    <mergeCell ref="A36:D36"/>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CET1 Capital</t>
        </is>
      </c>
    </row>
    <row r="2">
      <c r="A2" s="2" t="inlineStr">
        <is>
          <t>£'000</t>
        </is>
      </c>
    </row>
    <row r="3">
      <c r="A3" s="4" t="inlineStr">
        <is>
          <t>Metric</t>
        </is>
      </c>
      <c r="B3" s="4" t="inlineStr">
        <is>
          <t>FY2026</t>
        </is>
      </c>
      <c r="C3" s="4" t="inlineStr">
        <is>
          <t>FY2025</t>
        </is>
      </c>
      <c r="D3" s="4" t="inlineStr">
        <is>
          <t>FY2024</t>
        </is>
      </c>
      <c r="E3" s="4" t="inlineStr">
        <is>
          <t>FY2023 (15m)</t>
        </is>
      </c>
      <c r="F3" s="4" t="inlineStr">
        <is>
          <t>FY2021</t>
        </is>
      </c>
    </row>
    <row r="4">
      <c r="A4" s="6" t="inlineStr">
        <is>
          <t>Common Equity Tier 1 (CET1) capital</t>
        </is>
      </c>
      <c r="B4" s="6" t="n">
        <v>32644.1</v>
      </c>
      <c r="C4" s="6" t="n">
        <v>35066.3</v>
      </c>
      <c r="D4" s="6" t="n">
        <v>32012.2</v>
      </c>
      <c r="E4" s="6" t="n">
        <v>32171</v>
      </c>
      <c r="F4" s="6" t="inlineStr">
        <is>
          <t>Not applicable – no banking licence in FY2021: Authorisation with Restrictions June 2022, full licence February 2023 (FY2023 Annual Report, pp.12-13)</t>
        </is>
      </c>
    </row>
    <row r="5" ht="65"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CET1 Ratio</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Common Equity Tier 1 (CET1) ratio</t>
        </is>
      </c>
      <c r="B4" s="6" t="inlineStr">
        <is>
          <t>21.6%</t>
        </is>
      </c>
      <c r="C4" s="6" t="inlineStr">
        <is>
          <t>24.8%</t>
        </is>
      </c>
      <c r="D4" s="6" t="inlineStr">
        <is>
          <t>22.2%</t>
        </is>
      </c>
      <c r="E4" s="6" t="inlineStr">
        <is>
          <t>50.6%</t>
        </is>
      </c>
      <c r="F4" s="6" t="inlineStr">
        <is>
          <t>Not applicable – no banking licence in FY2021: Authorisation with Restrictions June 2022, full licence February 2023 (FY2023 Annual Report, pp.12-13)</t>
        </is>
      </c>
    </row>
    <row r="5" ht="65"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Tier 1 Capital</t>
        </is>
      </c>
    </row>
    <row r="2">
      <c r="A2" s="2" t="inlineStr">
        <is>
          <t>£'000</t>
        </is>
      </c>
    </row>
    <row r="3">
      <c r="A3" s="4" t="inlineStr">
        <is>
          <t>Metric</t>
        </is>
      </c>
      <c r="B3" s="4" t="inlineStr">
        <is>
          <t>FY2026</t>
        </is>
      </c>
      <c r="C3" s="4" t="inlineStr">
        <is>
          <t>FY2025</t>
        </is>
      </c>
      <c r="D3" s="4" t="inlineStr">
        <is>
          <t>FY2024</t>
        </is>
      </c>
      <c r="E3" s="4" t="inlineStr">
        <is>
          <t>FY2023 (15m)</t>
        </is>
      </c>
      <c r="F3" s="4" t="inlineStr">
        <is>
          <t>FY2021</t>
        </is>
      </c>
    </row>
    <row r="4">
      <c r="A4" s="6" t="inlineStr">
        <is>
          <t>Tier 1 capital</t>
        </is>
      </c>
      <c r="B4" s="6" t="n">
        <v>32644.1</v>
      </c>
      <c r="C4" s="6" t="n">
        <v>35066.3</v>
      </c>
      <c r="D4" s="6" t="n">
        <v>32012.2</v>
      </c>
      <c r="E4" s="6" t="n">
        <v>32171</v>
      </c>
      <c r="F4" s="6" t="inlineStr">
        <is>
          <t>Not applicable – no banking licence in FY2021: Authorisation with Restrictions June 2022, full licence February 2023 (FY2023 Annual Report, pp.12-13)</t>
        </is>
      </c>
    </row>
    <row r="5" ht="78"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FY2023's own note discloses Total own funds of £32,171k equal to its CET1 capital, i.e. no Additional Tier 1 or Tier 2 instrument was in issue at 31 March 2023, so Tier 1 = CET1 that year.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Tier 1 Ratio</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Tier 1 capital ratio</t>
        </is>
      </c>
      <c r="B4" s="6" t="inlineStr">
        <is>
          <t>21.6%</t>
        </is>
      </c>
      <c r="C4" s="6" t="inlineStr">
        <is>
          <t>24.8%</t>
        </is>
      </c>
      <c r="D4" s="6" t="inlineStr">
        <is>
          <t>22.2%</t>
        </is>
      </c>
      <c r="E4" s="6" t="inlineStr">
        <is>
          <t>50.6%</t>
        </is>
      </c>
      <c r="F4" s="6" t="inlineStr">
        <is>
          <t>Not applicable – no banking licence in FY2021: Authorisation with Restrictions June 2022, full licence February 2023 (FY2023 Annual Report, pp.12-13)</t>
        </is>
      </c>
    </row>
    <row r="5" ht="65"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Total Capital</t>
        </is>
      </c>
    </row>
    <row r="2">
      <c r="A2" s="2" t="inlineStr">
        <is>
          <t>£'000</t>
        </is>
      </c>
    </row>
    <row r="3">
      <c r="A3" s="4" t="inlineStr">
        <is>
          <t>Metric</t>
        </is>
      </c>
      <c r="B3" s="4" t="inlineStr">
        <is>
          <t>FY2026</t>
        </is>
      </c>
      <c r="C3" s="4" t="inlineStr">
        <is>
          <t>FY2025</t>
        </is>
      </c>
      <c r="D3" s="4" t="inlineStr">
        <is>
          <t>FY2024</t>
        </is>
      </c>
      <c r="E3" s="4" t="inlineStr">
        <is>
          <t>FY2023 (15m)</t>
        </is>
      </c>
      <c r="F3" s="4" t="inlineStr">
        <is>
          <t>FY2021</t>
        </is>
      </c>
    </row>
    <row r="4">
      <c r="A4" s="6" t="inlineStr">
        <is>
          <t>Total capital</t>
        </is>
      </c>
      <c r="B4" s="6" t="n">
        <v>32644.1</v>
      </c>
      <c r="C4" s="6" t="n">
        <v>35066.3</v>
      </c>
      <c r="D4" s="6" t="n">
        <v>32012.2</v>
      </c>
      <c r="E4" s="6" t="n">
        <v>32171</v>
      </c>
      <c r="F4" s="6" t="inlineStr">
        <is>
          <t>Not applicable – no banking licence in FY2021: Authorisation with Restrictions June 2022, full licence February 2023 (FY2023 Annual Report, pp.12-13)</t>
        </is>
      </c>
    </row>
    <row r="5" ht="65"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 is the note's own 'Total own funds' line.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Total Capital Ratio</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Total capital ratio</t>
        </is>
      </c>
      <c r="B4" s="6" t="inlineStr">
        <is>
          <t>21.6%</t>
        </is>
      </c>
      <c r="C4" s="6" t="inlineStr">
        <is>
          <t>24.8%</t>
        </is>
      </c>
      <c r="D4" s="6" t="inlineStr">
        <is>
          <t>22.2%</t>
        </is>
      </c>
      <c r="E4" s="6" t="inlineStr">
        <is>
          <t>50.6%</t>
        </is>
      </c>
      <c r="F4" s="6" t="inlineStr">
        <is>
          <t>Not applicable – no banking licence in FY2021: Authorisation with Restrictions June 2022, full licence February 2023 (FY2023 Annual Report, pp.12-13)</t>
        </is>
      </c>
    </row>
    <row r="5" ht="65" customHeight="1">
      <c r="A5" s="7" t="inlineStr">
        <is>
          <t>Note: FY2026 is from the Bank's own FY2026 Annual Report Note 22 'Capital' (p.78) and KPI page (p.15), NOT from a Pillar 3 document - none has been published for FY2026. It is therefore on a different basis from FY2025/FY2024; see the source note above for the size of the difference.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Total RWAs</t>
        </is>
      </c>
    </row>
    <row r="2">
      <c r="A2" s="2" t="inlineStr">
        <is>
          <t>£'000</t>
        </is>
      </c>
    </row>
    <row r="3">
      <c r="A3" s="4" t="inlineStr">
        <is>
          <t>Metric</t>
        </is>
      </c>
      <c r="B3" s="4" t="inlineStr">
        <is>
          <t>FY2026</t>
        </is>
      </c>
      <c r="C3" s="4" t="inlineStr">
        <is>
          <t>FY2025</t>
        </is>
      </c>
      <c r="D3" s="4" t="inlineStr">
        <is>
          <t>FY2024</t>
        </is>
      </c>
      <c r="E3" s="4" t="inlineStr">
        <is>
          <t>FY2023 (15m)</t>
        </is>
      </c>
      <c r="F3" s="4" t="inlineStr">
        <is>
          <t>FY2021</t>
        </is>
      </c>
    </row>
    <row r="4">
      <c r="A4" s="6" t="inlineStr">
        <is>
          <t>Risk-weighted exposure amounts</t>
        </is>
      </c>
      <c r="B4" s="6" t="inlineStr">
        <is>
          <t>Not published – no FY2026 Pillar 3 (site JS bundle enumerated 2026-09-19: FY2024/FY2025 only; SDDT Ru 3.1 opt-in 04/05/2024); FY2026 Annual Report gives no risk-weighted asset figure</t>
        </is>
      </c>
      <c r="C4" s="6" t="n">
        <v>141336.1</v>
      </c>
      <c r="D4" s="6" t="n">
        <v>143947</v>
      </c>
      <c r="E4" s="6" t="n">
        <v>63586</v>
      </c>
      <c r="F4" s="6" t="inlineStr">
        <is>
          <t>Not applicable – no banking licence in FY2021: Authorisation with Restrictions June 2022, full licence February 2023 (FY2023 Annual Report, pp.12-13)</t>
        </is>
      </c>
    </row>
    <row r="5" ht="78" customHeight="1">
      <c r="A5" s="7" t="inlineStr">
        <is>
          <t>Note: FY2026 IS DELIBERATELY BLANK: no FY2026 Pillar 3 Disclosures document has been published (verified 2026-09-15), and the FY2026 Annual Report discloses no figure for this metric - its Note 22 'Capital' gives eligible capital amounts only, with no risk-weighted assets, leverage exposure, LCR or NSFR anywhere in the document. Nothing here is derived or back-solved from the CET1 ratio. FY2023 ties internally: £32,171k CET1 / £63,586k RWA = 50.6%, the ratio the same note states. FY2023 (15m) from the Bank's own FY2023 Annual Report 'Capital management' note (p.28, marked unaudited) - located in the 2026-09-12 disclosure audit; no standalone FY2023 Pillar 3 document exists (see p3_sources). FY2021 is structural: the Bank held no banking licence in that period (Authorisation with Restrictions granted June 2022, full licence February 2023), so no Pillar 3 / regulatory capital disclosure obligation applied and none exists.</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s>
  <sheetData>
    <row r="1">
      <c r="A1" s="1" t="inlineStr">
        <is>
          <t>StreamBank Plc — RWA Breakdown</t>
        </is>
      </c>
    </row>
    <row r="2">
      <c r="A2" s="2" t="inlineStr">
        <is>
          <t>Standalone regulatory basis, £'000; not publicly disclosed for FY2026, FY2023 (15m) or FY2021 - see source note.</t>
        </is>
      </c>
    </row>
    <row r="3">
      <c r="A3" s="4" t="inlineStr">
        <is>
          <t>Line item</t>
        </is>
      </c>
      <c r="B3" s="4" t="inlineStr">
        <is>
          <t>FY2026 (£'000)</t>
        </is>
      </c>
      <c r="C3" s="4" t="inlineStr">
        <is>
          <t>FY2025 (£'000)</t>
        </is>
      </c>
      <c r="D3" s="4" t="inlineStr">
        <is>
          <t>FY2024 (£'000)</t>
        </is>
      </c>
      <c r="E3" s="4" t="inlineStr">
        <is>
          <t>FY2023 (15m) (£'000)</t>
        </is>
      </c>
      <c r="F3" s="4" t="inlineStr">
        <is>
          <t>FY2021 (£'000)</t>
        </is>
      </c>
    </row>
    <row r="4">
      <c r="A4" s="5" t="inlineStr">
        <is>
          <t>Risk-weighted exposure amounts (UK OV1)</t>
        </is>
      </c>
      <c r="B4" s="6" t="n"/>
      <c r="C4" s="6" t="n"/>
      <c r="D4" s="6" t="n"/>
      <c r="E4" s="6" t="n"/>
      <c r="F4" s="6" t="n"/>
    </row>
    <row r="5">
      <c r="A5" s="6" t="inlineStr">
        <is>
          <t>Credit risk (excluding CCR)</t>
        </is>
      </c>
      <c r="B5" s="6" t="inlineStr">
        <is>
          <t>Not published – no FY2026 Pillar 3 (site JS bundle enumerated 2026-09-19: FY2024/FY2025 only; SDDT Ru 3.1 opt-in 04/05/2024); FY2026 Annual Report gives no RWA breakdown</t>
        </is>
      </c>
      <c r="C5" s="6" t="n">
        <v>123094.2</v>
      </c>
      <c r="D5" s="6" t="n">
        <v>126646</v>
      </c>
      <c r="E5" s="6" t="inlineStr">
        <is>
          <t>Not published – no FY2023 Pillar 3 (first edition is FY2024; site enumerated); FY2023 Annual Report capital note (p.24) gives CET1, total RWA and ratios only, no credit/operational split</t>
        </is>
      </c>
      <c r="F5" s="6" t="inlineStr">
        <is>
          <t>Not applicable – no banking licence in FY2021: Authorisation with Restrictions June 2022, full licence February 2023 (FY2023 Annual Report, pp.12-13)</t>
        </is>
      </c>
    </row>
    <row r="6">
      <c r="A6" s="6" t="inlineStr">
        <is>
          <t>Operational risk</t>
        </is>
      </c>
      <c r="B6" s="6" t="inlineStr">
        <is>
          <t>Not published – no FY2026 Pillar 3 (site JS bundle enumerated 2026-09-19: FY2024/FY2025 only; SDDT Ru 3.1 opt-in 04/05/2024); FY2026 Annual Report gives no RWA breakdown</t>
        </is>
      </c>
      <c r="C6" s="6" t="n">
        <v>18241.9</v>
      </c>
      <c r="D6" s="6" t="n">
        <v>17301</v>
      </c>
      <c r="E6" s="6" t="inlineStr">
        <is>
          <t>Not published – no FY2023 Pillar 3 (first edition is FY2024; site enumerated); FY2023 Annual Report capital note (p.24) gives CET1, total RWA and ratios only, no credit/operational split</t>
        </is>
      </c>
      <c r="F6" s="6" t="inlineStr">
        <is>
          <t>Not applicable – no banking licence in FY2021: Authorisation with Restrictions June 2022, full licence February 2023 (FY2023 Annual Report, pp.12-13)</t>
        </is>
      </c>
    </row>
    <row r="7">
      <c r="A7" s="5" t="inlineStr">
        <is>
          <t>Total risk-weighted exposure amount</t>
        </is>
      </c>
      <c r="B7" s="5" t="inlineStr">
        <is>
          <t>Not published – no FY2026 Pillar 3 (site JS bundle enumerated 2026-09-19: FY2024/FY2025 only; SDDT Ru 3.1 opt-in 04/05/2024); FY2026 Annual Report gives no risk-weighted asset figure</t>
        </is>
      </c>
      <c r="C7" s="5" t="n">
        <v>141336.1</v>
      </c>
      <c r="D7" s="5" t="n">
        <v>143947</v>
      </c>
      <c r="E7" s="5" t="n">
        <v>63586</v>
      </c>
      <c r="F7" s="5" t="inlineStr">
        <is>
          <t>Not applicable – no banking licence in FY2021: Authorisation with Restrictions June 2022, full licence February 2023 (FY2023 Annual Report, pp.12-13)</t>
        </is>
      </c>
    </row>
    <row r="9" ht="364" customHeight="1">
      <c r="A9"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11" ht="338" customHeight="1">
      <c r="A11"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3" ht="364" customHeight="1">
      <c r="A13"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5" ht="286" customHeight="1">
      <c r="A15"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
FY2026 is blank because no FY2026 Pillar 3 Disclosures document has been published yet (verified 2026-09-15); the FY2026 Annual Report contains no risk-weighted asset figure of any kind, let alone a UK OV1 breakdown. Since the Bank opted into SDDT Rule 3.1 from 04/05/2024 (waivers register, see above), no FY2026 edition is owed, so this column is not expected to fill (GA-020, 2026-09-19).
StreamBank's Pillar 3 Disclosures document is only published from FY2024 onward; no standalone Pillar 3 report covering the FY2023 (15-month) or FY2021 periods was found on the Bank's own site or via Wayback Machine - a genuine access/non-existence gap, consistent with the pre-existing Total RWAs and capital ratio sheets, which mark those two periods 'Not publicly disclosed'.</t>
        </is>
      </c>
    </row>
  </sheetData>
  <mergeCells count="4">
    <mergeCell ref="A13:F13"/>
    <mergeCell ref="A11:F11"/>
    <mergeCell ref="A15:F15"/>
    <mergeCell ref="A9:F9"/>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Leverage Ratio</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Leverage ratio excluding claims on central banks (CRR basis)</t>
        </is>
      </c>
      <c r="B4" s="6" t="inlineStr">
        <is>
          <t>Not published – no FY2026 Pillar 3 (site JS bundle enumerated 2026-09-19: FY2024/FY2025 only; SDDT Ru 3.1 opt-in 04/05/2024); FY2026 Annual Report gives no CRR leverage ratio</t>
        </is>
      </c>
      <c r="C4" s="6" t="inlineStr">
        <is>
          <t>20.4%</t>
        </is>
      </c>
      <c r="D4" s="6" t="inlineStr">
        <is>
          <t>21.0%</t>
        </is>
      </c>
      <c r="E4" s="6" t="inlineStr">
        <is>
          <t>Not published – no FY2023 Pillar 3 (first edition is FY2024; site enumerated); FY2023 Annual Report capital note (p.24) gives CET1, total RWA and ratios only, no leverage exposure</t>
        </is>
      </c>
      <c r="F4" s="6" t="inlineStr">
        <is>
          <t>Not applicable – no banking licence in FY2021: Authorisation with Restrictions June 2022, full licence February 2023 (FY2023 Annual Report, pp.12-13)</t>
        </is>
      </c>
    </row>
    <row r="5">
      <c r="A5" s="6" t="inlineStr">
        <is>
          <t>Leverage ratio including claims on central banks (CRR basis)</t>
        </is>
      </c>
      <c r="B5" s="6" t="inlineStr">
        <is>
          <t>Not published – no FY2026 Pillar 3 (site JS bundle enumerated 2026-09-19: FY2024/FY2025 only; SDDT Ru 3.1 opt-in 04/05/2024); FY2026 Annual Report gives no CRR leverage ratio</t>
        </is>
      </c>
      <c r="C5" s="6" t="inlineStr">
        <is>
          <t>16.6%</t>
        </is>
      </c>
      <c r="D5" s="6" t="inlineStr">
        <is>
          <t>17.3%</t>
        </is>
      </c>
      <c r="E5" s="6" t="inlineStr">
        <is>
          <t>Not published – no FY2023 Pillar 3 (first edition is FY2024; site enumerated); FY2023 Annual Report capital note (p.24) gives CET1, total RWA and ratios only, no leverage exposure</t>
        </is>
      </c>
      <c r="F5" s="6" t="inlineStr">
        <is>
          <t>Not applicable – no banking licence in FY2021: Authorisation with Restrictions June 2022, full licence February 2023 (FY2023 Annual Report, pp.12-13)</t>
        </is>
      </c>
    </row>
    <row r="6">
      <c r="A6" s="6" t="inlineStr">
        <is>
          <t>Memo - Annual Report 'Leverage ratio' KPI, defined as CET1 capital / liabilities (NOT a CRR leverage ratio - do not compare)</t>
        </is>
      </c>
      <c r="B6" s="6" t="inlineStr">
        <is>
          <t>19.2%</t>
        </is>
      </c>
      <c r="C6" s="6" t="inlineStr">
        <is>
          <t>19.5%</t>
        </is>
      </c>
      <c r="D6" s="6" t="inlineStr">
        <is>
          <t>21.2%</t>
        </is>
      </c>
      <c r="E6" s="6" t="inlineStr">
        <is>
          <t>182.3%</t>
        </is>
      </c>
      <c r="F6" s="6" t="inlineStr">
        <is>
          <t>Not applicable – no banking licence in FY2021: Authorisation with Restrictions June 2022, full licence February 2023 (FY2023 Annual Report, pp.12-13)</t>
        </is>
      </c>
    </row>
    <row r="7" ht="299" customHeight="1">
      <c r="A7" s="7" t="inlineStr">
        <is>
          <t>Note: THREE ROWS, TWO COMPLETELY DIFFERENT MEASURES - READ THE ROW LABELS BEFORE COMPARING ANYTHING. Rows 1 and 2 are the real CRR leverage ratio (Tier 1 capital divided by the total leverage exposure measure), taken from the UKB KM1/leverage templates of the FY2024 and FY2025 Pillar 3 documents, which are the only two Pillar 3 editions StreamBank has ever published. Row 3 is a MEMO row carrying a completely different statistic that the Bank happens to headline in its Annual Reports under the same words, and it must never be spliced into rows 1 or 2.
WHY ROW 3 IS QUARANTINED: the FY2026 Annual Report's KPI table (p.15) prints "Leverage ratio 19.2%" (FY2025 comparative 19.5%), and the FY2023 Annual Report (p.11) prints "Leverage ratio 182.3%" - but each report's own footnote defines the measure as "CET1 capital divided by liabilities" (FY2023's footnote 2: "Common equity Tier 1 capital divided by liabilities"). That is capital over LIABILITIES, not capital over a regulatory exposure measure, and it is not a CRR ratio at all. The FY2023 figure of 182.3% is the giveaway - a leverage ratio above 100% is arithmetically impossible on the CRR definition, and it arises here only because at 31 March 2023 the Bank had £32.2m of capital against £17.3m of liabilities, having been capitalised well ahead of taking deposits. FY2024 on row 3 (21.2%) ADDED 2026-09-19 (GA-020) from the FY2024 Annual Report, Chief Financial Officer's Report KPI table, printed p.11 (PDF p.14), footnote 2 'Common equity Tier 1 capital divided by liabilities', read off the page image - the cell had read 'Not publicly disclosed'. That same table prints the FY2023 comparative as 186.2%, where the FY2023 Annual Report itself printed 182.3%; the FY2023 column keeps its own edition's 182.3%, recorded here rather than reconciled. The figures are preserved on row 3 rather than discarded, because they are genuine disclosures and a reader is entitled to see them, but they are labelled so they cannot be mistaken for the CRR series. Carrying them on rows 1-2 would have shown StreamBank's leverage ratio leaping from 21.0% to 19.2% between FY2024 and FY2026 on a silently-changed definition.
ROWS 1-2, FY2026: 'Not publicly disclosed'. No FY2026 Pillar 3 Disclosures document has been published - an ENUMERATED finding as of 2026-09-15, not a failed guess: the site's JS bundle lists the complete set of six PDFs it links to and only two are Pillar 3 files, covering FY2024 and FY2025 (see the SITE ENUMERATION NOTE in the source citation). The FY2026 Annual Report contains no CRR leverage ratio and no exposure measure either - a whole-document search of the text-native copy returns zero occurrences of 'exposure measure' and exactly one of 'leverage', the disqualified KPI above. Nothing is derived or back-solved from the CET1 ratio.
ROWS 1-2, FY2023: 'Not publicly disclosed' for the same enumerated reason - StreamBank began publishing Pillar 3 disclosures with FY2024 and none covers the FY2023 15-month period, and the FY2023 Annual Report's capital note gives capital, RWAs and ratios but no leverage exposure measure.
Row 2 exists because the Pillar 3 documents report BOTH bases and this workbook should not hide one: the excluding-central-bank-claims ratio is the headline (20.4% / 21.0%) and the including-claims ratio is lower (16.6% / 17.3%). Do not compare row 1 against another bank's including-claims figure or vice versa.
FY2021 is structural on every row - no banking licence was held in that period.</t>
        </is>
      </c>
    </row>
    <row r="9" ht="377" customHeight="1">
      <c r="A9"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11" ht="364" customHeight="1">
      <c r="A11"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3" ht="364" customHeight="1">
      <c r="A13"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5" ht="195" customHeight="1">
      <c r="A15"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9:F9"/>
    <mergeCell ref="A15:F15"/>
    <mergeCell ref="A7:F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LCR</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Liquidity Coverage Ratio</t>
        </is>
      </c>
      <c r="B4" s="6" t="inlineStr">
        <is>
          <t>Not published – no FY2026 Pillar 3 (site JS bundle enumerated 2026-09-19: FY2024/FY2025 only; SDDT Ru 3.1 opt-in 04/05/2024); FY2026 Annual Report gives no LCR %</t>
        </is>
      </c>
      <c r="C4" s="6" t="inlineStr">
        <is>
          <t>9081.1%</t>
        </is>
      </c>
      <c r="D4" s="6" t="inlineStr">
        <is>
          <t>54235.0%</t>
        </is>
      </c>
      <c r="E4" s="6" t="inlineStr">
        <is>
          <t>Not published – no FY2023 Pillar 3 (first edition is FY2024; site enumerated); FY2023 Annual Report capital note (p.24) gives CET1, total RWA and ratios only, no LCR</t>
        </is>
      </c>
      <c r="F4" s="6" t="inlineStr">
        <is>
          <t>Not applicable – no banking licence in FY2021: Authorisation with Restrictions June 2022, full licence February 2023 (FY2023 Annual Report, pp.12-13)</t>
        </is>
      </c>
    </row>
    <row r="5" ht="65" customHeight="1">
      <c r="A5" s="7" t="inlineStr">
        <is>
          <t>Note: FY2026 IS DELIBERATELY BLANK: no FY2026 Pillar 3 Disclosures document has been published (verified 2026-09-15), and the FY2026 Annual Report discloses no figure for this metric - its Note 22 'Capital' gives eligible capital amounts only, with no risk-weighted assets, leverage exposure, LCR or NSFR anywhere in the document. Nothing here is derived or back-solved from the CET1 ratio. Not publicly disclosed for FY2023 (15m) - the FY2023 Annual Report's capital note gives CET1/RWA/ratios only, with no LCR figure, and no standalone FY2023 Pillar 3 document exists. FY2021 is structural (no banking licence held). The source rounds the FY2025 table presentation to 9,081% in one location and reports 9,081.1% in UKB KM1; the latter is retained here.</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NSFR</t>
        </is>
      </c>
    </row>
    <row r="2">
      <c r="A2" s="2" t="inlineStr">
        <is>
          <t>%</t>
        </is>
      </c>
    </row>
    <row r="3">
      <c r="A3" s="4" t="inlineStr">
        <is>
          <t>Metric</t>
        </is>
      </c>
      <c r="B3" s="4" t="inlineStr">
        <is>
          <t>FY2026</t>
        </is>
      </c>
      <c r="C3" s="4" t="inlineStr">
        <is>
          <t>FY2025</t>
        </is>
      </c>
      <c r="D3" s="4" t="inlineStr">
        <is>
          <t>FY2024</t>
        </is>
      </c>
      <c r="E3" s="4" t="inlineStr">
        <is>
          <t>FY2023 (15m)</t>
        </is>
      </c>
      <c r="F3" s="4" t="inlineStr">
        <is>
          <t>FY2021</t>
        </is>
      </c>
    </row>
    <row r="4">
      <c r="A4" s="6" t="inlineStr">
        <is>
          <t>Net Stable Funding Ratio</t>
        </is>
      </c>
      <c r="B4" s="6" t="inlineStr">
        <is>
          <t>Not published – no FY2026 Pillar 3 (site JS bundle enumerated 2026-09-19: FY2024/FY2025 only; SDDT Ru 3.1 opt-in 04/05/2024); FY2026 Annual Report gives no NSFR</t>
        </is>
      </c>
      <c r="C4" s="6" t="inlineStr">
        <is>
          <t>171.6%</t>
        </is>
      </c>
      <c r="D4" s="6" t="inlineStr">
        <is>
          <t>223.8%</t>
        </is>
      </c>
      <c r="E4" s="6" t="inlineStr">
        <is>
          <t>Not published – no FY2023 Pillar 3 (first edition is FY2024; site enumerated); FY2023 Annual Report capital note (p.24) gives CET1, total RWA and ratios only, no NSFR</t>
        </is>
      </c>
      <c r="F4" s="6" t="inlineStr">
        <is>
          <t>Not applicable – no banking licence in FY2021: Authorisation with Restrictions June 2022, full licence February 2023 (FY2023 Annual Report, pp.12-13)</t>
        </is>
      </c>
    </row>
    <row r="5" ht="52" customHeight="1">
      <c r="A5" s="7" t="inlineStr">
        <is>
          <t>Note: FY2026 IS DELIBERATELY BLANK: no FY2026 Pillar 3 Disclosures document has been published (verified 2026-09-15), and the FY2026 Annual Report discloses no figure for this metric - its Note 22 'Capital' gives eligible capital amounts only, with no risk-weighted assets, leverage exposure, LCR or NSFR anywhere in the document. Nothing here is derived or back-solved from the CET1 ratio. Not publicly disclosed for FY2023 (15m) - the FY2023 Annual Report's capital note gives CET1/RWA/ratios only, with no NSFR figure, and no standalone FY2023 Pillar 3 document exists. FY2021 is structural (no banking licence held).</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s>
  <sheetData>
    <row r="1">
      <c r="A1" s="1" t="inlineStr">
        <is>
          <t>StreamBank PLC — MREL Ratio</t>
        </is>
      </c>
    </row>
    <row r="2">
      <c r="A2" s="2" t="inlineStr"/>
    </row>
    <row r="3">
      <c r="A3" s="4" t="inlineStr">
        <is>
          <t>Metric</t>
        </is>
      </c>
      <c r="B3" s="4" t="inlineStr">
        <is>
          <t>FY2026</t>
        </is>
      </c>
      <c r="C3" s="4" t="inlineStr">
        <is>
          <t>FY2025</t>
        </is>
      </c>
      <c r="D3" s="4" t="inlineStr">
        <is>
          <t>FY2024</t>
        </is>
      </c>
      <c r="E3" s="4" t="inlineStr">
        <is>
          <t>FY2023 (15m)</t>
        </is>
      </c>
      <c r="F3" s="4" t="inlineStr">
        <is>
          <t>FY2021</t>
        </is>
      </c>
    </row>
    <row r="4">
      <c r="A4" s="6" t="inlineStr">
        <is>
          <t>MREL ratio</t>
        </is>
      </c>
      <c r="B4" s="6" t="inlineStr">
        <is>
          <t>Not published – no FY2026 Pillar 3 (site JS bundle enumerated 2026-09-19: FY2024/FY2025 only; SDDT Ru 3.1 opt-in 04/05/2024); FY2026 Annual Report gives no MREL figure</t>
        </is>
      </c>
      <c r="C4" s="6" t="inlineStr">
        <is>
          <t>Not applicable – BoE assigned StreamBank to 'Modified Insolvency'; MREL met by holding TCR (FY2025 Pillar 3, 'Capital' section, PDF p.15)</t>
        </is>
      </c>
      <c r="D4" s="6" t="inlineStr">
        <is>
          <t>Not applicable – BoE assigned StreamBank to 'Modified Insolvency'; MREL met by holding TCR (FY2024 Pillar 3, 'Capital' section, PDF p.14)</t>
        </is>
      </c>
      <c r="E4" s="6" t="inlineStr">
        <is>
          <t>Not published – no FY2023 Pillar 3 (first edition is FY2024; site enumerated); FY2023 Annual Report capital note (p.24) gives CET1, total RWA and ratios only, no MREL figure</t>
        </is>
      </c>
      <c r="F4" s="6" t="inlineStr">
        <is>
          <t>Not applicable – no banking licence in FY2021: Authorisation with Restrictions June 2022, full licence February 2023 (FY2023 Annual Report, pp.12-13)</t>
        </is>
      </c>
    </row>
    <row r="5" ht="65" customHeight="1">
      <c r="A5" s="7" t="inlineStr">
        <is>
          <t>Note: No quantitative MREL ratio was found in the annual reports or Pillar 3 disclosures reviewed. StreamBank states it is assigned to the Modified Insolvency resolution category: FY2024 Pillar 3 PDF p.14 and FY2025 Pillar 3 PDF p.15 each read 'Under the Bank Recovery and Resolution Directive (BRRD I and II), the Bank of England has assigned StreamBank to the Modified Insolvency category. The Bank meets this requirement by holding sufficient capital to meet its Total Capital Requirements (TCR)' - so FY2024/FY2025 read 'Not applicable' on the Bank's own words (GA-020, 2026-09-19). FY2026 and FY2023 have no Pillar 3 edition and their Annual Reports do not mention MREL (text-searched 2026-09-19), so they read 'Not published' rather than borrowing the neighbouring years' statement. FY2021: no banking licence.</t>
        </is>
      </c>
    </row>
    <row r="7" ht="377" customHeight="1">
      <c r="A7" s="8" t="inlineStr">
        <is>
          <t>Sources - StreamBank PLC standalone regulatory basis:
FY2026: StreamBank Plc Annual report and financial statements 2026, Note 22 'Capital' p.78 (Ordinary share capital 40,600.0; Accumulated losses and other reserves (8,101.9); Regulatory deductions 146.0; Total eligible tier 1 capital (CET1) 32,644.1; Total eligible regulatory capital 32,644.1, all £'000) and KPI page p.15 (CET1 ratio 21.6%) - https://find-and-update.company-information.service.gov.uk/company/11995458/filing-history/MzUzNDg0MTU0OWFkaXF6a2N4/document?format=pdf&amp;download=0
SITE ENUMERATION NOTE (2026-09-15) - THIS REPLACES FILENAME PERMUTATION AS THE BASIS FOR EVERY 'no such document' FINDING ON THIS BANK, AND IS THE REASON THOSE FINDINGS CAN NOW BE TRUSTED. streambank.co.uk is a Laravel/Inertia single-page application: EVERY url on the domain - the homepage, /legal/, /about-us/, even /sitemap.xml - returns the same 25,989-byte HTML shell with HTTP 200 and content-type text/html, and all document links are rendered client-side, so no amount of fetching pages will reveal them and a soft-404 is indistinguishable from a real page by status code or size. Permutation against such a site can only ever fail to find; it can never prove absence. The route that does prove it: the compiled front-end bundle at https://streambank.co.uk/js/app.js (930,330 bytes) was downloaded and every '.pdf' string in it extracted. That yields the COMPLETE set of documents the site can link to, and for this bank it is exactly SIX files:
      /pdf/StreamBank-Plc-Financial-Statements-31-March-2023-Signed.pdf   (FY2023 Annual Report)
      /pdf/StreamBank-Plc-FY24-Live-PwC-Signed.pdf                        (FY2024 Annual Report)
      /pdf/FY24-Pillar-3-StreamBank-PLC.pdf                               (FY2024 Pillar 3)
      /pdf/March-2025-Annual-Report-2025.pdf                              (FY2025 Annual Report)
      /pdf/March-2025-Pillar-3-Disclosures.pdf                            (FY2025 Pillar 3)
      /pdf/StreamBank-PLC-Annual-Report-and-Financial-Statements.pdf      (FY2026 Annual Report)
EXACTLY TWO PILLAR 3 DOCUMENTS EXIST, covering FY2024 and FY2025 ONLY. There is no FY2026 edition and no FY2023 edition - enumerated and absent, not merely not-found. (Wayback is no help here and its silence proves nothing: a CDX sweep of the whole domain filtered for PDFs returns only 11 captures, of which just one is a bank report - the FY2024 Annual Report - so the archive has never captured either Pillar 3 file or four of the six documents that demonstrably exist live. An absence in Wayback is not an absence on the live site.) Confirming probes on the same date: March-2026-Pillar-3-Disclosures.pdf, March-2026-Annual-Report-2026.pdf, FY26-Pillar-3-StreamBank-PLC.pdf and Pillar-3-Disclosures-2026.pdf all return the 25,989-byte soft-404, while March-2025-Pillar-3-Disclosures.pdf still returns a real 779,478-byte application/pdf from the same directory - so the absence is genuine and not a site-wide outage.
      RE-ENUMERATED INDEPENDENTLY 2026-09-19 and unchanged: /js/app.js was re-downloaded (HTTP 200, application/javascript, 930,330 bytes) and its '.pdf' strings re-extracted, returning the same six site documents and the same two Pillar 3 files, FY2024 and FY2025. (The only other .pdf string in the bundle is an external Metropolitan Police fraud leaflet.)
      AND THE REASON NO FY2026 EDITION IS OWED IS NOW NAMED, which no earlier pass on this bank had established. Bank of England consolidated waivers register, downloaded 2026-09-19 (HTTP 200, text/csv, 900,160 bytes, UTF-16 TSV), matched on BOTH of the columns that together identify the disclosure opt-in - Rule Description 'SDDT Regime - General Application' AND Sub Rule Number 'Ru 3.1': StreamBank PLC, FRN 954876, START DATE 04/05/2024, NO END DATE. Rule 3.1 removes the Pillar 3 disclosure obligation outright. DATE FIT: the Bank's year end is 31 March, so the FY2026 reporting date of 31 March 2026 falls nearly two years after the opt-in and no FY2026 Pillar 3 is owed.</t>
        </is>
      </c>
    </row>
    <row r="9" ht="364" customHeight="1">
      <c r="A9" s="8" t="inlineStr">
        <is>
          <t>(continued)
THIS BANK IS ALSO ITS OWN COUNTER-EXAMPLE, AND THE POINT MUST NOT BE LOST: opting in does not stop a bank publishing. StreamBank's FY2025 edition covers the year ended 31 March 2025, which is ELEVEN MONTHS AFTER the same opt-in, and it was published anyway. So the waiver explains the FY2026 absence but does not on its own establish it - the enumeration above does that, and the waiver says why. Neither finding is load-bearing alone; both are recorded.
      The enumeration also turned up a document this workbook did not have: the Bank's own copy of the FY2026 Annual Report (AR2026_SITE_URL above). It is the same report as the Companies House filing already cited, but TEXT-NATIVE (232,811 characters) rather than a 79-page scan yielding 79 characters. All the FY2026 negatives below were re-established against that native text on 2026-09-15, replacing an OCR-dependent finding with a directly-searchable one.
FY2026 BASIS WARNING, read before comparing years: no FY2026 Pillar 3 Disclosures document has been published. The FY2026 capital figures above are therefore on ANNUAL REPORT basis, whereas FY2025 and FY2024 are on Pillar 3 (UKB KM1) basis, and the two do not agree: the FY2026 Annual Report's own FY2025 comparative is CET1 34,182.8 / CET1 ratio 24.1%, against the 35,066.3 / 24.8% that the FY2025 Pillar 3 document reports and that this workbook retains for FY2025. The FY2025 figures have deliberately NOT been overwritten. Consequence: the FY2026-vs-FY2025 movement shown here (24.8% -&gt; 21.6%) mixes the two bases and overstates the decline; the like-for-like Annual-Report-basis movement is 24.1% -&gt; 21.6%. This mirrors how FY2023 is already sourced in this workbook (Annual Report capital note, no Pillar 3 document existing for that period).
FY2025 and FY2024: StreamBank Pillar 3 Disclosures 2025, p.10 (UKB KM1 key metrics), p.28 (leverage), pp.31-32 (LCR/NSFR) - https://streambank.co.uk/pdf/March-2025-Pillar-3-Disclosures.pdf
FY2024: StreamBank Pillar 3 Disclosures 2024, p.9 (UKB KM1 key metrics), pp.23-24 (leverage), pp.26-27 (LCR/NSFR) - https://streambank.co.uk/pdf/FY24-Pillar-3-StreamBank-PLC.pdf
FY2023 (15m): StreamBank Plc Annual report and accounts 2023, 'Capital management' note, p.28 (table marked Unaudited, giving Common Equity Tier 1 capital 32,171; Total risk weighted assets 63,586; Common Equity Tier 1 capital ratio 50.6%; Total own funds 32,171; Total capital ratio 50.6%, all £'000) - https://streambank.co.uk/pdf/StreamBank-Plc-Financial-Statements-31-March-2023-Signed.pdf
FY2023 ACCESS/AVAILABILITY - UPGRADED 2026-09-15 FROM PERMUTATION TO ENUMERATION. No standalone FY2023 Pillar 3 document exists, and that is now an enumerated finding rather than a failure to guess the right filename: the site's JS bundle (see SITE ENUMERATION NOTE above) contains the complete list of six PDFs the site links to, and the only two Pillar 3 files in it are the FY2024 and FY2025 editions. StreamBank began publishing Pillar 3 disclosures with FY2024 and has never published one covering the FY2023 15-month period. Independently, the FY2024 Pillar 3 document's UKB KM1 table is single-column (FY2024 only) and carries no FY2023 comparative, so that route is closed too. The FY2023 Annual Report capital note cited above is therefore the only public source for FY2023, and it discloses capital, RWAs and ratios but NO leverage, LCR or NSFR figure - which is why those three sheets read 'Not publicly disclosed' for FY2023 rather than carrying anything.
FY2021 STRUCTURAL: the entity (then named Activtrades Loans PLC) held no banking licence during that period - Authorisation with Restrictions was granted in June 2022 and the full licence in February 2023 (FY2023 Annual Report, pp.6 and 9) - so no Pillar 3 or regulatory-capital disclosure obligation applied and no such figures exist for FY2021.</t>
        </is>
      </c>
    </row>
    <row r="11" ht="364" customHeight="1">
      <c r="A11" s="8" t="inlineStr">
        <is>
          <t>(continued)
SDDT STATUS - CHECKED 2026-09-15 (cross-bank SDDT date-fit pass) AND DELIBERATELY NOT USED TO EXPLAIN ANY GAP HERE. StreamBank does hold the Small Domestic Deposit Taker opt-in: the Bank of England consolidated list of waivers and modifications granted to PRA-authorised firms (downloaded 2026-09-15, https://www.bankofengland.co.uk/-/media/boe/files/prudential-regulation/authorisations/waivers-and-modifications-of-rules/consolidated-waivers-pra-firms.csv) carries one SDDT row for FRN 954876, 'StreamBank PLC': 'Modification by Consent - PRA Rulebook- CRR Firms- Rule 3.1 of the SDDT Regime - General Application Part 3.1', rule 'SDDT Regime - General Application', sub rule 'Ru 3.1', waiver ref 'A00007820P.pdf', start date 04/05/2024, no end date. Rule 3.1 is the operative opt-in (not one of the eligibility-criteria modifications under rules 1.2 / 2.1(9) / 2.6), and it normally removes the Pillar 3 disclosure obligation outright.
      WHY IT IS NOT APPLIED. StreamBank's accounting reference date is 31 MARCH, confirmed at Companies House (company 11995458: accounts for the period ended 31 December 2021, then 31 March 2023, 2024, 2025 and 2026 - the year-end moved, which is why FY2023 is a 15-month period here). On a pure date test the modification would cover FY2025 and FY2026. But the Bank's own conduct refutes that reading: it PUBLISHED a full Pillar 3 disclosure for FY2025 - the year ended 31 March 2025, eleven months AFTER the 4 May 2024 start date - and this workbook's FY2025 and FY2024 figures are transcribed from it. A firm that had actually dropped its Pillar 3 obligation would not have produced that document, whose Board approval is dated 18 September 2025.
      The Bank says as much itself, and in two respects contradicts the register. StreamBank Pillar 3 Disclosures 2025, p.3, 'Regulatory changes - Strong and Simple': 'In January 2025, the Bank applied, and has since been confirmed, as a SDDT regime institution. Final implementation of these changes has been delayed until 1 January 2027.' First, it dates its own application to JANUARY 2025, eight months after the register's 04/05/2024 start date - the two do not reconcile, and neither is discarded here. Second, and decisively, StreamBank states that it regards the SDDT changes as not implemented until 1 JANUARY 2027, so by its own account it remained subject to Pillar 3 disclosure throughout FY2025 and FY2026. (That 2027 date is the SDDT CAPITAL regime, which the same passage runs together with the disclosure relief; the disclosure relief itself took effect from 1 July 2024 under PS15/23. The conflation is the Bank's, not this workbook's - but what matters is that it explains why StreamBank kept disclosing.)
      FY2026 ANNUAL REPORT - WHAT IT DOES AND DOES NOT DISCLOSE, re-established 2026-09-15 against the TEXT-NATIVE copy on the Bank's own site (AR2026_SITE_URL), which supersedes the earlier OCR-based check of the scanned Companies House filing. Exact whole-document string counts over all 232,811 characters: 'SDDT' 0, 'Small Domestic' 0, 'Strong and Simple' 0, 'Pillar 3' 0, 'Pillar III' 0, 'NSFR' 0, 'net stable' 0, 'LCR' 0, 'exposure measure' 0, 'high quality liquid' 0. The handful of near-misses were all read in context and none is a disclosed figure: 'Liquidity Coverage' appears exactly once, purely qualitatively ('All liquidity levels remained well within board risk appetite and regulatory requirements throughout the year, including the Liquidity Coverage Ratio, which ensures that sufficient high-quality liquid assets are held to sustain a short term severe but plausible liquidity stress') with no number attached; 'HQLA' appears once, in a committee's list of responsibilities ('Manage the HQLA portfolio'), again with no figure; 'leverage' appears once, in the KPI table whose footnote disqualifies it (see the Leverage Ratio sheet); and 'risk weighted' appears twice, both times as a DEFINITION of the CET1 ratio ('CET1 capital divided by total risk weighted assets' and 'Regulatory Capital /Risk Weighted Assets') with no RWA amount anywhere. BEWARE A NAIVE SUBSTRING SEARCH HERE: grepping this document for 'RWA' returns six hits and every single one is inside the word 'forward' or 'forward-looking' - not the acronym at all. A future pass that counts those as disclosure hits will reach the wrong conclusion. So FY2026 genuinely has a CET1 amount and a CET1 ratio and nothing else usable.</t>
        </is>
      </c>
    </row>
    <row r="13" ht="195" customHeight="1">
      <c r="A13" s="8" t="inlineStr">
        <is>
          <t>(continued)
SO: FY2026 IS UNDETERMINED, NOT SDDT-EXEMPT. The most likely explanation is publication lag, not exemption - the FY2025 Pillar 3 was Board-approved 18 September 2025, roughly six months after its 31 March 2025 year-end, so an FY2026 equivalent would only be due around September 2026, which is exactly when the 2026-09-15 check above was run. A future pass should re-check streambank.co.uk/pdf/ for an FY2026 Pillar 3 rather than treating this cell as structurally exempt. Corroborating the absence of any exemption claim: the FY2026 Annual Report was re-checked on 2026-09-15 and contains no mention of 'SDDT', 'Small Domestic Deposit Taker', 'Strong and Simple' or 'Pillar 3' anywhere. That filing is a SCANNED, IMAGE-ONLY Companies House PDF - pdftotext extracted 79 characters from 79 pages - so it was OCR'd page-by-page at 200dpi with tesseract (185k characters recovered, 74 hits for 'capital') before being searched; a plain text search would have returned a false negative.
      WHAT THE MODIFICATION DOES NOT EXPLAIN, IN ANY READING: FY2021 and FY2023. Both pre-date 04/05/2024 by years - FY2021 ended 31 December 2021 and FY2023 ended 31 March 2023 - and both already have their own established and unrelated causes set out above (no banking licence in FY2021; no standalone FY2023 Pillar 3 document ever published, with the Annual Report capital note used instead). Do not read SDDT back onto either. No cell in this workbook is changed by this finding, and StreamBank discloses no Simplified Retail Deposit Ratio value.
ENTITY / PERIOD NOTE: StreamBank PLC (FRN 954876, Companies House no. 11995458, LEI 213800KDQFY4NBXFKP66) is the exact PRA-authorised entity covered. It was previously named Activtrades Loans PLC until 19 July 2022. The accounting period was extended from 31 December 2022 to 31 March 2023, so the FY2023 figures cover 15 months (1 January 2022 to 31 March 2023); no separate FY2022 annual period is invented. StreamBank has no subsidiaries.</t>
        </is>
      </c>
    </row>
  </sheetData>
  <mergeCells count="5">
    <mergeCell ref="A11:F11"/>
    <mergeCell ref="A13:F13"/>
    <mergeCell ref="A5:F5"/>
    <mergeCell ref="A9:F9"/>
    <mergeCell ref="A7:F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2026-10-10T15:08:42Z</dcterms:created>
  <dcterms:modified xmlns:dcterms="http://purl.org/dc/terms/" xmlns:xsi="http://www.w3.org/2001/XMLSchema-instance" xsi:type="dcterms:W3CDTF">2026-10-10T15:08:42Z</dcterms:modified>
</cp:coreProperties>
</file>