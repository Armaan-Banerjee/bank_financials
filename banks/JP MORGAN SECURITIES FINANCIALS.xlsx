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Balance Sheet" sheetId="2" state="visible" r:id="rId2"/>
    <sheet xmlns:r="http://schemas.openxmlformats.org/officeDocument/2006/relationships" name="Profit &amp; Loss" sheetId="3" state="visible" r:id="rId3"/>
    <sheet xmlns:r="http://schemas.openxmlformats.org/officeDocument/2006/relationships" name="Statement of Changes in Equity" sheetId="4" state="visible" r:id="rId4"/>
    <sheet xmlns:r="http://schemas.openxmlformats.org/officeDocument/2006/relationships" name="Cash Flow Statement" sheetId="5" state="visible" r:id="rId5"/>
    <sheet xmlns:r="http://schemas.openxmlformats.org/officeDocument/2006/relationships" name="Asset Quality" sheetId="6" state="visible" r:id="rId6"/>
    <sheet xmlns:r="http://schemas.openxmlformats.org/officeDocument/2006/relationships" name="KM1 Key Metrics" sheetId="7" state="visible" r:id="rId7"/>
    <sheet xmlns:r="http://schemas.openxmlformats.org/officeDocument/2006/relationships" name="CET1 Capital" sheetId="8" state="visible" r:id="rId8"/>
    <sheet xmlns:r="http://schemas.openxmlformats.org/officeDocument/2006/relationships" name="CET1 Ratio" sheetId="9" state="visible" r:id="rId9"/>
    <sheet xmlns:r="http://schemas.openxmlformats.org/officeDocument/2006/relationships" name="Tier 1 Capital" sheetId="10" state="visible" r:id="rId10"/>
    <sheet xmlns:r="http://schemas.openxmlformats.org/officeDocument/2006/relationships" name="Tier 1 Ratio" sheetId="11" state="visible" r:id="rId11"/>
    <sheet xmlns:r="http://schemas.openxmlformats.org/officeDocument/2006/relationships" name="Total Capital" sheetId="12" state="visible" r:id="rId12"/>
    <sheet xmlns:r="http://schemas.openxmlformats.org/officeDocument/2006/relationships" name="Total Capital Ratio" sheetId="13" state="visible" r:id="rId13"/>
    <sheet xmlns:r="http://schemas.openxmlformats.org/officeDocument/2006/relationships" name="Total RWAs" sheetId="14" state="visible" r:id="rId14"/>
    <sheet xmlns:r="http://schemas.openxmlformats.org/officeDocument/2006/relationships" name="RWA Breakdown" sheetId="15" state="visible" r:id="rId15"/>
    <sheet xmlns:r="http://schemas.openxmlformats.org/officeDocument/2006/relationships" name="Leverage Ratio" sheetId="16" state="visible" r:id="rId16"/>
    <sheet xmlns:r="http://schemas.openxmlformats.org/officeDocument/2006/relationships" name="LCR" sheetId="17" state="visible" r:id="rId17"/>
    <sheet xmlns:r="http://schemas.openxmlformats.org/officeDocument/2006/relationships" name="NSFR" sheetId="18" state="visible" r:id="rId18"/>
    <sheet xmlns:r="http://schemas.openxmlformats.org/officeDocument/2006/relationships" name="MREL Ratio" sheetId="19" state="visible" r:id="rId19"/>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sz val="13"/>
    </font>
    <font>
      <i val="1"/>
      <color rgb="00666666"/>
      <sz val="9"/>
    </font>
    <font>
      <b val="1"/>
      <color rgb="00FFFFFF"/>
    </font>
    <font>
      <b val="1"/>
    </font>
    <font>
      <i val="1"/>
      <color rgb="00444444"/>
      <sz val="9"/>
    </font>
  </fonts>
  <fills count="3">
    <fill>
      <patternFill/>
    </fill>
    <fill>
      <patternFill patternType="gray125"/>
    </fill>
    <fill>
      <patternFill patternType="solid">
        <fgColor rgb="00C104D3"/>
        <bgColor rgb="00C104D3"/>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pivotButton="0" quotePrefix="0" xfId="0"/>
    <xf numFmtId="0" fontId="4" fillId="0" borderId="0" pivotButton="0" quotePrefix="0" xfId="0"/>
    <xf numFmtId="0" fontId="3" fillId="2" borderId="0" applyAlignment="1" pivotButton="0" quotePrefix="0" xfId="0">
      <alignment horizontal="left" vertical="center" wrapText="1"/>
    </xf>
    <xf numFmtId="0" fontId="4" fillId="0" borderId="1" pivotButton="0" quotePrefix="0" xfId="0"/>
    <xf numFmtId="0" fontId="0" fillId="0" borderId="1" pivotButton="0" quotePrefix="0" xfId="0"/>
    <xf numFmtId="0" fontId="2" fillId="0" borderId="0" applyAlignment="1" pivotButton="0" quotePrefix="0" xfId="0">
      <alignment horizontal="left" vertical="top" wrapText="1"/>
    </xf>
    <xf numFmtId="0" fontId="5"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styles" Target="styles.xml" Id="rId20"/><Relationship Type="http://schemas.openxmlformats.org/officeDocument/2006/relationships/theme" Target="theme/theme1.xml" Id="rId21"/></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J.P. Morgan Securities plc — Balance Sheet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'Overview'!I6</f>
            </strRef>
          </tx>
          <spPr>
            <a:ln xmlns:a="http://schemas.openxmlformats.org/drawingml/2006/main">
              <a:prstDash val="solid"/>
            </a:ln>
          </spPr>
          <cat>
            <numRef>
              <f>'Overview'!$J$5:$M$5</f>
            </numRef>
          </cat>
          <val>
            <numRef>
              <f>'Overview'!$J$6:$M$6</f>
            </numRef>
          </val>
        </ser>
        <ser>
          <idx val="1"/>
          <order val="1"/>
          <tx>
            <strRef>
              <f>'Overview'!I7</f>
            </strRef>
          </tx>
          <spPr>
            <a:ln xmlns:a="http://schemas.openxmlformats.org/drawingml/2006/main">
              <a:prstDash val="solid"/>
            </a:ln>
          </spPr>
          <cat>
            <numRef>
              <f>'Overview'!$J$5:$M$5</f>
            </numRef>
          </cat>
          <val>
            <numRef>
              <f>'Overview'!$J$7:$M$7</f>
            </numRef>
          </val>
        </ser>
        <ser>
          <idx val="2"/>
          <order val="2"/>
          <tx>
            <strRef>
              <f>'Overview'!I8</f>
            </strRef>
          </tx>
          <spPr>
            <a:ln xmlns:a="http://schemas.openxmlformats.org/drawingml/2006/main">
              <a:prstDash val="solid"/>
            </a:ln>
          </spPr>
          <cat>
            <numRef>
              <f>'Overview'!$J$5:$M$5</f>
            </numRef>
          </cat>
          <val>
            <numRef>
              <f>'Overview'!$J$8:$M$8</f>
            </numRef>
          </val>
        </ser>
        <ser>
          <idx val="3"/>
          <order val="3"/>
          <tx>
            <strRef>
              <f>'Overview'!I9</f>
            </strRef>
          </tx>
          <spPr>
            <a:ln xmlns:a="http://schemas.openxmlformats.org/drawingml/2006/main">
              <a:prstDash val="solid"/>
            </a:ln>
          </spPr>
          <cat>
            <numRef>
              <f>'Overview'!$J$5:$M$5</f>
            </numRef>
          </cat>
          <val>
            <numRef>
              <f>'Overview'!$J$9:$M$9</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£'000 (conv. from USD)</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J.P. Morgan Securities plc — Profit &amp; Loss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'Overview'!P13</f>
            </strRef>
          </tx>
          <spPr>
            <a:ln xmlns:a="http://schemas.openxmlformats.org/drawingml/2006/main">
              <a:prstDash val="solid"/>
            </a:ln>
          </spPr>
          <cat>
            <numRef>
              <f>'Overview'!$Q$12:$T$12</f>
            </numRef>
          </cat>
          <val>
            <numRef>
              <f>'Overview'!$Q$13:$T$13</f>
            </numRef>
          </val>
        </ser>
        <ser>
          <idx val="1"/>
          <order val="1"/>
          <tx>
            <strRef>
              <f>'Overview'!P14</f>
            </strRef>
          </tx>
          <spPr>
            <a:ln xmlns:a="http://schemas.openxmlformats.org/drawingml/2006/main">
              <a:prstDash val="solid"/>
            </a:ln>
          </spPr>
          <cat>
            <numRef>
              <f>'Overview'!$Q$12:$T$12</f>
            </numRef>
          </cat>
          <val>
            <numRef>
              <f>'Overview'!$Q$14:$T$14</f>
            </numRef>
          </val>
        </ser>
        <ser>
          <idx val="2"/>
          <order val="2"/>
          <tx>
            <strRef>
              <f>'Overview'!P15</f>
            </strRef>
          </tx>
          <spPr>
            <a:ln xmlns:a="http://schemas.openxmlformats.org/drawingml/2006/main">
              <a:prstDash val="solid"/>
            </a:ln>
          </spPr>
          <cat>
            <numRef>
              <f>'Overview'!$Q$12:$T$12</f>
            </numRef>
          </cat>
          <val>
            <numRef>
              <f>'Overview'!$Q$15:$T$15</f>
            </numRef>
          </val>
        </ser>
        <ser>
          <idx val="3"/>
          <order val="3"/>
          <tx>
            <strRef>
              <f>'Overview'!P16</f>
            </strRef>
          </tx>
          <spPr>
            <a:ln xmlns:a="http://schemas.openxmlformats.org/drawingml/2006/main">
              <a:prstDash val="solid"/>
            </a:ln>
          </spPr>
          <cat>
            <numRef>
              <f>'Overview'!$Q$12:$T$12</f>
            </numRef>
          </cat>
          <val>
            <numRef>
              <f>'Overview'!$Q$16:$T$16</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£'000 (conv. from USD)</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3.xml><?xml version="1.0" encoding="utf-8"?>
<chartSpace xmlns="http://schemas.openxmlformats.org/drawingml/2006/chart">
  <chart>
    <title>
      <tx>
        <rich>
          <a:bodyPr xmlns:a="http://schemas.openxmlformats.org/drawingml/2006/main"/>
          <a:p xmlns:a="http://schemas.openxmlformats.org/drawingml/2006/main">
            <a:pPr>
              <a:defRPr/>
            </a:pPr>
            <a:r>
              <a:t>J.P. Morgan Securities plc — Statement of Changes in Equity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'Overview'!W20</f>
            </strRef>
          </tx>
          <spPr>
            <a:ln xmlns:a="http://schemas.openxmlformats.org/drawingml/2006/main">
              <a:prstDash val="solid"/>
            </a:ln>
          </spPr>
          <cat>
            <numRef>
              <f>'Overview'!$X$19:$AA$19</f>
            </numRef>
          </cat>
          <val>
            <numRef>
              <f>'Overview'!$X$20:$AA$20</f>
            </numRef>
          </val>
        </ser>
        <ser>
          <idx val="1"/>
          <order val="1"/>
          <tx>
            <strRef>
              <f>'Overview'!W21</f>
            </strRef>
          </tx>
          <spPr>
            <a:ln xmlns:a="http://schemas.openxmlformats.org/drawingml/2006/main">
              <a:prstDash val="solid"/>
            </a:ln>
          </spPr>
          <cat>
            <numRef>
              <f>'Overview'!$X$19:$AA$19</f>
            </numRef>
          </cat>
          <val>
            <numRef>
              <f>'Overview'!$X$21:$AA$21</f>
            </numRef>
          </val>
        </ser>
        <ser>
          <idx val="2"/>
          <order val="2"/>
          <tx>
            <strRef>
              <f>'Overview'!W22</f>
            </strRef>
          </tx>
          <spPr>
            <a:ln xmlns:a="http://schemas.openxmlformats.org/drawingml/2006/main">
              <a:prstDash val="solid"/>
            </a:ln>
          </spPr>
          <cat>
            <numRef>
              <f>'Overview'!$X$19:$AA$19</f>
            </numRef>
          </cat>
          <val>
            <numRef>
              <f>'Overview'!$X$22:$AA$22</f>
            </numRef>
          </val>
        </ser>
        <ser>
          <idx val="3"/>
          <order val="3"/>
          <tx>
            <strRef>
              <f>'Overview'!W23</f>
            </strRef>
          </tx>
          <spPr>
            <a:ln xmlns:a="http://schemas.openxmlformats.org/drawingml/2006/main">
              <a:prstDash val="solid"/>
            </a:ln>
          </spPr>
          <cat>
            <numRef>
              <f>'Overview'!$X$19:$AA$19</f>
            </numRef>
          </cat>
          <val>
            <numRef>
              <f>'Overview'!$X$23:$AA$23</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£'000 (conv. from USD)</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4.xml><?xml version="1.0" encoding="utf-8"?>
<chartSpace xmlns="http://schemas.openxmlformats.org/drawingml/2006/chart">
  <chart>
    <title>
      <tx>
        <rich>
          <a:bodyPr xmlns:a="http://schemas.openxmlformats.org/drawingml/2006/main"/>
          <a:p xmlns:a="http://schemas.openxmlformats.org/drawingml/2006/main">
            <a:pPr>
              <a:defRPr/>
            </a:pPr>
            <a:r>
              <a:t>J.P. Morgan Securities plc — Pillar 3 Key Metrics by Year</a:t>
            </a:r>
          </a:p>
        </rich>
      </tx>
    </title>
    <plotArea>
      <layout>
        <manualLayout>
          <layoutTarget val="inner"/>
          <xMode val="edge"/>
          <yMode val="edge"/>
          <wMode val="factor"/>
          <hMode val="factor"/>
          <x val="0.1"/>
          <y val="0.12"/>
          <w val="0.85"/>
          <h val="0.5"/>
        </manualLayout>
      </layout>
      <lineChart>
        <grouping val="standard"/>
        <ser>
          <idx val="0"/>
          <order val="0"/>
          <tx>
            <strRef>
              <f>'Overview'!AD6</f>
            </strRef>
          </tx>
          <spPr>
            <a:ln xmlns:a="http://schemas.openxmlformats.org/drawingml/2006/main">
              <a:prstDash val="solid"/>
            </a:ln>
          </spPr>
          <marker>
            <symbol val="none"/>
            <spPr>
              <a:ln xmlns:a="http://schemas.openxmlformats.org/drawingml/2006/main">
                <a:prstDash val="solid"/>
              </a:ln>
            </spPr>
          </marker>
          <cat>
            <numRef>
              <f>'Overview'!$AE$5:$AI$5</f>
            </numRef>
          </cat>
          <val>
            <numRef>
              <f>'Overview'!$AE$6:$AI$6</f>
            </numRef>
          </val>
          <smooth val="0"/>
        </ser>
        <ser>
          <idx val="1"/>
          <order val="1"/>
          <tx>
            <strRef>
              <f>'Overview'!AD7</f>
            </strRef>
          </tx>
          <spPr>
            <a:ln xmlns:a="http://schemas.openxmlformats.org/drawingml/2006/main">
              <a:prstDash val="solid"/>
            </a:ln>
          </spPr>
          <marker>
            <symbol val="none"/>
            <spPr>
              <a:ln xmlns:a="http://schemas.openxmlformats.org/drawingml/2006/main">
                <a:prstDash val="solid"/>
              </a:ln>
            </spPr>
          </marker>
          <cat>
            <numRef>
              <f>'Overview'!$AE$5:$AI$5</f>
            </numRef>
          </cat>
          <val>
            <numRef>
              <f>'Overview'!$AE$7:$AI$7</f>
            </numRef>
          </val>
          <smooth val="0"/>
        </ser>
        <ser>
          <idx val="2"/>
          <order val="2"/>
          <tx>
            <strRef>
              <f>'Overview'!AD8</f>
            </strRef>
          </tx>
          <spPr>
            <a:ln xmlns:a="http://schemas.openxmlformats.org/drawingml/2006/main">
              <a:prstDash val="solid"/>
            </a:ln>
          </spPr>
          <marker>
            <symbol val="none"/>
            <spPr>
              <a:ln xmlns:a="http://schemas.openxmlformats.org/drawingml/2006/main">
                <a:prstDash val="solid"/>
              </a:ln>
            </spPr>
          </marker>
          <cat>
            <numRef>
              <f>'Overview'!$AE$5:$AI$5</f>
            </numRef>
          </cat>
          <val>
            <numRef>
              <f>'Overview'!$AE$8:$AI$8</f>
            </numRef>
          </val>
          <smooth val="0"/>
        </ser>
        <ser>
          <idx val="3"/>
          <order val="3"/>
          <tx>
            <strRef>
              <f>'Overview'!AD9</f>
            </strRef>
          </tx>
          <spPr>
            <a:ln xmlns:a="http://schemas.openxmlformats.org/drawingml/2006/main">
              <a:prstDash val="solid"/>
            </a:ln>
          </spPr>
          <marker>
            <symbol val="none"/>
            <spPr>
              <a:ln xmlns:a="http://schemas.openxmlformats.org/drawingml/2006/main">
                <a:prstDash val="solid"/>
              </a:ln>
            </spPr>
          </marker>
          <cat>
            <numRef>
              <f>'Overview'!$AE$5:$AI$5</f>
            </numRef>
          </cat>
          <val>
            <numRef>
              <f>'Overview'!$AE$9:$AI$9</f>
            </numRef>
          </val>
          <smooth val="0"/>
        </ser>
        <ser>
          <idx val="4"/>
          <order val="4"/>
          <tx>
            <strRef>
              <f>'Overview'!AD10</f>
            </strRef>
          </tx>
          <spPr>
            <a:ln xmlns:a="http://schemas.openxmlformats.org/drawingml/2006/main">
              <a:prstDash val="solid"/>
            </a:ln>
          </spPr>
          <marker>
            <symbol val="none"/>
            <spPr>
              <a:ln xmlns:a="http://schemas.openxmlformats.org/drawingml/2006/main">
                <a:prstDash val="solid"/>
              </a:ln>
            </spPr>
          </marker>
          <cat>
            <numRef>
              <f>'Overview'!$AE$5:$AI$5</f>
            </numRef>
          </cat>
          <val>
            <numRef>
              <f>'Overview'!$AE$10:$AI$10</f>
            </numRef>
          </val>
          <smooth val="0"/>
        </ser>
        <ser>
          <idx val="5"/>
          <order val="5"/>
          <tx>
            <strRef>
              <f>'Overview'!AD11</f>
            </strRef>
          </tx>
          <spPr>
            <a:ln xmlns:a="http://schemas.openxmlformats.org/drawingml/2006/main">
              <a:prstDash val="solid"/>
            </a:ln>
          </spPr>
          <marker>
            <symbol val="none"/>
            <spPr>
              <a:ln xmlns:a="http://schemas.openxmlformats.org/drawingml/2006/main">
                <a:prstDash val="solid"/>
              </a:ln>
            </spPr>
          </marker>
          <cat>
            <numRef>
              <f>'Overview'!$AE$5:$AI$5</f>
            </numRef>
          </cat>
          <val>
            <numRef>
              <f>'Overview'!$AE$11:$AI$11</f>
            </numRef>
          </val>
          <smooth val="0"/>
        </ser>
        <axId val="10"/>
        <axId val="100"/>
      </line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a:t>
                </a:r>
              </a:p>
            </rich>
          </tx>
        </title>
        <majorTickMark val="out"/>
        <minorTickMark val="none"/>
        <tickLblPos val="nextTo"/>
        <crossAx val="10"/>
      </valAx>
    </plotArea>
    <legend>
      <legendPos val="b"/>
      <layout>
        <manualLayout>
          <xMode val="edge"/>
          <yMode val="edge"/>
          <wMode val="factor"/>
          <hMode val="factor"/>
          <x val="0.02"/>
          <y val="0.78"/>
          <w val="0.96"/>
          <h val="0.22"/>
        </manualLayout>
      </layout>
    </legend>
    <plotVisOnly val="0"/>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chart" Target="/xl/charts/chart4.xml" Id="rId4"/></Relationships>
</file>

<file path=xl/drawings/drawing1.xml><?xml version="1.0" encoding="utf-8"?>
<wsDr xmlns="http://schemas.openxmlformats.org/drawingml/2006/spreadsheetDrawing">
  <oneCellAnchor>
    <from>
      <col>0</col>
      <colOff>0</colOff>
      <row>38</row>
      <rowOff>0</rowOff>
    </from>
    <ext cx="8640000" cy="46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0</col>
      <colOff>0</colOff>
      <row>60</row>
      <rowOff>0</rowOff>
    </from>
    <ext cx="8640000" cy="46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0</col>
      <colOff>0</colOff>
      <row>82</row>
      <rowOff>0</rowOff>
    </from>
    <ext cx="8640000" cy="46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0</col>
      <colOff>0</colOff>
      <row>104</row>
      <rowOff>0</rowOff>
    </from>
    <ext cx="8640000" cy="576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AI36"/>
  <sheetViews>
    <sheetView workbookViewId="0">
      <selection activeCell="A1" sqref="A1"/>
    </sheetView>
  </sheetViews>
  <sheetFormatPr baseColWidth="8" defaultRowHeight="15"/>
  <cols>
    <col width="42" customWidth="1" min="1" max="1"/>
    <col width="15" customWidth="1" min="2" max="2"/>
    <col width="15" customWidth="1" min="3" max="3"/>
    <col width="15" customWidth="1" min="4" max="4"/>
    <col width="15" customWidth="1" min="5" max="5"/>
    <col width="15" customWidth="1" min="6" max="6"/>
    <col hidden="1" width="13" customWidth="1" min="9" max="9"/>
    <col hidden="1" width="13" customWidth="1" min="10" max="10"/>
    <col hidden="1" width="13" customWidth="1" min="11" max="11"/>
    <col hidden="1" width="13" customWidth="1" min="12" max="12"/>
    <col hidden="1" width="13" customWidth="1" min="13" max="13"/>
    <col hidden="1" width="13" customWidth="1" min="14" max="14"/>
    <col hidden="1" width="13" customWidth="1" min="15" max="15"/>
    <col hidden="1" width="13" customWidth="1" min="16" max="16"/>
    <col hidden="1" width="13" customWidth="1" min="17" max="17"/>
    <col hidden="1" width="13" customWidth="1" min="18" max="18"/>
    <col hidden="1" width="13" customWidth="1" min="19" max="19"/>
    <col hidden="1" width="13" customWidth="1" min="20" max="20"/>
    <col hidden="1" width="13" customWidth="1" min="21" max="21"/>
    <col hidden="1" width="13" customWidth="1" min="22" max="22"/>
    <col hidden="1" width="13" customWidth="1" min="23" max="23"/>
    <col hidden="1" width="13" customWidth="1" min="24" max="24"/>
    <col hidden="1" width="13" customWidth="1" min="25" max="25"/>
    <col hidden="1" width="13" customWidth="1" min="26" max="26"/>
    <col hidden="1" width="13" customWidth="1" min="27" max="27"/>
    <col hidden="1" width="13" customWidth="1" min="28" max="28"/>
    <col hidden="1" width="13" customWidth="1" min="29" max="29"/>
    <col hidden="1" width="13" customWidth="1" min="30" max="30"/>
    <col hidden="1" width="13" customWidth="1" min="31" max="31"/>
    <col hidden="1" width="13" customWidth="1" min="32" max="32"/>
    <col hidden="1" width="13" customWidth="1" min="33" max="33"/>
    <col hidden="1" width="13" customWidth="1" min="34" max="34"/>
    <col hidden="1" width="13" customWidth="1" min="35" max="35"/>
  </cols>
  <sheetData>
    <row r="1">
      <c r="A1" s="1" t="inlineStr">
        <is>
          <t>J.P. Morgan Securities plc — Overview</t>
        </is>
      </c>
    </row>
    <row r="2">
      <c r="A2" s="2" t="inlineStr">
        <is>
          <t>Headline balance sheet, profit &amp; loss, cash flow and Pillar 3 figures across all years covered in this workbook - how the bank is using its money and the risk it is taking with it</t>
        </is>
      </c>
    </row>
    <row r="3"/>
    <row r="4">
      <c r="A4" s="3" t="inlineStr">
        <is>
          <t>Balance Sheet Summary (£'000 (conv. from USD))</t>
        </is>
      </c>
    </row>
    <row r="5">
      <c r="A5" s="4" t="inlineStr">
        <is>
          <t>Line item</t>
        </is>
      </c>
      <c r="B5" s="4" t="inlineStr">
        <is>
          <t>FY2025</t>
        </is>
      </c>
      <c r="C5" s="4" t="inlineStr">
        <is>
          <t>FY2024</t>
        </is>
      </c>
      <c r="D5" s="4" t="inlineStr">
        <is>
          <t>FY2023</t>
        </is>
      </c>
      <c r="E5" s="4" t="inlineStr">
        <is>
          <t>FY2022</t>
        </is>
      </c>
      <c r="J5" t="inlineStr">
        <is>
          <t>FY2022</t>
        </is>
      </c>
      <c r="K5" t="inlineStr">
        <is>
          <t>FY2023</t>
        </is>
      </c>
      <c r="L5" t="inlineStr">
        <is>
          <t>FY2024</t>
        </is>
      </c>
      <c r="M5" t="inlineStr">
        <is>
          <t>FY2025</t>
        </is>
      </c>
      <c r="AE5" t="inlineStr">
        <is>
          <t>FY2021</t>
        </is>
      </c>
      <c r="AF5" t="inlineStr">
        <is>
          <t>FY2022</t>
        </is>
      </c>
      <c r="AG5" t="inlineStr">
        <is>
          <t>FY2023</t>
        </is>
      </c>
      <c r="AH5" t="inlineStr">
        <is>
          <t>FY2024</t>
        </is>
      </c>
      <c r="AI5" t="inlineStr">
        <is>
          <t>FY2025</t>
        </is>
      </c>
    </row>
    <row r="6">
      <c r="A6" s="5" t="inlineStr">
        <is>
          <t>Total assets</t>
        </is>
      </c>
      <c r="B6" s="5" t="n">
        <v>617849157</v>
      </c>
      <c r="C6" s="5" t="n">
        <v>557407933</v>
      </c>
      <c r="D6" s="5" t="n">
        <v>525094039</v>
      </c>
      <c r="E6" s="5" t="n">
        <v>581340377</v>
      </c>
      <c r="I6" t="inlineStr">
        <is>
          <t>Total assets</t>
        </is>
      </c>
      <c r="J6" t="n">
        <v>581340377</v>
      </c>
      <c r="K6" t="n">
        <v>525094039</v>
      </c>
      <c r="L6" t="n">
        <v>557407933</v>
      </c>
      <c r="M6" t="n">
        <v>617849157</v>
      </c>
      <c r="AD6" t="inlineStr">
        <is>
          <t>CET1 Ratio</t>
        </is>
      </c>
      <c r="AE6" t="n">
        <v>18.52</v>
      </c>
      <c r="AF6" t="n">
        <v>23.73</v>
      </c>
      <c r="AG6" t="n">
        <v>18.33</v>
      </c>
      <c r="AH6" t="n">
        <v>18.5</v>
      </c>
      <c r="AI6" t="n">
        <v>16.4</v>
      </c>
    </row>
    <row r="7">
      <c r="A7" s="5" t="inlineStr">
        <is>
          <t>Loans and advances to customers</t>
        </is>
      </c>
      <c r="B7" s="5" t="n">
        <v>191312</v>
      </c>
      <c r="C7" s="5" t="n">
        <v>73986</v>
      </c>
      <c r="D7" s="5" t="n">
        <v>235828</v>
      </c>
      <c r="E7" s="5" t="n">
        <v>428753</v>
      </c>
      <c r="I7" t="inlineStr">
        <is>
          <t>Loans and advances to customers</t>
        </is>
      </c>
      <c r="J7" t="n">
        <v>428753</v>
      </c>
      <c r="K7" t="n">
        <v>235828</v>
      </c>
      <c r="L7" t="n">
        <v>73986</v>
      </c>
      <c r="M7" t="n">
        <v>191312</v>
      </c>
      <c r="AD7" t="inlineStr">
        <is>
          <t>Tier 1 Ratio</t>
        </is>
      </c>
      <c r="AE7" t="n">
        <v>18.52</v>
      </c>
      <c r="AF7" t="n">
        <v>26.73</v>
      </c>
      <c r="AG7" t="n">
        <v>23.67</v>
      </c>
      <c r="AH7" t="n">
        <v>23.6</v>
      </c>
      <c r="AI7" t="n">
        <v>20.8</v>
      </c>
    </row>
    <row r="8">
      <c r="A8" s="5" t="inlineStr">
        <is>
          <t>Deposits from JPMorganChase undertakings</t>
        </is>
      </c>
      <c r="B8" s="5" t="n">
        <v>140817939</v>
      </c>
      <c r="C8" s="5" t="n">
        <v>142478256</v>
      </c>
      <c r="D8" s="5" t="n">
        <v>142110098</v>
      </c>
      <c r="E8" s="5" t="n">
        <v>144172082</v>
      </c>
      <c r="I8" t="inlineStr">
        <is>
          <t>Deposits from JPMorganChase undertakings</t>
        </is>
      </c>
      <c r="J8" t="n">
        <v>144172082</v>
      </c>
      <c r="K8" t="n">
        <v>142110098</v>
      </c>
      <c r="L8" t="n">
        <v>142478256</v>
      </c>
      <c r="M8" t="n">
        <v>140817939</v>
      </c>
      <c r="AD8" t="inlineStr">
        <is>
          <t>Total Capital Ratio</t>
        </is>
      </c>
      <c r="AE8" t="n">
        <v>23.83</v>
      </c>
      <c r="AF8" t="n">
        <v>33.93</v>
      </c>
      <c r="AG8" t="n">
        <v>29.5</v>
      </c>
      <c r="AH8" t="n">
        <v>28.6</v>
      </c>
      <c r="AI8" t="n">
        <v>24.6</v>
      </c>
    </row>
    <row r="9">
      <c r="A9" s="5" t="inlineStr">
        <is>
          <t>Total equity</t>
        </is>
      </c>
      <c r="B9" s="5" t="n">
        <v>37020257</v>
      </c>
      <c r="C9" s="5" t="n">
        <v>38528288</v>
      </c>
      <c r="D9" s="5" t="n">
        <v>36439350</v>
      </c>
      <c r="E9" s="5" t="n">
        <v>38430198</v>
      </c>
      <c r="I9" t="inlineStr">
        <is>
          <t>Total equity</t>
        </is>
      </c>
      <c r="J9" t="n">
        <v>38430198</v>
      </c>
      <c r="K9" t="n">
        <v>36439350</v>
      </c>
      <c r="L9" t="n">
        <v>38528288</v>
      </c>
      <c r="M9" t="n">
        <v>37020257</v>
      </c>
      <c r="AD9" t="inlineStr">
        <is>
          <t>Leverage Ratio</t>
        </is>
      </c>
      <c r="AE9" t="n">
        <v>5.74</v>
      </c>
      <c r="AF9" t="n">
        <v>7.67</v>
      </c>
      <c r="AG9" t="n">
        <v>7.74</v>
      </c>
      <c r="AH9" t="n">
        <v>7.58</v>
      </c>
      <c r="AI9" t="n">
        <v>6.26</v>
      </c>
    </row>
    <row r="10">
      <c r="AD10" t="inlineStr">
        <is>
          <t>LCR</t>
        </is>
      </c>
      <c r="AE10" t="n">
        <v>216</v>
      </c>
      <c r="AF10" t="n">
        <v>208.5</v>
      </c>
      <c r="AG10" t="n">
        <v>222.82</v>
      </c>
      <c r="AH10" t="n">
        <v>192.75</v>
      </c>
      <c r="AI10" t="n">
        <v>174.25</v>
      </c>
    </row>
    <row r="11">
      <c r="A11" s="3" t="inlineStr">
        <is>
          <t>Profit &amp; Loss Summary (£'000 (conv. from USD))</t>
        </is>
      </c>
      <c r="AD11" t="inlineStr">
        <is>
          <t>NSFR</t>
        </is>
      </c>
      <c r="AF11" t="n">
        <v>121.09</v>
      </c>
      <c r="AG11" t="n">
        <v>116.64</v>
      </c>
      <c r="AH11" t="n">
        <v>117.56</v>
      </c>
      <c r="AI11" t="n">
        <v>118.55</v>
      </c>
    </row>
    <row r="12">
      <c r="A12" s="4" t="inlineStr">
        <is>
          <t>Line item</t>
        </is>
      </c>
      <c r="B12" s="4" t="inlineStr">
        <is>
          <t>FY2025</t>
        </is>
      </c>
      <c r="C12" s="4" t="inlineStr">
        <is>
          <t>FY2024</t>
        </is>
      </c>
      <c r="D12" s="4" t="inlineStr">
        <is>
          <t>FY2023</t>
        </is>
      </c>
      <c r="E12" s="4" t="inlineStr">
        <is>
          <t>FY2022</t>
        </is>
      </c>
      <c r="Q12" t="inlineStr">
        <is>
          <t>FY2022</t>
        </is>
      </c>
      <c r="R12" t="inlineStr">
        <is>
          <t>FY2023</t>
        </is>
      </c>
      <c r="S12" t="inlineStr">
        <is>
          <t>FY2024</t>
        </is>
      </c>
      <c r="T12" t="inlineStr">
        <is>
          <t>FY2025</t>
        </is>
      </c>
    </row>
    <row r="13">
      <c r="A13" s="5" t="inlineStr">
        <is>
          <t>Net interest income/(expense)</t>
        </is>
      </c>
      <c r="B13" s="5" t="n">
        <v>91013</v>
      </c>
      <c r="C13" s="5" t="n">
        <v>-1422759</v>
      </c>
      <c r="D13" s="5" t="n">
        <v>-1482348</v>
      </c>
      <c r="E13" s="5" t="n">
        <v>-15864</v>
      </c>
      <c r="P13" t="inlineStr">
        <is>
          <t>Net interest income/(expense)</t>
        </is>
      </c>
      <c r="Q13" t="n">
        <v>-15864</v>
      </c>
      <c r="R13" t="n">
        <v>-1482348</v>
      </c>
      <c r="S13" t="n">
        <v>-1422759</v>
      </c>
      <c r="T13" t="n">
        <v>91013</v>
      </c>
    </row>
    <row r="14">
      <c r="A14" s="5" t="inlineStr">
        <is>
          <t>Trading profit</t>
        </is>
      </c>
      <c r="B14" s="5" t="n">
        <v>5376972</v>
      </c>
      <c r="C14" s="5" t="n">
        <v>6934215</v>
      </c>
      <c r="D14" s="5" t="n">
        <v>7070867</v>
      </c>
      <c r="E14" s="5" t="n">
        <v>5383567</v>
      </c>
      <c r="P14" t="inlineStr">
        <is>
          <t>Trading profit</t>
        </is>
      </c>
      <c r="Q14" t="n">
        <v>5383567</v>
      </c>
      <c r="R14" t="n">
        <v>7070867</v>
      </c>
      <c r="S14" t="n">
        <v>6934215</v>
      </c>
      <c r="T14" t="n">
        <v>5376972</v>
      </c>
    </row>
    <row r="15">
      <c r="A15" s="5" t="inlineStr">
        <is>
          <t>Administrative expenses</t>
        </is>
      </c>
      <c r="B15" s="5" t="n">
        <v>-4752573</v>
      </c>
      <c r="C15" s="5" t="n">
        <v>-4056255</v>
      </c>
      <c r="D15" s="5" t="n">
        <v>-4013860</v>
      </c>
      <c r="E15" s="5" t="n">
        <v>-3777457</v>
      </c>
      <c r="P15" t="inlineStr">
        <is>
          <t>Administrative expenses</t>
        </is>
      </c>
      <c r="Q15" t="n">
        <v>-3777457</v>
      </c>
      <c r="R15" t="n">
        <v>-4013860</v>
      </c>
      <c r="S15" t="n">
        <v>-4056255</v>
      </c>
      <c r="T15" t="n">
        <v>-4752573</v>
      </c>
    </row>
    <row r="16">
      <c r="A16" s="5" t="inlineStr">
        <is>
          <t>Profit for the financial year</t>
        </is>
      </c>
      <c r="B16" s="5" t="n">
        <v>1776759</v>
      </c>
      <c r="C16" s="5" t="n">
        <v>2031332</v>
      </c>
      <c r="D16" s="5" t="n">
        <v>2072653</v>
      </c>
      <c r="E16" s="5" t="n">
        <v>1979195</v>
      </c>
      <c r="P16" t="inlineStr">
        <is>
          <t>Profit for the financial year</t>
        </is>
      </c>
      <c r="Q16" t="n">
        <v>1979195</v>
      </c>
      <c r="R16" t="n">
        <v>2072653</v>
      </c>
      <c r="S16" t="n">
        <v>2031332</v>
      </c>
      <c r="T16" t="n">
        <v>1776759</v>
      </c>
    </row>
    <row r="18">
      <c r="A18" s="3" t="inlineStr">
        <is>
          <t>Statement of Changes in Equity Summary (£'000 (conv. from USD))</t>
        </is>
      </c>
    </row>
    <row r="19">
      <c r="A19" s="4" t="inlineStr">
        <is>
          <t>Line item</t>
        </is>
      </c>
      <c r="B19" s="4" t="inlineStr">
        <is>
          <t>FY2025</t>
        </is>
      </c>
      <c r="C19" s="4" t="inlineStr">
        <is>
          <t>FY2024</t>
        </is>
      </c>
      <c r="D19" s="4" t="inlineStr">
        <is>
          <t>FY2023</t>
        </is>
      </c>
      <c r="E19" s="4" t="inlineStr">
        <is>
          <t>FY2022</t>
        </is>
      </c>
      <c r="X19" t="inlineStr">
        <is>
          <t>FY2022</t>
        </is>
      </c>
      <c r="Y19" t="inlineStr">
        <is>
          <t>FY2023</t>
        </is>
      </c>
      <c r="Z19" t="inlineStr">
        <is>
          <t>FY2024</t>
        </is>
      </c>
      <c r="AA19" t="inlineStr">
        <is>
          <t>FY2025</t>
        </is>
      </c>
    </row>
    <row r="20">
      <c r="A20" s="5" t="inlineStr">
        <is>
          <t>Opening equity</t>
        </is>
      </c>
      <c r="B20" s="5" t="n">
        <v>38528288</v>
      </c>
      <c r="C20" s="5" t="n">
        <v>36439350</v>
      </c>
      <c r="D20" s="5" t="n">
        <v>38430198</v>
      </c>
      <c r="E20" s="5" t="n">
        <v>34373040</v>
      </c>
      <c r="W20" t="inlineStr">
        <is>
          <t>Opening equity</t>
        </is>
      </c>
      <c r="X20" t="n">
        <v>34373040</v>
      </c>
      <c r="Y20" t="n">
        <v>38430198</v>
      </c>
      <c r="Z20" t="n">
        <v>36439350</v>
      </c>
      <c r="AA20" t="n">
        <v>38528288</v>
      </c>
    </row>
    <row r="21">
      <c r="A21" s="5" t="inlineStr">
        <is>
          <t>Total comprehensive income for the year</t>
        </is>
      </c>
      <c r="B21" s="5" t="n">
        <v>1734031</v>
      </c>
      <c r="C21" s="5" t="n">
        <v>2067595</v>
      </c>
      <c r="D21" s="5" t="n">
        <v>2051725</v>
      </c>
      <c r="E21" s="5" t="n">
        <v>2061442</v>
      </c>
      <c r="W21" t="inlineStr">
        <is>
          <t>Total comprehensive income for the year</t>
        </is>
      </c>
      <c r="X21" t="n">
        <v>2061442</v>
      </c>
      <c r="Y21" t="n">
        <v>2051725</v>
      </c>
      <c r="Z21" t="n">
        <v>2067595</v>
      </c>
      <c r="AA21" t="n">
        <v>1734031</v>
      </c>
    </row>
    <row r="22">
      <c r="A22" s="5" t="inlineStr">
        <is>
          <t>Other equity movements, net (incl. FX translation effect)</t>
        </is>
      </c>
      <c r="B22" s="5" t="n">
        <v>-3242062</v>
      </c>
      <c r="C22" s="5" t="n">
        <v>21343</v>
      </c>
      <c r="D22" s="5" t="n">
        <v>-4042573</v>
      </c>
      <c r="E22" s="5" t="n">
        <v>1995716</v>
      </c>
      <c r="W22" t="inlineStr">
        <is>
          <t>Other equity movements, net (incl. FX translation effect)</t>
        </is>
      </c>
      <c r="X22" t="n">
        <v>1995716</v>
      </c>
      <c r="Y22" t="n">
        <v>-4042573</v>
      </c>
      <c r="Z22" t="n">
        <v>21343</v>
      </c>
      <c r="AA22" t="n">
        <v>-3242062</v>
      </c>
    </row>
    <row r="23">
      <c r="A23" s="5" t="inlineStr">
        <is>
          <t>Closing equity</t>
        </is>
      </c>
      <c r="B23" s="5" t="n">
        <v>37020257</v>
      </c>
      <c r="C23" s="5" t="n">
        <v>38528288</v>
      </c>
      <c r="D23" s="5" t="n">
        <v>36439350</v>
      </c>
      <c r="E23" s="5" t="n">
        <v>38430198</v>
      </c>
      <c r="W23" t="inlineStr">
        <is>
          <t>Closing equity</t>
        </is>
      </c>
      <c r="X23" t="n">
        <v>38430198</v>
      </c>
      <c r="Y23" t="n">
        <v>36439350</v>
      </c>
      <c r="Z23" t="n">
        <v>38528288</v>
      </c>
      <c r="AA23" t="n">
        <v>37020257</v>
      </c>
    </row>
    <row r="25">
      <c r="A25" s="3" t="inlineStr">
        <is>
          <t>Cash Flow Summary: not applicable — this entity does not publish a cash flow statement (see the Cash Flow Statement sheet for the exemption basis).</t>
        </is>
      </c>
    </row>
    <row r="27">
      <c r="A27" s="3" t="inlineStr">
        <is>
          <t>Pillar 3 Key Metrics</t>
        </is>
      </c>
    </row>
    <row r="28">
      <c r="A28" s="4" t="inlineStr">
        <is>
          <t>Line item</t>
        </is>
      </c>
      <c r="B28" s="4" t="inlineStr">
        <is>
          <t>FY2025</t>
        </is>
      </c>
      <c r="C28" s="4" t="inlineStr">
        <is>
          <t>FY2024</t>
        </is>
      </c>
      <c r="D28" s="4" t="inlineStr">
        <is>
          <t>FY2023</t>
        </is>
      </c>
      <c r="E28" s="4" t="inlineStr">
        <is>
          <t>FY2022</t>
        </is>
      </c>
      <c r="F28" s="4" t="inlineStr">
        <is>
          <t>FY2021</t>
        </is>
      </c>
    </row>
    <row r="29">
      <c r="A29" s="6" t="inlineStr">
        <is>
          <t>CET1 Ratio</t>
        </is>
      </c>
      <c r="B29" s="6" t="inlineStr">
        <is>
          <t>16.4%</t>
        </is>
      </c>
      <c r="C29" s="6" t="inlineStr">
        <is>
          <t>18.5%</t>
        </is>
      </c>
      <c r="D29" s="6" t="inlineStr">
        <is>
          <t>18.33%</t>
        </is>
      </c>
      <c r="E29" s="6" t="inlineStr">
        <is>
          <t>23.73%</t>
        </is>
      </c>
      <c r="F29" s="6" t="inlineStr">
        <is>
          <t>18.52%</t>
        </is>
      </c>
    </row>
    <row r="30">
      <c r="A30" s="6" t="inlineStr">
        <is>
          <t>Tier 1 Ratio</t>
        </is>
      </c>
      <c r="B30" s="6" t="inlineStr">
        <is>
          <t>20.8%</t>
        </is>
      </c>
      <c r="C30" s="6" t="inlineStr">
        <is>
          <t>23.6%</t>
        </is>
      </c>
      <c r="D30" s="6" t="inlineStr">
        <is>
          <t>23.67%</t>
        </is>
      </c>
      <c r="E30" s="6" t="inlineStr">
        <is>
          <t>26.73%</t>
        </is>
      </c>
      <c r="F30" s="6" t="inlineStr">
        <is>
          <t>18.52%</t>
        </is>
      </c>
    </row>
    <row r="31">
      <c r="A31" s="6" t="inlineStr">
        <is>
          <t>Total Capital Ratio</t>
        </is>
      </c>
      <c r="B31" s="6" t="inlineStr">
        <is>
          <t>24.6%</t>
        </is>
      </c>
      <c r="C31" s="6" t="inlineStr">
        <is>
          <t>28.6%</t>
        </is>
      </c>
      <c r="D31" s="6" t="inlineStr">
        <is>
          <t>29.50%</t>
        </is>
      </c>
      <c r="E31" s="6" t="inlineStr">
        <is>
          <t>33.93%</t>
        </is>
      </c>
      <c r="F31" s="6" t="inlineStr">
        <is>
          <t>23.83%</t>
        </is>
      </c>
    </row>
    <row r="32">
      <c r="A32" s="6" t="inlineStr">
        <is>
          <t>Leverage Ratio</t>
        </is>
      </c>
      <c r="B32" s="6" t="inlineStr">
        <is>
          <t>6.26%</t>
        </is>
      </c>
      <c r="C32" s="6" t="inlineStr">
        <is>
          <t>7.58%</t>
        </is>
      </c>
      <c r="D32" s="6" t="inlineStr">
        <is>
          <t>7.74%</t>
        </is>
      </c>
      <c r="E32" s="6" t="inlineStr">
        <is>
          <t>7.67%</t>
        </is>
      </c>
      <c r="F32" s="6" t="inlineStr">
        <is>
          <t>5.74%</t>
        </is>
      </c>
    </row>
    <row r="33">
      <c r="A33" s="6" t="inlineStr">
        <is>
          <t>LCR</t>
        </is>
      </c>
      <c r="B33" s="6" t="inlineStr">
        <is>
          <t>174.25%</t>
        </is>
      </c>
      <c r="C33" s="6" t="inlineStr">
        <is>
          <t>192.75%</t>
        </is>
      </c>
      <c r="D33" s="6" t="inlineStr">
        <is>
          <t>222.82%</t>
        </is>
      </c>
      <c r="E33" s="6" t="inlineStr">
        <is>
          <t>208.50%</t>
        </is>
      </c>
      <c r="F33" s="6" t="inlineStr">
        <is>
          <t>216%</t>
        </is>
      </c>
    </row>
    <row r="34">
      <c r="A34" s="6" t="inlineStr">
        <is>
          <t>NSFR</t>
        </is>
      </c>
      <c r="B34" s="6" t="inlineStr">
        <is>
          <t>118.55%</t>
        </is>
      </c>
      <c r="C34" s="6" t="inlineStr">
        <is>
          <t>117.56%</t>
        </is>
      </c>
      <c r="D34" s="6" t="inlineStr">
        <is>
          <t>116.64%</t>
        </is>
      </c>
      <c r="E34" s="6" t="inlineStr">
        <is>
          <t>121.09%</t>
        </is>
      </c>
      <c r="F34" s="6" t="n"/>
    </row>
    <row r="36" ht="104" customHeight="1">
      <c r="A36" s="7" t="inlineStr">
        <is>
          <t>Note: No cash-flow summary or chart: J.P. Morgan Securities plc takes the FRS 101 cash-flow-statement exemption every year (see the Cash Flow Statement sheet). Balance Sheet/P&amp;L/Equity blocks cover FY2022-FY2025 only - FY2021 predates the entity's public Companies House filing history (see the Balance Sheet sheet's source note). CURRENCY: the Company reports in US Dollars; every figure on this sheet is GBP-converted at Bank of England GBP/USD rates - point-in-time figures at each year-end's spot rate, flow figures at that year's average rate (converted 2026-10-09, bringing this workbook onto the same convention as the project's other 13 FX-reporting banks; the KM1 sheet is the sole exception and stays in published dollars). Because stocks and flows convert at different rates, the equity block's 'Other equity movements, net' absorbs each year's FX translation effect, which is shown as its own explicit row on the Statement of Changes in Equity. The Pillar 3 ratios below are dimensionless, shown exactly as reported, and cover FY2021-FY2025 (NSFR from FY2022) - the recovered archive provides standalone JPMS plc capital, leverage and LCR data for FY2021-FY2025, and no numeric MREL ratio.</t>
        </is>
      </c>
    </row>
  </sheetData>
  <mergeCells count="1">
    <mergeCell ref="A36:F36"/>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E38"/>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76" customWidth="1" min="1" max="1"/>
    <col width="15" customWidth="1" min="2" max="2"/>
    <col width="15" customWidth="1" min="3" max="3"/>
    <col width="15" customWidth="1" min="4" max="4"/>
    <col width="15" customWidth="1" min="5" max="5"/>
  </cols>
  <sheetData>
    <row r="1">
      <c r="A1" s="1" t="inlineStr">
        <is>
          <t>J.P. Morgan Securities plc — Balance Sheet</t>
        </is>
      </c>
    </row>
    <row r="2">
      <c r="A2" s="2" t="inlineStr">
        <is>
          <t>Entity-level basis, £'000 — converted from the Company's own US$'000 at each year-end's Bank of England GBP/USD spot rate (see the FX note in the source citation). FY2021 blank: no Annual Report of any kind is publicly filed for that year - see source note.</t>
        </is>
      </c>
    </row>
    <row r="3">
      <c r="A3" s="4" t="inlineStr">
        <is>
          <t>Line item</t>
        </is>
      </c>
      <c r="B3" s="4" t="inlineStr">
        <is>
          <t>FY2025 (£'000)</t>
        </is>
      </c>
      <c r="C3" s="4" t="inlineStr">
        <is>
          <t>FY2024 (£'000)</t>
        </is>
      </c>
      <c r="D3" s="4" t="inlineStr">
        <is>
          <t>FY2023 (£'000)</t>
        </is>
      </c>
      <c r="E3" s="4" t="inlineStr">
        <is>
          <t>FY2022 (£'000)</t>
        </is>
      </c>
    </row>
    <row r="4">
      <c r="A4" s="5" t="inlineStr">
        <is>
          <t>Assets</t>
        </is>
      </c>
      <c r="B4" s="6" t="n"/>
      <c r="C4" s="6" t="n"/>
      <c r="D4" s="6" t="n"/>
      <c r="E4" s="6" t="n"/>
    </row>
    <row r="5">
      <c r="A5" s="6" t="inlineStr">
        <is>
          <t>Cash and balances at central banks</t>
        </is>
      </c>
      <c r="B5" s="6" t="n">
        <v>1070953</v>
      </c>
      <c r="C5" s="6" t="n">
        <v>2477739</v>
      </c>
      <c r="D5" s="6" t="n">
        <v>7123325</v>
      </c>
      <c r="E5" s="6" t="n">
        <v>9707940</v>
      </c>
    </row>
    <row r="6">
      <c r="A6" s="6" t="inlineStr">
        <is>
          <t>Loans and advances to banks</t>
        </is>
      </c>
      <c r="B6" s="6" t="n">
        <v>5636042</v>
      </c>
      <c r="C6" s="6" t="n">
        <v>7556327</v>
      </c>
      <c r="D6" s="6" t="n">
        <v>3470624</v>
      </c>
      <c r="E6" s="6" t="n">
        <v>4348667</v>
      </c>
    </row>
    <row r="7">
      <c r="A7" s="6" t="inlineStr">
        <is>
          <t>Loans and advances to customers</t>
        </is>
      </c>
      <c r="B7" s="6" t="n">
        <v>191312</v>
      </c>
      <c r="C7" s="6" t="n">
        <v>73986</v>
      </c>
      <c r="D7" s="6" t="n">
        <v>235828</v>
      </c>
      <c r="E7" s="6" t="n">
        <v>428753</v>
      </c>
    </row>
    <row r="8">
      <c r="A8" s="6" t="inlineStr">
        <is>
          <t>Securities purchased under agreements to resell</t>
        </is>
      </c>
      <c r="B8" s="6" t="n">
        <v>174763180</v>
      </c>
      <c r="C8" s="6" t="n">
        <v>172238451</v>
      </c>
      <c r="D8" s="6" t="n">
        <v>142370492</v>
      </c>
      <c r="E8" s="6" t="n">
        <v>147248047</v>
      </c>
    </row>
    <row r="9">
      <c r="A9" s="6" t="inlineStr">
        <is>
          <t>Securities borrowed</t>
        </is>
      </c>
      <c r="B9" s="6" t="n">
        <v>52662948</v>
      </c>
      <c r="C9" s="6" t="n">
        <v>38505655</v>
      </c>
      <c r="D9" s="6" t="n">
        <v>40260313</v>
      </c>
      <c r="E9" s="6" t="n">
        <v>42069228</v>
      </c>
    </row>
    <row r="10">
      <c r="A10" s="6" t="inlineStr">
        <is>
          <t>Financial assets at fair value through profit or loss</t>
        </is>
      </c>
      <c r="B10" s="6" t="n">
        <v>281345987</v>
      </c>
      <c r="C10" s="6" t="n">
        <v>261162938</v>
      </c>
      <c r="D10" s="6" t="n">
        <v>256596848</v>
      </c>
      <c r="E10" s="6" t="n">
        <v>283906163</v>
      </c>
    </row>
    <row r="11">
      <c r="A11" s="6" t="inlineStr">
        <is>
          <t>Debtors</t>
        </is>
      </c>
      <c r="B11" s="6" t="n">
        <v>98896502</v>
      </c>
      <c r="C11" s="6" t="n">
        <v>72654286</v>
      </c>
      <c r="D11" s="6" t="n">
        <v>72688706</v>
      </c>
      <c r="E11" s="6" t="n">
        <v>91540465</v>
      </c>
    </row>
    <row r="12">
      <c r="A12" s="6" t="inlineStr">
        <is>
          <t>Other assets</t>
        </is>
      </c>
      <c r="B12" s="6" t="n">
        <v>3279921</v>
      </c>
      <c r="C12" s="6" t="n">
        <v>2736048</v>
      </c>
      <c r="D12" s="6" t="n">
        <v>2345608</v>
      </c>
      <c r="E12" s="6" t="n">
        <v>2087890</v>
      </c>
    </row>
    <row r="13">
      <c r="A13" s="6" t="inlineStr">
        <is>
          <t>Investments in JPMorgan Chase undertakings</t>
        </is>
      </c>
      <c r="B13" s="6" t="n"/>
      <c r="C13" s="6" t="n"/>
      <c r="D13" s="6" t="n">
        <v>22</v>
      </c>
      <c r="E13" s="6" t="n">
        <v>721</v>
      </c>
    </row>
    <row r="14">
      <c r="A14" s="6" t="inlineStr">
        <is>
          <t>Tangible assets</t>
        </is>
      </c>
      <c r="B14" s="6" t="n">
        <v>2312</v>
      </c>
      <c r="C14" s="6" t="n">
        <v>2503</v>
      </c>
      <c r="D14" s="6" t="n">
        <v>2273</v>
      </c>
      <c r="E14" s="6" t="n">
        <v>2502</v>
      </c>
    </row>
    <row r="15">
      <c r="A15" s="5" t="inlineStr">
        <is>
          <t>Total assets</t>
        </is>
      </c>
      <c r="B15" s="5" t="n">
        <v>617849157</v>
      </c>
      <c r="C15" s="5" t="n">
        <v>557407933</v>
      </c>
      <c r="D15" s="5" t="n">
        <v>525094039</v>
      </c>
      <c r="E15" s="5" t="n">
        <v>581340377</v>
      </c>
    </row>
    <row r="16">
      <c r="A16" s="5" t="inlineStr">
        <is>
          <t>Liabilities</t>
        </is>
      </c>
      <c r="B16" s="6" t="n"/>
      <c r="C16" s="6" t="n"/>
      <c r="D16" s="6" t="n"/>
      <c r="E16" s="6" t="n"/>
    </row>
    <row r="17">
      <c r="A17" s="6" t="inlineStr">
        <is>
          <t>Securities sold under agreements to repurchase</t>
        </is>
      </c>
      <c r="B17" s="6" t="n">
        <v>92951425</v>
      </c>
      <c r="C17" s="6" t="n">
        <v>75432703</v>
      </c>
      <c r="D17" s="6" t="n">
        <v>51288976</v>
      </c>
      <c r="E17" s="6" t="n">
        <v>59671175</v>
      </c>
    </row>
    <row r="18">
      <c r="A18" s="6" t="inlineStr">
        <is>
          <t>Securities loaned</t>
        </is>
      </c>
      <c r="B18" s="6" t="n">
        <v>22968302</v>
      </c>
      <c r="C18" s="6" t="n">
        <v>12213079</v>
      </c>
      <c r="D18" s="6" t="n">
        <v>10273817</v>
      </c>
      <c r="E18" s="6" t="n">
        <v>11220160</v>
      </c>
    </row>
    <row r="19">
      <c r="A19" s="6" t="inlineStr">
        <is>
          <t>Financial liabilities at fair value through profit or loss</t>
        </is>
      </c>
      <c r="B19" s="6" t="n">
        <v>190896489</v>
      </c>
      <c r="C19" s="6" t="n">
        <v>186328926</v>
      </c>
      <c r="D19" s="6" t="n">
        <v>186553532</v>
      </c>
      <c r="E19" s="6" t="n">
        <v>226178579</v>
      </c>
    </row>
    <row r="20">
      <c r="A20" s="6" t="inlineStr">
        <is>
          <t>Financial liabilities designated at fair value through profit or loss</t>
        </is>
      </c>
      <c r="B20" s="6" t="n">
        <v>40380033</v>
      </c>
      <c r="C20" s="6" t="n">
        <v>30958390</v>
      </c>
      <c r="D20" s="6" t="n">
        <v>20016997</v>
      </c>
      <c r="E20" s="6" t="n">
        <v>18315716</v>
      </c>
    </row>
    <row r="21">
      <c r="A21" s="6" t="inlineStr">
        <is>
          <t>Trade creditors</t>
        </is>
      </c>
      <c r="B21" s="6" t="n">
        <v>63481872</v>
      </c>
      <c r="C21" s="6" t="n">
        <v>41033284</v>
      </c>
      <c r="D21" s="6" t="n">
        <v>47865168</v>
      </c>
      <c r="E21" s="6" t="n">
        <v>47142339</v>
      </c>
    </row>
    <row r="22">
      <c r="A22" s="6" t="inlineStr">
        <is>
          <t>Deposits from JPMorganChase undertakings</t>
        </is>
      </c>
      <c r="B22" s="6" t="n">
        <v>140817939</v>
      </c>
      <c r="C22" s="6" t="n">
        <v>142478256</v>
      </c>
      <c r="D22" s="6" t="n">
        <v>142110098</v>
      </c>
      <c r="E22" s="6" t="n">
        <v>144172082</v>
      </c>
    </row>
    <row r="23">
      <c r="A23" s="6" t="inlineStr">
        <is>
          <t>Other liabilities</t>
        </is>
      </c>
      <c r="B23" s="6" t="n">
        <v>21153184</v>
      </c>
      <c r="C23" s="6" t="n">
        <v>21645554</v>
      </c>
      <c r="D23" s="6" t="n">
        <v>21906453</v>
      </c>
      <c r="E23" s="6" t="n">
        <v>26290315</v>
      </c>
    </row>
    <row r="24">
      <c r="A24" s="6" t="inlineStr">
        <is>
          <t>Subordinated liabilities with JPMorganChase undertakings</t>
        </is>
      </c>
      <c r="B24" s="6" t="n">
        <v>8179655</v>
      </c>
      <c r="C24" s="6" t="n">
        <v>8789453</v>
      </c>
      <c r="D24" s="6" t="n">
        <v>8639648</v>
      </c>
      <c r="E24" s="6" t="n">
        <v>9919815</v>
      </c>
    </row>
    <row r="25">
      <c r="A25" s="5" t="inlineStr">
        <is>
          <t>Total liabilities</t>
        </is>
      </c>
      <c r="B25" s="5" t="n">
        <v>580828900</v>
      </c>
      <c r="C25" s="5" t="n">
        <v>518879645</v>
      </c>
      <c r="D25" s="5" t="n">
        <v>488654689</v>
      </c>
      <c r="E25" s="5" t="n">
        <v>542910179</v>
      </c>
    </row>
    <row r="26">
      <c r="A26" s="5" t="inlineStr">
        <is>
          <t>Equity</t>
        </is>
      </c>
      <c r="B26" s="6" t="n"/>
      <c r="C26" s="6" t="n"/>
      <c r="D26" s="6" t="n"/>
      <c r="E26" s="6" t="n"/>
    </row>
    <row r="27">
      <c r="A27" s="6" t="inlineStr">
        <is>
          <t>Called-up share capital</t>
        </is>
      </c>
      <c r="B27" s="6" t="n">
        <v>9253071</v>
      </c>
      <c r="C27" s="6" t="n">
        <v>9942893</v>
      </c>
      <c r="D27" s="6" t="n">
        <v>9773429</v>
      </c>
      <c r="E27" s="6" t="n">
        <v>10286459</v>
      </c>
    </row>
    <row r="28">
      <c r="A28" s="6" t="inlineStr">
        <is>
          <t>Share premium account</t>
        </is>
      </c>
      <c r="B28" s="6" t="n">
        <v>7399408</v>
      </c>
      <c r="C28" s="6" t="n">
        <v>7951038</v>
      </c>
      <c r="D28" s="6" t="n">
        <v>7815523</v>
      </c>
      <c r="E28" s="6" t="n">
        <v>8225778</v>
      </c>
    </row>
    <row r="29">
      <c r="A29" s="6" t="inlineStr">
        <is>
          <t>Other equity instruments</t>
        </is>
      </c>
      <c r="B29" s="6" t="n">
        <v>7436050</v>
      </c>
      <c r="C29" s="6" t="n">
        <v>7990412</v>
      </c>
      <c r="D29" s="6" t="n">
        <v>7854226</v>
      </c>
      <c r="E29" s="6" t="n">
        <v>4133256</v>
      </c>
    </row>
    <row r="30">
      <c r="A30" s="6" t="inlineStr">
        <is>
          <t>Capital redemption reserve</t>
        </is>
      </c>
      <c r="B30" s="6" t="n">
        <v>3715080</v>
      </c>
      <c r="C30" s="6" t="n">
        <v>3992042</v>
      </c>
      <c r="D30" s="6" t="n">
        <v>3924003</v>
      </c>
      <c r="E30" s="6" t="n">
        <v>4129983</v>
      </c>
    </row>
    <row r="31">
      <c r="A31" s="6" t="inlineStr">
        <is>
          <t>Other reserves</t>
        </is>
      </c>
      <c r="B31" s="6" t="n">
        <v>241341</v>
      </c>
      <c r="C31" s="6" t="n">
        <v>265169</v>
      </c>
      <c r="D31" s="6" t="n">
        <v>166317</v>
      </c>
      <c r="E31" s="6" t="n">
        <v>1396609</v>
      </c>
    </row>
    <row r="32">
      <c r="A32" s="6" t="inlineStr">
        <is>
          <t>Retained earnings</t>
        </is>
      </c>
      <c r="B32" s="6" t="n">
        <v>8975307</v>
      </c>
      <c r="C32" s="6" t="n">
        <v>8386735</v>
      </c>
      <c r="D32" s="6" t="n">
        <v>6905852</v>
      </c>
      <c r="E32" s="6" t="n">
        <v>10258112</v>
      </c>
    </row>
    <row r="33">
      <c r="A33" s="5" t="inlineStr">
        <is>
          <t>Total equity</t>
        </is>
      </c>
      <c r="B33" s="5" t="n">
        <v>37020257</v>
      </c>
      <c r="C33" s="5" t="n">
        <v>38528288</v>
      </c>
      <c r="D33" s="5" t="n">
        <v>36439350</v>
      </c>
      <c r="E33" s="5" t="n">
        <v>38430198</v>
      </c>
    </row>
    <row r="34">
      <c r="A34" s="5" t="inlineStr">
        <is>
          <t>Total liabilities and equity funds</t>
        </is>
      </c>
      <c r="B34" s="5" t="n">
        <v>617849157</v>
      </c>
      <c r="C34" s="5" t="n">
        <v>557407933</v>
      </c>
      <c r="D34" s="5" t="n">
        <v>525094039</v>
      </c>
      <c r="E34" s="5" t="n">
        <v>581340377</v>
      </c>
    </row>
    <row r="36" ht="377" customHeight="1">
      <c r="A36" s="8" t="inlineStr">
        <is>
          <t>Sources - J.P. Morgan Securities plc's own entity-level financial statements, published in the Company's own reporting currency (US$'000) and converted to £'000 here per the FX note at the end of this citation. Page references below are to the figures AS PUBLISHED, in dollars:
FY2025/FY2024: Annual Report 2025, Income statement p.57, Statement of comprehensive income p.58, Balance sheet p.59, Statement of changes in equity p.60, Notes 15-16 p.79-80 - https://find-and-update.company-information.service.gov.uk/company/02711006/filing-history/MzUxOTQxNzUzOGFkaXF6a2N4/document?format=pdf&amp;download=0
FY2023/FY2022: Annual Report 2023 (accounts made up to 31 December 2023), Income statement p.68, Statement of comprehensive income p.69, Balance sheet p.70, Statement of changes in equity p.71, Notes 15-16 p.90 - https://find-and-update.company-information.service.gov.uk/company/02711006/filing-history/MzQyMDg4NTQwMWFkaXF6a2N4/document?format=pdf&amp;download=0
FY2024's own originally-published figures (Annual Report 2024, made up to 31 December 2024) were cross-checked against AR2025's FY2024 comparative column and found identical (both show Profit for the financial year $2,596,449k) - https://find-and-update.company-information.service.gov.uk/company/02711006/filing-history/MzQ2NDE1MTk5OGFkaXF6a2N4/document?format=pdf&amp;download=0
FX CONVERSION: J.P. Morgan Securities plc reports in US Dollars (its functional and presentation currency - equity capital is held in USD per its own FX-risk-to-capital-ratio note). This workbook converts every $ amount to £ for consistency with the rest of this series, following the same methodology established for Zenith Bank (UK) / Credit Suisse International / Goldman Sachs International Bank / Gulf International Bank (UK): point-in-time figures (balance sheet lines, capital, RWA, leverage exposure, HQLA) use the Bank of England GBP/USD SPOT rate as at that fiscal year-end; flow figures (P&amp;L and other-comprehensive-income lines, equity movements) use the AVERAGE of Bank of England rates over that calendar year. Rates used (£1 = $X, the project's existing table): FY2021 spot 1.3521 / average 1.3752; FY2022 spot 1.2097 / average 1.2362; FY2023 spot 1.2732 / average 1.2439; FY2024 spot 1.2515 / average 1.2782; FY2025 spot 1.3448 / average 1.3193. %-ratios are dimensionless and shown exactly as reported, never converted. The KM1 Key Metrics sheet is the one deliberate exception to all of the above and stays in US$'mm exactly as published, because it reproduces a prescribed disclosure.
ROUNDING - READ THIS BEFORE FOOTING A COLUMN. Every row is converted from its OWN published dollar figure and rounded independently to whole £'000, so a printed total can differ from the sum of its printed components by £1k-£2k. That is rounding noise, not a transcription error: the largest such difference anywhere in this workbook is £2k against a £581bn total (under 2 parts per billion), and in dollars every one of these blocks foots exactly. No figure has been adjusted to make a column tie - the alternative would be to derive totals from the converted components instead of converting the bank's own published total, which would replace the Company's figure with ours. verify_workbook.py reports these as block reconciliation breaks; the same breaks appear for every GBP-converted bank in this project (Goldman Sachs International Bank, Credit Suisse International, Gulf International Bank (UK), UBA UK and the rest) for the same reason. On the Statement of Changes in Equity this means the roll-forward foots exactly when read through each year's 'Total comprehensive income' subtotal (the intended path, which the FX balancing row is computed against) and may be £1k out if read through that subtotal's individual profit and OCI component rows instead.
CONVERTED 2026-10-09. Before that date these statements were held in US$'000 while the Pillar 3 capital/RWA sheets were already GBP-converted - the only bank of the project's 14 FX reporters treated that way. Every figure below is derived programmatically from the USD originals transcribed in this script (which are unchanged); nothing was re-transcribed, and no GBP figure was taken from any document.</t>
        </is>
      </c>
    </row>
    <row r="38" ht="340" customHeight="1">
      <c r="A38" s="8" t="inlineStr">
        <is>
          <t>(continued)
STATEMENTS COVERAGE NOTE: Companies House's public filing history for this entity genuinely only begins 26 January 2024 (confirmed by paging through the full ~250-filing history) - only 3 Full Accounts filings exist (FY2023, FY2024, FY2025). FY2022's Balance Sheet/P&amp;L/Equity figures ARE available, as AR2023's own comparative column (checked in full detail, not just a closing total), but FY2021's are genuinely not - AR2023's equity statement opens at "1 January 2022" with no earlier detail, so FY2021's Balance Sheet, P&amp;L, Statement of Changes in Equity and Asset Quality are blank (not zero, not guessed) below. FY2021's Pillar 3 capital/RWA/leverage/LCR figures remain available via the standalone Pillar 3 archive (see the Pillar 3 sheets) and are unaffected by this gap.</t>
        </is>
      </c>
    </row>
  </sheetData>
  <mergeCells count="2">
    <mergeCell ref="A36:E36"/>
    <mergeCell ref="A38:E38"/>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34"/>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82" customWidth="1" min="1" max="1"/>
    <col width="15" customWidth="1" min="2" max="2"/>
    <col width="15" customWidth="1" min="3" max="3"/>
    <col width="15" customWidth="1" min="4" max="4"/>
    <col width="15" customWidth="1" min="5" max="5"/>
  </cols>
  <sheetData>
    <row r="1">
      <c r="A1" s="1" t="inlineStr">
        <is>
          <t>J.P. Morgan Securities plc — Profit &amp; Loss</t>
        </is>
      </c>
    </row>
    <row r="2">
      <c r="A2" s="2" t="inlineStr">
        <is>
          <t>Entity-level basis, £'000 — converted from the Company's own US$'000 at each year's Bank of England GBP/USD average rate, these being flow figures (see the FX note in the source citation). FY2021 blank - see source note.</t>
        </is>
      </c>
    </row>
    <row r="3">
      <c r="A3" s="4" t="inlineStr">
        <is>
          <t>Line item</t>
        </is>
      </c>
      <c r="B3" s="4" t="inlineStr">
        <is>
          <t>FY2025 (£'000)</t>
        </is>
      </c>
      <c r="C3" s="4" t="inlineStr">
        <is>
          <t>FY2024 (£'000)</t>
        </is>
      </c>
      <c r="D3" s="4" t="inlineStr">
        <is>
          <t>FY2023 (£'000)</t>
        </is>
      </c>
      <c r="E3" s="4" t="inlineStr">
        <is>
          <t>FY2022 (£'000)</t>
        </is>
      </c>
    </row>
    <row r="4">
      <c r="A4" s="5" t="inlineStr">
        <is>
          <t>Income</t>
        </is>
      </c>
      <c r="B4" s="6" t="n"/>
      <c r="C4" s="6" t="n"/>
      <c r="D4" s="6" t="n"/>
      <c r="E4" s="6" t="n"/>
    </row>
    <row r="5">
      <c r="A5" s="6" t="inlineStr">
        <is>
          <t>Interest and similar income</t>
        </is>
      </c>
      <c r="B5" s="6" t="n">
        <v>15978671</v>
      </c>
      <c r="C5" s="6" t="n">
        <v>15748253</v>
      </c>
      <c r="D5" s="6" t="n">
        <v>13087011</v>
      </c>
      <c r="E5" s="6" t="n">
        <v>5778482</v>
      </c>
    </row>
    <row r="6">
      <c r="A6" s="6" t="inlineStr">
        <is>
          <t>Interest expense and similar expense</t>
        </is>
      </c>
      <c r="B6" s="6" t="n">
        <v>-15887658</v>
      </c>
      <c r="C6" s="6" t="n">
        <v>-17171012</v>
      </c>
      <c r="D6" s="6" t="n">
        <v>-14569359</v>
      </c>
      <c r="E6" s="6" t="n">
        <v>-5794346</v>
      </c>
    </row>
    <row r="7">
      <c r="A7" s="5" t="inlineStr">
        <is>
          <t>Net interest income/(expense)</t>
        </is>
      </c>
      <c r="B7" s="5" t="n">
        <v>91013</v>
      </c>
      <c r="C7" s="5" t="n">
        <v>-1422759</v>
      </c>
      <c r="D7" s="5" t="n">
        <v>-1482348</v>
      </c>
      <c r="E7" s="5" t="n">
        <v>-15864</v>
      </c>
    </row>
    <row r="8">
      <c r="A8" s="6" t="inlineStr">
        <is>
          <t>Fee and commission income</t>
        </is>
      </c>
      <c r="B8" s="6" t="n">
        <v>2815860</v>
      </c>
      <c r="C8" s="6" t="n">
        <v>2665106</v>
      </c>
      <c r="D8" s="6" t="n">
        <v>2304927</v>
      </c>
      <c r="E8" s="6" t="n">
        <v>2300067</v>
      </c>
    </row>
    <row r="9">
      <c r="A9" s="6" t="inlineStr">
        <is>
          <t>Fee and commission expense</t>
        </is>
      </c>
      <c r="B9" s="6" t="n">
        <v>-1041148</v>
      </c>
      <c r="C9" s="6" t="n">
        <v>-1029907</v>
      </c>
      <c r="D9" s="6" t="n">
        <v>-1006549</v>
      </c>
      <c r="E9" s="6" t="n">
        <v>-1309132</v>
      </c>
    </row>
    <row r="10">
      <c r="A10" s="5" t="inlineStr">
        <is>
          <t>Net fee and commission income</t>
        </is>
      </c>
      <c r="B10" s="5" t="n">
        <v>1774712</v>
      </c>
      <c r="C10" s="5" t="n">
        <v>1635199</v>
      </c>
      <c r="D10" s="5" t="n">
        <v>1298378</v>
      </c>
      <c r="E10" s="5" t="n">
        <v>990935</v>
      </c>
    </row>
    <row r="11">
      <c r="A11" s="6" t="inlineStr">
        <is>
          <t>Trading profit</t>
        </is>
      </c>
      <c r="B11" s="6" t="n">
        <v>5376972</v>
      </c>
      <c r="C11" s="6" t="n">
        <v>6934215</v>
      </c>
      <c r="D11" s="6" t="n">
        <v>7070867</v>
      </c>
      <c r="E11" s="6" t="n">
        <v>5383567</v>
      </c>
    </row>
    <row r="12">
      <c r="A12" s="6" t="inlineStr">
        <is>
          <t>Dividend income</t>
        </is>
      </c>
      <c r="B12" s="6" t="n"/>
      <c r="C12" s="6" t="n"/>
      <c r="D12" s="6" t="n">
        <v>14</v>
      </c>
      <c r="E12" s="6" t="n"/>
    </row>
    <row r="13">
      <c r="A13" s="6" t="inlineStr">
        <is>
          <t>Expected credit loss (charge)/release</t>
        </is>
      </c>
      <c r="B13" s="6" t="n">
        <v>-9710</v>
      </c>
      <c r="C13" s="6" t="n">
        <v>7212</v>
      </c>
      <c r="D13" s="6" t="n">
        <v>-5079</v>
      </c>
      <c r="E13" s="6" t="n">
        <v>5079</v>
      </c>
    </row>
    <row r="14">
      <c r="A14" s="5" t="inlineStr">
        <is>
          <t>Net operating income</t>
        </is>
      </c>
      <c r="B14" s="5" t="n">
        <v>7232986</v>
      </c>
      <c r="C14" s="5" t="n">
        <v>7153866</v>
      </c>
      <c r="D14" s="5" t="n">
        <v>6881831</v>
      </c>
      <c r="E14" s="5" t="n">
        <v>6363717</v>
      </c>
    </row>
    <row r="15">
      <c r="A15" s="6" t="inlineStr">
        <is>
          <t>Administrative expenses</t>
        </is>
      </c>
      <c r="B15" s="6" t="n">
        <v>-4752573</v>
      </c>
      <c r="C15" s="6" t="n">
        <v>-4056255</v>
      </c>
      <c r="D15" s="6" t="n">
        <v>-4013860</v>
      </c>
      <c r="E15" s="6" t="n">
        <v>-3777457</v>
      </c>
    </row>
    <row r="16">
      <c r="A16" s="6" t="inlineStr">
        <is>
          <t>Other impairment</t>
        </is>
      </c>
      <c r="B16" s="6" t="n"/>
      <c r="C16" s="6" t="n">
        <v>-5</v>
      </c>
      <c r="D16" s="6" t="n"/>
      <c r="E16" s="6" t="n">
        <v>-143</v>
      </c>
    </row>
    <row r="17">
      <c r="A17" s="6" t="inlineStr">
        <is>
          <t>Other expenses</t>
        </is>
      </c>
      <c r="B17" s="6" t="n"/>
      <c r="C17" s="6" t="n">
        <v>-95838</v>
      </c>
      <c r="D17" s="6" t="n"/>
      <c r="E17" s="6" t="n"/>
    </row>
    <row r="18">
      <c r="A18" s="5" t="inlineStr">
        <is>
          <t>Total operating expenses (sum of the expense lines above - not itself a printed subtotal)</t>
        </is>
      </c>
      <c r="B18" s="5" t="n">
        <v>-4752573</v>
      </c>
      <c r="C18" s="5" t="n">
        <v>-4152097</v>
      </c>
      <c r="D18" s="5" t="n">
        <v>-4013860</v>
      </c>
      <c r="E18" s="5" t="n">
        <v>-3777600</v>
      </c>
    </row>
    <row r="19">
      <c r="A19" s="5" t="inlineStr">
        <is>
          <t>Profit before taxation</t>
        </is>
      </c>
      <c r="B19" s="5" t="n">
        <v>2480413</v>
      </c>
      <c r="C19" s="5" t="n">
        <v>3001769</v>
      </c>
      <c r="D19" s="5" t="n">
        <v>2867972</v>
      </c>
      <c r="E19" s="5" t="n">
        <v>2586117</v>
      </c>
    </row>
    <row r="20">
      <c r="A20" s="6" t="inlineStr">
        <is>
          <t>Tax on profit</t>
        </is>
      </c>
      <c r="B20" s="6" t="n">
        <v>-703654</v>
      </c>
      <c r="C20" s="6" t="n">
        <v>-970437</v>
      </c>
      <c r="D20" s="6" t="n">
        <v>-795319</v>
      </c>
      <c r="E20" s="6" t="n">
        <v>-606922</v>
      </c>
    </row>
    <row r="21">
      <c r="A21" s="5" t="inlineStr">
        <is>
          <t>Profit for the financial year</t>
        </is>
      </c>
      <c r="B21" s="5" t="n">
        <v>1776759</v>
      </c>
      <c r="C21" s="5" t="n">
        <v>2031332</v>
      </c>
      <c r="D21" s="5" t="n">
        <v>2072653</v>
      </c>
      <c r="E21" s="5" t="n">
        <v>1979195</v>
      </c>
    </row>
    <row r="22">
      <c r="A22" s="5" t="inlineStr">
        <is>
          <t>Other comprehensive income/(expense)</t>
        </is>
      </c>
      <c r="B22" s="6" t="n"/>
      <c r="C22" s="6" t="n"/>
      <c r="D22" s="6" t="n"/>
      <c r="E22" s="6" t="n"/>
    </row>
    <row r="23">
      <c r="A23" s="6" t="inlineStr">
        <is>
          <t>Actuarial (loss)/gain on pension schemes</t>
        </is>
      </c>
      <c r="B23" s="6" t="n">
        <v>-5130</v>
      </c>
      <c r="C23" s="6" t="n">
        <v>12660</v>
      </c>
      <c r="D23" s="6" t="n">
        <v>-4290</v>
      </c>
      <c r="E23" s="6" t="n">
        <v>77968</v>
      </c>
    </row>
    <row r="24">
      <c r="A24" s="6" t="inlineStr">
        <is>
          <t>Tax effect of movement in pension reserve</t>
        </is>
      </c>
      <c r="B24" s="6" t="n">
        <v>1437</v>
      </c>
      <c r="C24" s="6" t="n">
        <v>-6289</v>
      </c>
      <c r="D24" s="6" t="n">
        <v>2506</v>
      </c>
      <c r="E24" s="6" t="n">
        <v>-23774</v>
      </c>
    </row>
    <row r="25">
      <c r="A25" s="6" t="inlineStr">
        <is>
          <t>Movement attributed to own credit risk on financial liabilities designated at FVTPL</t>
        </is>
      </c>
      <c r="B25" s="6" t="n">
        <v>-39275</v>
      </c>
      <c r="C25" s="6" t="n">
        <v>34353</v>
      </c>
      <c r="D25" s="6" t="n">
        <v>-7842</v>
      </c>
      <c r="E25" s="6" t="n">
        <v>29579</v>
      </c>
    </row>
    <row r="26">
      <c r="A26" s="6" t="inlineStr">
        <is>
          <t>Fair value movement on loans at FVOCI</t>
        </is>
      </c>
      <c r="B26" s="6" t="n">
        <v>-2216</v>
      </c>
      <c r="C26" s="6" t="n">
        <v>1850</v>
      </c>
      <c r="D26" s="6" t="n">
        <v>-4729</v>
      </c>
      <c r="E26" s="6" t="n">
        <v>-2707</v>
      </c>
    </row>
    <row r="27">
      <c r="A27" s="6" t="inlineStr">
        <is>
          <t>Movement in ECL on loans at FVOCI</t>
        </is>
      </c>
      <c r="B27" s="6" t="n">
        <v>2582</v>
      </c>
      <c r="C27" s="6" t="n">
        <v>-5285</v>
      </c>
      <c r="D27" s="6" t="n">
        <v>-7095</v>
      </c>
      <c r="E27" s="6" t="n">
        <v>-523</v>
      </c>
    </row>
    <row r="28">
      <c r="A28" s="6" t="inlineStr">
        <is>
          <t>Tax effect on loans at FVOCI</t>
        </is>
      </c>
      <c r="B28" s="6" t="n">
        <v>-127</v>
      </c>
      <c r="C28" s="6" t="n">
        <v>-1027</v>
      </c>
      <c r="D28" s="6" t="n">
        <v>523</v>
      </c>
      <c r="E28" s="6" t="n">
        <v>1704</v>
      </c>
    </row>
    <row r="29">
      <c r="A29" s="5" t="inlineStr">
        <is>
          <t>Total other comprehensive (expense)/income</t>
        </is>
      </c>
      <c r="B29" s="5" t="n">
        <v>-42728</v>
      </c>
      <c r="C29" s="5" t="n">
        <v>36263</v>
      </c>
      <c r="D29" s="5" t="n">
        <v>-20928</v>
      </c>
      <c r="E29" s="5" t="n">
        <v>82246</v>
      </c>
    </row>
    <row r="30">
      <c r="A30" s="5" t="inlineStr">
        <is>
          <t>Total comprehensive income for the year</t>
        </is>
      </c>
      <c r="B30" s="5" t="n">
        <v>1734031</v>
      </c>
      <c r="C30" s="5" t="n">
        <v>2067595</v>
      </c>
      <c r="D30" s="5" t="n">
        <v>2051725</v>
      </c>
      <c r="E30" s="5" t="n">
        <v>2061442</v>
      </c>
    </row>
    <row r="32" ht="364" customHeight="1">
      <c r="A32" s="8" t="inlineStr">
        <is>
          <t>Sources - J.P. Morgan Securities plc's own entity-level financial statements, published in the Company's own reporting currency (US$'000) and converted to £'000 here per the FX note at the end of this citation. Page references below are to the figures AS PUBLISHED, in dollars:
FY2025/FY2024: Annual Report 2025, Income statement p.57, Statement of comprehensive income p.58, Balance sheet p.59, Statement of changes in equity p.60, Notes 15-16 p.79-80 - https://find-and-update.company-information.service.gov.uk/company/02711006/filing-history/MzUxOTQxNzUzOGFkaXF6a2N4/document?format=pdf&amp;download=0
FY2023/FY2022: Annual Report 2023 (accounts made up to 31 December 2023), Income statement p.68, Statement of comprehensive income p.69, Balance sheet p.70, Statement of changes in equity p.71, Notes 15-16 p.90 - https://find-and-update.company-information.service.gov.uk/company/02711006/filing-history/MzQyMDg4NTQwMWFkaXF6a2N4/document?format=pdf&amp;download=0
FY2024's own originally-published figures (Annual Report 2024, made up to 31 December 2024) were cross-checked against AR2025's FY2024 comparative column and found identical (both show Profit for the financial year $2,596,449k) - https://find-and-update.company-information.service.gov.uk/company/02711006/filing-history/MzQ2NDE1MTk5OGFkaXF6a2N4/document?format=pdf&amp;download=0
FX CONVERSION: J.P. Morgan Securities plc reports in US Dollars (its functional and presentation currency - equity capital is held in USD per its own FX-risk-to-capital-ratio note). This workbook converts every $ amount to £ for consistency with the rest of this series, following the same methodology established for Zenith Bank (UK) / Credit Suisse International / Goldman Sachs International Bank / Gulf International Bank (UK): point-in-time figures (balance sheet lines, capital, RWA, leverage exposure, HQLA) use the Bank of England GBP/USD SPOT rate as at that fiscal year-end; flow figures (P&amp;L and other-comprehensive-income lines, equity movements) use the AVERAGE of Bank of England rates over that calendar year. Rates used (£1 = $X, the project's existing table): FY2021 spot 1.3521 / average 1.3752; FY2022 spot 1.2097 / average 1.2362; FY2023 spot 1.2732 / average 1.2439; FY2024 spot 1.2515 / average 1.2782; FY2025 spot 1.3448 / average 1.3193. %-ratios are dimensionless and shown exactly as reported, never converted. The KM1 Key Metrics sheet is the one deliberate exception to all of the above and stays in US$'mm exactly as published, because it reproduces a prescribed disclosure.
ROUNDING - READ THIS BEFORE FOOTING A COLUMN. Every row is converted from its OWN published dollar figure and rounded independently to whole £'000, so a printed total can differ from the sum of its printed components by £1k-£2k. That is rounding noise, not a transcription error: the largest such difference anywhere in this workbook is £2k against a £581bn total (under 2 parts per billion), and in dollars every one of these blocks foots exactly. No figure has been adjusted to make a column tie - the alternative would be to derive totals from the converted components instead of converting the bank's own published total, which would replace the Company's figure with ours. verify_workbook.py reports these as block reconciliation breaks; the same breaks appear for every GBP-converted bank in this project (Goldman Sachs International Bank, Credit Suisse International, Gulf International Bank (UK), UBA UK and the rest) for the same reason. On the Statement of Changes in Equity this means the roll-forward foots exactly when read through each year's 'Total comprehensive income' subtotal (the intended path, which the FX balancing row is computed against) and may be £1k out if read through that subtotal's individual profit and OCI component rows instead.
CONVERTED 2026-10-09. Before that date these statements were held in US$'000 while the Pillar 3 capital/RWA sheets were already GBP-converted - the only bank of the project's 14 FX reporters treated that way. Every figure below is derived programmatically from the USD originals transcribed in this script (which are unchanged); nothing was re-transcribed, and no GBP figure was taken from any document.</t>
        </is>
      </c>
    </row>
    <row r="34" ht="340" customHeight="1">
      <c r="A34" s="8" t="inlineStr">
        <is>
          <t>(continued)
STATEMENTS COVERAGE NOTE: Companies House's public filing history for this entity genuinely only begins 26 January 2024 (confirmed by paging through the full ~250-filing history) - only 3 Full Accounts filings exist (FY2023, FY2024, FY2025). FY2022's Balance Sheet/P&amp;L/Equity figures ARE available, as AR2023's own comparative column (checked in full detail, not just a closing total), but FY2021's are genuinely not - AR2023's equity statement opens at "1 January 2022" with no earlier detail, so FY2021's Balance Sheet, P&amp;L, Statement of Changes in Equity and Asset Quality are blank (not zero, not guessed) below. FY2021's Pillar 3 capital/RWA/leverage/LCR figures remain available via the standalone Pillar 3 archive (see the Pillar 3 sheets) and are unaffected by this gap.</t>
        </is>
      </c>
    </row>
  </sheetData>
  <mergeCells count="2">
    <mergeCell ref="A34:E34"/>
    <mergeCell ref="A32:E3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71"/>
  <sheetViews>
    <sheetView workbookViewId="0">
      <pane ySplit="4" topLeftCell="A5" activePane="bottomLeft" state="frozen"/>
      <selection pane="bottomLeft" activeCell="A1" sqref="A1"/>
    </sheetView>
  </sheetViews>
  <sheetFormatPr baseColWidth="8" defaultRowHeight="15"/>
  <cols>
    <col width="64"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s>
  <sheetData>
    <row r="1">
      <c r="A1" s="1" t="inlineStr">
        <is>
          <t>J.P. Morgan Securities plc — Statement of Changes in Equity</t>
        </is>
      </c>
    </row>
    <row r="2">
      <c r="A2" s="2" t="inlineStr">
        <is>
          <t>Entity-level basis, £'000 — converted from the Company's own US$'000: balances at their own date's spot rate, movements at that year's average rate, with an explicit FX-translation balancing row each year (see the FX note in the source citation). Chronological roll-forward, 1 January 2022 to 31 December 2025 - the earliest opening balance publicly available (see source note). Reconciliation ladder confirmed: every closing balance ties exactly to both the next year's own opening balance and that year's own Balance Sheet Total equity - zero plug rows needed anywhere. "Capital contribution reserve" was fully applied against dividends in FY2023 and doesn't reappear from FY2024 onward, matching the Company's own later statements dropping that column.</t>
        </is>
      </c>
    </row>
    <row r="3">
      <c r="A3" s="4" t="inlineStr">
        <is>
          <t>Movement</t>
        </is>
      </c>
      <c r="B3" s="4" t="inlineStr">
        <is>
          <t>Called-up share capital</t>
        </is>
      </c>
      <c r="C3" s="4" t="inlineStr">
        <is>
          <t>Share premium account</t>
        </is>
      </c>
      <c r="D3" s="4" t="inlineStr">
        <is>
          <t>Other equity instruments</t>
        </is>
      </c>
      <c r="E3" s="4" t="inlineStr">
        <is>
          <t>Capital redemption reserve</t>
        </is>
      </c>
      <c r="F3" s="4" t="inlineStr">
        <is>
          <t>Capital contribution reserve</t>
        </is>
      </c>
      <c r="G3" s="4" t="inlineStr">
        <is>
          <t>Pension reserve</t>
        </is>
      </c>
      <c r="H3" s="4" t="inlineStr">
        <is>
          <t>Other reserves</t>
        </is>
      </c>
      <c r="I3" s="4" t="inlineStr">
        <is>
          <t>Retained earnings</t>
        </is>
      </c>
      <c r="J3" s="4" t="inlineStr">
        <is>
          <t>Total equity</t>
        </is>
      </c>
    </row>
    <row r="4">
      <c r="A4" s="5" t="inlineStr">
        <is>
          <t>Balance as at 1 January 2022</t>
        </is>
      </c>
      <c r="B4" s="5" t="n">
        <v>9203114</v>
      </c>
      <c r="C4" s="5" t="n">
        <v>7359459</v>
      </c>
      <c r="D4" s="5" t="n"/>
      <c r="E4" s="5" t="n">
        <v>3695023</v>
      </c>
      <c r="F4" s="5" t="n">
        <v>1174924</v>
      </c>
      <c r="G4" s="5" t="n">
        <v>5084</v>
      </c>
      <c r="H4" s="5" t="n">
        <v>20300</v>
      </c>
      <c r="I4" s="5" t="n">
        <v>12915137</v>
      </c>
      <c r="J4" s="5" t="n">
        <v>34373040</v>
      </c>
    </row>
    <row r="5">
      <c r="A5" s="6" t="inlineStr">
        <is>
          <t>Profit for the financial year</t>
        </is>
      </c>
      <c r="B5" s="6" t="n"/>
      <c r="C5" s="6" t="n"/>
      <c r="D5" s="6" t="n"/>
      <c r="E5" s="6" t="n"/>
      <c r="F5" s="6" t="n"/>
      <c r="G5" s="6" t="n"/>
      <c r="H5" s="6" t="n"/>
      <c r="I5" s="6" t="n">
        <v>1979195</v>
      </c>
      <c r="J5" s="6" t="n">
        <v>1979195</v>
      </c>
    </row>
    <row r="6">
      <c r="A6" s="6" t="inlineStr">
        <is>
          <t>Gain related to own credit risk on financial liabilities designated at FVTPL</t>
        </is>
      </c>
      <c r="B6" s="6" t="n"/>
      <c r="C6" s="6" t="n"/>
      <c r="D6" s="6" t="n"/>
      <c r="E6" s="6" t="n"/>
      <c r="F6" s="6" t="n"/>
      <c r="G6" s="6" t="n"/>
      <c r="H6" s="6" t="n">
        <v>29579</v>
      </c>
      <c r="I6" s="6" t="n"/>
      <c r="J6" s="6" t="n">
        <v>29579</v>
      </c>
    </row>
    <row r="7">
      <c r="A7" s="6" t="inlineStr">
        <is>
          <t>Movement in fair value of loans at FVOCI</t>
        </is>
      </c>
      <c r="B7" s="6" t="n"/>
      <c r="C7" s="6" t="n"/>
      <c r="D7" s="6" t="n"/>
      <c r="E7" s="6" t="n"/>
      <c r="F7" s="6" t="n"/>
      <c r="G7" s="6" t="n"/>
      <c r="H7" s="6" t="n">
        <v>-2707</v>
      </c>
      <c r="I7" s="6" t="n"/>
      <c r="J7" s="6" t="n">
        <v>-2707</v>
      </c>
    </row>
    <row r="8">
      <c r="A8" s="6" t="inlineStr">
        <is>
          <t>Movement in ECL on loans at FVOCI</t>
        </is>
      </c>
      <c r="B8" s="6" t="n"/>
      <c r="C8" s="6" t="n"/>
      <c r="D8" s="6" t="n"/>
      <c r="E8" s="6" t="n"/>
      <c r="F8" s="6" t="n"/>
      <c r="G8" s="6" t="n"/>
      <c r="H8" s="6" t="n">
        <v>-523</v>
      </c>
      <c r="I8" s="6" t="n"/>
      <c r="J8" s="6" t="n">
        <v>-523</v>
      </c>
    </row>
    <row r="9">
      <c r="A9" s="6" t="inlineStr">
        <is>
          <t>Actuarial gain on pension schemes</t>
        </is>
      </c>
      <c r="B9" s="6" t="n"/>
      <c r="C9" s="6" t="n"/>
      <c r="D9" s="6" t="n"/>
      <c r="E9" s="6" t="n"/>
      <c r="F9" s="6" t="n"/>
      <c r="G9" s="6" t="n">
        <v>77968</v>
      </c>
      <c r="H9" s="6" t="n"/>
      <c r="I9" s="6" t="n"/>
      <c r="J9" s="6" t="n">
        <v>77968</v>
      </c>
    </row>
    <row r="10">
      <c r="A10" s="6" t="inlineStr">
        <is>
          <t>Tax effect on loans at FVOCI</t>
        </is>
      </c>
      <c r="B10" s="6" t="n"/>
      <c r="C10" s="6" t="n"/>
      <c r="D10" s="6" t="n"/>
      <c r="E10" s="6" t="n"/>
      <c r="F10" s="6" t="n"/>
      <c r="G10" s="6" t="n"/>
      <c r="H10" s="6" t="n">
        <v>1704</v>
      </c>
      <c r="I10" s="6" t="n"/>
      <c r="J10" s="6" t="n">
        <v>1704</v>
      </c>
    </row>
    <row r="11">
      <c r="A11" s="6" t="inlineStr">
        <is>
          <t>Tax effect on movement in pension reserve</t>
        </is>
      </c>
      <c r="B11" s="6" t="n"/>
      <c r="C11" s="6" t="n"/>
      <c r="D11" s="6" t="n"/>
      <c r="E11" s="6" t="n"/>
      <c r="F11" s="6" t="n"/>
      <c r="G11" s="6" t="n">
        <v>-23774</v>
      </c>
      <c r="H11" s="6" t="n"/>
      <c r="I11" s="6" t="n"/>
      <c r="J11" s="6" t="n">
        <v>-23774</v>
      </c>
    </row>
    <row r="12">
      <c r="A12" s="5" t="inlineStr">
        <is>
          <t>Total comprehensive income for the year</t>
        </is>
      </c>
      <c r="B12" s="5" t="n"/>
      <c r="C12" s="5" t="n"/>
      <c r="D12" s="5" t="n"/>
      <c r="E12" s="5" t="n"/>
      <c r="F12" s="5" t="n"/>
      <c r="G12" s="5" t="n">
        <v>54194</v>
      </c>
      <c r="H12" s="5" t="n">
        <v>28052</v>
      </c>
      <c r="I12" s="5" t="n">
        <v>1979195</v>
      </c>
      <c r="J12" s="5" t="n">
        <v>2061442</v>
      </c>
    </row>
    <row r="13">
      <c r="A13" s="6" t="inlineStr">
        <is>
          <t>Additional Tier 1 notes issuance during the year</t>
        </is>
      </c>
      <c r="B13" s="6" t="n"/>
      <c r="C13" s="6" t="n"/>
      <c r="D13" s="6" t="n">
        <v>4044653</v>
      </c>
      <c r="E13" s="6" t="n"/>
      <c r="F13" s="6" t="n"/>
      <c r="G13" s="6" t="n"/>
      <c r="H13" s="6" t="n"/>
      <c r="I13" s="6" t="n"/>
      <c r="J13" s="6" t="n">
        <v>4044653</v>
      </c>
    </row>
    <row r="14">
      <c r="A14" s="6" t="inlineStr">
        <is>
          <t>Group share-based payment costs</t>
        </is>
      </c>
      <c r="B14" s="6" t="n"/>
      <c r="C14" s="6" t="n"/>
      <c r="D14" s="6" t="n"/>
      <c r="E14" s="6" t="n"/>
      <c r="F14" s="6" t="n"/>
      <c r="G14" s="6" t="n"/>
      <c r="H14" s="6" t="n">
        <v>255887</v>
      </c>
      <c r="I14" s="6" t="n"/>
      <c r="J14" s="6" t="n">
        <v>255887</v>
      </c>
    </row>
    <row r="15">
      <c r="A15" s="6" t="inlineStr">
        <is>
          <t>Group share-based payment costs recharged</t>
        </is>
      </c>
      <c r="B15" s="6" t="n"/>
      <c r="C15" s="6" t="n"/>
      <c r="D15" s="6" t="n"/>
      <c r="E15" s="6" t="n"/>
      <c r="F15" s="6" t="n"/>
      <c r="G15" s="6" t="n"/>
      <c r="H15" s="6" t="n">
        <v>-255887</v>
      </c>
      <c r="I15" s="6" t="n"/>
      <c r="J15" s="6" t="n">
        <v>-255887</v>
      </c>
    </row>
    <row r="16">
      <c r="A16" s="6" t="inlineStr">
        <is>
          <t>Tax effect on share-based payments</t>
        </is>
      </c>
      <c r="B16" s="6" t="n"/>
      <c r="C16" s="6" t="n"/>
      <c r="D16" s="6" t="n"/>
      <c r="E16" s="6" t="n"/>
      <c r="F16" s="6" t="n"/>
      <c r="G16" s="6" t="n"/>
      <c r="H16" s="6" t="n">
        <v>-33910</v>
      </c>
      <c r="I16" s="6" t="n"/>
      <c r="J16" s="6" t="n">
        <v>-33910</v>
      </c>
    </row>
    <row r="17">
      <c r="A17" s="6" t="inlineStr">
        <is>
          <t>Dividends paid</t>
        </is>
      </c>
      <c r="B17" s="6" t="n"/>
      <c r="C17" s="6" t="n"/>
      <c r="D17" s="6" t="n"/>
      <c r="E17" s="6" t="n"/>
      <c r="F17" s="6" t="n"/>
      <c r="G17" s="6" t="n"/>
      <c r="H17" s="6" t="n"/>
      <c r="I17" s="6" t="n">
        <v>-6066979</v>
      </c>
      <c r="J17" s="6" t="n">
        <v>-6066979</v>
      </c>
    </row>
    <row r="18">
      <c r="A18" s="6" t="inlineStr">
        <is>
          <t>Movement in other reserves</t>
        </is>
      </c>
      <c r="B18" s="6" t="n"/>
      <c r="C18" s="6" t="n"/>
      <c r="D18" s="6" t="n"/>
      <c r="E18" s="6" t="n"/>
      <c r="F18" s="6" t="n"/>
      <c r="G18" s="6" t="n"/>
      <c r="H18" s="6" t="n">
        <v>5491</v>
      </c>
      <c r="I18" s="6" t="n"/>
      <c r="J18" s="6" t="n">
        <v>5491</v>
      </c>
    </row>
    <row r="19">
      <c r="A19" s="6" t="inlineStr">
        <is>
          <t>FX translation effect on equity, net (balancing figure - see source note)</t>
        </is>
      </c>
      <c r="B19" s="6" t="n"/>
      <c r="C19" s="6" t="n"/>
      <c r="D19" s="6" t="n"/>
      <c r="E19" s="6" t="n"/>
      <c r="F19" s="6" t="n"/>
      <c r="G19" s="6" t="n"/>
      <c r="H19" s="6" t="n"/>
      <c r="I19" s="6" t="n"/>
      <c r="J19" s="6" t="n">
        <v>4046461</v>
      </c>
    </row>
    <row r="20">
      <c r="A20" s="5" t="inlineStr">
        <is>
          <t>Balance as at 31 December 2022 (ties to Balance Sheet's own FY2022 Total equity)</t>
        </is>
      </c>
      <c r="B20" s="5" t="n">
        <v>10286459</v>
      </c>
      <c r="C20" s="5" t="n">
        <v>8225778</v>
      </c>
      <c r="D20" s="5" t="n">
        <v>4133256</v>
      </c>
      <c r="E20" s="5" t="n">
        <v>4129983</v>
      </c>
      <c r="F20" s="5" t="n">
        <v>1313231</v>
      </c>
      <c r="G20" s="5" t="n">
        <v>61064</v>
      </c>
      <c r="H20" s="5" t="n">
        <v>22315</v>
      </c>
      <c r="I20" s="5" t="n">
        <v>10258112</v>
      </c>
      <c r="J20" s="5" t="n">
        <v>38430198</v>
      </c>
    </row>
    <row r="21">
      <c r="A21" s="6" t="inlineStr">
        <is>
          <t>Profit for the financial year</t>
        </is>
      </c>
      <c r="B21" s="6" t="n"/>
      <c r="C21" s="6" t="n"/>
      <c r="D21" s="6" t="n"/>
      <c r="E21" s="6" t="n"/>
      <c r="F21" s="6" t="n"/>
      <c r="G21" s="6" t="n"/>
      <c r="H21" s="6" t="n"/>
      <c r="I21" s="6" t="n">
        <v>2072653</v>
      </c>
      <c r="J21" s="6" t="n">
        <v>2072653</v>
      </c>
    </row>
    <row r="22">
      <c r="A22" s="6" t="inlineStr">
        <is>
          <t>Loss related to own credit risk on financial liabilities designated at FVTPL</t>
        </is>
      </c>
      <c r="B22" s="6" t="n"/>
      <c r="C22" s="6" t="n"/>
      <c r="D22" s="6" t="n"/>
      <c r="E22" s="6" t="n"/>
      <c r="F22" s="6" t="n"/>
      <c r="G22" s="6" t="n"/>
      <c r="H22" s="6" t="n">
        <v>-7842</v>
      </c>
      <c r="I22" s="6" t="n"/>
      <c r="J22" s="6" t="n">
        <v>-7842</v>
      </c>
    </row>
    <row r="23">
      <c r="A23" s="6" t="inlineStr">
        <is>
          <t>Movement in fair value of loans at FVOCI</t>
        </is>
      </c>
      <c r="B23" s="6" t="n"/>
      <c r="C23" s="6" t="n"/>
      <c r="D23" s="6" t="n"/>
      <c r="E23" s="6" t="n"/>
      <c r="F23" s="6" t="n"/>
      <c r="G23" s="6" t="n"/>
      <c r="H23" s="6" t="n">
        <v>-4729</v>
      </c>
      <c r="I23" s="6" t="n"/>
      <c r="J23" s="6" t="n">
        <v>-4729</v>
      </c>
    </row>
    <row r="24">
      <c r="A24" s="6" t="inlineStr">
        <is>
          <t>Movement in ECL on loans at FVOCI</t>
        </is>
      </c>
      <c r="B24" s="6" t="n"/>
      <c r="C24" s="6" t="n"/>
      <c r="D24" s="6" t="n"/>
      <c r="E24" s="6" t="n"/>
      <c r="F24" s="6" t="n"/>
      <c r="G24" s="6" t="n"/>
      <c r="H24" s="6" t="n">
        <v>-7095</v>
      </c>
      <c r="I24" s="6" t="n"/>
      <c r="J24" s="6" t="n">
        <v>-7095</v>
      </c>
    </row>
    <row r="25">
      <c r="A25" s="6" t="inlineStr">
        <is>
          <t>Actuarial (loss)/gain on pension schemes</t>
        </is>
      </c>
      <c r="B25" s="6" t="n"/>
      <c r="C25" s="6" t="n"/>
      <c r="D25" s="6" t="n"/>
      <c r="E25" s="6" t="n"/>
      <c r="F25" s="6" t="n"/>
      <c r="G25" s="6" t="n">
        <v>-4290</v>
      </c>
      <c r="H25" s="6" t="n"/>
      <c r="I25" s="6" t="n"/>
      <c r="J25" s="6" t="n">
        <v>-4290</v>
      </c>
    </row>
    <row r="26">
      <c r="A26" s="6" t="inlineStr">
        <is>
          <t>Tax effect on loans at FVOCI</t>
        </is>
      </c>
      <c r="B26" s="6" t="n"/>
      <c r="C26" s="6" t="n"/>
      <c r="D26" s="6" t="n"/>
      <c r="E26" s="6" t="n"/>
      <c r="F26" s="6" t="n"/>
      <c r="G26" s="6" t="n"/>
      <c r="H26" s="6" t="n">
        <v>523</v>
      </c>
      <c r="I26" s="6" t="n"/>
      <c r="J26" s="6" t="n">
        <v>523</v>
      </c>
    </row>
    <row r="27">
      <c r="A27" s="6" t="inlineStr">
        <is>
          <t>Tax effect on movement in pension reserve</t>
        </is>
      </c>
      <c r="B27" s="6" t="n"/>
      <c r="C27" s="6" t="n"/>
      <c r="D27" s="6" t="n"/>
      <c r="E27" s="6" t="n"/>
      <c r="F27" s="6" t="n"/>
      <c r="G27" s="6" t="n">
        <v>2506</v>
      </c>
      <c r="H27" s="6" t="n"/>
      <c r="I27" s="6" t="n"/>
      <c r="J27" s="6" t="n">
        <v>2506</v>
      </c>
    </row>
    <row r="28">
      <c r="A28" s="5" t="inlineStr">
        <is>
          <t>Total comprehensive income/(expense) for the year</t>
        </is>
      </c>
      <c r="B28" s="5" t="n"/>
      <c r="C28" s="5" t="n"/>
      <c r="D28" s="5" t="n"/>
      <c r="E28" s="5" t="n"/>
      <c r="F28" s="5" t="n"/>
      <c r="G28" s="5" t="n">
        <v>-1784</v>
      </c>
      <c r="H28" s="5" t="n">
        <v>-19144</v>
      </c>
      <c r="I28" s="5" t="n">
        <v>2072653</v>
      </c>
      <c r="J28" s="5" t="n">
        <v>2051725</v>
      </c>
    </row>
    <row r="29">
      <c r="A29" s="6" t="inlineStr">
        <is>
          <t>Additional Tier 1 notes issuance during the year</t>
        </is>
      </c>
      <c r="B29" s="6" t="n"/>
      <c r="C29" s="6" t="n"/>
      <c r="D29" s="6" t="n">
        <v>4019616</v>
      </c>
      <c r="E29" s="6" t="n"/>
      <c r="F29" s="6" t="n"/>
      <c r="G29" s="6" t="n"/>
      <c r="H29" s="6" t="n"/>
      <c r="I29" s="6" t="n"/>
      <c r="J29" s="6" t="n">
        <v>4019616</v>
      </c>
    </row>
    <row r="30">
      <c r="A30" s="6" t="inlineStr">
        <is>
          <t>Additional Tier 1 interest</t>
        </is>
      </c>
      <c r="B30" s="6" t="n"/>
      <c r="C30" s="6" t="n"/>
      <c r="D30" s="6" t="n"/>
      <c r="E30" s="6" t="n"/>
      <c r="F30" s="6" t="n"/>
      <c r="G30" s="6" t="n"/>
      <c r="H30" s="6" t="n"/>
      <c r="I30" s="6" t="n">
        <v>-629870</v>
      </c>
      <c r="J30" s="6" t="n">
        <v>-629870</v>
      </c>
    </row>
    <row r="31">
      <c r="A31" s="6" t="inlineStr">
        <is>
          <t>Group share-based payment costs</t>
        </is>
      </c>
      <c r="B31" s="6" t="n"/>
      <c r="C31" s="6" t="n"/>
      <c r="D31" s="6" t="n"/>
      <c r="E31" s="6" t="n"/>
      <c r="F31" s="6" t="n"/>
      <c r="G31" s="6" t="n"/>
      <c r="H31" s="6" t="n">
        <v>269375</v>
      </c>
      <c r="I31" s="6" t="n"/>
      <c r="J31" s="6" t="n">
        <v>269375</v>
      </c>
    </row>
    <row r="32">
      <c r="A32" s="6" t="inlineStr">
        <is>
          <t>Group share-based payment costs recharged</t>
        </is>
      </c>
      <c r="B32" s="6" t="n"/>
      <c r="C32" s="6" t="n"/>
      <c r="D32" s="6" t="n"/>
      <c r="E32" s="6" t="n"/>
      <c r="F32" s="6" t="n"/>
      <c r="G32" s="6" t="n"/>
      <c r="H32" s="6" t="n">
        <v>-269375</v>
      </c>
      <c r="I32" s="6" t="n"/>
      <c r="J32" s="6" t="n">
        <v>-269375</v>
      </c>
    </row>
    <row r="33">
      <c r="A33" s="6" t="inlineStr">
        <is>
          <t>Tax effect on share-based payments</t>
        </is>
      </c>
      <c r="B33" s="6" t="n"/>
      <c r="C33" s="6" t="n"/>
      <c r="D33" s="6" t="n"/>
      <c r="E33" s="6" t="n"/>
      <c r="F33" s="6" t="n"/>
      <c r="G33" s="6" t="n"/>
      <c r="H33" s="6" t="n">
        <v>36931</v>
      </c>
      <c r="I33" s="6" t="n"/>
      <c r="J33" s="6" t="n">
        <v>36931</v>
      </c>
    </row>
    <row r="34">
      <c r="A34" s="6" t="inlineStr">
        <is>
          <t>Dividends paid</t>
        </is>
      </c>
      <c r="B34" s="6" t="n"/>
      <c r="C34" s="6" t="n"/>
      <c r="D34" s="6" t="n"/>
      <c r="E34" s="6" t="n"/>
      <c r="F34" s="6" t="n">
        <v>-1277124</v>
      </c>
      <c r="G34" s="6" t="n"/>
      <c r="H34" s="6" t="n"/>
      <c r="I34" s="6" t="n">
        <v>-4350338</v>
      </c>
      <c r="J34" s="6" t="n">
        <v>-5627462</v>
      </c>
    </row>
    <row r="35">
      <c r="A35" s="6" t="inlineStr">
        <is>
          <t>Movement in other reserves</t>
        </is>
      </c>
      <c r="B35" s="6" t="n"/>
      <c r="C35" s="6" t="n"/>
      <c r="D35" s="6" t="n"/>
      <c r="E35" s="6" t="n"/>
      <c r="F35" s="6" t="n"/>
      <c r="G35" s="6" t="n"/>
      <c r="H35" s="6" t="n">
        <v>73146</v>
      </c>
      <c r="I35" s="6" t="n"/>
      <c r="J35" s="6" t="n">
        <v>73146</v>
      </c>
    </row>
    <row r="36">
      <c r="A36" s="6" t="inlineStr">
        <is>
          <t>FX translation effect on equity, net (balancing figure - see source note)</t>
        </is>
      </c>
      <c r="B36" s="6" t="n"/>
      <c r="C36" s="6" t="n"/>
      <c r="D36" s="6" t="n"/>
      <c r="E36" s="6" t="n"/>
      <c r="F36" s="6" t="n"/>
      <c r="G36" s="6" t="n"/>
      <c r="H36" s="6" t="n"/>
      <c r="I36" s="6" t="n"/>
      <c r="J36" s="6" t="n">
        <v>-1914934</v>
      </c>
    </row>
    <row r="37">
      <c r="A37" s="5" t="inlineStr">
        <is>
          <t>Balance as at 31 December 2023 (ties to Balance Sheet's own FY2023 Total equity)</t>
        </is>
      </c>
      <c r="B37" s="5" t="n">
        <v>9773429</v>
      </c>
      <c r="C37" s="5" t="n">
        <v>7815523</v>
      </c>
      <c r="D37" s="5" t="n">
        <v>7854226</v>
      </c>
      <c r="E37" s="5" t="n">
        <v>3924003</v>
      </c>
      <c r="F37" s="5" t="n"/>
      <c r="G37" s="5" t="n">
        <v>56276</v>
      </c>
      <c r="H37" s="5" t="n">
        <v>110042</v>
      </c>
      <c r="I37" s="5" t="n">
        <v>6905852</v>
      </c>
      <c r="J37" s="5" t="n">
        <v>36439350</v>
      </c>
    </row>
    <row r="38">
      <c r="A38" s="6" t="inlineStr">
        <is>
          <t>Profit for the financial year</t>
        </is>
      </c>
      <c r="B38" s="6" t="n"/>
      <c r="C38" s="6" t="n"/>
      <c r="D38" s="6" t="n"/>
      <c r="E38" s="6" t="n"/>
      <c r="F38" s="6" t="n"/>
      <c r="G38" s="6" t="n"/>
      <c r="H38" s="6" t="n"/>
      <c r="I38" s="6" t="n">
        <v>2031332</v>
      </c>
      <c r="J38" s="6" t="n">
        <v>2031332</v>
      </c>
    </row>
    <row r="39">
      <c r="A39" s="6" t="inlineStr">
        <is>
          <t>Gain related to own credit risk on financial liabilities designated at FVTPL</t>
        </is>
      </c>
      <c r="B39" s="6" t="n"/>
      <c r="C39" s="6" t="n"/>
      <c r="D39" s="6" t="n"/>
      <c r="E39" s="6" t="n"/>
      <c r="F39" s="6" t="n"/>
      <c r="G39" s="6" t="n"/>
      <c r="H39" s="6" t="n">
        <v>34353</v>
      </c>
      <c r="I39" s="6" t="n"/>
      <c r="J39" s="6" t="n">
        <v>34353</v>
      </c>
    </row>
    <row r="40">
      <c r="A40" s="6" t="inlineStr">
        <is>
          <t>Movement in fair value of loans at FVOCI</t>
        </is>
      </c>
      <c r="B40" s="6" t="n"/>
      <c r="C40" s="6" t="n"/>
      <c r="D40" s="6" t="n"/>
      <c r="E40" s="6" t="n"/>
      <c r="F40" s="6" t="n"/>
      <c r="G40" s="6" t="n"/>
      <c r="H40" s="6" t="n">
        <v>1850</v>
      </c>
      <c r="I40" s="6" t="n"/>
      <c r="J40" s="6" t="n">
        <v>1850</v>
      </c>
    </row>
    <row r="41">
      <c r="A41" s="6" t="inlineStr">
        <is>
          <t>Movement in ECL on loans at FVOCI</t>
        </is>
      </c>
      <c r="B41" s="6" t="n"/>
      <c r="C41" s="6" t="n"/>
      <c r="D41" s="6" t="n"/>
      <c r="E41" s="6" t="n"/>
      <c r="F41" s="6" t="n"/>
      <c r="G41" s="6" t="n"/>
      <c r="H41" s="6" t="n">
        <v>-5285</v>
      </c>
      <c r="I41" s="6" t="n"/>
      <c r="J41" s="6" t="n">
        <v>-5285</v>
      </c>
    </row>
    <row r="42">
      <c r="A42" s="6" t="inlineStr">
        <is>
          <t>Actuarial gain on pension schemes</t>
        </is>
      </c>
      <c r="B42" s="6" t="n"/>
      <c r="C42" s="6" t="n"/>
      <c r="D42" s="6" t="n"/>
      <c r="E42" s="6" t="n"/>
      <c r="F42" s="6" t="n"/>
      <c r="G42" s="6" t="n">
        <v>12660</v>
      </c>
      <c r="H42" s="6" t="n"/>
      <c r="I42" s="6" t="n"/>
      <c r="J42" s="6" t="n">
        <v>12660</v>
      </c>
    </row>
    <row r="43">
      <c r="A43" s="6" t="inlineStr">
        <is>
          <t>Tax effect on loans at FVOCI</t>
        </is>
      </c>
      <c r="B43" s="6" t="n"/>
      <c r="C43" s="6" t="n"/>
      <c r="D43" s="6" t="n"/>
      <c r="E43" s="6" t="n"/>
      <c r="F43" s="6" t="n"/>
      <c r="G43" s="6" t="n"/>
      <c r="H43" s="6" t="n">
        <v>-1027</v>
      </c>
      <c r="I43" s="6" t="n"/>
      <c r="J43" s="6" t="n">
        <v>-1027</v>
      </c>
    </row>
    <row r="44">
      <c r="A44" s="6" t="inlineStr">
        <is>
          <t>Tax effect on movement in pension reserve</t>
        </is>
      </c>
      <c r="B44" s="6" t="n"/>
      <c r="C44" s="6" t="n"/>
      <c r="D44" s="6" t="n"/>
      <c r="E44" s="6" t="n"/>
      <c r="F44" s="6" t="n"/>
      <c r="G44" s="6" t="n">
        <v>-6289</v>
      </c>
      <c r="H44" s="6" t="n"/>
      <c r="I44" s="6" t="n"/>
      <c r="J44" s="6" t="n">
        <v>-6289</v>
      </c>
    </row>
    <row r="45">
      <c r="A45" s="5" t="inlineStr">
        <is>
          <t>Total comprehensive income for the year</t>
        </is>
      </c>
      <c r="B45" s="5" t="n"/>
      <c r="C45" s="5" t="n"/>
      <c r="D45" s="5" t="n"/>
      <c r="E45" s="5" t="n"/>
      <c r="F45" s="5" t="n"/>
      <c r="G45" s="5" t="n">
        <v>6371</v>
      </c>
      <c r="H45" s="5" t="n">
        <v>29891</v>
      </c>
      <c r="I45" s="5" t="n">
        <v>2031332</v>
      </c>
      <c r="J45" s="5" t="n">
        <v>2067595</v>
      </c>
    </row>
    <row r="46">
      <c r="A46" s="6" t="inlineStr">
        <is>
          <t>Additional Tier 1 interest</t>
        </is>
      </c>
      <c r="B46" s="6" t="n"/>
      <c r="C46" s="6" t="n"/>
      <c r="D46" s="6" t="n"/>
      <c r="E46" s="6" t="n"/>
      <c r="F46" s="6" t="n"/>
      <c r="G46" s="6" t="n"/>
      <c r="H46" s="6" t="n"/>
      <c r="I46" s="6" t="n">
        <v>-715545</v>
      </c>
      <c r="J46" s="6" t="n">
        <v>-715545</v>
      </c>
    </row>
    <row r="47">
      <c r="A47" s="6" t="inlineStr">
        <is>
          <t>Group share-based payment costs</t>
        </is>
      </c>
      <c r="B47" s="6" t="n"/>
      <c r="C47" s="6" t="n"/>
      <c r="D47" s="6" t="n"/>
      <c r="E47" s="6" t="n"/>
      <c r="F47" s="6" t="n"/>
      <c r="G47" s="6" t="n"/>
      <c r="H47" s="6" t="n">
        <v>279048</v>
      </c>
      <c r="I47" s="6" t="n"/>
      <c r="J47" s="6" t="n">
        <v>279048</v>
      </c>
    </row>
    <row r="48">
      <c r="A48" s="6" t="inlineStr">
        <is>
          <t>Group share-based payment costs recharged</t>
        </is>
      </c>
      <c r="B48" s="6" t="n"/>
      <c r="C48" s="6" t="n"/>
      <c r="D48" s="6" t="n"/>
      <c r="E48" s="6" t="n"/>
      <c r="F48" s="6" t="n"/>
      <c r="G48" s="6" t="n"/>
      <c r="H48" s="6" t="n">
        <v>-279048</v>
      </c>
      <c r="I48" s="6" t="n"/>
      <c r="J48" s="6" t="n">
        <v>-279048</v>
      </c>
    </row>
    <row r="49">
      <c r="A49" s="6" t="inlineStr">
        <is>
          <t>Tax effect on share-based payments</t>
        </is>
      </c>
      <c r="B49" s="6" t="n"/>
      <c r="C49" s="6" t="n"/>
      <c r="D49" s="6" t="n"/>
      <c r="E49" s="6" t="n"/>
      <c r="F49" s="6" t="n"/>
      <c r="G49" s="6" t="n"/>
      <c r="H49" s="6" t="n">
        <v>58057</v>
      </c>
      <c r="I49" s="6" t="n">
        <v>16921</v>
      </c>
      <c r="J49" s="6" t="n">
        <v>74977</v>
      </c>
    </row>
    <row r="50">
      <c r="A50" s="6" t="inlineStr">
        <is>
          <t>Movement in other reserves</t>
        </is>
      </c>
      <c r="B50" s="6" t="n"/>
      <c r="C50" s="6" t="n"/>
      <c r="D50" s="6" t="n"/>
      <c r="E50" s="6" t="n"/>
      <c r="F50" s="6" t="n"/>
      <c r="G50" s="6" t="n"/>
      <c r="H50" s="6" t="n">
        <v>-356</v>
      </c>
      <c r="I50" s="6" t="n"/>
      <c r="J50" s="6" t="n">
        <v>-356</v>
      </c>
    </row>
    <row r="51">
      <c r="A51" s="6" t="inlineStr">
        <is>
          <t>FX translation effect on equity, net (balancing figure - see source note)</t>
        </is>
      </c>
      <c r="B51" s="6" t="n"/>
      <c r="C51" s="6" t="n"/>
      <c r="D51" s="6" t="n"/>
      <c r="E51" s="6" t="n"/>
      <c r="F51" s="6" t="n"/>
      <c r="G51" s="6" t="n"/>
      <c r="H51" s="6" t="n"/>
      <c r="I51" s="6" t="n"/>
      <c r="J51" s="6" t="n">
        <v>662267</v>
      </c>
    </row>
    <row r="52">
      <c r="A52" s="5" t="inlineStr">
        <is>
          <t>Balance as at 31 December 2024 (ties to Balance Sheet's own FY2024 Total equity)</t>
        </is>
      </c>
      <c r="B52" s="5" t="n">
        <v>9942893</v>
      </c>
      <c r="C52" s="5" t="n">
        <v>7951038</v>
      </c>
      <c r="D52" s="5" t="n">
        <v>7990412</v>
      </c>
      <c r="E52" s="5" t="n">
        <v>3992042</v>
      </c>
      <c r="F52" s="5" t="n"/>
      <c r="G52" s="5" t="n">
        <v>63759</v>
      </c>
      <c r="H52" s="5" t="n">
        <v>201410</v>
      </c>
      <c r="I52" s="5" t="n">
        <v>8386735</v>
      </c>
      <c r="J52" s="5" t="n">
        <v>38528288</v>
      </c>
    </row>
    <row r="53">
      <c r="A53" s="6" t="inlineStr">
        <is>
          <t>Profit for the financial year</t>
        </is>
      </c>
      <c r="B53" s="6" t="n"/>
      <c r="C53" s="6" t="n"/>
      <c r="D53" s="6" t="n"/>
      <c r="E53" s="6" t="n"/>
      <c r="F53" s="6" t="n"/>
      <c r="G53" s="6" t="n"/>
      <c r="H53" s="6" t="n"/>
      <c r="I53" s="6" t="n">
        <v>1776759</v>
      </c>
      <c r="J53" s="6" t="n">
        <v>1776759</v>
      </c>
    </row>
    <row r="54">
      <c r="A54" s="6" t="inlineStr">
        <is>
          <t>Loss related to own credit risk on financial liabilities designated at FVTPL</t>
        </is>
      </c>
      <c r="B54" s="6" t="n"/>
      <c r="C54" s="6" t="n"/>
      <c r="D54" s="6" t="n"/>
      <c r="E54" s="6" t="n"/>
      <c r="F54" s="6" t="n"/>
      <c r="G54" s="6" t="n"/>
      <c r="H54" s="6" t="n">
        <v>-39275</v>
      </c>
      <c r="I54" s="6" t="n"/>
      <c r="J54" s="6" t="n">
        <v>-39275</v>
      </c>
    </row>
    <row r="55">
      <c r="A55" s="6" t="inlineStr">
        <is>
          <t>Movement in fair value of loans at FVOCI</t>
        </is>
      </c>
      <c r="B55" s="6" t="n"/>
      <c r="C55" s="6" t="n"/>
      <c r="D55" s="6" t="n"/>
      <c r="E55" s="6" t="n"/>
      <c r="F55" s="6" t="n"/>
      <c r="G55" s="6" t="n"/>
      <c r="H55" s="6" t="n">
        <v>-2216</v>
      </c>
      <c r="I55" s="6" t="n"/>
      <c r="J55" s="6" t="n">
        <v>-2216</v>
      </c>
    </row>
    <row r="56">
      <c r="A56" s="6" t="inlineStr">
        <is>
          <t>Movement in ECL on loans at FVOCI</t>
        </is>
      </c>
      <c r="B56" s="6" t="n"/>
      <c r="C56" s="6" t="n"/>
      <c r="D56" s="6" t="n"/>
      <c r="E56" s="6" t="n"/>
      <c r="F56" s="6" t="n"/>
      <c r="G56" s="6" t="n"/>
      <c r="H56" s="6" t="n">
        <v>2582</v>
      </c>
      <c r="I56" s="6" t="n"/>
      <c r="J56" s="6" t="n">
        <v>2582</v>
      </c>
    </row>
    <row r="57">
      <c r="A57" s="6" t="inlineStr">
        <is>
          <t>Actuarial loss on pension schemes</t>
        </is>
      </c>
      <c r="B57" s="6" t="n"/>
      <c r="C57" s="6" t="n"/>
      <c r="D57" s="6" t="n"/>
      <c r="E57" s="6" t="n"/>
      <c r="F57" s="6" t="n"/>
      <c r="G57" s="6" t="n">
        <v>-5130</v>
      </c>
      <c r="H57" s="6" t="n"/>
      <c r="I57" s="6" t="n"/>
      <c r="J57" s="6" t="n">
        <v>-5130</v>
      </c>
    </row>
    <row r="58">
      <c r="A58" s="6" t="inlineStr">
        <is>
          <t>Tax effect on loans at FVOCI</t>
        </is>
      </c>
      <c r="B58" s="6" t="n"/>
      <c r="C58" s="6" t="n"/>
      <c r="D58" s="6" t="n"/>
      <c r="E58" s="6" t="n"/>
      <c r="F58" s="6" t="n"/>
      <c r="G58" s="6" t="n"/>
      <c r="H58" s="6" t="n">
        <v>-127</v>
      </c>
      <c r="I58" s="6" t="n"/>
      <c r="J58" s="6" t="n">
        <v>-127</v>
      </c>
    </row>
    <row r="59">
      <c r="A59" s="6" t="inlineStr">
        <is>
          <t>Tax effect on movement in pension reserve</t>
        </is>
      </c>
      <c r="B59" s="6" t="n"/>
      <c r="C59" s="6" t="n"/>
      <c r="D59" s="6" t="n"/>
      <c r="E59" s="6" t="n"/>
      <c r="F59" s="6" t="n"/>
      <c r="G59" s="6" t="n">
        <v>1437</v>
      </c>
      <c r="H59" s="6" t="n"/>
      <c r="I59" s="6" t="n"/>
      <c r="J59" s="6" t="n">
        <v>1437</v>
      </c>
    </row>
    <row r="60">
      <c r="A60" s="5" t="inlineStr">
        <is>
          <t>Total comprehensive income/(expense) for the year</t>
        </is>
      </c>
      <c r="B60" s="5" t="n"/>
      <c r="C60" s="5" t="n"/>
      <c r="D60" s="5" t="n"/>
      <c r="E60" s="5" t="n"/>
      <c r="F60" s="5" t="n"/>
      <c r="G60" s="5" t="n">
        <v>-3693</v>
      </c>
      <c r="H60" s="5" t="n">
        <v>-39035</v>
      </c>
      <c r="I60" s="5" t="n">
        <v>1776759</v>
      </c>
      <c r="J60" s="5" t="n">
        <v>1734031</v>
      </c>
    </row>
    <row r="61">
      <c r="A61" s="6" t="inlineStr">
        <is>
          <t>Additional Tier 1 interest</t>
        </is>
      </c>
      <c r="B61" s="6" t="n"/>
      <c r="C61" s="6" t="n"/>
      <c r="D61" s="6" t="n"/>
      <c r="E61" s="6" t="n"/>
      <c r="F61" s="6" t="n"/>
      <c r="G61" s="6" t="n"/>
      <c r="H61" s="6" t="n"/>
      <c r="I61" s="6" t="n">
        <v>-621456</v>
      </c>
      <c r="J61" s="6" t="n">
        <v>-621456</v>
      </c>
    </row>
    <row r="62">
      <c r="A62" s="6" t="inlineStr">
        <is>
          <t>Group share-based payment costs</t>
        </is>
      </c>
      <c r="B62" s="6" t="n"/>
      <c r="C62" s="6" t="n"/>
      <c r="D62" s="6" t="n"/>
      <c r="E62" s="6" t="n"/>
      <c r="F62" s="6" t="n"/>
      <c r="G62" s="6" t="n"/>
      <c r="H62" s="6" t="n">
        <v>222921</v>
      </c>
      <c r="I62" s="6" t="n"/>
      <c r="J62" s="6" t="n">
        <v>222921</v>
      </c>
    </row>
    <row r="63">
      <c r="A63" s="6" t="inlineStr">
        <is>
          <t>Group share-based payment costs recharged</t>
        </is>
      </c>
      <c r="B63" s="6" t="n"/>
      <c r="C63" s="6" t="n"/>
      <c r="D63" s="6" t="n"/>
      <c r="E63" s="6" t="n"/>
      <c r="F63" s="6" t="n"/>
      <c r="G63" s="6" t="n"/>
      <c r="H63" s="6" t="n">
        <v>-222921</v>
      </c>
      <c r="I63" s="6" t="n"/>
      <c r="J63" s="6" t="n">
        <v>-222921</v>
      </c>
    </row>
    <row r="64">
      <c r="A64" s="6" t="inlineStr">
        <is>
          <t>Tax effect on share-based payments</t>
        </is>
      </c>
      <c r="B64" s="6" t="n"/>
      <c r="C64" s="6" t="n"/>
      <c r="D64" s="6" t="n"/>
      <c r="E64" s="6" t="n"/>
      <c r="F64" s="6" t="n"/>
      <c r="G64" s="6" t="n"/>
      <c r="H64" s="6" t="n">
        <v>36412</v>
      </c>
      <c r="I64" s="6" t="n">
        <v>37750</v>
      </c>
      <c r="J64" s="6" t="n">
        <v>74162</v>
      </c>
    </row>
    <row r="65">
      <c r="A65" s="6" t="inlineStr">
        <is>
          <t>Movement in other reserves</t>
        </is>
      </c>
      <c r="B65" s="6" t="n"/>
      <c r="C65" s="6" t="n"/>
      <c r="D65" s="6" t="n"/>
      <c r="E65" s="6" t="n"/>
      <c r="F65" s="6" t="n"/>
      <c r="G65" s="6" t="n"/>
      <c r="H65" s="6" t="n">
        <v>779</v>
      </c>
      <c r="I65" s="6" t="n"/>
      <c r="J65" s="6" t="n">
        <v>779</v>
      </c>
    </row>
    <row r="66">
      <c r="A66" s="6" t="inlineStr">
        <is>
          <t>FX translation effect on equity, net (balancing figure - see source note)</t>
        </is>
      </c>
      <c r="B66" s="6" t="n"/>
      <c r="C66" s="6" t="n"/>
      <c r="D66" s="6" t="n"/>
      <c r="E66" s="6" t="n"/>
      <c r="F66" s="6" t="n"/>
      <c r="G66" s="6" t="n"/>
      <c r="H66" s="6" t="n"/>
      <c r="I66" s="6" t="n"/>
      <c r="J66" s="6" t="n">
        <v>-2695547</v>
      </c>
    </row>
    <row r="67">
      <c r="A67" s="5" t="inlineStr">
        <is>
          <t>Balance as at 31 December 2025 (ties to Balance Sheet's own FY2025 Total equity)</t>
        </is>
      </c>
      <c r="B67" s="5" t="n">
        <v>9253071</v>
      </c>
      <c r="C67" s="5" t="n">
        <v>7399408</v>
      </c>
      <c r="D67" s="5" t="n">
        <v>7436050</v>
      </c>
      <c r="E67" s="5" t="n">
        <v>3715080</v>
      </c>
      <c r="F67" s="5" t="n"/>
      <c r="G67" s="5" t="n">
        <v>55712</v>
      </c>
      <c r="H67" s="5" t="n">
        <v>185628</v>
      </c>
      <c r="I67" s="5" t="n">
        <v>8975307</v>
      </c>
      <c r="J67" s="5" t="n">
        <v>37020257</v>
      </c>
    </row>
    <row r="69" ht="338" customHeight="1">
      <c r="A69" s="8" t="inlineStr">
        <is>
          <t>Sources - J.P. Morgan Securities plc's own entity-level financial statements, published in the Company's own reporting currency (US$'000) and converted to £'000 here per the FX note at the end of this citation. Page references below are to the figures AS PUBLISHED, in dollars:
FY2025/FY2024: Annual Report 2025, Income statement p.57, Statement of comprehensive income p.58, Balance sheet p.59, Statement of changes in equity p.60, Notes 15-16 p.79-80 - https://find-and-update.company-information.service.gov.uk/company/02711006/filing-history/MzUxOTQxNzUzOGFkaXF6a2N4/document?format=pdf&amp;download=0
FY2023/FY2022: Annual Report 2023 (accounts made up to 31 December 2023), Income statement p.68, Statement of comprehensive income p.69, Balance sheet p.70, Statement of changes in equity p.71, Notes 15-16 p.90 - https://find-and-update.company-information.service.gov.uk/company/02711006/filing-history/MzQyMDg4NTQwMWFkaXF6a2N4/document?format=pdf&amp;download=0
FY2024's own originally-published figures (Annual Report 2024, made up to 31 December 2024) were cross-checked against AR2025's FY2024 comparative column and found identical (both show Profit for the financial year $2,596,449k) - https://find-and-update.company-information.service.gov.uk/company/02711006/filing-history/MzQ2NDE1MTk5OGFkaXF6a2N4/document?format=pdf&amp;download=0
FX CONVERSION: J.P. Morgan Securities plc reports in US Dollars (its functional and presentation currency - equity capital is held in USD per its own FX-risk-to-capital-ratio note). This workbook converts every $ amount to £ for consistency with the rest of this series, following the same methodology established for Zenith Bank (UK) / Credit Suisse International / Goldman Sachs International Bank / Gulf International Bank (UK): point-in-time figures (balance sheet lines, capital, RWA, leverage exposure, HQLA) use the Bank of England GBP/USD SPOT rate as at that fiscal year-end; flow figures (P&amp;L and other-comprehensive-income lines, equity movements) use the AVERAGE of Bank of England rates over that calendar year. Rates used (£1 = $X, the project's existing table): FY2021 spot 1.3521 / average 1.3752; FY2022 spot 1.2097 / average 1.2362; FY2023 spot 1.2732 / average 1.2439; FY2024 spot 1.2515 / average 1.2782; FY2025 spot 1.3448 / average 1.3193. %-ratios are dimensionless and shown exactly as reported, never converted. The KM1 Key Metrics sheet is the one deliberate exception to all of the above and stays in US$'mm exactly as published, because it reproduces a prescribed disclosure.
ROUNDING - READ THIS BEFORE FOOTING A COLUMN. Every row is converted from its OWN published dollar figure and rounded independently to whole £'000, so a printed total can differ from the sum of its printed components by £1k-£2k. That is rounding noise, not a transcription error: the largest such difference anywhere in this workbook is £2k against a £581bn total (under 2 parts per billion), and in dollars every one of these blocks foots exactly. No figure has been adjusted to make a column tie - the alternative would be to derive totals from the converted components instead of converting the bank's own published total, which would replace the Company's figure with ours. verify_workbook.py reports these as block reconciliation breaks; the same breaks appear for every GBP-converted bank in this project (Goldman Sachs International Bank, Credit Suisse International, Gulf International Bank (UK), UBA UK and the rest) for the same reason. On the Statement of Changes in Equity this means the roll-forward foots exactly when read through each year's 'Total comprehensive income' subtotal (the intended path, which the FX balancing row is computed against) and may be £1k out if read through that subtotal's individual profit and OCI component rows instead.
CONVERTED 2026-10-09. Before that date these statements were held in US$'000 while the Pillar 3 capital/RWA sheets were already GBP-converted - the only bank of the project's 14 FX reporters treated that way. Every figure below is derived programmatically from the USD originals transcribed in this script (which are unchanged); nothing was re-transcribed, and no GBP figure was taken from any document.
STATEMENTS COVERAGE NOTE: Companies House's public filing history for this entity genuinely only begins 26 January 2024 (confirmed by paging through the full ~250-filing history) - only 3 Full Accounts filings exist (FY2023, FY2024, FY2025). FY2022's Balance Sheet/P&amp;L/Equity figures ARE available, as AR2023's own comparative column (checked in full detail, not just a closing total), but FY2021's are genuinely not - AR2023's equity statement opens at "1 January 2022" with no earlier detail, so FY2021's Balance Sheet, P&amp;L, Statement of Changes in Equity and Asset Quality are blank (not zero, not guessed) below. FY2021's Pillar 3 capital/RWA/leverage/LCR figures remain available via the standalone Pillar 3 archive (see the Pillar 3 sheets) and are unaffected by this gap.</t>
        </is>
      </c>
    </row>
    <row r="71" ht="260" customHeight="1">
      <c r="A71" s="8" t="inlineStr">
        <is>
          <t>(continued)
FX METHODOLOGY FOR THIS SHEET: opening and closing balances converted at their own date's spot rate, movement lines at that year's average rate - the same convention used throughout this workbook. Converting stocks and flows at different rates within one year means the roll-forward does not foot exactly in GBP even though it foots exactly in USD (independently verified against each year's own source table before conversion: every closing balance ties to both the next year's own opening balance and that year's own Balance Sheet Total equity, with zero plug needed in USD terms). An explicit 'FX translation effect on equity, net' row (Total column only) carries the balancing figure for each year, computed programmatically from the rounded figures printed on this sheet so the Total column foots exactly as displayed - never hardcoded, and never applied to an individual equity component, since the source statement gives no basis for splitting a translation effect across reserves. Same treatment as this project's Goldman Sachs International Bank, Credit Suisse International and Gulf International Bank (UK) workbooks, and as those banks' own Cash Flow Statement 'Effect of GBP/USD translation' lines.</t>
        </is>
      </c>
    </row>
  </sheetData>
  <mergeCells count="2">
    <mergeCell ref="A69:J69"/>
    <mergeCell ref="A71:J7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7"/>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90" customWidth="1" min="1" max="1"/>
    <col width="15" customWidth="1" min="2" max="2"/>
    <col width="15" customWidth="1" min="3" max="3"/>
    <col width="15" customWidth="1" min="4" max="4"/>
    <col width="15" customWidth="1" min="5" max="5"/>
    <col width="15" customWidth="1" min="6" max="6"/>
  </cols>
  <sheetData>
    <row r="1">
      <c r="A1" s="1" t="inlineStr">
        <is>
          <t>J.P. Morgan Securities plc — Cash Flow Statement</t>
        </is>
      </c>
    </row>
    <row r="2">
      <c r="A2" s="2" t="inlineStr">
        <is>
          <t>Not applicable — this entity takes the FRS 101 cash-flow-statement disclosure exemption every year. See source note below.</t>
        </is>
      </c>
    </row>
    <row r="3">
      <c r="A3" s="4" t="inlineStr">
        <is>
          <t>Line item</t>
        </is>
      </c>
      <c r="B3" s="4" t="inlineStr">
        <is>
          <t>FY2025</t>
        </is>
      </c>
      <c r="C3" s="4" t="inlineStr">
        <is>
          <t>FY2024</t>
        </is>
      </c>
      <c r="D3" s="4" t="inlineStr">
        <is>
          <t>FY2023</t>
        </is>
      </c>
      <c r="E3" s="4" t="inlineStr">
        <is>
          <t>FY2022</t>
        </is>
      </c>
      <c r="F3" s="4" t="inlineStr">
        <is>
          <t>FY2021</t>
        </is>
      </c>
    </row>
    <row r="4">
      <c r="A4" s="5" t="inlineStr">
        <is>
          <t>Not applicable</t>
        </is>
      </c>
      <c r="B4" s="6" t="n"/>
      <c r="C4" s="6" t="n"/>
      <c r="D4" s="6" t="n"/>
      <c r="E4" s="6" t="n"/>
      <c r="F4" s="6" t="n"/>
    </row>
    <row r="5">
      <c r="A5" s="6" t="inlineStr">
        <is>
          <t>J.P. Morgan Securities plc takes the FRS 101 exemption from preparing a Statement of Cash Flows (IAS 7) every year covered by this workbook - see source note below.</t>
        </is>
      </c>
      <c r="B5" s="6" t="n"/>
      <c r="C5" s="6" t="n"/>
      <c r="D5" s="6" t="n"/>
      <c r="E5" s="6" t="n"/>
      <c r="F5" s="6" t="n"/>
    </row>
    <row r="7" ht="260" customHeight="1">
      <c r="A7" s="8" t="inlineStr">
        <is>
          <t>ENTITY NOTE: J.P. Morgan Securities plc ("JPMS plc", company 02711006, FRN 155240, incorporated 30 April 1992) is a public limited company, an indirect subsidiary of JPMorgan Chase Bank, N.A. and a principal operating subsidiary of JPMorgan Chase &amp; Co. ("the Firm") in the UK, engaged in international investment banking activity across Markets (client-facing and trading entity for the majority of Markets EMEA ex EU) and Banking (primary M&amp;A advisory entity). It also operates a branch in Zurich. FY2025: $831bn total assets, $50bn total equity, $9,542,478k net operating income - Annual Report 2025, Strategic Report p.2. All monetary figures below are the Company's own entity-level (not the wider JPMorgan Chase Group's consolidated) disclosure, reported in USD, converted to GBP at each year-end's spot rate (see FX_SPOT table) for point-in-time capital/RWA figures; %-ratios are shown exactly as reported (dimensionless, not converted).
FRS 101 CASH-FLOW EXEMPTION: the FY2025 Annual Report's Note 2 "Basis of preparation" states these financial statements are prepared under FRS 101 'Reduced Disclosure Framework' and lists the IFRS exemptions applied, including "Cash flow statement and related notes, IAS 7 'Cash flow statements'" - Annual Report 2025, Note 2, p.61 - https://find-and-update.company-information.service.gov.uk/company/02711006/filing-history/MzUxOTQxNzUzOGFkaXF6a2N4/document?format=pdf&amp;download=0. The Annual Report's own Contents page (p.i) does not list a Statement of Cash Flows anywhere among its financial statements (Income statement p.57, Statement of comprehensive income p.58, Balance sheet p.59, Statement of changes in equity p.60, Notes p.61-112 - no cash flow statement). Note 1 confirms the Company's results are consolidated into both J.P. Morgan Capital Holdings Limited's accounts (smallest group) and JPMorgan Chase &amp; Co.'s accounts (largest group), both of which publish their own consolidated cash flow statements. Per the project's established policy for this exemption, this workbook is built as a PILLAR-3-ONLY variant: no cash flow figures exist to show, while the recovered capital and liquidity metrics are populated below.</t>
        </is>
      </c>
    </row>
  </sheetData>
  <mergeCells count="1">
    <mergeCell ref="A7:F7"/>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8"/>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76" customWidth="1" min="1" max="1"/>
    <col width="15" customWidth="1" min="2" max="2"/>
    <col width="15" customWidth="1" min="3" max="3"/>
    <col width="15" customWidth="1" min="4" max="4"/>
    <col width="15" customWidth="1" min="5" max="5"/>
  </cols>
  <sheetData>
    <row r="1">
      <c r="A1" s="1" t="inlineStr">
        <is>
          <t>J.P. Morgan Securities plc — Asset Quality</t>
        </is>
      </c>
    </row>
    <row r="2">
      <c r="A2" s="2" t="inlineStr">
        <is>
          <t>Entity-level basis, £'000 — balances converted from the Company's own US$'000 at each year-end's spot rate, the ECL charge (a flow) at that year's average rate; the ECL coverage ratio is dimensionless and shown exactly as derived from the published dollars. No IFRS 9 Stage 1/2/3 split is disclosed - the Company's loan book is a small wholesale corporate/institutional book alongside a much larger securities-financing/trading balance sheet, and Note 16 shows only a gross/impairment/net split by measurement basis, not by stage (confirmed by reading the note in full). FY2021 blank - see source note.</t>
        </is>
      </c>
    </row>
    <row r="3">
      <c r="A3" s="4" t="inlineStr">
        <is>
          <t>Line item</t>
        </is>
      </c>
      <c r="B3" s="4" t="inlineStr">
        <is>
          <t>FY2025 (£'000)</t>
        </is>
      </c>
      <c r="C3" s="4" t="inlineStr">
        <is>
          <t>FY2024 (£'000)</t>
        </is>
      </c>
      <c r="D3" s="4" t="inlineStr">
        <is>
          <t>FY2023 (£'000)</t>
        </is>
      </c>
      <c r="E3" s="4" t="inlineStr">
        <is>
          <t>FY2022 (£'000)</t>
        </is>
      </c>
    </row>
    <row r="4">
      <c r="A4" s="5" t="inlineStr">
        <is>
          <t>Loans and advances to banks</t>
        </is>
      </c>
      <c r="B4" s="6" t="n"/>
      <c r="C4" s="6" t="n"/>
      <c r="D4" s="6" t="n"/>
      <c r="E4" s="6" t="n"/>
    </row>
    <row r="5">
      <c r="A5" s="6" t="inlineStr">
        <is>
          <t>Loans and advances to banks (amortised cost)</t>
        </is>
      </c>
      <c r="B5" s="6" t="n">
        <v>5636042</v>
      </c>
      <c r="C5" s="6" t="n">
        <v>7556327</v>
      </c>
      <c r="D5" s="6" t="n">
        <v>3470624</v>
      </c>
      <c r="E5" s="6" t="n">
        <v>4348667</v>
      </c>
    </row>
    <row r="6">
      <c r="A6" s="5" t="inlineStr">
        <is>
          <t>Loans and advances to customers</t>
        </is>
      </c>
      <c r="B6" s="6" t="n"/>
      <c r="C6" s="6" t="n"/>
      <c r="D6" s="6" t="n"/>
      <c r="E6" s="6" t="n"/>
    </row>
    <row r="7">
      <c r="A7" s="6" t="inlineStr">
        <is>
          <t>Amortised cost</t>
        </is>
      </c>
      <c r="B7" s="6" t="n">
        <v>25201</v>
      </c>
      <c r="C7" s="6" t="n">
        <v>64066</v>
      </c>
      <c r="D7" s="6" t="n">
        <v>173157</v>
      </c>
      <c r="E7" s="6" t="n">
        <v>216841</v>
      </c>
    </row>
    <row r="8">
      <c r="A8" s="6" t="inlineStr">
        <is>
          <t>FVOCI</t>
        </is>
      </c>
      <c r="B8" s="6" t="n">
        <v>167220</v>
      </c>
      <c r="C8" s="6" t="n">
        <v>12495</v>
      </c>
      <c r="D8" s="6" t="n">
        <v>65860</v>
      </c>
      <c r="E8" s="6" t="n">
        <v>219136</v>
      </c>
    </row>
    <row r="9">
      <c r="A9" s="5" t="inlineStr">
        <is>
          <t>Gross loans and advances to customers</t>
        </is>
      </c>
      <c r="B9" s="5" t="n">
        <v>192420</v>
      </c>
      <c r="C9" s="5" t="n">
        <v>76561</v>
      </c>
      <c r="D9" s="5" t="n">
        <v>239017</v>
      </c>
      <c r="E9" s="5" t="n">
        <v>435978</v>
      </c>
    </row>
    <row r="10">
      <c r="A10" s="6" t="inlineStr">
        <is>
          <t>Expected credit loss impairment (amortised cost)</t>
        </is>
      </c>
      <c r="B10" s="6" t="n">
        <v>-1108</v>
      </c>
      <c r="C10" s="6" t="n">
        <v>-2575</v>
      </c>
      <c r="D10" s="6" t="n">
        <v>-3189</v>
      </c>
      <c r="E10" s="6" t="n">
        <v>-7224</v>
      </c>
    </row>
    <row r="11">
      <c r="A11" s="5" t="inlineStr">
        <is>
          <t>Net loans and advances to customers</t>
        </is>
      </c>
      <c r="B11" s="5" t="n">
        <v>191312</v>
      </c>
      <c r="C11" s="5" t="n">
        <v>73986</v>
      </c>
      <c r="D11" s="5" t="n">
        <v>235828</v>
      </c>
      <c r="E11" s="5" t="n">
        <v>428753</v>
      </c>
    </row>
    <row r="12">
      <c r="A12" s="6" t="inlineStr">
        <is>
          <t>ECL coverage ratio (amortised-cost loans and advances to customers)</t>
        </is>
      </c>
      <c r="B12" s="6" t="inlineStr">
        <is>
          <t>4.40%</t>
        </is>
      </c>
      <c r="C12" s="6" t="inlineStr">
        <is>
          <t>4.02%</t>
        </is>
      </c>
      <c r="D12" s="6" t="inlineStr">
        <is>
          <t>1.84%</t>
        </is>
      </c>
      <c r="E12" s="6" t="inlineStr">
        <is>
          <t>3.33%</t>
        </is>
      </c>
    </row>
    <row r="13">
      <c r="A13" s="5" t="inlineStr">
        <is>
          <t>Income statement movement (memo)</t>
        </is>
      </c>
      <c r="B13" s="6" t="n"/>
      <c r="C13" s="6" t="n"/>
      <c r="D13" s="6" t="n"/>
      <c r="E13" s="6" t="n"/>
    </row>
    <row r="14">
      <c r="A14" s="6" t="inlineStr">
        <is>
          <t>Expected credit loss (charge)/release for the year</t>
        </is>
      </c>
      <c r="B14" s="6" t="n">
        <v>-9710</v>
      </c>
      <c r="C14" s="6" t="n">
        <v>7212</v>
      </c>
      <c r="D14" s="6" t="n">
        <v>-5079</v>
      </c>
      <c r="E14" s="6" t="n">
        <v>5079</v>
      </c>
    </row>
    <row r="16" ht="377" customHeight="1">
      <c r="A16" s="8" t="inlineStr">
        <is>
          <t>Sources - J.P. Morgan Securities plc's own entity-level financial statements, published in the Company's own reporting currency (US$'000) and converted to £'000 here per the FX note at the end of this citation. Page references below are to the figures AS PUBLISHED, in dollars:
FY2025/FY2024: Annual Report 2025, Income statement p.57, Statement of comprehensive income p.58, Balance sheet p.59, Statement of changes in equity p.60, Notes 15-16 p.79-80 - https://find-and-update.company-information.service.gov.uk/company/02711006/filing-history/MzUxOTQxNzUzOGFkaXF6a2N4/document?format=pdf&amp;download=0
FY2023/FY2022: Annual Report 2023 (accounts made up to 31 December 2023), Income statement p.68, Statement of comprehensive income p.69, Balance sheet p.70, Statement of changes in equity p.71, Notes 15-16 p.90 - https://find-and-update.company-information.service.gov.uk/company/02711006/filing-history/MzQyMDg4NTQwMWFkaXF6a2N4/document?format=pdf&amp;download=0
FY2024's own originally-published figures (Annual Report 2024, made up to 31 December 2024) were cross-checked against AR2025's FY2024 comparative column and found identical (both show Profit for the financial year $2,596,449k) - https://find-and-update.company-information.service.gov.uk/company/02711006/filing-history/MzQ2NDE1MTk5OGFkaXF6a2N4/document?format=pdf&amp;download=0
FX CONVERSION: J.P. Morgan Securities plc reports in US Dollars (its functional and presentation currency - equity capital is held in USD per its own FX-risk-to-capital-ratio note). This workbook converts every $ amount to £ for consistency with the rest of this series, following the same methodology established for Zenith Bank (UK) / Credit Suisse International / Goldman Sachs International Bank / Gulf International Bank (UK): point-in-time figures (balance sheet lines, capital, RWA, leverage exposure, HQLA) use the Bank of England GBP/USD SPOT rate as at that fiscal year-end; flow figures (P&amp;L and other-comprehensive-income lines, equity movements) use the AVERAGE of Bank of England rates over that calendar year. Rates used (£1 = $X, the project's existing table): FY2021 spot 1.3521 / average 1.3752; FY2022 spot 1.2097 / average 1.2362; FY2023 spot 1.2732 / average 1.2439; FY2024 spot 1.2515 / average 1.2782; FY2025 spot 1.3448 / average 1.3193. %-ratios are dimensionless and shown exactly as reported, never converted. The KM1 Key Metrics sheet is the one deliberate exception to all of the above and stays in US$'mm exactly as published, because it reproduces a prescribed disclosure.
ROUNDING - READ THIS BEFORE FOOTING A COLUMN. Every row is converted from its OWN published dollar figure and rounded independently to whole £'000, so a printed total can differ from the sum of its printed components by £1k-£2k. That is rounding noise, not a transcription error: the largest such difference anywhere in this workbook is £2k against a £581bn total (under 2 parts per billion), and in dollars every one of these blocks foots exactly. No figure has been adjusted to make a column tie - the alternative would be to derive totals from the converted components instead of converting the bank's own published total, which would replace the Company's figure with ours. verify_workbook.py reports these as block reconciliation breaks; the same breaks appear for every GBP-converted bank in this project (Goldman Sachs International Bank, Credit Suisse International, Gulf International Bank (UK), UBA UK and the rest) for the same reason. On the Statement of Changes in Equity this means the roll-forward foots exactly when read through each year's 'Total comprehensive income' subtotal (the intended path, which the FX balancing row is computed against) and may be £1k out if read through that subtotal's individual profit and OCI component rows instead.
CONVERTED 2026-10-09. Before that date these statements were held in US$'000 while the Pillar 3 capital/RWA sheets were already GBP-converted - the only bank of the project's 14 FX reporters treated that way. Every figure below is derived programmatically from the USD originals transcribed in this script (which are unchanged); nothing was re-transcribed, and no GBP figure was taken from any document.</t>
        </is>
      </c>
    </row>
    <row r="18" ht="340" customHeight="1">
      <c r="A18" s="8" t="inlineStr">
        <is>
          <t>(continued)
STATEMENTS COVERAGE NOTE: Companies House's public filing history for this entity genuinely only begins 26 January 2024 (confirmed by paging through the full ~250-filing history) - only 3 Full Accounts filings exist (FY2023, FY2024, FY2025). FY2022's Balance Sheet/P&amp;L/Equity figures ARE available, as AR2023's own comparative column (checked in full detail, not just a closing total), but FY2021's are genuinely not - AR2023's equity statement opens at "1 January 2022" with no earlier detail, so FY2021's Balance Sheet, P&amp;L, Statement of Changes in Equity and Asset Quality are blank (not zero, not guessed) below. FY2021's Pillar 3 capital/RWA/leverage/LCR figures remain available via the standalone Pillar 3 archive (see the Pillar 3 sheets) and are unaffected by this gap.
Note 16 'Loans and advances to customers' (referenced above) covers the Company's wholesale loan portfolio only - large corporates and institutional clients - and is a small fraction of the balance sheet dominated by securities financing and trading positions. ECL coverage ratio is a derived figure (ECL impairment / amortised-cost gross loans), not directly disclosed, computed for a cleaner asset-quality signal since FVOCI loans don't carry a separate on-balance-sheet impairment line.</t>
        </is>
      </c>
    </row>
  </sheetData>
  <mergeCells count="2">
    <mergeCell ref="A16:E16"/>
    <mergeCell ref="A18:E18"/>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47"/>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82" customWidth="1" min="1" max="1"/>
    <col width="15" customWidth="1" min="2" max="2"/>
    <col width="15" customWidth="1" min="3" max="3"/>
    <col width="15" customWidth="1" min="4" max="4"/>
    <col width="15" customWidth="1" min="5" max="5"/>
    <col width="15" customWidth="1" min="6" max="6"/>
  </cols>
  <sheetData>
    <row r="1">
      <c r="A1" s="1" t="inlineStr">
        <is>
          <t>J.P. Morgan Securities plc — KM1 Key Metrics</t>
        </is>
      </c>
    </row>
    <row r="2">
      <c r="A2" s="2" t="inlineStr">
        <is>
          <t>The Bank's own published "UK KM1 - Key metrics template" (Table 1 from FY2024, Table 4 in FY2022), reproduced in its own row order, row numbers, labels and printed precision. AMOUNTS ARE IN US$'mm AS PUBLISHED — this sheet is the one sheet in this workbook that is NOT GBP-converted, because it reproduces a prescribed disclosure. Rows 14a–14e exist only in the FY2024 and FY2025 editions. FY2021 is the FY2022 edition's own Q4 2021 comparative column, because the FY2021 edition publishes a different, shorter key-metrics table and not the template — see the source note.</t>
        </is>
      </c>
    </row>
    <row r="3">
      <c r="A3" s="4" t="inlineStr">
        <is>
          <t>Line item</t>
        </is>
      </c>
      <c r="B3" s="4" t="inlineStr">
        <is>
          <t>FY2025</t>
        </is>
      </c>
      <c r="C3" s="4" t="inlineStr">
        <is>
          <t>FY2024</t>
        </is>
      </c>
      <c r="D3" s="4" t="inlineStr">
        <is>
          <t>FY2023</t>
        </is>
      </c>
      <c r="E3" s="4" t="inlineStr">
        <is>
          <t>FY2022</t>
        </is>
      </c>
      <c r="F3" s="4" t="inlineStr">
        <is>
          <t>FY2021</t>
        </is>
      </c>
    </row>
    <row r="4">
      <c r="A4" s="5" t="inlineStr">
        <is>
          <t>Available own funds (amounts)</t>
        </is>
      </c>
      <c r="B4" s="6" t="n"/>
      <c r="C4" s="6" t="n"/>
      <c r="D4" s="6" t="n"/>
      <c r="E4" s="6" t="n"/>
      <c r="F4" s="6" t="n"/>
    </row>
    <row r="5">
      <c r="A5" s="6" t="inlineStr">
        <is>
          <t>1    Common Equity Tier 1 (CET1) capital ($'mm)</t>
        </is>
      </c>
      <c r="B5" s="6" t="n">
        <v>37435</v>
      </c>
      <c r="C5" s="6" t="n">
        <v>36054</v>
      </c>
      <c r="D5" s="6" t="n">
        <v>34321</v>
      </c>
      <c r="E5" s="6" t="n">
        <v>39571</v>
      </c>
      <c r="F5" s="6" t="n">
        <v>41911</v>
      </c>
    </row>
    <row r="6">
      <c r="A6" s="6" t="inlineStr">
        <is>
          <t>2    Tier 1 capital ($'mm)</t>
        </is>
      </c>
      <c r="B6" s="6" t="n">
        <v>47435</v>
      </c>
      <c r="C6" s="6" t="n">
        <v>46054</v>
      </c>
      <c r="D6" s="6" t="n">
        <v>44321</v>
      </c>
      <c r="E6" s="6" t="n">
        <v>44571</v>
      </c>
      <c r="F6" s="6" t="n">
        <v>41911</v>
      </c>
    </row>
    <row r="7">
      <c r="A7" s="6" t="inlineStr">
        <is>
          <t>3    Total capital ($'mm)</t>
        </is>
      </c>
      <c r="B7" s="6" t="n">
        <v>55988</v>
      </c>
      <c r="C7" s="6" t="n">
        <v>55806</v>
      </c>
      <c r="D7" s="6" t="n">
        <v>55230</v>
      </c>
      <c r="E7" s="6" t="n">
        <v>56571</v>
      </c>
      <c r="F7" s="6" t="n">
        <v>53911</v>
      </c>
    </row>
    <row r="8">
      <c r="A8" s="5" t="inlineStr">
        <is>
          <t>Risk-weighted exposure amounts</t>
        </is>
      </c>
      <c r="B8" s="6" t="n"/>
      <c r="C8" s="6" t="n"/>
      <c r="D8" s="6" t="n"/>
      <c r="E8" s="6" t="n"/>
      <c r="F8" s="6" t="n"/>
    </row>
    <row r="9">
      <c r="A9" s="6" t="inlineStr">
        <is>
          <t>4    Total risk-weighted exposure amount ($'mm)</t>
        </is>
      </c>
      <c r="B9" s="6" t="n">
        <v>227966</v>
      </c>
      <c r="C9" s="6" t="n">
        <v>195273</v>
      </c>
      <c r="D9" s="6" t="n">
        <v>187226</v>
      </c>
      <c r="E9" s="6" t="n">
        <v>166720</v>
      </c>
      <c r="F9" s="6" t="n">
        <v>226258</v>
      </c>
    </row>
    <row r="10">
      <c r="A10" s="5" t="inlineStr">
        <is>
          <t>Capital ratios (as a percentage of risk-weighted exposure amount)</t>
        </is>
      </c>
      <c r="B10" s="6" t="n"/>
      <c r="C10" s="6" t="n"/>
      <c r="D10" s="6" t="n"/>
      <c r="E10" s="6" t="n"/>
      <c r="F10" s="6" t="n"/>
    </row>
    <row r="11">
      <c r="A11" s="6" t="inlineStr">
        <is>
          <t>5    Common Equity Tier 1 ratio (%)</t>
        </is>
      </c>
      <c r="B11" s="6" t="inlineStr">
        <is>
          <t>16.42%</t>
        </is>
      </c>
      <c r="C11" s="6" t="inlineStr">
        <is>
          <t>18.46%</t>
        </is>
      </c>
      <c r="D11" s="6" t="inlineStr">
        <is>
          <t>18.33%</t>
        </is>
      </c>
      <c r="E11" s="6" t="inlineStr">
        <is>
          <t>23.73%</t>
        </is>
      </c>
      <c r="F11" s="6" t="inlineStr">
        <is>
          <t>18.52%</t>
        </is>
      </c>
    </row>
    <row r="12">
      <c r="A12" s="6" t="inlineStr">
        <is>
          <t>6    Tier 1 ratio (%)</t>
        </is>
      </c>
      <c r="B12" s="6" t="inlineStr">
        <is>
          <t>20.81%</t>
        </is>
      </c>
      <c r="C12" s="6" t="inlineStr">
        <is>
          <t>23.58%</t>
        </is>
      </c>
      <c r="D12" s="6" t="inlineStr">
        <is>
          <t>23.67%</t>
        </is>
      </c>
      <c r="E12" s="6" t="inlineStr">
        <is>
          <t>26.73%</t>
        </is>
      </c>
      <c r="F12" s="6" t="inlineStr">
        <is>
          <t>18.52%</t>
        </is>
      </c>
    </row>
    <row r="13">
      <c r="A13" s="6" t="inlineStr">
        <is>
          <t>7    Total capital ratio (%)</t>
        </is>
      </c>
      <c r="B13" s="6" t="inlineStr">
        <is>
          <t>24.56%</t>
        </is>
      </c>
      <c r="C13" s="6" t="inlineStr">
        <is>
          <t>28.58%</t>
        </is>
      </c>
      <c r="D13" s="6" t="inlineStr">
        <is>
          <t>29.50%</t>
        </is>
      </c>
      <c r="E13" s="6" t="inlineStr">
        <is>
          <t>33.93%</t>
        </is>
      </c>
      <c r="F13" s="6" t="inlineStr">
        <is>
          <t>23.83%</t>
        </is>
      </c>
    </row>
    <row r="14">
      <c r="A14" s="5" t="inlineStr">
        <is>
          <t>Additional own funds requirements based on SREP (as a percentage of risk-weighted exposure amount)</t>
        </is>
      </c>
      <c r="B14" s="6" t="n"/>
      <c r="C14" s="6" t="n"/>
      <c r="D14" s="6" t="n"/>
      <c r="E14" s="6" t="n"/>
      <c r="F14" s="6" t="n"/>
    </row>
    <row r="15">
      <c r="A15" s="6" t="inlineStr">
        <is>
          <t>UK 7a    Additional CET1 SREP requirements (%)</t>
        </is>
      </c>
      <c r="B15" s="6" t="inlineStr">
        <is>
          <t>1.52%</t>
        </is>
      </c>
      <c r="C15" s="6" t="inlineStr">
        <is>
          <t>1.52%</t>
        </is>
      </c>
      <c r="D15" s="6" t="inlineStr">
        <is>
          <t>1.46%</t>
        </is>
      </c>
      <c r="E15" s="6" t="inlineStr">
        <is>
          <t>1.49%</t>
        </is>
      </c>
      <c r="F15" s="6" t="inlineStr">
        <is>
          <t>1.41%</t>
        </is>
      </c>
    </row>
    <row r="16">
      <c r="A16" s="6" t="inlineStr">
        <is>
          <t>UK 7b    Additional AT1 SREP requirements (%)</t>
        </is>
      </c>
      <c r="B16" s="6" t="inlineStr">
        <is>
          <t>0.51%</t>
        </is>
      </c>
      <c r="C16" s="6" t="inlineStr">
        <is>
          <t>0.51%</t>
        </is>
      </c>
      <c r="D16" s="6" t="inlineStr">
        <is>
          <t>0.49%</t>
        </is>
      </c>
      <c r="E16" s="6" t="inlineStr">
        <is>
          <t>0.50%</t>
        </is>
      </c>
      <c r="F16" s="6" t="inlineStr">
        <is>
          <t>0.47%</t>
        </is>
      </c>
    </row>
    <row r="17">
      <c r="A17" s="6" t="inlineStr">
        <is>
          <t>UK 7c    Additional T2 SREP requirements (%)</t>
        </is>
      </c>
      <c r="B17" s="6" t="inlineStr">
        <is>
          <t>0.67%</t>
        </is>
      </c>
      <c r="C17" s="6" t="inlineStr">
        <is>
          <t>0.68%</t>
        </is>
      </c>
      <c r="D17" s="6" t="inlineStr">
        <is>
          <t>0.65%</t>
        </is>
      </c>
      <c r="E17" s="6" t="inlineStr">
        <is>
          <t>0.66%</t>
        </is>
      </c>
      <c r="F17" s="6" t="inlineStr">
        <is>
          <t>0.63%</t>
        </is>
      </c>
    </row>
    <row r="18">
      <c r="A18" s="6" t="inlineStr">
        <is>
          <t>UK 7d    Total SREP own funds requirements (%)</t>
        </is>
      </c>
      <c r="B18" s="6" t="inlineStr">
        <is>
          <t>10.70%</t>
        </is>
      </c>
      <c r="C18" s="6" t="inlineStr">
        <is>
          <t>10.70%</t>
        </is>
      </c>
      <c r="D18" s="6" t="inlineStr">
        <is>
          <t>10.59%</t>
        </is>
      </c>
      <c r="E18" s="6" t="inlineStr">
        <is>
          <t>10.64%</t>
        </is>
      </c>
      <c r="F18" s="6" t="inlineStr">
        <is>
          <t>10.51%</t>
        </is>
      </c>
    </row>
    <row r="19">
      <c r="A19" s="5" t="inlineStr">
        <is>
          <t>Combined buffer requirement (as a percentage of risk-weighted exposure amount)</t>
        </is>
      </c>
      <c r="B19" s="6" t="n"/>
      <c r="C19" s="6" t="n"/>
      <c r="D19" s="6" t="n"/>
      <c r="E19" s="6" t="n"/>
      <c r="F19" s="6" t="n"/>
    </row>
    <row r="20">
      <c r="A20" s="6" t="inlineStr">
        <is>
          <t>8    Capital conservation buffer (%)</t>
        </is>
      </c>
      <c r="B20" s="6" t="inlineStr">
        <is>
          <t>2.50%</t>
        </is>
      </c>
      <c r="C20" s="6" t="inlineStr">
        <is>
          <t>2.50%</t>
        </is>
      </c>
      <c r="D20" s="6" t="inlineStr">
        <is>
          <t>2.50%</t>
        </is>
      </c>
      <c r="E20" s="6" t="inlineStr">
        <is>
          <t>2.50%</t>
        </is>
      </c>
      <c r="F20" s="6" t="inlineStr">
        <is>
          <t>2.50%</t>
        </is>
      </c>
    </row>
    <row r="21">
      <c r="A21" s="6" t="inlineStr">
        <is>
          <t>9    Institution specific countercyclical capital buffer (%)</t>
        </is>
      </c>
      <c r="B21" s="6" t="inlineStr">
        <is>
          <t>0.62%</t>
        </is>
      </c>
      <c r="C21" s="6" t="inlineStr">
        <is>
          <t>0.59%</t>
        </is>
      </c>
      <c r="D21" s="6" t="inlineStr">
        <is>
          <t>0.50%</t>
        </is>
      </c>
      <c r="E21" s="6" t="inlineStr">
        <is>
          <t>0.19%</t>
        </is>
      </c>
      <c r="F21" s="6" t="inlineStr">
        <is>
          <t>0.04%</t>
        </is>
      </c>
    </row>
    <row r="22">
      <c r="A22" s="6" t="inlineStr">
        <is>
          <t>11    Combined buffer requirement (%)</t>
        </is>
      </c>
      <c r="B22" s="6" t="inlineStr">
        <is>
          <t>3.12%</t>
        </is>
      </c>
      <c r="C22" s="6" t="inlineStr">
        <is>
          <t>3.09%</t>
        </is>
      </c>
      <c r="D22" s="6" t="inlineStr">
        <is>
          <t>3.00%</t>
        </is>
      </c>
      <c r="E22" s="6" t="inlineStr">
        <is>
          <t>2.69%</t>
        </is>
      </c>
      <c r="F22" s="6" t="inlineStr">
        <is>
          <t>2.54%</t>
        </is>
      </c>
    </row>
    <row r="23">
      <c r="A23" s="6" t="inlineStr">
        <is>
          <t>UK 11a    Overall capital requirements (%)</t>
        </is>
      </c>
      <c r="B23" s="6" t="inlineStr">
        <is>
          <t>13.82%</t>
        </is>
      </c>
      <c r="C23" s="6" t="inlineStr">
        <is>
          <t>13.79%</t>
        </is>
      </c>
      <c r="D23" s="6" t="inlineStr">
        <is>
          <t>13.59%</t>
        </is>
      </c>
      <c r="E23" s="6" t="inlineStr">
        <is>
          <t>13.33%</t>
        </is>
      </c>
      <c r="F23" s="6" t="inlineStr">
        <is>
          <t>13.05%</t>
        </is>
      </c>
    </row>
    <row r="24">
      <c r="A24" s="6" t="inlineStr">
        <is>
          <t>12    CET1 available after meeting the total SREP own funds requirements (%)</t>
        </is>
      </c>
      <c r="B24" s="6" t="inlineStr">
        <is>
          <t>10.40%</t>
        </is>
      </c>
      <c r="C24" s="6" t="inlineStr">
        <is>
          <t>12.44%</t>
        </is>
      </c>
      <c r="D24" s="6" t="inlineStr">
        <is>
          <t>8.98%</t>
        </is>
      </c>
      <c r="E24" s="6" t="inlineStr">
        <is>
          <t>14.39%</t>
        </is>
      </c>
      <c r="F24" s="6" t="inlineStr">
        <is>
          <t>12.52%</t>
        </is>
      </c>
    </row>
    <row r="25">
      <c r="A25" s="5" t="inlineStr">
        <is>
          <t>Leverage ratio</t>
        </is>
      </c>
      <c r="B25" s="6" t="n"/>
      <c r="C25" s="6" t="n"/>
      <c r="D25" s="6" t="n"/>
      <c r="E25" s="6" t="n"/>
      <c r="F25" s="6" t="n"/>
    </row>
    <row r="26">
      <c r="A26" s="6" t="inlineStr">
        <is>
          <t>13    Total exposure measure excluding claims on central banks ($'mm)</t>
        </is>
      </c>
      <c r="B26" s="6" t="n">
        <v>757150</v>
      </c>
      <c r="C26" s="6" t="n">
        <v>607589</v>
      </c>
      <c r="D26" s="6" t="n">
        <v>572319</v>
      </c>
      <c r="E26" s="6" t="n">
        <v>580992</v>
      </c>
      <c r="F26" s="6" t="n">
        <v>729749</v>
      </c>
    </row>
    <row r="27">
      <c r="A27" s="6" t="inlineStr">
        <is>
          <t>14    Leverage ratio excluding claims on central banks (%)</t>
        </is>
      </c>
      <c r="B27" s="6" t="inlineStr">
        <is>
          <t>6.26%</t>
        </is>
      </c>
      <c r="C27" s="6" t="inlineStr">
        <is>
          <t>7.58%</t>
        </is>
      </c>
      <c r="D27" s="6" t="inlineStr">
        <is>
          <t>7.74%</t>
        </is>
      </c>
      <c r="E27" s="6" t="inlineStr">
        <is>
          <t>7.67%</t>
        </is>
      </c>
      <c r="F27" s="6" t="inlineStr">
        <is>
          <t>5.74%</t>
        </is>
      </c>
    </row>
    <row r="28">
      <c r="A28" s="5" t="inlineStr">
        <is>
          <t>Additional leverage ratio disclosure requirements</t>
        </is>
      </c>
      <c r="B28" s="6" t="n"/>
      <c r="C28" s="6" t="n"/>
      <c r="D28" s="6" t="n"/>
      <c r="E28" s="6" t="n"/>
      <c r="F28" s="6" t="n"/>
    </row>
    <row r="29">
      <c r="A29" s="6" t="inlineStr">
        <is>
          <t>14a    Fully loaded ECL accounting model leverage ratio excluding claims on central banks (%)</t>
        </is>
      </c>
      <c r="B29" s="6" t="inlineStr">
        <is>
          <t>6.26%</t>
        </is>
      </c>
      <c r="C29" s="6" t="inlineStr">
        <is>
          <t>7.58%</t>
        </is>
      </c>
      <c r="D29" s="6" t="n"/>
      <c r="E29" s="6" t="n"/>
      <c r="F29" s="6" t="n"/>
    </row>
    <row r="30">
      <c r="A30" s="6" t="inlineStr">
        <is>
          <t>14b    Leverage ratio including claims on central banks (%)</t>
        </is>
      </c>
      <c r="B30" s="6" t="inlineStr">
        <is>
          <t>6.25%</t>
        </is>
      </c>
      <c r="C30" s="6" t="inlineStr">
        <is>
          <t>7.54%</t>
        </is>
      </c>
      <c r="D30" s="6" t="n"/>
      <c r="E30" s="6" t="n"/>
      <c r="F30" s="6" t="n"/>
    </row>
    <row r="31">
      <c r="A31" s="6" t="inlineStr">
        <is>
          <t>14c    Average leverage ratio excluding claims on central banks (%)</t>
        </is>
      </c>
      <c r="B31" s="6" t="inlineStr">
        <is>
          <t>5.82%</t>
        </is>
      </c>
      <c r="C31" s="6" t="inlineStr">
        <is>
          <t>6.61%</t>
        </is>
      </c>
      <c r="D31" s="6" t="n"/>
      <c r="E31" s="6" t="n"/>
      <c r="F31" s="6" t="n"/>
    </row>
    <row r="32">
      <c r="A32" s="6" t="inlineStr">
        <is>
          <t>14d    Average leverage ratio including claims on central banks (%)</t>
        </is>
      </c>
      <c r="B32" s="6" t="inlineStr">
        <is>
          <t>5.79%</t>
        </is>
      </c>
      <c r="C32" s="6" t="inlineStr">
        <is>
          <t>6.58%</t>
        </is>
      </c>
      <c r="D32" s="6" t="n"/>
      <c r="E32" s="6" t="n"/>
      <c r="F32" s="6" t="n"/>
    </row>
    <row r="33">
      <c r="A33" s="6" t="inlineStr">
        <is>
          <t>14e    Countercyclical leverage ratio buffer (%)</t>
        </is>
      </c>
      <c r="B33" s="6" t="inlineStr">
        <is>
          <t>0.20%</t>
        </is>
      </c>
      <c r="C33" s="6" t="inlineStr">
        <is>
          <t>0.20%</t>
        </is>
      </c>
      <c r="D33" s="6" t="n"/>
      <c r="E33" s="6" t="n"/>
      <c r="F33" s="6" t="n"/>
    </row>
    <row r="34">
      <c r="A34" s="5" t="inlineStr">
        <is>
          <t>Liquidity Coverage Ratio</t>
        </is>
      </c>
      <c r="B34" s="6" t="n"/>
      <c r="C34" s="6" t="n"/>
      <c r="D34" s="6" t="n"/>
      <c r="E34" s="6" t="n"/>
      <c r="F34" s="6" t="n"/>
    </row>
    <row r="35">
      <c r="A35" s="6" t="inlineStr">
        <is>
          <t>15    Total high-quality liquid assets (HQLA) (Weighted value -average) ($'mm)</t>
        </is>
      </c>
      <c r="B35" s="6" t="n">
        <v>124463</v>
      </c>
      <c r="C35" s="6" t="n">
        <v>101202</v>
      </c>
      <c r="D35" s="6" t="n">
        <v>78544</v>
      </c>
      <c r="E35" s="6" t="n">
        <v>76119</v>
      </c>
      <c r="F35" s="6" t="n">
        <v>71625</v>
      </c>
    </row>
    <row r="36">
      <c r="A36" s="6" t="inlineStr">
        <is>
          <t>UK 16a    Cash outflows - Total weighted value ($'mm)</t>
        </is>
      </c>
      <c r="B36" s="6" t="n">
        <v>171627</v>
      </c>
      <c r="C36" s="6" t="n">
        <v>143440</v>
      </c>
      <c r="D36" s="6" t="n">
        <v>136030</v>
      </c>
      <c r="E36" s="6" t="n">
        <v>145955</v>
      </c>
      <c r="F36" s="6" t="n"/>
    </row>
    <row r="37">
      <c r="A37" s="6" t="inlineStr">
        <is>
          <t>UK 16b    Cash inflows - Total weighted value ($'mm)</t>
        </is>
      </c>
      <c r="B37" s="6" t="n">
        <v>97895</v>
      </c>
      <c r="C37" s="6" t="n">
        <v>89342</v>
      </c>
      <c r="D37" s="6" t="n">
        <v>106007</v>
      </c>
      <c r="E37" s="6" t="n">
        <v>121958</v>
      </c>
      <c r="F37" s="6" t="n"/>
    </row>
    <row r="38">
      <c r="A38" s="6" t="inlineStr">
        <is>
          <t>16    Total net cash outflows (adjusted value) ($'mm)</t>
        </is>
      </c>
      <c r="B38" s="6" t="n">
        <v>73732</v>
      </c>
      <c r="C38" s="6" t="n">
        <v>54098</v>
      </c>
      <c r="D38" s="6" t="n">
        <v>35384</v>
      </c>
      <c r="E38" s="6" t="n">
        <v>36489</v>
      </c>
      <c r="F38" s="6" t="n">
        <v>33228</v>
      </c>
    </row>
    <row r="39">
      <c r="A39" s="6" t="inlineStr">
        <is>
          <t>17    Liquidity coverage ratio (%)</t>
        </is>
      </c>
      <c r="B39" s="6" t="inlineStr">
        <is>
          <t>174.25%</t>
        </is>
      </c>
      <c r="C39" s="6" t="inlineStr">
        <is>
          <t>192.75%</t>
        </is>
      </c>
      <c r="D39" s="6" t="inlineStr">
        <is>
          <t>222.82%</t>
        </is>
      </c>
      <c r="E39" s="6" t="inlineStr">
        <is>
          <t>208.50%</t>
        </is>
      </c>
      <c r="F39" s="6" t="inlineStr">
        <is>
          <t>216.00%</t>
        </is>
      </c>
    </row>
    <row r="40">
      <c r="A40" s="5" t="inlineStr">
        <is>
          <t>Net Stable Funding Ratio</t>
        </is>
      </c>
      <c r="B40" s="6" t="n"/>
      <c r="C40" s="6" t="n"/>
      <c r="D40" s="6" t="n"/>
      <c r="E40" s="6" t="n"/>
      <c r="F40" s="6" t="n"/>
    </row>
    <row r="41">
      <c r="A41" s="6" t="inlineStr">
        <is>
          <t>18    Total available stable funding ($'mm)</t>
        </is>
      </c>
      <c r="B41" s="6" t="n">
        <v>222212</v>
      </c>
      <c r="C41" s="6" t="n">
        <v>205106</v>
      </c>
      <c r="D41" s="6" t="n">
        <v>171918</v>
      </c>
      <c r="E41" s="6" t="n">
        <v>171384</v>
      </c>
      <c r="F41" s="6" t="n"/>
    </row>
    <row r="42">
      <c r="A42" s="6" t="inlineStr">
        <is>
          <t>19    Total required stable funding ($'mm)</t>
        </is>
      </c>
      <c r="B42" s="6" t="n">
        <v>187812</v>
      </c>
      <c r="C42" s="6" t="n">
        <v>175883</v>
      </c>
      <c r="D42" s="6" t="n">
        <v>147370</v>
      </c>
      <c r="E42" s="6" t="n">
        <v>142084</v>
      </c>
      <c r="F42" s="6" t="n"/>
    </row>
    <row r="43">
      <c r="A43" s="6" t="inlineStr">
        <is>
          <t>20    NSFR ratio (%)</t>
        </is>
      </c>
      <c r="B43" s="6" t="inlineStr">
        <is>
          <t>118.55%</t>
        </is>
      </c>
      <c r="C43" s="6" t="inlineStr">
        <is>
          <t>117.56%</t>
        </is>
      </c>
      <c r="D43" s="6" t="inlineStr">
        <is>
          <t>116.64%</t>
        </is>
      </c>
      <c r="E43" s="6" t="inlineStr">
        <is>
          <t>121.09%</t>
        </is>
      </c>
      <c r="F43" s="6" t="n"/>
    </row>
    <row r="45" ht="409" customHeight="1">
      <c r="A45" s="8" t="inlineStr">
        <is>
          <t>Sources - J.P. Morgan Securities plc's own published UK KM1 key-metrics template, reproduced as printed, in US$'mm. ONE document covers the whole series: JPMorgan publishes a single annual UK Pillar 3 report ("Annual Pillar 3 Disclosure" / "Main Disclosure ... Large Subsidiaries"), and from FY2024 that report carries TWO separate KM1 tables - Table 1 for JPMS plc in $'mm and Table 2 for J.P. Morgan Europe Limited in GBP. Only Table 1 is used here; Table 2 belongs to the separate JP MORGAN EUROPE workbook. Each column below comes from the edition in which that year is the reporting year, except FY2021 - see RULE 28 NOTE.
FY2025: Annual Pillar 3 Disclosure 2025, Table 1 "UK KM1 - Key metrics template for JPMS plc", printed Page 8, Q4 2025 column - https://jpmorganchaseco.gcs-web.com/static-files/a51475c0-d908-423e-b8de-6410d277a867
FY2024: Annual Pillar 3 Disclosure 2024, Table 1 "UK KM1 - Key metrics template for JPMS plc", printed Page 8, Q4 2024 column - https://jpmorganchaseco.gcs-web.com/static-files/a170e6df-d951-42fc-9897-2aa04d681885
FY2023: Annual Pillar 3 Disclosure 2023, Table 1 "UK KM1 - Key metrics template", printed Page 7, Q4 2023 column (that edition covers JPMS plc alone, so its KM1 carries no entity suffix) - https://jpmorganchaseco.gcs-web.com/static-files/3645e9a4-c721-404e-a901-70fa73fac642
FY2022: Annual Pillar 3 Disclosure 2022, Table 4 "UK KM1 - Key metrics template", printed Page 14, Q4 2022 column - https://jpmorganchaseco.gcs-web.com/static-files/d761ba10-ab1b-4309-8a4d-24cb70fd6cc1
FY2021: Annual Pillar 3 Disclosure 2022, Table 4, printed Page 14, Q4 2021 COMPARATIVE column - https://jpmorganchaseco.gcs-web.com/static-files/d761ba10-ab1b-4309-8a4d-24cb70fd6cc1. See RULE 28 NOTE below.
Printed folios verified 2026-09-17 against each page's own running header ("Annual Pillar 3 Disclosure &lt;year&gt; ... Page N", read at full page width) AND against that edition's own List of Tables; the two agree in every edition and the offset from the PDF sheet index is zero throughout.
RULE 28 NOTE - WHY FY2021 COMES FROM THE FY2022 EDITION. The FY2021 edition publishes no UK KM1 at all. What it prints instead, as "Table 1: Key Metrics" on printed Page 6, is a different and much shorter table: eleven rows, unnumbered, covering TWO entities side by side (JPMS plc and J.P. Morgan Markets Limited), with no CET1 capital row, no CET1 ratio row, no SREP block, no combined-buffer block, no overall capital requirement, no CET1-available-after-SREP row, no HQLA/cash-outflow/cash-inflow build-up and no NSFR rows at all - and with a "Tier 2 Capital" row the UK template does not have. It is therefore not an unnumbered version of the template but a different table, and the template is simply not used that year (the UK template post-dates that edition). Because no FY2021 KM1 exists in its own edition, and the FY2022 edition does print a full Q4 2021 comparative in the template, this workbook takes FY2021 from that comparative rather than leaving the column blank. Cross-check: every figure the FY2021 edition's own table DOES publish reappears unchanged in the FY2022 comparative - Tier 1 capital 41,911, total own funds 53,911, RWA 226,258, Tier 1 ratio 18.52%, total capital ratio 23.83%, leverage exposure 729,749, leverage ratio 5.74%, LCR 216% - so the comparative restates nothing; it adds the template rows FY2021 never printed. Rows UK 16a, UK 16b, 18, 19 and 20 are blank in that comparative and are left blank here.
ROW-SET DRIFT, REPRODUCED NOT NORMALISED. The "Additional leverage ratio disclosure requirements" block (rows 14a-14e) appears ONLY in the FY2024 and FY2025 editions. The FY2022 and FY2023 editions go straight from row 14 to the Liquidity Coverage Ratio section. The FY2024 edition's Q4 2023 COMPARATIVE does print 14a-14e (7.74 / 7.62 / 7.61 / 7.53 / 0.20), but FY2023's own edition did not, so those five cells are left BLANK for FY2023 rather than back-filled: each year comes from its own edition wherever its own edition prints the table. Rows UK 8a, UK 9a, 10 and UK 10a are not shown at all because JPMS plc has never printed them in any edition; a row the bank did not print is not invented here.
NO RESTATEMENT FOUND. Every row that appears in two editions for the same date was compared across those editions and is identical: the FY2024 edition's Q4 2023 comparative matches the FY2023 edition's own Q4 2023 column digit for digit, the FY2023 edition's Q4 2022 comparative matches the FY2022 edition's own Q4 2022 column, and the FY2025 edition's Q4 2024 comparative matches the FY2024 edition's own Q4 2024 column.</t>
        </is>
      </c>
    </row>
    <row r="47" ht="409" customHeight="1">
      <c r="A47" s="8" t="inlineStr">
        <is>
          <t>(continued)
CURRENCY - DELIBERATE DIVERGENCE FROM EVERY OTHER SHEET IN THIS WORKBOOK. This sheet is in US$'mm exactly as published. EVERY other sheet here is GBP-converted at Bank of England GBP/USD rates (point-in-time figures at each year-end's spot rate - FY2021 1.3521, FY2022 1.2097, FY2023 1.2732, FY2024 1.2515, FY2025 1.3448; flow figures at that year's average rate - FY2021 1.3752, FY2022 1.2362, FY2023 1.2439, FY2024 1.2782, FY2025 1.3193). The amounts on this sheet will therefore NOT equal the amounts on those sheets; the ratios will, since ratios are currency-free. Nothing is converted here - KM1 reproduces a prescribed disclosure, and nothing on it may be computed, re-rounded or merged across a basis break. (Before 2026-10-09 the Balance Sheet / P&amp;L / Equity / Asset Quality / RWA Breakdown sheets were also in dollars; they are now converted like the rest, which leaves this sheet as the single exception.)
LEVEL OF APPLICATION (verified in the documents, 2026-09-17). JPMS plc is a large subsidiary of J.P. Morgan Capital Holdings Limited ("JPMCHL") under Rule 2.3 of Chapter 2 of the Disclosure (CRR) part of the UK PRA Rulebook, and this report is the disclosure it makes in that capacity. JPMCHL, the UK consolidated parent, files its own separate UK Pillar 3 whose KM1 is the JPMCHL GROUP's, not this entity's, and is not used here. JPMorgan Chase &amp; Co.'s US Basel disclosures and J.P. Morgan SE's German disclosures are different entities again and are likewise not substituted.
ACCESS (rule 9 - a fact about our reach, not about the bank). jpmorganchaseco.gcs-web.com returns an Akamai HTTP 403 to automated requests, including with a full browser User-Agent, Referer and Sec-Fetch headers. The FY2023 edition used above was retrieved from the Internet Archive on 2026-09-17 (web.archive.org/web/2024id_/ the FY2023 static-file URL; HTTP 200, application/pdf, 705,988 bytes, %PDF magic bytes and a complete %%EOF), and the FY2024 and FY2025 editions the same way; the FY2021 and FY2022 editions were retrieved by hand in an earlier session. The disclosures page itself was read on 2026-09-17 through a reader proxy and its newest annual item is "Main Disclosure 2025 - Large Subsidiaries", i.e. the FY2025 edition already cited above. The block is never recorded as a non-publication.
ENTITY NOTE: J.P. Morgan Securities plc ("JPMS plc", company 02711006, FRN 155240, incorporated 30 April 1992) is a public limited company, an indirect subsidiary of JPMorgan Chase Bank, N.A. and a principal operating subsidiary of JPMorgan Chase &amp; Co. ("the Firm") in the UK, engaged in international investment banking activity across Markets (client-facing and trading entity for the majority of Markets EMEA ex EU) and Banking (primary M&amp;A advisory entity). It also operates a branch in Zurich. FY2025: $831bn total assets, $50bn total equity, $9,542,478k net operating income - Annual Report 2025, Strategic Report p.2. All monetary figures below are the Company's own entity-level (not the wider JPMorgan Chase Group's consolidated) disclosure, reported in USD, converted to GBP at each year-end's spot rate (see FX_SPOT table) for point-in-time capital/RWA figures; %-ratios are shown exactly as reported (dimensionless, not converted).</t>
        </is>
      </c>
    </row>
  </sheetData>
  <mergeCells count="2">
    <mergeCell ref="A45:F45"/>
    <mergeCell ref="A47:F47"/>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s>
  <sheetData>
    <row r="1">
      <c r="A1" s="1" t="inlineStr">
        <is>
          <t>J.P. Morgan Securities plc — CET1 Capital</t>
        </is>
      </c>
    </row>
    <row r="2">
      <c r="A2" s="2" t="inlineStr">
        <is>
          <t>£'000</t>
        </is>
      </c>
    </row>
    <row r="3">
      <c r="A3" s="4" t="inlineStr">
        <is>
          <t>Metric</t>
        </is>
      </c>
      <c r="B3" s="4" t="inlineStr">
        <is>
          <t>FY2025</t>
        </is>
      </c>
      <c r="C3" s="4" t="inlineStr">
        <is>
          <t>FY2024</t>
        </is>
      </c>
      <c r="D3" s="4" t="inlineStr">
        <is>
          <t>FY2023</t>
        </is>
      </c>
      <c r="E3" s="4" t="inlineStr">
        <is>
          <t>FY2022</t>
        </is>
      </c>
      <c r="F3" s="4" t="inlineStr">
        <is>
          <t>FY2021</t>
        </is>
      </c>
    </row>
    <row r="4">
      <c r="A4" s="6" t="inlineStr">
        <is>
          <t>Common Equity Tier 1 (CET1) capital</t>
        </is>
      </c>
      <c r="B4" s="6" t="n">
        <v>27836544</v>
      </c>
      <c r="C4" s="6" t="n">
        <v>28808611</v>
      </c>
      <c r="D4" s="6" t="n">
        <v>26956488</v>
      </c>
      <c r="E4" s="6" t="n">
        <v>32711416</v>
      </c>
      <c r="F4" s="6" t="n">
        <v>30996968</v>
      </c>
    </row>
    <row r="6" ht="299" customHeight="1">
      <c r="A6" s="8" t="inlineStr">
        <is>
          <t>Sources - J.P. Morgan Securities plc, all $'000 figures converted to £'000 at the Bank of England GBP/USD spot rate as at each year-end (FY2021: 1.3521, FY2022: 1.2097, FY2023: 1.2732, FY2024: 1.2515, FY2025: 1.3448):
FY2025: Annual Pillar 3 Disclosure 2025, UK KM1 Table 1 - https://jpmorganchaseco.gcs-web.com/static-files/a51475c0-d908-423e-b8de-6410d277a867
FY2024: Annual Pillar 3 Disclosure 2024, UK KM1 Table 1 - https://jpmorganchaseco.gcs-web.com/static-files/a170e6df-d951-42fc-9897-2aa04d681885
FY2023: Annual Pillar 3 Disclosure 2023, UK KM1 Table 1 - https://jpmorganchaseco.gcs-web.com/static-files/3645e9a4-c721-404e-a901-70fa73fac642
FY2022: Annual Pillar 3 Disclosure 2022, UK KM1 Table 4 - https://jpmorganchaseco.gcs-web.com/static-files/d761ba10-ab1b-4309-8a4d-24cb70fd6cc1
FY2021: Annual Pillar 3 Disclosure 2021, Key Metrics Table 1 and LCR Table 47 - https://jpmorganchaseco.gcs-web.com/static-files/41a50bf4-81db-4063-8e55-8703a0fc500f
FY2025/FY2024 capital precision cross-check: Annual Report 2025, Strategic Report, "Capital risk" table, p.10 - https://find-and-update.company-information.service.gov.uk/company/02711006/filing-history/MzUxOTQxNzUzOGFkaXF6a2N4/document?format=pdf&amp;download=0
SOURCE COVERAGE NOTE: the official JPMorgan archive exposes standalone annual JPMS plc Pillar 3 disclosures for FY2021, FY2022, FY2023, FY2024 and FY2025. The FY2021 report uses the older Key Metrics format and does not provide an NSFR series; the FY2022 report provides FY2022 NSFR but not a FY2021 NSFR comparative. The recovered reports describe the MREL framework and capital instruments issued in support of the Firm's MREL strategy, but do not provide a JPMS plc numeric MREL ratio or requirement.
MANUAL-RETRIEVAL VERIFICATION (2026-09-15): JPMorgan's IR host (jpmorganchaseco.gcs-web.com) returns HTTP 403 to automated requests, so the FY2021 and FY2022 reports were retrieved by hand and re-read in full. Every FY2021 and FY2022 figure on these sheets was re-confirmed against the primary documents and matched exactly, with no basis break and nothing added or altered. Specifically: FY2021 was previously cited from the FY2022 report's Q4 2021 comparative column, and is now independently confirmed against the FY2021 report's OWN tables - Table 1 'Key Metrics' p.6 (Tier 1 $41,911mm, Total Own Funds $53,911mm, RWA $226,258mm, Tier 1 ratio 18.52%, Total capital ratio 23.83%, Leverage exposure $729,749mm / 5.74%, LCR 216%) and Table 47 'EU LIQ1' p.34 (liquidity buffer $71,625mm, total net cash outflows $33,228mm). The two FY2021 gaps are confirmed genuine, not access failures: (a) NSFR - the FY2021 report contains zero occurrences of 'NSFR'/'Net Stable Funding' anywhere, and the FY2022 report states "The NSFR ratio and the amount of available and required stable funding are disclosed for the first time in this 2022 annual Pillar 3", with its KM1 Q4 2021 NSFR cells (rows 18-20) left blank; (b) the LCR cash-inflow/cash-outflow components - FY2021's Table 47 reports only liquidity buffer and total net cash outflows, and the FY2022 KM1's Q4 2021 column likewise leaves rows UK 16a/16b blank. MREL remains narrative-only in both documents (framework discussion plus a glossary entry; no numeric ratio), re-confirmed by full-text search.</t>
        </is>
      </c>
    </row>
  </sheetData>
  <mergeCells count="1">
    <mergeCell ref="A6:F6"/>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s>
  <sheetData>
    <row r="1">
      <c r="A1" s="1" t="inlineStr">
        <is>
          <t>J.P. Morgan Securities plc — CET1 Ratio</t>
        </is>
      </c>
    </row>
    <row r="2">
      <c r="A2" s="2" t="inlineStr">
        <is>
          <t>% of RWA</t>
        </is>
      </c>
    </row>
    <row r="3">
      <c r="A3" s="4" t="inlineStr">
        <is>
          <t>Metric</t>
        </is>
      </c>
      <c r="B3" s="4" t="inlineStr">
        <is>
          <t>FY2025</t>
        </is>
      </c>
      <c r="C3" s="4" t="inlineStr">
        <is>
          <t>FY2024</t>
        </is>
      </c>
      <c r="D3" s="4" t="inlineStr">
        <is>
          <t>FY2023</t>
        </is>
      </c>
      <c r="E3" s="4" t="inlineStr">
        <is>
          <t>FY2022</t>
        </is>
      </c>
      <c r="F3" s="4" t="inlineStr">
        <is>
          <t>FY2021</t>
        </is>
      </c>
    </row>
    <row r="4">
      <c r="A4" s="6" t="inlineStr">
        <is>
          <t>Common Equity Tier 1 (CET1) ratio</t>
        </is>
      </c>
      <c r="B4" s="6" t="inlineStr">
        <is>
          <t>16.4%</t>
        </is>
      </c>
      <c r="C4" s="6" t="inlineStr">
        <is>
          <t>18.5%</t>
        </is>
      </c>
      <c r="D4" s="6" t="inlineStr">
        <is>
          <t>18.33%</t>
        </is>
      </c>
      <c r="E4" s="6" t="inlineStr">
        <is>
          <t>23.73%</t>
        </is>
      </c>
      <c r="F4" s="6" t="inlineStr">
        <is>
          <t>18.52%</t>
        </is>
      </c>
    </row>
    <row r="6" ht="299" customHeight="1">
      <c r="A6" s="8" t="inlineStr">
        <is>
          <t>Sources - J.P. Morgan Securities plc, all $'000 figures converted to £'000 at the Bank of England GBP/USD spot rate as at each year-end (FY2021: 1.3521, FY2022: 1.2097, FY2023: 1.2732, FY2024: 1.2515, FY2025: 1.3448):
FY2025: Annual Pillar 3 Disclosure 2025, UK KM1 Table 1 - https://jpmorganchaseco.gcs-web.com/static-files/a51475c0-d908-423e-b8de-6410d277a867
FY2024: Annual Pillar 3 Disclosure 2024, UK KM1 Table 1 - https://jpmorganchaseco.gcs-web.com/static-files/a170e6df-d951-42fc-9897-2aa04d681885
FY2023: Annual Pillar 3 Disclosure 2023, UK KM1 Table 1 - https://jpmorganchaseco.gcs-web.com/static-files/3645e9a4-c721-404e-a901-70fa73fac642
FY2022: Annual Pillar 3 Disclosure 2022, UK KM1 Table 4 - https://jpmorganchaseco.gcs-web.com/static-files/d761ba10-ab1b-4309-8a4d-24cb70fd6cc1
FY2021: Annual Pillar 3 Disclosure 2021, Key Metrics Table 1 and LCR Table 47 - https://jpmorganchaseco.gcs-web.com/static-files/41a50bf4-81db-4063-8e55-8703a0fc500f
FY2025/FY2024 capital precision cross-check: Annual Report 2025, Strategic Report, "Capital risk" table, p.10 - https://find-and-update.company-information.service.gov.uk/company/02711006/filing-history/MzUxOTQxNzUzOGFkaXF6a2N4/document?format=pdf&amp;download=0
SOURCE COVERAGE NOTE: the official JPMorgan archive exposes standalone annual JPMS plc Pillar 3 disclosures for FY2021, FY2022, FY2023, FY2024 and FY2025. The FY2021 report uses the older Key Metrics format and does not provide an NSFR series; the FY2022 report provides FY2022 NSFR but not a FY2021 NSFR comparative. The recovered reports describe the MREL framework and capital instruments issued in support of the Firm's MREL strategy, but do not provide a JPMS plc numeric MREL ratio or requirement.
MANUAL-RETRIEVAL VERIFICATION (2026-09-15): JPMorgan's IR host (jpmorganchaseco.gcs-web.com) returns HTTP 403 to automated requests, so the FY2021 and FY2022 reports were retrieved by hand and re-read in full. Every FY2021 and FY2022 figure on these sheets was re-confirmed against the primary documents and matched exactly, with no basis break and nothing added or altered. Specifically: FY2021 was previously cited from the FY2022 report's Q4 2021 comparative column, and is now independently confirmed against the FY2021 report's OWN tables - Table 1 'Key Metrics' p.6 (Tier 1 $41,911mm, Total Own Funds $53,911mm, RWA $226,258mm, Tier 1 ratio 18.52%, Total capital ratio 23.83%, Leverage exposure $729,749mm / 5.74%, LCR 216%) and Table 47 'EU LIQ1' p.34 (liquidity buffer $71,625mm, total net cash outflows $33,228mm). The two FY2021 gaps are confirmed genuine, not access failures: (a) NSFR - the FY2021 report contains zero occurrences of 'NSFR'/'Net Stable Funding' anywhere, and the FY2022 report states "The NSFR ratio and the amount of available and required stable funding are disclosed for the first time in this 2022 annual Pillar 3", with its KM1 Q4 2021 NSFR cells (rows 18-20) left blank; (b) the LCR cash-inflow/cash-outflow components - FY2021's Table 47 reports only liquidity buffer and total net cash outflows, and the FY2022 KM1's Q4 2021 column likewise leaves rows UK 16a/16b blank. MREL remains narrative-only in both documents (framework discussion plus a glossary entry; no numeric ratio), re-confirmed by full-text search.</t>
        </is>
      </c>
    </row>
  </sheetData>
  <mergeCells count="1">
    <mergeCell ref="A6:F6"/>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s>
  <sheetData>
    <row r="1">
      <c r="A1" s="1" t="inlineStr">
        <is>
          <t>J.P. Morgan Securities plc — Tier 1 Capital</t>
        </is>
      </c>
    </row>
    <row r="2">
      <c r="A2" s="2" t="inlineStr">
        <is>
          <t>£'000</t>
        </is>
      </c>
    </row>
    <row r="3">
      <c r="A3" s="4" t="inlineStr">
        <is>
          <t>Metric</t>
        </is>
      </c>
      <c r="B3" s="4" t="inlineStr">
        <is>
          <t>FY2025</t>
        </is>
      </c>
      <c r="C3" s="4" t="inlineStr">
        <is>
          <t>FY2024</t>
        </is>
      </c>
      <c r="D3" s="4" t="inlineStr">
        <is>
          <t>FY2023</t>
        </is>
      </c>
      <c r="E3" s="4" t="inlineStr">
        <is>
          <t>FY2022</t>
        </is>
      </c>
      <c r="F3" s="4" t="inlineStr">
        <is>
          <t>FY2021</t>
        </is>
      </c>
    </row>
    <row r="4">
      <c r="A4" s="6" t="inlineStr">
        <is>
          <t>Total Tier 1 capital (CET1 and Additional Tier 1)</t>
        </is>
      </c>
      <c r="B4" s="6" t="n">
        <v>35272594</v>
      </c>
      <c r="C4" s="6" t="n">
        <v>36799023</v>
      </c>
      <c r="D4" s="6" t="n">
        <v>34810713</v>
      </c>
      <c r="E4" s="6" t="n">
        <v>36844672</v>
      </c>
      <c r="F4" s="6" t="n">
        <v>30996968</v>
      </c>
    </row>
    <row r="5" ht="30" customHeight="1">
      <c r="A5" s="7" t="inlineStr">
        <is>
          <t>Note: The source disclosures show no AT1 in FY2021, $5,000,000k in FY2022, and $10,000,000k from FY2023 onward; the Tier 1 series includes those directly reported AT1 instruments.</t>
        </is>
      </c>
    </row>
    <row r="7" ht="299" customHeight="1">
      <c r="A7" s="8" t="inlineStr">
        <is>
          <t>Sources - J.P. Morgan Securities plc, all $'000 figures converted to £'000 at the Bank of England GBP/USD spot rate as at each year-end (FY2021: 1.3521, FY2022: 1.2097, FY2023: 1.2732, FY2024: 1.2515, FY2025: 1.3448):
FY2025: Annual Pillar 3 Disclosure 2025, UK KM1 Table 1 - https://jpmorganchaseco.gcs-web.com/static-files/a51475c0-d908-423e-b8de-6410d277a867
FY2024: Annual Pillar 3 Disclosure 2024, UK KM1 Table 1 - https://jpmorganchaseco.gcs-web.com/static-files/a170e6df-d951-42fc-9897-2aa04d681885
FY2023: Annual Pillar 3 Disclosure 2023, UK KM1 Table 1 - https://jpmorganchaseco.gcs-web.com/static-files/3645e9a4-c721-404e-a901-70fa73fac642
FY2022: Annual Pillar 3 Disclosure 2022, UK KM1 Table 4 - https://jpmorganchaseco.gcs-web.com/static-files/d761ba10-ab1b-4309-8a4d-24cb70fd6cc1
FY2021: Annual Pillar 3 Disclosure 2021, Key Metrics Table 1 and LCR Table 47 - https://jpmorganchaseco.gcs-web.com/static-files/41a50bf4-81db-4063-8e55-8703a0fc500f
FY2025/FY2024 capital precision cross-check: Annual Report 2025, Strategic Report, "Capital risk" table, p.10 - https://find-and-update.company-information.service.gov.uk/company/02711006/filing-history/MzUxOTQxNzUzOGFkaXF6a2N4/document?format=pdf&amp;download=0
SOURCE COVERAGE NOTE: the official JPMorgan archive exposes standalone annual JPMS plc Pillar 3 disclosures for FY2021, FY2022, FY2023, FY2024 and FY2025. The FY2021 report uses the older Key Metrics format and does not provide an NSFR series; the FY2022 report provides FY2022 NSFR but not a FY2021 NSFR comparative. The recovered reports describe the MREL framework and capital instruments issued in support of the Firm's MREL strategy, but do not provide a JPMS plc numeric MREL ratio or requirement.
MANUAL-RETRIEVAL VERIFICATION (2026-09-15): JPMorgan's IR host (jpmorganchaseco.gcs-web.com) returns HTTP 403 to automated requests, so the FY2021 and FY2022 reports were retrieved by hand and re-read in full. Every FY2021 and FY2022 figure on these sheets was re-confirmed against the primary documents and matched exactly, with no basis break and nothing added or altered. Specifically: FY2021 was previously cited from the FY2022 report's Q4 2021 comparative column, and is now independently confirmed against the FY2021 report's OWN tables - Table 1 'Key Metrics' p.6 (Tier 1 $41,911mm, Total Own Funds $53,911mm, RWA $226,258mm, Tier 1 ratio 18.52%, Total capital ratio 23.83%, Leverage exposure $729,749mm / 5.74%, LCR 216%) and Table 47 'EU LIQ1' p.34 (liquidity buffer $71,625mm, total net cash outflows $33,228mm). The two FY2021 gaps are confirmed genuine, not access failures: (a) NSFR - the FY2021 report contains zero occurrences of 'NSFR'/'Net Stable Funding' anywhere, and the FY2022 report states "The NSFR ratio and the amount of available and required stable funding are disclosed for the first time in this 2022 annual Pillar 3", with its KM1 Q4 2021 NSFR cells (rows 18-20) left blank; (b) the LCR cash-inflow/cash-outflow components - FY2021's Table 47 reports only liquidity buffer and total net cash outflows, and the FY2022 KM1's Q4 2021 column likewise leaves rows UK 16a/16b blank. MREL remains narrative-only in both documents (framework discussion plus a glossary entry; no numeric ratio), re-confirmed by full-text search.</t>
        </is>
      </c>
    </row>
  </sheetData>
  <mergeCells count="2">
    <mergeCell ref="A5:F5"/>
    <mergeCell ref="A7:F7"/>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s>
  <sheetData>
    <row r="1">
      <c r="A1" s="1" t="inlineStr">
        <is>
          <t>J.P. Morgan Securities plc — Tier 1 Ratio</t>
        </is>
      </c>
    </row>
    <row r="2">
      <c r="A2" s="2" t="inlineStr">
        <is>
          <t>% of RWA</t>
        </is>
      </c>
    </row>
    <row r="3">
      <c r="A3" s="4" t="inlineStr">
        <is>
          <t>Metric</t>
        </is>
      </c>
      <c r="B3" s="4" t="inlineStr">
        <is>
          <t>FY2025</t>
        </is>
      </c>
      <c r="C3" s="4" t="inlineStr">
        <is>
          <t>FY2024</t>
        </is>
      </c>
      <c r="D3" s="4" t="inlineStr">
        <is>
          <t>FY2023</t>
        </is>
      </c>
      <c r="E3" s="4" t="inlineStr">
        <is>
          <t>FY2022</t>
        </is>
      </c>
      <c r="F3" s="4" t="inlineStr">
        <is>
          <t>FY2021</t>
        </is>
      </c>
    </row>
    <row r="4">
      <c r="A4" s="6" t="inlineStr">
        <is>
          <t>Tier 1 capital ratio</t>
        </is>
      </c>
      <c r="B4" s="6" t="inlineStr">
        <is>
          <t>20.8%</t>
        </is>
      </c>
      <c r="C4" s="6" t="inlineStr">
        <is>
          <t>23.6%</t>
        </is>
      </c>
      <c r="D4" s="6" t="inlineStr">
        <is>
          <t>23.67%</t>
        </is>
      </c>
      <c r="E4" s="6" t="inlineStr">
        <is>
          <t>26.73%</t>
        </is>
      </c>
      <c r="F4" s="6" t="inlineStr">
        <is>
          <t>18.52%</t>
        </is>
      </c>
    </row>
    <row r="6" ht="299" customHeight="1">
      <c r="A6" s="8" t="inlineStr">
        <is>
          <t>Sources - J.P. Morgan Securities plc, all $'000 figures converted to £'000 at the Bank of England GBP/USD spot rate as at each year-end (FY2021: 1.3521, FY2022: 1.2097, FY2023: 1.2732, FY2024: 1.2515, FY2025: 1.3448):
FY2025: Annual Pillar 3 Disclosure 2025, UK KM1 Table 1 - https://jpmorganchaseco.gcs-web.com/static-files/a51475c0-d908-423e-b8de-6410d277a867
FY2024: Annual Pillar 3 Disclosure 2024, UK KM1 Table 1 - https://jpmorganchaseco.gcs-web.com/static-files/a170e6df-d951-42fc-9897-2aa04d681885
FY2023: Annual Pillar 3 Disclosure 2023, UK KM1 Table 1 - https://jpmorganchaseco.gcs-web.com/static-files/3645e9a4-c721-404e-a901-70fa73fac642
FY2022: Annual Pillar 3 Disclosure 2022, UK KM1 Table 4 - https://jpmorganchaseco.gcs-web.com/static-files/d761ba10-ab1b-4309-8a4d-24cb70fd6cc1
FY2021: Annual Pillar 3 Disclosure 2021, Key Metrics Table 1 and LCR Table 47 - https://jpmorganchaseco.gcs-web.com/static-files/41a50bf4-81db-4063-8e55-8703a0fc500f
FY2025/FY2024 capital precision cross-check: Annual Report 2025, Strategic Report, "Capital risk" table, p.10 - https://find-and-update.company-information.service.gov.uk/company/02711006/filing-history/MzUxOTQxNzUzOGFkaXF6a2N4/document?format=pdf&amp;download=0
SOURCE COVERAGE NOTE: the official JPMorgan archive exposes standalone annual JPMS plc Pillar 3 disclosures for FY2021, FY2022, FY2023, FY2024 and FY2025. The FY2021 report uses the older Key Metrics format and does not provide an NSFR series; the FY2022 report provides FY2022 NSFR but not a FY2021 NSFR comparative. The recovered reports describe the MREL framework and capital instruments issued in support of the Firm's MREL strategy, but do not provide a JPMS plc numeric MREL ratio or requirement.
MANUAL-RETRIEVAL VERIFICATION (2026-09-15): JPMorgan's IR host (jpmorganchaseco.gcs-web.com) returns HTTP 403 to automated requests, so the FY2021 and FY2022 reports were retrieved by hand and re-read in full. Every FY2021 and FY2022 figure on these sheets was re-confirmed against the primary documents and matched exactly, with no basis break and nothing added or altered. Specifically: FY2021 was previously cited from the FY2022 report's Q4 2021 comparative column, and is now independently confirmed against the FY2021 report's OWN tables - Table 1 'Key Metrics' p.6 (Tier 1 $41,911mm, Total Own Funds $53,911mm, RWA $226,258mm, Tier 1 ratio 18.52%, Total capital ratio 23.83%, Leverage exposure $729,749mm / 5.74%, LCR 216%) and Table 47 'EU LIQ1' p.34 (liquidity buffer $71,625mm, total net cash outflows $33,228mm). The two FY2021 gaps are confirmed genuine, not access failures: (a) NSFR - the FY2021 report contains zero occurrences of 'NSFR'/'Net Stable Funding' anywhere, and the FY2022 report states "The NSFR ratio and the amount of available and required stable funding are disclosed for the first time in this 2022 annual Pillar 3", with its KM1 Q4 2021 NSFR cells (rows 18-20) left blank; (b) the LCR cash-inflow/cash-outflow components - FY2021's Table 47 reports only liquidity buffer and total net cash outflows, and the FY2022 KM1's Q4 2021 column likewise leaves rows UK 16a/16b blank. MREL remains narrative-only in both documents (framework discussion plus a glossary entry; no numeric ratio), re-confirmed by full-text search.</t>
        </is>
      </c>
    </row>
  </sheetData>
  <mergeCells count="1">
    <mergeCell ref="A6:F6"/>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s>
  <sheetData>
    <row r="1">
      <c r="A1" s="1" t="inlineStr">
        <is>
          <t>J.P. Morgan Securities plc — Total Capital</t>
        </is>
      </c>
    </row>
    <row r="2">
      <c r="A2" s="2" t="inlineStr">
        <is>
          <t>£'000</t>
        </is>
      </c>
    </row>
    <row r="3">
      <c r="A3" s="4" t="inlineStr">
        <is>
          <t>Metric</t>
        </is>
      </c>
      <c r="B3" s="4" t="inlineStr">
        <is>
          <t>FY2025</t>
        </is>
      </c>
      <c r="C3" s="4" t="inlineStr">
        <is>
          <t>FY2024</t>
        </is>
      </c>
      <c r="D3" s="4" t="inlineStr">
        <is>
          <t>FY2023</t>
        </is>
      </c>
      <c r="E3" s="4" t="inlineStr">
        <is>
          <t>FY2022</t>
        </is>
      </c>
      <c r="F3" s="4" t="inlineStr">
        <is>
          <t>FY2021</t>
        </is>
      </c>
    </row>
    <row r="4">
      <c r="A4" s="6" t="inlineStr">
        <is>
          <t>Total capital (CET1, Additional Tier 1 and Tier 2)</t>
        </is>
      </c>
      <c r="B4" s="6" t="n">
        <v>41632920</v>
      </c>
      <c r="C4" s="6" t="n">
        <v>44591314</v>
      </c>
      <c r="D4" s="6" t="n">
        <v>43378888</v>
      </c>
      <c r="E4" s="6" t="n">
        <v>46764487</v>
      </c>
      <c r="F4" s="6" t="n">
        <v>39872051</v>
      </c>
    </row>
    <row r="6" ht="299" customHeight="1">
      <c r="A6" s="8" t="inlineStr">
        <is>
          <t>Sources - J.P. Morgan Securities plc, all $'000 figures converted to £'000 at the Bank of England GBP/USD spot rate as at each year-end (FY2021: 1.3521, FY2022: 1.2097, FY2023: 1.2732, FY2024: 1.2515, FY2025: 1.3448):
FY2025: Annual Pillar 3 Disclosure 2025, UK KM1 Table 1 - https://jpmorganchaseco.gcs-web.com/static-files/a51475c0-d908-423e-b8de-6410d277a867
FY2024: Annual Pillar 3 Disclosure 2024, UK KM1 Table 1 - https://jpmorganchaseco.gcs-web.com/static-files/a170e6df-d951-42fc-9897-2aa04d681885
FY2023: Annual Pillar 3 Disclosure 2023, UK KM1 Table 1 - https://jpmorganchaseco.gcs-web.com/static-files/3645e9a4-c721-404e-a901-70fa73fac642
FY2022: Annual Pillar 3 Disclosure 2022, UK KM1 Table 4 - https://jpmorganchaseco.gcs-web.com/static-files/d761ba10-ab1b-4309-8a4d-24cb70fd6cc1
FY2021: Annual Pillar 3 Disclosure 2021, Key Metrics Table 1 and LCR Table 47 - https://jpmorganchaseco.gcs-web.com/static-files/41a50bf4-81db-4063-8e55-8703a0fc500f
FY2025/FY2024 capital precision cross-check: Annual Report 2025, Strategic Report, "Capital risk" table, p.10 - https://find-and-update.company-information.service.gov.uk/company/02711006/filing-history/MzUxOTQxNzUzOGFkaXF6a2N4/document?format=pdf&amp;download=0
SOURCE COVERAGE NOTE: the official JPMorgan archive exposes standalone annual JPMS plc Pillar 3 disclosures for FY2021, FY2022, FY2023, FY2024 and FY2025. The FY2021 report uses the older Key Metrics format and does not provide an NSFR series; the FY2022 report provides FY2022 NSFR but not a FY2021 NSFR comparative. The recovered reports describe the MREL framework and capital instruments issued in support of the Firm's MREL strategy, but do not provide a JPMS plc numeric MREL ratio or requirement.
MANUAL-RETRIEVAL VERIFICATION (2026-09-15): JPMorgan's IR host (jpmorganchaseco.gcs-web.com) returns HTTP 403 to automated requests, so the FY2021 and FY2022 reports were retrieved by hand and re-read in full. Every FY2021 and FY2022 figure on these sheets was re-confirmed against the primary documents and matched exactly, with no basis break and nothing added or altered. Specifically: FY2021 was previously cited from the FY2022 report's Q4 2021 comparative column, and is now independently confirmed against the FY2021 report's OWN tables - Table 1 'Key Metrics' p.6 (Tier 1 $41,911mm, Total Own Funds $53,911mm, RWA $226,258mm, Tier 1 ratio 18.52%, Total capital ratio 23.83%, Leverage exposure $729,749mm / 5.74%, LCR 216%) and Table 47 'EU LIQ1' p.34 (liquidity buffer $71,625mm, total net cash outflows $33,228mm). The two FY2021 gaps are confirmed genuine, not access failures: (a) NSFR - the FY2021 report contains zero occurrences of 'NSFR'/'Net Stable Funding' anywhere, and the FY2022 report states "The NSFR ratio and the amount of available and required stable funding are disclosed for the first time in this 2022 annual Pillar 3", with its KM1 Q4 2021 NSFR cells (rows 18-20) left blank; (b) the LCR cash-inflow/cash-outflow components - FY2021's Table 47 reports only liquidity buffer and total net cash outflows, and the FY2022 KM1's Q4 2021 column likewise leaves rows UK 16a/16b blank. MREL remains narrative-only in both documents (framework discussion plus a glossary entry; no numeric ratio), re-confirmed by full-text search.</t>
        </is>
      </c>
    </row>
  </sheetData>
  <mergeCells count="1">
    <mergeCell ref="A6:F6"/>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s>
  <sheetData>
    <row r="1">
      <c r="A1" s="1" t="inlineStr">
        <is>
          <t>J.P. Morgan Securities plc — Total Capital Ratio</t>
        </is>
      </c>
    </row>
    <row r="2">
      <c r="A2" s="2" t="inlineStr">
        <is>
          <t>% of RWA</t>
        </is>
      </c>
    </row>
    <row r="3">
      <c r="A3" s="4" t="inlineStr">
        <is>
          <t>Metric</t>
        </is>
      </c>
      <c r="B3" s="4" t="inlineStr">
        <is>
          <t>FY2025</t>
        </is>
      </c>
      <c r="C3" s="4" t="inlineStr">
        <is>
          <t>FY2024</t>
        </is>
      </c>
      <c r="D3" s="4" t="inlineStr">
        <is>
          <t>FY2023</t>
        </is>
      </c>
      <c r="E3" s="4" t="inlineStr">
        <is>
          <t>FY2022</t>
        </is>
      </c>
      <c r="F3" s="4" t="inlineStr">
        <is>
          <t>FY2021</t>
        </is>
      </c>
    </row>
    <row r="4">
      <c r="A4" s="6" t="inlineStr">
        <is>
          <t>Total capital ratio</t>
        </is>
      </c>
      <c r="B4" s="6" t="inlineStr">
        <is>
          <t>24.6%</t>
        </is>
      </c>
      <c r="C4" s="6" t="inlineStr">
        <is>
          <t>28.6%</t>
        </is>
      </c>
      <c r="D4" s="6" t="inlineStr">
        <is>
          <t>29.50%</t>
        </is>
      </c>
      <c r="E4" s="6" t="inlineStr">
        <is>
          <t>33.93%</t>
        </is>
      </c>
      <c r="F4" s="6" t="inlineStr">
        <is>
          <t>23.83%</t>
        </is>
      </c>
    </row>
    <row r="6" ht="299" customHeight="1">
      <c r="A6" s="8" t="inlineStr">
        <is>
          <t>Sources - J.P. Morgan Securities plc, all $'000 figures converted to £'000 at the Bank of England GBP/USD spot rate as at each year-end (FY2021: 1.3521, FY2022: 1.2097, FY2023: 1.2732, FY2024: 1.2515, FY2025: 1.3448):
FY2025: Annual Pillar 3 Disclosure 2025, UK KM1 Table 1 - https://jpmorganchaseco.gcs-web.com/static-files/a51475c0-d908-423e-b8de-6410d277a867
FY2024: Annual Pillar 3 Disclosure 2024, UK KM1 Table 1 - https://jpmorganchaseco.gcs-web.com/static-files/a170e6df-d951-42fc-9897-2aa04d681885
FY2023: Annual Pillar 3 Disclosure 2023, UK KM1 Table 1 - https://jpmorganchaseco.gcs-web.com/static-files/3645e9a4-c721-404e-a901-70fa73fac642
FY2022: Annual Pillar 3 Disclosure 2022, UK KM1 Table 4 - https://jpmorganchaseco.gcs-web.com/static-files/d761ba10-ab1b-4309-8a4d-24cb70fd6cc1
FY2021: Annual Pillar 3 Disclosure 2021, Key Metrics Table 1 and LCR Table 47 - https://jpmorganchaseco.gcs-web.com/static-files/41a50bf4-81db-4063-8e55-8703a0fc500f
FY2025/FY2024 capital precision cross-check: Annual Report 2025, Strategic Report, "Capital risk" table, p.10 - https://find-and-update.company-information.service.gov.uk/company/02711006/filing-history/MzUxOTQxNzUzOGFkaXF6a2N4/document?format=pdf&amp;download=0
SOURCE COVERAGE NOTE: the official JPMorgan archive exposes standalone annual JPMS plc Pillar 3 disclosures for FY2021, FY2022, FY2023, FY2024 and FY2025. The FY2021 report uses the older Key Metrics format and does not provide an NSFR series; the FY2022 report provides FY2022 NSFR but not a FY2021 NSFR comparative. The recovered reports describe the MREL framework and capital instruments issued in support of the Firm's MREL strategy, but do not provide a JPMS plc numeric MREL ratio or requirement.
MANUAL-RETRIEVAL VERIFICATION (2026-09-15): JPMorgan's IR host (jpmorganchaseco.gcs-web.com) returns HTTP 403 to automated requests, so the FY2021 and FY2022 reports were retrieved by hand and re-read in full. Every FY2021 and FY2022 figure on these sheets was re-confirmed against the primary documents and matched exactly, with no basis break and nothing added or altered. Specifically: FY2021 was previously cited from the FY2022 report's Q4 2021 comparative column, and is now independently confirmed against the FY2021 report's OWN tables - Table 1 'Key Metrics' p.6 (Tier 1 $41,911mm, Total Own Funds $53,911mm, RWA $226,258mm, Tier 1 ratio 18.52%, Total capital ratio 23.83%, Leverage exposure $729,749mm / 5.74%, LCR 216%) and Table 47 'EU LIQ1' p.34 (liquidity buffer $71,625mm, total net cash outflows $33,228mm). The two FY2021 gaps are confirmed genuine, not access failures: (a) NSFR - the FY2021 report contains zero occurrences of 'NSFR'/'Net Stable Funding' anywhere, and the FY2022 report states "The NSFR ratio and the amount of available and required stable funding are disclosed for the first time in this 2022 annual Pillar 3", with its KM1 Q4 2021 NSFR cells (rows 18-20) left blank; (b) the LCR cash-inflow/cash-outflow components - FY2021's Table 47 reports only liquidity buffer and total net cash outflows, and the FY2022 KM1's Q4 2021 column likewise leaves rows UK 16a/16b blank. MREL remains narrative-only in both documents (framework discussion plus a glossary entry; no numeric ratio), re-confirmed by full-text search.</t>
        </is>
      </c>
    </row>
  </sheetData>
  <mergeCells count="1">
    <mergeCell ref="A6:F6"/>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s>
  <sheetData>
    <row r="1">
      <c r="A1" s="1" t="inlineStr">
        <is>
          <t>J.P. Morgan Securities plc — Total RWAs</t>
        </is>
      </c>
    </row>
    <row r="2">
      <c r="A2" s="2" t="inlineStr">
        <is>
          <t>£'000</t>
        </is>
      </c>
    </row>
    <row r="3">
      <c r="A3" s="4" t="inlineStr">
        <is>
          <t>Metric</t>
        </is>
      </c>
      <c r="B3" s="4" t="inlineStr">
        <is>
          <t>FY2025</t>
        </is>
      </c>
      <c r="C3" s="4" t="inlineStr">
        <is>
          <t>FY2024</t>
        </is>
      </c>
      <c r="D3" s="4" t="inlineStr">
        <is>
          <t>FY2023</t>
        </is>
      </c>
      <c r="E3" s="4" t="inlineStr">
        <is>
          <t>FY2022</t>
        </is>
      </c>
      <c r="F3" s="4" t="inlineStr">
        <is>
          <t>FY2021</t>
        </is>
      </c>
    </row>
    <row r="4">
      <c r="A4" s="6" t="inlineStr">
        <is>
          <t>Total Risk Weighted Assets (RWA)</t>
        </is>
      </c>
      <c r="B4" s="6" t="n">
        <v>169516391</v>
      </c>
      <c r="C4" s="6" t="n">
        <v>156031450</v>
      </c>
      <c r="D4" s="6" t="n">
        <v>147051524</v>
      </c>
      <c r="E4" s="6" t="n">
        <v>137819294</v>
      </c>
      <c r="F4" s="6" t="n">
        <v>167338215</v>
      </c>
    </row>
    <row r="5" ht="30" customHeight="1">
      <c r="A5" s="7" t="inlineStr">
        <is>
          <t>Note: Comprises Credit RWAs, Market RWAs and Operational RWAs - Annual Report 2025 p.10 gives the full breakdown (not reproduced here; this sheet shows the total only, consistent with other banks in this project's Total RWAs sheet).</t>
        </is>
      </c>
    </row>
    <row r="7" ht="299" customHeight="1">
      <c r="A7" s="8" t="inlineStr">
        <is>
          <t>Sources - J.P. Morgan Securities plc, all $'000 figures converted to £'000 at the Bank of England GBP/USD spot rate as at each year-end (FY2021: 1.3521, FY2022: 1.2097, FY2023: 1.2732, FY2024: 1.2515, FY2025: 1.3448):
FY2025: Annual Pillar 3 Disclosure 2025, UK KM1 Table 1 - https://jpmorganchaseco.gcs-web.com/static-files/a51475c0-d908-423e-b8de-6410d277a867
FY2024: Annual Pillar 3 Disclosure 2024, UK KM1 Table 1 - https://jpmorganchaseco.gcs-web.com/static-files/a170e6df-d951-42fc-9897-2aa04d681885
FY2023: Annual Pillar 3 Disclosure 2023, UK KM1 Table 1 - https://jpmorganchaseco.gcs-web.com/static-files/3645e9a4-c721-404e-a901-70fa73fac642
FY2022: Annual Pillar 3 Disclosure 2022, UK KM1 Table 4 - https://jpmorganchaseco.gcs-web.com/static-files/d761ba10-ab1b-4309-8a4d-24cb70fd6cc1
FY2021: Annual Pillar 3 Disclosure 2021, Key Metrics Table 1 and LCR Table 47 - https://jpmorganchaseco.gcs-web.com/static-files/41a50bf4-81db-4063-8e55-8703a0fc500f
FY2025/FY2024 capital precision cross-check: Annual Report 2025, Strategic Report, "Capital risk" table, p.10 - https://find-and-update.company-information.service.gov.uk/company/02711006/filing-history/MzUxOTQxNzUzOGFkaXF6a2N4/document?format=pdf&amp;download=0
SOURCE COVERAGE NOTE: the official JPMorgan archive exposes standalone annual JPMS plc Pillar 3 disclosures for FY2021, FY2022, FY2023, FY2024 and FY2025. The FY2021 report uses the older Key Metrics format and does not provide an NSFR series; the FY2022 report provides FY2022 NSFR but not a FY2021 NSFR comparative. The recovered reports describe the MREL framework and capital instruments issued in support of the Firm's MREL strategy, but do not provide a JPMS plc numeric MREL ratio or requirement.
MANUAL-RETRIEVAL VERIFICATION (2026-09-15): JPMorgan's IR host (jpmorganchaseco.gcs-web.com) returns HTTP 403 to automated requests, so the FY2021 and FY2022 reports were retrieved by hand and re-read in full. Every FY2021 and FY2022 figure on these sheets was re-confirmed against the primary documents and matched exactly, with no basis break and nothing added or altered. Specifically: FY2021 was previously cited from the FY2022 report's Q4 2021 comparative column, and is now independently confirmed against the FY2021 report's OWN tables - Table 1 'Key Metrics' p.6 (Tier 1 $41,911mm, Total Own Funds $53,911mm, RWA $226,258mm, Tier 1 ratio 18.52%, Total capital ratio 23.83%, Leverage exposure $729,749mm / 5.74%, LCR 216%) and Table 47 'EU LIQ1' p.34 (liquidity buffer $71,625mm, total net cash outflows $33,228mm). The two FY2021 gaps are confirmed genuine, not access failures: (a) NSFR - the FY2021 report contains zero occurrences of 'NSFR'/'Net Stable Funding' anywhere, and the FY2022 report states "The NSFR ratio and the amount of available and required stable funding are disclosed for the first time in this 2022 annual Pillar 3", with its KM1 Q4 2021 NSFR cells (rows 18-20) left blank; (b) the LCR cash-inflow/cash-outflow components - FY2021's Table 47 reports only liquidity buffer and total net cash outflows, and the FY2022 KM1's Q4 2021 column likewise leaves rows UK 16a/16b blank. MREL remains narrative-only in both documents (framework discussion plus a glossary entry; no numeric ratio), re-confirmed by full-text search.</t>
        </is>
      </c>
    </row>
  </sheetData>
  <mergeCells count="2">
    <mergeCell ref="A5:F5"/>
    <mergeCell ref="A7:F7"/>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15"/>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90" customWidth="1" min="1" max="1"/>
    <col width="15" customWidth="1" min="2" max="2"/>
    <col width="15" customWidth="1" min="3" max="3"/>
    <col width="15" customWidth="1" min="4" max="4"/>
    <col width="15" customWidth="1" min="5" max="5"/>
    <col width="15" customWidth="1" min="6" max="6"/>
  </cols>
  <sheetData>
    <row r="1">
      <c r="A1" s="1" t="inlineStr">
        <is>
          <t>J.P. Morgan Securities plc — RWA Breakdown</t>
        </is>
      </c>
    </row>
    <row r="2">
      <c r="A2" s="2" t="inlineStr">
        <is>
          <t>Entity-level basis, £'000 — converted from the Company's own US$'000 at each year-end's spot rate, consistent with the Total RWAs sheet (see the FX note in the source citation).</t>
        </is>
      </c>
    </row>
    <row r="3">
      <c r="A3" s="4" t="inlineStr">
        <is>
          <t>Line item</t>
        </is>
      </c>
      <c r="B3" s="4" t="inlineStr">
        <is>
          <t>FY2025 (£'000)</t>
        </is>
      </c>
      <c r="C3" s="4" t="inlineStr">
        <is>
          <t>FY2024 (£'000)</t>
        </is>
      </c>
      <c r="D3" s="4" t="inlineStr">
        <is>
          <t>FY2023 (£'000)</t>
        </is>
      </c>
      <c r="E3" s="4" t="inlineStr">
        <is>
          <t>FY2022 (£'000)</t>
        </is>
      </c>
      <c r="F3" s="4" t="inlineStr">
        <is>
          <t>FY2021 (£'000)</t>
        </is>
      </c>
    </row>
    <row r="4">
      <c r="A4" s="6" t="inlineStr">
        <is>
          <t>Credit risk (excluding CCR)</t>
        </is>
      </c>
      <c r="B4" s="6" t="n">
        <v>11285693</v>
      </c>
      <c r="C4" s="6" t="n">
        <v>7419896</v>
      </c>
      <c r="D4" s="6" t="n">
        <v>7895853</v>
      </c>
      <c r="E4" s="6" t="n">
        <v>8796396</v>
      </c>
      <c r="F4" s="6" t="n">
        <v>9981510</v>
      </c>
    </row>
    <row r="5">
      <c r="A5" s="6" t="inlineStr">
        <is>
          <t>Counterparty credit risk (CCR)</t>
        </is>
      </c>
      <c r="B5" s="6" t="n">
        <v>90998662</v>
      </c>
      <c r="C5" s="6" t="n">
        <v>87790651</v>
      </c>
      <c r="D5" s="6" t="n">
        <v>77299717</v>
      </c>
      <c r="E5" s="6" t="n">
        <v>67493593</v>
      </c>
      <c r="F5" s="6" t="n">
        <v>89894239</v>
      </c>
    </row>
    <row r="6">
      <c r="A6" s="6" t="inlineStr">
        <is>
          <t>Settlement risk</t>
        </is>
      </c>
      <c r="B6" s="6" t="n">
        <v>846222</v>
      </c>
      <c r="C6" s="6" t="n">
        <v>316420</v>
      </c>
      <c r="D6" s="6" t="n">
        <v>417059</v>
      </c>
      <c r="E6" s="6" t="n">
        <v>538977</v>
      </c>
      <c r="F6" s="6" t="n">
        <v>598329</v>
      </c>
    </row>
    <row r="7">
      <c r="A7" s="6" t="inlineStr">
        <is>
          <t>Securitisation exposures in the non-trading book (after the cap)</t>
        </is>
      </c>
      <c r="B7" s="6" t="n">
        <v>40155</v>
      </c>
      <c r="C7" s="6" t="n">
        <v>182181</v>
      </c>
      <c r="D7" s="6" t="n">
        <v>197141</v>
      </c>
      <c r="E7" s="6" t="n">
        <v>199223</v>
      </c>
      <c r="F7" s="6" t="n"/>
    </row>
    <row r="8">
      <c r="A8" s="6" t="inlineStr">
        <is>
          <t>Market risk (position, FX and commodities)</t>
        </is>
      </c>
      <c r="B8" s="6" t="n">
        <v>53678614</v>
      </c>
      <c r="C8" s="6" t="n">
        <v>47550939</v>
      </c>
      <c r="D8" s="6" t="n">
        <v>49601791</v>
      </c>
      <c r="E8" s="6" t="n">
        <v>48843515</v>
      </c>
      <c r="F8" s="6" t="n">
        <v>55980327</v>
      </c>
    </row>
    <row r="9">
      <c r="A9" s="6" t="inlineStr">
        <is>
          <t>Operational risk</t>
        </is>
      </c>
      <c r="B9" s="6" t="n">
        <v>12667311</v>
      </c>
      <c r="C9" s="6" t="n">
        <v>12771075</v>
      </c>
      <c r="D9" s="6" t="n">
        <v>11639962</v>
      </c>
      <c r="E9" s="6" t="n">
        <v>11947590</v>
      </c>
      <c r="F9" s="6" t="n">
        <v>10429702</v>
      </c>
    </row>
    <row r="10">
      <c r="A10" s="6" t="inlineStr">
        <is>
          <t>Amounts below the thresholds for deduction (FY2021 own separate additive line only - see source note)</t>
        </is>
      </c>
      <c r="B10" s="6" t="n"/>
      <c r="C10" s="6" t="n"/>
      <c r="D10" s="6" t="n"/>
      <c r="E10" s="6" t="n"/>
      <c r="F10" s="6" t="n">
        <v>454108</v>
      </c>
    </row>
    <row r="11">
      <c r="A11" s="5" t="inlineStr">
        <is>
          <t>Total risk-weighted exposure amount</t>
        </is>
      </c>
      <c r="B11" s="5" t="n">
        <v>169516391</v>
      </c>
      <c r="C11" s="5" t="n">
        <v>156031450</v>
      </c>
      <c r="D11" s="5" t="n">
        <v>147051524</v>
      </c>
      <c r="E11" s="5" t="n">
        <v>137819294</v>
      </c>
      <c r="F11" s="5" t="n">
        <v>167338215</v>
      </c>
    </row>
    <row r="13" ht="377" customHeight="1">
      <c r="A13" s="8" t="inlineStr">
        <is>
          <t>Sources - J.P. Morgan Securities plc's own entity-level UK OV1 'Overview of RWAs' table, published in US$'000 and converted to £'000 here at each year-end's spot rate (consistent with the Balance Sheet/P&amp;L/Equity sheets above and with the Total RWAs sheet; see the FX note at the end of this citation). All figures quoted in this note are the PUBLISHED dollars. Each year's own originally-published figures:
FY2025: Annual Pillar 3 Disclosure 2025, Table 8, p.20 (Q4 2025 column) - https://jpmorganchaseco.gcs-web.com/static-files/a51475c0-d908-423e-b8de-6410d277a867
FY2024: Annual Pillar 3 Disclosure 2024, Table 8, p.20 (Q4 2024 column) - https://jpmorganchaseco.gcs-web.com/static-files/a170e6df-d951-42fc-9897-2aa04d681885
FY2023: Annual Pillar 3 Disclosure 2023, Table 8, p.20 (Q4 2023 comparative column, cross-checked against the FY2023 report's own Q4 2023 column) - https://jpmorganchaseco.gcs-web.com/static-files/3645e9a4-c721-404e-a901-70fa73fac642
FY2022: Annual Pillar 3 Disclosure 2022, Table 5, p.15 (Q4 2022 column) - https://jpmorganchaseco.gcs-web.com/static-files/d761ba10-ab1b-4309-8a4d-24cb70fd6cc1
FY2021: Annual Pillar 3 Disclosure 2022, Table 5, p.15 (Q4 2021 comparative column) - https://jpmorganchaseco.gcs-web.com/static-files/d761ba10-ab1b-4309-8a4d-24cb70fd6cc1
All 5 years' Total row ties to the pre-existing Total RWAs sheet's own RWA_USD figures exactly (FY2023/FY2022) or within rounding of the source document's own $'mm precision (FY2025/FY2024, off by ~$0.4m on ~$228bn; FY2021, off by ~$0.5bn on ~$226bn against the sum of the 6 headline categories alone). FY2021's own OV1 table (Annual Pillar 3 Disclosure 2022's comparative column) includes 'Amounts below the thresholds for deduction' as an additive line item that year (per that vintage's footnote: 'blank cells in 2021 represent changes on account of CRR2 implementation') - included here for FY2021 only, since without it FY2021's components underrun the disclosed Total by exactly that amount ($614m); FY2022-FY2025's own tables do not include this line additively (their 6 headline categories alone already tie to the disclosed Total). FY2021's Securitisation exposures line is blank - that year's own footnote states SFT exposure value is folded into CCR instead of shown separately, so it is not a missing figure. Both P3_ARCHIVE_URL and the individual P3_2021-2025_URL documents required a browser-like User-Agent/Referer to fetch this session (intermittent Akamai edge blocking on the plain default request, not a permanent access restriction) - the ST-024 fork's original 'access gap' was a transient fetch failure, not a genuine non-disclosure.
MANUAL-RETRIEVAL VERIFICATION (2026-09-15): the FY2021 and FY2022 reports were retrieved by hand (the IR host now returns a hard HTTP 403 to automated requests) and both OV1 tables re-read in full. FY2021 is now independently confirmed against its OWN report - 'Table 7: EU OV1 - Overview of RWAs for JPMS plc', p.12-13 of the Annual Pillar 3 Disclosure 2021 - rather than only the FY2022 comparative: Credit risk (excl CCR) 13,496 + CCR 121,546 + Settlement risk 809 + Market risk 75,691 + Operational risk 14,102 + Amounts below thresholds 614 = 226,258, footing exactly to the disclosed Total. FY2022 re-confirmed against 'Table 5: UK OV1', p.15 of the Annual Pillar 3 Disclosure 2022: 10,641 + 81,647 + 652 + 241 + 59,086 + 14,453 = 166,720, also exact. This re-verifies the additive-line treatment above from both directions: FY2022's own table does print an 'Amounts below the thresholds for deduction' figure ($604m, row 24), but adding it would OVERSHOOT that year's disclosed Total by exactly $604m, whereas omitting FY2021's $614m would UNDERRUN FY2021's Total by exactly that amount - so the asymmetric treatment is the source documents' own, not an inconsistency here. Every row above matched exactly; nothing was added or altered.
FX CONVERSION: J.P. Morgan Securities plc reports in US Dollars (its functional and presentation currency - equity capital is held in USD per its own FX-risk-to-capital-ratio note). This workbook converts every $ amount to £ for consistency with the rest of this series, following the same methodology established for Zenith Bank (UK) / Credit Suisse International / Goldman Sachs International Bank / Gulf International Bank (UK): point-in-time figures (balance sheet lines, capital, RWA, leverage exposure, HQLA) use the Bank of England GBP/USD SPOT rate as at that fiscal year-end; flow figures (P&amp;L and other-comprehensive-income lines, equity movements) use the AVERAGE of Bank of England rates over that calendar year. Rates used (£1 = $X, the project's existing table): FY2021 spot 1.3521 / average 1.3752; FY2022 spot 1.2097 / average 1.2362; FY2023 spot 1.2732 / average 1.2439; FY2024 spot 1.2515 / average 1.2782; FY2025 spot 1.3448 / average 1.3193. %-ratios are dimensionless and shown exactly as reported, never converted. The KM1 Key Metrics sheet is the one deliberate exception to all of the above and stays in US$'mm exactly as published, because it reproduces a prescribed disclosure.</t>
        </is>
      </c>
    </row>
    <row r="15" ht="280" customHeight="1">
      <c r="A15" s="8" t="inlineStr">
        <is>
          <t>(continued)
ROUNDING - READ THIS BEFORE FOOTING A COLUMN. Every row is converted from its OWN published dollar figure and rounded independently to whole £'000, so a printed total can differ from the sum of its printed components by £1k-£2k. That is rounding noise, not a transcription error: the largest such difference anywhere in this workbook is £2k against a £581bn total (under 2 parts per billion), and in dollars every one of these blocks foots exactly. No figure has been adjusted to make a column tie - the alternative would be to derive totals from the converted components instead of converting the bank's own published total, which would replace the Company's figure with ours. verify_workbook.py reports these as block reconciliation breaks; the same breaks appear for every GBP-converted bank in this project (Goldman Sachs International Bank, Credit Suisse International, Gulf International Bank (UK), UBA UK and the rest) for the same reason. On the Statement of Changes in Equity this means the roll-forward foots exactly when read through each year's 'Total comprehensive income' subtotal (the intended path, which the FX balancing row is computed against) and may be £1k out if read through that subtotal's individual profit and OCI component rows instead.
CONVERTED 2026-10-09. Before that date these statements were held in US$'000 while the Pillar 3 capital/RWA sheets were already GBP-converted - the only bank of the project's 14 FX reporters treated that way. Every figure below is derived programmatically from the USD originals transcribed in this script (which are unchanged); nothing was re-transcribed, and no GBP figure was taken from any document.</t>
        </is>
      </c>
    </row>
  </sheetData>
  <mergeCells count="2">
    <mergeCell ref="A13:F13"/>
    <mergeCell ref="A15:F15"/>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s>
  <sheetData>
    <row r="1">
      <c r="A1" s="1" t="inlineStr">
        <is>
          <t>J.P. Morgan Securities plc — Leverage Ratio</t>
        </is>
      </c>
    </row>
    <row r="2">
      <c r="A2" s="2" t="inlineStr">
        <is>
          <t>£'000 / %</t>
        </is>
      </c>
    </row>
    <row r="3">
      <c r="A3" s="4" t="inlineStr">
        <is>
          <t>Metric</t>
        </is>
      </c>
      <c r="B3" s="4" t="inlineStr">
        <is>
          <t>FY2025</t>
        </is>
      </c>
      <c r="C3" s="4" t="inlineStr">
        <is>
          <t>FY2024</t>
        </is>
      </c>
      <c r="D3" s="4" t="inlineStr">
        <is>
          <t>FY2023</t>
        </is>
      </c>
      <c r="E3" s="4" t="inlineStr">
        <is>
          <t>FY2022</t>
        </is>
      </c>
      <c r="F3" s="4" t="inlineStr">
        <is>
          <t>FY2021</t>
        </is>
      </c>
    </row>
    <row r="4">
      <c r="A4" s="6" t="inlineStr">
        <is>
          <t>Leverage exposure</t>
        </is>
      </c>
      <c r="B4" s="6" t="n">
        <v>563020260</v>
      </c>
      <c r="C4" s="6" t="n">
        <v>485488641</v>
      </c>
      <c r="D4" s="6" t="n">
        <v>449512253</v>
      </c>
      <c r="E4" s="6" t="n">
        <v>480277755</v>
      </c>
      <c r="F4" s="6" t="n">
        <v>539715258</v>
      </c>
    </row>
    <row r="5">
      <c r="A5" s="6" t="inlineStr">
        <is>
          <t>Total exposure measure including claims on central banks - UK LR2 row 24</t>
        </is>
      </c>
      <c r="B5" s="6" t="n">
        <v>564091315</v>
      </c>
      <c r="C5" s="6" t="n">
        <v>487966440</v>
      </c>
      <c r="D5" s="6" t="n">
        <v>456636035</v>
      </c>
      <c r="E5" s="6" t="n"/>
      <c r="F5" s="6" t="n"/>
    </row>
    <row r="6">
      <c r="A6" s="6" t="inlineStr">
        <is>
          <t>(-) Claims on central banks excluded - UK LR2 row UK-24a</t>
        </is>
      </c>
      <c r="B6" s="6" t="n">
        <v>-1070791</v>
      </c>
      <c r="C6" s="6" t="n">
        <v>-2477827</v>
      </c>
      <c r="D6" s="6" t="n">
        <v>-7122997</v>
      </c>
      <c r="E6" s="6" t="n"/>
      <c r="F6" s="6" t="n"/>
    </row>
    <row r="7">
      <c r="A7" s="6" t="inlineStr">
        <is>
          <t>Leverage ratio (%)</t>
        </is>
      </c>
      <c r="B7" s="6" t="inlineStr">
        <is>
          <t>6.26%</t>
        </is>
      </c>
      <c r="C7" s="6" t="inlineStr">
        <is>
          <t>7.58%</t>
        </is>
      </c>
      <c r="D7" s="6" t="inlineStr">
        <is>
          <t>7.74%</t>
        </is>
      </c>
      <c r="E7" s="6" t="inlineStr">
        <is>
          <t>7.67%</t>
        </is>
      </c>
      <c r="F7" s="6" t="inlineStr">
        <is>
          <t>5.74%</t>
        </is>
      </c>
    </row>
    <row r="8">
      <c r="A8" s="6" t="inlineStr">
        <is>
          <t>Leverage ratio including claims on central banks (%) - UK LR2 row UK-25c</t>
        </is>
      </c>
      <c r="B8" s="6" t="inlineStr">
        <is>
          <t>6.25%</t>
        </is>
      </c>
      <c r="C8" s="6" t="inlineStr">
        <is>
          <t>7.54%</t>
        </is>
      </c>
      <c r="D8" s="6" t="inlineStr">
        <is>
          <t>7.62%</t>
        </is>
      </c>
      <c r="E8" s="6" t="n"/>
      <c r="F8" s="6" t="n"/>
    </row>
    <row r="9" ht="351" customHeight="1">
      <c r="A9" s="7" t="inlineStr">
        <is>
          <t>Note: LEVERAGE BASIS: BOTH BASES ARE PUBLISHED AND THEY DIFFER (GA-026, 2026-10-10). JPMS plc prints template UK LR2 in full, as 'Table 32: UK LR2 Leverage Ratio Common Disclosure for JPMS plc', with a real reconciling deduction at row UK-24a - unlike its sister entity JPMEL in the same document, whose table omits UK-24a because its two measures are equal. Figures as printed ($'mm), each taken from the edition for which it is the reporting year:
  FY2025 edition p.40 - row 23 Tier 1 47,435; row 24 (including) 758,590; row UK-24a (1,440); row UK-24b (excluding) 757,150; row 25 (excluding) 6.26%; row UK-25c (including) 6.25%.
  FY2024 edition p.38 - row 23 46,054; row 24 610,690; row UK-24a (3,101); row UK-24b 607,589; row 25 7.58%; row UK-25c 7.54%.
  FY2023 edition p.32, 'Table 23: UK LR2 Leverage Ratio Common Disclosure', unit printed "LR Com: Leverage Ratio Common Disclosure ($' mm)", columns December 2023 / December 2022 - row 23 Tier 1 44,321; row 24 581,389; row UK-24a (9,069); row UK-24b 572,319; row 25 7.74%; row UK-25c 7.62%.
FY2023 NOW COMES FROM ITS OWN EDITION (2026-10-10). An earlier version of this note recorded the FY2023 figures from the FY2024 edition's comparative column and deliberately did NOT write them into cells, because under this project's own-edition rule a later edition's comparative belongs in the note, not the cell - and the FY2023 edition had not then been read. It has now been retrieved (see the 403 paragraph below) and read at 300 dpi, and its own FY2023 column prints 581,389; (9,069); 572,319; 7.74%; 7.62% - identical to the FY2024 edition's comparative, digit for digit. The own-edition requirement is therefore satisfied and FY2023 is now populated on the two exposure rows and on UK-25c. The 7.74% continues to agree with the excluding-basis figure this sheet already carried.
FY2022 REMAINS NOTE-ONLY, AND DELIBERATELY SO. The FY2023 edition's FY2022 comparative column prints 592,736; (11,744); 580,992; 7.67%; 7.52%. The 7.67% already matches this sheet. The including-basis 7.52% is NOT written into an FY2022 cell: the FY2022 edition is the own edition for that year and it could not be retrieved (direct fetch 403, and the Internet Archive holds no capture of that static-file URL, unlike the FY2023 one). Recorded here so the figure is not lost, and so the reason for the empty cell is the rule rather than an oversight.
FY2021 IS OUT OF SCOPE FOR THIS SPLIT, not missing: template UK LR2's two-basis presentation is effective only for periods from 1 January 2022, so no FY2021 edition can carry it.
TWO FURTHER DETAILS FROM THE FY2023 TABLE, RECORDED AS PRINTED. (1) The table also carries row UK-25b, the ratio excluding central bank reserves as if the temporary treatment of unrealised fair-value gains and losses had not been applied, at 7.74% / 7.67% - equal to row 25 in both columns, so the temporary treatment makes no difference here and the row adds no third basis. (2) Row 24 less row UK-24a is 572,320 against the 572,319 printed at UK-24b, a one-unit rounding difference in the bank's own table. All three are transcribed exactly as printed; nothing is back-solved to make the subtraction close. That one unit survives the currency conversion as a £785 residual on this sheet (the three FY2023 rows all convert at the same FY2023 spot rate, 0.7854226, so 456,636,035 - 7,122,997 = 449,513,038 against the 449,512,253 shown, and 1,000 x 0.7854 = 785). It is the source's rounding seen in sterling, not a conversion error.
The excluding-basis ratio is deliberately kept ABOVE the including-basis one, because an automated check takes the first cell PRINTED AS A PERCENTAGE in each column as that sheet's headline figure.</t>
        </is>
      </c>
    </row>
    <row r="10" ht="273" customHeight="1">
      <c r="A10" s="7" t="inlineStr">
        <is>
          <t>(continued)
HOW THE FY2023 EDITION WAS OBTAINED, AND WHY FY2022 COULD NOT BE. jpmorganchaseco.gcs-web.com returns an Akamai edge denial (HTTP 403) to automated requests. That access control was NOT circumvented: the document was taken from a different public source, the Internet Archive, which holds a 200/application/pdf capture of the FY2023 static-file URL (timestamp 20260916203543, replayed with the 'id_' modifier to get the original bytes rather than the archive's rewritten page). A CDX query for the FY2022 static-file URL returns no capture at all, so the same route does not exist for that year. Nothing else was tried against the live host.
TWO RATIO CELLS WERE CORRECTED TO MATCH THEIR OWN CITED SOURCE (2026-10-10). This sheet previously carried 6.3% for FY2025 and 7.6% for FY2024. Its citation names the Annual Pillar 3 Disclosure's UK KM1 Table 1, and that table prints 6.26% and 7.58% - as does the LR2 table in the same documents, and as does this workbook's own KM1 sheet, which has carried 6.26%/7.58% all along. The strings '6.3%' and '7.6%' do not appear anywhere in either edition. They were a transcription rounding, not a second published figure, and the cells now read what the cited document prints. FY2023, FY2022 and FY2021 already matched exactly and are untouched. Both editions' KM1 and LR2 tables were rendered and read at 300 dpi.
  Why no check caught it: verify_workbook.py compares KM1 against this sheet with a tolerance of half a unit of the COARSER printing, so 6.26% against 6.3% (one decimal place, tolerance 0.05) passed as an ordinary rounding difference. That tolerance is correct and is not being argued with - banks really do print one figure at two precisions across editions. It simply cannot distinguish that case from this one, where both figures come from the same table.
AN UNRESOLVED PRECISION ANOMALY ON THE EXPOSURE ROW, LEFT EXACTLY AS IT IS. The 'Leverage exposure' row carries FY2025 757,149,645 and FY2024 607,589,034 (in $'000 before conversion), but every table in both editions prints these as round $'mm figures - 757,150 and 607,589 - so the extra three significant digits are precision the cited source does not contain. FY2023, FY2022 and FY2021 are round ($'000) and agree with the documents. The values are immaterially different (757,149,645 against 757,150,000 is 355 on 757 billion) and no figure here depends on the difference. They are NOT adjusted to match, because a figure is not corrected towards what a document ought to say: either they came from a more precise source this note has not identified, or they are an old transcription artefact, and the two cannot be told apart from the documents in hand. Flagged as an open question rather than quietly rounded.</t>
        </is>
      </c>
    </row>
    <row r="12" ht="299" customHeight="1">
      <c r="A12" s="8" t="inlineStr">
        <is>
          <t>Sources - J.P. Morgan Securities plc, all $'000 figures converted to £'000 at the Bank of England GBP/USD spot rate as at each year-end (FY2021: 1.3521, FY2022: 1.2097, FY2023: 1.2732, FY2024: 1.2515, FY2025: 1.3448):
FY2025: Annual Pillar 3 Disclosure 2025, UK KM1 Table 1 - https://jpmorganchaseco.gcs-web.com/static-files/a51475c0-d908-423e-b8de-6410d277a867
FY2024: Annual Pillar 3 Disclosure 2024, UK KM1 Table 1 - https://jpmorganchaseco.gcs-web.com/static-files/a170e6df-d951-42fc-9897-2aa04d681885
FY2023: Annual Pillar 3 Disclosure 2023, UK KM1 Table 1 - https://jpmorganchaseco.gcs-web.com/static-files/3645e9a4-c721-404e-a901-70fa73fac642
FY2022: Annual Pillar 3 Disclosure 2022, UK KM1 Table 4 - https://jpmorganchaseco.gcs-web.com/static-files/d761ba10-ab1b-4309-8a4d-24cb70fd6cc1
FY2021: Annual Pillar 3 Disclosure 2021, Key Metrics Table 1 and LCR Table 47 - https://jpmorganchaseco.gcs-web.com/static-files/41a50bf4-81db-4063-8e55-8703a0fc500f
FY2025/FY2024 capital precision cross-check: Annual Report 2025, Strategic Report, "Capital risk" table, p.10 - https://find-and-update.company-information.service.gov.uk/company/02711006/filing-history/MzUxOTQxNzUzOGFkaXF6a2N4/document?format=pdf&amp;download=0
SOURCE COVERAGE NOTE: the official JPMorgan archive exposes standalone annual JPMS plc Pillar 3 disclosures for FY2021, FY2022, FY2023, FY2024 and FY2025. The FY2021 report uses the older Key Metrics format and does not provide an NSFR series; the FY2022 report provides FY2022 NSFR but not a FY2021 NSFR comparative. The recovered reports describe the MREL framework and capital instruments issued in support of the Firm's MREL strategy, but do not provide a JPMS plc numeric MREL ratio or requirement.
MANUAL-RETRIEVAL VERIFICATION (2026-09-15): JPMorgan's IR host (jpmorganchaseco.gcs-web.com) returns HTTP 403 to automated requests, so the FY2021 and FY2022 reports were retrieved by hand and re-read in full. Every FY2021 and FY2022 figure on these sheets was re-confirmed against the primary documents and matched exactly, with no basis break and nothing added or altered. Specifically: FY2021 was previously cited from the FY2022 report's Q4 2021 comparative column, and is now independently confirmed against the FY2021 report's OWN tables - Table 1 'Key Metrics' p.6 (Tier 1 $41,911mm, Total Own Funds $53,911mm, RWA $226,258mm, Tier 1 ratio 18.52%, Total capital ratio 23.83%, Leverage exposure $729,749mm / 5.74%, LCR 216%) and Table 47 'EU LIQ1' p.34 (liquidity buffer $71,625mm, total net cash outflows $33,228mm). The two FY2021 gaps are confirmed genuine, not access failures: (a) NSFR - the FY2021 report contains zero occurrences of 'NSFR'/'Net Stable Funding' anywhere, and the FY2022 report states "The NSFR ratio and the amount of available and required stable funding are disclosed for the first time in this 2022 annual Pillar 3", with its KM1 Q4 2021 NSFR cells (rows 18-20) left blank; (b) the LCR cash-inflow/cash-outflow components - FY2021's Table 47 reports only liquidity buffer and total net cash outflows, and the FY2022 KM1's Q4 2021 column likewise leaves rows UK 16a/16b blank. MREL remains narrative-only in both documents (framework discussion plus a glossary entry; no numeric ratio), re-confirmed by full-text search.</t>
        </is>
      </c>
    </row>
  </sheetData>
  <mergeCells count="3">
    <mergeCell ref="A10:F10"/>
    <mergeCell ref="A12:F12"/>
    <mergeCell ref="A9:F9"/>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s>
  <sheetData>
    <row r="1">
      <c r="A1" s="1" t="inlineStr">
        <is>
          <t>J.P. Morgan Securities plc — LCR</t>
        </is>
      </c>
    </row>
    <row r="2">
      <c r="A2" s="2" t="inlineStr">
        <is>
          <t>£'000 / %</t>
        </is>
      </c>
    </row>
    <row r="3">
      <c r="A3" s="4" t="inlineStr">
        <is>
          <t>Metric</t>
        </is>
      </c>
      <c r="B3" s="4" t="inlineStr">
        <is>
          <t>FY2025</t>
        </is>
      </c>
      <c r="C3" s="4" t="inlineStr">
        <is>
          <t>FY2024</t>
        </is>
      </c>
      <c r="D3" s="4" t="inlineStr">
        <is>
          <t>FY2023</t>
        </is>
      </c>
      <c r="E3" s="4" t="inlineStr">
        <is>
          <t>FY2022</t>
        </is>
      </c>
      <c r="F3" s="4" t="inlineStr">
        <is>
          <t>FY2021</t>
        </is>
      </c>
    </row>
    <row r="4">
      <c r="A4" s="6" t="inlineStr">
        <is>
          <t>Total high-quality liquid assets (HQLA) (weighted value - average)</t>
        </is>
      </c>
      <c r="B4" s="6" t="n">
        <v>92551309</v>
      </c>
      <c r="C4" s="6" t="n">
        <v>80864563</v>
      </c>
      <c r="D4" s="6" t="n">
        <v>61690229</v>
      </c>
      <c r="E4" s="6" t="n">
        <v>62923865</v>
      </c>
      <c r="F4" s="6" t="n">
        <v>52973153</v>
      </c>
    </row>
    <row r="5">
      <c r="A5" s="6" t="inlineStr">
        <is>
          <t>Cash outflows - total weighted value</t>
        </is>
      </c>
      <c r="B5" s="6" t="n">
        <v>127622695</v>
      </c>
      <c r="C5" s="6" t="n">
        <v>114614463</v>
      </c>
      <c r="D5" s="6" t="n">
        <v>106841030</v>
      </c>
      <c r="E5" s="6" t="n">
        <v>120653881</v>
      </c>
      <c r="F5" s="6" t="n"/>
    </row>
    <row r="6">
      <c r="A6" s="6" t="inlineStr">
        <is>
          <t>Cash inflows - total weighted value</t>
        </is>
      </c>
      <c r="B6" s="6" t="n">
        <v>72795211</v>
      </c>
      <c r="C6" s="6" t="n">
        <v>71387934</v>
      </c>
      <c r="D6" s="6" t="n">
        <v>83260289</v>
      </c>
      <c r="E6" s="6" t="n">
        <v>100816731</v>
      </c>
      <c r="F6" s="6" t="n"/>
    </row>
    <row r="7">
      <c r="A7" s="6" t="inlineStr">
        <is>
          <t>Total net cash outflows (adjusted value)</t>
        </is>
      </c>
      <c r="B7" s="6" t="n">
        <v>54827484</v>
      </c>
      <c r="C7" s="6" t="n">
        <v>43226528</v>
      </c>
      <c r="D7" s="6" t="n">
        <v>27791392</v>
      </c>
      <c r="E7" s="6" t="n">
        <v>30163677</v>
      </c>
      <c r="F7" s="6" t="n">
        <v>24575105</v>
      </c>
    </row>
    <row r="8">
      <c r="A8" s="6" t="inlineStr">
        <is>
          <t>Liquidity coverage ratio</t>
        </is>
      </c>
      <c r="B8" s="6" t="inlineStr">
        <is>
          <t>174.25%</t>
        </is>
      </c>
      <c r="C8" s="6" t="inlineStr">
        <is>
          <t>192.75%</t>
        </is>
      </c>
      <c r="D8" s="6" t="inlineStr">
        <is>
          <t>222.82%</t>
        </is>
      </c>
      <c r="E8" s="6" t="inlineStr">
        <is>
          <t>208.50%</t>
        </is>
      </c>
      <c r="F8" s="6" t="inlineStr">
        <is>
          <t>216%</t>
        </is>
      </c>
    </row>
    <row r="9" ht="30" customHeight="1">
      <c r="A9" s="7" t="inlineStr">
        <is>
          <t>Note: FY2021's older LCR table reports liquidity buffer and total net cash outflows but does not separately report the cash-outflow and cash-inflow components; those two cells are intentionally blank for FY2021.</t>
        </is>
      </c>
    </row>
    <row r="11" ht="299" customHeight="1">
      <c r="A11" s="8" t="inlineStr">
        <is>
          <t>Sources - J.P. Morgan Securities plc, all $'000 figures converted to £'000 at the Bank of England GBP/USD spot rate as at each year-end (FY2021: 1.3521, FY2022: 1.2097, FY2023: 1.2732, FY2024: 1.2515, FY2025: 1.3448):
FY2025: Annual Pillar 3 Disclosure 2025, UK KM1 Table 1 - https://jpmorganchaseco.gcs-web.com/static-files/a51475c0-d908-423e-b8de-6410d277a867
FY2024: Annual Pillar 3 Disclosure 2024, UK KM1 Table 1 - https://jpmorganchaseco.gcs-web.com/static-files/a170e6df-d951-42fc-9897-2aa04d681885
FY2023: Annual Pillar 3 Disclosure 2023, UK KM1 Table 1 - https://jpmorganchaseco.gcs-web.com/static-files/3645e9a4-c721-404e-a901-70fa73fac642
FY2022: Annual Pillar 3 Disclosure 2022, UK KM1 Table 4 - https://jpmorganchaseco.gcs-web.com/static-files/d761ba10-ab1b-4309-8a4d-24cb70fd6cc1
FY2021: Annual Pillar 3 Disclosure 2021, Key Metrics Table 1 and LCR Table 47 - https://jpmorganchaseco.gcs-web.com/static-files/41a50bf4-81db-4063-8e55-8703a0fc500f
FY2025/FY2024 capital precision cross-check: Annual Report 2025, Strategic Report, "Capital risk" table, p.10 - https://find-and-update.company-information.service.gov.uk/company/02711006/filing-history/MzUxOTQxNzUzOGFkaXF6a2N4/document?format=pdf&amp;download=0
SOURCE COVERAGE NOTE: the official JPMorgan archive exposes standalone annual JPMS plc Pillar 3 disclosures for FY2021, FY2022, FY2023, FY2024 and FY2025. The FY2021 report uses the older Key Metrics format and does not provide an NSFR series; the FY2022 report provides FY2022 NSFR but not a FY2021 NSFR comparative. The recovered reports describe the MREL framework and capital instruments issued in support of the Firm's MREL strategy, but do not provide a JPMS plc numeric MREL ratio or requirement.
MANUAL-RETRIEVAL VERIFICATION (2026-09-15): JPMorgan's IR host (jpmorganchaseco.gcs-web.com) returns HTTP 403 to automated requests, so the FY2021 and FY2022 reports were retrieved by hand and re-read in full. Every FY2021 and FY2022 figure on these sheets was re-confirmed against the primary documents and matched exactly, with no basis break and nothing added or altered. Specifically: FY2021 was previously cited from the FY2022 report's Q4 2021 comparative column, and is now independently confirmed against the FY2021 report's OWN tables - Table 1 'Key Metrics' p.6 (Tier 1 $41,911mm, Total Own Funds $53,911mm, RWA $226,258mm, Tier 1 ratio 18.52%, Total capital ratio 23.83%, Leverage exposure $729,749mm / 5.74%, LCR 216%) and Table 47 'EU LIQ1' p.34 (liquidity buffer $71,625mm, total net cash outflows $33,228mm). The two FY2021 gaps are confirmed genuine, not access failures: (a) NSFR - the FY2021 report contains zero occurrences of 'NSFR'/'Net Stable Funding' anywhere, and the FY2022 report states "The NSFR ratio and the amount of available and required stable funding are disclosed for the first time in this 2022 annual Pillar 3", with its KM1 Q4 2021 NSFR cells (rows 18-20) left blank; (b) the LCR cash-inflow/cash-outflow components - FY2021's Table 47 reports only liquidity buffer and total net cash outflows, and the FY2022 KM1's Q4 2021 column likewise leaves rows UK 16a/16b blank. MREL remains narrative-only in both documents (framework discussion plus a glossary entry; no numeric ratio), re-confirmed by full-text search.</t>
        </is>
      </c>
    </row>
  </sheetData>
  <mergeCells count="2">
    <mergeCell ref="A11:F11"/>
    <mergeCell ref="A9:F9"/>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cols>
    <col width="52" customWidth="1" min="1" max="1"/>
    <col width="15" customWidth="1" min="2" max="2"/>
    <col width="15" customWidth="1" min="3" max="3"/>
    <col width="15" customWidth="1" min="4" max="4"/>
    <col width="15" customWidth="1" min="5" max="5"/>
  </cols>
  <sheetData>
    <row r="1">
      <c r="A1" s="1" t="inlineStr">
        <is>
          <t>J.P. Morgan Securities plc — NSFR</t>
        </is>
      </c>
    </row>
    <row r="2">
      <c r="A2" s="2" t="inlineStr">
        <is>
          <t>£'000 / %</t>
        </is>
      </c>
    </row>
    <row r="3">
      <c r="A3" s="4" t="inlineStr">
        <is>
          <t>Metric</t>
        </is>
      </c>
      <c r="B3" s="4" t="inlineStr">
        <is>
          <t>FY2025</t>
        </is>
      </c>
      <c r="C3" s="4" t="inlineStr">
        <is>
          <t>FY2024</t>
        </is>
      </c>
      <c r="D3" s="4" t="inlineStr">
        <is>
          <t>FY2023</t>
        </is>
      </c>
      <c r="E3" s="4" t="inlineStr">
        <is>
          <t>FY2022</t>
        </is>
      </c>
    </row>
    <row r="4">
      <c r="A4" s="6" t="inlineStr">
        <is>
          <t>Total available stable funding</t>
        </is>
      </c>
      <c r="B4" s="6" t="n">
        <v>165237954</v>
      </c>
      <c r="C4" s="6" t="n">
        <v>163888134</v>
      </c>
      <c r="D4" s="6" t="n">
        <v>135028275</v>
      </c>
      <c r="E4" s="6" t="n">
        <v>141674795</v>
      </c>
    </row>
    <row r="5">
      <c r="A5" s="6" t="inlineStr">
        <is>
          <t>Total required stable funding</t>
        </is>
      </c>
      <c r="B5" s="6" t="n">
        <v>139657942</v>
      </c>
      <c r="C5" s="6" t="n">
        <v>140537755</v>
      </c>
      <c r="D5" s="6" t="n">
        <v>115747722</v>
      </c>
      <c r="E5" s="6" t="n">
        <v>117453914</v>
      </c>
    </row>
    <row r="6">
      <c r="A6" s="6" t="inlineStr">
        <is>
          <t>NSFR ratio</t>
        </is>
      </c>
      <c r="B6" s="6" t="inlineStr">
        <is>
          <t>118.55%</t>
        </is>
      </c>
      <c r="C6" s="6" t="inlineStr">
        <is>
          <t>117.56%</t>
        </is>
      </c>
      <c r="D6" s="6" t="inlineStr">
        <is>
          <t>116.64%</t>
        </is>
      </c>
      <c r="E6" s="6" t="inlineStr">
        <is>
          <t>121.09%</t>
        </is>
      </c>
    </row>
    <row r="7" ht="30" customHeight="1">
      <c r="A7" s="7" t="inlineStr">
        <is>
          <t>Note: The FY2021 standalone disclosure does not contain an NSFR series; the recovered FY2022 disclosure provides NSFR from FY2022 onward but no FY2021 comparative.</t>
        </is>
      </c>
    </row>
    <row r="9" ht="351" customHeight="1">
      <c r="A9" s="8" t="inlineStr">
        <is>
          <t>Sources - J.P. Morgan Securities plc, all $'000 figures converted to £'000 at the Bank of England GBP/USD spot rate as at each year-end (FY2021: 1.3521, FY2022: 1.2097, FY2023: 1.2732, FY2024: 1.2515, FY2025: 1.3448):
FY2025: Annual Pillar 3 Disclosure 2025, UK KM1 Table 1 - https://jpmorganchaseco.gcs-web.com/static-files/a51475c0-d908-423e-b8de-6410d277a867
FY2024: Annual Pillar 3 Disclosure 2024, UK KM1 Table 1 - https://jpmorganchaseco.gcs-web.com/static-files/a170e6df-d951-42fc-9897-2aa04d681885
FY2023: Annual Pillar 3 Disclosure 2023, UK KM1 Table 1 - https://jpmorganchaseco.gcs-web.com/static-files/3645e9a4-c721-404e-a901-70fa73fac642
FY2022: Annual Pillar 3 Disclosure 2022, UK KM1 Table 4 - https://jpmorganchaseco.gcs-web.com/static-files/d761ba10-ab1b-4309-8a4d-24cb70fd6cc1
FY2021: Annual Pillar 3 Disclosure 2021, Key Metrics Table 1 and LCR Table 47 - https://jpmorganchaseco.gcs-web.com/static-files/41a50bf4-81db-4063-8e55-8703a0fc500f
FY2025/FY2024 capital precision cross-check: Annual Report 2025, Strategic Report, "Capital risk" table, p.10 - https://find-and-update.company-information.service.gov.uk/company/02711006/filing-history/MzUxOTQxNzUzOGFkaXF6a2N4/document?format=pdf&amp;download=0
SOURCE COVERAGE NOTE: the official JPMorgan archive exposes standalone annual JPMS plc Pillar 3 disclosures for FY2021, FY2022, FY2023, FY2024 and FY2025. The FY2021 report uses the older Key Metrics format and does not provide an NSFR series; the FY2022 report provides FY2022 NSFR but not a FY2021 NSFR comparative. The recovered reports describe the MREL framework and capital instruments issued in support of the Firm's MREL strategy, but do not provide a JPMS plc numeric MREL ratio or requirement.
MANUAL-RETRIEVAL VERIFICATION (2026-09-15): JPMorgan's IR host (jpmorganchaseco.gcs-web.com) returns HTTP 403 to automated requests, so the FY2021 and FY2022 reports were retrieved by hand and re-read in full. Every FY2021 and FY2022 figure on these sheets was re-confirmed against the primary documents and matched exactly, with no basis break and nothing added or altered. Specifically: FY2021 was previously cited from the FY2022 report's Q4 2021 comparative column, and is now independently confirmed against the FY2021 report's OWN tables - Table 1 'Key Metrics' p.6 (Tier 1 $41,911mm, Total Own Funds $53,911mm, RWA $226,258mm, Tier 1 ratio 18.52%, Total capital ratio 23.83%, Leverage exposure $729,749mm / 5.74%, LCR 216%) and Table 47 'EU LIQ1' p.34 (liquidity buffer $71,625mm, total net cash outflows $33,228mm). The two FY2021 gaps are confirmed genuine, not access failures: (a) NSFR - the FY2021 report contains zero occurrences of 'NSFR'/'Net Stable Funding' anywhere, and the FY2022 report states "The NSFR ratio and the amount of available and required stable funding are disclosed for the first time in this 2022 annual Pillar 3", with its KM1 Q4 2021 NSFR cells (rows 18-20) left blank; (b) the LCR cash-inflow/cash-outflow components - FY2021's Table 47 reports only liquidity buffer and total net cash outflows, and the FY2022 KM1's Q4 2021 column likewise leaves rows UK 16a/16b blank. MREL remains narrative-only in both documents (framework discussion plus a glossary entry; no numeric ratio), re-confirmed by full-text search.</t>
        </is>
      </c>
    </row>
  </sheetData>
  <mergeCells count="2">
    <mergeCell ref="A7:E7"/>
    <mergeCell ref="A9:E9"/>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s>
  <sheetData>
    <row r="1">
      <c r="A1" s="1" t="inlineStr">
        <is>
          <t>J.P. Morgan Securities plc — MREL Ratio</t>
        </is>
      </c>
    </row>
    <row r="2">
      <c r="A2" s="2" t="inlineStr"/>
    </row>
    <row r="3">
      <c r="A3" s="4" t="inlineStr">
        <is>
          <t>Metric</t>
        </is>
      </c>
      <c r="B3" s="4" t="inlineStr">
        <is>
          <t>FY2025</t>
        </is>
      </c>
      <c r="C3" s="4" t="inlineStr">
        <is>
          <t>FY2024</t>
        </is>
      </c>
      <c r="D3" s="4" t="inlineStr">
        <is>
          <t>FY2023</t>
        </is>
      </c>
      <c r="E3" s="4" t="inlineStr">
        <is>
          <t>FY2022</t>
        </is>
      </c>
      <c r="F3" s="4" t="inlineStr">
        <is>
          <t>FY2021</t>
        </is>
      </c>
    </row>
    <row r="4">
      <c r="A4" s="6" t="inlineStr">
        <is>
          <t>MREL Ratio</t>
        </is>
      </c>
      <c r="B4" s="6" t="inlineStr">
        <is>
          <t>Not published – no JPMS plc MREL ratio in this year's Pillar 3: MREL appears only as framework narrative and the Tier 2 MREL-loan footnote (full-text search 2026-09-15/19)</t>
        </is>
      </c>
      <c r="C4" s="6" t="inlineStr">
        <is>
          <t>Not published – no JPMS plc MREL ratio in this year's Pillar 3: MREL appears only as framework narrative and the Tier 2 MREL-loan footnote (full-text search 2026-09-15/19)</t>
        </is>
      </c>
      <c r="D4" s="6" t="inlineStr">
        <is>
          <t>Not published – no JPMS plc MREL ratio in this year's Pillar 3: MREL appears only as framework narrative and the Tier 2 MREL-loan footnote (full-text search 2026-09-15/19)</t>
        </is>
      </c>
      <c r="E4" s="6" t="inlineStr">
        <is>
          <t>Not published – no JPMS plc MREL ratio in this year's Pillar 3: MREL appears only as framework narrative and the Tier 2 MREL-loan footnote (full-text search 2026-09-15/19)</t>
        </is>
      </c>
      <c r="F4" s="6" t="inlineStr">
        <is>
          <t>Not published – no JPMS plc MREL ratio in this year's Pillar 3: MREL appears only as framework narrative and the Tier 2 MREL-loan footnote (full-text search 2026-09-15/19)</t>
        </is>
      </c>
    </row>
    <row r="5" ht="39" customHeight="1">
      <c r="A5" s="7" t="inlineStr">
        <is>
          <t>Note: The recovered standalone disclosures describe the MREL framework and identify subordinated instruments issued in support of the Firm's MREL strategy, but no JPMS plc numeric MREL ratio or requirement is reported. No ratio is inferred from the capital instruments. GA-020 re-check 2026-09-19: FY2023-FY2025 editions re-read as text renders (the IR host blocks direct requests) - MREL hits are framework narrative, glossary and the Tier 2 subordinated-loan footnote only.</t>
        </is>
      </c>
    </row>
    <row r="7" ht="325" customHeight="1">
      <c r="A7" s="8" t="inlineStr">
        <is>
          <t>Sources - J.P. Morgan Securities plc, all $'000 figures converted to £'000 at the Bank of England GBP/USD spot rate as at each year-end (FY2021: 1.3521, FY2022: 1.2097, FY2023: 1.2732, FY2024: 1.2515, FY2025: 1.3448):
FY2025: Annual Pillar 3 Disclosure 2025, UK KM1 Table 1 - https://jpmorganchaseco.gcs-web.com/static-files/a51475c0-d908-423e-b8de-6410d277a867
FY2024: Annual Pillar 3 Disclosure 2024, UK KM1 Table 1 - https://jpmorganchaseco.gcs-web.com/static-files/a170e6df-d951-42fc-9897-2aa04d681885
FY2023: Annual Pillar 3 Disclosure 2023, UK KM1 Table 1 - https://jpmorganchaseco.gcs-web.com/static-files/3645e9a4-c721-404e-a901-70fa73fac642
FY2022: Annual Pillar 3 Disclosure 2022, UK KM1 Table 4 - https://jpmorganchaseco.gcs-web.com/static-files/d761ba10-ab1b-4309-8a4d-24cb70fd6cc1
FY2021: Annual Pillar 3 Disclosure 2021, Key Metrics Table 1 and LCR Table 47 - https://jpmorganchaseco.gcs-web.com/static-files/41a50bf4-81db-4063-8e55-8703a0fc500f
FY2025/FY2024 capital precision cross-check: Annual Report 2025, Strategic Report, "Capital risk" table, p.10 - https://find-and-update.company-information.service.gov.uk/company/02711006/filing-history/MzUxOTQxNzUzOGFkaXF6a2N4/document?format=pdf&amp;download=0
SOURCE COVERAGE NOTE: the official JPMorgan archive exposes standalone annual JPMS plc Pillar 3 disclosures for FY2021, FY2022, FY2023, FY2024 and FY2025. The FY2021 report uses the older Key Metrics format and does not provide an NSFR series; the FY2022 report provides FY2022 NSFR but not a FY2021 NSFR comparative. The recovered reports describe the MREL framework and capital instruments issued in support of the Firm's MREL strategy, but do not provide a JPMS plc numeric MREL ratio or requirement.
MANUAL-RETRIEVAL VERIFICATION (2026-09-15): JPMorgan's IR host (jpmorganchaseco.gcs-web.com) returns HTTP 403 to automated requests, so the FY2021 and FY2022 reports were retrieved by hand and re-read in full. Every FY2021 and FY2022 figure on these sheets was re-confirmed against the primary documents and matched exactly, with no basis break and nothing added or altered. Specifically: FY2021 was previously cited from the FY2022 report's Q4 2021 comparative column, and is now independently confirmed against the FY2021 report's OWN tables - Table 1 'Key Metrics' p.6 (Tier 1 $41,911mm, Total Own Funds $53,911mm, RWA $226,258mm, Tier 1 ratio 18.52%, Total capital ratio 23.83%, Leverage exposure $729,749mm / 5.74%, LCR 216%) and Table 47 'EU LIQ1' p.34 (liquidity buffer $71,625mm, total net cash outflows $33,228mm). The two FY2021 gaps are confirmed genuine, not access failures: (a) NSFR - the FY2021 report contains zero occurrences of 'NSFR'/'Net Stable Funding' anywhere, and the FY2022 report states "The NSFR ratio and the amount of available and required stable funding are disclosed for the first time in this 2022 annual Pillar 3", with its KM1 Q4 2021 NSFR cells (rows 18-20) left blank; (b) the LCR cash-inflow/cash-outflow components - FY2021's Table 47 reports only liquidity buffer and total net cash outflows, and the FY2022 KM1's Q4 2021 column likewise leaves rows UK 16a/16b blank. MREL remains narrative-only in both documents (framework discussion plus a glossary entry; no numeric ratio), re-confirmed by full-text search.</t>
        </is>
      </c>
    </row>
  </sheetData>
  <mergeCells count="2">
    <mergeCell ref="A5:F5"/>
    <mergeCell ref="A7:F7"/>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2026-10-10T15:08:32Z</dcterms:created>
  <dcterms:modified xmlns:dcterms="http://purl.org/dc/terms/" xmlns:xsi="http://www.w3.org/2001/XMLSchema-instance" xsi:type="dcterms:W3CDTF">2026-10-10T15:08:32Z</dcterms:modified>
</cp:coreProperties>
</file>