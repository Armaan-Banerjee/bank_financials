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'Overview'!$J$5:$M$5</f>
            </numRef>
          </cat>
          <val>
            <numRef>
              <f>'Overview'!$J$6:$M$6</f>
            </numRef>
          </val>
        </ser>
        <ser>
          <idx val="1"/>
          <order val="1"/>
          <tx>
            <strRef>
              <f>'Overview'!I7</f>
            </strRef>
          </tx>
          <spPr>
            <a:ln xmlns:a="http://schemas.openxmlformats.org/drawingml/2006/main">
              <a:prstDash val="solid"/>
            </a:ln>
          </spPr>
          <cat>
            <numRef>
              <f>'Overview'!$J$5:$M$5</f>
            </numRef>
          </cat>
          <val>
            <numRef>
              <f>'Overview'!$J$7:$M$7</f>
            </numRef>
          </val>
        </ser>
        <ser>
          <idx val="2"/>
          <order val="2"/>
          <tx>
            <strRef>
              <f>'Overview'!I8</f>
            </strRef>
          </tx>
          <spPr>
            <a:ln xmlns:a="http://schemas.openxmlformats.org/drawingml/2006/main">
              <a:prstDash val="solid"/>
            </a:ln>
          </spPr>
          <cat>
            <numRef>
              <f>'Overview'!$J$5:$M$5</f>
            </numRef>
          </cat>
          <val>
            <numRef>
              <f>'Overview'!$J$8:$M$8</f>
            </numRef>
          </val>
        </ser>
        <ser>
          <idx val="3"/>
          <order val="3"/>
          <tx>
            <strRef>
              <f>'Overview'!I9</f>
            </strRef>
          </tx>
          <spPr>
            <a:ln xmlns:a="http://schemas.openxmlformats.org/drawingml/2006/main">
              <a:prstDash val="solid"/>
            </a:ln>
          </spPr>
          <cat>
            <numRef>
              <f>'Overview'!$J$5:$M$5</f>
            </numRef>
          </cat>
          <val>
            <numRef>
              <f>'Overview'!$J$9:$M$9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'Overview'!P13</f>
            </strRef>
          </tx>
          <spPr>
            <a:ln xmlns:a="http://schemas.openxmlformats.org/drawingml/2006/main">
              <a:prstDash val="solid"/>
            </a:ln>
          </spPr>
          <cat>
            <numRef>
              <f>'Overview'!$Q$12:$T$12</f>
            </numRef>
          </cat>
          <val>
            <numRef>
              <f>'Overview'!$Q$13:$T$13</f>
            </numRef>
          </val>
        </ser>
        <ser>
          <idx val="1"/>
          <order val="1"/>
          <tx>
            <strRef>
              <f>'Overview'!P14</f>
            </strRef>
          </tx>
          <spPr>
            <a:ln xmlns:a="http://schemas.openxmlformats.org/drawingml/2006/main">
              <a:prstDash val="solid"/>
            </a:ln>
          </spPr>
          <cat>
            <numRef>
              <f>'Overview'!$Q$12:$T$12</f>
            </numRef>
          </cat>
          <val>
            <numRef>
              <f>'Overview'!$Q$14:$T$14</f>
            </numRef>
          </val>
        </ser>
        <ser>
          <idx val="2"/>
          <order val="2"/>
          <tx>
            <strRef>
              <f>'Overview'!P15</f>
            </strRef>
          </tx>
          <spPr>
            <a:ln xmlns:a="http://schemas.openxmlformats.org/drawingml/2006/main">
              <a:prstDash val="solid"/>
            </a:ln>
          </spPr>
          <cat>
            <numRef>
              <f>'Overview'!$Q$12:$T$12</f>
            </numRef>
          </cat>
          <val>
            <numRef>
              <f>'Overview'!$Q$15:$T$15</f>
            </numRef>
          </val>
        </ser>
        <ser>
          <idx val="3"/>
          <order val="3"/>
          <tx>
            <strRef>
              <f>'Overview'!P16</f>
            </strRef>
          </tx>
          <spPr>
            <a:ln xmlns:a="http://schemas.openxmlformats.org/drawingml/2006/main">
              <a:prstDash val="solid"/>
            </a:ln>
          </spPr>
          <cat>
            <numRef>
              <f>'Overview'!$Q$12:$T$12</f>
            </numRef>
          </cat>
          <val>
            <numRef>
              <f>'Overview'!$Q$16:$T$16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'Overview'!W20</f>
            </strRef>
          </tx>
          <spPr>
            <a:ln xmlns:a="http://schemas.openxmlformats.org/drawingml/2006/main">
              <a:prstDash val="solid"/>
            </a:ln>
          </spPr>
          <cat>
            <numRef>
              <f>'Overview'!$X$19:$AA$19</f>
            </numRef>
          </cat>
          <val>
            <numRef>
              <f>'Overview'!$X$20:$AA$20</f>
            </numRef>
          </val>
        </ser>
        <ser>
          <idx val="1"/>
          <order val="1"/>
          <tx>
            <strRef>
              <f>'Overview'!W21</f>
            </strRef>
          </tx>
          <spPr>
            <a:ln xmlns:a="http://schemas.openxmlformats.org/drawingml/2006/main">
              <a:prstDash val="solid"/>
            </a:ln>
          </spPr>
          <cat>
            <numRef>
              <f>'Overview'!$X$19:$AA$19</f>
            </numRef>
          </cat>
          <val>
            <numRef>
              <f>'Overview'!$X$21:$AA$21</f>
            </numRef>
          </val>
        </ser>
        <ser>
          <idx val="2"/>
          <order val="2"/>
          <tx>
            <strRef>
              <f>'Overview'!W22</f>
            </strRef>
          </tx>
          <spPr>
            <a:ln xmlns:a="http://schemas.openxmlformats.org/drawingml/2006/main">
              <a:prstDash val="solid"/>
            </a:ln>
          </spPr>
          <cat>
            <numRef>
              <f>'Overview'!$X$19:$AA$19</f>
            </numRef>
          </cat>
          <val>
            <numRef>
              <f>'Overview'!$X$22:$AA$22</f>
            </numRef>
          </val>
        </ser>
        <ser>
          <idx val="3"/>
          <order val="3"/>
          <tx>
            <strRef>
              <f>'Overview'!W23</f>
            </strRef>
          </tx>
          <spPr>
            <a:ln xmlns:a="http://schemas.openxmlformats.org/drawingml/2006/main">
              <a:prstDash val="solid"/>
            </a:ln>
          </spPr>
          <cat>
            <numRef>
              <f>'Overview'!$X$19:$AA$19</f>
            </numRef>
          </cat>
          <val>
            <numRef>
              <f>'Overview'!$X$23:$AA$23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'Overview'!AD6</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'Overview'!$AE$6:$AI$6</f>
            </numRef>
          </val>
          <smooth val="0"/>
        </ser>
        <ser>
          <idx val="1"/>
          <order val="1"/>
          <tx>
            <strRef>
              <f>'Overview'!AD7</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'Overview'!$AE$7:$AI$7</f>
            </numRef>
          </val>
          <smooth val="0"/>
        </ser>
        <ser>
          <idx val="2"/>
          <order val="2"/>
          <tx>
            <strRef>
              <f>'Overview'!AD8</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'Overview'!$AE$8:$AI$8</f>
            </numRef>
          </val>
          <smooth val="0"/>
        </ser>
        <ser>
          <idx val="3"/>
          <order val="3"/>
          <tx>
            <strRef>
              <f>'Overview'!AD9</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'Overview'!$AE$9:$AI$9</f>
            </numRef>
          </val>
          <smooth val="0"/>
        </ser>
        <ser>
          <idx val="4"/>
          <order val="4"/>
          <tx>
            <strRef>
              <f>'Overview'!AD10</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'Overview'!$AE$10:$AI$10</f>
            </numRef>
          </val>
          <smooth val="0"/>
        </ser>
        <ser>
          <idx val="5"/>
          <order val="5"/>
          <tx>
            <strRef>
              <f>'Overview'!AD11</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'Overview'!$AE$11:$AI$11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I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J5" t="inlineStr">
        <is>
          <t>FY2022</t>
        </is>
      </c>
      <c r="K5" t="inlineStr">
        <is>
          <t>FY2023</t>
        </is>
      </c>
      <c r="L5" t="inlineStr">
        <is>
          <t>FY2024</t>
        </is>
      </c>
      <c r="M5" t="inlineStr">
        <is>
          <t>FY2025</t>
        </is>
      </c>
      <c r="AE5" t="inlineStr">
        <is>
          <t>FY2021</t>
        </is>
      </c>
      <c r="AF5" t="inlineStr">
        <is>
          <t>FY2022</t>
        </is>
      </c>
      <c r="AG5" t="inlineStr">
        <is>
          <t>FY2023</t>
        </is>
      </c>
      <c r="AH5" t="inlineStr">
        <is>
          <t>FY2024</t>
        </is>
      </c>
      <c r="AI5" t="inlineStr">
        <is>
          <t>FY2025</t>
        </is>
      </c>
    </row>
    <row r="6">
      <c r="A6" s="5" t="inlineStr">
        <is>
          <t>Total assets</t>
        </is>
      </c>
      <c r="B6" s="5" t="n">
        <v>617849157</v>
      </c>
      <c r="C6" s="5" t="n">
        <v>557407933</v>
      </c>
      <c r="D6" s="5" t="n">
        <v>525094039</v>
      </c>
      <c r="E6" s="5" t="n">
        <v>581340377</v>
      </c>
      <c r="I6" t="inlineStr">
        <is>
          <t>Total assets</t>
        </is>
      </c>
      <c r="J6" t="n">
        <v>581340377</v>
      </c>
      <c r="K6" t="n">
        <v>525094039</v>
      </c>
      <c r="L6" t="n">
        <v>557407933</v>
      </c>
      <c r="M6" t="n">
        <v>617849157</v>
      </c>
      <c r="AD6" t="inlineStr">
        <is>
          <t>CET1 Ratio</t>
        </is>
      </c>
      <c r="AE6" t="n">
        <v>18.52</v>
      </c>
      <c r="AF6" t="n">
        <v>23.73</v>
      </c>
      <c r="AG6" t="n">
        <v>18.33</v>
      </c>
      <c r="AH6" t="n">
        <v>18.5</v>
      </c>
      <c r="AI6" t="n">
        <v>16.4</v>
      </c>
    </row>
    <row r="7">
      <c r="A7" s="5" t="inlineStr">
        <is>
          <t>Loans and advances to customers</t>
        </is>
      </c>
      <c r="B7" s="5" t="n">
        <v>191312</v>
      </c>
      <c r="C7" s="5" t="n">
        <v>73986</v>
      </c>
      <c r="D7" s="5" t="n">
        <v>235828</v>
      </c>
      <c r="E7" s="5" t="n">
        <v>428753</v>
      </c>
      <c r="I7" t="inlineStr">
        <is>
          <t>Loans and advances to customers</t>
        </is>
      </c>
      <c r="J7" t="n">
        <v>428753</v>
      </c>
      <c r="K7" t="n">
        <v>235828</v>
      </c>
      <c r="L7" t="n">
        <v>73986</v>
      </c>
      <c r="M7" t="n">
        <v>191312</v>
      </c>
      <c r="AD7" t="inlineStr">
        <is>
          <t>Tier 1 Ratio</t>
        </is>
      </c>
      <c r="AE7" t="n">
        <v>18.52</v>
      </c>
      <c r="AF7" t="n">
        <v>26.73</v>
      </c>
      <c r="AG7" t="n">
        <v>23.67</v>
      </c>
      <c r="AH7" t="n">
        <v>23.6</v>
      </c>
      <c r="AI7" t="n">
        <v>20.8</v>
      </c>
    </row>
    <row r="8">
      <c r="A8" s="5" t="inlineStr">
        <is>
          <t>Deposits from JPMorganChase undertakings</t>
        </is>
      </c>
      <c r="B8" s="5" t="n">
        <v>140817939</v>
      </c>
      <c r="C8" s="5" t="n">
        <v>142478256</v>
      </c>
      <c r="D8" s="5" t="n">
        <v>142110098</v>
      </c>
      <c r="E8" s="5" t="n">
        <v>144172082</v>
      </c>
      <c r="I8" t="inlineStr">
        <is>
          <t>Deposits from JPMorganChase undertakings</t>
        </is>
      </c>
      <c r="J8" t="n">
        <v>144172082</v>
      </c>
      <c r="K8" t="n">
        <v>142110098</v>
      </c>
      <c r="L8" t="n">
        <v>142478256</v>
      </c>
      <c r="M8" t="n">
        <v>140817939</v>
      </c>
      <c r="AD8" t="inlineStr">
        <is>
          <t>Total Capital Ratio</t>
        </is>
      </c>
      <c r="AE8" t="n">
        <v>23.83</v>
      </c>
      <c r="AF8" t="n">
        <v>33.93</v>
      </c>
      <c r="AG8" t="n">
        <v>29.5</v>
      </c>
      <c r="AH8" t="n">
        <v>28.6</v>
      </c>
      <c r="AI8" t="n">
        <v>24.6</v>
      </c>
    </row>
    <row r="9">
      <c r="A9" s="5" t="inlineStr">
        <is>
          <t>Total equity</t>
        </is>
      </c>
      <c r="B9" s="5" t="n">
        <v>37020257</v>
      </c>
      <c r="C9" s="5" t="n">
        <v>38528288</v>
      </c>
      <c r="D9" s="5" t="n">
        <v>36439350</v>
      </c>
      <c r="E9" s="5" t="n">
        <v>38430198</v>
      </c>
      <c r="I9" t="inlineStr">
        <is>
          <t>Total equity</t>
        </is>
      </c>
      <c r="J9" t="n">
        <v>38430198</v>
      </c>
      <c r="K9" t="n">
        <v>36439350</v>
      </c>
      <c r="L9" t="n">
        <v>38528288</v>
      </c>
      <c r="M9" t="n">
        <v>37020257</v>
      </c>
      <c r="AD9" t="inlineStr">
        <is>
          <t>Leverage Ratio</t>
        </is>
      </c>
      <c r="AE9" t="n">
        <v>5.74</v>
      </c>
      <c r="AF9" t="n">
        <v>7.67</v>
      </c>
      <c r="AG9" t="n">
        <v>7.74</v>
      </c>
      <c r="AH9" t="n">
        <v>7.6</v>
      </c>
      <c r="AI9" t="n">
        <v>6.3</v>
      </c>
    </row>
    <row r="10">
      <c r="AD10" t="inlineStr">
        <is>
          <t>LCR</t>
        </is>
      </c>
      <c r="AE10" t="n">
        <v>216</v>
      </c>
      <c r="AF10" t="n">
        <v>208.5</v>
      </c>
      <c r="AG10" t="n">
        <v>222.82</v>
      </c>
      <c r="AH10" t="n">
        <v>192.75</v>
      </c>
      <c r="AI10" t="n">
        <v>174.25</v>
      </c>
    </row>
    <row r="11">
      <c r="A11" s="3" t="inlineStr">
        <is>
          <t>Profit &amp; Loss Summary (£'000 (conv. from USD))</t>
        </is>
      </c>
      <c r="AD11" t="inlineStr">
        <is>
          <t>NSFR</t>
        </is>
      </c>
      <c r="AF11" t="n">
        <v>121.09</v>
      </c>
      <c r="AG11" t="n">
        <v>116.64</v>
      </c>
      <c r="AH11" t="n">
        <v>117.56</v>
      </c>
      <c r="AI11" t="n">
        <v>118.55</v>
      </c>
    </row>
    <row r="12">
      <c r="A12" s="4" t="inlineStr">
        <is>
          <t>Line item</t>
        </is>
      </c>
      <c r="B12" s="4" t="inlineStr">
        <is>
          <t>FY2025</t>
        </is>
      </c>
      <c r="C12" s="4" t="inlineStr">
        <is>
          <t>FY2024</t>
        </is>
      </c>
      <c r="D12" s="4" t="inlineStr">
        <is>
          <t>FY2023</t>
        </is>
      </c>
      <c r="E12" s="4" t="inlineStr">
        <is>
          <t>FY2022</t>
        </is>
      </c>
      <c r="Q12" t="inlineStr">
        <is>
          <t>FY2022</t>
        </is>
      </c>
      <c r="R12" t="inlineStr">
        <is>
          <t>FY2023</t>
        </is>
      </c>
      <c r="S12" t="inlineStr">
        <is>
          <t>FY2024</t>
        </is>
      </c>
      <c r="T12" t="inlineStr">
        <is>
          <t>FY2025</t>
        </is>
      </c>
    </row>
    <row r="13">
      <c r="A13" s="5" t="inlineStr">
        <is>
          <t>Net interest income/(expense)</t>
        </is>
      </c>
      <c r="B13" s="5" t="n">
        <v>91013</v>
      </c>
      <c r="C13" s="5" t="n">
        <v>-1422759</v>
      </c>
      <c r="D13" s="5" t="n">
        <v>-1482348</v>
      </c>
      <c r="E13" s="5" t="n">
        <v>-15864</v>
      </c>
      <c r="P13" t="inlineStr">
        <is>
          <t>Net interest income/(expense)</t>
        </is>
      </c>
      <c r="Q13" t="n">
        <v>-15864</v>
      </c>
      <c r="R13" t="n">
        <v>-1482348</v>
      </c>
      <c r="S13" t="n">
        <v>-1422759</v>
      </c>
      <c r="T13" t="n">
        <v>91013</v>
      </c>
    </row>
    <row r="14">
      <c r="A14" s="5" t="inlineStr">
        <is>
          <t>Trading profit</t>
        </is>
      </c>
      <c r="B14" s="5" t="n">
        <v>5376972</v>
      </c>
      <c r="C14" s="5" t="n">
        <v>6934215</v>
      </c>
      <c r="D14" s="5" t="n">
        <v>7070867</v>
      </c>
      <c r="E14" s="5" t="n">
        <v>5383567</v>
      </c>
      <c r="P14" t="inlineStr">
        <is>
          <t>Trading profit</t>
        </is>
      </c>
      <c r="Q14" t="n">
        <v>5383567</v>
      </c>
      <c r="R14" t="n">
        <v>7070867</v>
      </c>
      <c r="S14" t="n">
        <v>6934215</v>
      </c>
      <c r="T14" t="n">
        <v>5376972</v>
      </c>
    </row>
    <row r="15">
      <c r="A15" s="5" t="inlineStr">
        <is>
          <t>Administrative expenses</t>
        </is>
      </c>
      <c r="B15" s="5" t="n">
        <v>-4752573</v>
      </c>
      <c r="C15" s="5" t="n">
        <v>-4056255</v>
      </c>
      <c r="D15" s="5" t="n">
        <v>-4013860</v>
      </c>
      <c r="E15" s="5" t="n">
        <v>-3777457</v>
      </c>
      <c r="P15" t="inlineStr">
        <is>
          <t>Administrative expenses</t>
        </is>
      </c>
      <c r="Q15" t="n">
        <v>-3777457</v>
      </c>
      <c r="R15" t="n">
        <v>-4013860</v>
      </c>
      <c r="S15" t="n">
        <v>-4056255</v>
      </c>
      <c r="T15" t="n">
        <v>-4752573</v>
      </c>
    </row>
    <row r="16">
      <c r="A16" s="5" t="inlineStr">
        <is>
          <t>Profit for the financial year</t>
        </is>
      </c>
      <c r="B16" s="5" t="n">
        <v>1776759</v>
      </c>
      <c r="C16" s="5" t="n">
        <v>2031332</v>
      </c>
      <c r="D16" s="5" t="n">
        <v>2072653</v>
      </c>
      <c r="E16" s="5" t="n">
        <v>1979195</v>
      </c>
      <c r="P16" t="inlineStr">
        <is>
          <t>Profit for the financial year</t>
        </is>
      </c>
      <c r="Q16" t="n">
        <v>1979195</v>
      </c>
      <c r="R16" t="n">
        <v>2072653</v>
      </c>
      <c r="S16" t="n">
        <v>2031332</v>
      </c>
      <c r="T16" t="n">
        <v>1776759</v>
      </c>
    </row>
    <row r="18">
      <c r="A18" s="3" t="inlineStr">
        <is>
          <t>Statement of Changes in Equity Summary (£'000 (conv. from USD))</t>
        </is>
      </c>
    </row>
    <row r="19">
      <c r="A19" s="4" t="inlineStr">
        <is>
          <t>Line item</t>
        </is>
      </c>
      <c r="B19" s="4" t="inlineStr">
        <is>
          <t>FY2025</t>
        </is>
      </c>
      <c r="C19" s="4" t="inlineStr">
        <is>
          <t>FY2024</t>
        </is>
      </c>
      <c r="D19" s="4" t="inlineStr">
        <is>
          <t>FY2023</t>
        </is>
      </c>
      <c r="E19" s="4" t="inlineStr">
        <is>
          <t>FY2022</t>
        </is>
      </c>
      <c r="X19" t="inlineStr">
        <is>
          <t>FY2022</t>
        </is>
      </c>
      <c r="Y19" t="inlineStr">
        <is>
          <t>FY2023</t>
        </is>
      </c>
      <c r="Z19" t="inlineStr">
        <is>
          <t>FY2024</t>
        </is>
      </c>
      <c r="AA19" t="inlineStr">
        <is>
          <t>FY2025</t>
        </is>
      </c>
    </row>
    <row r="20">
      <c r="A20" s="5" t="inlineStr">
        <is>
          <t>Opening equity</t>
        </is>
      </c>
      <c r="B20" s="5" t="n">
        <v>38528288</v>
      </c>
      <c r="C20" s="5" t="n">
        <v>36439350</v>
      </c>
      <c r="D20" s="5" t="n">
        <v>38430198</v>
      </c>
      <c r="E20" s="5" t="n">
        <v>34373040</v>
      </c>
      <c r="W20" t="inlineStr">
        <is>
          <t>Opening equity</t>
        </is>
      </c>
      <c r="X20" t="n">
        <v>34373040</v>
      </c>
      <c r="Y20" t="n">
        <v>38430198</v>
      </c>
      <c r="Z20" t="n">
        <v>36439350</v>
      </c>
      <c r="AA20" t="n">
        <v>38528288</v>
      </c>
    </row>
    <row r="21">
      <c r="A21" s="5" t="inlineStr">
        <is>
          <t>Total comprehensive income for the year</t>
        </is>
      </c>
      <c r="B21" s="5" t="n">
        <v>1734031</v>
      </c>
      <c r="C21" s="5" t="n">
        <v>2067595</v>
      </c>
      <c r="D21" s="5" t="n">
        <v>2051725</v>
      </c>
      <c r="E21" s="5" t="n">
        <v>2061442</v>
      </c>
      <c r="W21" t="inlineStr">
        <is>
          <t>Total comprehensive income for the year</t>
        </is>
      </c>
      <c r="X21" t="n">
        <v>2061442</v>
      </c>
      <c r="Y21" t="n">
        <v>2051725</v>
      </c>
      <c r="Z21" t="n">
        <v>2067595</v>
      </c>
      <c r="AA21" t="n">
        <v>1734031</v>
      </c>
    </row>
    <row r="22">
      <c r="A22" s="5" t="inlineStr">
        <is>
          <t>Other equity movements, net (incl. FX translation effect)</t>
        </is>
      </c>
      <c r="B22" s="5" t="n">
        <v>-3242062</v>
      </c>
      <c r="C22" s="5" t="n">
        <v>21343</v>
      </c>
      <c r="D22" s="5" t="n">
        <v>-4042573</v>
      </c>
      <c r="E22" s="5" t="n">
        <v>1995716</v>
      </c>
      <c r="W22" t="inlineStr">
        <is>
          <t>Other equity movements, net (incl. FX translation effect)</t>
        </is>
      </c>
      <c r="X22" t="n">
        <v>1995716</v>
      </c>
      <c r="Y22" t="n">
        <v>-4042573</v>
      </c>
      <c r="Z22" t="n">
        <v>21343</v>
      </c>
      <c r="AA22" t="n">
        <v>-3242062</v>
      </c>
    </row>
    <row r="23">
      <c r="A23" s="5" t="inlineStr">
        <is>
          <t>Closing equity</t>
        </is>
      </c>
      <c r="B23" s="5" t="n">
        <v>37020257</v>
      </c>
      <c r="C23" s="5" t="n">
        <v>38528288</v>
      </c>
      <c r="D23" s="5" t="n">
        <v>36439350</v>
      </c>
      <c r="E23" s="5" t="n">
        <v>38430198</v>
      </c>
      <c r="W23" t="inlineStr">
        <is>
          <t>Closing equity</t>
        </is>
      </c>
      <c r="X23" t="n">
        <v>38430198</v>
      </c>
      <c r="Y23" t="n">
        <v>36439350</v>
      </c>
      <c r="Z23" t="n">
        <v>38528288</v>
      </c>
      <c r="AA23" t="n">
        <v>37020257</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 FY2021 predates the entity's public Companies House filing history (see the Balance Sheet sheet's source note). CURRENCY: the Company reports in US Dollars; every figure on this sheet is GBP-converted at Bank of England GBP/USD rates - point-in-time figures at each year-end's spot rate, flow figures at that year's average rate (converted 2026-10-09, bringing this workbook onto the same convention as the project's other 13 FX-reporting banks; the KM1 sheet is the sole exception and stays in published dollars). Because stocks and flows convert at different rates, the equity block's 'Other equity movements, net' absorbs each year's FX translation effect, which is shown as its own explicit row on the Statement of Changes in Equity. The Pillar 3 ratios below are dimensionless, shown exactly as reported,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Balance Sheet</t>
        </is>
      </c>
    </row>
    <row r="2">
      <c r="A2" s="2" t="inlineStr">
        <is>
          <t>Entity-level basis, £'000 — converted from the Company's own US$'000 at each year-end's Bank of England GBP/USD spot rate (see the FX note in the source citation).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v>1070953</v>
      </c>
      <c r="C5" s="6" t="n">
        <v>2477739</v>
      </c>
      <c r="D5" s="6" t="n">
        <v>7123325</v>
      </c>
      <c r="E5" s="6" t="n">
        <v>9707940</v>
      </c>
    </row>
    <row r="6">
      <c r="A6" s="6" t="inlineStr">
        <is>
          <t>Loans and advances to banks</t>
        </is>
      </c>
      <c r="B6" s="6" t="n">
        <v>5636042</v>
      </c>
      <c r="C6" s="6" t="n">
        <v>7556327</v>
      </c>
      <c r="D6" s="6" t="n">
        <v>3470624</v>
      </c>
      <c r="E6" s="6" t="n">
        <v>4348667</v>
      </c>
    </row>
    <row r="7">
      <c r="A7" s="6" t="inlineStr">
        <is>
          <t>Loans and advances to customers</t>
        </is>
      </c>
      <c r="B7" s="6" t="n">
        <v>191312</v>
      </c>
      <c r="C7" s="6" t="n">
        <v>73986</v>
      </c>
      <c r="D7" s="6" t="n">
        <v>235828</v>
      </c>
      <c r="E7" s="6" t="n">
        <v>428753</v>
      </c>
    </row>
    <row r="8">
      <c r="A8" s="6" t="inlineStr">
        <is>
          <t>Securities purchased under agreements to resell</t>
        </is>
      </c>
      <c r="B8" s="6" t="n">
        <v>174763180</v>
      </c>
      <c r="C8" s="6" t="n">
        <v>172238451</v>
      </c>
      <c r="D8" s="6" t="n">
        <v>142370492</v>
      </c>
      <c r="E8" s="6" t="n">
        <v>147248047</v>
      </c>
    </row>
    <row r="9">
      <c r="A9" s="6" t="inlineStr">
        <is>
          <t>Securities borrowed</t>
        </is>
      </c>
      <c r="B9" s="6" t="n">
        <v>52662948</v>
      </c>
      <c r="C9" s="6" t="n">
        <v>38505655</v>
      </c>
      <c r="D9" s="6" t="n">
        <v>40260313</v>
      </c>
      <c r="E9" s="6" t="n">
        <v>42069228</v>
      </c>
    </row>
    <row r="10">
      <c r="A10" s="6" t="inlineStr">
        <is>
          <t>Financial assets at fair value through profit or loss</t>
        </is>
      </c>
      <c r="B10" s="6" t="n">
        <v>281345987</v>
      </c>
      <c r="C10" s="6" t="n">
        <v>261162938</v>
      </c>
      <c r="D10" s="6" t="n">
        <v>256596848</v>
      </c>
      <c r="E10" s="6" t="n">
        <v>283906163</v>
      </c>
    </row>
    <row r="11">
      <c r="A11" s="6" t="inlineStr">
        <is>
          <t>Debtors</t>
        </is>
      </c>
      <c r="B11" s="6" t="n">
        <v>98896502</v>
      </c>
      <c r="C11" s="6" t="n">
        <v>72654286</v>
      </c>
      <c r="D11" s="6" t="n">
        <v>72688706</v>
      </c>
      <c r="E11" s="6" t="n">
        <v>91540465</v>
      </c>
    </row>
    <row r="12">
      <c r="A12" s="6" t="inlineStr">
        <is>
          <t>Other assets</t>
        </is>
      </c>
      <c r="B12" s="6" t="n">
        <v>3279921</v>
      </c>
      <c r="C12" s="6" t="n">
        <v>2736048</v>
      </c>
      <c r="D12" s="6" t="n">
        <v>2345608</v>
      </c>
      <c r="E12" s="6" t="n">
        <v>2087890</v>
      </c>
    </row>
    <row r="13">
      <c r="A13" s="6" t="inlineStr">
        <is>
          <t>Investments in JPMorgan Chase undertakings</t>
        </is>
      </c>
      <c r="B13" s="6" t="n"/>
      <c r="C13" s="6" t="n"/>
      <c r="D13" s="6" t="n">
        <v>22</v>
      </c>
      <c r="E13" s="6" t="n">
        <v>721</v>
      </c>
    </row>
    <row r="14">
      <c r="A14" s="6" t="inlineStr">
        <is>
          <t>Tangible assets</t>
        </is>
      </c>
      <c r="B14" s="6" t="n">
        <v>2312</v>
      </c>
      <c r="C14" s="6" t="n">
        <v>2503</v>
      </c>
      <c r="D14" s="6" t="n">
        <v>2273</v>
      </c>
      <c r="E14" s="6" t="n">
        <v>2502</v>
      </c>
    </row>
    <row r="15">
      <c r="A15" s="5" t="inlineStr">
        <is>
          <t>Total assets</t>
        </is>
      </c>
      <c r="B15" s="5" t="n">
        <v>617849157</v>
      </c>
      <c r="C15" s="5" t="n">
        <v>557407933</v>
      </c>
      <c r="D15" s="5" t="n">
        <v>525094039</v>
      </c>
      <c r="E15" s="5" t="n">
        <v>581340377</v>
      </c>
    </row>
    <row r="16">
      <c r="A16" s="5" t="inlineStr">
        <is>
          <t>Liabilities</t>
        </is>
      </c>
      <c r="B16" s="6" t="n"/>
      <c r="C16" s="6" t="n"/>
      <c r="D16" s="6" t="n"/>
      <c r="E16" s="6" t="n"/>
    </row>
    <row r="17">
      <c r="A17" s="6" t="inlineStr">
        <is>
          <t>Securities sold under agreements to repurchase</t>
        </is>
      </c>
      <c r="B17" s="6" t="n">
        <v>92951425</v>
      </c>
      <c r="C17" s="6" t="n">
        <v>75432703</v>
      </c>
      <c r="D17" s="6" t="n">
        <v>51288976</v>
      </c>
      <c r="E17" s="6" t="n">
        <v>59671175</v>
      </c>
    </row>
    <row r="18">
      <c r="A18" s="6" t="inlineStr">
        <is>
          <t>Securities loaned</t>
        </is>
      </c>
      <c r="B18" s="6" t="n">
        <v>22968302</v>
      </c>
      <c r="C18" s="6" t="n">
        <v>12213079</v>
      </c>
      <c r="D18" s="6" t="n">
        <v>10273817</v>
      </c>
      <c r="E18" s="6" t="n">
        <v>11220160</v>
      </c>
    </row>
    <row r="19">
      <c r="A19" s="6" t="inlineStr">
        <is>
          <t>Financial liabilities at fair value through profit or loss</t>
        </is>
      </c>
      <c r="B19" s="6" t="n">
        <v>190896489</v>
      </c>
      <c r="C19" s="6" t="n">
        <v>186328926</v>
      </c>
      <c r="D19" s="6" t="n">
        <v>186553532</v>
      </c>
      <c r="E19" s="6" t="n">
        <v>226178579</v>
      </c>
    </row>
    <row r="20">
      <c r="A20" s="6" t="inlineStr">
        <is>
          <t>Financial liabilities designated at fair value through profit or loss</t>
        </is>
      </c>
      <c r="B20" s="6" t="n">
        <v>40380033</v>
      </c>
      <c r="C20" s="6" t="n">
        <v>30958390</v>
      </c>
      <c r="D20" s="6" t="n">
        <v>20016997</v>
      </c>
      <c r="E20" s="6" t="n">
        <v>18315716</v>
      </c>
    </row>
    <row r="21">
      <c r="A21" s="6" t="inlineStr">
        <is>
          <t>Trade creditors</t>
        </is>
      </c>
      <c r="B21" s="6" t="n">
        <v>63481872</v>
      </c>
      <c r="C21" s="6" t="n">
        <v>41033284</v>
      </c>
      <c r="D21" s="6" t="n">
        <v>47865168</v>
      </c>
      <c r="E21" s="6" t="n">
        <v>47142339</v>
      </c>
    </row>
    <row r="22">
      <c r="A22" s="6" t="inlineStr">
        <is>
          <t>Deposits from JPMorganChase undertakings</t>
        </is>
      </c>
      <c r="B22" s="6" t="n">
        <v>140817939</v>
      </c>
      <c r="C22" s="6" t="n">
        <v>142478256</v>
      </c>
      <c r="D22" s="6" t="n">
        <v>142110098</v>
      </c>
      <c r="E22" s="6" t="n">
        <v>144172082</v>
      </c>
    </row>
    <row r="23">
      <c r="A23" s="6" t="inlineStr">
        <is>
          <t>Other liabilities</t>
        </is>
      </c>
      <c r="B23" s="6" t="n">
        <v>21153184</v>
      </c>
      <c r="C23" s="6" t="n">
        <v>21645554</v>
      </c>
      <c r="D23" s="6" t="n">
        <v>21906453</v>
      </c>
      <c r="E23" s="6" t="n">
        <v>26290315</v>
      </c>
    </row>
    <row r="24">
      <c r="A24" s="6" t="inlineStr">
        <is>
          <t>Subordinated liabilities with JPMorganChase undertakings</t>
        </is>
      </c>
      <c r="B24" s="6" t="n">
        <v>8179655</v>
      </c>
      <c r="C24" s="6" t="n">
        <v>8789453</v>
      </c>
      <c r="D24" s="6" t="n">
        <v>8639648</v>
      </c>
      <c r="E24" s="6" t="n">
        <v>9919815</v>
      </c>
    </row>
    <row r="25">
      <c r="A25" s="5" t="inlineStr">
        <is>
          <t>Total liabilities</t>
        </is>
      </c>
      <c r="B25" s="5" t="n">
        <v>580828900</v>
      </c>
      <c r="C25" s="5" t="n">
        <v>518879645</v>
      </c>
      <c r="D25" s="5" t="n">
        <v>488654689</v>
      </c>
      <c r="E25" s="5" t="n">
        <v>542910179</v>
      </c>
    </row>
    <row r="26">
      <c r="A26" s="5" t="inlineStr">
        <is>
          <t>Equity</t>
        </is>
      </c>
      <c r="B26" s="6" t="n"/>
      <c r="C26" s="6" t="n"/>
      <c r="D26" s="6" t="n"/>
      <c r="E26" s="6" t="n"/>
    </row>
    <row r="27">
      <c r="A27" s="6" t="inlineStr">
        <is>
          <t>Called-up share capital</t>
        </is>
      </c>
      <c r="B27" s="6" t="n">
        <v>9253071</v>
      </c>
      <c r="C27" s="6" t="n">
        <v>9942893</v>
      </c>
      <c r="D27" s="6" t="n">
        <v>9773429</v>
      </c>
      <c r="E27" s="6" t="n">
        <v>10286459</v>
      </c>
    </row>
    <row r="28">
      <c r="A28" s="6" t="inlineStr">
        <is>
          <t>Share premium account</t>
        </is>
      </c>
      <c r="B28" s="6" t="n">
        <v>7399408</v>
      </c>
      <c r="C28" s="6" t="n">
        <v>7951038</v>
      </c>
      <c r="D28" s="6" t="n">
        <v>7815523</v>
      </c>
      <c r="E28" s="6" t="n">
        <v>8225778</v>
      </c>
    </row>
    <row r="29">
      <c r="A29" s="6" t="inlineStr">
        <is>
          <t>Other equity instruments</t>
        </is>
      </c>
      <c r="B29" s="6" t="n">
        <v>7436050</v>
      </c>
      <c r="C29" s="6" t="n">
        <v>7990412</v>
      </c>
      <c r="D29" s="6" t="n">
        <v>7854226</v>
      </c>
      <c r="E29" s="6" t="n">
        <v>4133256</v>
      </c>
    </row>
    <row r="30">
      <c r="A30" s="6" t="inlineStr">
        <is>
          <t>Capital redemption reserve</t>
        </is>
      </c>
      <c r="B30" s="6" t="n">
        <v>3715080</v>
      </c>
      <c r="C30" s="6" t="n">
        <v>3992042</v>
      </c>
      <c r="D30" s="6" t="n">
        <v>3924003</v>
      </c>
      <c r="E30" s="6" t="n">
        <v>4129983</v>
      </c>
    </row>
    <row r="31">
      <c r="A31" s="6" t="inlineStr">
        <is>
          <t>Other reserves</t>
        </is>
      </c>
      <c r="B31" s="6" t="n">
        <v>241341</v>
      </c>
      <c r="C31" s="6" t="n">
        <v>265169</v>
      </c>
      <c r="D31" s="6" t="n">
        <v>166317</v>
      </c>
      <c r="E31" s="6" t="n">
        <v>1396609</v>
      </c>
    </row>
    <row r="32">
      <c r="A32" s="6" t="inlineStr">
        <is>
          <t>Retained earnings</t>
        </is>
      </c>
      <c r="B32" s="6" t="n">
        <v>8975307</v>
      </c>
      <c r="C32" s="6" t="n">
        <v>8386735</v>
      </c>
      <c r="D32" s="6" t="n">
        <v>6905852</v>
      </c>
      <c r="E32" s="6" t="n">
        <v>10258112</v>
      </c>
    </row>
    <row r="33">
      <c r="A33" s="5" t="inlineStr">
        <is>
          <t>Total equity</t>
        </is>
      </c>
      <c r="B33" s="5" t="n">
        <v>37020257</v>
      </c>
      <c r="C33" s="5" t="n">
        <v>38528288</v>
      </c>
      <c r="D33" s="5" t="n">
        <v>36439350</v>
      </c>
      <c r="E33" s="5" t="n">
        <v>38430198</v>
      </c>
    </row>
    <row r="34">
      <c r="A34" s="5" t="inlineStr">
        <is>
          <t>Total liabilities and equity funds</t>
        </is>
      </c>
      <c r="B34" s="5" t="n">
        <v>617849157</v>
      </c>
      <c r="C34" s="5" t="n">
        <v>557407933</v>
      </c>
      <c r="D34" s="5" t="n">
        <v>525094039</v>
      </c>
      <c r="E34" s="5" t="n">
        <v>581340377</v>
      </c>
    </row>
    <row r="36" ht="340" customHeight="1">
      <c r="A36"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s>
  <sheetData>
    <row r="1">
      <c r="A1" s="1" t="inlineStr">
        <is>
          <t>J.P. Morgan Securities plc — Profit &amp; Loss</t>
        </is>
      </c>
    </row>
    <row r="2">
      <c r="A2" s="2" t="inlineStr">
        <is>
          <t>Entity-level basis, £'000 — converted from the Company's own US$'000 at each year's Bank of England GBP/USD average rate, these being flow figures (see the FX note in the source citation).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and similar income</t>
        </is>
      </c>
      <c r="B5" s="6" t="n">
        <v>15978671</v>
      </c>
      <c r="C5" s="6" t="n">
        <v>15748253</v>
      </c>
      <c r="D5" s="6" t="n">
        <v>13087011</v>
      </c>
      <c r="E5" s="6" t="n">
        <v>5778482</v>
      </c>
    </row>
    <row r="6">
      <c r="A6" s="6" t="inlineStr">
        <is>
          <t>Interest expense and similar expense</t>
        </is>
      </c>
      <c r="B6" s="6" t="n">
        <v>-15887658</v>
      </c>
      <c r="C6" s="6" t="n">
        <v>-17171012</v>
      </c>
      <c r="D6" s="6" t="n">
        <v>-14569359</v>
      </c>
      <c r="E6" s="6" t="n">
        <v>-5794346</v>
      </c>
    </row>
    <row r="7">
      <c r="A7" s="5" t="inlineStr">
        <is>
          <t>Net interest income/(expense)</t>
        </is>
      </c>
      <c r="B7" s="5" t="n">
        <v>91013</v>
      </c>
      <c r="C7" s="5" t="n">
        <v>-1422759</v>
      </c>
      <c r="D7" s="5" t="n">
        <v>-1482348</v>
      </c>
      <c r="E7" s="5" t="n">
        <v>-15864</v>
      </c>
    </row>
    <row r="8">
      <c r="A8" s="6" t="inlineStr">
        <is>
          <t>Fee and commission income</t>
        </is>
      </c>
      <c r="B8" s="6" t="n">
        <v>2815860</v>
      </c>
      <c r="C8" s="6" t="n">
        <v>2665106</v>
      </c>
      <c r="D8" s="6" t="n">
        <v>2304927</v>
      </c>
      <c r="E8" s="6" t="n">
        <v>2300067</v>
      </c>
    </row>
    <row r="9">
      <c r="A9" s="6" t="inlineStr">
        <is>
          <t>Fee and commission expense</t>
        </is>
      </c>
      <c r="B9" s="6" t="n">
        <v>-1041148</v>
      </c>
      <c r="C9" s="6" t="n">
        <v>-1029907</v>
      </c>
      <c r="D9" s="6" t="n">
        <v>-1006549</v>
      </c>
      <c r="E9" s="6" t="n">
        <v>-1309132</v>
      </c>
    </row>
    <row r="10">
      <c r="A10" s="5" t="inlineStr">
        <is>
          <t>Net fee and commission income</t>
        </is>
      </c>
      <c r="B10" s="5" t="n">
        <v>1774712</v>
      </c>
      <c r="C10" s="5" t="n">
        <v>1635199</v>
      </c>
      <c r="D10" s="5" t="n">
        <v>1298378</v>
      </c>
      <c r="E10" s="5" t="n">
        <v>990935</v>
      </c>
    </row>
    <row r="11">
      <c r="A11" s="6" t="inlineStr">
        <is>
          <t>Trading profit</t>
        </is>
      </c>
      <c r="B11" s="6" t="n">
        <v>5376972</v>
      </c>
      <c r="C11" s="6" t="n">
        <v>6934215</v>
      </c>
      <c r="D11" s="6" t="n">
        <v>7070867</v>
      </c>
      <c r="E11" s="6" t="n">
        <v>5383567</v>
      </c>
    </row>
    <row r="12">
      <c r="A12" s="6" t="inlineStr">
        <is>
          <t>Dividend income</t>
        </is>
      </c>
      <c r="B12" s="6" t="n"/>
      <c r="C12" s="6" t="n"/>
      <c r="D12" s="6" t="n">
        <v>14</v>
      </c>
      <c r="E12" s="6" t="n"/>
    </row>
    <row r="13">
      <c r="A13" s="6" t="inlineStr">
        <is>
          <t>Expected credit loss (charge)/release</t>
        </is>
      </c>
      <c r="B13" s="6" t="n">
        <v>-9710</v>
      </c>
      <c r="C13" s="6" t="n">
        <v>7212</v>
      </c>
      <c r="D13" s="6" t="n">
        <v>-5079</v>
      </c>
      <c r="E13" s="6" t="n">
        <v>5079</v>
      </c>
    </row>
    <row r="14">
      <c r="A14" s="5" t="inlineStr">
        <is>
          <t>Net operating income</t>
        </is>
      </c>
      <c r="B14" s="5" t="n">
        <v>7232986</v>
      </c>
      <c r="C14" s="5" t="n">
        <v>7153866</v>
      </c>
      <c r="D14" s="5" t="n">
        <v>6881831</v>
      </c>
      <c r="E14" s="5" t="n">
        <v>6363717</v>
      </c>
    </row>
    <row r="15">
      <c r="A15" s="6" t="inlineStr">
        <is>
          <t>Administrative expenses</t>
        </is>
      </c>
      <c r="B15" s="6" t="n">
        <v>-4752573</v>
      </c>
      <c r="C15" s="6" t="n">
        <v>-4056255</v>
      </c>
      <c r="D15" s="6" t="n">
        <v>-4013860</v>
      </c>
      <c r="E15" s="6" t="n">
        <v>-3777457</v>
      </c>
    </row>
    <row r="16">
      <c r="A16" s="6" t="inlineStr">
        <is>
          <t>Other impairment</t>
        </is>
      </c>
      <c r="B16" s="6" t="n"/>
      <c r="C16" s="6" t="n">
        <v>-5</v>
      </c>
      <c r="D16" s="6" t="n"/>
      <c r="E16" s="6" t="n">
        <v>-143</v>
      </c>
    </row>
    <row r="17">
      <c r="A17" s="6" t="inlineStr">
        <is>
          <t>Other expenses</t>
        </is>
      </c>
      <c r="B17" s="6" t="n"/>
      <c r="C17" s="6" t="n">
        <v>-95838</v>
      </c>
      <c r="D17" s="6" t="n"/>
      <c r="E17" s="6" t="n"/>
    </row>
    <row r="18">
      <c r="A18" s="5" t="inlineStr">
        <is>
          <t>Total operating expenses (sum of the expense lines above - not itself a printed subtotal)</t>
        </is>
      </c>
      <c r="B18" s="5" t="n">
        <v>-4752573</v>
      </c>
      <c r="C18" s="5" t="n">
        <v>-4152097</v>
      </c>
      <c r="D18" s="5" t="n">
        <v>-4013860</v>
      </c>
      <c r="E18" s="5" t="n">
        <v>-3777600</v>
      </c>
    </row>
    <row r="19">
      <c r="A19" s="5" t="inlineStr">
        <is>
          <t>Profit before taxation</t>
        </is>
      </c>
      <c r="B19" s="5" t="n">
        <v>2480413</v>
      </c>
      <c r="C19" s="5" t="n">
        <v>3001769</v>
      </c>
      <c r="D19" s="5" t="n">
        <v>2867972</v>
      </c>
      <c r="E19" s="5" t="n">
        <v>2586117</v>
      </c>
    </row>
    <row r="20">
      <c r="A20" s="6" t="inlineStr">
        <is>
          <t>Tax on profit</t>
        </is>
      </c>
      <c r="B20" s="6" t="n">
        <v>-703654</v>
      </c>
      <c r="C20" s="6" t="n">
        <v>-970437</v>
      </c>
      <c r="D20" s="6" t="n">
        <v>-795319</v>
      </c>
      <c r="E20" s="6" t="n">
        <v>-606922</v>
      </c>
    </row>
    <row r="21">
      <c r="A21" s="5" t="inlineStr">
        <is>
          <t>Profit for the financial year</t>
        </is>
      </c>
      <c r="B21" s="5" t="n">
        <v>1776759</v>
      </c>
      <c r="C21" s="5" t="n">
        <v>2031332</v>
      </c>
      <c r="D21" s="5" t="n">
        <v>2072653</v>
      </c>
      <c r="E21" s="5" t="n">
        <v>1979195</v>
      </c>
    </row>
    <row r="22">
      <c r="A22" s="5" t="inlineStr">
        <is>
          <t>Other comprehensive income/(expense)</t>
        </is>
      </c>
      <c r="B22" s="6" t="n"/>
      <c r="C22" s="6" t="n"/>
      <c r="D22" s="6" t="n"/>
      <c r="E22" s="6" t="n"/>
    </row>
    <row r="23">
      <c r="A23" s="6" t="inlineStr">
        <is>
          <t>Actuarial (loss)/gain on pension schemes</t>
        </is>
      </c>
      <c r="B23" s="6" t="n">
        <v>-5130</v>
      </c>
      <c r="C23" s="6" t="n">
        <v>12660</v>
      </c>
      <c r="D23" s="6" t="n">
        <v>-4290</v>
      </c>
      <c r="E23" s="6" t="n">
        <v>77968</v>
      </c>
    </row>
    <row r="24">
      <c r="A24" s="6" t="inlineStr">
        <is>
          <t>Tax effect of movement in pension reserve</t>
        </is>
      </c>
      <c r="B24" s="6" t="n">
        <v>1437</v>
      </c>
      <c r="C24" s="6" t="n">
        <v>-6289</v>
      </c>
      <c r="D24" s="6" t="n">
        <v>2506</v>
      </c>
      <c r="E24" s="6" t="n">
        <v>-23774</v>
      </c>
    </row>
    <row r="25">
      <c r="A25" s="6" t="inlineStr">
        <is>
          <t>Movement attributed to own credit risk on financial liabilities designated at FVTPL</t>
        </is>
      </c>
      <c r="B25" s="6" t="n">
        <v>-39275</v>
      </c>
      <c r="C25" s="6" t="n">
        <v>34353</v>
      </c>
      <c r="D25" s="6" t="n">
        <v>-7842</v>
      </c>
      <c r="E25" s="6" t="n">
        <v>29579</v>
      </c>
    </row>
    <row r="26">
      <c r="A26" s="6" t="inlineStr">
        <is>
          <t>Fair value movement on loans at FVOCI</t>
        </is>
      </c>
      <c r="B26" s="6" t="n">
        <v>-2216</v>
      </c>
      <c r="C26" s="6" t="n">
        <v>1850</v>
      </c>
      <c r="D26" s="6" t="n">
        <v>-4729</v>
      </c>
      <c r="E26" s="6" t="n">
        <v>-2707</v>
      </c>
    </row>
    <row r="27">
      <c r="A27" s="6" t="inlineStr">
        <is>
          <t>Movement in ECL on loans at FVOCI</t>
        </is>
      </c>
      <c r="B27" s="6" t="n">
        <v>2582</v>
      </c>
      <c r="C27" s="6" t="n">
        <v>-5285</v>
      </c>
      <c r="D27" s="6" t="n">
        <v>-7095</v>
      </c>
      <c r="E27" s="6" t="n">
        <v>-523</v>
      </c>
    </row>
    <row r="28">
      <c r="A28" s="6" t="inlineStr">
        <is>
          <t>Tax effect on loans at FVOCI</t>
        </is>
      </c>
      <c r="B28" s="6" t="n">
        <v>-127</v>
      </c>
      <c r="C28" s="6" t="n">
        <v>-1027</v>
      </c>
      <c r="D28" s="6" t="n">
        <v>523</v>
      </c>
      <c r="E28" s="6" t="n">
        <v>1704</v>
      </c>
    </row>
    <row r="29">
      <c r="A29" s="5" t="inlineStr">
        <is>
          <t>Total other comprehensive (expense)/income</t>
        </is>
      </c>
      <c r="B29" s="5" t="n">
        <v>-42728</v>
      </c>
      <c r="C29" s="5" t="n">
        <v>36263</v>
      </c>
      <c r="D29" s="5" t="n">
        <v>-20928</v>
      </c>
      <c r="E29" s="5" t="n">
        <v>82246</v>
      </c>
    </row>
    <row r="30">
      <c r="A30" s="5" t="inlineStr">
        <is>
          <t>Total comprehensive income for the year</t>
        </is>
      </c>
      <c r="B30" s="5" t="n">
        <v>1734031</v>
      </c>
      <c r="C30" s="5" t="n">
        <v>2067595</v>
      </c>
      <c r="D30" s="5" t="n">
        <v>2051725</v>
      </c>
      <c r="E30" s="5" t="n">
        <v>2061442</v>
      </c>
    </row>
    <row r="32" ht="340" customHeight="1">
      <c r="A32"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£'000 — converted from the Company's own US$'000: balances at their own date's spot rate, movements at that year's average rate, with an explicit FX-translation balancing row each year (see the FX note in the source citation).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9203114</v>
      </c>
      <c r="C4" s="5" t="n">
        <v>7359459</v>
      </c>
      <c r="D4" s="5" t="n"/>
      <c r="E4" s="5" t="n">
        <v>3695023</v>
      </c>
      <c r="F4" s="5" t="n">
        <v>1174924</v>
      </c>
      <c r="G4" s="5" t="n">
        <v>5084</v>
      </c>
      <c r="H4" s="5" t="n">
        <v>20300</v>
      </c>
      <c r="I4" s="5" t="n">
        <v>12915137</v>
      </c>
      <c r="J4" s="5" t="n">
        <v>34373040</v>
      </c>
    </row>
    <row r="5">
      <c r="A5" s="6" t="inlineStr">
        <is>
          <t>Profit for the financial year</t>
        </is>
      </c>
      <c r="B5" s="6" t="n"/>
      <c r="C5" s="6" t="n"/>
      <c r="D5" s="6" t="n"/>
      <c r="E5" s="6" t="n"/>
      <c r="F5" s="6" t="n"/>
      <c r="G5" s="6" t="n"/>
      <c r="H5" s="6" t="n"/>
      <c r="I5" s="6" t="n">
        <v>1979195</v>
      </c>
      <c r="J5" s="6" t="n">
        <v>1979195</v>
      </c>
    </row>
    <row r="6">
      <c r="A6" s="6" t="inlineStr">
        <is>
          <t>Gain related to own credit risk on financial liabilities designated at FVTPL</t>
        </is>
      </c>
      <c r="B6" s="6" t="n"/>
      <c r="C6" s="6" t="n"/>
      <c r="D6" s="6" t="n"/>
      <c r="E6" s="6" t="n"/>
      <c r="F6" s="6" t="n"/>
      <c r="G6" s="6" t="n"/>
      <c r="H6" s="6" t="n">
        <v>29579</v>
      </c>
      <c r="I6" s="6" t="n"/>
      <c r="J6" s="6" t="n">
        <v>29579</v>
      </c>
    </row>
    <row r="7">
      <c r="A7" s="6" t="inlineStr">
        <is>
          <t>Movement in fair value of loans at FVOCI</t>
        </is>
      </c>
      <c r="B7" s="6" t="n"/>
      <c r="C7" s="6" t="n"/>
      <c r="D7" s="6" t="n"/>
      <c r="E7" s="6" t="n"/>
      <c r="F7" s="6" t="n"/>
      <c r="G7" s="6" t="n"/>
      <c r="H7" s="6" t="n">
        <v>-2707</v>
      </c>
      <c r="I7" s="6" t="n"/>
      <c r="J7" s="6" t="n">
        <v>-2707</v>
      </c>
    </row>
    <row r="8">
      <c r="A8" s="6" t="inlineStr">
        <is>
          <t>Movement in ECL on loans at FVOCI</t>
        </is>
      </c>
      <c r="B8" s="6" t="n"/>
      <c r="C8" s="6" t="n"/>
      <c r="D8" s="6" t="n"/>
      <c r="E8" s="6" t="n"/>
      <c r="F8" s="6" t="n"/>
      <c r="G8" s="6" t="n"/>
      <c r="H8" s="6" t="n">
        <v>-523</v>
      </c>
      <c r="I8" s="6" t="n"/>
      <c r="J8" s="6" t="n">
        <v>-523</v>
      </c>
    </row>
    <row r="9">
      <c r="A9" s="6" t="inlineStr">
        <is>
          <t>Actuarial gain on pension schemes</t>
        </is>
      </c>
      <c r="B9" s="6" t="n"/>
      <c r="C9" s="6" t="n"/>
      <c r="D9" s="6" t="n"/>
      <c r="E9" s="6" t="n"/>
      <c r="F9" s="6" t="n"/>
      <c r="G9" s="6" t="n">
        <v>77968</v>
      </c>
      <c r="H9" s="6" t="n"/>
      <c r="I9" s="6" t="n"/>
      <c r="J9" s="6" t="n">
        <v>77968</v>
      </c>
    </row>
    <row r="10">
      <c r="A10" s="6" t="inlineStr">
        <is>
          <t>Tax effect on loans at FVOCI</t>
        </is>
      </c>
      <c r="B10" s="6" t="n"/>
      <c r="C10" s="6" t="n"/>
      <c r="D10" s="6" t="n"/>
      <c r="E10" s="6" t="n"/>
      <c r="F10" s="6" t="n"/>
      <c r="G10" s="6" t="n"/>
      <c r="H10" s="6" t="n">
        <v>1704</v>
      </c>
      <c r="I10" s="6" t="n"/>
      <c r="J10" s="6" t="n">
        <v>1704</v>
      </c>
    </row>
    <row r="11">
      <c r="A11" s="6" t="inlineStr">
        <is>
          <t>Tax effect on movement in pension reserve</t>
        </is>
      </c>
      <c r="B11" s="6" t="n"/>
      <c r="C11" s="6" t="n"/>
      <c r="D11" s="6" t="n"/>
      <c r="E11" s="6" t="n"/>
      <c r="F11" s="6" t="n"/>
      <c r="G11" s="6" t="n">
        <v>-23774</v>
      </c>
      <c r="H11" s="6" t="n"/>
      <c r="I11" s="6" t="n"/>
      <c r="J11" s="6" t="n">
        <v>-23774</v>
      </c>
    </row>
    <row r="12">
      <c r="A12" s="5" t="inlineStr">
        <is>
          <t>Total comprehensive income for the year</t>
        </is>
      </c>
      <c r="B12" s="5" t="n"/>
      <c r="C12" s="5" t="n"/>
      <c r="D12" s="5" t="n"/>
      <c r="E12" s="5" t="n"/>
      <c r="F12" s="5" t="n"/>
      <c r="G12" s="5" t="n">
        <v>54194</v>
      </c>
      <c r="H12" s="5" t="n">
        <v>28052</v>
      </c>
      <c r="I12" s="5" t="n">
        <v>1979195</v>
      </c>
      <c r="J12" s="5" t="n">
        <v>2061442</v>
      </c>
    </row>
    <row r="13">
      <c r="A13" s="6" t="inlineStr">
        <is>
          <t>Additional Tier 1 notes issuance during the year</t>
        </is>
      </c>
      <c r="B13" s="6" t="n"/>
      <c r="C13" s="6" t="n"/>
      <c r="D13" s="6" t="n">
        <v>4044653</v>
      </c>
      <c r="E13" s="6" t="n"/>
      <c r="F13" s="6" t="n"/>
      <c r="G13" s="6" t="n"/>
      <c r="H13" s="6" t="n"/>
      <c r="I13" s="6" t="n"/>
      <c r="J13" s="6" t="n">
        <v>4044653</v>
      </c>
    </row>
    <row r="14">
      <c r="A14" s="6" t="inlineStr">
        <is>
          <t>Group share-based payment costs</t>
        </is>
      </c>
      <c r="B14" s="6" t="n"/>
      <c r="C14" s="6" t="n"/>
      <c r="D14" s="6" t="n"/>
      <c r="E14" s="6" t="n"/>
      <c r="F14" s="6" t="n"/>
      <c r="G14" s="6" t="n"/>
      <c r="H14" s="6" t="n">
        <v>255887</v>
      </c>
      <c r="I14" s="6" t="n"/>
      <c r="J14" s="6" t="n">
        <v>255887</v>
      </c>
    </row>
    <row r="15">
      <c r="A15" s="6" t="inlineStr">
        <is>
          <t>Group share-based payment costs recharged</t>
        </is>
      </c>
      <c r="B15" s="6" t="n"/>
      <c r="C15" s="6" t="n"/>
      <c r="D15" s="6" t="n"/>
      <c r="E15" s="6" t="n"/>
      <c r="F15" s="6" t="n"/>
      <c r="G15" s="6" t="n"/>
      <c r="H15" s="6" t="n">
        <v>-255887</v>
      </c>
      <c r="I15" s="6" t="n"/>
      <c r="J15" s="6" t="n">
        <v>-255887</v>
      </c>
    </row>
    <row r="16">
      <c r="A16" s="6" t="inlineStr">
        <is>
          <t>Tax effect on share-based payments</t>
        </is>
      </c>
      <c r="B16" s="6" t="n"/>
      <c r="C16" s="6" t="n"/>
      <c r="D16" s="6" t="n"/>
      <c r="E16" s="6" t="n"/>
      <c r="F16" s="6" t="n"/>
      <c r="G16" s="6" t="n"/>
      <c r="H16" s="6" t="n">
        <v>-33910</v>
      </c>
      <c r="I16" s="6" t="n"/>
      <c r="J16" s="6" t="n">
        <v>-33910</v>
      </c>
    </row>
    <row r="17">
      <c r="A17" s="6" t="inlineStr">
        <is>
          <t>Dividends paid</t>
        </is>
      </c>
      <c r="B17" s="6" t="n"/>
      <c r="C17" s="6" t="n"/>
      <c r="D17" s="6" t="n"/>
      <c r="E17" s="6" t="n"/>
      <c r="F17" s="6" t="n"/>
      <c r="G17" s="6" t="n"/>
      <c r="H17" s="6" t="n"/>
      <c r="I17" s="6" t="n">
        <v>-6066979</v>
      </c>
      <c r="J17" s="6" t="n">
        <v>-6066979</v>
      </c>
    </row>
    <row r="18">
      <c r="A18" s="6" t="inlineStr">
        <is>
          <t>Movement in other reserves</t>
        </is>
      </c>
      <c r="B18" s="6" t="n"/>
      <c r="C18" s="6" t="n"/>
      <c r="D18" s="6" t="n"/>
      <c r="E18" s="6" t="n"/>
      <c r="F18" s="6" t="n"/>
      <c r="G18" s="6" t="n"/>
      <c r="H18" s="6" t="n">
        <v>5491</v>
      </c>
      <c r="I18" s="6" t="n"/>
      <c r="J18" s="6" t="n">
        <v>5491</v>
      </c>
    </row>
    <row r="19">
      <c r="A19" s="6" t="inlineStr">
        <is>
          <t>FX translation effect on equity, net (balancing figure - see source note)</t>
        </is>
      </c>
      <c r="B19" s="6" t="n"/>
      <c r="C19" s="6" t="n"/>
      <c r="D19" s="6" t="n"/>
      <c r="E19" s="6" t="n"/>
      <c r="F19" s="6" t="n"/>
      <c r="G19" s="6" t="n"/>
      <c r="H19" s="6" t="n"/>
      <c r="I19" s="6" t="n"/>
      <c r="J19" s="6" t="n">
        <v>4046461</v>
      </c>
    </row>
    <row r="20">
      <c r="A20" s="5" t="inlineStr">
        <is>
          <t>Balance as at 31 December 2022 (ties to Balance Sheet's own FY2022 Total equity)</t>
        </is>
      </c>
      <c r="B20" s="5" t="n">
        <v>10286459</v>
      </c>
      <c r="C20" s="5" t="n">
        <v>8225778</v>
      </c>
      <c r="D20" s="5" t="n">
        <v>4133256</v>
      </c>
      <c r="E20" s="5" t="n">
        <v>4129983</v>
      </c>
      <c r="F20" s="5" t="n">
        <v>1313231</v>
      </c>
      <c r="G20" s="5" t="n">
        <v>61064</v>
      </c>
      <c r="H20" s="5" t="n">
        <v>22315</v>
      </c>
      <c r="I20" s="5" t="n">
        <v>10258112</v>
      </c>
      <c r="J20" s="5" t="n">
        <v>38430198</v>
      </c>
    </row>
    <row r="21">
      <c r="A21" s="6" t="inlineStr">
        <is>
          <t>Profit for the financial year</t>
        </is>
      </c>
      <c r="B21" s="6" t="n"/>
      <c r="C21" s="6" t="n"/>
      <c r="D21" s="6" t="n"/>
      <c r="E21" s="6" t="n"/>
      <c r="F21" s="6" t="n"/>
      <c r="G21" s="6" t="n"/>
      <c r="H21" s="6" t="n"/>
      <c r="I21" s="6" t="n">
        <v>2072653</v>
      </c>
      <c r="J21" s="6" t="n">
        <v>2072653</v>
      </c>
    </row>
    <row r="22">
      <c r="A22" s="6" t="inlineStr">
        <is>
          <t>Loss related to own credit risk on financial liabilities designated at FVTPL</t>
        </is>
      </c>
      <c r="B22" s="6" t="n"/>
      <c r="C22" s="6" t="n"/>
      <c r="D22" s="6" t="n"/>
      <c r="E22" s="6" t="n"/>
      <c r="F22" s="6" t="n"/>
      <c r="G22" s="6" t="n"/>
      <c r="H22" s="6" t="n">
        <v>-7842</v>
      </c>
      <c r="I22" s="6" t="n"/>
      <c r="J22" s="6" t="n">
        <v>-7842</v>
      </c>
    </row>
    <row r="23">
      <c r="A23" s="6" t="inlineStr">
        <is>
          <t>Movement in fair value of loans at FVOCI</t>
        </is>
      </c>
      <c r="B23" s="6" t="n"/>
      <c r="C23" s="6" t="n"/>
      <c r="D23" s="6" t="n"/>
      <c r="E23" s="6" t="n"/>
      <c r="F23" s="6" t="n"/>
      <c r="G23" s="6" t="n"/>
      <c r="H23" s="6" t="n">
        <v>-4729</v>
      </c>
      <c r="I23" s="6" t="n"/>
      <c r="J23" s="6" t="n">
        <v>-4729</v>
      </c>
    </row>
    <row r="24">
      <c r="A24" s="6" t="inlineStr">
        <is>
          <t>Movement in ECL on loans at FVOCI</t>
        </is>
      </c>
      <c r="B24" s="6" t="n"/>
      <c r="C24" s="6" t="n"/>
      <c r="D24" s="6" t="n"/>
      <c r="E24" s="6" t="n"/>
      <c r="F24" s="6" t="n"/>
      <c r="G24" s="6" t="n"/>
      <c r="H24" s="6" t="n">
        <v>-7095</v>
      </c>
      <c r="I24" s="6" t="n"/>
      <c r="J24" s="6" t="n">
        <v>-7095</v>
      </c>
    </row>
    <row r="25">
      <c r="A25" s="6" t="inlineStr">
        <is>
          <t>Actuarial (loss)/gain on pension schemes</t>
        </is>
      </c>
      <c r="B25" s="6" t="n"/>
      <c r="C25" s="6" t="n"/>
      <c r="D25" s="6" t="n"/>
      <c r="E25" s="6" t="n"/>
      <c r="F25" s="6" t="n"/>
      <c r="G25" s="6" t="n">
        <v>-4290</v>
      </c>
      <c r="H25" s="6" t="n"/>
      <c r="I25" s="6" t="n"/>
      <c r="J25" s="6" t="n">
        <v>-4290</v>
      </c>
    </row>
    <row r="26">
      <c r="A26" s="6" t="inlineStr">
        <is>
          <t>Tax effect on loans at FVOCI</t>
        </is>
      </c>
      <c r="B26" s="6" t="n"/>
      <c r="C26" s="6" t="n"/>
      <c r="D26" s="6" t="n"/>
      <c r="E26" s="6" t="n"/>
      <c r="F26" s="6" t="n"/>
      <c r="G26" s="6" t="n"/>
      <c r="H26" s="6" t="n">
        <v>523</v>
      </c>
      <c r="I26" s="6" t="n"/>
      <c r="J26" s="6" t="n">
        <v>523</v>
      </c>
    </row>
    <row r="27">
      <c r="A27" s="6" t="inlineStr">
        <is>
          <t>Tax effect on movement in pension reserve</t>
        </is>
      </c>
      <c r="B27" s="6" t="n"/>
      <c r="C27" s="6" t="n"/>
      <c r="D27" s="6" t="n"/>
      <c r="E27" s="6" t="n"/>
      <c r="F27" s="6" t="n"/>
      <c r="G27" s="6" t="n">
        <v>2506</v>
      </c>
      <c r="H27" s="6" t="n"/>
      <c r="I27" s="6" t="n"/>
      <c r="J27" s="6" t="n">
        <v>2506</v>
      </c>
    </row>
    <row r="28">
      <c r="A28" s="5" t="inlineStr">
        <is>
          <t>Total comprehensive income/(expense) for the year</t>
        </is>
      </c>
      <c r="B28" s="5" t="n"/>
      <c r="C28" s="5" t="n"/>
      <c r="D28" s="5" t="n"/>
      <c r="E28" s="5" t="n"/>
      <c r="F28" s="5" t="n"/>
      <c r="G28" s="5" t="n">
        <v>-1784</v>
      </c>
      <c r="H28" s="5" t="n">
        <v>-19144</v>
      </c>
      <c r="I28" s="5" t="n">
        <v>2072653</v>
      </c>
      <c r="J28" s="5" t="n">
        <v>2051725</v>
      </c>
    </row>
    <row r="29">
      <c r="A29" s="6" t="inlineStr">
        <is>
          <t>Additional Tier 1 notes issuance during the year</t>
        </is>
      </c>
      <c r="B29" s="6" t="n"/>
      <c r="C29" s="6" t="n"/>
      <c r="D29" s="6" t="n">
        <v>4019616</v>
      </c>
      <c r="E29" s="6" t="n"/>
      <c r="F29" s="6" t="n"/>
      <c r="G29" s="6" t="n"/>
      <c r="H29" s="6" t="n"/>
      <c r="I29" s="6" t="n"/>
      <c r="J29" s="6" t="n">
        <v>4019616</v>
      </c>
    </row>
    <row r="30">
      <c r="A30" s="6" t="inlineStr">
        <is>
          <t>Additional Tier 1 interest</t>
        </is>
      </c>
      <c r="B30" s="6" t="n"/>
      <c r="C30" s="6" t="n"/>
      <c r="D30" s="6" t="n"/>
      <c r="E30" s="6" t="n"/>
      <c r="F30" s="6" t="n"/>
      <c r="G30" s="6" t="n"/>
      <c r="H30" s="6" t="n"/>
      <c r="I30" s="6" t="n">
        <v>-629870</v>
      </c>
      <c r="J30" s="6" t="n">
        <v>-629870</v>
      </c>
    </row>
    <row r="31">
      <c r="A31" s="6" t="inlineStr">
        <is>
          <t>Group share-based payment costs</t>
        </is>
      </c>
      <c r="B31" s="6" t="n"/>
      <c r="C31" s="6" t="n"/>
      <c r="D31" s="6" t="n"/>
      <c r="E31" s="6" t="n"/>
      <c r="F31" s="6" t="n"/>
      <c r="G31" s="6" t="n"/>
      <c r="H31" s="6" t="n">
        <v>269375</v>
      </c>
      <c r="I31" s="6" t="n"/>
      <c r="J31" s="6" t="n">
        <v>269375</v>
      </c>
    </row>
    <row r="32">
      <c r="A32" s="6" t="inlineStr">
        <is>
          <t>Group share-based payment costs recharged</t>
        </is>
      </c>
      <c r="B32" s="6" t="n"/>
      <c r="C32" s="6" t="n"/>
      <c r="D32" s="6" t="n"/>
      <c r="E32" s="6" t="n"/>
      <c r="F32" s="6" t="n"/>
      <c r="G32" s="6" t="n"/>
      <c r="H32" s="6" t="n">
        <v>-269375</v>
      </c>
      <c r="I32" s="6" t="n"/>
      <c r="J32" s="6" t="n">
        <v>-269375</v>
      </c>
    </row>
    <row r="33">
      <c r="A33" s="6" t="inlineStr">
        <is>
          <t>Tax effect on share-based payments</t>
        </is>
      </c>
      <c r="B33" s="6" t="n"/>
      <c r="C33" s="6" t="n"/>
      <c r="D33" s="6" t="n"/>
      <c r="E33" s="6" t="n"/>
      <c r="F33" s="6" t="n"/>
      <c r="G33" s="6" t="n"/>
      <c r="H33" s="6" t="n">
        <v>36931</v>
      </c>
      <c r="I33" s="6" t="n"/>
      <c r="J33" s="6" t="n">
        <v>36931</v>
      </c>
    </row>
    <row r="34">
      <c r="A34" s="6" t="inlineStr">
        <is>
          <t>Dividends paid</t>
        </is>
      </c>
      <c r="B34" s="6" t="n"/>
      <c r="C34" s="6" t="n"/>
      <c r="D34" s="6" t="n"/>
      <c r="E34" s="6" t="n"/>
      <c r="F34" s="6" t="n">
        <v>-1277124</v>
      </c>
      <c r="G34" s="6" t="n"/>
      <c r="H34" s="6" t="n"/>
      <c r="I34" s="6" t="n">
        <v>-4350338</v>
      </c>
      <c r="J34" s="6" t="n">
        <v>-5627462</v>
      </c>
    </row>
    <row r="35">
      <c r="A35" s="6" t="inlineStr">
        <is>
          <t>Movement in other reserves</t>
        </is>
      </c>
      <c r="B35" s="6" t="n"/>
      <c r="C35" s="6" t="n"/>
      <c r="D35" s="6" t="n"/>
      <c r="E35" s="6" t="n"/>
      <c r="F35" s="6" t="n"/>
      <c r="G35" s="6" t="n"/>
      <c r="H35" s="6" t="n">
        <v>73146</v>
      </c>
      <c r="I35" s="6" t="n"/>
      <c r="J35" s="6" t="n">
        <v>73146</v>
      </c>
    </row>
    <row r="36">
      <c r="A36" s="6" t="inlineStr">
        <is>
          <t>FX translation effect on equity, net (balancing figure - see source note)</t>
        </is>
      </c>
      <c r="B36" s="6" t="n"/>
      <c r="C36" s="6" t="n"/>
      <c r="D36" s="6" t="n"/>
      <c r="E36" s="6" t="n"/>
      <c r="F36" s="6" t="n"/>
      <c r="G36" s="6" t="n"/>
      <c r="H36" s="6" t="n"/>
      <c r="I36" s="6" t="n"/>
      <c r="J36" s="6" t="n">
        <v>-1914934</v>
      </c>
    </row>
    <row r="37">
      <c r="A37" s="5" t="inlineStr">
        <is>
          <t>Balance as at 31 December 2023 (ties to Balance Sheet's own FY2023 Total equity)</t>
        </is>
      </c>
      <c r="B37" s="5" t="n">
        <v>9773429</v>
      </c>
      <c r="C37" s="5" t="n">
        <v>7815523</v>
      </c>
      <c r="D37" s="5" t="n">
        <v>7854226</v>
      </c>
      <c r="E37" s="5" t="n">
        <v>3924003</v>
      </c>
      <c r="F37" s="5" t="n"/>
      <c r="G37" s="5" t="n">
        <v>56276</v>
      </c>
      <c r="H37" s="5" t="n">
        <v>110042</v>
      </c>
      <c r="I37" s="5" t="n">
        <v>6905852</v>
      </c>
      <c r="J37" s="5" t="n">
        <v>36439350</v>
      </c>
    </row>
    <row r="38">
      <c r="A38" s="6" t="inlineStr">
        <is>
          <t>Profit for the financial year</t>
        </is>
      </c>
      <c r="B38" s="6" t="n"/>
      <c r="C38" s="6" t="n"/>
      <c r="D38" s="6" t="n"/>
      <c r="E38" s="6" t="n"/>
      <c r="F38" s="6" t="n"/>
      <c r="G38" s="6" t="n"/>
      <c r="H38" s="6" t="n"/>
      <c r="I38" s="6" t="n">
        <v>2031332</v>
      </c>
      <c r="J38" s="6" t="n">
        <v>2031332</v>
      </c>
    </row>
    <row r="39">
      <c r="A39" s="6" t="inlineStr">
        <is>
          <t>Gain related to own credit risk on financial liabilities designated at FVTPL</t>
        </is>
      </c>
      <c r="B39" s="6" t="n"/>
      <c r="C39" s="6" t="n"/>
      <c r="D39" s="6" t="n"/>
      <c r="E39" s="6" t="n"/>
      <c r="F39" s="6" t="n"/>
      <c r="G39" s="6" t="n"/>
      <c r="H39" s="6" t="n">
        <v>34353</v>
      </c>
      <c r="I39" s="6" t="n"/>
      <c r="J39" s="6" t="n">
        <v>34353</v>
      </c>
    </row>
    <row r="40">
      <c r="A40" s="6" t="inlineStr">
        <is>
          <t>Movement in fair value of loans at FVOCI</t>
        </is>
      </c>
      <c r="B40" s="6" t="n"/>
      <c r="C40" s="6" t="n"/>
      <c r="D40" s="6" t="n"/>
      <c r="E40" s="6" t="n"/>
      <c r="F40" s="6" t="n"/>
      <c r="G40" s="6" t="n"/>
      <c r="H40" s="6" t="n">
        <v>1850</v>
      </c>
      <c r="I40" s="6" t="n"/>
      <c r="J40" s="6" t="n">
        <v>1850</v>
      </c>
    </row>
    <row r="41">
      <c r="A41" s="6" t="inlineStr">
        <is>
          <t>Movement in ECL on loans at FVOCI</t>
        </is>
      </c>
      <c r="B41" s="6" t="n"/>
      <c r="C41" s="6" t="n"/>
      <c r="D41" s="6" t="n"/>
      <c r="E41" s="6" t="n"/>
      <c r="F41" s="6" t="n"/>
      <c r="G41" s="6" t="n"/>
      <c r="H41" s="6" t="n">
        <v>-5285</v>
      </c>
      <c r="I41" s="6" t="n"/>
      <c r="J41" s="6" t="n">
        <v>-5285</v>
      </c>
    </row>
    <row r="42">
      <c r="A42" s="6" t="inlineStr">
        <is>
          <t>Actuarial gain on pension schemes</t>
        </is>
      </c>
      <c r="B42" s="6" t="n"/>
      <c r="C42" s="6" t="n"/>
      <c r="D42" s="6" t="n"/>
      <c r="E42" s="6" t="n"/>
      <c r="F42" s="6" t="n"/>
      <c r="G42" s="6" t="n">
        <v>12660</v>
      </c>
      <c r="H42" s="6" t="n"/>
      <c r="I42" s="6" t="n"/>
      <c r="J42" s="6" t="n">
        <v>12660</v>
      </c>
    </row>
    <row r="43">
      <c r="A43" s="6" t="inlineStr">
        <is>
          <t>Tax effect on loans at FVOCI</t>
        </is>
      </c>
      <c r="B43" s="6" t="n"/>
      <c r="C43" s="6" t="n"/>
      <c r="D43" s="6" t="n"/>
      <c r="E43" s="6" t="n"/>
      <c r="F43" s="6" t="n"/>
      <c r="G43" s="6" t="n"/>
      <c r="H43" s="6" t="n">
        <v>-1027</v>
      </c>
      <c r="I43" s="6" t="n"/>
      <c r="J43" s="6" t="n">
        <v>-1027</v>
      </c>
    </row>
    <row r="44">
      <c r="A44" s="6" t="inlineStr">
        <is>
          <t>Tax effect on movement in pension reserve</t>
        </is>
      </c>
      <c r="B44" s="6" t="n"/>
      <c r="C44" s="6" t="n"/>
      <c r="D44" s="6" t="n"/>
      <c r="E44" s="6" t="n"/>
      <c r="F44" s="6" t="n"/>
      <c r="G44" s="6" t="n">
        <v>-6289</v>
      </c>
      <c r="H44" s="6" t="n"/>
      <c r="I44" s="6" t="n"/>
      <c r="J44" s="6" t="n">
        <v>-6289</v>
      </c>
    </row>
    <row r="45">
      <c r="A45" s="5" t="inlineStr">
        <is>
          <t>Total comprehensive income for the year</t>
        </is>
      </c>
      <c r="B45" s="5" t="n"/>
      <c r="C45" s="5" t="n"/>
      <c r="D45" s="5" t="n"/>
      <c r="E45" s="5" t="n"/>
      <c r="F45" s="5" t="n"/>
      <c r="G45" s="5" t="n">
        <v>6371</v>
      </c>
      <c r="H45" s="5" t="n">
        <v>29891</v>
      </c>
      <c r="I45" s="5" t="n">
        <v>2031332</v>
      </c>
      <c r="J45" s="5" t="n">
        <v>2067595</v>
      </c>
    </row>
    <row r="46">
      <c r="A46" s="6" t="inlineStr">
        <is>
          <t>Additional Tier 1 interest</t>
        </is>
      </c>
      <c r="B46" s="6" t="n"/>
      <c r="C46" s="6" t="n"/>
      <c r="D46" s="6" t="n"/>
      <c r="E46" s="6" t="n"/>
      <c r="F46" s="6" t="n"/>
      <c r="G46" s="6" t="n"/>
      <c r="H46" s="6" t="n"/>
      <c r="I46" s="6" t="n">
        <v>-715545</v>
      </c>
      <c r="J46" s="6" t="n">
        <v>-715545</v>
      </c>
    </row>
    <row r="47">
      <c r="A47" s="6" t="inlineStr">
        <is>
          <t>Group share-based payment costs</t>
        </is>
      </c>
      <c r="B47" s="6" t="n"/>
      <c r="C47" s="6" t="n"/>
      <c r="D47" s="6" t="n"/>
      <c r="E47" s="6" t="n"/>
      <c r="F47" s="6" t="n"/>
      <c r="G47" s="6" t="n"/>
      <c r="H47" s="6" t="n">
        <v>279048</v>
      </c>
      <c r="I47" s="6" t="n"/>
      <c r="J47" s="6" t="n">
        <v>279048</v>
      </c>
    </row>
    <row r="48">
      <c r="A48" s="6" t="inlineStr">
        <is>
          <t>Group share-based payment costs recharged</t>
        </is>
      </c>
      <c r="B48" s="6" t="n"/>
      <c r="C48" s="6" t="n"/>
      <c r="D48" s="6" t="n"/>
      <c r="E48" s="6" t="n"/>
      <c r="F48" s="6" t="n"/>
      <c r="G48" s="6" t="n"/>
      <c r="H48" s="6" t="n">
        <v>-279048</v>
      </c>
      <c r="I48" s="6" t="n"/>
      <c r="J48" s="6" t="n">
        <v>-279048</v>
      </c>
    </row>
    <row r="49">
      <c r="A49" s="6" t="inlineStr">
        <is>
          <t>Tax effect on share-based payments</t>
        </is>
      </c>
      <c r="B49" s="6" t="n"/>
      <c r="C49" s="6" t="n"/>
      <c r="D49" s="6" t="n"/>
      <c r="E49" s="6" t="n"/>
      <c r="F49" s="6" t="n"/>
      <c r="G49" s="6" t="n"/>
      <c r="H49" s="6" t="n">
        <v>58057</v>
      </c>
      <c r="I49" s="6" t="n">
        <v>16921</v>
      </c>
      <c r="J49" s="6" t="n">
        <v>74977</v>
      </c>
    </row>
    <row r="50">
      <c r="A50" s="6" t="inlineStr">
        <is>
          <t>Movement in other reserves</t>
        </is>
      </c>
      <c r="B50" s="6" t="n"/>
      <c r="C50" s="6" t="n"/>
      <c r="D50" s="6" t="n"/>
      <c r="E50" s="6" t="n"/>
      <c r="F50" s="6" t="n"/>
      <c r="G50" s="6" t="n"/>
      <c r="H50" s="6" t="n">
        <v>-356</v>
      </c>
      <c r="I50" s="6" t="n"/>
      <c r="J50" s="6" t="n">
        <v>-356</v>
      </c>
    </row>
    <row r="51">
      <c r="A51" s="6" t="inlineStr">
        <is>
          <t>FX translation effect on equity, net (balancing figure - see source note)</t>
        </is>
      </c>
      <c r="B51" s="6" t="n"/>
      <c r="C51" s="6" t="n"/>
      <c r="D51" s="6" t="n"/>
      <c r="E51" s="6" t="n"/>
      <c r="F51" s="6" t="n"/>
      <c r="G51" s="6" t="n"/>
      <c r="H51" s="6" t="n"/>
      <c r="I51" s="6" t="n"/>
      <c r="J51" s="6" t="n">
        <v>662267</v>
      </c>
    </row>
    <row r="52">
      <c r="A52" s="5" t="inlineStr">
        <is>
          <t>Balance as at 31 December 2024 (ties to Balance Sheet's own FY2024 Total equity)</t>
        </is>
      </c>
      <c r="B52" s="5" t="n">
        <v>9942893</v>
      </c>
      <c r="C52" s="5" t="n">
        <v>7951038</v>
      </c>
      <c r="D52" s="5" t="n">
        <v>7990412</v>
      </c>
      <c r="E52" s="5" t="n">
        <v>3992042</v>
      </c>
      <c r="F52" s="5" t="n"/>
      <c r="G52" s="5" t="n">
        <v>63759</v>
      </c>
      <c r="H52" s="5" t="n">
        <v>201410</v>
      </c>
      <c r="I52" s="5" t="n">
        <v>8386735</v>
      </c>
      <c r="J52" s="5" t="n">
        <v>38528288</v>
      </c>
    </row>
    <row r="53">
      <c r="A53" s="6" t="inlineStr">
        <is>
          <t>Profit for the financial year</t>
        </is>
      </c>
      <c r="B53" s="6" t="n"/>
      <c r="C53" s="6" t="n"/>
      <c r="D53" s="6" t="n"/>
      <c r="E53" s="6" t="n"/>
      <c r="F53" s="6" t="n"/>
      <c r="G53" s="6" t="n"/>
      <c r="H53" s="6" t="n"/>
      <c r="I53" s="6" t="n">
        <v>1776759</v>
      </c>
      <c r="J53" s="6" t="n">
        <v>1776759</v>
      </c>
    </row>
    <row r="54">
      <c r="A54" s="6" t="inlineStr">
        <is>
          <t>Loss related to own credit risk on financial liabilities designated at FVTPL</t>
        </is>
      </c>
      <c r="B54" s="6" t="n"/>
      <c r="C54" s="6" t="n"/>
      <c r="D54" s="6" t="n"/>
      <c r="E54" s="6" t="n"/>
      <c r="F54" s="6" t="n"/>
      <c r="G54" s="6" t="n"/>
      <c r="H54" s="6" t="n">
        <v>-39275</v>
      </c>
      <c r="I54" s="6" t="n"/>
      <c r="J54" s="6" t="n">
        <v>-39275</v>
      </c>
    </row>
    <row r="55">
      <c r="A55" s="6" t="inlineStr">
        <is>
          <t>Movement in fair value of loans at FVOCI</t>
        </is>
      </c>
      <c r="B55" s="6" t="n"/>
      <c r="C55" s="6" t="n"/>
      <c r="D55" s="6" t="n"/>
      <c r="E55" s="6" t="n"/>
      <c r="F55" s="6" t="n"/>
      <c r="G55" s="6" t="n"/>
      <c r="H55" s="6" t="n">
        <v>-2216</v>
      </c>
      <c r="I55" s="6" t="n"/>
      <c r="J55" s="6" t="n">
        <v>-2216</v>
      </c>
    </row>
    <row r="56">
      <c r="A56" s="6" t="inlineStr">
        <is>
          <t>Movement in ECL on loans at FVOCI</t>
        </is>
      </c>
      <c r="B56" s="6" t="n"/>
      <c r="C56" s="6" t="n"/>
      <c r="D56" s="6" t="n"/>
      <c r="E56" s="6" t="n"/>
      <c r="F56" s="6" t="n"/>
      <c r="G56" s="6" t="n"/>
      <c r="H56" s="6" t="n">
        <v>2582</v>
      </c>
      <c r="I56" s="6" t="n"/>
      <c r="J56" s="6" t="n">
        <v>2582</v>
      </c>
    </row>
    <row r="57">
      <c r="A57" s="6" t="inlineStr">
        <is>
          <t>Actuarial loss on pension schemes</t>
        </is>
      </c>
      <c r="B57" s="6" t="n"/>
      <c r="C57" s="6" t="n"/>
      <c r="D57" s="6" t="n"/>
      <c r="E57" s="6" t="n"/>
      <c r="F57" s="6" t="n"/>
      <c r="G57" s="6" t="n">
        <v>-5130</v>
      </c>
      <c r="H57" s="6" t="n"/>
      <c r="I57" s="6" t="n"/>
      <c r="J57" s="6" t="n">
        <v>-5130</v>
      </c>
    </row>
    <row r="58">
      <c r="A58" s="6" t="inlineStr">
        <is>
          <t>Tax effect on loans at FVOCI</t>
        </is>
      </c>
      <c r="B58" s="6" t="n"/>
      <c r="C58" s="6" t="n"/>
      <c r="D58" s="6" t="n"/>
      <c r="E58" s="6" t="n"/>
      <c r="F58" s="6" t="n"/>
      <c r="G58" s="6" t="n"/>
      <c r="H58" s="6" t="n">
        <v>-127</v>
      </c>
      <c r="I58" s="6" t="n"/>
      <c r="J58" s="6" t="n">
        <v>-127</v>
      </c>
    </row>
    <row r="59">
      <c r="A59" s="6" t="inlineStr">
        <is>
          <t>Tax effect on movement in pension reserve</t>
        </is>
      </c>
      <c r="B59" s="6" t="n"/>
      <c r="C59" s="6" t="n"/>
      <c r="D59" s="6" t="n"/>
      <c r="E59" s="6" t="n"/>
      <c r="F59" s="6" t="n"/>
      <c r="G59" s="6" t="n">
        <v>1437</v>
      </c>
      <c r="H59" s="6" t="n"/>
      <c r="I59" s="6" t="n"/>
      <c r="J59" s="6" t="n">
        <v>1437</v>
      </c>
    </row>
    <row r="60">
      <c r="A60" s="5" t="inlineStr">
        <is>
          <t>Total comprehensive income/(expense) for the year</t>
        </is>
      </c>
      <c r="B60" s="5" t="n"/>
      <c r="C60" s="5" t="n"/>
      <c r="D60" s="5" t="n"/>
      <c r="E60" s="5" t="n"/>
      <c r="F60" s="5" t="n"/>
      <c r="G60" s="5" t="n">
        <v>-3693</v>
      </c>
      <c r="H60" s="5" t="n">
        <v>-39035</v>
      </c>
      <c r="I60" s="5" t="n">
        <v>1776759</v>
      </c>
      <c r="J60" s="5" t="n">
        <v>1734031</v>
      </c>
    </row>
    <row r="61">
      <c r="A61" s="6" t="inlineStr">
        <is>
          <t>Additional Tier 1 interest</t>
        </is>
      </c>
      <c r="B61" s="6" t="n"/>
      <c r="C61" s="6" t="n"/>
      <c r="D61" s="6" t="n"/>
      <c r="E61" s="6" t="n"/>
      <c r="F61" s="6" t="n"/>
      <c r="G61" s="6" t="n"/>
      <c r="H61" s="6" t="n"/>
      <c r="I61" s="6" t="n">
        <v>-621456</v>
      </c>
      <c r="J61" s="6" t="n">
        <v>-621456</v>
      </c>
    </row>
    <row r="62">
      <c r="A62" s="6" t="inlineStr">
        <is>
          <t>Group share-based payment costs</t>
        </is>
      </c>
      <c r="B62" s="6" t="n"/>
      <c r="C62" s="6" t="n"/>
      <c r="D62" s="6" t="n"/>
      <c r="E62" s="6" t="n"/>
      <c r="F62" s="6" t="n"/>
      <c r="G62" s="6" t="n"/>
      <c r="H62" s="6" t="n">
        <v>222921</v>
      </c>
      <c r="I62" s="6" t="n"/>
      <c r="J62" s="6" t="n">
        <v>222921</v>
      </c>
    </row>
    <row r="63">
      <c r="A63" s="6" t="inlineStr">
        <is>
          <t>Group share-based payment costs recharged</t>
        </is>
      </c>
      <c r="B63" s="6" t="n"/>
      <c r="C63" s="6" t="n"/>
      <c r="D63" s="6" t="n"/>
      <c r="E63" s="6" t="n"/>
      <c r="F63" s="6" t="n"/>
      <c r="G63" s="6" t="n"/>
      <c r="H63" s="6" t="n">
        <v>-222921</v>
      </c>
      <c r="I63" s="6" t="n"/>
      <c r="J63" s="6" t="n">
        <v>-222921</v>
      </c>
    </row>
    <row r="64">
      <c r="A64" s="6" t="inlineStr">
        <is>
          <t>Tax effect on share-based payments</t>
        </is>
      </c>
      <c r="B64" s="6" t="n"/>
      <c r="C64" s="6" t="n"/>
      <c r="D64" s="6" t="n"/>
      <c r="E64" s="6" t="n"/>
      <c r="F64" s="6" t="n"/>
      <c r="G64" s="6" t="n"/>
      <c r="H64" s="6" t="n">
        <v>36412</v>
      </c>
      <c r="I64" s="6" t="n">
        <v>37750</v>
      </c>
      <c r="J64" s="6" t="n">
        <v>74162</v>
      </c>
    </row>
    <row r="65">
      <c r="A65" s="6" t="inlineStr">
        <is>
          <t>Movement in other reserves</t>
        </is>
      </c>
      <c r="B65" s="6" t="n"/>
      <c r="C65" s="6" t="n"/>
      <c r="D65" s="6" t="n"/>
      <c r="E65" s="6" t="n"/>
      <c r="F65" s="6" t="n"/>
      <c r="G65" s="6" t="n"/>
      <c r="H65" s="6" t="n">
        <v>779</v>
      </c>
      <c r="I65" s="6" t="n"/>
      <c r="J65" s="6" t="n">
        <v>779</v>
      </c>
    </row>
    <row r="66">
      <c r="A66" s="6" t="inlineStr">
        <is>
          <t>FX translation effect on equity, net (balancing figure - see source note)</t>
        </is>
      </c>
      <c r="B66" s="6" t="n"/>
      <c r="C66" s="6" t="n"/>
      <c r="D66" s="6" t="n"/>
      <c r="E66" s="6" t="n"/>
      <c r="F66" s="6" t="n"/>
      <c r="G66" s="6" t="n"/>
      <c r="H66" s="6" t="n"/>
      <c r="I66" s="6" t="n"/>
      <c r="J66" s="6" t="n">
        <v>-2695547</v>
      </c>
    </row>
    <row r="67">
      <c r="A67" s="5" t="inlineStr">
        <is>
          <t>Balance as at 31 December 2025 (ties to Balance Sheet's own FY2025 Total equity)</t>
        </is>
      </c>
      <c r="B67" s="5" t="n">
        <v>9253071</v>
      </c>
      <c r="C67" s="5" t="n">
        <v>7399408</v>
      </c>
      <c r="D67" s="5" t="n">
        <v>7436050</v>
      </c>
      <c r="E67" s="5" t="n">
        <v>3715080</v>
      </c>
      <c r="F67" s="5" t="n"/>
      <c r="G67" s="5" t="n">
        <v>55712</v>
      </c>
      <c r="H67" s="5" t="n">
        <v>185628</v>
      </c>
      <c r="I67" s="5" t="n">
        <v>8975307</v>
      </c>
      <c r="J67" s="5" t="n">
        <v>37020257</v>
      </c>
    </row>
    <row r="69" ht="260" customHeight="1">
      <c r="A69"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FX METHODOLOGY FOR THIS SHEET: opening and closing balances converted at their own date's spot rate, movement lines at that year's average rate - the same convention used throughout this workbook. Converting stocks and flows at different rates within one year means the roll-forward does not foot exactly in GBP even though it foots exactly in USD (independently verified against each year's own source table before conversion: every closing balance ties to both the next year's own opening balance and that year's own Balance Sheet Total equity, with zero plug needed in USD terms). An explicit 'FX translation effect on equity, net' row (Total column only) carries the balancing figure for each year, computed programmatically from the rounded figures printed on this sheet so the Total column foots exactly as displayed - never hardcoded, and never applied to an individual equity component, since the source statement gives no basis for splitting a translation effect across reserves. Same treatment as this project's Goldman Sachs International Bank, Credit Suisse International and Gulf International Bank (UK) workbooks, and as those banks' own Cash Flow Statement 'Effect of GBP/USD translation' lines.</t>
        </is>
      </c>
    </row>
  </sheetData>
  <mergeCells count="1">
    <mergeCell ref="A69:J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Asset Quality</t>
        </is>
      </c>
    </row>
    <row r="2">
      <c r="A2" s="2" t="inlineStr">
        <is>
          <t>Entity-level basis, £'000 — balances converted from the Company's own US$'000 at each year-end's spot rate, the ECL charge (a flow) at that year's average rate; the ECL coverage ratio is dimensionless and shown exactly as derived from the published dollars.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Loans and advances to banks</t>
        </is>
      </c>
      <c r="B4" s="6" t="n"/>
      <c r="C4" s="6" t="n"/>
      <c r="D4" s="6" t="n"/>
      <c r="E4" s="6" t="n"/>
    </row>
    <row r="5">
      <c r="A5" s="6" t="inlineStr">
        <is>
          <t>Loans and advances to banks (amortised cost)</t>
        </is>
      </c>
      <c r="B5" s="6" t="n">
        <v>5636042</v>
      </c>
      <c r="C5" s="6" t="n">
        <v>7556327</v>
      </c>
      <c r="D5" s="6" t="n">
        <v>3470624</v>
      </c>
      <c r="E5" s="6" t="n">
        <v>4348667</v>
      </c>
    </row>
    <row r="6">
      <c r="A6" s="5" t="inlineStr">
        <is>
          <t>Loans and advances to customers</t>
        </is>
      </c>
      <c r="B6" s="6" t="n"/>
      <c r="C6" s="6" t="n"/>
      <c r="D6" s="6" t="n"/>
      <c r="E6" s="6" t="n"/>
    </row>
    <row r="7">
      <c r="A7" s="6" t="inlineStr">
        <is>
          <t>Amortised cost</t>
        </is>
      </c>
      <c r="B7" s="6" t="n">
        <v>25201</v>
      </c>
      <c r="C7" s="6" t="n">
        <v>64066</v>
      </c>
      <c r="D7" s="6" t="n">
        <v>173157</v>
      </c>
      <c r="E7" s="6" t="n">
        <v>216841</v>
      </c>
    </row>
    <row r="8">
      <c r="A8" s="6" t="inlineStr">
        <is>
          <t>FVOCI</t>
        </is>
      </c>
      <c r="B8" s="6" t="n">
        <v>167220</v>
      </c>
      <c r="C8" s="6" t="n">
        <v>12495</v>
      </c>
      <c r="D8" s="6" t="n">
        <v>65860</v>
      </c>
      <c r="E8" s="6" t="n">
        <v>219136</v>
      </c>
    </row>
    <row r="9">
      <c r="A9" s="5" t="inlineStr">
        <is>
          <t>Gross loans and advances to customers</t>
        </is>
      </c>
      <c r="B9" s="5" t="n">
        <v>192420</v>
      </c>
      <c r="C9" s="5" t="n">
        <v>76561</v>
      </c>
      <c r="D9" s="5" t="n">
        <v>239017</v>
      </c>
      <c r="E9" s="5" t="n">
        <v>435978</v>
      </c>
    </row>
    <row r="10">
      <c r="A10" s="6" t="inlineStr">
        <is>
          <t>Expected credit loss impairment (amortised cost)</t>
        </is>
      </c>
      <c r="B10" s="6" t="n">
        <v>-1108</v>
      </c>
      <c r="C10" s="6" t="n">
        <v>-2575</v>
      </c>
      <c r="D10" s="6" t="n">
        <v>-3189</v>
      </c>
      <c r="E10" s="6" t="n">
        <v>-7224</v>
      </c>
    </row>
    <row r="11">
      <c r="A11" s="5" t="inlineStr">
        <is>
          <t>Net loans and advances to customers</t>
        </is>
      </c>
      <c r="B11" s="5" t="n">
        <v>191312</v>
      </c>
      <c r="C11" s="5" t="n">
        <v>73986</v>
      </c>
      <c r="D11" s="5" t="n">
        <v>235828</v>
      </c>
      <c r="E11" s="5" t="n">
        <v>428753</v>
      </c>
    </row>
    <row r="12">
      <c r="A12" s="6" t="inlineStr">
        <is>
          <t>ECL coverage ratio (amortised-cost loans and advances to customers)</t>
        </is>
      </c>
      <c r="B12" s="6" t="inlineStr">
        <is>
          <t>4.40%</t>
        </is>
      </c>
      <c r="C12" s="6" t="inlineStr">
        <is>
          <t>4.02%</t>
        </is>
      </c>
      <c r="D12" s="6" t="inlineStr">
        <is>
          <t>1.84%</t>
        </is>
      </c>
      <c r="E12" s="6" t="inlineStr">
        <is>
          <t>3.33%</t>
        </is>
      </c>
    </row>
    <row r="13">
      <c r="A13" s="5" t="inlineStr">
        <is>
          <t>Income statement movement (memo)</t>
        </is>
      </c>
      <c r="B13" s="6" t="n"/>
      <c r="C13" s="6" t="n"/>
      <c r="D13" s="6" t="n"/>
      <c r="E13" s="6" t="n"/>
    </row>
    <row r="14">
      <c r="A14" s="6" t="inlineStr">
        <is>
          <t>Expected credit loss (charge)/release for the year</t>
        </is>
      </c>
      <c r="B14" s="6" t="n">
        <v>-9710</v>
      </c>
      <c r="C14" s="6" t="n">
        <v>7212</v>
      </c>
      <c r="D14" s="6" t="n">
        <v>-5079</v>
      </c>
      <c r="E14" s="6" t="n">
        <v>5079</v>
      </c>
    </row>
    <row r="16" ht="340" customHeight="1">
      <c r="A16"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KM1 Key Metrics</t>
        </is>
      </c>
    </row>
    <row r="2">
      <c r="A2" s="2" t="inlineStr">
        <is>
          <t>The Bank's own published "UK KM1 - Key metrics template" (Table 1 from FY2024, Table 4 in FY2022), reproduced in its own row order, row numbers, labels and printed precision. AMOUNTS ARE IN US$'mm AS PUBLISHED — this sheet is the one sheet in this workbook that is NOT GBP-converted, because it reproduces a prescribed disclosure. Rows 14a–14e exist only in the FY2024 and FY2025 editions. FY2021 is the FY2022 edition's own Q4 2021 comparative column, because the FY2021 edition publishes a different, shorter key-metrics table and not the template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($'mm)</t>
        </is>
      </c>
      <c r="B5" s="6" t="n">
        <v>37435</v>
      </c>
      <c r="C5" s="6" t="n">
        <v>36054</v>
      </c>
      <c r="D5" s="6" t="n">
        <v>34321</v>
      </c>
      <c r="E5" s="6" t="n">
        <v>39571</v>
      </c>
      <c r="F5" s="6" t="n">
        <v>41911</v>
      </c>
    </row>
    <row r="6">
      <c r="A6" s="6" t="inlineStr">
        <is>
          <t>2    Tier 1 capital ($'mm)</t>
        </is>
      </c>
      <c r="B6" s="6" t="n">
        <v>47435</v>
      </c>
      <c r="C6" s="6" t="n">
        <v>46054</v>
      </c>
      <c r="D6" s="6" t="n">
        <v>44321</v>
      </c>
      <c r="E6" s="6" t="n">
        <v>44571</v>
      </c>
      <c r="F6" s="6" t="n">
        <v>41911</v>
      </c>
    </row>
    <row r="7">
      <c r="A7" s="6" t="inlineStr">
        <is>
          <t>3    Total capital ($'mm)</t>
        </is>
      </c>
      <c r="B7" s="6" t="n">
        <v>55988</v>
      </c>
      <c r="C7" s="6" t="n">
        <v>55806</v>
      </c>
      <c r="D7" s="6" t="n">
        <v>55230</v>
      </c>
      <c r="E7" s="6" t="n">
        <v>56571</v>
      </c>
      <c r="F7" s="6" t="n">
        <v>53911</v>
      </c>
    </row>
    <row r="8">
      <c r="A8" s="5" t="inlineStr">
        <is>
          <t>Risk-weighted exposure amounts</t>
        </is>
      </c>
      <c r="B8" s="6" t="n"/>
      <c r="C8" s="6" t="n"/>
      <c r="D8" s="6" t="n"/>
      <c r="E8" s="6" t="n"/>
      <c r="F8" s="6" t="n"/>
    </row>
    <row r="9">
      <c r="A9" s="6" t="inlineStr">
        <is>
          <t>4    Total risk-weighted exposure amount ($'mm)</t>
        </is>
      </c>
      <c r="B9" s="6" t="n">
        <v>227966</v>
      </c>
      <c r="C9" s="6" t="n">
        <v>195273</v>
      </c>
      <c r="D9" s="6" t="n">
        <v>187226</v>
      </c>
      <c r="E9" s="6" t="n">
        <v>166720</v>
      </c>
      <c r="F9" s="6" t="n">
        <v>226258</v>
      </c>
    </row>
    <row r="10">
      <c r="A10" s="5" t="inlineStr">
        <is>
          <t>Capital ratios (as a percentage of risk-weighted exposure amount)</t>
        </is>
      </c>
      <c r="B10" s="6" t="n"/>
      <c r="C10" s="6" t="n"/>
      <c r="D10" s="6" t="n"/>
      <c r="E10" s="6" t="n"/>
      <c r="F10" s="6" t="n"/>
    </row>
    <row r="11">
      <c r="A11" s="6" t="inlineStr">
        <is>
          <t>5    Common Equity Tier 1 ratio (%)</t>
        </is>
      </c>
      <c r="B11" s="6" t="inlineStr">
        <is>
          <t>16.42%</t>
        </is>
      </c>
      <c r="C11" s="6" t="inlineStr">
        <is>
          <t>18.46%</t>
        </is>
      </c>
      <c r="D11" s="6" t="inlineStr">
        <is>
          <t>18.33%</t>
        </is>
      </c>
      <c r="E11" s="6" t="inlineStr">
        <is>
          <t>23.73%</t>
        </is>
      </c>
      <c r="F11" s="6" t="inlineStr">
        <is>
          <t>18.52%</t>
        </is>
      </c>
    </row>
    <row r="12">
      <c r="A12" s="6" t="inlineStr">
        <is>
          <t>6    Tier 1 ratio (%)</t>
        </is>
      </c>
      <c r="B12" s="6" t="inlineStr">
        <is>
          <t>20.81%</t>
        </is>
      </c>
      <c r="C12" s="6" t="inlineStr">
        <is>
          <t>23.58%</t>
        </is>
      </c>
      <c r="D12" s="6" t="inlineStr">
        <is>
          <t>23.67%</t>
        </is>
      </c>
      <c r="E12" s="6" t="inlineStr">
        <is>
          <t>26.73%</t>
        </is>
      </c>
      <c r="F12" s="6" t="inlineStr">
        <is>
          <t>18.52%</t>
        </is>
      </c>
    </row>
    <row r="13">
      <c r="A13" s="6" t="inlineStr">
        <is>
          <t>7    Total capital ratio (%)</t>
        </is>
      </c>
      <c r="B13" s="6" t="inlineStr">
        <is>
          <t>24.56%</t>
        </is>
      </c>
      <c r="C13" s="6" t="inlineStr">
        <is>
          <t>28.58%</t>
        </is>
      </c>
      <c r="D13" s="6" t="inlineStr">
        <is>
          <t>29.50%</t>
        </is>
      </c>
      <c r="E13" s="6" t="inlineStr">
        <is>
          <t>33.93%</t>
        </is>
      </c>
      <c r="F13" s="6" t="inlineStr">
        <is>
          <t>23.83%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1.52%</t>
        </is>
      </c>
      <c r="C15" s="6" t="inlineStr">
        <is>
          <t>1.52%</t>
        </is>
      </c>
      <c r="D15" s="6" t="inlineStr">
        <is>
          <t>1.46%</t>
        </is>
      </c>
      <c r="E15" s="6" t="inlineStr">
        <is>
          <t>1.49%</t>
        </is>
      </c>
      <c r="F15" s="6" t="inlineStr">
        <is>
          <t>1.41%</t>
        </is>
      </c>
    </row>
    <row r="16">
      <c r="A16" s="6" t="inlineStr">
        <is>
          <t>UK 7b    Additional AT1 SREP requirements (%)</t>
        </is>
      </c>
      <c r="B16" s="6" t="inlineStr">
        <is>
          <t>0.51%</t>
        </is>
      </c>
      <c r="C16" s="6" t="inlineStr">
        <is>
          <t>0.51%</t>
        </is>
      </c>
      <c r="D16" s="6" t="inlineStr">
        <is>
          <t>0.49%</t>
        </is>
      </c>
      <c r="E16" s="6" t="inlineStr">
        <is>
          <t>0.50%</t>
        </is>
      </c>
      <c r="F16" s="6" t="inlineStr">
        <is>
          <t>0.47%</t>
        </is>
      </c>
    </row>
    <row r="17">
      <c r="A17" s="6" t="inlineStr">
        <is>
          <t>UK 7c    Additional T2 SREP requirements (%)</t>
        </is>
      </c>
      <c r="B17" s="6" t="inlineStr">
        <is>
          <t>0.67%</t>
        </is>
      </c>
      <c r="C17" s="6" t="inlineStr">
        <is>
          <t>0.68%</t>
        </is>
      </c>
      <c r="D17" s="6" t="inlineStr">
        <is>
          <t>0.65%</t>
        </is>
      </c>
      <c r="E17" s="6" t="inlineStr">
        <is>
          <t>0.66%</t>
        </is>
      </c>
      <c r="F17" s="6" t="inlineStr">
        <is>
          <t>0.63%</t>
        </is>
      </c>
    </row>
    <row r="18">
      <c r="A18" s="6" t="inlineStr">
        <is>
          <t>UK 7d    Total SREP own funds requirements (%)</t>
        </is>
      </c>
      <c r="B18" s="6" t="inlineStr">
        <is>
          <t>10.70%</t>
        </is>
      </c>
      <c r="C18" s="6" t="inlineStr">
        <is>
          <t>10.70%</t>
        </is>
      </c>
      <c r="D18" s="6" t="inlineStr">
        <is>
          <t>10.59%</t>
        </is>
      </c>
      <c r="E18" s="6" t="inlineStr">
        <is>
          <t>10.64%</t>
        </is>
      </c>
      <c r="F18" s="6" t="inlineStr">
        <is>
          <t>10.51%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0.62%</t>
        </is>
      </c>
      <c r="C21" s="6" t="inlineStr">
        <is>
          <t>0.59%</t>
        </is>
      </c>
      <c r="D21" s="6" t="inlineStr">
        <is>
          <t>0.50%</t>
        </is>
      </c>
      <c r="E21" s="6" t="inlineStr">
        <is>
          <t>0.19%</t>
        </is>
      </c>
      <c r="F21" s="6" t="inlineStr">
        <is>
          <t>0.04%</t>
        </is>
      </c>
    </row>
    <row r="22">
      <c r="A22" s="6" t="inlineStr">
        <is>
          <t>11    Combined buffer requirement (%)</t>
        </is>
      </c>
      <c r="B22" s="6" t="inlineStr">
        <is>
          <t>3.12%</t>
        </is>
      </c>
      <c r="C22" s="6" t="inlineStr">
        <is>
          <t>3.09%</t>
        </is>
      </c>
      <c r="D22" s="6" t="inlineStr">
        <is>
          <t>3.00%</t>
        </is>
      </c>
      <c r="E22" s="6" t="inlineStr">
        <is>
          <t>2.69%</t>
        </is>
      </c>
      <c r="F22" s="6" t="inlineStr">
        <is>
          <t>2.54%</t>
        </is>
      </c>
    </row>
    <row r="23">
      <c r="A23" s="6" t="inlineStr">
        <is>
          <t>UK 11a    Overall capital requirements (%)</t>
        </is>
      </c>
      <c r="B23" s="6" t="inlineStr">
        <is>
          <t>13.82%</t>
        </is>
      </c>
      <c r="C23" s="6" t="inlineStr">
        <is>
          <t>13.79%</t>
        </is>
      </c>
      <c r="D23" s="6" t="inlineStr">
        <is>
          <t>13.59%</t>
        </is>
      </c>
      <c r="E23" s="6" t="inlineStr">
        <is>
          <t>13.33%</t>
        </is>
      </c>
      <c r="F23" s="6" t="inlineStr">
        <is>
          <t>13.05%</t>
        </is>
      </c>
    </row>
    <row r="24">
      <c r="A24" s="6" t="inlineStr">
        <is>
          <t>12    CET1 available after meeting the total SREP own funds requirements (%)</t>
        </is>
      </c>
      <c r="B24" s="6" t="inlineStr">
        <is>
          <t>10.40%</t>
        </is>
      </c>
      <c r="C24" s="6" t="inlineStr">
        <is>
          <t>12.44%</t>
        </is>
      </c>
      <c r="D24" s="6" t="inlineStr">
        <is>
          <t>8.98%</t>
        </is>
      </c>
      <c r="E24" s="6" t="inlineStr">
        <is>
          <t>14.39%</t>
        </is>
      </c>
      <c r="F24" s="6" t="inlineStr">
        <is>
          <t>12.52%</t>
        </is>
      </c>
    </row>
    <row r="25">
      <c r="A25" s="5" t="inlineStr">
        <is>
          <t>Leverage ratio</t>
        </is>
      </c>
      <c r="B25" s="6" t="n"/>
      <c r="C25" s="6" t="n"/>
      <c r="D25" s="6" t="n"/>
      <c r="E25" s="6" t="n"/>
      <c r="F25" s="6" t="n"/>
    </row>
    <row r="26">
      <c r="A26" s="6" t="inlineStr">
        <is>
          <t>13    Total exposure measure excluding claims on central banks ($'mm)</t>
        </is>
      </c>
      <c r="B26" s="6" t="n">
        <v>757150</v>
      </c>
      <c r="C26" s="6" t="n">
        <v>607589</v>
      </c>
      <c r="D26" s="6" t="n">
        <v>572319</v>
      </c>
      <c r="E26" s="6" t="n">
        <v>580992</v>
      </c>
      <c r="F26" s="6" t="n">
        <v>729749</v>
      </c>
    </row>
    <row r="27">
      <c r="A27" s="6" t="inlineStr">
        <is>
          <t>14    Leverage ratio excluding claims on central banks (%)</t>
        </is>
      </c>
      <c r="B27" s="6" t="inlineStr">
        <is>
          <t>6.26%</t>
        </is>
      </c>
      <c r="C27" s="6" t="inlineStr">
        <is>
          <t>7.58%</t>
        </is>
      </c>
      <c r="D27" s="6" t="inlineStr">
        <is>
          <t>7.74%</t>
        </is>
      </c>
      <c r="E27" s="6" t="inlineStr">
        <is>
          <t>7.67%</t>
        </is>
      </c>
      <c r="F27" s="6" t="inlineStr">
        <is>
          <t>5.74%</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6.26%</t>
        </is>
      </c>
      <c r="C29" s="6" t="inlineStr">
        <is>
          <t>7.58%</t>
        </is>
      </c>
      <c r="D29" s="6" t="n"/>
      <c r="E29" s="6" t="n"/>
      <c r="F29" s="6" t="n"/>
    </row>
    <row r="30">
      <c r="A30" s="6" t="inlineStr">
        <is>
          <t>14b    Leverage ratio including claims on central banks (%)</t>
        </is>
      </c>
      <c r="B30" s="6" t="inlineStr">
        <is>
          <t>6.25%</t>
        </is>
      </c>
      <c r="C30" s="6" t="inlineStr">
        <is>
          <t>7.54%</t>
        </is>
      </c>
      <c r="D30" s="6" t="n"/>
      <c r="E30" s="6" t="n"/>
      <c r="F30" s="6" t="n"/>
    </row>
    <row r="31">
      <c r="A31" s="6" t="inlineStr">
        <is>
          <t>14c    Average leverage ratio excluding claims on central banks (%)</t>
        </is>
      </c>
      <c r="B31" s="6" t="inlineStr">
        <is>
          <t>5.82%</t>
        </is>
      </c>
      <c r="C31" s="6" t="inlineStr">
        <is>
          <t>6.61%</t>
        </is>
      </c>
      <c r="D31" s="6" t="n"/>
      <c r="E31" s="6" t="n"/>
      <c r="F31" s="6" t="n"/>
    </row>
    <row r="32">
      <c r="A32" s="6" t="inlineStr">
        <is>
          <t>14d    Average leverage ratio including claims on central banks (%)</t>
        </is>
      </c>
      <c r="B32" s="6" t="inlineStr">
        <is>
          <t>5.79%</t>
        </is>
      </c>
      <c r="C32" s="6" t="inlineStr">
        <is>
          <t>6.58%</t>
        </is>
      </c>
      <c r="D32" s="6" t="n"/>
      <c r="E32" s="6" t="n"/>
      <c r="F32" s="6" t="n"/>
    </row>
    <row r="33">
      <c r="A33" s="6" t="inlineStr">
        <is>
          <t>14e    Countercyclical leverage ratio buffer (%)</t>
        </is>
      </c>
      <c r="B33" s="6" t="inlineStr">
        <is>
          <t>0.20%</t>
        </is>
      </c>
      <c r="C33" s="6" t="inlineStr">
        <is>
          <t>0.20%</t>
        </is>
      </c>
      <c r="D33" s="6" t="n"/>
      <c r="E33" s="6" t="n"/>
      <c r="F33" s="6" t="n"/>
    </row>
    <row r="34">
      <c r="A34" s="5" t="inlineStr">
        <is>
          <t>Liquidity Coverage Ratio</t>
        </is>
      </c>
      <c r="B34" s="6" t="n"/>
      <c r="C34" s="6" t="n"/>
      <c r="D34" s="6" t="n"/>
      <c r="E34" s="6" t="n"/>
      <c r="F34" s="6" t="n"/>
    </row>
    <row r="35">
      <c r="A35" s="6" t="inlineStr">
        <is>
          <t>15    Total high-quality liquid assets (HQLA) (Weighted value -average) ($'mm)</t>
        </is>
      </c>
      <c r="B35" s="6" t="n">
        <v>124463</v>
      </c>
      <c r="C35" s="6" t="n">
        <v>101202</v>
      </c>
      <c r="D35" s="6" t="n">
        <v>78544</v>
      </c>
      <c r="E35" s="6" t="n">
        <v>76119</v>
      </c>
      <c r="F35" s="6" t="n">
        <v>71625</v>
      </c>
    </row>
    <row r="36">
      <c r="A36" s="6" t="inlineStr">
        <is>
          <t>UK 16a    Cash outflows - Total weighted value ($'mm)</t>
        </is>
      </c>
      <c r="B36" s="6" t="n">
        <v>171627</v>
      </c>
      <c r="C36" s="6" t="n">
        <v>143440</v>
      </c>
      <c r="D36" s="6" t="n">
        <v>136030</v>
      </c>
      <c r="E36" s="6" t="n">
        <v>145955</v>
      </c>
      <c r="F36" s="6" t="n"/>
    </row>
    <row r="37">
      <c r="A37" s="6" t="inlineStr">
        <is>
          <t>UK 16b    Cash inflows - Total weighted value ($'mm)</t>
        </is>
      </c>
      <c r="B37" s="6" t="n">
        <v>97895</v>
      </c>
      <c r="C37" s="6" t="n">
        <v>89342</v>
      </c>
      <c r="D37" s="6" t="n">
        <v>106007</v>
      </c>
      <c r="E37" s="6" t="n">
        <v>121958</v>
      </c>
      <c r="F37" s="6" t="n"/>
    </row>
    <row r="38">
      <c r="A38" s="6" t="inlineStr">
        <is>
          <t>16    Total net cash outflows (adjusted value) ($'mm)</t>
        </is>
      </c>
      <c r="B38" s="6" t="n">
        <v>73732</v>
      </c>
      <c r="C38" s="6" t="n">
        <v>54098</v>
      </c>
      <c r="D38" s="6" t="n">
        <v>35384</v>
      </c>
      <c r="E38" s="6" t="n">
        <v>36489</v>
      </c>
      <c r="F38" s="6" t="n">
        <v>33228</v>
      </c>
    </row>
    <row r="39">
      <c r="A39" s="6" t="inlineStr">
        <is>
          <t>17    Liquidity coverage ratio (%)</t>
        </is>
      </c>
      <c r="B39" s="6" t="inlineStr">
        <is>
          <t>174.25%</t>
        </is>
      </c>
      <c r="C39" s="6" t="inlineStr">
        <is>
          <t>192.75%</t>
        </is>
      </c>
      <c r="D39" s="6" t="inlineStr">
        <is>
          <t>222.82%</t>
        </is>
      </c>
      <c r="E39" s="6" t="inlineStr">
        <is>
          <t>208.50%</t>
        </is>
      </c>
      <c r="F39" s="6" t="inlineStr">
        <is>
          <t>216.00%</t>
        </is>
      </c>
    </row>
    <row r="40">
      <c r="A40" s="5" t="inlineStr">
        <is>
          <t>Net Stable Funding Ratio</t>
        </is>
      </c>
      <c r="B40" s="6" t="n"/>
      <c r="C40" s="6" t="n"/>
      <c r="D40" s="6" t="n"/>
      <c r="E40" s="6" t="n"/>
      <c r="F40" s="6" t="n"/>
    </row>
    <row r="41">
      <c r="A41" s="6" t="inlineStr">
        <is>
          <t>18    Total available stable funding ($'mm)</t>
        </is>
      </c>
      <c r="B41" s="6" t="n">
        <v>222212</v>
      </c>
      <c r="C41" s="6" t="n">
        <v>205106</v>
      </c>
      <c r="D41" s="6" t="n">
        <v>171918</v>
      </c>
      <c r="E41" s="6" t="n">
        <v>171384</v>
      </c>
      <c r="F41" s="6" t="n"/>
    </row>
    <row r="42">
      <c r="A42" s="6" t="inlineStr">
        <is>
          <t>19    Total required stable funding ($'mm)</t>
        </is>
      </c>
      <c r="B42" s="6" t="n">
        <v>187812</v>
      </c>
      <c r="C42" s="6" t="n">
        <v>175883</v>
      </c>
      <c r="D42" s="6" t="n">
        <v>147370</v>
      </c>
      <c r="E42" s="6" t="n">
        <v>142084</v>
      </c>
      <c r="F42" s="6" t="n"/>
    </row>
    <row r="43">
      <c r="A43" s="6" t="inlineStr">
        <is>
          <t>20    NSFR ratio (%)</t>
        </is>
      </c>
      <c r="B43" s="6" t="inlineStr">
        <is>
          <t>118.55%</t>
        </is>
      </c>
      <c r="C43" s="6" t="inlineStr">
        <is>
          <t>117.56%</t>
        </is>
      </c>
      <c r="D43" s="6" t="inlineStr">
        <is>
          <t>116.64%</t>
        </is>
      </c>
      <c r="E43" s="6" t="inlineStr">
        <is>
          <t>121.09%</t>
        </is>
      </c>
      <c r="F43" s="6" t="n"/>
    </row>
    <row r="45" ht="760" customHeight="1">
      <c r="A45" s="8" t="inlineStr">
        <is>
          <t>Sources - J.P. Morgan Securities plc's own published UK KM1 key-metrics template, reproduced as printed, in US$'mm. ONE document covers the whole series: JPMorgan publishes a single annual UK Pillar 3 report ("Annual Pillar 3 Disclosure" / "Main Disclosure ... Large Subsidiaries"), and from FY2024 that report carries TWO separate KM1 tables - Table 1 for JPMS plc in $'mm and Table 2 for J.P. Morgan Europe Limited in GBP. Only Table 1 is used here; Table 2 belongs to the separate JP MORGAN EUROPE workbook. Each column below comes from the edition in which that year is the reporting year, except FY2021 - see RULE 28 NOTE.
FY2025: Annual Pillar 3 Disclosure 2025, Table 1 "UK KM1 - Key metrics template for JPMS plc", printed Page 8, Q4 2025 column - https://jpmorganchaseco.gcs-web.com/static-files/a51475c0-d908-423e-b8de-6410d277a867
FY2024: Annual Pillar 3 Disclosure 2024, Table 1 "UK KM1 - Key metrics template for JPMS plc", printed Page 8, Q4 2024 column - https://jpmorganchaseco.gcs-web.com/static-files/a170e6df-d951-42fc-9897-2aa04d681885
FY2023: Annual Pillar 3 Disclosure 2023, Table 1 "UK KM1 - Key metrics template", printed Page 7, Q4 2023 column (that edition covers JPMS plc alone, so its KM1 carries no entity suffix) - https://jpmorganchaseco.gcs-web.com/static-files/3645e9a4-c721-404e-a901-70fa73fac642
FY2022: Annual Pillar 3 Disclosure 2022, Table 4 "UK KM1 - Key metrics template", printed Page 14, Q4 2022 column - https://jpmorganchaseco.gcs-web.com/static-files/d761ba10-ab1b-4309-8a4d-24cb70fd6cc1
FY2021: Annual Pillar 3 Disclosure 2022, Table 4, printed Page 14, Q4 2021 COMPARATIVE column - https://jpmorganchaseco.gcs-web.com/static-files/d761ba10-ab1b-4309-8a4d-24cb70fd6cc1. See RULE 28 NOTE below.
Printed folios verified 2026-09-17 against each page's own running header ("Annual Pillar 3 Disclosure &lt;year&gt; ... Page N", read at full page width) AND against that edition's own List of Tables; the two agree in every edition and the offset from the PDF sheet index is zero throughout.
RULE 28 NOTE - WHY FY2021 COMES FROM THE FY2022 EDITION. The FY2021 edition publishes no UK KM1 at all. What it prints instead, as "Table 1: Key Metrics" on printed Page 6, is a different and much shorter table: eleven rows, unnumbered, covering TWO entities side by side (JPMS plc and J.P. Morgan Markets Limited), with no CET1 capital row, no CET1 ratio row, no SREP block, no combined-buffer block, no overall capital requirement, no CET1-available-after-SREP row, no HQLA/cash-outflow/cash-inflow build-up and no NSFR rows at all - and with a "Tier 2 Capital" row the UK template does not have. It is therefore not an unnumbered version of the template but a different table, and the template is simply not used that year (the UK template post-dates that edition). Because no FY2021 KM1 exists in its own edition, and the FY2022 edition does print a full Q4 2021 comparative in the template, this workbook takes FY2021 from that comparative rather than leaving the column blank. Cross-check: every figure the FY2021 edition's own table DOES publish reappears unchanged in the FY2022 comparative - Tier 1 capital 41,911, total own funds 53,911, RWA 226,258, Tier 1 ratio 18.52%, total capital ratio 23.83%, leverage exposure 729,749, leverage ratio 5.74%, LCR 216% - so the comparative restates nothing; it adds the template rows FY2021 never printed. Rows UK 16a, UK 16b, 18, 19 and 20 are blank in that comparative and are left blank here.
ROW-SET DRIFT, REPRODUCED NOT NORMALISED. The "Additional leverage ratio disclosure requirements" block (rows 14a-14e) appears ONLY in the FY2024 and FY2025 editions. The FY2022 and FY2023 editions go straight from row 14 to the Liquidity Coverage Ratio section. The FY2024 edition's Q4 2023 COMPARATIVE does print 14a-14e (7.74 / 7.62 / 7.61 / 7.53 / 0.20), but FY2023's own edition did not, so those five cells are left BLANK for FY2023 rather than back-filled: each year comes from its own edition wherever its own edition prints the table. Rows UK 8a, UK 9a, 10 and UK 10a are not shown at all because JPMS plc has never printed them in any edition; a row the bank did not print is not invented here.
NO RESTATEMENT FOUND. Every row that appears in two editions for the same date was compared across those editions and is identical: the FY2024 edition's Q4 2023 comparative matches the FY2023 edition's own Q4 2023 column digit for digit, the FY2023 edition's Q4 2022 comparative matches the FY2022 edition's own Q4 2022 column, and the FY2025 edition's Q4 2024 comparative matches the FY2024 edition's own Q4 2024 column.
CURRENCY - DELIBERATE DIVERGENCE FROM EVERY OTHER SHEET IN THIS WORKBOOK. This sheet is in US$'mm exactly as published. EVERY other sheet here is GBP-converted at Bank of England GBP/USD rates (point-in-time figures at each year-end's spot rate - FY2021 1.3521, FY2022 1.2097, FY2023 1.2732, FY2024 1.2515, FY2025 1.3448; flow figures at that year's average rate - FY2021 1.3752, FY2022 1.2362, FY2023 1.2439, FY2024 1.2782, FY2025 1.3193). The amounts on this sheet will therefore NOT equal the amounts on those sheets; the ratios will, since ratios are currency-free. Nothing is converted here - KM1 reproduces a prescribed disclosure, and nothing on it may be computed, re-rounded or merged across a basis break. (Before 2026-10-09 the Balance Sheet / P&amp;L / Equity / Asset Quality / RWA Breakdown sheets were also in dollars; they are now converted like the rest, which leaves this sheet as the single exception.)
LEVEL OF APPLICATION (verified in the documents, 2026-09-17). JPMS plc is a large subsidiary of J.P. Morgan Capital Holdings Limited ("JPMCHL") under Rule 2.3 of Chapter 2 of the Disclosure (CRR) part of the UK PRA Rulebook, and this report is the disclosure it makes in that capacity. JPMCHL, the UK consolidated parent, files its own separate UK Pillar 3 whose KM1 is the JPMCHL GROUP's, not this entity's, and is not used here. JPMorgan Chase &amp; Co.'s US Basel disclosures and J.P. Morgan SE's German disclosures are different entities again and are likewise not substituted.
ACCESS (rule 9 - a fact about our reach, not about the bank). jpmorganchaseco.gcs-web.com returns an Akamai HTTP 403 to automated requests, including with a full browser User-Agent, Referer and Sec-Fetch headers. The FY2023 edition used above was retrieved from the Internet Archive on 2026-09-17 (web.archive.org/web/2024id_/ the FY2023 static-file URL; HTTP 200, application/pdf, 705,988 bytes, %PDF magic bytes and a complete %%EOF), and the FY2024 and FY2025 editions the same way; the FY2021 and FY2022 editions were retrieved by hand in an earlier session. The disclosures page itself was read on 2026-09-17 through a reader proxy and its newest annual item is "Main Disclosure 2025 - Large Subsidiaries", i.e. the FY2025 edition already cited above. The block is never recorded as a non-publication.
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£'000 — converted from the Company's own US$'000 at each year-end's spot rate, consistent with the Total RWAs sheet (see the FX note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11285693</v>
      </c>
      <c r="C4" s="6" t="n">
        <v>7419896</v>
      </c>
      <c r="D4" s="6" t="n">
        <v>7895853</v>
      </c>
      <c r="E4" s="6" t="n">
        <v>8796396</v>
      </c>
      <c r="F4" s="6" t="n">
        <v>9981510</v>
      </c>
    </row>
    <row r="5">
      <c r="A5" s="6" t="inlineStr">
        <is>
          <t>Counterparty credit risk (CCR)</t>
        </is>
      </c>
      <c r="B5" s="6" t="n">
        <v>90998662</v>
      </c>
      <c r="C5" s="6" t="n">
        <v>87790651</v>
      </c>
      <c r="D5" s="6" t="n">
        <v>77299717</v>
      </c>
      <c r="E5" s="6" t="n">
        <v>67493593</v>
      </c>
      <c r="F5" s="6" t="n">
        <v>89894239</v>
      </c>
    </row>
    <row r="6">
      <c r="A6" s="6" t="inlineStr">
        <is>
          <t>Settlement risk</t>
        </is>
      </c>
      <c r="B6" s="6" t="n">
        <v>846222</v>
      </c>
      <c r="C6" s="6" t="n">
        <v>316420</v>
      </c>
      <c r="D6" s="6" t="n">
        <v>417059</v>
      </c>
      <c r="E6" s="6" t="n">
        <v>538977</v>
      </c>
      <c r="F6" s="6" t="n">
        <v>598329</v>
      </c>
    </row>
    <row r="7">
      <c r="A7" s="6" t="inlineStr">
        <is>
          <t>Securitisation exposures in the non-trading book (after the cap)</t>
        </is>
      </c>
      <c r="B7" s="6" t="n">
        <v>40155</v>
      </c>
      <c r="C7" s="6" t="n">
        <v>182181</v>
      </c>
      <c r="D7" s="6" t="n">
        <v>197141</v>
      </c>
      <c r="E7" s="6" t="n">
        <v>199223</v>
      </c>
      <c r="F7" s="6" t="n"/>
    </row>
    <row r="8">
      <c r="A8" s="6" t="inlineStr">
        <is>
          <t>Market risk (position, FX and commodities)</t>
        </is>
      </c>
      <c r="B8" s="6" t="n">
        <v>53678614</v>
      </c>
      <c r="C8" s="6" t="n">
        <v>47550939</v>
      </c>
      <c r="D8" s="6" t="n">
        <v>49601791</v>
      </c>
      <c r="E8" s="6" t="n">
        <v>48843515</v>
      </c>
      <c r="F8" s="6" t="n">
        <v>55980327</v>
      </c>
    </row>
    <row r="9">
      <c r="A9" s="6" t="inlineStr">
        <is>
          <t>Operational risk</t>
        </is>
      </c>
      <c r="B9" s="6" t="n">
        <v>12667311</v>
      </c>
      <c r="C9" s="6" t="n">
        <v>12771075</v>
      </c>
      <c r="D9" s="6" t="n">
        <v>11639962</v>
      </c>
      <c r="E9" s="6" t="n">
        <v>11947590</v>
      </c>
      <c r="F9" s="6" t="n">
        <v>10429702</v>
      </c>
    </row>
    <row r="10">
      <c r="A10" s="6" t="inlineStr">
        <is>
          <t>Amounts below the thresholds for deduction (FY2021 own separate additive line only - see source note)</t>
        </is>
      </c>
      <c r="B10" s="6" t="n"/>
      <c r="C10" s="6" t="n"/>
      <c r="D10" s="6" t="n"/>
      <c r="E10" s="6" t="n"/>
      <c r="F10" s="6" t="n">
        <v>454108</v>
      </c>
    </row>
    <row r="11">
      <c r="A11" s="5" t="inlineStr">
        <is>
          <t>Total risk-weighted exposure amount</t>
        </is>
      </c>
      <c r="B11" s="5" t="n">
        <v>169516391</v>
      </c>
      <c r="C11" s="5" t="n">
        <v>156031450</v>
      </c>
      <c r="D11" s="5" t="n">
        <v>147051524</v>
      </c>
      <c r="E11" s="5" t="n">
        <v>137819294</v>
      </c>
      <c r="F11" s="5" t="n">
        <v>167338215</v>
      </c>
    </row>
    <row r="13" ht="280" customHeight="1">
      <c r="A13" s="8" t="inlineStr">
        <is>
          <t>Sources - J.P. Morgan Securities plc's own entity-level UK OV1 'Overview of RWAs' table, published in US$'000 and converted to £'000 here at each year-end's spot rate (consistent with the Balance Sheet/P&amp;L/Equity sheets above and with the Total RWAs sheet; see the FX note at the end of this citation). All figures quoted in this note are the PUBLISHED dollars.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
MANUAL-RETRIEVAL VERIFICATION (2026-09-15): the FY2021 and FY2022 reports were retrieved by hand (the IR host now returns a hard HTTP 403 to automated requests) and both OV1 tables re-read in full. FY2021 is now independently confirmed against its OWN report - 'Table 7: EU OV1 - Overview of RWAs for JPMS plc', p.12-13 of the Annual Pillar 3 Disclosure 2021 - rather than only the FY2022 comparative: Credit risk (excl CCR) 13,496 + CCR 121,546 + Settlement risk 809 + Market risk 75,691 + Operational risk 14,102 + Amounts below thresholds 614 = 226,258, footing exactly to the disclosed Total. FY2022 re-confirmed against 'Table 5: UK OV1', p.15 of the Annual Pillar 3 Disclosure 2022: 10,641 + 81,647 + 652 + 241 + 59,086 + 14,453 = 166,720, also exact. This re-verifies the additive-line treatment above from both directions: FY2022's own table does print an 'Amounts below the thresholds for deduction' figure ($604m, row 24), but adding it would OVERSHOOT that year's disclosed Total by exactly $604m, whereas omitting FY2021's $614m would UNDERRUN FY2021's Total by exactly that amount - so the asymmetric treatment is the source documents' own, not an inconsistency here. Every row above matched exactly; nothing was added or altered.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165237954</v>
      </c>
      <c r="C4" s="6" t="n">
        <v>163888134</v>
      </c>
      <c r="D4" s="6" t="n">
        <v>135028275</v>
      </c>
      <c r="E4" s="6" t="n">
        <v>141674795</v>
      </c>
    </row>
    <row r="5">
      <c r="A5" s="6" t="inlineStr">
        <is>
          <t>Total required stable funding</t>
        </is>
      </c>
      <c r="B5" s="6" t="n">
        <v>139657942</v>
      </c>
      <c r="C5" s="6" t="n">
        <v>140537755</v>
      </c>
      <c r="D5" s="6" t="n">
        <v>115747722</v>
      </c>
      <c r="E5" s="6" t="n">
        <v>117453914</v>
      </c>
    </row>
    <row r="6">
      <c r="A6" s="6" t="inlineStr">
        <is>
          <t>NSFR ratio</t>
        </is>
      </c>
      <c r="B6" s="6" t="inlineStr">
        <is>
          <t>118.55%</t>
        </is>
      </c>
      <c r="C6" s="6" t="inlineStr">
        <is>
          <t>117.56%</t>
        </is>
      </c>
      <c r="D6" s="6" t="inlineStr">
        <is>
          <t>116.64%</t>
        </is>
      </c>
      <c r="E6" s="6" t="inlineStr">
        <is>
          <t>121.09%</t>
        </is>
      </c>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JPMS plc MREL ratio in this year's Pillar 3: MREL appears only as framework narrative and the Tier 2 MREL-loan footnote (full-text search 2026-09-15/19)</t>
        </is>
      </c>
      <c r="C4" s="6" t="inlineStr">
        <is>
          <t>Not published – no JPMS plc MREL ratio in this year's Pillar 3: MREL appears only as framework narrative and the Tier 2 MREL-loan footnote (full-text search 2026-09-15/19)</t>
        </is>
      </c>
      <c r="D4" s="6" t="inlineStr">
        <is>
          <t>Not published – no JPMS plc MREL ratio in this year's Pillar 3: MREL appears only as framework narrative and the Tier 2 MREL-loan footnote (full-text search 2026-09-15/19)</t>
        </is>
      </c>
      <c r="E4" s="6" t="inlineStr">
        <is>
          <t>Not published – no JPMS plc MREL ratio in this year's Pillar 3: MREL appears only as framework narrative and the Tier 2 MREL-loan footnote (full-text search 2026-09-15/19)</t>
        </is>
      </c>
      <c r="F4" s="6" t="inlineStr">
        <is>
          <t>Not published – no JPMS plc MREL ratio in this year's Pillar 3: MREL appears only as framework narrative and the Tier 2 MREL-loan footnote (full-text search 2026-09-15/19)</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 GA-020 re-check 2026-09-19: FY2023-FY2025 editions re-read as text renders (the IR host blocks direct requests) - MREL hits are framework narrative, glossary and the Tier 2 subordinated-loan footnote only.</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2026-10-09T12:21:17Z</dcterms:created>
  <dcterms:modified xmlns:dcterms="http://purl.org/dc/terms/" xmlns:xsi="http://www.w3.org/2001/XMLSchema-instance" xsi:type="dcterms:W3CDTF">2026-10-09T12:21:17Z</dcterms:modified>
</cp:coreProperties>
</file>