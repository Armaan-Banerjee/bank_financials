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C104D3"/>
        <bgColor rgb="00C104D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J.P. Morgan Securities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J.P. Morgan Securities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ser>
          <idx val="3"/>
          <order val="3"/>
          <tx>
            <strRef>
              <f>'Overview'!Q16</f>
            </strRef>
          </tx>
          <spPr>
            <a:ln xmlns:a="http://schemas.openxmlformats.org/drawingml/2006/main">
              <a:prstDash val="solid"/>
            </a:ln>
          </spPr>
          <cat>
            <numRef>
              <f>'Overview'!$R$12:$V$12</f>
            </numRef>
          </cat>
          <val>
            <numRef>
              <f>'Overview'!$R$16:$V$16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J.P. Morgan Securities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'Overview'!Y20</f>
            </strRef>
          </tx>
          <spPr>
            <a:ln xmlns:a="http://schemas.openxmlformats.org/drawingml/2006/main">
              <a:prstDash val="solid"/>
            </a:ln>
          </spPr>
          <cat>
            <numRef>
              <f>'Overview'!$Z$19:$AD$19</f>
            </numRef>
          </cat>
          <val>
            <numRef>
              <f>'Overview'!$Z$20:$AD$20</f>
            </numRef>
          </val>
        </ser>
        <ser>
          <idx val="1"/>
          <order val="1"/>
          <tx>
            <strRef>
              <f>'Overview'!Y21</f>
            </strRef>
          </tx>
          <spPr>
            <a:ln xmlns:a="http://schemas.openxmlformats.org/drawingml/2006/main">
              <a:prstDash val="solid"/>
            </a:ln>
          </spPr>
          <cat>
            <numRef>
              <f>'Overview'!$Z$19:$AD$19</f>
            </numRef>
          </cat>
          <val>
            <numRef>
              <f>'Overview'!$Z$21:$AD$21</f>
            </numRef>
          </val>
        </ser>
        <ser>
          <idx val="2"/>
          <order val="2"/>
          <tx>
            <strRef>
              <f>'Overview'!Y22</f>
            </strRef>
          </tx>
          <spPr>
            <a:ln xmlns:a="http://schemas.openxmlformats.org/drawingml/2006/main">
              <a:prstDash val="solid"/>
            </a:ln>
          </spPr>
          <cat>
            <numRef>
              <f>'Overview'!$Z$19:$AD$19</f>
            </numRef>
          </cat>
          <val>
            <numRef>
              <f>'Overview'!$Z$22:$AD$22</f>
            </numRef>
          </val>
        </ser>
        <ser>
          <idx val="3"/>
          <order val="3"/>
          <tx>
            <strRef>
              <f>'Overview'!Y23</f>
            </strRef>
          </tx>
          <spPr>
            <a:ln xmlns:a="http://schemas.openxmlformats.org/drawingml/2006/main">
              <a:prstDash val="solid"/>
            </a:ln>
          </spPr>
          <cat>
            <numRef>
              <f>'Overview'!$Z$19:$AD$19</f>
            </numRef>
          </cat>
          <val>
            <numRef>
              <f>'Overview'!$Z$23:$AD$23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J.P. Morgan Securities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'Overview'!AG6</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'Overview'!$AH$6:$AL$6</f>
            </numRef>
          </val>
          <smooth val="0"/>
        </ser>
        <ser>
          <idx val="1"/>
          <order val="1"/>
          <tx>
            <strRef>
              <f>'Overview'!AG7</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'Overview'!$AH$7:$AL$7</f>
            </numRef>
          </val>
          <smooth val="0"/>
        </ser>
        <ser>
          <idx val="2"/>
          <order val="2"/>
          <tx>
            <strRef>
              <f>'Overview'!AG8</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'Overview'!$AH$8:$AL$8</f>
            </numRef>
          </val>
          <smooth val="0"/>
        </ser>
        <ser>
          <idx val="3"/>
          <order val="3"/>
          <tx>
            <strRef>
              <f>'Overview'!AG9</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'Overview'!$AH$9:$AL$9</f>
            </numRef>
          </val>
          <smooth val="0"/>
        </ser>
        <ser>
          <idx val="4"/>
          <order val="4"/>
          <tx>
            <strRef>
              <f>'Overview'!AG10</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'Overview'!$AH$10:$AL$10</f>
            </numRef>
          </val>
          <smooth val="0"/>
        </ser>
        <ser>
          <idx val="5"/>
          <order val="5"/>
          <tx>
            <strRef>
              <f>'Overview'!AG11</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'Overview'!$AH$11:$AL$11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s>
  <sheetData>
    <row r="1">
      <c r="A1" s="1" t="inlineStr">
        <is>
          <t>J.P. Morgan Securities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H5" t="inlineStr">
        <is>
          <t>FY2021</t>
        </is>
      </c>
      <c r="AI5" t="inlineStr">
        <is>
          <t>FY2022</t>
        </is>
      </c>
      <c r="AJ5" t="inlineStr">
        <is>
          <t>FY2023</t>
        </is>
      </c>
      <c r="AK5" t="inlineStr">
        <is>
          <t>FY2024</t>
        </is>
      </c>
      <c r="AL5" t="inlineStr">
        <is>
          <t>FY2025</t>
        </is>
      </c>
    </row>
    <row r="6">
      <c r="A6" s="5" t="inlineStr">
        <is>
          <t>Total assets</t>
        </is>
      </c>
      <c r="B6" s="5" t="n">
        <v>830883547</v>
      </c>
      <c r="C6" s="5" t="n">
        <v>697596028</v>
      </c>
      <c r="D6" s="5" t="n">
        <v>668549730</v>
      </c>
      <c r="E6" s="5" t="n">
        <v>703247454</v>
      </c>
      <c r="F6" s="5" t="n"/>
      <c r="I6" t="inlineStr">
        <is>
          <t>Total assets</t>
        </is>
      </c>
      <c r="K6" t="n">
        <v>703247454</v>
      </c>
      <c r="L6" t="n">
        <v>668549730</v>
      </c>
      <c r="M6" t="n">
        <v>697596028</v>
      </c>
      <c r="N6" t="n">
        <v>830883547</v>
      </c>
      <c r="AG6" t="inlineStr">
        <is>
          <t>CET1 Ratio</t>
        </is>
      </c>
      <c r="AH6" t="n">
        <v>18.52</v>
      </c>
      <c r="AI6" t="n">
        <v>23.73</v>
      </c>
      <c r="AJ6" t="n">
        <v>18.33</v>
      </c>
      <c r="AK6" t="n">
        <v>18.5</v>
      </c>
      <c r="AL6" t="n">
        <v>16.4</v>
      </c>
    </row>
    <row r="7">
      <c r="A7" s="5" t="inlineStr">
        <is>
          <t>Loans and advances to customers</t>
        </is>
      </c>
      <c r="B7" s="5" t="n">
        <v>257277</v>
      </c>
      <c r="C7" s="5" t="n">
        <v>92593</v>
      </c>
      <c r="D7" s="5" t="n">
        <v>300256</v>
      </c>
      <c r="E7" s="5" t="n">
        <v>518663</v>
      </c>
      <c r="F7" s="5" t="n"/>
      <c r="I7" t="inlineStr">
        <is>
          <t>Loans and advances to customers</t>
        </is>
      </c>
      <c r="K7" t="n">
        <v>518663</v>
      </c>
      <c r="L7" t="n">
        <v>300256</v>
      </c>
      <c r="M7" t="n">
        <v>92593</v>
      </c>
      <c r="N7" t="n">
        <v>257277</v>
      </c>
      <c r="AG7" t="inlineStr">
        <is>
          <t>Tier 1 Ratio</t>
        </is>
      </c>
      <c r="AH7" t="n">
        <v>18.52</v>
      </c>
      <c r="AI7" t="n">
        <v>26.73</v>
      </c>
      <c r="AJ7" t="n">
        <v>23.67</v>
      </c>
      <c r="AK7" t="n">
        <v>23.6</v>
      </c>
      <c r="AL7" t="n">
        <v>20.8</v>
      </c>
    </row>
    <row r="8">
      <c r="A8" s="5" t="inlineStr">
        <is>
          <t>Deposits from JPMorganChase undertakings</t>
        </is>
      </c>
      <c r="B8" s="5" t="n">
        <v>189371965</v>
      </c>
      <c r="C8" s="5" t="n">
        <v>178311538</v>
      </c>
      <c r="D8" s="5" t="n">
        <v>180934577</v>
      </c>
      <c r="E8" s="5" t="n">
        <v>174404967</v>
      </c>
      <c r="F8" s="5" t="n"/>
      <c r="I8" t="inlineStr">
        <is>
          <t>Deposits from JPMorganChase undertakings</t>
        </is>
      </c>
      <c r="K8" t="n">
        <v>174404967</v>
      </c>
      <c r="L8" t="n">
        <v>180934577</v>
      </c>
      <c r="M8" t="n">
        <v>178311538</v>
      </c>
      <c r="N8" t="n">
        <v>189371965</v>
      </c>
      <c r="AG8" t="inlineStr">
        <is>
          <t>Total Capital Ratio</t>
        </is>
      </c>
      <c r="AH8" t="n">
        <v>23.83</v>
      </c>
      <c r="AI8" t="n">
        <v>33.93</v>
      </c>
      <c r="AJ8" t="n">
        <v>29.5</v>
      </c>
      <c r="AK8" t="n">
        <v>28.6</v>
      </c>
      <c r="AL8" t="n">
        <v>24.6</v>
      </c>
    </row>
    <row r="9">
      <c r="A9" s="5" t="inlineStr">
        <is>
          <t>Total equity</t>
        </is>
      </c>
      <c r="B9" s="5" t="n">
        <v>49784842</v>
      </c>
      <c r="C9" s="5" t="n">
        <v>48218152</v>
      </c>
      <c r="D9" s="5" t="n">
        <v>46394580</v>
      </c>
      <c r="E9" s="5" t="n">
        <v>46489010</v>
      </c>
      <c r="F9" s="5" t="n"/>
      <c r="I9" t="inlineStr">
        <is>
          <t>Total equity</t>
        </is>
      </c>
      <c r="K9" t="n">
        <v>46489010</v>
      </c>
      <c r="L9" t="n">
        <v>46394580</v>
      </c>
      <c r="M9" t="n">
        <v>48218152</v>
      </c>
      <c r="N9" t="n">
        <v>49784842</v>
      </c>
      <c r="AG9" t="inlineStr">
        <is>
          <t>Leverage Ratio</t>
        </is>
      </c>
      <c r="AH9" t="n">
        <v>5.74</v>
      </c>
      <c r="AI9" t="n">
        <v>7.67</v>
      </c>
      <c r="AJ9" t="n">
        <v>7.74</v>
      </c>
      <c r="AK9" t="n">
        <v>7.6</v>
      </c>
      <c r="AL9" t="n">
        <v>6.3</v>
      </c>
    </row>
    <row r="10">
      <c r="AG10" t="inlineStr">
        <is>
          <t>LCR</t>
        </is>
      </c>
      <c r="AH10" t="n">
        <v>216</v>
      </c>
      <c r="AI10" t="n">
        <v>208.5</v>
      </c>
      <c r="AJ10" t="n">
        <v>222.82</v>
      </c>
      <c r="AK10" t="n">
        <v>192.75</v>
      </c>
      <c r="AL10" t="n">
        <v>174.25</v>
      </c>
    </row>
    <row r="11">
      <c r="A11" s="3" t="inlineStr">
        <is>
          <t>Profit &amp; Loss Summary ($'000)</t>
        </is>
      </c>
      <c r="AG11" t="inlineStr">
        <is>
          <t>NSFR</t>
        </is>
      </c>
      <c r="AI11" t="n">
        <v>121.09</v>
      </c>
      <c r="AJ11" t="n">
        <v>116.64</v>
      </c>
      <c r="AK11" t="n">
        <v>117.56</v>
      </c>
      <c r="AL11" t="n">
        <v>118.55</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interest income/(expense)</t>
        </is>
      </c>
      <c r="B13" s="5" t="n">
        <v>120073</v>
      </c>
      <c r="C13" s="5" t="n">
        <v>-1818571</v>
      </c>
      <c r="D13" s="5" t="n">
        <v>-1843893</v>
      </c>
      <c r="E13" s="5" t="n">
        <v>-19611</v>
      </c>
      <c r="F13" s="5" t="n"/>
      <c r="Q13" t="inlineStr">
        <is>
          <t>Net interest income/(expense)</t>
        </is>
      </c>
      <c r="S13" t="n">
        <v>-19611</v>
      </c>
      <c r="T13" t="n">
        <v>-1843893</v>
      </c>
      <c r="U13" t="n">
        <v>-1818571</v>
      </c>
      <c r="V13" t="n">
        <v>120073</v>
      </c>
    </row>
    <row r="14">
      <c r="A14" s="5" t="inlineStr">
        <is>
          <t>Trading profit</t>
        </is>
      </c>
      <c r="B14" s="5" t="n">
        <v>7093839</v>
      </c>
      <c r="C14" s="5" t="n">
        <v>8863313</v>
      </c>
      <c r="D14" s="5" t="n">
        <v>8795451</v>
      </c>
      <c r="E14" s="5" t="n">
        <v>6655165</v>
      </c>
      <c r="F14" s="5" t="n"/>
      <c r="Q14" t="inlineStr">
        <is>
          <t>Trading profit</t>
        </is>
      </c>
      <c r="S14" t="n">
        <v>6655165</v>
      </c>
      <c r="T14" t="n">
        <v>8795451</v>
      </c>
      <c r="U14" t="n">
        <v>8863313</v>
      </c>
      <c r="V14" t="n">
        <v>7093839</v>
      </c>
    </row>
    <row r="15">
      <c r="A15" s="5" t="inlineStr">
        <is>
          <t>Administrative expenses</t>
        </is>
      </c>
      <c r="B15" s="5" t="n">
        <v>-6270069</v>
      </c>
      <c r="C15" s="5" t="n">
        <v>-5184705</v>
      </c>
      <c r="D15" s="5" t="n">
        <v>-4992840</v>
      </c>
      <c r="E15" s="5" t="n">
        <v>-4669692</v>
      </c>
      <c r="F15" s="5" t="n"/>
      <c r="Q15" t="inlineStr">
        <is>
          <t>Administrative expenses</t>
        </is>
      </c>
      <c r="S15" t="n">
        <v>-4669692</v>
      </c>
      <c r="T15" t="n">
        <v>-4992840</v>
      </c>
      <c r="U15" t="n">
        <v>-5184705</v>
      </c>
      <c r="V15" t="n">
        <v>-6270069</v>
      </c>
    </row>
    <row r="16">
      <c r="A16" s="5" t="inlineStr">
        <is>
          <t>Profit for the financial year</t>
        </is>
      </c>
      <c r="B16" s="5" t="n">
        <v>2344078</v>
      </c>
      <c r="C16" s="5" t="n">
        <v>2596449</v>
      </c>
      <c r="D16" s="5" t="n">
        <v>2578173</v>
      </c>
      <c r="E16" s="5" t="n">
        <v>2446681</v>
      </c>
      <c r="F16" s="5" t="n"/>
      <c r="Q16" t="inlineStr">
        <is>
          <t>Profit for the financial year</t>
        </is>
      </c>
      <c r="S16" t="n">
        <v>2446681</v>
      </c>
      <c r="T16" t="n">
        <v>2578173</v>
      </c>
      <c r="U16" t="n">
        <v>2596449</v>
      </c>
      <c r="V16" t="n">
        <v>2344078</v>
      </c>
    </row>
    <row r="18">
      <c r="A18" s="3" t="inlineStr">
        <is>
          <t>Statement of Changes in Equity Summary ($'000)</t>
        </is>
      </c>
    </row>
    <row r="19">
      <c r="A19" s="4" t="inlineStr">
        <is>
          <t>Line item</t>
        </is>
      </c>
      <c r="B19" s="4" t="inlineStr">
        <is>
          <t>FY2025</t>
        </is>
      </c>
      <c r="C19" s="4" t="inlineStr">
        <is>
          <t>FY2024</t>
        </is>
      </c>
      <c r="D19" s="4" t="inlineStr">
        <is>
          <t>FY2023</t>
        </is>
      </c>
      <c r="E19" s="4" t="inlineStr">
        <is>
          <t>FY2022</t>
        </is>
      </c>
      <c r="F19" s="4" t="inlineStr">
        <is>
          <t>FY2021</t>
        </is>
      </c>
      <c r="Z19" t="inlineStr">
        <is>
          <t>FY2021</t>
        </is>
      </c>
      <c r="AA19" t="inlineStr">
        <is>
          <t>FY2022</t>
        </is>
      </c>
      <c r="AB19" t="inlineStr">
        <is>
          <t>FY2023</t>
        </is>
      </c>
      <c r="AC19" t="inlineStr">
        <is>
          <t>FY2024</t>
        </is>
      </c>
      <c r="AD19" t="inlineStr">
        <is>
          <t>FY2025</t>
        </is>
      </c>
    </row>
    <row r="20">
      <c r="A20" s="5" t="inlineStr">
        <is>
          <t>Opening equity</t>
        </is>
      </c>
      <c r="B20" s="5" t="n">
        <v>48218152</v>
      </c>
      <c r="C20" s="5" t="n">
        <v>46394580</v>
      </c>
      <c r="D20" s="5" t="n">
        <v>46489010</v>
      </c>
      <c r="E20" s="5" t="n">
        <v>46475788</v>
      </c>
      <c r="F20" s="5" t="n"/>
      <c r="Y20" t="inlineStr">
        <is>
          <t>Opening equity</t>
        </is>
      </c>
      <c r="AA20" t="n">
        <v>46475788</v>
      </c>
      <c r="AB20" t="n">
        <v>46489010</v>
      </c>
      <c r="AC20" t="n">
        <v>46394580</v>
      </c>
      <c r="AD20" t="n">
        <v>48218152</v>
      </c>
    </row>
    <row r="21">
      <c r="A21" s="5" t="inlineStr">
        <is>
          <t>Total comprehensive income for the year</t>
        </is>
      </c>
      <c r="B21" s="5" t="n">
        <v>2287707</v>
      </c>
      <c r="C21" s="5" t="n">
        <v>2642800</v>
      </c>
      <c r="D21" s="5" t="n">
        <v>2552141</v>
      </c>
      <c r="E21" s="5" t="n">
        <v>2548354</v>
      </c>
      <c r="F21" s="5" t="n"/>
      <c r="Y21" t="inlineStr">
        <is>
          <t>Total comprehensive income for the year</t>
        </is>
      </c>
      <c r="AA21" t="n">
        <v>2548354</v>
      </c>
      <c r="AB21" t="n">
        <v>2552141</v>
      </c>
      <c r="AC21" t="n">
        <v>2642800</v>
      </c>
      <c r="AD21" t="n">
        <v>2287707</v>
      </c>
    </row>
    <row r="22">
      <c r="A22" s="5" t="inlineStr">
        <is>
          <t>Other equity movements, net</t>
        </is>
      </c>
      <c r="B22" s="5" t="n">
        <v>-721017</v>
      </c>
      <c r="C22" s="5" t="n">
        <v>-819228</v>
      </c>
      <c r="D22" s="5" t="n">
        <v>-2646571</v>
      </c>
      <c r="E22" s="5" t="n">
        <v>-2535132</v>
      </c>
      <c r="F22" s="5" t="n"/>
      <c r="Y22" t="inlineStr">
        <is>
          <t>Other equity movements, net</t>
        </is>
      </c>
      <c r="AA22" t="n">
        <v>-2535132</v>
      </c>
      <c r="AB22" t="n">
        <v>-2646571</v>
      </c>
      <c r="AC22" t="n">
        <v>-819228</v>
      </c>
      <c r="AD22" t="n">
        <v>-721017</v>
      </c>
    </row>
    <row r="23">
      <c r="A23" s="5" t="inlineStr">
        <is>
          <t>Closing equity</t>
        </is>
      </c>
      <c r="B23" s="5" t="n">
        <v>49784842</v>
      </c>
      <c r="C23" s="5" t="n">
        <v>48218152</v>
      </c>
      <c r="D23" s="5" t="n">
        <v>46394580</v>
      </c>
      <c r="E23" s="5" t="n">
        <v>46489010</v>
      </c>
      <c r="F23" s="5" t="n"/>
      <c r="Y23" t="inlineStr">
        <is>
          <t>Closing equity</t>
        </is>
      </c>
      <c r="AA23" t="n">
        <v>46489010</v>
      </c>
      <c r="AB23" t="n">
        <v>46394580</v>
      </c>
      <c r="AC23" t="n">
        <v>48218152</v>
      </c>
      <c r="AD23" t="n">
        <v>49784842</v>
      </c>
    </row>
    <row r="25">
      <c r="A25" s="3" t="inlineStr">
        <is>
          <t>Cash Flow Summary: not applicable — this entity does not publish a cash flow statement (see the Cash Flow Statement sheet for the exemption basis).</t>
        </is>
      </c>
    </row>
    <row r="27">
      <c r="A27" s="3" t="inlineStr">
        <is>
          <t>Pillar 3 Key Metrics</t>
        </is>
      </c>
    </row>
    <row r="28">
      <c r="A28" s="4" t="inlineStr">
        <is>
          <t>Line item</t>
        </is>
      </c>
      <c r="B28" s="4" t="inlineStr">
        <is>
          <t>FY2025</t>
        </is>
      </c>
      <c r="C28" s="4" t="inlineStr">
        <is>
          <t>FY2024</t>
        </is>
      </c>
      <c r="D28" s="4" t="inlineStr">
        <is>
          <t>FY2023</t>
        </is>
      </c>
      <c r="E28" s="4" t="inlineStr">
        <is>
          <t>FY2022</t>
        </is>
      </c>
      <c r="F28" s="4" t="inlineStr">
        <is>
          <t>FY2021</t>
        </is>
      </c>
    </row>
    <row r="29">
      <c r="A29" s="6" t="inlineStr">
        <is>
          <t>CET1 Ratio</t>
        </is>
      </c>
      <c r="B29" s="6" t="inlineStr">
        <is>
          <t>16.4%</t>
        </is>
      </c>
      <c r="C29" s="6" t="inlineStr">
        <is>
          <t>18.5%</t>
        </is>
      </c>
      <c r="D29" s="6" t="inlineStr">
        <is>
          <t>18.33%</t>
        </is>
      </c>
      <c r="E29" s="6" t="inlineStr">
        <is>
          <t>23.73%</t>
        </is>
      </c>
      <c r="F29" s="6" t="inlineStr">
        <is>
          <t>18.52%</t>
        </is>
      </c>
    </row>
    <row r="30">
      <c r="A30" s="6" t="inlineStr">
        <is>
          <t>Tier 1 Ratio</t>
        </is>
      </c>
      <c r="B30" s="6" t="inlineStr">
        <is>
          <t>20.8%</t>
        </is>
      </c>
      <c r="C30" s="6" t="inlineStr">
        <is>
          <t>23.6%</t>
        </is>
      </c>
      <c r="D30" s="6" t="inlineStr">
        <is>
          <t>23.67%</t>
        </is>
      </c>
      <c r="E30" s="6" t="inlineStr">
        <is>
          <t>26.73%</t>
        </is>
      </c>
      <c r="F30" s="6" t="inlineStr">
        <is>
          <t>18.52%</t>
        </is>
      </c>
    </row>
    <row r="31">
      <c r="A31" s="6" t="inlineStr">
        <is>
          <t>Total Capital Ratio</t>
        </is>
      </c>
      <c r="B31" s="6" t="inlineStr">
        <is>
          <t>24.6%</t>
        </is>
      </c>
      <c r="C31" s="6" t="inlineStr">
        <is>
          <t>28.6%</t>
        </is>
      </c>
      <c r="D31" s="6" t="inlineStr">
        <is>
          <t>29.50%</t>
        </is>
      </c>
      <c r="E31" s="6" t="inlineStr">
        <is>
          <t>33.93%</t>
        </is>
      </c>
      <c r="F31" s="6" t="inlineStr">
        <is>
          <t>23.83%</t>
        </is>
      </c>
    </row>
    <row r="32">
      <c r="A32" s="6" t="inlineStr">
        <is>
          <t>Leverage Ratio</t>
        </is>
      </c>
      <c r="B32" s="6" t="inlineStr">
        <is>
          <t>6.3%</t>
        </is>
      </c>
      <c r="C32" s="6" t="inlineStr">
        <is>
          <t>7.6%</t>
        </is>
      </c>
      <c r="D32" s="6" t="inlineStr">
        <is>
          <t>7.74%</t>
        </is>
      </c>
      <c r="E32" s="6" t="inlineStr">
        <is>
          <t>7.67%</t>
        </is>
      </c>
      <c r="F32" s="6" t="inlineStr">
        <is>
          <t>5.74%</t>
        </is>
      </c>
    </row>
    <row r="33">
      <c r="A33" s="6" t="inlineStr">
        <is>
          <t>LCR</t>
        </is>
      </c>
      <c r="B33" s="6" t="inlineStr">
        <is>
          <t>174.25%</t>
        </is>
      </c>
      <c r="C33" s="6" t="inlineStr">
        <is>
          <t>192.75%</t>
        </is>
      </c>
      <c r="D33" s="6" t="inlineStr">
        <is>
          <t>222.82%</t>
        </is>
      </c>
      <c r="E33" s="6" t="inlineStr">
        <is>
          <t>208.50%</t>
        </is>
      </c>
      <c r="F33" s="6" t="inlineStr">
        <is>
          <t>216%</t>
        </is>
      </c>
    </row>
    <row r="34">
      <c r="A34" s="6" t="inlineStr">
        <is>
          <t>NSFR</t>
        </is>
      </c>
      <c r="B34" s="6" t="inlineStr">
        <is>
          <t>118.55%</t>
        </is>
      </c>
      <c r="C34" s="6" t="inlineStr">
        <is>
          <t>117.56%</t>
        </is>
      </c>
      <c r="D34" s="6" t="inlineStr">
        <is>
          <t>116.64%</t>
        </is>
      </c>
      <c r="E34" s="6" t="inlineStr">
        <is>
          <t>121.09%</t>
        </is>
      </c>
      <c r="F34" s="6" t="n"/>
    </row>
    <row r="36" ht="45" customHeight="1">
      <c r="A36" s="7" t="inlineStr">
        <is>
          <t>Note: No cash-flow summary or chart: J.P. Morgan Securities plc takes the FRS 101 cash-flow-statement exemption every year (see the Cash Flow Statement sheet). Balance Sheet/P&amp;L/Equity blocks cover FY2022-FY2025 only (in US$'000, the Company's own reporting currency) - FY2021 predates the entity's public Companies House filing history (see the Balance Sheet sheet's source note). The Pillar 3 ratios below remain GBP-converted per this script's established convention and cover FY2021-FY2025 (NSFR from FY2022) - the recovered archive provides standalone JPMS plc capital, leverage and LCR data for FY2021-FY2025, and no numeric MREL ratio.</t>
        </is>
      </c>
    </row>
  </sheetData>
  <mergeCells count="1">
    <mergeCell ref="A36:F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J.P. Morgan Securities plc — Balance Sheet</t>
        </is>
      </c>
    </row>
    <row r="2">
      <c r="A2" s="2" t="inlineStr">
        <is>
          <t>Entity-level basis, US$'000 (not GBP-converted - see source note). FY2021 blank: no Annual Report of any kind is publicly filed for that year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at central banks</t>
        </is>
      </c>
      <c r="B5" s="6" t="n">
        <v>1440217</v>
      </c>
      <c r="C5" s="6" t="n">
        <v>3100890</v>
      </c>
      <c r="D5" s="6" t="n">
        <v>9069418</v>
      </c>
      <c r="E5" s="6" t="n">
        <v>11743695</v>
      </c>
      <c r="F5" s="6" t="n"/>
    </row>
    <row r="6">
      <c r="A6" s="6" t="inlineStr">
        <is>
          <t>Loans and advances to banks</t>
        </is>
      </c>
      <c r="B6" s="6" t="n">
        <v>7579349</v>
      </c>
      <c r="C6" s="6" t="n">
        <v>9456743</v>
      </c>
      <c r="D6" s="6" t="n">
        <v>4418798</v>
      </c>
      <c r="E6" s="6" t="n">
        <v>5260582</v>
      </c>
      <c r="F6" s="6" t="n"/>
    </row>
    <row r="7">
      <c r="A7" s="6" t="inlineStr">
        <is>
          <t>Loans and advances to customers</t>
        </is>
      </c>
      <c r="B7" s="6" t="n">
        <v>257277</v>
      </c>
      <c r="C7" s="6" t="n">
        <v>92593</v>
      </c>
      <c r="D7" s="6" t="n">
        <v>300256</v>
      </c>
      <c r="E7" s="6" t="n">
        <v>518663</v>
      </c>
      <c r="F7" s="6" t="n"/>
    </row>
    <row r="8">
      <c r="A8" s="6" t="inlineStr">
        <is>
          <t>Securities purchased under agreements to resell</t>
        </is>
      </c>
      <c r="B8" s="6" t="n">
        <v>235021525</v>
      </c>
      <c r="C8" s="6" t="n">
        <v>215556422</v>
      </c>
      <c r="D8" s="6" t="n">
        <v>181266110</v>
      </c>
      <c r="E8" s="6" t="n">
        <v>178125963</v>
      </c>
      <c r="F8" s="6" t="n"/>
    </row>
    <row r="9">
      <c r="A9" s="6" t="inlineStr">
        <is>
          <t>Securities borrowed</t>
        </is>
      </c>
      <c r="B9" s="6" t="n">
        <v>70821133</v>
      </c>
      <c r="C9" s="6" t="n">
        <v>48189827</v>
      </c>
      <c r="D9" s="6" t="n">
        <v>51259430</v>
      </c>
      <c r="E9" s="6" t="n">
        <v>50891145</v>
      </c>
      <c r="F9" s="6" t="n"/>
    </row>
    <row r="10">
      <c r="A10" s="6" t="inlineStr">
        <is>
          <t>Financial assets at fair value through profit or loss</t>
        </is>
      </c>
      <c r="B10" s="6" t="n">
        <v>378354083</v>
      </c>
      <c r="C10" s="6" t="n">
        <v>326845417</v>
      </c>
      <c r="D10" s="6" t="n">
        <v>326699107</v>
      </c>
      <c r="E10" s="6" t="n">
        <v>343441285</v>
      </c>
      <c r="F10" s="6" t="n"/>
    </row>
    <row r="11">
      <c r="A11" s="6" t="inlineStr">
        <is>
          <t>Debtors</t>
        </is>
      </c>
      <c r="B11" s="6" t="n">
        <v>132996016</v>
      </c>
      <c r="C11" s="6" t="n">
        <v>90926839</v>
      </c>
      <c r="D11" s="6" t="n">
        <v>92547261</v>
      </c>
      <c r="E11" s="6" t="n">
        <v>110736501</v>
      </c>
      <c r="F11" s="6" t="n"/>
    </row>
    <row r="12">
      <c r="A12" s="6" t="inlineStr">
        <is>
          <t>Other assets</t>
        </is>
      </c>
      <c r="B12" s="6" t="n">
        <v>4410838</v>
      </c>
      <c r="C12" s="6" t="n">
        <v>3424164</v>
      </c>
      <c r="D12" s="6" t="n">
        <v>2986428</v>
      </c>
      <c r="E12" s="6" t="n">
        <v>2525721</v>
      </c>
      <c r="F12" s="6" t="n"/>
    </row>
    <row r="13">
      <c r="A13" s="6" t="inlineStr">
        <is>
          <t>Investments in JPMorgan Chase undertakings</t>
        </is>
      </c>
      <c r="B13" s="6" t="n"/>
      <c r="C13" s="6" t="n"/>
      <c r="D13" s="6" t="n">
        <v>28</v>
      </c>
      <c r="E13" s="6" t="n">
        <v>872</v>
      </c>
      <c r="F13" s="6" t="n"/>
    </row>
    <row r="14">
      <c r="A14" s="6" t="inlineStr">
        <is>
          <t>Tangible assets</t>
        </is>
      </c>
      <c r="B14" s="6" t="n">
        <v>3109</v>
      </c>
      <c r="C14" s="6" t="n">
        <v>3133</v>
      </c>
      <c r="D14" s="6" t="n">
        <v>2894</v>
      </c>
      <c r="E14" s="6" t="n">
        <v>3027</v>
      </c>
      <c r="F14" s="6" t="n"/>
    </row>
    <row r="15">
      <c r="A15" s="5" t="inlineStr">
        <is>
          <t>Total assets</t>
        </is>
      </c>
      <c r="B15" s="5" t="n">
        <v>830883547</v>
      </c>
      <c r="C15" s="5" t="n">
        <v>697596028</v>
      </c>
      <c r="D15" s="5" t="n">
        <v>668549730</v>
      </c>
      <c r="E15" s="5" t="n">
        <v>703247454</v>
      </c>
      <c r="F15" s="5" t="n"/>
    </row>
    <row r="16">
      <c r="A16" s="5" t="inlineStr">
        <is>
          <t>Liabilities</t>
        </is>
      </c>
      <c r="B16" s="6" t="n"/>
      <c r="C16" s="6" t="n"/>
      <c r="D16" s="6" t="n"/>
      <c r="E16" s="6" t="n"/>
      <c r="F16" s="6" t="n"/>
    </row>
    <row r="17">
      <c r="A17" s="6" t="inlineStr">
        <is>
          <t>Securities sold under agreements to repurchase</t>
        </is>
      </c>
      <c r="B17" s="6" t="n">
        <v>125001077</v>
      </c>
      <c r="C17" s="6" t="n">
        <v>94404028</v>
      </c>
      <c r="D17" s="6" t="n">
        <v>65301124</v>
      </c>
      <c r="E17" s="6" t="n">
        <v>72184220</v>
      </c>
      <c r="F17" s="6" t="n"/>
    </row>
    <row r="18">
      <c r="A18" s="6" t="inlineStr">
        <is>
          <t>Securities loaned</t>
        </is>
      </c>
      <c r="B18" s="6" t="n">
        <v>30887772</v>
      </c>
      <c r="C18" s="6" t="n">
        <v>15284668</v>
      </c>
      <c r="D18" s="6" t="n">
        <v>13080624</v>
      </c>
      <c r="E18" s="6" t="n">
        <v>13573027</v>
      </c>
      <c r="F18" s="6" t="n"/>
    </row>
    <row r="19">
      <c r="A19" s="6" t="inlineStr">
        <is>
          <t>Financial liabilities at fair value through profit or loss</t>
        </is>
      </c>
      <c r="B19" s="6" t="n">
        <v>256717599</v>
      </c>
      <c r="C19" s="6" t="n">
        <v>233190651</v>
      </c>
      <c r="D19" s="6" t="n">
        <v>237519957</v>
      </c>
      <c r="E19" s="6" t="n">
        <v>273608227</v>
      </c>
      <c r="F19" s="6" t="n"/>
    </row>
    <row r="20">
      <c r="A20" s="6" t="inlineStr">
        <is>
          <t>Financial liabilities designated at fair value through profit or loss</t>
        </is>
      </c>
      <c r="B20" s="6" t="n">
        <v>54303069</v>
      </c>
      <c r="C20" s="6" t="n">
        <v>38744425</v>
      </c>
      <c r="D20" s="6" t="n">
        <v>25485640</v>
      </c>
      <c r="E20" s="6" t="n">
        <v>22156522</v>
      </c>
      <c r="F20" s="6" t="n"/>
    </row>
    <row r="21">
      <c r="A21" s="6" t="inlineStr">
        <is>
          <t>Trade creditors</t>
        </is>
      </c>
      <c r="B21" s="6" t="n">
        <v>85370421</v>
      </c>
      <c r="C21" s="6" t="n">
        <v>51353155</v>
      </c>
      <c r="D21" s="6" t="n">
        <v>60941932</v>
      </c>
      <c r="E21" s="6" t="n">
        <v>57028087</v>
      </c>
      <c r="F21" s="6" t="n"/>
    </row>
    <row r="22">
      <c r="A22" s="6" t="inlineStr">
        <is>
          <t>Deposits from JPMorganChase undertakings</t>
        </is>
      </c>
      <c r="B22" s="6" t="n">
        <v>189371965</v>
      </c>
      <c r="C22" s="6" t="n">
        <v>178311538</v>
      </c>
      <c r="D22" s="6" t="n">
        <v>180934577</v>
      </c>
      <c r="E22" s="6" t="n">
        <v>174404967</v>
      </c>
      <c r="F22" s="6" t="n"/>
    </row>
    <row r="23">
      <c r="A23" s="6" t="inlineStr">
        <is>
          <t>Other liabilities</t>
        </is>
      </c>
      <c r="B23" s="6" t="n">
        <v>28446802</v>
      </c>
      <c r="C23" s="6" t="n">
        <v>27089411</v>
      </c>
      <c r="D23" s="6" t="n">
        <v>27891296</v>
      </c>
      <c r="E23" s="6" t="n">
        <v>31803394</v>
      </c>
      <c r="F23" s="6" t="n"/>
    </row>
    <row r="24">
      <c r="A24" s="6" t="inlineStr">
        <is>
          <t>Subordinated liabilities with JPMorganChase undertakings</t>
        </is>
      </c>
      <c r="B24" s="6" t="n">
        <v>11000000</v>
      </c>
      <c r="C24" s="6" t="n">
        <v>11000000</v>
      </c>
      <c r="D24" s="6" t="n">
        <v>11000000</v>
      </c>
      <c r="E24" s="6" t="n">
        <v>12000000</v>
      </c>
      <c r="F24" s="6" t="n"/>
    </row>
    <row r="25">
      <c r="A25" s="5" t="inlineStr">
        <is>
          <t>Total liabilities</t>
        </is>
      </c>
      <c r="B25" s="5" t="n">
        <v>781098705</v>
      </c>
      <c r="C25" s="5" t="n">
        <v>649377876</v>
      </c>
      <c r="D25" s="5" t="n">
        <v>622155150</v>
      </c>
      <c r="E25" s="5" t="n">
        <v>656758444</v>
      </c>
      <c r="F25" s="5" t="n"/>
    </row>
    <row r="26">
      <c r="A26" s="5" t="inlineStr">
        <is>
          <t>Equity</t>
        </is>
      </c>
      <c r="B26" s="6" t="n"/>
      <c r="C26" s="6" t="n"/>
      <c r="D26" s="6" t="n"/>
      <c r="E26" s="6" t="n"/>
      <c r="F26" s="6" t="n"/>
    </row>
    <row r="27">
      <c r="A27" s="6" t="inlineStr">
        <is>
          <t>Called-up share capital</t>
        </is>
      </c>
      <c r="B27" s="6" t="n">
        <v>12443530</v>
      </c>
      <c r="C27" s="6" t="n">
        <v>12443530</v>
      </c>
      <c r="D27" s="6" t="n">
        <v>12443530</v>
      </c>
      <c r="E27" s="6" t="n">
        <v>12443530</v>
      </c>
      <c r="F27" s="6" t="n"/>
    </row>
    <row r="28">
      <c r="A28" s="6" t="inlineStr">
        <is>
          <t>Share premium account</t>
        </is>
      </c>
      <c r="B28" s="6" t="n">
        <v>9950724</v>
      </c>
      <c r="C28" s="6" t="n">
        <v>9950724</v>
      </c>
      <c r="D28" s="6" t="n">
        <v>9950724</v>
      </c>
      <c r="E28" s="6" t="n">
        <v>9950724</v>
      </c>
      <c r="F28" s="6" t="n"/>
    </row>
    <row r="29">
      <c r="A29" s="6" t="inlineStr">
        <is>
          <t>Other equity instruments</t>
        </is>
      </c>
      <c r="B29" s="6" t="n">
        <v>10000000</v>
      </c>
      <c r="C29" s="6" t="n">
        <v>10000000</v>
      </c>
      <c r="D29" s="6" t="n">
        <v>10000000</v>
      </c>
      <c r="E29" s="6" t="n">
        <v>5000000</v>
      </c>
      <c r="F29" s="6" t="n"/>
    </row>
    <row r="30">
      <c r="A30" s="6" t="inlineStr">
        <is>
          <t>Capital redemption reserve</t>
        </is>
      </c>
      <c r="B30" s="6" t="n">
        <v>4996040</v>
      </c>
      <c r="C30" s="6" t="n">
        <v>4996040</v>
      </c>
      <c r="D30" s="6" t="n">
        <v>4996040</v>
      </c>
      <c r="E30" s="6" t="n">
        <v>4996040</v>
      </c>
      <c r="F30" s="6" t="n"/>
    </row>
    <row r="31">
      <c r="A31" s="6" t="inlineStr">
        <is>
          <t>Other reserves</t>
        </is>
      </c>
      <c r="B31" s="6" t="n">
        <v>324555</v>
      </c>
      <c r="C31" s="6" t="n">
        <v>331859</v>
      </c>
      <c r="D31" s="6" t="n">
        <v>211755</v>
      </c>
      <c r="E31" s="6" t="n">
        <v>1689478</v>
      </c>
      <c r="F31" s="6" t="n"/>
    </row>
    <row r="32">
      <c r="A32" s="6" t="inlineStr">
        <is>
          <t>Retained earnings</t>
        </is>
      </c>
      <c r="B32" s="6" t="n">
        <v>12069993</v>
      </c>
      <c r="C32" s="6" t="n">
        <v>10495999</v>
      </c>
      <c r="D32" s="6" t="n">
        <v>8792531</v>
      </c>
      <c r="E32" s="6" t="n">
        <v>12409238</v>
      </c>
      <c r="F32" s="6" t="n"/>
    </row>
    <row r="33">
      <c r="A33" s="5" t="inlineStr">
        <is>
          <t>Total equity</t>
        </is>
      </c>
      <c r="B33" s="5" t="n">
        <v>49784842</v>
      </c>
      <c r="C33" s="5" t="n">
        <v>48218152</v>
      </c>
      <c r="D33" s="5" t="n">
        <v>46394580</v>
      </c>
      <c r="E33" s="5" t="n">
        <v>46489010</v>
      </c>
      <c r="F33" s="5" t="n"/>
    </row>
    <row r="34">
      <c r="A34" s="5" t="inlineStr">
        <is>
          <t>Total liabilities and equity funds</t>
        </is>
      </c>
      <c r="B34" s="5" t="n">
        <v>830883547</v>
      </c>
      <c r="C34" s="5" t="n">
        <v>697596028</v>
      </c>
      <c r="D34" s="5" t="n">
        <v>668549730</v>
      </c>
      <c r="E34" s="5" t="n">
        <v>703247454</v>
      </c>
      <c r="F34" s="5" t="n"/>
    </row>
    <row r="36" ht="340" customHeight="1">
      <c r="A36" s="8" t="inlineStr">
        <is>
          <t>Sources - J.P. Morgan Securities plc's own entity-level financial statements, in the Company's own reporting currency (US$'000, NOT converted to £ - unlike the Pillar 3 sheets' point-in-time capital/RWA figures, which are GBP-converted per this script's established convention; kept in USD here for direct, unconverted comparability with the primary statements as filed):
FY2025/FY2024: Annual Report 2025, Income statement p.57, Statement of comprehensive income p.58, Balance sheet p.59, Statement of changes in equity p.60, Notes 15-16 p.79-80 - https://find-and-update.company-information.service.gov.uk/company/02711006/filing-history/MzUxOTQxNzUzOGFkaXF6a2N4/document?format=pdf&amp;download=0
FY2023/FY2022: Annual Report 2023 (accounts made up to 31 December 2023), Income statement p.68, Statement of comprehensive income p.69, Balance sheet p.70, Statement of changes in equity p.71, Notes 15-16 p.90 - https://find-and-update.company-information.service.gov.uk/company/02711006/filing-history/MzQyMDg4NTQwMWFkaXF6a2N4/document?format=pdf&amp;download=0
FY2024's own originally-published figures (Annual Report 2024, made up to 31 December 2024) were cross-checked against AR2025's FY2024 comparative column and found identical (both show Profit for the financial year $2,596,449k) - https://find-and-update.company-information.service.gov.uk/company/02711006/filing-history/MzQ2NDE1MTk5OGFkaXF6a2N4/document?format=pdf&amp;download=0
STATEMENTS COVERAGE NOTE: Companies House's public filing history for this entity genuinely only begins 26 January 2024 (confirmed by paging through the full ~250-filing history) - only 3 Full Accounts filings exist (FY2023, FY2024, FY2025). FY2022's Balance Sheet/P&amp;L/Equity figures ARE available, as AR2023's own comparative column (checked in full detail, not just a closing total), but FY2021's are genuinely not - AR2023's equity statement opens at "1 January 2022" with no earlier detail, so FY2021's Balance Sheet, P&amp;L, Statement of Changes in Equity and Asset Quality are blank (not zero, not guessed) below. FY2021's Pillar 3 capital/RWA/leverage/LCR figures remain available via the standalone Pillar 3 archive (see the Pillar 3 sheets) and are unaffected by this gap.</t>
        </is>
      </c>
    </row>
  </sheetData>
  <mergeCells count="1">
    <mergeCell ref="A36:F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s>
  <sheetData>
    <row r="1">
      <c r="A1" s="1" t="inlineStr">
        <is>
          <t>J.P. Morgan Securities plc — Profit &amp; Loss</t>
        </is>
      </c>
    </row>
    <row r="2">
      <c r="A2" s="2" t="inlineStr">
        <is>
          <t>Entity-level basis, US$'000 (not GBP-converted - see source note). FY2021 blank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and similar income</t>
        </is>
      </c>
      <c r="B5" s="6" t="n">
        <v>21080660</v>
      </c>
      <c r="C5" s="6" t="n">
        <v>20129417</v>
      </c>
      <c r="D5" s="6" t="n">
        <v>16278933</v>
      </c>
      <c r="E5" s="6" t="n">
        <v>7143359</v>
      </c>
      <c r="F5" s="6" t="n"/>
    </row>
    <row r="6">
      <c r="A6" s="6" t="inlineStr">
        <is>
          <t>Interest expense and similar expense</t>
        </is>
      </c>
      <c r="B6" s="6" t="n">
        <v>-20960587</v>
      </c>
      <c r="C6" s="6" t="n">
        <v>-21947988</v>
      </c>
      <c r="D6" s="6" t="n">
        <v>-18122826</v>
      </c>
      <c r="E6" s="6" t="n">
        <v>-7162970</v>
      </c>
      <c r="F6" s="6" t="n"/>
    </row>
    <row r="7">
      <c r="A7" s="5" t="inlineStr">
        <is>
          <t>Net interest income/(expense)</t>
        </is>
      </c>
      <c r="B7" s="5" t="n">
        <v>120073</v>
      </c>
      <c r="C7" s="5" t="n">
        <v>-1818571</v>
      </c>
      <c r="D7" s="5" t="n">
        <v>-1843893</v>
      </c>
      <c r="E7" s="5" t="n">
        <v>-19611</v>
      </c>
      <c r="F7" s="5" t="n"/>
    </row>
    <row r="8">
      <c r="A8" s="6" t="inlineStr">
        <is>
          <t>Fee and commission income</t>
        </is>
      </c>
      <c r="B8" s="6" t="n">
        <v>3714964</v>
      </c>
      <c r="C8" s="6" t="n">
        <v>3406538</v>
      </c>
      <c r="D8" s="6" t="n">
        <v>2867099</v>
      </c>
      <c r="E8" s="6" t="n">
        <v>2843343</v>
      </c>
      <c r="F8" s="6" t="n"/>
    </row>
    <row r="9">
      <c r="A9" s="6" t="inlineStr">
        <is>
          <t>Fee and commission expense</t>
        </is>
      </c>
      <c r="B9" s="6" t="n">
        <v>-1373587</v>
      </c>
      <c r="C9" s="6" t="n">
        <v>-1316427</v>
      </c>
      <c r="D9" s="6" t="n">
        <v>-1252046</v>
      </c>
      <c r="E9" s="6" t="n">
        <v>-1618349</v>
      </c>
      <c r="F9" s="6" t="n"/>
    </row>
    <row r="10">
      <c r="A10" s="5" t="inlineStr">
        <is>
          <t>Net fee and commission income</t>
        </is>
      </c>
      <c r="B10" s="5" t="n">
        <v>2341377</v>
      </c>
      <c r="C10" s="5" t="n">
        <v>2090111</v>
      </c>
      <c r="D10" s="5" t="n">
        <v>1615053</v>
      </c>
      <c r="E10" s="5" t="n">
        <v>1224994</v>
      </c>
      <c r="F10" s="5" t="n"/>
    </row>
    <row r="11">
      <c r="A11" s="6" t="inlineStr">
        <is>
          <t>Trading profit</t>
        </is>
      </c>
      <c r="B11" s="6" t="n">
        <v>7093839</v>
      </c>
      <c r="C11" s="6" t="n">
        <v>8863313</v>
      </c>
      <c r="D11" s="6" t="n">
        <v>8795451</v>
      </c>
      <c r="E11" s="6" t="n">
        <v>6655165</v>
      </c>
      <c r="F11" s="6" t="n"/>
    </row>
    <row r="12">
      <c r="A12" s="6" t="inlineStr">
        <is>
          <t>Dividend income</t>
        </is>
      </c>
      <c r="B12" s="6" t="n"/>
      <c r="C12" s="6" t="n"/>
      <c r="D12" s="6" t="n">
        <v>17</v>
      </c>
      <c r="E12" s="6" t="n"/>
      <c r="F12" s="6" t="n"/>
    </row>
    <row r="13">
      <c r="A13" s="6" t="inlineStr">
        <is>
          <t>Expected credit loss (charge)/release</t>
        </is>
      </c>
      <c r="B13" s="6" t="n">
        <v>-12811</v>
      </c>
      <c r="C13" s="6" t="n">
        <v>9219</v>
      </c>
      <c r="D13" s="6" t="n">
        <v>-6318</v>
      </c>
      <c r="E13" s="6" t="n">
        <v>6279</v>
      </c>
      <c r="F13" s="6" t="n"/>
    </row>
    <row r="14">
      <c r="A14" s="5" t="inlineStr">
        <is>
          <t>Net operating income</t>
        </is>
      </c>
      <c r="B14" s="5" t="n">
        <v>9542478</v>
      </c>
      <c r="C14" s="5" t="n">
        <v>9144072</v>
      </c>
      <c r="D14" s="5" t="n">
        <v>8560310</v>
      </c>
      <c r="E14" s="5" t="n">
        <v>7866827</v>
      </c>
      <c r="F14" s="5" t="n"/>
    </row>
    <row r="15">
      <c r="A15" s="6" t="inlineStr">
        <is>
          <t>Administrative expenses</t>
        </is>
      </c>
      <c r="B15" s="6" t="n">
        <v>-6270069</v>
      </c>
      <c r="C15" s="6" t="n">
        <v>-5184705</v>
      </c>
      <c r="D15" s="6" t="n">
        <v>-4992840</v>
      </c>
      <c r="E15" s="6" t="n">
        <v>-4669692</v>
      </c>
      <c r="F15" s="6" t="n"/>
    </row>
    <row r="16">
      <c r="A16" s="6" t="inlineStr">
        <is>
          <t>Other impairment</t>
        </is>
      </c>
      <c r="B16" s="6" t="n"/>
      <c r="C16" s="6" t="n">
        <v>-6</v>
      </c>
      <c r="D16" s="6" t="n"/>
      <c r="E16" s="6" t="n">
        <v>-177</v>
      </c>
      <c r="F16" s="6" t="n"/>
    </row>
    <row r="17">
      <c r="A17" s="6" t="inlineStr">
        <is>
          <t>Other expenses</t>
        </is>
      </c>
      <c r="B17" s="6" t="n"/>
      <c r="C17" s="6" t="n">
        <v>-122500</v>
      </c>
      <c r="D17" s="6" t="n"/>
      <c r="E17" s="6" t="n"/>
      <c r="F17" s="6" t="n"/>
    </row>
    <row r="18">
      <c r="A18" s="5" t="inlineStr">
        <is>
          <t>Profit before taxation</t>
        </is>
      </c>
      <c r="B18" s="5" t="n">
        <v>3272409</v>
      </c>
      <c r="C18" s="5" t="n">
        <v>3836861</v>
      </c>
      <c r="D18" s="5" t="n">
        <v>3567470</v>
      </c>
      <c r="E18" s="5" t="n">
        <v>3196958</v>
      </c>
      <c r="F18" s="5" t="n"/>
    </row>
    <row r="19">
      <c r="A19" s="6" t="inlineStr">
        <is>
          <t>Tax on profit</t>
        </is>
      </c>
      <c r="B19" s="6" t="n">
        <v>-928331</v>
      </c>
      <c r="C19" s="6" t="n">
        <v>-1240412</v>
      </c>
      <c r="D19" s="6" t="n">
        <v>-989297</v>
      </c>
      <c r="E19" s="6" t="n">
        <v>-750277</v>
      </c>
      <c r="F19" s="6" t="n"/>
    </row>
    <row r="20">
      <c r="A20" s="5" t="inlineStr">
        <is>
          <t>Profit for the financial year</t>
        </is>
      </c>
      <c r="B20" s="5" t="n">
        <v>2344078</v>
      </c>
      <c r="C20" s="5" t="n">
        <v>2596449</v>
      </c>
      <c r="D20" s="5" t="n">
        <v>2578173</v>
      </c>
      <c r="E20" s="5" t="n">
        <v>2446681</v>
      </c>
      <c r="F20" s="5" t="n"/>
    </row>
    <row r="21">
      <c r="A21" s="5" t="inlineStr">
        <is>
          <t>Other comprehensive income/(expense)</t>
        </is>
      </c>
      <c r="B21" s="6" t="n"/>
      <c r="C21" s="6" t="n"/>
      <c r="D21" s="6" t="n"/>
      <c r="E21" s="6" t="n"/>
      <c r="F21" s="6" t="n"/>
    </row>
    <row r="22">
      <c r="A22" s="6" t="inlineStr">
        <is>
          <t>Actuarial (loss)/gain on pension schemes</t>
        </is>
      </c>
      <c r="B22" s="6" t="n">
        <v>-6768</v>
      </c>
      <c r="C22" s="6" t="n">
        <v>16182</v>
      </c>
      <c r="D22" s="6" t="n">
        <v>-5336</v>
      </c>
      <c r="E22" s="6" t="n">
        <v>96384</v>
      </c>
      <c r="F22" s="6" t="n"/>
    </row>
    <row r="23">
      <c r="A23" s="6" t="inlineStr">
        <is>
          <t>Tax effect of movement in pension reserve</t>
        </is>
      </c>
      <c r="B23" s="6" t="n">
        <v>1896</v>
      </c>
      <c r="C23" s="6" t="n">
        <v>-8038</v>
      </c>
      <c r="D23" s="6" t="n">
        <v>3117</v>
      </c>
      <c r="E23" s="6" t="n">
        <v>-29389</v>
      </c>
      <c r="F23" s="6" t="n"/>
    </row>
    <row r="24">
      <c r="A24" s="6" t="inlineStr">
        <is>
          <t>Movement attributed to own credit risk on financial liabilities designated at FVTPL</t>
        </is>
      </c>
      <c r="B24" s="6" t="n">
        <v>-51815</v>
      </c>
      <c r="C24" s="6" t="n">
        <v>43910</v>
      </c>
      <c r="D24" s="6" t="n">
        <v>-9755</v>
      </c>
      <c r="E24" s="6" t="n">
        <v>36565</v>
      </c>
      <c r="F24" s="6" t="n"/>
    </row>
    <row r="25">
      <c r="A25" s="6" t="inlineStr">
        <is>
          <t>Fair value movement on loans at FVOCI</t>
        </is>
      </c>
      <c r="B25" s="6" t="n">
        <v>-2923</v>
      </c>
      <c r="C25" s="6" t="n">
        <v>2365</v>
      </c>
      <c r="D25" s="6" t="n">
        <v>-5883</v>
      </c>
      <c r="E25" s="6" t="n">
        <v>-3347</v>
      </c>
      <c r="F25" s="6" t="n"/>
    </row>
    <row r="26">
      <c r="A26" s="6" t="inlineStr">
        <is>
          <t>Movement in ECL on loans at FVOCI</t>
        </is>
      </c>
      <c r="B26" s="6" t="n">
        <v>3406</v>
      </c>
      <c r="C26" s="6" t="n">
        <v>-6755</v>
      </c>
      <c r="D26" s="6" t="n">
        <v>-8826</v>
      </c>
      <c r="E26" s="6" t="n">
        <v>-646</v>
      </c>
      <c r="F26" s="6" t="n"/>
    </row>
    <row r="27">
      <c r="A27" s="6" t="inlineStr">
        <is>
          <t>Tax effect on loans at FVOCI</t>
        </is>
      </c>
      <c r="B27" s="6" t="n">
        <v>-167</v>
      </c>
      <c r="C27" s="6" t="n">
        <v>-1313</v>
      </c>
      <c r="D27" s="6" t="n">
        <v>651</v>
      </c>
      <c r="E27" s="6" t="n">
        <v>2106</v>
      </c>
      <c r="F27" s="6" t="n"/>
    </row>
    <row r="28">
      <c r="A28" s="5" t="inlineStr">
        <is>
          <t>Total other comprehensive (expense)/income</t>
        </is>
      </c>
      <c r="B28" s="5" t="n">
        <v>-56371</v>
      </c>
      <c r="C28" s="5" t="n">
        <v>46351</v>
      </c>
      <c r="D28" s="5" t="n">
        <v>-26032</v>
      </c>
      <c r="E28" s="5" t="n">
        <v>101673</v>
      </c>
      <c r="F28" s="5" t="n"/>
    </row>
    <row r="29">
      <c r="A29" s="5" t="inlineStr">
        <is>
          <t>Total comprehensive income for the year</t>
        </is>
      </c>
      <c r="B29" s="5" t="n">
        <v>2287707</v>
      </c>
      <c r="C29" s="5" t="n">
        <v>2642800</v>
      </c>
      <c r="D29" s="5" t="n">
        <v>2552141</v>
      </c>
      <c r="E29" s="5" t="n">
        <v>2548354</v>
      </c>
      <c r="F29" s="5" t="n"/>
    </row>
    <row r="31" ht="340" customHeight="1">
      <c r="A31" s="8" t="inlineStr">
        <is>
          <t>Sources - J.P. Morgan Securities plc's own entity-level financial statements, in the Company's own reporting currency (US$'000, NOT converted to £ - unlike the Pillar 3 sheets' point-in-time capital/RWA figures, which are GBP-converted per this script's established convention; kept in USD here for direct, unconverted comparability with the primary statements as filed):
FY2025/FY2024: Annual Report 2025, Income statement p.57, Statement of comprehensive income p.58, Balance sheet p.59, Statement of changes in equity p.60, Notes 15-16 p.79-80 - https://find-and-update.company-information.service.gov.uk/company/02711006/filing-history/MzUxOTQxNzUzOGFkaXF6a2N4/document?format=pdf&amp;download=0
FY2023/FY2022: Annual Report 2023 (accounts made up to 31 December 2023), Income statement p.68, Statement of comprehensive income p.69, Balance sheet p.70, Statement of changes in equity p.71, Notes 15-16 p.90 - https://find-and-update.company-information.service.gov.uk/company/02711006/filing-history/MzQyMDg4NTQwMWFkaXF6a2N4/document?format=pdf&amp;download=0
FY2024's own originally-published figures (Annual Report 2024, made up to 31 December 2024) were cross-checked against AR2025's FY2024 comparative column and found identical (both show Profit for the financial year $2,596,449k) - https://find-and-update.company-information.service.gov.uk/company/02711006/filing-history/MzQ2NDE1MTk5OGFkaXF6a2N4/document?format=pdf&amp;download=0
STATEMENTS COVERAGE NOTE: Companies House's public filing history for this entity genuinely only begins 26 January 2024 (confirmed by paging through the full ~250-filing history) - only 3 Full Accounts filings exist (FY2023, FY2024, FY2025). FY2022's Balance Sheet/P&amp;L/Equity figures ARE available, as AR2023's own comparative column (checked in full detail, not just a closing total), but FY2021's are genuinely not - AR2023's equity statement opens at "1 January 2022" with no earlier detail, so FY2021's Balance Sheet, P&amp;L, Statement of Changes in Equity and Asset Quality are blank (not zero, not guessed) below. FY2021's Pillar 3 capital/RWA/leverage/LCR figures remain available via the standalone Pillar 3 archive (see the Pillar 3 sheets) and are unaffected by this gap.</t>
        </is>
      </c>
    </row>
  </sheetData>
  <mergeCells count="1">
    <mergeCell ref="A31:F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65"/>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J.P. Morgan Securities plc — Statement of Changes in Equity</t>
        </is>
      </c>
    </row>
    <row r="2">
      <c r="A2" s="2" t="inlineStr">
        <is>
          <t>Entity-level basis, US$'000 (not GBP-converted). Chronological roll-forward, 1 January 2022 to 31 December 2025 - the earliest opening balance publicly available (see source note). Reconciliation ladder confirmed: every closing balance ties exactly to both the next year's own opening balance and that year's own Balance Sheet Total equity - zero plug rows needed anywhere. "Capital contribution reserve" was fully applied against dividends in FY2023 and doesn't reappear from FY2024 onward, matching the Company's own later statements dropping that column.</t>
        </is>
      </c>
    </row>
    <row r="3">
      <c r="A3" s="4" t="inlineStr">
        <is>
          <t>Movement</t>
        </is>
      </c>
      <c r="B3" s="4" t="inlineStr">
        <is>
          <t>Called-up share capital</t>
        </is>
      </c>
      <c r="C3" s="4" t="inlineStr">
        <is>
          <t>Share premium account</t>
        </is>
      </c>
      <c r="D3" s="4" t="inlineStr">
        <is>
          <t>Other equity instruments</t>
        </is>
      </c>
      <c r="E3" s="4" t="inlineStr">
        <is>
          <t>Capital redemption reserve</t>
        </is>
      </c>
      <c r="F3" s="4" t="inlineStr">
        <is>
          <t>Capital contribution reserve</t>
        </is>
      </c>
      <c r="G3" s="4" t="inlineStr">
        <is>
          <t>Pension reserve</t>
        </is>
      </c>
      <c r="H3" s="4" t="inlineStr">
        <is>
          <t>Other reserves</t>
        </is>
      </c>
      <c r="I3" s="4" t="inlineStr">
        <is>
          <t>Retained earnings</t>
        </is>
      </c>
      <c r="J3" s="4" t="inlineStr">
        <is>
          <t>Total equity</t>
        </is>
      </c>
    </row>
    <row r="4">
      <c r="A4" s="5" t="inlineStr">
        <is>
          <t>Balance as at 1 January 2022</t>
        </is>
      </c>
      <c r="B4" s="5" t="n">
        <v>12443530</v>
      </c>
      <c r="C4" s="5" t="n">
        <v>9950724</v>
      </c>
      <c r="D4" s="5" t="n"/>
      <c r="E4" s="5" t="n">
        <v>4996040</v>
      </c>
      <c r="F4" s="5" t="n">
        <v>1588615</v>
      </c>
      <c r="G4" s="5" t="n">
        <v>6874</v>
      </c>
      <c r="H4" s="5" t="n">
        <v>27448</v>
      </c>
      <c r="I4" s="5" t="n">
        <v>17462557</v>
      </c>
      <c r="J4" s="5" t="n">
        <v>46475788</v>
      </c>
    </row>
    <row r="5">
      <c r="A5" s="6" t="inlineStr">
        <is>
          <t>Profit for the financial year</t>
        </is>
      </c>
      <c r="B5" s="6" t="n"/>
      <c r="C5" s="6" t="n"/>
      <c r="D5" s="6" t="n"/>
      <c r="E5" s="6" t="n"/>
      <c r="F5" s="6" t="n"/>
      <c r="G5" s="6" t="n"/>
      <c r="H5" s="6" t="n"/>
      <c r="I5" s="6" t="n">
        <v>2446681</v>
      </c>
      <c r="J5" s="6" t="n">
        <v>2446681</v>
      </c>
    </row>
    <row r="6">
      <c r="A6" s="6" t="inlineStr">
        <is>
          <t>Gain related to own credit risk on financial liabilities designated at FVTPL</t>
        </is>
      </c>
      <c r="B6" s="6" t="n"/>
      <c r="C6" s="6" t="n"/>
      <c r="D6" s="6" t="n"/>
      <c r="E6" s="6" t="n"/>
      <c r="F6" s="6" t="n"/>
      <c r="G6" s="6" t="n"/>
      <c r="H6" s="6" t="n">
        <v>36565</v>
      </c>
      <c r="I6" s="6" t="n"/>
      <c r="J6" s="6" t="n">
        <v>36565</v>
      </c>
    </row>
    <row r="7">
      <c r="A7" s="6" t="inlineStr">
        <is>
          <t>Movement in fair value of loans at FVOCI</t>
        </is>
      </c>
      <c r="B7" s="6" t="n"/>
      <c r="C7" s="6" t="n"/>
      <c r="D7" s="6" t="n"/>
      <c r="E7" s="6" t="n"/>
      <c r="F7" s="6" t="n"/>
      <c r="G7" s="6" t="n"/>
      <c r="H7" s="6" t="n">
        <v>-3347</v>
      </c>
      <c r="I7" s="6" t="n"/>
      <c r="J7" s="6" t="n">
        <v>-3347</v>
      </c>
    </row>
    <row r="8">
      <c r="A8" s="6" t="inlineStr">
        <is>
          <t>Movement in ECL on loans at FVOCI</t>
        </is>
      </c>
      <c r="B8" s="6" t="n"/>
      <c r="C8" s="6" t="n"/>
      <c r="D8" s="6" t="n"/>
      <c r="E8" s="6" t="n"/>
      <c r="F8" s="6" t="n"/>
      <c r="G8" s="6" t="n"/>
      <c r="H8" s="6" t="n">
        <v>-646</v>
      </c>
      <c r="I8" s="6" t="n"/>
      <c r="J8" s="6" t="n">
        <v>-646</v>
      </c>
    </row>
    <row r="9">
      <c r="A9" s="6" t="inlineStr">
        <is>
          <t>Actuarial gain on pension schemes</t>
        </is>
      </c>
      <c r="B9" s="6" t="n"/>
      <c r="C9" s="6" t="n"/>
      <c r="D9" s="6" t="n"/>
      <c r="E9" s="6" t="n"/>
      <c r="F9" s="6" t="n"/>
      <c r="G9" s="6" t="n">
        <v>96384</v>
      </c>
      <c r="H9" s="6" t="n"/>
      <c r="I9" s="6" t="n"/>
      <c r="J9" s="6" t="n">
        <v>96384</v>
      </c>
    </row>
    <row r="10">
      <c r="A10" s="6" t="inlineStr">
        <is>
          <t>Tax effect on loans at FVOCI</t>
        </is>
      </c>
      <c r="B10" s="6" t="n"/>
      <c r="C10" s="6" t="n"/>
      <c r="D10" s="6" t="n"/>
      <c r="E10" s="6" t="n"/>
      <c r="F10" s="6" t="n"/>
      <c r="G10" s="6" t="n"/>
      <c r="H10" s="6" t="n">
        <v>2106</v>
      </c>
      <c r="I10" s="6" t="n"/>
      <c r="J10" s="6" t="n">
        <v>2106</v>
      </c>
    </row>
    <row r="11">
      <c r="A11" s="6" t="inlineStr">
        <is>
          <t>Tax effect on movement in pension reserve</t>
        </is>
      </c>
      <c r="B11" s="6" t="n"/>
      <c r="C11" s="6" t="n"/>
      <c r="D11" s="6" t="n"/>
      <c r="E11" s="6" t="n"/>
      <c r="F11" s="6" t="n"/>
      <c r="G11" s="6" t="n">
        <v>-29389</v>
      </c>
      <c r="H11" s="6" t="n"/>
      <c r="I11" s="6" t="n"/>
      <c r="J11" s="6" t="n">
        <v>-29389</v>
      </c>
    </row>
    <row r="12">
      <c r="A12" s="5" t="inlineStr">
        <is>
          <t>Total comprehensive income for the year</t>
        </is>
      </c>
      <c r="B12" s="5" t="n"/>
      <c r="C12" s="5" t="n"/>
      <c r="D12" s="5" t="n"/>
      <c r="E12" s="5" t="n"/>
      <c r="F12" s="5" t="n"/>
      <c r="G12" s="5" t="n">
        <v>66995</v>
      </c>
      <c r="H12" s="5" t="n">
        <v>34678</v>
      </c>
      <c r="I12" s="5" t="n">
        <v>2446681</v>
      </c>
      <c r="J12" s="5" t="n">
        <v>2548354</v>
      </c>
    </row>
    <row r="13">
      <c r="A13" s="6" t="inlineStr">
        <is>
          <t>Additional Tier 1 notes issuance during the year</t>
        </is>
      </c>
      <c r="B13" s="6" t="n"/>
      <c r="C13" s="6" t="n"/>
      <c r="D13" s="6" t="n">
        <v>5000000</v>
      </c>
      <c r="E13" s="6" t="n"/>
      <c r="F13" s="6" t="n"/>
      <c r="G13" s="6" t="n"/>
      <c r="H13" s="6" t="n"/>
      <c r="I13" s="6" t="n"/>
      <c r="J13" s="6" t="n">
        <v>5000000</v>
      </c>
    </row>
    <row r="14">
      <c r="A14" s="6" t="inlineStr">
        <is>
          <t>Group share-based payment costs</t>
        </is>
      </c>
      <c r="B14" s="6" t="n"/>
      <c r="C14" s="6" t="n"/>
      <c r="D14" s="6" t="n"/>
      <c r="E14" s="6" t="n"/>
      <c r="F14" s="6" t="n"/>
      <c r="G14" s="6" t="n"/>
      <c r="H14" s="6" t="n">
        <v>316328</v>
      </c>
      <c r="I14" s="6" t="n"/>
      <c r="J14" s="6" t="n">
        <v>316328</v>
      </c>
    </row>
    <row r="15">
      <c r="A15" s="6" t="inlineStr">
        <is>
          <t>Group share-based payment costs recharged</t>
        </is>
      </c>
      <c r="B15" s="6" t="n"/>
      <c r="C15" s="6" t="n"/>
      <c r="D15" s="6" t="n"/>
      <c r="E15" s="6" t="n"/>
      <c r="F15" s="6" t="n"/>
      <c r="G15" s="6" t="n"/>
      <c r="H15" s="6" t="n">
        <v>-316328</v>
      </c>
      <c r="I15" s="6" t="n"/>
      <c r="J15" s="6" t="n">
        <v>-316328</v>
      </c>
    </row>
    <row r="16">
      <c r="A16" s="6" t="inlineStr">
        <is>
          <t>Tax effect on share-based payments</t>
        </is>
      </c>
      <c r="B16" s="6" t="n"/>
      <c r="C16" s="6" t="n"/>
      <c r="D16" s="6" t="n"/>
      <c r="E16" s="6" t="n"/>
      <c r="F16" s="6" t="n"/>
      <c r="G16" s="6" t="n"/>
      <c r="H16" s="6" t="n">
        <v>-41920</v>
      </c>
      <c r="I16" s="6" t="n"/>
      <c r="J16" s="6" t="n">
        <v>-41920</v>
      </c>
    </row>
    <row r="17">
      <c r="A17" s="6" t="inlineStr">
        <is>
          <t>Dividends paid</t>
        </is>
      </c>
      <c r="B17" s="6" t="n"/>
      <c r="C17" s="6" t="n"/>
      <c r="D17" s="6" t="n"/>
      <c r="E17" s="6" t="n"/>
      <c r="F17" s="6" t="n"/>
      <c r="G17" s="6" t="n"/>
      <c r="H17" s="6" t="n"/>
      <c r="I17" s="6" t="n">
        <v>-7500000</v>
      </c>
      <c r="J17" s="6" t="n">
        <v>-7500000</v>
      </c>
    </row>
    <row r="18">
      <c r="A18" s="6" t="inlineStr">
        <is>
          <t>Movement in other reserves</t>
        </is>
      </c>
      <c r="B18" s="6" t="n"/>
      <c r="C18" s="6" t="n"/>
      <c r="D18" s="6" t="n"/>
      <c r="E18" s="6" t="n"/>
      <c r="F18" s="6" t="n"/>
      <c r="G18" s="6" t="n"/>
      <c r="H18" s="6" t="n">
        <v>6788</v>
      </c>
      <c r="I18" s="6" t="n"/>
      <c r="J18" s="6" t="n">
        <v>6788</v>
      </c>
    </row>
    <row r="19">
      <c r="A19" s="5" t="inlineStr">
        <is>
          <t>Balance as at 31 December 2022 (ties to Balance Sheet's own FY2022 Total equity)</t>
        </is>
      </c>
      <c r="B19" s="5" t="n">
        <v>12443530</v>
      </c>
      <c r="C19" s="5" t="n">
        <v>9950724</v>
      </c>
      <c r="D19" s="5" t="n">
        <v>5000000</v>
      </c>
      <c r="E19" s="5" t="n">
        <v>4996040</v>
      </c>
      <c r="F19" s="5" t="n">
        <v>1588615</v>
      </c>
      <c r="G19" s="5" t="n">
        <v>73869</v>
      </c>
      <c r="H19" s="5" t="n">
        <v>26994</v>
      </c>
      <c r="I19" s="5" t="n">
        <v>12409238</v>
      </c>
      <c r="J19" s="5" t="n">
        <v>46489010</v>
      </c>
    </row>
    <row r="20">
      <c r="A20" s="6" t="inlineStr">
        <is>
          <t>Profit for the financial year</t>
        </is>
      </c>
      <c r="B20" s="6" t="n"/>
      <c r="C20" s="6" t="n"/>
      <c r="D20" s="6" t="n"/>
      <c r="E20" s="6" t="n"/>
      <c r="F20" s="6" t="n"/>
      <c r="G20" s="6" t="n"/>
      <c r="H20" s="6" t="n"/>
      <c r="I20" s="6" t="n">
        <v>2578173</v>
      </c>
      <c r="J20" s="6" t="n">
        <v>2578173</v>
      </c>
    </row>
    <row r="21">
      <c r="A21" s="6" t="inlineStr">
        <is>
          <t>Loss related to own credit risk on financial liabilities designated at FVTPL</t>
        </is>
      </c>
      <c r="B21" s="6" t="n"/>
      <c r="C21" s="6" t="n"/>
      <c r="D21" s="6" t="n"/>
      <c r="E21" s="6" t="n"/>
      <c r="F21" s="6" t="n"/>
      <c r="G21" s="6" t="n"/>
      <c r="H21" s="6" t="n">
        <v>-9755</v>
      </c>
      <c r="I21" s="6" t="n"/>
      <c r="J21" s="6" t="n">
        <v>-9755</v>
      </c>
    </row>
    <row r="22">
      <c r="A22" s="6" t="inlineStr">
        <is>
          <t>Movement in fair value of loans at FVOCI</t>
        </is>
      </c>
      <c r="B22" s="6" t="n"/>
      <c r="C22" s="6" t="n"/>
      <c r="D22" s="6" t="n"/>
      <c r="E22" s="6" t="n"/>
      <c r="F22" s="6" t="n"/>
      <c r="G22" s="6" t="n"/>
      <c r="H22" s="6" t="n">
        <v>-5883</v>
      </c>
      <c r="I22" s="6" t="n"/>
      <c r="J22" s="6" t="n">
        <v>-5883</v>
      </c>
    </row>
    <row r="23">
      <c r="A23" s="6" t="inlineStr">
        <is>
          <t>Movement in ECL on loans at FVOCI</t>
        </is>
      </c>
      <c r="B23" s="6" t="n"/>
      <c r="C23" s="6" t="n"/>
      <c r="D23" s="6" t="n"/>
      <c r="E23" s="6" t="n"/>
      <c r="F23" s="6" t="n"/>
      <c r="G23" s="6" t="n"/>
      <c r="H23" s="6" t="n">
        <v>-8826</v>
      </c>
      <c r="I23" s="6" t="n"/>
      <c r="J23" s="6" t="n">
        <v>-8826</v>
      </c>
    </row>
    <row r="24">
      <c r="A24" s="6" t="inlineStr">
        <is>
          <t>Actuarial (loss)/gain on pension schemes</t>
        </is>
      </c>
      <c r="B24" s="6" t="n"/>
      <c r="C24" s="6" t="n"/>
      <c r="D24" s="6" t="n"/>
      <c r="E24" s="6" t="n"/>
      <c r="F24" s="6" t="n"/>
      <c r="G24" s="6" t="n">
        <v>-5336</v>
      </c>
      <c r="H24" s="6" t="n"/>
      <c r="I24" s="6" t="n"/>
      <c r="J24" s="6" t="n">
        <v>-5336</v>
      </c>
    </row>
    <row r="25">
      <c r="A25" s="6" t="inlineStr">
        <is>
          <t>Tax effect on loans at FVOCI</t>
        </is>
      </c>
      <c r="B25" s="6" t="n"/>
      <c r="C25" s="6" t="n"/>
      <c r="D25" s="6" t="n"/>
      <c r="E25" s="6" t="n"/>
      <c r="F25" s="6" t="n"/>
      <c r="G25" s="6" t="n"/>
      <c r="H25" s="6" t="n">
        <v>651</v>
      </c>
      <c r="I25" s="6" t="n"/>
      <c r="J25" s="6" t="n">
        <v>651</v>
      </c>
    </row>
    <row r="26">
      <c r="A26" s="6" t="inlineStr">
        <is>
          <t>Tax effect on movement in pension reserve</t>
        </is>
      </c>
      <c r="B26" s="6" t="n"/>
      <c r="C26" s="6" t="n"/>
      <c r="D26" s="6" t="n"/>
      <c r="E26" s="6" t="n"/>
      <c r="F26" s="6" t="n"/>
      <c r="G26" s="6" t="n">
        <v>3117</v>
      </c>
      <c r="H26" s="6" t="n"/>
      <c r="I26" s="6" t="n"/>
      <c r="J26" s="6" t="n">
        <v>3117</v>
      </c>
    </row>
    <row r="27">
      <c r="A27" s="5" t="inlineStr">
        <is>
          <t>Total comprehensive income/(expense) for the year</t>
        </is>
      </c>
      <c r="B27" s="5" t="n"/>
      <c r="C27" s="5" t="n"/>
      <c r="D27" s="5" t="n"/>
      <c r="E27" s="5" t="n"/>
      <c r="F27" s="5" t="n"/>
      <c r="G27" s="5" t="n">
        <v>-2219</v>
      </c>
      <c r="H27" s="5" t="n">
        <v>-23813</v>
      </c>
      <c r="I27" s="5" t="n">
        <v>2578173</v>
      </c>
      <c r="J27" s="5" t="n">
        <v>2552141</v>
      </c>
    </row>
    <row r="28">
      <c r="A28" s="6" t="inlineStr">
        <is>
          <t>Additional Tier 1 notes issuance during the year</t>
        </is>
      </c>
      <c r="B28" s="6" t="n"/>
      <c r="C28" s="6" t="n"/>
      <c r="D28" s="6" t="n">
        <v>5000000</v>
      </c>
      <c r="E28" s="6" t="n"/>
      <c r="F28" s="6" t="n"/>
      <c r="G28" s="6" t="n"/>
      <c r="H28" s="6" t="n"/>
      <c r="I28" s="6" t="n"/>
      <c r="J28" s="6" t="n">
        <v>5000000</v>
      </c>
    </row>
    <row r="29">
      <c r="A29" s="6" t="inlineStr">
        <is>
          <t>Additional Tier 1 interest</t>
        </is>
      </c>
      <c r="B29" s="6" t="n"/>
      <c r="C29" s="6" t="n"/>
      <c r="D29" s="6" t="n"/>
      <c r="E29" s="6" t="n"/>
      <c r="F29" s="6" t="n"/>
      <c r="G29" s="6" t="n"/>
      <c r="H29" s="6" t="n"/>
      <c r="I29" s="6" t="n">
        <v>-783495</v>
      </c>
      <c r="J29" s="6" t="n">
        <v>-783495</v>
      </c>
    </row>
    <row r="30">
      <c r="A30" s="6" t="inlineStr">
        <is>
          <t>Group share-based payment costs</t>
        </is>
      </c>
      <c r="B30" s="6" t="n"/>
      <c r="C30" s="6" t="n"/>
      <c r="D30" s="6" t="n"/>
      <c r="E30" s="6" t="n"/>
      <c r="F30" s="6" t="n"/>
      <c r="G30" s="6" t="n"/>
      <c r="H30" s="6" t="n">
        <v>335076</v>
      </c>
      <c r="I30" s="6" t="n"/>
      <c r="J30" s="6" t="n">
        <v>335076</v>
      </c>
    </row>
    <row r="31">
      <c r="A31" s="6" t="inlineStr">
        <is>
          <t>Group share-based payment costs recharged</t>
        </is>
      </c>
      <c r="B31" s="6" t="n"/>
      <c r="C31" s="6" t="n"/>
      <c r="D31" s="6" t="n"/>
      <c r="E31" s="6" t="n"/>
      <c r="F31" s="6" t="n"/>
      <c r="G31" s="6" t="n"/>
      <c r="H31" s="6" t="n">
        <v>-335076</v>
      </c>
      <c r="I31" s="6" t="n"/>
      <c r="J31" s="6" t="n">
        <v>-335076</v>
      </c>
    </row>
    <row r="32">
      <c r="A32" s="6" t="inlineStr">
        <is>
          <t>Tax effect on share-based payments</t>
        </is>
      </c>
      <c r="B32" s="6" t="n"/>
      <c r="C32" s="6" t="n"/>
      <c r="D32" s="6" t="n"/>
      <c r="E32" s="6" t="n"/>
      <c r="F32" s="6" t="n"/>
      <c r="G32" s="6" t="n"/>
      <c r="H32" s="6" t="n">
        <v>45938</v>
      </c>
      <c r="I32" s="6" t="n"/>
      <c r="J32" s="6" t="n">
        <v>45938</v>
      </c>
    </row>
    <row r="33">
      <c r="A33" s="6" t="inlineStr">
        <is>
          <t>Dividends paid</t>
        </is>
      </c>
      <c r="B33" s="6" t="n"/>
      <c r="C33" s="6" t="n"/>
      <c r="D33" s="6" t="n"/>
      <c r="E33" s="6" t="n"/>
      <c r="F33" s="6" t="n">
        <v>-1588615</v>
      </c>
      <c r="G33" s="6" t="n"/>
      <c r="H33" s="6" t="n"/>
      <c r="I33" s="6" t="n">
        <v>-5411385</v>
      </c>
      <c r="J33" s="6" t="n">
        <v>-7000000</v>
      </c>
    </row>
    <row r="34">
      <c r="A34" s="6" t="inlineStr">
        <is>
          <t>Movement in other reserves</t>
        </is>
      </c>
      <c r="B34" s="6" t="n"/>
      <c r="C34" s="6" t="n"/>
      <c r="D34" s="6" t="n"/>
      <c r="E34" s="6" t="n"/>
      <c r="F34" s="6" t="n"/>
      <c r="G34" s="6" t="n"/>
      <c r="H34" s="6" t="n">
        <v>90986</v>
      </c>
      <c r="I34" s="6" t="n"/>
      <c r="J34" s="6" t="n">
        <v>90986</v>
      </c>
    </row>
    <row r="35">
      <c r="A35" s="5" t="inlineStr">
        <is>
          <t>Balance as at 31 December 2023 (ties to Balance Sheet's own FY2023 Total equity)</t>
        </is>
      </c>
      <c r="B35" s="5" t="n">
        <v>12443530</v>
      </c>
      <c r="C35" s="5" t="n">
        <v>9950724</v>
      </c>
      <c r="D35" s="5" t="n">
        <v>10000000</v>
      </c>
      <c r="E35" s="5" t="n">
        <v>4996040</v>
      </c>
      <c r="F35" s="5" t="n"/>
      <c r="G35" s="5" t="n">
        <v>71650</v>
      </c>
      <c r="H35" s="5" t="n">
        <v>140105</v>
      </c>
      <c r="I35" s="5" t="n">
        <v>8792531</v>
      </c>
      <c r="J35" s="5" t="n">
        <v>46394580</v>
      </c>
    </row>
    <row r="36">
      <c r="A36" s="6" t="inlineStr">
        <is>
          <t>Profit for the financial year</t>
        </is>
      </c>
      <c r="B36" s="6" t="n"/>
      <c r="C36" s="6" t="n"/>
      <c r="D36" s="6" t="n"/>
      <c r="E36" s="6" t="n"/>
      <c r="F36" s="6" t="n"/>
      <c r="G36" s="6" t="n"/>
      <c r="H36" s="6" t="n"/>
      <c r="I36" s="6" t="n">
        <v>2596449</v>
      </c>
      <c r="J36" s="6" t="n">
        <v>2596449</v>
      </c>
    </row>
    <row r="37">
      <c r="A37" s="6" t="inlineStr">
        <is>
          <t>Gain related to own credit risk on financial liabilities designated at FVTPL</t>
        </is>
      </c>
      <c r="B37" s="6" t="n"/>
      <c r="C37" s="6" t="n"/>
      <c r="D37" s="6" t="n"/>
      <c r="E37" s="6" t="n"/>
      <c r="F37" s="6" t="n"/>
      <c r="G37" s="6" t="n"/>
      <c r="H37" s="6" t="n">
        <v>43910</v>
      </c>
      <c r="I37" s="6" t="n"/>
      <c r="J37" s="6" t="n">
        <v>43910</v>
      </c>
    </row>
    <row r="38">
      <c r="A38" s="6" t="inlineStr">
        <is>
          <t>Movement in fair value of loans at FVOCI</t>
        </is>
      </c>
      <c r="B38" s="6" t="n"/>
      <c r="C38" s="6" t="n"/>
      <c r="D38" s="6" t="n"/>
      <c r="E38" s="6" t="n"/>
      <c r="F38" s="6" t="n"/>
      <c r="G38" s="6" t="n"/>
      <c r="H38" s="6" t="n">
        <v>2365</v>
      </c>
      <c r="I38" s="6" t="n"/>
      <c r="J38" s="6" t="n">
        <v>2365</v>
      </c>
    </row>
    <row r="39">
      <c r="A39" s="6" t="inlineStr">
        <is>
          <t>Movement in ECL on loans at FVOCI</t>
        </is>
      </c>
      <c r="B39" s="6" t="n"/>
      <c r="C39" s="6" t="n"/>
      <c r="D39" s="6" t="n"/>
      <c r="E39" s="6" t="n"/>
      <c r="F39" s="6" t="n"/>
      <c r="G39" s="6" t="n"/>
      <c r="H39" s="6" t="n">
        <v>-6755</v>
      </c>
      <c r="I39" s="6" t="n"/>
      <c r="J39" s="6" t="n">
        <v>-6755</v>
      </c>
    </row>
    <row r="40">
      <c r="A40" s="6" t="inlineStr">
        <is>
          <t>Actuarial gain on pension schemes</t>
        </is>
      </c>
      <c r="B40" s="6" t="n"/>
      <c r="C40" s="6" t="n"/>
      <c r="D40" s="6" t="n"/>
      <c r="E40" s="6" t="n"/>
      <c r="F40" s="6" t="n"/>
      <c r="G40" s="6" t="n">
        <v>16182</v>
      </c>
      <c r="H40" s="6" t="n"/>
      <c r="I40" s="6" t="n"/>
      <c r="J40" s="6" t="n">
        <v>16182</v>
      </c>
    </row>
    <row r="41">
      <c r="A41" s="6" t="inlineStr">
        <is>
          <t>Tax effect on loans at FVOCI</t>
        </is>
      </c>
      <c r="B41" s="6" t="n"/>
      <c r="C41" s="6" t="n"/>
      <c r="D41" s="6" t="n"/>
      <c r="E41" s="6" t="n"/>
      <c r="F41" s="6" t="n"/>
      <c r="G41" s="6" t="n"/>
      <c r="H41" s="6" t="n">
        <v>-1313</v>
      </c>
      <c r="I41" s="6" t="n"/>
      <c r="J41" s="6" t="n">
        <v>-1313</v>
      </c>
    </row>
    <row r="42">
      <c r="A42" s="6" t="inlineStr">
        <is>
          <t>Tax effect on movement in pension reserve</t>
        </is>
      </c>
      <c r="B42" s="6" t="n"/>
      <c r="C42" s="6" t="n"/>
      <c r="D42" s="6" t="n"/>
      <c r="E42" s="6" t="n"/>
      <c r="F42" s="6" t="n"/>
      <c r="G42" s="6" t="n">
        <v>-8038</v>
      </c>
      <c r="H42" s="6" t="n"/>
      <c r="I42" s="6" t="n"/>
      <c r="J42" s="6" t="n">
        <v>-8038</v>
      </c>
    </row>
    <row r="43">
      <c r="A43" s="5" t="inlineStr">
        <is>
          <t>Total comprehensive income for the year</t>
        </is>
      </c>
      <c r="B43" s="5" t="n"/>
      <c r="C43" s="5" t="n"/>
      <c r="D43" s="5" t="n"/>
      <c r="E43" s="5" t="n"/>
      <c r="F43" s="5" t="n"/>
      <c r="G43" s="5" t="n">
        <v>8144</v>
      </c>
      <c r="H43" s="5" t="n">
        <v>38207</v>
      </c>
      <c r="I43" s="5" t="n">
        <v>2596449</v>
      </c>
      <c r="J43" s="5" t="n">
        <v>2642800</v>
      </c>
    </row>
    <row r="44">
      <c r="A44" s="6" t="inlineStr">
        <is>
          <t>Additional Tier 1 interest</t>
        </is>
      </c>
      <c r="B44" s="6" t="n"/>
      <c r="C44" s="6" t="n"/>
      <c r="D44" s="6" t="n"/>
      <c r="E44" s="6" t="n"/>
      <c r="F44" s="6" t="n"/>
      <c r="G44" s="6" t="n"/>
      <c r="H44" s="6" t="n"/>
      <c r="I44" s="6" t="n">
        <v>-914609</v>
      </c>
      <c r="J44" s="6" t="n">
        <v>-914609</v>
      </c>
    </row>
    <row r="45">
      <c r="A45" s="6" t="inlineStr">
        <is>
          <t>Group share-based payment costs</t>
        </is>
      </c>
      <c r="B45" s="6" t="n"/>
      <c r="C45" s="6" t="n"/>
      <c r="D45" s="6" t="n"/>
      <c r="E45" s="6" t="n"/>
      <c r="F45" s="6" t="n"/>
      <c r="G45" s="6" t="n"/>
      <c r="H45" s="6" t="n">
        <v>356679</v>
      </c>
      <c r="I45" s="6" t="n"/>
      <c r="J45" s="6" t="n">
        <v>356679</v>
      </c>
    </row>
    <row r="46">
      <c r="A46" s="6" t="inlineStr">
        <is>
          <t>Group share-based payment costs recharged</t>
        </is>
      </c>
      <c r="B46" s="6" t="n"/>
      <c r="C46" s="6" t="n"/>
      <c r="D46" s="6" t="n"/>
      <c r="E46" s="6" t="n"/>
      <c r="F46" s="6" t="n"/>
      <c r="G46" s="6" t="n"/>
      <c r="H46" s="6" t="n">
        <v>-356679</v>
      </c>
      <c r="I46" s="6" t="n"/>
      <c r="J46" s="6" t="n">
        <v>-356679</v>
      </c>
    </row>
    <row r="47">
      <c r="A47" s="6" t="inlineStr">
        <is>
          <t>Tax effect on share-based payments</t>
        </is>
      </c>
      <c r="B47" s="6" t="n"/>
      <c r="C47" s="6" t="n"/>
      <c r="D47" s="6" t="n"/>
      <c r="E47" s="6" t="n"/>
      <c r="F47" s="6" t="n"/>
      <c r="G47" s="6" t="n"/>
      <c r="H47" s="6" t="n">
        <v>74208</v>
      </c>
      <c r="I47" s="6" t="n">
        <v>21628</v>
      </c>
      <c r="J47" s="6" t="n">
        <v>95836</v>
      </c>
    </row>
    <row r="48">
      <c r="A48" s="6" t="inlineStr">
        <is>
          <t>Movement in other reserves</t>
        </is>
      </c>
      <c r="B48" s="6" t="n"/>
      <c r="C48" s="6" t="n"/>
      <c r="D48" s="6" t="n"/>
      <c r="E48" s="6" t="n"/>
      <c r="F48" s="6" t="n"/>
      <c r="G48" s="6" t="n"/>
      <c r="H48" s="6" t="n">
        <v>-455</v>
      </c>
      <c r="I48" s="6" t="n"/>
      <c r="J48" s="6" t="n">
        <v>-455</v>
      </c>
    </row>
    <row r="49">
      <c r="A49" s="5" t="inlineStr">
        <is>
          <t>Balance as at 31 December 2024 (ties to Balance Sheet's own FY2024 Total equity)</t>
        </is>
      </c>
      <c r="B49" s="5" t="n">
        <v>12443530</v>
      </c>
      <c r="C49" s="5" t="n">
        <v>9950724</v>
      </c>
      <c r="D49" s="5" t="n">
        <v>10000000</v>
      </c>
      <c r="E49" s="5" t="n">
        <v>4996040</v>
      </c>
      <c r="F49" s="5" t="n"/>
      <c r="G49" s="5" t="n">
        <v>79794</v>
      </c>
      <c r="H49" s="5" t="n">
        <v>252065</v>
      </c>
      <c r="I49" s="5" t="n">
        <v>10495999</v>
      </c>
      <c r="J49" s="5" t="n">
        <v>48218152</v>
      </c>
    </row>
    <row r="50">
      <c r="A50" s="6" t="inlineStr">
        <is>
          <t>Profit for the financial year</t>
        </is>
      </c>
      <c r="B50" s="6" t="n"/>
      <c r="C50" s="6" t="n"/>
      <c r="D50" s="6" t="n"/>
      <c r="E50" s="6" t="n"/>
      <c r="F50" s="6" t="n"/>
      <c r="G50" s="6" t="n"/>
      <c r="H50" s="6" t="n"/>
      <c r="I50" s="6" t="n">
        <v>2344078</v>
      </c>
      <c r="J50" s="6" t="n">
        <v>2344078</v>
      </c>
    </row>
    <row r="51">
      <c r="A51" s="6" t="inlineStr">
        <is>
          <t>Loss related to own credit risk on financial liabilities designated at FVTPL</t>
        </is>
      </c>
      <c r="B51" s="6" t="n"/>
      <c r="C51" s="6" t="n"/>
      <c r="D51" s="6" t="n"/>
      <c r="E51" s="6" t="n"/>
      <c r="F51" s="6" t="n"/>
      <c r="G51" s="6" t="n"/>
      <c r="H51" s="6" t="n">
        <v>-51815</v>
      </c>
      <c r="I51" s="6" t="n"/>
      <c r="J51" s="6" t="n">
        <v>-51815</v>
      </c>
    </row>
    <row r="52">
      <c r="A52" s="6" t="inlineStr">
        <is>
          <t>Movement in fair value of loans at FVOCI</t>
        </is>
      </c>
      <c r="B52" s="6" t="n"/>
      <c r="C52" s="6" t="n"/>
      <c r="D52" s="6" t="n"/>
      <c r="E52" s="6" t="n"/>
      <c r="F52" s="6" t="n"/>
      <c r="G52" s="6" t="n"/>
      <c r="H52" s="6" t="n">
        <v>-2923</v>
      </c>
      <c r="I52" s="6" t="n"/>
      <c r="J52" s="6" t="n">
        <v>-2923</v>
      </c>
    </row>
    <row r="53">
      <c r="A53" s="6" t="inlineStr">
        <is>
          <t>Movement in ECL on loans at FVOCI</t>
        </is>
      </c>
      <c r="B53" s="6" t="n"/>
      <c r="C53" s="6" t="n"/>
      <c r="D53" s="6" t="n"/>
      <c r="E53" s="6" t="n"/>
      <c r="F53" s="6" t="n"/>
      <c r="G53" s="6" t="n"/>
      <c r="H53" s="6" t="n">
        <v>3406</v>
      </c>
      <c r="I53" s="6" t="n"/>
      <c r="J53" s="6" t="n">
        <v>3406</v>
      </c>
    </row>
    <row r="54">
      <c r="A54" s="6" t="inlineStr">
        <is>
          <t>Actuarial loss on pension schemes</t>
        </is>
      </c>
      <c r="B54" s="6" t="n"/>
      <c r="C54" s="6" t="n"/>
      <c r="D54" s="6" t="n"/>
      <c r="E54" s="6" t="n"/>
      <c r="F54" s="6" t="n"/>
      <c r="G54" s="6" t="n">
        <v>-6768</v>
      </c>
      <c r="H54" s="6" t="n"/>
      <c r="I54" s="6" t="n"/>
      <c r="J54" s="6" t="n">
        <v>-6768</v>
      </c>
    </row>
    <row r="55">
      <c r="A55" s="6" t="inlineStr">
        <is>
          <t>Tax effect on loans at FVOCI</t>
        </is>
      </c>
      <c r="B55" s="6" t="n"/>
      <c r="C55" s="6" t="n"/>
      <c r="D55" s="6" t="n"/>
      <c r="E55" s="6" t="n"/>
      <c r="F55" s="6" t="n"/>
      <c r="G55" s="6" t="n"/>
      <c r="H55" s="6" t="n">
        <v>-167</v>
      </c>
      <c r="I55" s="6" t="n"/>
      <c r="J55" s="6" t="n">
        <v>-167</v>
      </c>
    </row>
    <row r="56">
      <c r="A56" s="6" t="inlineStr">
        <is>
          <t>Tax effect on movement in pension reserve</t>
        </is>
      </c>
      <c r="B56" s="6" t="n"/>
      <c r="C56" s="6" t="n"/>
      <c r="D56" s="6" t="n"/>
      <c r="E56" s="6" t="n"/>
      <c r="F56" s="6" t="n"/>
      <c r="G56" s="6" t="n">
        <v>1896</v>
      </c>
      <c r="H56" s="6" t="n"/>
      <c r="I56" s="6" t="n"/>
      <c r="J56" s="6" t="n">
        <v>1896</v>
      </c>
    </row>
    <row r="57">
      <c r="A57" s="5" t="inlineStr">
        <is>
          <t>Total comprehensive income/(expense) for the year</t>
        </is>
      </c>
      <c r="B57" s="5" t="n"/>
      <c r="C57" s="5" t="n"/>
      <c r="D57" s="5" t="n"/>
      <c r="E57" s="5" t="n"/>
      <c r="F57" s="5" t="n"/>
      <c r="G57" s="5" t="n">
        <v>-4872</v>
      </c>
      <c r="H57" s="5" t="n">
        <v>-51499</v>
      </c>
      <c r="I57" s="5" t="n">
        <v>2344078</v>
      </c>
      <c r="J57" s="5" t="n">
        <v>2287707</v>
      </c>
    </row>
    <row r="58">
      <c r="A58" s="6" t="inlineStr">
        <is>
          <t>Additional Tier 1 interest</t>
        </is>
      </c>
      <c r="B58" s="6" t="n"/>
      <c r="C58" s="6" t="n"/>
      <c r="D58" s="6" t="n"/>
      <c r="E58" s="6" t="n"/>
      <c r="F58" s="6" t="n"/>
      <c r="G58" s="6" t="n"/>
      <c r="H58" s="6" t="n"/>
      <c r="I58" s="6" t="n">
        <v>-819887</v>
      </c>
      <c r="J58" s="6" t="n">
        <v>-819887</v>
      </c>
    </row>
    <row r="59">
      <c r="A59" s="6" t="inlineStr">
        <is>
          <t>Group share-based payment costs</t>
        </is>
      </c>
      <c r="B59" s="6" t="n"/>
      <c r="C59" s="6" t="n"/>
      <c r="D59" s="6" t="n"/>
      <c r="E59" s="6" t="n"/>
      <c r="F59" s="6" t="n"/>
      <c r="G59" s="6" t="n"/>
      <c r="H59" s="6" t="n">
        <v>294100</v>
      </c>
      <c r="I59" s="6" t="n"/>
      <c r="J59" s="6" t="n">
        <v>294100</v>
      </c>
    </row>
    <row r="60">
      <c r="A60" s="6" t="inlineStr">
        <is>
          <t>Group share-based payment costs recharged</t>
        </is>
      </c>
      <c r="B60" s="6" t="n"/>
      <c r="C60" s="6" t="n"/>
      <c r="D60" s="6" t="n"/>
      <c r="E60" s="6" t="n"/>
      <c r="F60" s="6" t="n"/>
      <c r="G60" s="6" t="n"/>
      <c r="H60" s="6" t="n">
        <v>-294100</v>
      </c>
      <c r="I60" s="6" t="n"/>
      <c r="J60" s="6" t="n">
        <v>-294100</v>
      </c>
    </row>
    <row r="61">
      <c r="A61" s="6" t="inlineStr">
        <is>
          <t>Tax effect on share-based payments</t>
        </is>
      </c>
      <c r="B61" s="6" t="n"/>
      <c r="C61" s="6" t="n"/>
      <c r="D61" s="6" t="n"/>
      <c r="E61" s="6" t="n"/>
      <c r="F61" s="6" t="n"/>
      <c r="G61" s="6" t="n"/>
      <c r="H61" s="6" t="n">
        <v>48039</v>
      </c>
      <c r="I61" s="6" t="n">
        <v>49803</v>
      </c>
      <c r="J61" s="6" t="n">
        <v>97842</v>
      </c>
    </row>
    <row r="62">
      <c r="A62" s="6" t="inlineStr">
        <is>
          <t>Movement in other reserves</t>
        </is>
      </c>
      <c r="B62" s="6" t="n"/>
      <c r="C62" s="6" t="n"/>
      <c r="D62" s="6" t="n"/>
      <c r="E62" s="6" t="n"/>
      <c r="F62" s="6" t="n"/>
      <c r="G62" s="6" t="n"/>
      <c r="H62" s="6" t="n">
        <v>1028</v>
      </c>
      <c r="I62" s="6" t="n"/>
      <c r="J62" s="6" t="n">
        <v>1028</v>
      </c>
    </row>
    <row r="63">
      <c r="A63" s="5" t="inlineStr">
        <is>
          <t>Balance as at 31 December 2025 (ties to Balance Sheet's own FY2025 Total equity)</t>
        </is>
      </c>
      <c r="B63" s="5" t="n">
        <v>12443530</v>
      </c>
      <c r="C63" s="5" t="n">
        <v>9950724</v>
      </c>
      <c r="D63" s="5" t="n">
        <v>10000000</v>
      </c>
      <c r="E63" s="5" t="n">
        <v>4996040</v>
      </c>
      <c r="F63" s="5" t="n"/>
      <c r="G63" s="5" t="n">
        <v>74922</v>
      </c>
      <c r="H63" s="5" t="n">
        <v>249633</v>
      </c>
      <c r="I63" s="5" t="n">
        <v>12069993</v>
      </c>
      <c r="J63" s="5" t="n">
        <v>49784842</v>
      </c>
    </row>
    <row r="65" ht="260" customHeight="1">
      <c r="A65" s="8" t="inlineStr">
        <is>
          <t>Sources - J.P. Morgan Securities plc's own entity-level financial statements, in the Company's own reporting currency (US$'000, NOT converted to £ - unlike the Pillar 3 sheets' point-in-time capital/RWA figures, which are GBP-converted per this script's established convention; kept in USD here for direct, unconverted comparability with the primary statements as filed):
FY2025/FY2024: Annual Report 2025, Income statement p.57, Statement of comprehensive income p.58, Balance sheet p.59, Statement of changes in equity p.60, Notes 15-16 p.79-80 - https://find-and-update.company-information.service.gov.uk/company/02711006/filing-history/MzUxOTQxNzUzOGFkaXF6a2N4/document?format=pdf&amp;download=0
FY2023/FY2022: Annual Report 2023 (accounts made up to 31 December 2023), Income statement p.68, Statement of comprehensive income p.69, Balance sheet p.70, Statement of changes in equity p.71, Notes 15-16 p.90 - https://find-and-update.company-information.service.gov.uk/company/02711006/filing-history/MzQyMDg4NTQwMWFkaXF6a2N4/document?format=pdf&amp;download=0
FY2024's own originally-published figures (Annual Report 2024, made up to 31 December 2024) were cross-checked against AR2025's FY2024 comparative column and found identical (both show Profit for the financial year $2,596,449k) - https://find-and-update.company-information.service.gov.uk/company/02711006/filing-history/MzQ2NDE1MTk5OGFkaXF6a2N4/document?format=pdf&amp;download=0
STATEMENTS COVERAGE NOTE: Companies House's public filing history for this entity genuinely only begins 26 January 2024 (confirmed by paging through the full ~250-filing history) - only 3 Full Accounts filings exist (FY2023, FY2024, FY2025). FY2022's Balance Sheet/P&amp;L/Equity figures ARE available, as AR2023's own comparative column (checked in full detail, not just a closing total), but FY2021's are genuinely not - AR2023's equity statement opens at "1 January 2022" with no earlier detail, so FY2021's Balance Sheet, P&amp;L, Statement of Changes in Equity and Asset Quality are blank (not zero, not guessed) below. FY2021's Pillar 3 capital/RWA/leverage/LCR figures remain available via the standalone Pillar 3 archive (see the Pillar 3 sheets) and are unaffected by this gap.</t>
        </is>
      </c>
    </row>
  </sheetData>
  <mergeCells count="1">
    <mergeCell ref="A65:J6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J.P. Morgan Securities plc — Cash Flow Statement</t>
        </is>
      </c>
    </row>
    <row r="2">
      <c r="A2" s="2" t="inlineStr">
        <is>
          <t>Not applicable — this entity takes the FRS 101 cash-flow-statement disclosure exemption every year. See source note below.</t>
        </is>
      </c>
    </row>
    <row r="3">
      <c r="A3" s="4" t="inlineStr">
        <is>
          <t>Line item</t>
        </is>
      </c>
      <c r="B3" s="4" t="inlineStr">
        <is>
          <t>FY2025</t>
        </is>
      </c>
      <c r="C3" s="4" t="inlineStr">
        <is>
          <t>FY2024</t>
        </is>
      </c>
      <c r="D3" s="4" t="inlineStr">
        <is>
          <t>FY2023</t>
        </is>
      </c>
      <c r="E3" s="4" t="inlineStr">
        <is>
          <t>FY2022</t>
        </is>
      </c>
      <c r="F3" s="4" t="inlineStr">
        <is>
          <t>FY2021</t>
        </is>
      </c>
    </row>
    <row r="4">
      <c r="A4" s="5" t="inlineStr">
        <is>
          <t>Not applicable</t>
        </is>
      </c>
      <c r="B4" s="6" t="n"/>
      <c r="C4" s="6" t="n"/>
      <c r="D4" s="6" t="n"/>
      <c r="E4" s="6" t="n"/>
      <c r="F4" s="6" t="n"/>
    </row>
    <row r="5">
      <c r="A5" s="6" t="inlineStr">
        <is>
          <t>J.P. Morgan Securities plc takes the FRS 101 exemption from preparing a Statement of Cash Flows (IAS 7) every year covered by this workbook - see source note below.</t>
        </is>
      </c>
      <c r="B5" s="6" t="n"/>
      <c r="C5" s="6" t="n"/>
      <c r="D5" s="6" t="n"/>
      <c r="E5" s="6" t="n"/>
      <c r="F5" s="6" t="n"/>
    </row>
    <row r="7" ht="260" customHeight="1">
      <c r="A7" s="8" t="inlineStr">
        <is>
          <t>ENTITY NOTE: J.P. Morgan Securities plc ("JPMS plc", company 02711006, FRN 155240, incorporated 30 April 1992) is a public limited company, an indirect subsidiary of JPMorgan Chase Bank, N.A. and a principal operating subsidiary of JPMorgan Chase &amp; Co. ("the Firm") in the UK, engaged in international investment banking activity across Markets (client-facing and trading entity for the majority of Markets EMEA ex EU) and Banking (primary M&amp;A advisory entity). It also operates a branch in Zurich. FY2025: $831bn total assets, $50bn total equity, $9,542,478k net operating income - Annual Report 2025, Strategic Report p.2. All monetary figures below are the Company's own entity-level (not the wider JPMorgan Chase Group's consolidated) disclosure, reported in USD, converted to GBP at each year-end's spot rate (see FX_SPOT table) for point-in-time capital/RWA figures; %-ratios are shown exactly as reported (dimensionless, not converted).
FRS 101 CASH-FLOW EXEMPTION: the FY2025 Annual Report's Note 2 "Basis of preparation" states these financial statements are prepared under FRS 101 'Reduced Disclosure Framework' and lists the IFRS exemptions applied, including "Cash flow statement and related notes, IAS 7 'Cash flow statements'" - Annual Report 2025, Note 2, p.61 - https://find-and-update.company-information.service.gov.uk/company/02711006/filing-history/MzUxOTQxNzUzOGFkaXF6a2N4/document?format=pdf&amp;download=0. The Annual Report's own Contents page (p.i) does not list a Statement of Cash Flows anywhere among its financial statements (Income statement p.57, Statement of comprehensive income p.58, Balance sheet p.59, Statement of changes in equity p.60, Notes p.61-112 - no cash flow statement). Note 1 confirms the Company's results are consolidated into both J.P. Morgan Capital Holdings Limited's accounts (smallest group) and JPMorgan Chase &amp; Co.'s accounts (largest group), both of which publish their own consolidated cash flow statements. Per the project's established policy for this exemption, this workbook is built as a PILLAR-3-ONLY variant: no cash flow figures exist to show, while the recovered capital and liquidity metrics are populated below.</t>
        </is>
      </c>
    </row>
  </sheetData>
  <mergeCells count="1">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J.P. Morgan Securities plc — Asset Quality</t>
        </is>
      </c>
    </row>
    <row r="2">
      <c r="A2" s="2" t="inlineStr">
        <is>
          <t>Entity-level basis, US$'000. No IFRS 9 Stage 1/2/3 split is disclosed - the Company's loan book is a small wholesale corporate/institutional book alongside a much larger securities-financing/trading balance sheet, and Note 16 shows only a gross/impairment/net split by measurement basis, not by stage (confirmed by reading the note in full). FY2021 blank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banks</t>
        </is>
      </c>
      <c r="B4" s="6" t="n"/>
      <c r="C4" s="6" t="n"/>
      <c r="D4" s="6" t="n"/>
      <c r="E4" s="6" t="n"/>
      <c r="F4" s="6" t="n"/>
    </row>
    <row r="5">
      <c r="A5" s="6" t="inlineStr">
        <is>
          <t>Loans and advances to banks (amortised cost)</t>
        </is>
      </c>
      <c r="B5" s="6" t="n">
        <v>7579349</v>
      </c>
      <c r="C5" s="6" t="n">
        <v>9456743</v>
      </c>
      <c r="D5" s="6" t="n">
        <v>4418798</v>
      </c>
      <c r="E5" s="6" t="n">
        <v>5260582</v>
      </c>
      <c r="F5" s="6" t="n"/>
    </row>
    <row r="6">
      <c r="A6" s="5" t="inlineStr">
        <is>
          <t>Loans and advances to customers</t>
        </is>
      </c>
      <c r="B6" s="6" t="n"/>
      <c r="C6" s="6" t="n"/>
      <c r="D6" s="6" t="n"/>
      <c r="E6" s="6" t="n"/>
      <c r="F6" s="6" t="n"/>
    </row>
    <row r="7">
      <c r="A7" s="6" t="inlineStr">
        <is>
          <t>Amortised cost</t>
        </is>
      </c>
      <c r="B7" s="6" t="n">
        <v>33890</v>
      </c>
      <c r="C7" s="6" t="n">
        <v>80178</v>
      </c>
      <c r="D7" s="6" t="n">
        <v>220463</v>
      </c>
      <c r="E7" s="6" t="n">
        <v>262313</v>
      </c>
      <c r="F7" s="6" t="n"/>
    </row>
    <row r="8">
      <c r="A8" s="6" t="inlineStr">
        <is>
          <t>FVOCI</t>
        </is>
      </c>
      <c r="B8" s="6" t="n">
        <v>224877</v>
      </c>
      <c r="C8" s="6" t="n">
        <v>15638</v>
      </c>
      <c r="D8" s="6" t="n">
        <v>83853</v>
      </c>
      <c r="E8" s="6" t="n">
        <v>265089</v>
      </c>
      <c r="F8" s="6" t="n"/>
    </row>
    <row r="9">
      <c r="A9" s="5" t="inlineStr">
        <is>
          <t>Gross loans and advances to customers</t>
        </is>
      </c>
      <c r="B9" s="5" t="n">
        <v>258767</v>
      </c>
      <c r="C9" s="5" t="n">
        <v>95816</v>
      </c>
      <c r="D9" s="5" t="n">
        <v>304316</v>
      </c>
      <c r="E9" s="5" t="n">
        <v>527402</v>
      </c>
      <c r="F9" s="5" t="n"/>
    </row>
    <row r="10">
      <c r="A10" s="6" t="inlineStr">
        <is>
          <t>Expected credit loss impairment (amortised cost)</t>
        </is>
      </c>
      <c r="B10" s="6" t="n">
        <v>-1490</v>
      </c>
      <c r="C10" s="6" t="n">
        <v>-3223</v>
      </c>
      <c r="D10" s="6" t="n">
        <v>-4060</v>
      </c>
      <c r="E10" s="6" t="n">
        <v>-8739</v>
      </c>
      <c r="F10" s="6" t="n"/>
    </row>
    <row r="11">
      <c r="A11" s="5" t="inlineStr">
        <is>
          <t>Net loans and advances to customers</t>
        </is>
      </c>
      <c r="B11" s="5" t="n">
        <v>257277</v>
      </c>
      <c r="C11" s="5" t="n">
        <v>92593</v>
      </c>
      <c r="D11" s="5" t="n">
        <v>300256</v>
      </c>
      <c r="E11" s="5" t="n">
        <v>518663</v>
      </c>
      <c r="F11" s="5" t="n"/>
    </row>
    <row r="12">
      <c r="A12" s="6" t="inlineStr">
        <is>
          <t>ECL coverage ratio (amortised-cost loans and advances to customers)</t>
        </is>
      </c>
      <c r="B12" s="6" t="inlineStr">
        <is>
          <t>4.40%</t>
        </is>
      </c>
      <c r="C12" s="6" t="inlineStr">
        <is>
          <t>4.02%</t>
        </is>
      </c>
      <c r="D12" s="6" t="inlineStr">
        <is>
          <t>1.84%</t>
        </is>
      </c>
      <c r="E12" s="6" t="inlineStr">
        <is>
          <t>3.33%</t>
        </is>
      </c>
      <c r="F12" s="6" t="n"/>
    </row>
    <row r="13">
      <c r="A13" s="5" t="inlineStr">
        <is>
          <t>Income statement movement (memo)</t>
        </is>
      </c>
      <c r="B13" s="6" t="n"/>
      <c r="C13" s="6" t="n"/>
      <c r="D13" s="6" t="n"/>
      <c r="E13" s="6" t="n"/>
      <c r="F13" s="6" t="n"/>
    </row>
    <row r="14">
      <c r="A14" s="6" t="inlineStr">
        <is>
          <t>Expected credit loss (charge)/release for the year</t>
        </is>
      </c>
      <c r="B14" s="6" t="n">
        <v>-12811</v>
      </c>
      <c r="C14" s="6" t="n">
        <v>9219</v>
      </c>
      <c r="D14" s="6" t="n">
        <v>-6318</v>
      </c>
      <c r="E14" s="6" t="n">
        <v>6279</v>
      </c>
      <c r="F14" s="6" t="n"/>
    </row>
    <row r="16" ht="340" customHeight="1">
      <c r="A16" s="8" t="inlineStr">
        <is>
          <t>Sources - J.P. Morgan Securities plc's own entity-level financial statements, in the Company's own reporting currency (US$'000, NOT converted to £ - unlike the Pillar 3 sheets' point-in-time capital/RWA figures, which are GBP-converted per this script's established convention; kept in USD here for direct, unconverted comparability with the primary statements as filed):
FY2025/FY2024: Annual Report 2025, Income statement p.57, Statement of comprehensive income p.58, Balance sheet p.59, Statement of changes in equity p.60, Notes 15-16 p.79-80 - https://find-and-update.company-information.service.gov.uk/company/02711006/filing-history/MzUxOTQxNzUzOGFkaXF6a2N4/document?format=pdf&amp;download=0
FY2023/FY2022: Annual Report 2023 (accounts made up to 31 December 2023), Income statement p.68, Statement of comprehensive income p.69, Balance sheet p.70, Statement of changes in equity p.71, Notes 15-16 p.90 - https://find-and-update.company-information.service.gov.uk/company/02711006/filing-history/MzQyMDg4NTQwMWFkaXF6a2N4/document?format=pdf&amp;download=0
FY2024's own originally-published figures (Annual Report 2024, made up to 31 December 2024) were cross-checked against AR2025's FY2024 comparative column and found identical (both show Profit for the financial year $2,596,449k) - https://find-and-update.company-information.service.gov.uk/company/02711006/filing-history/MzQ2NDE1MTk5OGFkaXF6a2N4/document?format=pdf&amp;download=0
STATEMENTS COVERAGE NOTE: Companies House's public filing history for this entity genuinely only begins 26 January 2024 (confirmed by paging through the full ~250-filing history) - only 3 Full Accounts filings exist (FY2023, FY2024, FY2025). FY2022's Balance Sheet/P&amp;L/Equity figures ARE available, as AR2023's own comparative column (checked in full detail, not just a closing total), but FY2021's are genuinely not - AR2023's equity statement opens at "1 January 2022" with no earlier detail, so FY2021's Balance Sheet, P&amp;L, Statement of Changes in Equity and Asset Quality are blank (not zero, not guessed) below. FY2021's Pillar 3 capital/RWA/leverage/LCR figures remain available via the standalone Pillar 3 archive (see the Pillar 3 sheets) and are unaffected by this gap.
Note 16 'Loans and advances to customers' (referenced above) covers the Company's wholesale loan portfolio only - large corporates and institutional clients - and is a small fraction of the balance sheet dominated by securities financing and trading positions. ECL coverage ratio is a derived figure (ECL impairment / amortised-cost gross loans), not directly disclosed, computed for a cleaner asset-quality signal since FVOCI loans don't carry a separate on-balance-sheet impairment line.</t>
        </is>
      </c>
    </row>
  </sheetData>
  <mergeCells count="1">
    <mergeCell ref="A16:F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27836544</v>
      </c>
      <c r="C4" s="6" t="n">
        <v>28808611</v>
      </c>
      <c r="D4" s="6" t="n">
        <v>26956488</v>
      </c>
      <c r="E4" s="6" t="n">
        <v>32711416</v>
      </c>
      <c r="F4" s="6" t="n">
        <v>30996968</v>
      </c>
    </row>
    <row r="6" ht="140" customHeight="1">
      <c r="A6"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16.4%</t>
        </is>
      </c>
      <c r="C4" s="6" t="inlineStr">
        <is>
          <t>18.5%</t>
        </is>
      </c>
      <c r="D4" s="6" t="inlineStr">
        <is>
          <t>18.33%</t>
        </is>
      </c>
      <c r="E4" s="6" t="inlineStr">
        <is>
          <t>23.73%</t>
        </is>
      </c>
      <c r="F4" s="6" t="inlineStr">
        <is>
          <t>18.52%</t>
        </is>
      </c>
    </row>
    <row r="6" ht="140" customHeight="1">
      <c r="A6"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Tier 1 capital (CET1 and Additional Tier 1)</t>
        </is>
      </c>
      <c r="B4" s="6" t="n">
        <v>35272594</v>
      </c>
      <c r="C4" s="6" t="n">
        <v>36799023</v>
      </c>
      <c r="D4" s="6" t="n">
        <v>34810713</v>
      </c>
      <c r="E4" s="6" t="n">
        <v>36844672</v>
      </c>
      <c r="F4" s="6" t="n">
        <v>30996968</v>
      </c>
    </row>
    <row r="5" ht="60" customHeight="1">
      <c r="A5" s="7" t="inlineStr">
        <is>
          <t>Note: The source disclosures show no AT1 in FY2021, $5,000,000k in FY2022, and $10,000,000k from FY2023 onward; the Tier 1 series includes those directly reported AT1 instruments.</t>
        </is>
      </c>
    </row>
    <row r="7" ht="140" customHeight="1">
      <c r="A7"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ratio</t>
        </is>
      </c>
      <c r="B4" s="6" t="inlineStr">
        <is>
          <t>20.8%</t>
        </is>
      </c>
      <c r="C4" s="6" t="inlineStr">
        <is>
          <t>23.6%</t>
        </is>
      </c>
      <c r="D4" s="6" t="inlineStr">
        <is>
          <t>23.67%</t>
        </is>
      </c>
      <c r="E4" s="6" t="inlineStr">
        <is>
          <t>26.73%</t>
        </is>
      </c>
      <c r="F4" s="6" t="inlineStr">
        <is>
          <t>18.52%</t>
        </is>
      </c>
    </row>
    <row r="6" ht="140" customHeight="1">
      <c r="A6"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(CET1, Additional Tier 1 and Tier 2)</t>
        </is>
      </c>
      <c r="B4" s="6" t="n">
        <v>41632920</v>
      </c>
      <c r="C4" s="6" t="n">
        <v>44591314</v>
      </c>
      <c r="D4" s="6" t="n">
        <v>43378888</v>
      </c>
      <c r="E4" s="6" t="n">
        <v>46764487</v>
      </c>
      <c r="F4" s="6" t="n">
        <v>39872051</v>
      </c>
    </row>
    <row r="6" ht="140" customHeight="1">
      <c r="A6"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24.6%</t>
        </is>
      </c>
      <c r="C4" s="6" t="inlineStr">
        <is>
          <t>28.6%</t>
        </is>
      </c>
      <c r="D4" s="6" t="inlineStr">
        <is>
          <t>29.50%</t>
        </is>
      </c>
      <c r="E4" s="6" t="inlineStr">
        <is>
          <t>33.93%</t>
        </is>
      </c>
      <c r="F4" s="6" t="inlineStr">
        <is>
          <t>23.83%</t>
        </is>
      </c>
    </row>
    <row r="6" ht="140" customHeight="1">
      <c r="A6"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 Weighted Assets (RWA)</t>
        </is>
      </c>
      <c r="B4" s="6" t="n">
        <v>169516391</v>
      </c>
      <c r="C4" s="6" t="n">
        <v>156031450</v>
      </c>
      <c r="D4" s="6" t="n">
        <v>147051524</v>
      </c>
      <c r="E4" s="6" t="n">
        <v>137819294</v>
      </c>
      <c r="F4" s="6" t="n">
        <v>167338215</v>
      </c>
    </row>
    <row r="5" ht="60" customHeight="1">
      <c r="A5" s="7" t="inlineStr">
        <is>
          <t>Note: Comprises Credit RWAs, Market RWAs and Operational RWAs - Annual Report 2025 p.10 gives the full breakdown (not reproduced here; this sheet shows the total only, consistent with other banks in this project's Total RWAs sheet).</t>
        </is>
      </c>
    </row>
    <row r="7" ht="140" customHeight="1">
      <c r="A7"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J.P. Morgan Securities plc — RWA Breakdown</t>
        </is>
      </c>
    </row>
    <row r="2">
      <c r="A2" s="2" t="inlineStr">
        <is>
          <t>Entity-level basis, US$'000 (not GBP-converted).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Credit risk (excluding CCR)</t>
        </is>
      </c>
      <c r="B4" s="6" t="n">
        <v>15177000</v>
      </c>
      <c r="C4" s="6" t="n">
        <v>9286000</v>
      </c>
      <c r="D4" s="6" t="n">
        <v>10053000</v>
      </c>
      <c r="E4" s="6" t="n">
        <v>10641000</v>
      </c>
      <c r="F4" s="6" t="n">
        <v>13496000</v>
      </c>
    </row>
    <row r="5">
      <c r="A5" s="6" t="inlineStr">
        <is>
          <t>Counterparty credit risk (CCR)</t>
        </is>
      </c>
      <c r="B5" s="6" t="n">
        <v>122375000</v>
      </c>
      <c r="C5" s="6" t="n">
        <v>109870000</v>
      </c>
      <c r="D5" s="6" t="n">
        <v>98418000</v>
      </c>
      <c r="E5" s="6" t="n">
        <v>81647000</v>
      </c>
      <c r="F5" s="6" t="n">
        <v>121546000</v>
      </c>
    </row>
    <row r="6">
      <c r="A6" s="6" t="inlineStr">
        <is>
          <t>Settlement risk</t>
        </is>
      </c>
      <c r="B6" s="6" t="n">
        <v>1138000</v>
      </c>
      <c r="C6" s="6" t="n">
        <v>396000</v>
      </c>
      <c r="D6" s="6" t="n">
        <v>531000</v>
      </c>
      <c r="E6" s="6" t="n">
        <v>652000</v>
      </c>
      <c r="F6" s="6" t="n">
        <v>809000</v>
      </c>
    </row>
    <row r="7">
      <c r="A7" s="6" t="inlineStr">
        <is>
          <t>Securitisation exposures in the non-trading book (after the cap)</t>
        </is>
      </c>
      <c r="B7" s="6" t="n">
        <v>54000</v>
      </c>
      <c r="C7" s="6" t="n">
        <v>228000</v>
      </c>
      <c r="D7" s="6" t="n">
        <v>251000</v>
      </c>
      <c r="E7" s="6" t="n">
        <v>241000</v>
      </c>
      <c r="F7" s="6" t="n"/>
    </row>
    <row r="8">
      <c r="A8" s="6" t="inlineStr">
        <is>
          <t>Market risk (position, FX and commodities)</t>
        </is>
      </c>
      <c r="B8" s="6" t="n">
        <v>72187000</v>
      </c>
      <c r="C8" s="6" t="n">
        <v>59510000</v>
      </c>
      <c r="D8" s="6" t="n">
        <v>63153000</v>
      </c>
      <c r="E8" s="6" t="n">
        <v>59086000</v>
      </c>
      <c r="F8" s="6" t="n">
        <v>75691000</v>
      </c>
    </row>
    <row r="9">
      <c r="A9" s="6" t="inlineStr">
        <is>
          <t>Operational risk</t>
        </is>
      </c>
      <c r="B9" s="6" t="n">
        <v>17035000</v>
      </c>
      <c r="C9" s="6" t="n">
        <v>15983000</v>
      </c>
      <c r="D9" s="6" t="n">
        <v>14820000</v>
      </c>
      <c r="E9" s="6" t="n">
        <v>14453000</v>
      </c>
      <c r="F9" s="6" t="n">
        <v>14102000</v>
      </c>
    </row>
    <row r="10">
      <c r="A10" s="6" t="inlineStr">
        <is>
          <t>Amounts below the thresholds for deduction (FY2021 own separate additive line only - see source note)</t>
        </is>
      </c>
      <c r="B10" s="6" t="n"/>
      <c r="C10" s="6" t="n"/>
      <c r="D10" s="6" t="n"/>
      <c r="E10" s="6" t="n"/>
      <c r="F10" s="6" t="n">
        <v>614000</v>
      </c>
    </row>
    <row r="11">
      <c r="A11" s="5" t="inlineStr">
        <is>
          <t>Total risk-weighted exposure amount</t>
        </is>
      </c>
      <c r="B11" s="5" t="n">
        <v>227965642</v>
      </c>
      <c r="C11" s="5" t="n">
        <v>195273360</v>
      </c>
      <c r="D11" s="5" t="n">
        <v>187226000</v>
      </c>
      <c r="E11" s="5" t="n">
        <v>166720000</v>
      </c>
      <c r="F11" s="5" t="n">
        <v>226258000</v>
      </c>
    </row>
    <row r="13" ht="280" customHeight="1">
      <c r="A13" s="8" t="inlineStr">
        <is>
          <t>Sources - J.P. Morgan Securities plc's own entity-level UK OV1 'Overview of RWAs' table, US$'000 (NOT GBP-converted, consistent with the Balance Sheet/P&amp;L/Equity sheets above), each year's own originally-published figures:
FY2025: Annual Pillar 3 Disclosure 2025, Table 8, p.20 (Q4 2025 column) - https://jpmorganchaseco.gcs-web.com/static-files/a51475c0-d908-423e-b8de-6410d277a867
FY2024: Annual Pillar 3 Disclosure 2024, Table 8, p.20 (Q4 2024 column) - https://jpmorganchaseco.gcs-web.com/static-files/a170e6df-d951-42fc-9897-2aa04d681885
FY2023: Annual Pillar 3 Disclosure 2023, Table 8, p.20 (Q4 2023 comparative column, cross-checked against the FY2023 report's own Q4 2023 column) - https://jpmorganchaseco.gcs-web.com/static-files/3645e9a4-c721-404e-a901-70fa73fac642
FY2022: Annual Pillar 3 Disclosure 2022, Table 5, p.15 (Q4 2022 column) - https://jpmorganchaseco.gcs-web.com/static-files/d761ba10-ab1b-4309-8a4d-24cb70fd6cc1
FY2021: Annual Pillar 3 Disclosure 2022, Table 5, p.15 (Q4 2021 comparative column) - https://jpmorganchaseco.gcs-web.com/static-files/d761ba10-ab1b-4309-8a4d-24cb70fd6cc1
All 5 years' Total row ties to the pre-existing Total RWAs sheet's own RWA_USD figures exactly (FY2023/FY2022) or within rounding of the source document's own $'mm precision (FY2025/FY2024, off by ~$0.4m on ~$228bn; FY2021, off by ~$0.5bn on ~$226bn against the sum of the 6 headline categories alone). FY2021's own OV1 table (Annual Pillar 3 Disclosure 2022's comparative column) includes 'Amounts below the thresholds for deduction' as an additive line item that year (per that vintage's footnote: 'blank cells in 2021 represent changes on account of CRR2 implementation') - included here for FY2021 only, since without it FY2021's components underrun the disclosed Total by exactly that amount ($614m); FY2022-FY2025's own tables do not include this line additively (their 6 headline categories alone already tie to the disclosed Total). FY2021's Securitisation exposures line is blank - that year's own footnote states SFT exposure value is folded into CCR instead of shown separately, so it is not a missing figure. Both P3_ARCHIVE_URL and the individual P3_2021-2025_URL documents required a browser-like User-Agent/Referer to fetch this session (intermittent Akamai edge blocking on the plain default request, not a permanent access restriction) - the ST-024 fork's original 'access gap' was a transient fetch failure, not a genuine non-disclosure.</t>
        </is>
      </c>
    </row>
  </sheetData>
  <mergeCells count="1">
    <mergeCell ref="A13:F1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exposure</t>
        </is>
      </c>
      <c r="B4" s="6" t="n">
        <v>563020260</v>
      </c>
      <c r="C4" s="6" t="n">
        <v>485488641</v>
      </c>
      <c r="D4" s="6" t="n">
        <v>449512253</v>
      </c>
      <c r="E4" s="6" t="n">
        <v>480277755</v>
      </c>
      <c r="F4" s="6" t="n">
        <v>539715258</v>
      </c>
    </row>
    <row r="5">
      <c r="A5" s="6" t="inlineStr">
        <is>
          <t>Leverage ratio (%)</t>
        </is>
      </c>
      <c r="B5" s="6" t="inlineStr">
        <is>
          <t>6.3%</t>
        </is>
      </c>
      <c r="C5" s="6" t="inlineStr">
        <is>
          <t>7.6%</t>
        </is>
      </c>
      <c r="D5" s="6" t="inlineStr">
        <is>
          <t>7.74%</t>
        </is>
      </c>
      <c r="E5" s="6" t="inlineStr">
        <is>
          <t>7.67%</t>
        </is>
      </c>
      <c r="F5" s="6" t="inlineStr">
        <is>
          <t>5.74%</t>
        </is>
      </c>
    </row>
    <row r="7" ht="140" customHeight="1">
      <c r="A7"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t>
        </is>
      </c>
    </row>
  </sheetData>
  <mergeCells count="1">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 - average)</t>
        </is>
      </c>
      <c r="B4" s="6" t="n">
        <v>92551309</v>
      </c>
      <c r="C4" s="6" t="n">
        <v>80864563</v>
      </c>
      <c r="D4" s="6" t="n">
        <v>61690229</v>
      </c>
      <c r="E4" s="6" t="n">
        <v>62923865</v>
      </c>
      <c r="F4" s="6" t="n">
        <v>52973153</v>
      </c>
    </row>
    <row r="5">
      <c r="A5" s="6" t="inlineStr">
        <is>
          <t>Cash outflows - total weighted value</t>
        </is>
      </c>
      <c r="B5" s="6" t="n">
        <v>127622695</v>
      </c>
      <c r="C5" s="6" t="n">
        <v>114614463</v>
      </c>
      <c r="D5" s="6" t="n">
        <v>106841030</v>
      </c>
      <c r="E5" s="6" t="n">
        <v>120653881</v>
      </c>
      <c r="F5" s="6" t="n"/>
    </row>
    <row r="6">
      <c r="A6" s="6" t="inlineStr">
        <is>
          <t>Cash inflows - total weighted value</t>
        </is>
      </c>
      <c r="B6" s="6" t="n">
        <v>72795211</v>
      </c>
      <c r="C6" s="6" t="n">
        <v>71387934</v>
      </c>
      <c r="D6" s="6" t="n">
        <v>83260289</v>
      </c>
      <c r="E6" s="6" t="n">
        <v>100816731</v>
      </c>
      <c r="F6" s="6" t="n"/>
    </row>
    <row r="7">
      <c r="A7" s="6" t="inlineStr">
        <is>
          <t>Total net cash outflows (adjusted value)</t>
        </is>
      </c>
      <c r="B7" s="6" t="n">
        <v>54827484</v>
      </c>
      <c r="C7" s="6" t="n">
        <v>43226528</v>
      </c>
      <c r="D7" s="6" t="n">
        <v>27791392</v>
      </c>
      <c r="E7" s="6" t="n">
        <v>30163677</v>
      </c>
      <c r="F7" s="6" t="n">
        <v>24575105</v>
      </c>
    </row>
    <row r="8">
      <c r="A8" s="6" t="inlineStr">
        <is>
          <t>Liquidity coverage ratio</t>
        </is>
      </c>
      <c r="B8" s="6" t="inlineStr">
        <is>
          <t>174.25%</t>
        </is>
      </c>
      <c r="C8" s="6" t="inlineStr">
        <is>
          <t>192.75%</t>
        </is>
      </c>
      <c r="D8" s="6" t="inlineStr">
        <is>
          <t>222.82%</t>
        </is>
      </c>
      <c r="E8" s="6" t="inlineStr">
        <is>
          <t>208.50%</t>
        </is>
      </c>
      <c r="F8" s="6" t="inlineStr">
        <is>
          <t>216%</t>
        </is>
      </c>
    </row>
    <row r="9" ht="60" customHeight="1">
      <c r="A9" s="7" t="inlineStr">
        <is>
          <t>Note: FY2021's older LCR table reports liquidity buffer and total net cash outflows but does not separately report the cash-outflow and cash-inflow components; those two cells are intentionally blank for FY2021.</t>
        </is>
      </c>
    </row>
    <row r="11" ht="140" customHeight="1">
      <c r="A11"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t>
        </is>
      </c>
    </row>
  </sheetData>
  <mergeCells count="2">
    <mergeCell ref="A11:F11"/>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v>165237954</v>
      </c>
      <c r="C4" s="6" t="n">
        <v>163888134</v>
      </c>
      <c r="D4" s="6" t="n">
        <v>135028275</v>
      </c>
      <c r="E4" s="6" t="n">
        <v>141674795</v>
      </c>
      <c r="F4" s="6" t="n"/>
    </row>
    <row r="5">
      <c r="A5" s="6" t="inlineStr">
        <is>
          <t>Total required stable funding</t>
        </is>
      </c>
      <c r="B5" s="6" t="n">
        <v>139657942</v>
      </c>
      <c r="C5" s="6" t="n">
        <v>140537755</v>
      </c>
      <c r="D5" s="6" t="n">
        <v>115747722</v>
      </c>
      <c r="E5" s="6" t="n">
        <v>117453914</v>
      </c>
      <c r="F5" s="6" t="n"/>
    </row>
    <row r="6">
      <c r="A6" s="6" t="inlineStr">
        <is>
          <t>NSFR ratio</t>
        </is>
      </c>
      <c r="B6" s="6" t="inlineStr">
        <is>
          <t>118.55%</t>
        </is>
      </c>
      <c r="C6" s="6" t="inlineStr">
        <is>
          <t>117.56%</t>
        </is>
      </c>
      <c r="D6" s="6" t="inlineStr">
        <is>
          <t>116.64%</t>
        </is>
      </c>
      <c r="E6" s="6" t="inlineStr">
        <is>
          <t>121.09%</t>
        </is>
      </c>
      <c r="F6" s="6" t="n"/>
    </row>
    <row r="7" ht="60" customHeight="1">
      <c r="A7" s="7" t="inlineStr">
        <is>
          <t>Note: The FY2021 standalone disclosure does not contain an NSFR series; the recovered FY2022 disclosure provides NSFR from FY2022 onward but no FY2021 comparative.</t>
        </is>
      </c>
    </row>
    <row r="9" ht="140" customHeight="1">
      <c r="A9"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J.P. Morgan Securities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The recovered standalone disclosures describe the MREL framework and identify subordinated instruments issued in support of the Firm's MREL strategy, but no JPMS plc numeric MREL ratio or requirement is reported. No ratio is inferred from the capital instruments.</t>
        </is>
      </c>
    </row>
    <row r="7" ht="150" customHeight="1">
      <c r="A7"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2026-09-03T14:58:58Z</dcterms:created>
  <dcterms:modified xmlns:dcterms="http://purl.org/dc/terms/" xmlns:xsi="http://www.w3.org/2001/XMLSchema-instance" xsi:type="dcterms:W3CDTF">2026-09-03T14:58:58Z</dcterms:modified>
</cp:coreProperties>
</file>