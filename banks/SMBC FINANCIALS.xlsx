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55295.7</v>
      </c>
      <c r="C6" s="5" t="n">
        <v>39632.8</v>
      </c>
      <c r="D6" s="5" t="n">
        <v>42592.3</v>
      </c>
      <c r="E6" s="5" t="n">
        <v>41040.2</v>
      </c>
      <c r="F6" s="5" t="n">
        <v>38829</v>
      </c>
      <c r="G6" s="5" t="n">
        <v>48690.9</v>
      </c>
      <c r="H6" s="5" t="n">
        <v>36845.2</v>
      </c>
      <c r="I6" s="5" t="n">
        <v>43538.7</v>
      </c>
      <c r="J6" s="5" t="n">
        <v>31053</v>
      </c>
      <c r="K6" s="5" t="n">
        <v>28592</v>
      </c>
      <c r="L6" s="5" t="n">
        <v>21529.9</v>
      </c>
      <c r="M6" s="5" t="n">
        <v>18826.7</v>
      </c>
      <c r="P6" t="inlineStr">
        <is>
          <t>Total assets</t>
        </is>
      </c>
      <c r="Q6" t="n">
        <v>18826.7</v>
      </c>
      <c r="R6" t="n">
        <v>21529.9</v>
      </c>
      <c r="S6" t="n">
        <v>28592</v>
      </c>
      <c r="T6" t="n">
        <v>31053</v>
      </c>
      <c r="U6" t="n">
        <v>43538.7</v>
      </c>
      <c r="V6" t="n">
        <v>36845.2</v>
      </c>
      <c r="W6" t="n">
        <v>48690.9</v>
      </c>
      <c r="X6" t="n">
        <v>38829</v>
      </c>
      <c r="Y6" t="n">
        <v>41040.2</v>
      </c>
      <c r="Z6" t="n">
        <v>42592.3</v>
      </c>
      <c r="AA6" t="n">
        <v>39632.8</v>
      </c>
      <c r="AB6" t="n">
        <v>55295.7</v>
      </c>
      <c r="BX6" t="inlineStr">
        <is>
          <t>CET1 Ratio</t>
        </is>
      </c>
      <c r="BY6" t="n">
        <v>22.9</v>
      </c>
      <c r="BZ6" t="n">
        <v>24.8</v>
      </c>
      <c r="CA6" t="n">
        <v>18.4</v>
      </c>
      <c r="CB6" t="n">
        <v>20.9</v>
      </c>
      <c r="CC6" t="n">
        <v>16.8</v>
      </c>
      <c r="CD6" t="n">
        <v>18.5</v>
      </c>
      <c r="CE6" t="n">
        <v>15.8</v>
      </c>
      <c r="CF6" t="n">
        <v>16.7</v>
      </c>
      <c r="CG6" t="n">
        <v>16.3</v>
      </c>
      <c r="CH6" t="n">
        <v>17.8</v>
      </c>
      <c r="CI6" t="n">
        <v>19.5</v>
      </c>
      <c r="CJ6" t="n">
        <v>17.1</v>
      </c>
    </row>
    <row r="7">
      <c r="A7" s="5" t="inlineStr">
        <is>
          <t>Loans and advances to customers</t>
        </is>
      </c>
      <c r="B7" s="5" t="n">
        <v>14934</v>
      </c>
      <c r="C7" s="5" t="n">
        <v>14290.5</v>
      </c>
      <c r="D7" s="5" t="n">
        <v>14326</v>
      </c>
      <c r="E7" s="5" t="n">
        <v>15151.6</v>
      </c>
      <c r="F7" s="5" t="n">
        <v>15109.8</v>
      </c>
      <c r="G7" s="5" t="n">
        <v>18320.3</v>
      </c>
      <c r="H7" s="5" t="n">
        <v>16488.3</v>
      </c>
      <c r="I7" s="5" t="n">
        <v>14533</v>
      </c>
      <c r="J7" s="5" t="n">
        <v>11962.9</v>
      </c>
      <c r="K7" s="5" t="n">
        <v>10829.9</v>
      </c>
      <c r="L7" s="5" t="n">
        <v>7806.2</v>
      </c>
      <c r="M7" s="5" t="n">
        <v>6808.3</v>
      </c>
      <c r="P7" t="inlineStr">
        <is>
          <t>Loans and advances to customers</t>
        </is>
      </c>
      <c r="Q7" t="n">
        <v>6808.3</v>
      </c>
      <c r="R7" t="n">
        <v>7806.2</v>
      </c>
      <c r="S7" t="n">
        <v>10829.9</v>
      </c>
      <c r="T7" t="n">
        <v>11962.9</v>
      </c>
      <c r="U7" t="n">
        <v>14533</v>
      </c>
      <c r="V7" t="n">
        <v>16488.3</v>
      </c>
      <c r="W7" t="n">
        <v>18320.3</v>
      </c>
      <c r="X7" t="n">
        <v>15109.8</v>
      </c>
      <c r="Y7" t="n">
        <v>15151.6</v>
      </c>
      <c r="Z7" t="n">
        <v>14326</v>
      </c>
      <c r="AA7" t="n">
        <v>14290.5</v>
      </c>
      <c r="AB7" t="n">
        <v>14934</v>
      </c>
      <c r="BX7" t="inlineStr">
        <is>
          <t>Tier 1 Ratio</t>
        </is>
      </c>
      <c r="BY7" t="n">
        <v>22.9</v>
      </c>
      <c r="BZ7" t="n">
        <v>24.8</v>
      </c>
      <c r="CA7" t="n">
        <v>18.4</v>
      </c>
      <c r="CB7" t="n">
        <v>20.9</v>
      </c>
      <c r="CC7" t="n">
        <v>16.8</v>
      </c>
      <c r="CD7" t="n">
        <v>18.5</v>
      </c>
      <c r="CE7" t="n">
        <v>15.8</v>
      </c>
      <c r="CF7" t="n">
        <v>16.7</v>
      </c>
      <c r="CG7" t="n">
        <v>16.3</v>
      </c>
      <c r="CH7" t="n">
        <v>17.8</v>
      </c>
      <c r="CI7" t="n">
        <v>19.5</v>
      </c>
      <c r="CJ7" t="n">
        <v>17.1</v>
      </c>
    </row>
    <row r="8">
      <c r="A8" s="5" t="inlineStr">
        <is>
          <t>Customer accounts</t>
        </is>
      </c>
      <c r="B8" s="5" t="n">
        <v>15242.8</v>
      </c>
      <c r="C8" s="5" t="n">
        <v>15697.5</v>
      </c>
      <c r="D8" s="5" t="n">
        <v>15099.5</v>
      </c>
      <c r="E8" s="5" t="n">
        <v>15008.4</v>
      </c>
      <c r="F8" s="5" t="n">
        <v>16178</v>
      </c>
      <c r="G8" s="5" t="n">
        <v>22292.1</v>
      </c>
      <c r="H8" s="5" t="n">
        <v>13962.4</v>
      </c>
      <c r="I8" s="5" t="n">
        <v>16524.2</v>
      </c>
      <c r="J8" s="5" t="n">
        <v>13526.8</v>
      </c>
      <c r="K8" s="5" t="n">
        <v>5571</v>
      </c>
      <c r="L8" s="5" t="n">
        <v>5151.5</v>
      </c>
      <c r="M8" s="5" t="n">
        <v>4693.4</v>
      </c>
      <c r="P8" t="inlineStr">
        <is>
          <t>Customer accounts</t>
        </is>
      </c>
      <c r="Q8" t="n">
        <v>4693.4</v>
      </c>
      <c r="R8" t="n">
        <v>5151.5</v>
      </c>
      <c r="S8" t="n">
        <v>5571</v>
      </c>
      <c r="T8" t="n">
        <v>13526.8</v>
      </c>
      <c r="U8" t="n">
        <v>16524.2</v>
      </c>
      <c r="V8" t="n">
        <v>13962.4</v>
      </c>
      <c r="W8" t="n">
        <v>22292.1</v>
      </c>
      <c r="X8" t="n">
        <v>16178</v>
      </c>
      <c r="Y8" t="n">
        <v>15008.4</v>
      </c>
      <c r="Z8" t="n">
        <v>15099.5</v>
      </c>
      <c r="AA8" t="n">
        <v>15697.5</v>
      </c>
      <c r="AB8" t="n">
        <v>15242.8</v>
      </c>
      <c r="BX8" t="inlineStr">
        <is>
          <t>Total Capital Ratio</t>
        </is>
      </c>
      <c r="BY8" t="n">
        <v>22.9</v>
      </c>
      <c r="BZ8" t="n">
        <v>24.8</v>
      </c>
      <c r="CA8" t="n">
        <v>18.4</v>
      </c>
      <c r="CB8" t="n">
        <v>20.9</v>
      </c>
      <c r="CC8" t="n">
        <v>16.8</v>
      </c>
      <c r="CD8" t="n">
        <v>18.5</v>
      </c>
      <c r="CE8" t="n">
        <v>15.8</v>
      </c>
      <c r="CF8" t="n">
        <v>16.7</v>
      </c>
      <c r="CG8" t="n">
        <v>16.3</v>
      </c>
      <c r="CH8" t="n">
        <v>17.8</v>
      </c>
      <c r="CI8" t="n">
        <v>19.5</v>
      </c>
      <c r="CJ8" t="n">
        <v>17.1</v>
      </c>
    </row>
    <row r="9">
      <c r="A9" s="5" t="inlineStr">
        <is>
          <t>Total equity</t>
        </is>
      </c>
      <c r="B9" s="5" t="n">
        <v>4590.5</v>
      </c>
      <c r="C9" s="5" t="n">
        <v>4417.2</v>
      </c>
      <c r="D9" s="5" t="n">
        <v>4197.2</v>
      </c>
      <c r="E9" s="5" t="n">
        <v>3757.9</v>
      </c>
      <c r="F9" s="5" t="n">
        <v>3471</v>
      </c>
      <c r="G9" s="5" t="n">
        <v>3690.5</v>
      </c>
      <c r="H9" s="5" t="n">
        <v>3383</v>
      </c>
      <c r="I9" s="5" t="n">
        <v>2936.8</v>
      </c>
      <c r="J9" s="5" t="n">
        <v>3122</v>
      </c>
      <c r="K9" s="5" t="n">
        <v>2609.1</v>
      </c>
      <c r="L9" s="5" t="n">
        <v>2453.5</v>
      </c>
      <c r="M9" s="5" t="n">
        <v>2114.6</v>
      </c>
      <c r="P9" t="inlineStr">
        <is>
          <t>Total equity</t>
        </is>
      </c>
      <c r="Q9" t="n">
        <v>2114.6</v>
      </c>
      <c r="R9" t="n">
        <v>2453.5</v>
      </c>
      <c r="S9" t="n">
        <v>2609.1</v>
      </c>
      <c r="T9" t="n">
        <v>3122</v>
      </c>
      <c r="U9" t="n">
        <v>2936.8</v>
      </c>
      <c r="V9" t="n">
        <v>3383</v>
      </c>
      <c r="W9" t="n">
        <v>3690.5</v>
      </c>
      <c r="X9" t="n">
        <v>3471</v>
      </c>
      <c r="Y9" t="n">
        <v>3757.9</v>
      </c>
      <c r="Z9" t="n">
        <v>4197.2</v>
      </c>
      <c r="AA9" t="n">
        <v>4417.2</v>
      </c>
      <c r="AB9" t="n">
        <v>4590.5</v>
      </c>
      <c r="BX9" t="inlineStr">
        <is>
          <t>Leverage Ratio</t>
        </is>
      </c>
      <c r="BY9" t="n">
        <v>7.7</v>
      </c>
      <c r="BZ9" t="n">
        <v>9.699999999999999</v>
      </c>
      <c r="CA9" t="n">
        <v>7.1</v>
      </c>
      <c r="CB9" t="n">
        <v>8.4</v>
      </c>
      <c r="CC9" t="n">
        <v>5.8</v>
      </c>
      <c r="CD9" t="n">
        <v>7.6</v>
      </c>
      <c r="CE9" t="n">
        <v>6.8</v>
      </c>
      <c r="CF9" t="n">
        <v>7.7</v>
      </c>
      <c r="CG9" t="n">
        <v>12.4</v>
      </c>
      <c r="CH9" t="n">
        <v>13.8</v>
      </c>
      <c r="CI9" t="n">
        <v>14.8</v>
      </c>
      <c r="CJ9" t="n">
        <v>10.1</v>
      </c>
    </row>
    <row r="10">
      <c r="BX10" t="inlineStr">
        <is>
          <t>LCR</t>
        </is>
      </c>
      <c r="BZ10" t="n">
        <v>115.2</v>
      </c>
      <c r="CA10" t="n">
        <v>97.3</v>
      </c>
      <c r="CB10" t="n">
        <v>125.5</v>
      </c>
      <c r="CC10" t="n">
        <v>133.4</v>
      </c>
      <c r="CD10" t="n">
        <v>141.4</v>
      </c>
      <c r="CE10" t="n">
        <v>126.2</v>
      </c>
      <c r="CF10" t="n">
        <v>145</v>
      </c>
      <c r="CG10" t="n">
        <v>136</v>
      </c>
      <c r="CH10" t="n">
        <v>145.4</v>
      </c>
      <c r="CI10" t="n">
        <v>155.6</v>
      </c>
      <c r="CJ10" t="n">
        <v>160.1</v>
      </c>
    </row>
    <row r="11">
      <c r="A11" s="3" t="inlineStr">
        <is>
          <t>Profit &amp; Loss Summary (£m (conv. from USD))</t>
        </is>
      </c>
      <c r="BX11" t="inlineStr">
        <is>
          <t>NSFR</t>
        </is>
      </c>
      <c r="CB11" t="n">
        <v>96.09999999999999</v>
      </c>
      <c r="CC11" t="n">
        <v>102.9</v>
      </c>
      <c r="CD11" t="n">
        <v>110.5</v>
      </c>
      <c r="CE11" t="n">
        <v>107.6</v>
      </c>
      <c r="CF11" t="n">
        <v>135.5</v>
      </c>
      <c r="CG11" t="n">
        <v>133.5</v>
      </c>
      <c r="CH11" t="n">
        <v>142.4</v>
      </c>
      <c r="CI11" t="n">
        <v>141.8</v>
      </c>
      <c r="CJ11" t="n">
        <v>127.2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c r="AE13" t="inlineStr">
        <is>
          <t>Operating income</t>
        </is>
      </c>
      <c r="AF13" t="n">
        <v>308.9</v>
      </c>
      <c r="AG13" t="n">
        <v>341.9</v>
      </c>
      <c r="AH13" t="n">
        <v>409.1</v>
      </c>
      <c r="AI13" t="n">
        <v>492.6</v>
      </c>
      <c r="AJ13" t="n">
        <v>552</v>
      </c>
      <c r="AK13" t="n">
        <v>634.1</v>
      </c>
      <c r="AL13" t="n">
        <v>663.3</v>
      </c>
      <c r="AM13" t="n">
        <v>637.5</v>
      </c>
      <c r="AN13" t="n">
        <v>639.5</v>
      </c>
      <c r="AO13" t="n">
        <v>842.3</v>
      </c>
      <c r="AP13" t="n">
        <v>1012.8</v>
      </c>
      <c r="AQ13" t="n">
        <v>1080.9</v>
      </c>
    </row>
    <row r="14">
      <c r="A14" s="5" t="inlineStr">
        <is>
          <t>Net operating expenses</t>
        </is>
      </c>
      <c r="B14" s="5" t="n">
        <v>-702.3</v>
      </c>
      <c r="C14" s="5" t="n">
        <v>-587.1</v>
      </c>
      <c r="D14" s="5" t="n">
        <v>-559.7</v>
      </c>
      <c r="E14" s="5" t="n">
        <v>-506.7</v>
      </c>
      <c r="F14" s="5" t="n">
        <v>-388.7</v>
      </c>
      <c r="G14" s="5" t="n">
        <v>-497.4</v>
      </c>
      <c r="H14" s="5" t="n">
        <v>-337.7</v>
      </c>
      <c r="I14" s="5" t="n">
        <v>-330</v>
      </c>
      <c r="J14" s="5" t="n">
        <v>-315.7</v>
      </c>
      <c r="K14" s="5" t="n">
        <v>-315.8</v>
      </c>
      <c r="L14" s="5" t="n">
        <v>-247.2</v>
      </c>
      <c r="M14" s="5" t="n">
        <v>-218.7</v>
      </c>
      <c r="AE14" t="inlineStr">
        <is>
          <t>Net operating expenses</t>
        </is>
      </c>
      <c r="AF14" t="n">
        <v>-218.7</v>
      </c>
      <c r="AG14" t="n">
        <v>-247.2</v>
      </c>
      <c r="AH14" t="n">
        <v>-315.8</v>
      </c>
      <c r="AI14" t="n">
        <v>-315.7</v>
      </c>
      <c r="AJ14" t="n">
        <v>-330</v>
      </c>
      <c r="AK14" t="n">
        <v>-337.7</v>
      </c>
      <c r="AL14" t="n">
        <v>-497.4</v>
      </c>
      <c r="AM14" t="n">
        <v>-388.7</v>
      </c>
      <c r="AN14" t="n">
        <v>-506.7</v>
      </c>
      <c r="AO14" t="n">
        <v>-559.7</v>
      </c>
      <c r="AP14" t="n">
        <v>-587.1</v>
      </c>
      <c r="AQ14" t="n">
        <v>-702.3</v>
      </c>
    </row>
    <row r="15">
      <c r="A15" s="5" t="inlineStr">
        <is>
          <t>Profit for the year</t>
        </is>
      </c>
      <c r="B15" s="5" t="n">
        <v>273.7</v>
      </c>
      <c r="C15" s="5" t="n">
        <v>322.9</v>
      </c>
      <c r="D15" s="5" t="n">
        <v>209.3</v>
      </c>
      <c r="E15" s="5" t="n">
        <v>96.90000000000001</v>
      </c>
      <c r="F15" s="5" t="n">
        <v>182.6</v>
      </c>
      <c r="G15" s="5" t="n">
        <v>120.3</v>
      </c>
      <c r="H15" s="5" t="n">
        <v>210.1</v>
      </c>
      <c r="I15" s="5" t="n">
        <v>159.2</v>
      </c>
      <c r="J15" s="5" t="n">
        <v>121</v>
      </c>
      <c r="K15" s="5" t="n">
        <v>65.8</v>
      </c>
      <c r="L15" s="5" t="n">
        <v>71.09999999999999</v>
      </c>
      <c r="M15" s="5" t="n">
        <v>65.2</v>
      </c>
      <c r="AE15" t="inlineStr">
        <is>
          <t>Profit for the year</t>
        </is>
      </c>
      <c r="AF15" t="n">
        <v>65.2</v>
      </c>
      <c r="AG15" t="n">
        <v>71.09999999999999</v>
      </c>
      <c r="AH15" t="n">
        <v>65.8</v>
      </c>
      <c r="AI15" t="n">
        <v>121</v>
      </c>
      <c r="AJ15" t="n">
        <v>159.2</v>
      </c>
      <c r="AK15" t="n">
        <v>210.1</v>
      </c>
      <c r="AL15" t="n">
        <v>120.3</v>
      </c>
      <c r="AM15" t="n">
        <v>182.6</v>
      </c>
      <c r="AN15" t="n">
        <v>96.90000000000001</v>
      </c>
      <c r="AO15" t="n">
        <v>209.3</v>
      </c>
      <c r="AP15" t="n">
        <v>322.9</v>
      </c>
      <c r="AQ15" t="n">
        <v>273.7</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4417.2</v>
      </c>
      <c r="C19" s="5" t="n">
        <v>4197.2</v>
      </c>
      <c r="D19" s="5" t="n">
        <v>3757.9</v>
      </c>
      <c r="E19" s="5" t="n">
        <v>3471</v>
      </c>
      <c r="F19" s="5" t="n">
        <v>3690.5</v>
      </c>
      <c r="G19" s="5" t="n">
        <v>3383</v>
      </c>
      <c r="H19" s="5" t="n">
        <v>2947.9</v>
      </c>
      <c r="I19" s="5" t="n">
        <v>3122</v>
      </c>
      <c r="J19" s="5" t="n">
        <v>2609.1</v>
      </c>
      <c r="K19" s="5" t="n">
        <v>2453.5</v>
      </c>
      <c r="L19" s="5" t="n">
        <v>2114.6</v>
      </c>
      <c r="M19" s="5" t="n">
        <v>1728.8</v>
      </c>
      <c r="AT19" t="inlineStr">
        <is>
          <t>Opening equity</t>
        </is>
      </c>
      <c r="AU19" t="n">
        <v>1728.8</v>
      </c>
      <c r="AV19" t="n">
        <v>2114.6</v>
      </c>
      <c r="AW19" t="n">
        <v>2453.5</v>
      </c>
      <c r="AX19" t="n">
        <v>2609.1</v>
      </c>
      <c r="AY19" t="n">
        <v>3122</v>
      </c>
      <c r="AZ19" t="n">
        <v>2947.9</v>
      </c>
      <c r="BA19" t="n">
        <v>3383</v>
      </c>
      <c r="BB19" t="n">
        <v>3690.5</v>
      </c>
      <c r="BC19" t="n">
        <v>3471</v>
      </c>
      <c r="BD19" t="n">
        <v>3757.9</v>
      </c>
      <c r="BE19" t="n">
        <v>4197.2</v>
      </c>
      <c r="BF19" t="n">
        <v>4417.2</v>
      </c>
    </row>
    <row r="20">
      <c r="A20" s="5" t="inlineStr">
        <is>
          <t>Total comprehensive income for the year</t>
        </is>
      </c>
      <c r="B20" s="5" t="n">
        <v>271.3</v>
      </c>
      <c r="C20" s="5" t="n">
        <v>310.3</v>
      </c>
      <c r="D20" s="5" t="n">
        <v>201.9</v>
      </c>
      <c r="E20" s="5" t="n">
        <v>115.8</v>
      </c>
      <c r="F20" s="5" t="n">
        <v>160.1</v>
      </c>
      <c r="G20" s="5" t="n">
        <v>133.1</v>
      </c>
      <c r="H20" s="5" t="n">
        <v>207.1</v>
      </c>
      <c r="I20" s="5" t="n">
        <v>161.7</v>
      </c>
      <c r="J20" s="5" t="n">
        <v>117.6</v>
      </c>
      <c r="K20" s="5" t="n">
        <v>72.3</v>
      </c>
      <c r="L20" s="5" t="n">
        <v>72.8</v>
      </c>
      <c r="M20" s="5" t="n">
        <v>63.3</v>
      </c>
      <c r="AT20" t="inlineStr">
        <is>
          <t>Total comprehensive income for the year</t>
        </is>
      </c>
      <c r="AU20" t="n">
        <v>63.3</v>
      </c>
      <c r="AV20" t="n">
        <v>72.8</v>
      </c>
      <c r="AW20" t="n">
        <v>72.3</v>
      </c>
      <c r="AX20" t="n">
        <v>117.6</v>
      </c>
      <c r="AY20" t="n">
        <v>161.7</v>
      </c>
      <c r="AZ20" t="n">
        <v>207.1</v>
      </c>
      <c r="BA20" t="n">
        <v>133.1</v>
      </c>
      <c r="BB20" t="n">
        <v>160.1</v>
      </c>
      <c r="BC20" t="n">
        <v>115.8</v>
      </c>
      <c r="BD20" t="n">
        <v>201.9</v>
      </c>
      <c r="BE20" t="n">
        <v>310.3</v>
      </c>
      <c r="BF20" t="n">
        <v>271.3</v>
      </c>
    </row>
    <row r="21">
      <c r="A21" s="5" t="inlineStr">
        <is>
          <t>Other equity movements, net</t>
        </is>
      </c>
      <c r="B21" s="5" t="n">
        <v>-98</v>
      </c>
      <c r="C21" s="5" t="n">
        <v>-90.3</v>
      </c>
      <c r="D21" s="5" t="n">
        <v>237.4</v>
      </c>
      <c r="E21" s="5" t="n">
        <v>171.1</v>
      </c>
      <c r="F21" s="5" t="n">
        <v>-379.6</v>
      </c>
      <c r="G21" s="5" t="n">
        <v>174.4</v>
      </c>
      <c r="H21" s="5" t="n">
        <v>228</v>
      </c>
      <c r="I21" s="5" t="n">
        <v>-346.9</v>
      </c>
      <c r="J21" s="5" t="n">
        <v>395.3</v>
      </c>
      <c r="K21" s="5" t="n">
        <v>83.3</v>
      </c>
      <c r="L21" s="5" t="n">
        <v>266.1</v>
      </c>
      <c r="M21" s="5" t="n">
        <v>322.5</v>
      </c>
      <c r="AT21" t="inlineStr">
        <is>
          <t>Other equity movements, net</t>
        </is>
      </c>
      <c r="AU21" t="n">
        <v>322.5</v>
      </c>
      <c r="AV21" t="n">
        <v>266.1</v>
      </c>
      <c r="AW21" t="n">
        <v>83.3</v>
      </c>
      <c r="AX21" t="n">
        <v>395.3</v>
      </c>
      <c r="AY21" t="n">
        <v>-346.9</v>
      </c>
      <c r="AZ21" t="n">
        <v>228</v>
      </c>
      <c r="BA21" t="n">
        <v>174.4</v>
      </c>
      <c r="BB21" t="n">
        <v>-379.6</v>
      </c>
      <c r="BC21" t="n">
        <v>171.1</v>
      </c>
      <c r="BD21" t="n">
        <v>237.4</v>
      </c>
      <c r="BE21" t="n">
        <v>-90.3</v>
      </c>
      <c r="BF21" t="n">
        <v>-98</v>
      </c>
    </row>
    <row r="22">
      <c r="A22" s="5" t="inlineStr">
        <is>
          <t>Closing equity</t>
        </is>
      </c>
      <c r="B22" s="5" t="n">
        <v>4590.5</v>
      </c>
      <c r="C22" s="5" t="n">
        <v>4417.2</v>
      </c>
      <c r="D22" s="5" t="n">
        <v>4197.2</v>
      </c>
      <c r="E22" s="5" t="n">
        <v>3757.9</v>
      </c>
      <c r="F22" s="5" t="n">
        <v>3471</v>
      </c>
      <c r="G22" s="5" t="n">
        <v>3690.5</v>
      </c>
      <c r="H22" s="5" t="n">
        <v>3383</v>
      </c>
      <c r="I22" s="5" t="n">
        <v>2936.8</v>
      </c>
      <c r="J22" s="5" t="n">
        <v>3122</v>
      </c>
      <c r="K22" s="5" t="n">
        <v>2609.1</v>
      </c>
      <c r="L22" s="5" t="n">
        <v>2453.5</v>
      </c>
      <c r="M22" s="5" t="n">
        <v>2114.6</v>
      </c>
      <c r="AT22" t="inlineStr">
        <is>
          <t>Closing equity</t>
        </is>
      </c>
      <c r="AU22" t="n">
        <v>2114.6</v>
      </c>
      <c r="AV22" t="n">
        <v>2453.5</v>
      </c>
      <c r="AW22" t="n">
        <v>2609.1</v>
      </c>
      <c r="AX22" t="n">
        <v>3122</v>
      </c>
      <c r="AY22" t="n">
        <v>2936.8</v>
      </c>
      <c r="AZ22" t="n">
        <v>3383</v>
      </c>
      <c r="BA22" t="n">
        <v>3690.5</v>
      </c>
      <c r="BB22" t="n">
        <v>3471</v>
      </c>
      <c r="BC22" t="n">
        <v>3757.9</v>
      </c>
      <c r="BD22" t="n">
        <v>4197.2</v>
      </c>
      <c r="BE22" t="n">
        <v>4417.2</v>
      </c>
      <c r="BF22" t="n">
        <v>4590.5</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1830.5</v>
      </c>
      <c r="C26" s="5" t="n">
        <v>-2790.2</v>
      </c>
      <c r="D26" s="5" t="n">
        <v>-291.2</v>
      </c>
      <c r="E26" s="5" t="n">
        <v>81.09999999999999</v>
      </c>
      <c r="F26" s="5" t="n">
        <v>-2494.4</v>
      </c>
      <c r="G26" s="5" t="n">
        <v>7394.3</v>
      </c>
      <c r="H26" s="5" t="n">
        <v>-7766.9</v>
      </c>
      <c r="I26" s="5" t="n">
        <v>12308.6</v>
      </c>
      <c r="J26" s="5" t="n">
        <v>-844.8</v>
      </c>
      <c r="K26" s="5" t="n">
        <v>2166.8</v>
      </c>
      <c r="L26" s="5" t="n">
        <v>-256.2</v>
      </c>
      <c r="M26" s="5" t="n">
        <v>229</v>
      </c>
      <c r="BI26" t="inlineStr">
        <is>
          <t>Net cash from/(used in) operating activities</t>
        </is>
      </c>
      <c r="BJ26" t="n">
        <v>229</v>
      </c>
      <c r="BK26" t="n">
        <v>-256.2</v>
      </c>
      <c r="BL26" t="n">
        <v>2166.8</v>
      </c>
      <c r="BM26" t="n">
        <v>-844.8</v>
      </c>
      <c r="BN26" t="n">
        <v>12308.6</v>
      </c>
      <c r="BO26" t="n">
        <v>-7766.9</v>
      </c>
      <c r="BP26" t="n">
        <v>7394.3</v>
      </c>
      <c r="BQ26" t="n">
        <v>-2494.4</v>
      </c>
      <c r="BR26" t="n">
        <v>81.09999999999999</v>
      </c>
      <c r="BS26" t="n">
        <v>-291.2</v>
      </c>
      <c r="BT26" t="n">
        <v>-2790.2</v>
      </c>
      <c r="BU26" t="n">
        <v>1830.5</v>
      </c>
    </row>
    <row r="27">
      <c r="A27" s="5" t="inlineStr">
        <is>
          <t>Net cash from/(used in) investing activities</t>
        </is>
      </c>
      <c r="B27" s="5" t="n">
        <v>-117.7</v>
      </c>
      <c r="C27" s="5" t="n">
        <v>245.8</v>
      </c>
      <c r="D27" s="5" t="n">
        <v>-78.40000000000001</v>
      </c>
      <c r="E27" s="5" t="n">
        <v>-446.7</v>
      </c>
      <c r="F27" s="5" t="n">
        <v>-55</v>
      </c>
      <c r="G27" s="5" t="n">
        <v>-184.5</v>
      </c>
      <c r="H27" s="5" t="n">
        <v>227.1</v>
      </c>
      <c r="I27" s="5" t="n">
        <v>-233.8</v>
      </c>
      <c r="J27" s="5" t="n">
        <v>218.5</v>
      </c>
      <c r="K27" s="5" t="n">
        <v>48.9</v>
      </c>
      <c r="L27" s="5" t="n">
        <v>35.4</v>
      </c>
      <c r="M27" s="5" t="n">
        <v>-323.2</v>
      </c>
      <c r="BI27" t="inlineStr">
        <is>
          <t>Net cash from/(used in) investing activities</t>
        </is>
      </c>
      <c r="BJ27" t="n">
        <v>-323.2</v>
      </c>
      <c r="BK27" t="n">
        <v>35.4</v>
      </c>
      <c r="BL27" t="n">
        <v>48.9</v>
      </c>
      <c r="BM27" t="n">
        <v>218.5</v>
      </c>
      <c r="BN27" t="n">
        <v>-233.8</v>
      </c>
      <c r="BO27" t="n">
        <v>227.1</v>
      </c>
      <c r="BP27" t="n">
        <v>-184.5</v>
      </c>
      <c r="BQ27" t="n">
        <v>-55</v>
      </c>
      <c r="BR27" t="n">
        <v>-446.7</v>
      </c>
      <c r="BS27" t="n">
        <v>-78.40000000000001</v>
      </c>
      <c r="BT27" t="n">
        <v>245.8</v>
      </c>
      <c r="BU27" t="n">
        <v>-117.7</v>
      </c>
    </row>
    <row r="28">
      <c r="A28" s="5" t="inlineStr">
        <is>
          <t>Net cash from/(used in) financing activities</t>
        </is>
      </c>
      <c r="B28" s="5" t="n">
        <v>72.7</v>
      </c>
      <c r="C28" s="5" t="n">
        <v>-123.3</v>
      </c>
      <c r="D28" s="5" t="n">
        <v>56</v>
      </c>
      <c r="E28" s="5" t="n">
        <v>76</v>
      </c>
      <c r="F28" s="5" t="n">
        <v>632.6</v>
      </c>
      <c r="G28" s="5" t="n">
        <v>-18.6</v>
      </c>
      <c r="H28" s="5" t="n">
        <v>-3077.5</v>
      </c>
      <c r="I28" s="5" t="n">
        <v>235.5</v>
      </c>
      <c r="J28" s="5" t="n">
        <v>-282.5</v>
      </c>
      <c r="K28" s="5" t="n">
        <v>1145</v>
      </c>
      <c r="L28" s="5" t="n">
        <v>1.7</v>
      </c>
      <c r="M28" s="5" t="n">
        <v>85</v>
      </c>
      <c r="BI28" t="inlineStr">
        <is>
          <t>Net cash from/(used in) financing activities</t>
        </is>
      </c>
      <c r="BJ28" t="n">
        <v>85</v>
      </c>
      <c r="BK28" t="n">
        <v>1.7</v>
      </c>
      <c r="BL28" t="n">
        <v>1145</v>
      </c>
      <c r="BM28" t="n">
        <v>-282.5</v>
      </c>
      <c r="BN28" t="n">
        <v>235.5</v>
      </c>
      <c r="BO28" t="n">
        <v>-3077.5</v>
      </c>
      <c r="BP28" t="n">
        <v>-18.6</v>
      </c>
      <c r="BQ28" t="n">
        <v>632.6</v>
      </c>
      <c r="BR28" t="n">
        <v>76</v>
      </c>
      <c r="BS28" t="n">
        <v>56</v>
      </c>
      <c r="BT28" t="n">
        <v>-123.3</v>
      </c>
      <c r="BU28" t="n">
        <v>72.7</v>
      </c>
    </row>
    <row r="29">
      <c r="A29" s="5" t="inlineStr">
        <is>
          <t>Cash and cash equivalents at 31 March</t>
        </is>
      </c>
      <c r="B29" s="5" t="n">
        <v>19592.6</v>
      </c>
      <c r="C29" s="5" t="n">
        <v>18048.4</v>
      </c>
      <c r="D29" s="5" t="n">
        <v>21025.2</v>
      </c>
      <c r="E29" s="5" t="n">
        <v>19261.7</v>
      </c>
      <c r="F29" s="5" t="n">
        <v>17823.7</v>
      </c>
      <c r="G29" s="5" t="n">
        <v>23335.7</v>
      </c>
      <c r="H29" s="5" t="n">
        <v>15196.5</v>
      </c>
      <c r="I29" s="5" t="n">
        <v>26504.3</v>
      </c>
      <c r="J29" s="5" t="n">
        <v>16558.8</v>
      </c>
      <c r="K29" s="5" t="n">
        <v>15228.5</v>
      </c>
      <c r="L29" s="5" t="n">
        <v>11346.9</v>
      </c>
      <c r="M29" s="5" t="n">
        <v>10315.6</v>
      </c>
      <c r="BI29" t="inlineStr">
        <is>
          <t>Cash and cash equivalents at 31 March</t>
        </is>
      </c>
      <c r="BJ29" t="n">
        <v>10315.6</v>
      </c>
      <c r="BK29" t="n">
        <v>11346.9</v>
      </c>
      <c r="BL29" t="n">
        <v>15228.5</v>
      </c>
      <c r="BM29" t="n">
        <v>16558.8</v>
      </c>
      <c r="BN29" t="n">
        <v>26504.3</v>
      </c>
      <c r="BO29" t="n">
        <v>15196.5</v>
      </c>
      <c r="BP29" t="n">
        <v>23335.7</v>
      </c>
      <c r="BQ29" t="n">
        <v>17823.7</v>
      </c>
      <c r="BR29" t="n">
        <v>19261.7</v>
      </c>
      <c r="BS29" t="n">
        <v>21025.2</v>
      </c>
      <c r="BT29" t="n">
        <v>18048.4</v>
      </c>
      <c r="BU29" t="n">
        <v>19592.6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17.1%</t>
        </is>
      </c>
      <c r="C33" s="6" t="inlineStr">
        <is>
          <t>19.5%</t>
        </is>
      </c>
      <c r="D33" s="6" t="inlineStr">
        <is>
          <t>17.8%</t>
        </is>
      </c>
      <c r="E33" s="6" t="inlineStr">
        <is>
          <t>16.3%</t>
        </is>
      </c>
      <c r="F33" s="6" t="inlineStr">
        <is>
          <t>16.7%</t>
        </is>
      </c>
      <c r="G33" s="6" t="inlineStr">
        <is>
          <t>15.8%</t>
        </is>
      </c>
      <c r="H33" s="6" t="inlineStr">
        <is>
          <t>18.5%</t>
        </is>
      </c>
      <c r="I33" s="6" t="inlineStr">
        <is>
          <t>16.8%</t>
        </is>
      </c>
      <c r="J33" s="6" t="inlineStr">
        <is>
          <t>20.9%</t>
        </is>
      </c>
      <c r="K33" s="6" t="inlineStr">
        <is>
          <t>18.4%</t>
        </is>
      </c>
      <c r="L33" s="6" t="inlineStr">
        <is>
          <t>24.8%</t>
        </is>
      </c>
      <c r="M33" s="6" t="inlineStr">
        <is>
          <t>22.9%</t>
        </is>
      </c>
    </row>
    <row r="34">
      <c r="A34" s="6" t="inlineStr">
        <is>
          <t>Tier 1 Ratio</t>
        </is>
      </c>
      <c r="B34" s="6" t="inlineStr">
        <is>
          <t>17.1%</t>
        </is>
      </c>
      <c r="C34" s="6" t="inlineStr">
        <is>
          <t>19.5%</t>
        </is>
      </c>
      <c r="D34" s="6" t="inlineStr">
        <is>
          <t>17.8%</t>
        </is>
      </c>
      <c r="E34" s="6" t="inlineStr">
        <is>
          <t>16.3%</t>
        </is>
      </c>
      <c r="F34" s="6" t="inlineStr">
        <is>
          <t>16.7%</t>
        </is>
      </c>
      <c r="G34" s="6" t="inlineStr">
        <is>
          <t>15.8%</t>
        </is>
      </c>
      <c r="H34" s="6" t="inlineStr">
        <is>
          <t>18.5%</t>
        </is>
      </c>
      <c r="I34" s="6" t="inlineStr">
        <is>
          <t>16.8%</t>
        </is>
      </c>
      <c r="J34" s="6" t="inlineStr">
        <is>
          <t>20.9%</t>
        </is>
      </c>
      <c r="K34" s="6" t="inlineStr">
        <is>
          <t>18.4%</t>
        </is>
      </c>
      <c r="L34" s="6" t="inlineStr">
        <is>
          <t>24.8%</t>
        </is>
      </c>
      <c r="M34" s="6" t="inlineStr">
        <is>
          <t>22.9%</t>
        </is>
      </c>
    </row>
    <row r="35">
      <c r="A35" s="6" t="inlineStr">
        <is>
          <t>Total Capital Ratio</t>
        </is>
      </c>
      <c r="B35" s="6" t="inlineStr">
        <is>
          <t>17.1%</t>
        </is>
      </c>
      <c r="C35" s="6" t="inlineStr">
        <is>
          <t>19.5%</t>
        </is>
      </c>
      <c r="D35" s="6" t="inlineStr">
        <is>
          <t>17.8%</t>
        </is>
      </c>
      <c r="E35" s="6" t="inlineStr">
        <is>
          <t>16.3%</t>
        </is>
      </c>
      <c r="F35" s="6" t="inlineStr">
        <is>
          <t>16.7%</t>
        </is>
      </c>
      <c r="G35" s="6" t="inlineStr">
        <is>
          <t>15.8%</t>
        </is>
      </c>
      <c r="H35" s="6" t="inlineStr">
        <is>
          <t>18.5%</t>
        </is>
      </c>
      <c r="I35" s="6" t="inlineStr">
        <is>
          <t>16.8%</t>
        </is>
      </c>
      <c r="J35" s="6" t="inlineStr">
        <is>
          <t>20.9%</t>
        </is>
      </c>
      <c r="K35" s="6" t="inlineStr">
        <is>
          <t>18.4%</t>
        </is>
      </c>
      <c r="L35" s="6" t="inlineStr">
        <is>
          <t>24.8%</t>
        </is>
      </c>
      <c r="M35" s="6" t="inlineStr">
        <is>
          <t>22.9%</t>
        </is>
      </c>
    </row>
    <row r="36">
      <c r="A36" s="6" t="inlineStr">
        <is>
          <t>Leverage Ratio</t>
        </is>
      </c>
      <c r="B36" s="6" t="inlineStr">
        <is>
          <t>10.1%</t>
        </is>
      </c>
      <c r="C36" s="6" t="inlineStr">
        <is>
          <t>14.8%</t>
        </is>
      </c>
      <c r="D36" s="6" t="inlineStr">
        <is>
          <t>13.8%</t>
        </is>
      </c>
      <c r="E36" s="6" t="inlineStr">
        <is>
          <t>12.4%</t>
        </is>
      </c>
      <c r="F36" s="6" t="inlineStr">
        <is>
          <t>7.7%</t>
        </is>
      </c>
      <c r="G36" s="6" t="inlineStr">
        <is>
          <t>6.8%</t>
        </is>
      </c>
      <c r="H36" s="6" t="inlineStr">
        <is>
          <t>7.6%</t>
        </is>
      </c>
      <c r="I36" s="6" t="inlineStr">
        <is>
          <t>5.8%</t>
        </is>
      </c>
      <c r="J36" s="6" t="inlineStr">
        <is>
          <t>8.4%</t>
        </is>
      </c>
      <c r="K36" s="6" t="inlineStr">
        <is>
          <t>7.1%</t>
        </is>
      </c>
      <c r="L36" s="6" t="inlineStr">
        <is>
          <t>9.7%</t>
        </is>
      </c>
      <c r="M36" s="6" t="inlineStr">
        <is>
          <t>7.7%</t>
        </is>
      </c>
    </row>
    <row r="37">
      <c r="A37" s="6" t="inlineStr">
        <is>
          <t>LCR</t>
        </is>
      </c>
      <c r="B37" s="6" t="inlineStr">
        <is>
          <t>160.1%</t>
        </is>
      </c>
      <c r="C37" s="6" t="inlineStr">
        <is>
          <t>155.6%</t>
        </is>
      </c>
      <c r="D37" s="6" t="inlineStr">
        <is>
          <t>145.4%</t>
        </is>
      </c>
      <c r="E37" s="6" t="inlineStr">
        <is>
          <t>136%</t>
        </is>
      </c>
      <c r="F37" s="6" t="inlineStr">
        <is>
          <t>145.0%</t>
        </is>
      </c>
      <c r="G37" s="6" t="inlineStr">
        <is>
          <t>126.2%</t>
        </is>
      </c>
      <c r="H37" s="6" t="inlineStr">
        <is>
          <t>141.4%</t>
        </is>
      </c>
      <c r="I37" s="6" t="inlineStr">
        <is>
          <t>133.4%</t>
        </is>
      </c>
      <c r="J37" s="6" t="inlineStr">
        <is>
          <t>125.5%</t>
        </is>
      </c>
      <c r="K37" s="6" t="inlineStr">
        <is>
          <t>97.3%</t>
        </is>
      </c>
      <c r="L37" s="6" t="inlineStr">
        <is>
          <t>115.2%</t>
        </is>
      </c>
      <c r="M37" s="6" t="n"/>
    </row>
    <row r="38">
      <c r="A38" s="6" t="inlineStr">
        <is>
          <t>NSFR</t>
        </is>
      </c>
      <c r="B38" s="6" t="inlineStr">
        <is>
          <t>127.2%</t>
        </is>
      </c>
      <c r="C38" s="6" t="inlineStr">
        <is>
          <t>141.8%</t>
        </is>
      </c>
      <c r="D38" s="6" t="inlineStr">
        <is>
          <t>142.4%</t>
        </is>
      </c>
      <c r="E38" s="6" t="inlineStr">
        <is>
          <t>133.5%</t>
        </is>
      </c>
      <c r="F38" s="6" t="inlineStr">
        <is>
          <t>135.5%</t>
        </is>
      </c>
      <c r="G38" s="6" t="inlineStr">
        <is>
          <t>107.6%</t>
        </is>
      </c>
      <c r="H38" s="6" t="inlineStr">
        <is>
          <t>110.5%</t>
        </is>
      </c>
      <c r="I38" s="6" t="inlineStr">
        <is>
          <t>102.9%</t>
        </is>
      </c>
      <c r="J38" s="6" t="inlineStr">
        <is>
          <t>96.1%</t>
        </is>
      </c>
      <c r="K38" s="6" t="n"/>
      <c r="L38" s="6" t="n"/>
      <c r="M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19593</v>
      </c>
      <c r="C5" s="6" t="n">
        <v>18169.1</v>
      </c>
      <c r="D5" s="6" t="n">
        <v>20931.7</v>
      </c>
      <c r="E5" s="6" t="n">
        <v>19188.1</v>
      </c>
      <c r="F5" s="6" t="n">
        <v>17795.3</v>
      </c>
      <c r="G5" s="6" t="n">
        <v>19935.9</v>
      </c>
      <c r="H5" s="6" t="n">
        <v>15096</v>
      </c>
      <c r="I5" s="6" t="n">
        <v>23982.8</v>
      </c>
      <c r="J5" s="6" t="n">
        <v>13240.2</v>
      </c>
      <c r="K5" s="6" t="n">
        <v>13603.7</v>
      </c>
      <c r="L5" s="6" t="n">
        <v>7998.4</v>
      </c>
      <c r="M5" s="6" t="n">
        <v>8262.200000000001</v>
      </c>
    </row>
    <row r="6">
      <c r="A6" s="6" t="inlineStr">
        <is>
          <t>Settlement balances</t>
        </is>
      </c>
      <c r="B6" s="6" t="n">
        <v>308.2</v>
      </c>
      <c r="C6" s="6" t="n">
        <v>75.59999999999999</v>
      </c>
      <c r="D6" s="6" t="n">
        <v>93.40000000000001</v>
      </c>
      <c r="E6" s="6" t="n">
        <v>73.59999999999999</v>
      </c>
      <c r="F6" s="6" t="n">
        <v>28.4</v>
      </c>
      <c r="G6" s="6" t="n">
        <v>3399.8</v>
      </c>
      <c r="H6" s="6" t="n">
        <v>100.5</v>
      </c>
      <c r="I6" s="6" t="n"/>
      <c r="J6" s="6" t="n"/>
      <c r="K6" s="6" t="n"/>
      <c r="L6" s="6" t="n"/>
      <c r="M6" s="6" t="n"/>
    </row>
    <row r="7">
      <c r="A7" s="6" t="inlineStr">
        <is>
          <t>Loans and advances to banks</t>
        </is>
      </c>
      <c r="B7" s="6" t="n">
        <v>2669.5</v>
      </c>
      <c r="C7" s="6" t="n">
        <v>2733.9</v>
      </c>
      <c r="D7" s="6" t="n">
        <v>2607.2</v>
      </c>
      <c r="E7" s="6" t="n">
        <v>3030.4</v>
      </c>
      <c r="F7" s="6" t="n">
        <v>2751.1</v>
      </c>
      <c r="G7" s="6" t="n">
        <v>3065.8</v>
      </c>
      <c r="H7" s="6" t="n">
        <v>2236.8</v>
      </c>
      <c r="I7" s="6" t="n">
        <v>3112.9</v>
      </c>
      <c r="J7" s="6" t="n">
        <v>4372.9</v>
      </c>
      <c r="K7" s="6" t="n">
        <v>2533</v>
      </c>
      <c r="L7" s="6" t="n">
        <v>3892.6</v>
      </c>
      <c r="M7" s="6" t="n">
        <v>2714.9</v>
      </c>
    </row>
    <row r="8">
      <c r="A8" s="6" t="inlineStr">
        <is>
          <t>Loans and advances to customers</t>
        </is>
      </c>
      <c r="B8" s="6" t="n">
        <v>14934</v>
      </c>
      <c r="C8" s="6" t="n">
        <v>14290.5</v>
      </c>
      <c r="D8" s="6" t="n">
        <v>14326</v>
      </c>
      <c r="E8" s="6" t="n">
        <v>15151.6</v>
      </c>
      <c r="F8" s="6" t="n">
        <v>15109.8</v>
      </c>
      <c r="G8" s="6" t="n">
        <v>18320.3</v>
      </c>
      <c r="H8" s="6" t="n">
        <v>16488.3</v>
      </c>
      <c r="I8" s="6" t="n">
        <v>14533</v>
      </c>
      <c r="J8" s="6" t="n">
        <v>11962.9</v>
      </c>
      <c r="K8" s="6" t="n">
        <v>10829.9</v>
      </c>
      <c r="L8" s="6" t="n">
        <v>7806.2</v>
      </c>
      <c r="M8" s="6" t="n">
        <v>6808.3</v>
      </c>
    </row>
    <row r="9">
      <c r="A9" s="6" t="inlineStr">
        <is>
          <t>Reverse repurchase agreements</t>
        </is>
      </c>
      <c r="B9" s="6" t="n">
        <v>13233.2</v>
      </c>
      <c r="C9" s="6" t="n">
        <v>1354</v>
      </c>
      <c r="D9" s="6" t="n">
        <v>1024.7</v>
      </c>
      <c r="E9" s="6" t="n">
        <v>910.1</v>
      </c>
      <c r="F9" s="6" t="n">
        <v>1255.9</v>
      </c>
      <c r="G9" s="6" t="n">
        <v>1211.4</v>
      </c>
      <c r="H9" s="6" t="n">
        <v>1376.4</v>
      </c>
      <c r="I9" s="6" t="n"/>
      <c r="J9" s="6" t="n"/>
      <c r="K9" s="6" t="n"/>
      <c r="L9" s="6" t="n"/>
      <c r="M9" s="6" t="n"/>
    </row>
    <row r="10">
      <c r="A10" s="6" t="inlineStr">
        <is>
          <t>Trading assets</t>
        </is>
      </c>
      <c r="B10" s="6" t="n">
        <v>1160.1</v>
      </c>
      <c r="C10" s="6" t="n"/>
      <c r="D10" s="6" t="n"/>
      <c r="E10" s="6" t="n"/>
      <c r="F10" s="6" t="n"/>
      <c r="G10" s="6" t="n"/>
      <c r="H10" s="6" t="n"/>
      <c r="I10" s="6" t="n"/>
      <c r="J10" s="6" t="n"/>
      <c r="K10" s="6" t="n"/>
      <c r="L10" s="6" t="n"/>
      <c r="M10" s="6" t="n"/>
    </row>
    <row r="11">
      <c r="A11" s="6" t="inlineStr">
        <is>
          <t>Investment securities</t>
        </is>
      </c>
      <c r="B11" s="6" t="n">
        <v>591.9</v>
      </c>
      <c r="C11" s="6" t="n">
        <v>529.2</v>
      </c>
      <c r="D11" s="6" t="n">
        <v>845.3</v>
      </c>
      <c r="E11" s="6" t="n">
        <v>766.8</v>
      </c>
      <c r="F11" s="6" t="n">
        <v>359.9</v>
      </c>
      <c r="G11" s="6" t="n">
        <v>503.8</v>
      </c>
      <c r="H11" s="6" t="n">
        <v>327.3</v>
      </c>
      <c r="I11" s="6" t="n">
        <v>535.2</v>
      </c>
      <c r="J11" s="6" t="n">
        <v>364</v>
      </c>
      <c r="K11" s="6" t="n">
        <v>545.1</v>
      </c>
      <c r="L11" s="6" t="n">
        <v>594.7</v>
      </c>
      <c r="M11" s="6" t="n">
        <v>600.8</v>
      </c>
    </row>
    <row r="12">
      <c r="A12" s="6" t="inlineStr">
        <is>
          <t>Derivative assets</t>
        </is>
      </c>
      <c r="B12" s="6" t="n">
        <v>1361.7</v>
      </c>
      <c r="C12" s="6" t="n">
        <v>1561.9</v>
      </c>
      <c r="D12" s="6" t="n">
        <v>1686.8</v>
      </c>
      <c r="E12" s="6" t="n">
        <v>1086.8</v>
      </c>
      <c r="F12" s="6" t="n">
        <v>910.2</v>
      </c>
      <c r="G12" s="6" t="n">
        <v>1432.2</v>
      </c>
      <c r="H12" s="6" t="n">
        <v>764.4</v>
      </c>
      <c r="I12" s="6" t="n">
        <v>1117.5</v>
      </c>
      <c r="J12" s="6" t="n">
        <v>874.4</v>
      </c>
      <c r="K12" s="6" t="n">
        <v>877</v>
      </c>
      <c r="L12" s="6" t="n">
        <v>1007.9</v>
      </c>
      <c r="M12" s="6" t="n">
        <v>281.1</v>
      </c>
    </row>
    <row r="13">
      <c r="A13" s="6" t="inlineStr">
        <is>
          <t>Other assets</t>
        </is>
      </c>
      <c r="B13" s="6" t="n">
        <v>1132</v>
      </c>
      <c r="C13" s="6" t="n">
        <v>604.7</v>
      </c>
      <c r="D13" s="6" t="n">
        <v>751.3</v>
      </c>
      <c r="E13" s="6" t="n">
        <v>529</v>
      </c>
      <c r="F13" s="6" t="n">
        <v>391.9</v>
      </c>
      <c r="G13" s="6" t="n">
        <v>674.4</v>
      </c>
      <c r="H13" s="6" t="n">
        <v>369.1</v>
      </c>
      <c r="I13" s="6" t="n">
        <v>181.6</v>
      </c>
      <c r="J13" s="6" t="n">
        <v>173.7</v>
      </c>
      <c r="K13" s="6" t="n">
        <v>148.3</v>
      </c>
      <c r="L13" s="6" t="n">
        <v>202</v>
      </c>
      <c r="M13" s="6" t="n">
        <v>136.7</v>
      </c>
    </row>
    <row r="14">
      <c r="A14" s="6" t="inlineStr">
        <is>
          <t>Intangible assets and goodwill</t>
        </is>
      </c>
      <c r="B14" s="6" t="n">
        <v>83</v>
      </c>
      <c r="C14" s="6" t="n">
        <v>55.6</v>
      </c>
      <c r="D14" s="6" t="n">
        <v>45.6</v>
      </c>
      <c r="E14" s="6" t="n">
        <v>35.5</v>
      </c>
      <c r="F14" s="6" t="n">
        <v>28.9</v>
      </c>
      <c r="G14" s="6" t="n">
        <v>30.9</v>
      </c>
      <c r="H14" s="6" t="n">
        <v>23</v>
      </c>
      <c r="I14" s="6" t="n">
        <v>15.7</v>
      </c>
      <c r="J14" s="6" t="n">
        <v>13.1</v>
      </c>
      <c r="K14" s="6" t="n">
        <v>9.5</v>
      </c>
      <c r="L14" s="6" t="n">
        <v>4.6</v>
      </c>
      <c r="M14" s="6" t="n">
        <v>3.7</v>
      </c>
    </row>
    <row r="15">
      <c r="A15" s="6" t="inlineStr">
        <is>
          <t>Property and equipment</t>
        </is>
      </c>
      <c r="B15" s="6" t="n">
        <v>167.5</v>
      </c>
      <c r="C15" s="6" t="n">
        <v>192.8</v>
      </c>
      <c r="D15" s="6" t="n">
        <v>205.8</v>
      </c>
      <c r="E15" s="6" t="n">
        <v>193.4</v>
      </c>
      <c r="F15" s="6" t="n">
        <v>158.8</v>
      </c>
      <c r="G15" s="6" t="n">
        <v>36.4</v>
      </c>
      <c r="H15" s="6" t="n">
        <v>23.3</v>
      </c>
      <c r="I15" s="6" t="n">
        <v>20.1</v>
      </c>
      <c r="J15" s="6" t="n">
        <v>13.4</v>
      </c>
      <c r="K15" s="6" t="n">
        <v>13.6</v>
      </c>
      <c r="L15" s="6" t="n">
        <v>8.1</v>
      </c>
      <c r="M15" s="6" t="n">
        <v>10.4</v>
      </c>
    </row>
    <row r="16">
      <c r="A16" s="6" t="inlineStr">
        <is>
          <t>Current tax asset</t>
        </is>
      </c>
      <c r="B16" s="6" t="n">
        <v>6.4</v>
      </c>
      <c r="C16" s="6" t="n">
        <v>4.4</v>
      </c>
      <c r="D16" s="6" t="n">
        <v>19.6</v>
      </c>
      <c r="E16" s="6" t="n">
        <v>4.6</v>
      </c>
      <c r="F16" s="6" t="n"/>
      <c r="G16" s="6" t="n">
        <v>24.7</v>
      </c>
      <c r="H16" s="6" t="n"/>
      <c r="I16" s="6" t="n"/>
      <c r="J16" s="6" t="n"/>
      <c r="K16" s="6" t="n"/>
      <c r="L16" s="6" t="n"/>
      <c r="M16" s="6" t="n">
        <v>1.3</v>
      </c>
    </row>
    <row r="17">
      <c r="A17" s="6" t="inlineStr">
        <is>
          <t>Deferred tax asset</t>
        </is>
      </c>
      <c r="B17" s="6" t="n">
        <v>26.8</v>
      </c>
      <c r="C17" s="6" t="n">
        <v>34.6</v>
      </c>
      <c r="D17" s="6" t="n">
        <v>21</v>
      </c>
      <c r="E17" s="6" t="n">
        <v>24.4</v>
      </c>
      <c r="F17" s="6" t="n">
        <v>14.8</v>
      </c>
      <c r="G17" s="6" t="n">
        <v>5.2</v>
      </c>
      <c r="H17" s="6" t="n">
        <v>5</v>
      </c>
      <c r="I17" s="6" t="n">
        <v>3.8</v>
      </c>
      <c r="J17" s="6" t="n">
        <v>5.5</v>
      </c>
      <c r="K17" s="6" t="n"/>
      <c r="L17" s="6" t="n">
        <v>1.2</v>
      </c>
      <c r="M17" s="6" t="n">
        <v>4.9</v>
      </c>
    </row>
    <row r="18">
      <c r="A18" s="6" t="inlineStr">
        <is>
          <t>Pensions surplus</t>
        </is>
      </c>
      <c r="B18" s="6" t="n">
        <v>28.4</v>
      </c>
      <c r="C18" s="6" t="n">
        <v>26.6</v>
      </c>
      <c r="D18" s="6" t="n">
        <v>33.8</v>
      </c>
      <c r="E18" s="6" t="n">
        <v>45.9</v>
      </c>
      <c r="F18" s="6" t="n">
        <v>24</v>
      </c>
      <c r="G18" s="6" t="n">
        <v>50.1</v>
      </c>
      <c r="H18" s="6" t="n">
        <v>35</v>
      </c>
      <c r="I18" s="6" t="n">
        <v>36.2</v>
      </c>
      <c r="J18" s="6" t="n">
        <v>32.9</v>
      </c>
      <c r="K18" s="6" t="n">
        <v>32</v>
      </c>
      <c r="L18" s="6" t="n">
        <v>14.3</v>
      </c>
      <c r="M18" s="6" t="n">
        <v>2.2</v>
      </c>
    </row>
    <row r="19">
      <c r="A19" s="5" t="inlineStr">
        <is>
          <t>Total assets</t>
        </is>
      </c>
      <c r="B19" s="5" t="n">
        <v>55295.7</v>
      </c>
      <c r="C19" s="5" t="n">
        <v>39632.8</v>
      </c>
      <c r="D19" s="5" t="n">
        <v>42592.3</v>
      </c>
      <c r="E19" s="5" t="n">
        <v>41040.2</v>
      </c>
      <c r="F19" s="5" t="n">
        <v>38829</v>
      </c>
      <c r="G19" s="5" t="n">
        <v>48690.9</v>
      </c>
      <c r="H19" s="5" t="n">
        <v>36845.2</v>
      </c>
      <c r="I19" s="5" t="n">
        <v>43538.7</v>
      </c>
      <c r="J19" s="5" t="n">
        <v>31053</v>
      </c>
      <c r="K19" s="5" t="n">
        <v>28592</v>
      </c>
      <c r="L19" s="5" t="n">
        <v>21529.9</v>
      </c>
      <c r="M19" s="5" t="n">
        <v>18826.7</v>
      </c>
    </row>
    <row r="20">
      <c r="A20" s="5" t="inlineStr">
        <is>
          <t>Liabilities</t>
        </is>
      </c>
      <c r="B20" s="6" t="n"/>
      <c r="C20" s="6" t="n"/>
      <c r="D20" s="6" t="n"/>
      <c r="E20" s="6" t="n"/>
      <c r="F20" s="6" t="n"/>
      <c r="G20" s="6" t="n"/>
      <c r="H20" s="6" t="n"/>
      <c r="I20" s="6" t="n"/>
      <c r="J20" s="6" t="n"/>
      <c r="K20" s="6" t="n"/>
      <c r="L20" s="6" t="n"/>
      <c r="M20" s="6" t="n"/>
    </row>
    <row r="21">
      <c r="A21" s="6" t="inlineStr">
        <is>
          <t>Deposits by banks</t>
        </is>
      </c>
      <c r="B21" s="6" t="n">
        <v>22412</v>
      </c>
      <c r="C21" s="6" t="n">
        <v>16744.5</v>
      </c>
      <c r="D21" s="6" t="n">
        <v>20211.5</v>
      </c>
      <c r="E21" s="6" t="n">
        <v>20040.2</v>
      </c>
      <c r="F21" s="6" t="n">
        <v>17270.4</v>
      </c>
      <c r="G21" s="6" t="n">
        <v>20705.6</v>
      </c>
      <c r="H21" s="6" t="n">
        <v>18582.2</v>
      </c>
      <c r="I21" s="6" t="n">
        <v>19880.4</v>
      </c>
      <c r="J21" s="6" t="n">
        <v>10399.9</v>
      </c>
      <c r="K21" s="6" t="n">
        <v>16656.8</v>
      </c>
      <c r="L21" s="6" t="n">
        <v>11352.3</v>
      </c>
      <c r="M21" s="6" t="n">
        <v>10244</v>
      </c>
    </row>
    <row r="22">
      <c r="A22" s="6" t="inlineStr">
        <is>
          <t>Customer accounts</t>
        </is>
      </c>
      <c r="B22" s="6" t="n">
        <v>15242.8</v>
      </c>
      <c r="C22" s="6" t="n">
        <v>15697.5</v>
      </c>
      <c r="D22" s="6" t="n">
        <v>15099.5</v>
      </c>
      <c r="E22" s="6" t="n">
        <v>15008.4</v>
      </c>
      <c r="F22" s="6" t="n">
        <v>16178</v>
      </c>
      <c r="G22" s="6" t="n">
        <v>22292.1</v>
      </c>
      <c r="H22" s="6" t="n">
        <v>13962.4</v>
      </c>
      <c r="I22" s="6" t="n">
        <v>16524.2</v>
      </c>
      <c r="J22" s="6" t="n">
        <v>13526.8</v>
      </c>
      <c r="K22" s="6" t="n">
        <v>5571</v>
      </c>
      <c r="L22" s="6" t="n">
        <v>5151.5</v>
      </c>
      <c r="M22" s="6" t="n">
        <v>4693.4</v>
      </c>
    </row>
    <row r="23">
      <c r="A23" s="6" t="inlineStr">
        <is>
          <t>Debt securities in issue</t>
        </is>
      </c>
      <c r="B23" s="6" t="n">
        <v>783.9</v>
      </c>
      <c r="C23" s="6" t="n">
        <v>714</v>
      </c>
      <c r="D23" s="6" t="n">
        <v>848.2</v>
      </c>
      <c r="E23" s="6" t="n">
        <v>741.5</v>
      </c>
      <c r="F23" s="6" t="n">
        <v>618.7</v>
      </c>
      <c r="G23" s="6" t="n"/>
      <c r="H23" s="6" t="n">
        <v>10.1</v>
      </c>
      <c r="I23" s="6" t="n">
        <v>2882.7</v>
      </c>
      <c r="J23" s="6" t="n">
        <v>2982.3</v>
      </c>
      <c r="K23" s="6" t="n">
        <v>2850.5</v>
      </c>
      <c r="L23" s="6" t="n">
        <v>1601.9</v>
      </c>
      <c r="M23" s="6" t="n">
        <v>1424.9</v>
      </c>
    </row>
    <row r="24">
      <c r="A24" s="6" t="inlineStr">
        <is>
          <t>Repurchase agreements</t>
        </is>
      </c>
      <c r="B24" s="6" t="n">
        <v>9813.4</v>
      </c>
      <c r="C24" s="6" t="n"/>
      <c r="D24" s="6" t="n"/>
      <c r="E24" s="6" t="n"/>
      <c r="F24" s="6" t="n"/>
      <c r="G24" s="6" t="n"/>
      <c r="H24" s="6" t="n"/>
      <c r="I24" s="6" t="n"/>
      <c r="J24" s="6" t="n"/>
      <c r="K24" s="6" t="n"/>
      <c r="L24" s="6" t="n"/>
      <c r="M24" s="6" t="n"/>
    </row>
    <row r="25">
      <c r="A25" s="6" t="inlineStr">
        <is>
          <t>Derivative liabilities</t>
        </is>
      </c>
      <c r="B25" s="6" t="n">
        <v>1369.6</v>
      </c>
      <c r="C25" s="6" t="n">
        <v>1286.6</v>
      </c>
      <c r="D25" s="6" t="n">
        <v>1518.4</v>
      </c>
      <c r="E25" s="6" t="n">
        <v>1004.9</v>
      </c>
      <c r="F25" s="6" t="n">
        <v>890.7</v>
      </c>
      <c r="G25" s="6" t="n">
        <v>1310.9</v>
      </c>
      <c r="H25" s="6" t="n">
        <v>668.3</v>
      </c>
      <c r="I25" s="6" t="n">
        <v>1155.2</v>
      </c>
      <c r="J25" s="6" t="n">
        <v>829</v>
      </c>
      <c r="K25" s="6" t="n">
        <v>818.8</v>
      </c>
      <c r="L25" s="6" t="n">
        <v>909.9</v>
      </c>
      <c r="M25" s="6" t="n">
        <v>270.8</v>
      </c>
    </row>
    <row r="26">
      <c r="A26" s="6" t="inlineStr">
        <is>
          <t>Trading liabilities</t>
        </is>
      </c>
      <c r="B26" s="6" t="n">
        <v>228</v>
      </c>
      <c r="C26" s="6" t="n"/>
      <c r="D26" s="6" t="n"/>
      <c r="E26" s="6" t="n"/>
      <c r="F26" s="6" t="n"/>
      <c r="G26" s="6" t="n"/>
      <c r="H26" s="6" t="n"/>
      <c r="I26" s="6" t="n"/>
      <c r="J26" s="6" t="n"/>
      <c r="K26" s="6" t="n"/>
      <c r="L26" s="6" t="n"/>
      <c r="M26" s="6" t="n"/>
    </row>
    <row r="27">
      <c r="A27" s="6" t="inlineStr">
        <is>
          <t>Other liabilities</t>
        </is>
      </c>
      <c r="B27" s="6" t="n">
        <v>826.3</v>
      </c>
      <c r="C27" s="6" t="n">
        <v>743</v>
      </c>
      <c r="D27" s="6" t="n">
        <v>685.3</v>
      </c>
      <c r="E27" s="6" t="n">
        <v>443.5</v>
      </c>
      <c r="F27" s="6" t="n">
        <v>361.9</v>
      </c>
      <c r="G27" s="6" t="n">
        <v>666.1</v>
      </c>
      <c r="H27" s="6" t="n">
        <v>178.7</v>
      </c>
      <c r="I27" s="6" t="n">
        <v>117.6</v>
      </c>
      <c r="J27" s="6" t="n">
        <v>163.2</v>
      </c>
      <c r="K27" s="6" t="n">
        <v>72.90000000000001</v>
      </c>
      <c r="L27" s="6" t="n">
        <v>56.4</v>
      </c>
      <c r="M27" s="6" t="n">
        <v>60.2</v>
      </c>
    </row>
    <row r="28">
      <c r="A28" s="6" t="inlineStr">
        <is>
          <t>Other provisions</t>
        </is>
      </c>
      <c r="B28" s="6" t="n">
        <v>12.8</v>
      </c>
      <c r="C28" s="6" t="n">
        <v>8.699999999999999</v>
      </c>
      <c r="D28" s="6" t="n">
        <v>9.699999999999999</v>
      </c>
      <c r="E28" s="6" t="n">
        <v>26.2</v>
      </c>
      <c r="F28" s="6" t="n">
        <v>15.4</v>
      </c>
      <c r="G28" s="6" t="n">
        <v>7.7</v>
      </c>
      <c r="H28" s="6" t="n">
        <v>4.2</v>
      </c>
      <c r="I28" s="6" t="n">
        <v>7.7</v>
      </c>
      <c r="J28" s="6" t="n">
        <v>6.7</v>
      </c>
      <c r="K28" s="6" t="n">
        <v>10</v>
      </c>
      <c r="L28" s="6" t="n">
        <v>2.4</v>
      </c>
      <c r="M28" s="6" t="n">
        <v>4.7</v>
      </c>
    </row>
    <row r="29">
      <c r="A29" s="6" t="inlineStr">
        <is>
          <t>Current tax liability</t>
        </is>
      </c>
      <c r="B29" s="6" t="n"/>
      <c r="C29" s="6" t="n"/>
      <c r="D29" s="6" t="n"/>
      <c r="E29" s="6" t="n"/>
      <c r="F29" s="6" t="n">
        <v>13.3</v>
      </c>
      <c r="G29" s="6" t="n"/>
      <c r="H29" s="6" t="n">
        <v>42</v>
      </c>
      <c r="I29" s="6" t="n">
        <v>24.5</v>
      </c>
      <c r="J29" s="6" t="n">
        <v>14.9</v>
      </c>
      <c r="K29" s="6" t="n">
        <v>0.8</v>
      </c>
      <c r="L29" s="6" t="n">
        <v>2</v>
      </c>
      <c r="M29" s="6" t="n">
        <v>14.2</v>
      </c>
    </row>
    <row r="30">
      <c r="A30" s="6" t="inlineStr">
        <is>
          <t>Deferred tax liability</t>
        </is>
      </c>
      <c r="B30" s="6" t="n">
        <v>16.4</v>
      </c>
      <c r="C30" s="6" t="n">
        <v>21.2</v>
      </c>
      <c r="D30" s="6" t="n">
        <v>22.6</v>
      </c>
      <c r="E30" s="6" t="n">
        <v>17.6</v>
      </c>
      <c r="F30" s="6" t="n">
        <v>9.6</v>
      </c>
      <c r="G30" s="6" t="n">
        <v>18</v>
      </c>
      <c r="H30" s="6" t="n">
        <v>14.4</v>
      </c>
      <c r="I30" s="6" t="n">
        <v>9.6</v>
      </c>
      <c r="J30" s="6" t="n">
        <v>8.199999999999999</v>
      </c>
      <c r="K30" s="6" t="n">
        <v>2.2</v>
      </c>
      <c r="L30" s="6" t="n"/>
      <c r="M30" s="6" t="n"/>
    </row>
    <row r="31">
      <c r="A31" s="5" t="inlineStr">
        <is>
          <t>Total liabilities</t>
        </is>
      </c>
      <c r="B31" s="5" t="n">
        <v>50705.1</v>
      </c>
      <c r="C31" s="5" t="n">
        <v>35215.6</v>
      </c>
      <c r="D31" s="5" t="n">
        <v>38395.1</v>
      </c>
      <c r="E31" s="5" t="n">
        <v>37282.3</v>
      </c>
      <c r="F31" s="5" t="n">
        <v>35358</v>
      </c>
      <c r="G31" s="5" t="n">
        <v>45000.4</v>
      </c>
      <c r="H31" s="5" t="n">
        <v>33462.2</v>
      </c>
      <c r="I31" s="5" t="n">
        <v>40601.9</v>
      </c>
      <c r="J31" s="5" t="n">
        <v>27931</v>
      </c>
      <c r="K31" s="5" t="n">
        <v>25983</v>
      </c>
      <c r="L31" s="5" t="n">
        <v>19076.4</v>
      </c>
      <c r="M31" s="5" t="n">
        <v>16712.1</v>
      </c>
    </row>
    <row r="32">
      <c r="A32" s="5" t="inlineStr">
        <is>
          <t>Shareholders' equity</t>
        </is>
      </c>
      <c r="B32" s="6" t="n"/>
      <c r="C32" s="6" t="n"/>
      <c r="D32" s="6" t="n"/>
      <c r="E32" s="6" t="n"/>
      <c r="F32" s="6" t="n"/>
      <c r="G32" s="6" t="n"/>
      <c r="H32" s="6" t="n"/>
      <c r="I32" s="6" t="n"/>
      <c r="J32" s="6" t="n"/>
      <c r="K32" s="6" t="n"/>
      <c r="L32" s="6" t="n"/>
      <c r="M32" s="6" t="n"/>
    </row>
    <row r="33">
      <c r="A33" s="6" t="inlineStr">
        <is>
          <t>Called up share capital</t>
        </is>
      </c>
      <c r="B33" s="6" t="n">
        <v>2478.8</v>
      </c>
      <c r="C33" s="6" t="n">
        <v>2533.3</v>
      </c>
      <c r="D33" s="6" t="n">
        <v>2588.2</v>
      </c>
      <c r="E33" s="6" t="n">
        <v>2431.3</v>
      </c>
      <c r="F33" s="6" t="n">
        <v>2319.6</v>
      </c>
      <c r="G33" s="6" t="n">
        <v>2580</v>
      </c>
      <c r="H33" s="6" t="n">
        <v>2455.9</v>
      </c>
      <c r="I33" s="6" t="n">
        <v>2280.3</v>
      </c>
      <c r="J33" s="6" t="n">
        <v>2558.6</v>
      </c>
      <c r="K33" s="6" t="n">
        <v>2225.6</v>
      </c>
      <c r="L33" s="6" t="n">
        <v>2155.3</v>
      </c>
      <c r="M33" s="6" t="n">
        <v>1919.3</v>
      </c>
    </row>
    <row r="34">
      <c r="A34" s="6" t="inlineStr">
        <is>
          <t>Other reserves</t>
        </is>
      </c>
      <c r="B34" s="6" t="n">
        <v>77.5</v>
      </c>
      <c r="C34" s="6" t="n">
        <v>82.2</v>
      </c>
      <c r="D34" s="6" t="n">
        <v>89.40000000000001</v>
      </c>
      <c r="E34" s="6" t="n">
        <v>81.09999999999999</v>
      </c>
      <c r="F34" s="6" t="n">
        <v>73.09999999999999</v>
      </c>
      <c r="G34" s="6" t="n">
        <v>83.2</v>
      </c>
      <c r="H34" s="6" t="n">
        <v>76.7</v>
      </c>
      <c r="I34" s="6" t="n">
        <v>73</v>
      </c>
      <c r="J34" s="6" t="n">
        <v>81.09999999999999</v>
      </c>
      <c r="K34" s="6" t="n">
        <v>70.90000000000001</v>
      </c>
      <c r="L34" s="6" t="n">
        <v>65.90000000000001</v>
      </c>
      <c r="M34" s="6" t="n">
        <v>59.7</v>
      </c>
    </row>
    <row r="35">
      <c r="A35" s="6" t="inlineStr">
        <is>
          <t>Retained earnings</t>
        </is>
      </c>
      <c r="B35" s="6" t="n">
        <v>2034.2</v>
      </c>
      <c r="C35" s="6" t="n">
        <v>1801.7</v>
      </c>
      <c r="D35" s="6" t="n">
        <v>1519.6</v>
      </c>
      <c r="E35" s="6" t="n">
        <v>1245.6</v>
      </c>
      <c r="F35" s="6" t="n">
        <v>1078.3</v>
      </c>
      <c r="G35" s="6" t="n">
        <v>1027.3</v>
      </c>
      <c r="H35" s="6" t="n">
        <v>850.5</v>
      </c>
      <c r="I35" s="6" t="n">
        <v>583.4</v>
      </c>
      <c r="J35" s="6" t="n">
        <v>482.4</v>
      </c>
      <c r="K35" s="6" t="n">
        <v>312.5</v>
      </c>
      <c r="L35" s="6" t="n">
        <v>232.3</v>
      </c>
      <c r="M35" s="6" t="n">
        <v>135.5</v>
      </c>
    </row>
    <row r="36">
      <c r="A36" s="5" t="inlineStr">
        <is>
          <t>Total equity</t>
        </is>
      </c>
      <c r="B36" s="5" t="n">
        <v>4590.5</v>
      </c>
      <c r="C36" s="5" t="n">
        <v>4417.2</v>
      </c>
      <c r="D36" s="5" t="n">
        <v>4197.2</v>
      </c>
      <c r="E36" s="5" t="n">
        <v>3757.9</v>
      </c>
      <c r="F36" s="5" t="n">
        <v>3471</v>
      </c>
      <c r="G36" s="5" t="n">
        <v>3690.5</v>
      </c>
      <c r="H36" s="5" t="n">
        <v>3383</v>
      </c>
      <c r="I36" s="5" t="n">
        <v>2936.8</v>
      </c>
      <c r="J36" s="5" t="n">
        <v>3122</v>
      </c>
      <c r="K36" s="5" t="n">
        <v>2609.1</v>
      </c>
      <c r="L36" s="5" t="n">
        <v>2453.5</v>
      </c>
      <c r="M36" s="5" t="n">
        <v>2114.6</v>
      </c>
    </row>
    <row r="37">
      <c r="A37" s="5" t="inlineStr">
        <is>
          <t>Total liabilities and equity</t>
        </is>
      </c>
      <c r="B37" s="5" t="n">
        <v>55295.7</v>
      </c>
      <c r="C37" s="5" t="n">
        <v>39632.8</v>
      </c>
      <c r="D37" s="5" t="n">
        <v>42592.3</v>
      </c>
      <c r="E37" s="5" t="n">
        <v>41040.2</v>
      </c>
      <c r="F37" s="5" t="n">
        <v>38829</v>
      </c>
      <c r="G37" s="5" t="n">
        <v>48690.9</v>
      </c>
      <c r="H37" s="5" t="n">
        <v>36845.2</v>
      </c>
      <c r="I37" s="5" t="n">
        <v>43538.7</v>
      </c>
      <c r="J37" s="5" t="n">
        <v>31053</v>
      </c>
      <c r="K37" s="5" t="n">
        <v>28592</v>
      </c>
      <c r="L37" s="5" t="n">
        <v>21529.9</v>
      </c>
      <c r="M37" s="5" t="n">
        <v>18826.7</v>
      </c>
    </row>
    <row r="39" ht="340" customHeight="1">
      <c r="A39" s="8" t="inlineStr">
        <is>
          <t>Sources - SMBC Bank International plc's own Statement of financial position, converted from USD to £m (see FX conversion note below):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Total assets ties exactly to Total liabilities + Total equity in USD every year; in GBP terms the two sides differ by up to £0.1m due to independent per-line rounding, not a data error.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9:M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Income</t>
        </is>
      </c>
      <c r="B4" s="6" t="n"/>
      <c r="C4" s="6" t="n"/>
      <c r="D4" s="6" t="n"/>
      <c r="E4" s="6" t="n"/>
      <c r="F4" s="6" t="n"/>
      <c r="G4" s="6" t="n"/>
      <c r="H4" s="6" t="n"/>
      <c r="I4" s="6" t="n"/>
      <c r="J4" s="6" t="n"/>
      <c r="K4" s="6" t="n"/>
      <c r="L4" s="6" t="n"/>
      <c r="M4" s="6" t="n"/>
    </row>
    <row r="5">
      <c r="A5" s="6" t="inlineStr">
        <is>
          <t>Interest income</t>
        </is>
      </c>
      <c r="B5" s="6" t="n">
        <v>2205.8</v>
      </c>
      <c r="C5" s="6" t="n">
        <v>1969.2</v>
      </c>
      <c r="D5" s="6" t="n">
        <v>1030.1</v>
      </c>
      <c r="E5" s="6" t="n">
        <v>343.8</v>
      </c>
      <c r="F5" s="6" t="n">
        <v>438.6</v>
      </c>
      <c r="G5" s="6" t="n">
        <v>691</v>
      </c>
      <c r="H5" s="6" t="n">
        <v>638.5</v>
      </c>
      <c r="I5" s="6" t="n">
        <v>386.2</v>
      </c>
      <c r="J5" s="6" t="n">
        <v>354</v>
      </c>
      <c r="K5" s="6" t="n">
        <v>289.5</v>
      </c>
      <c r="L5" s="6" t="n">
        <v>238.2</v>
      </c>
      <c r="M5" s="6" t="n">
        <v>190.1</v>
      </c>
    </row>
    <row r="6">
      <c r="A6" s="6" t="inlineStr">
        <is>
          <t>Interest expense</t>
        </is>
      </c>
      <c r="B6" s="6" t="n">
        <v>-1830.7</v>
      </c>
      <c r="C6" s="6" t="n">
        <v>-1619.1</v>
      </c>
      <c r="D6" s="6" t="n">
        <v>-844.1</v>
      </c>
      <c r="E6" s="6" t="n">
        <v>-104.6</v>
      </c>
      <c r="F6" s="6" t="n">
        <v>-180.4</v>
      </c>
      <c r="G6" s="6" t="n">
        <v>-441</v>
      </c>
      <c r="H6" s="6" t="n">
        <v>-416</v>
      </c>
      <c r="I6" s="6" t="n">
        <v>-220</v>
      </c>
      <c r="J6" s="6" t="n">
        <v>-140.4</v>
      </c>
      <c r="K6" s="6" t="n">
        <v>-105.5</v>
      </c>
      <c r="L6" s="6" t="n">
        <v>-92.5</v>
      </c>
      <c r="M6" s="6" t="n">
        <v>-69.7</v>
      </c>
    </row>
    <row r="7">
      <c r="A7" s="5" t="inlineStr">
        <is>
          <t>Net interest income</t>
        </is>
      </c>
      <c r="B7" s="5" t="n">
        <v>375.1</v>
      </c>
      <c r="C7" s="5" t="n">
        <v>350.1</v>
      </c>
      <c r="D7" s="5" t="n">
        <v>186.1</v>
      </c>
      <c r="E7" s="5" t="n">
        <v>239.2</v>
      </c>
      <c r="F7" s="5" t="n">
        <v>258.2</v>
      </c>
      <c r="G7" s="5" t="n">
        <v>250.1</v>
      </c>
      <c r="H7" s="5" t="n">
        <v>222.5</v>
      </c>
      <c r="I7" s="5" t="n">
        <v>166.2</v>
      </c>
      <c r="J7" s="5" t="n">
        <v>213.6</v>
      </c>
      <c r="K7" s="5" t="n">
        <v>184</v>
      </c>
      <c r="L7" s="5" t="n">
        <v>145.7</v>
      </c>
      <c r="M7" s="5" t="n">
        <v>120.5</v>
      </c>
    </row>
    <row r="8">
      <c r="A8" s="6" t="inlineStr">
        <is>
          <t>Fees and commissions income</t>
        </is>
      </c>
      <c r="B8" s="6" t="n">
        <v>608.2</v>
      </c>
      <c r="C8" s="6" t="n">
        <v>462.6</v>
      </c>
      <c r="D8" s="6" t="n">
        <v>473.4</v>
      </c>
      <c r="E8" s="6" t="n">
        <v>380.8</v>
      </c>
      <c r="F8" s="6" t="n">
        <v>365.5</v>
      </c>
      <c r="G8" s="6" t="n">
        <v>348.8</v>
      </c>
      <c r="H8" s="6" t="n">
        <v>305.5</v>
      </c>
      <c r="I8" s="6" t="n">
        <v>278</v>
      </c>
      <c r="J8" s="6" t="n">
        <v>269.5</v>
      </c>
      <c r="K8" s="6" t="n">
        <v>224.1</v>
      </c>
      <c r="L8" s="6" t="n">
        <v>216.3</v>
      </c>
      <c r="M8" s="6" t="n">
        <v>190.6</v>
      </c>
    </row>
    <row r="9">
      <c r="A9" s="6" t="inlineStr">
        <is>
          <t>Fees and commissions expense</t>
        </is>
      </c>
      <c r="B9" s="6" t="n">
        <v>-58.5</v>
      </c>
      <c r="C9" s="6" t="n">
        <v>-20.6</v>
      </c>
      <c r="D9" s="6" t="n">
        <v>-34.5</v>
      </c>
      <c r="E9" s="6" t="n">
        <v>-36.3</v>
      </c>
      <c r="F9" s="6" t="n">
        <v>-34.9</v>
      </c>
      <c r="G9" s="6" t="n">
        <v>-56.7</v>
      </c>
      <c r="H9" s="6" t="n">
        <v>-41.8</v>
      </c>
      <c r="I9" s="6" t="n">
        <v>-25.1</v>
      </c>
      <c r="J9" s="6" t="n">
        <v>-34.1</v>
      </c>
      <c r="K9" s="6" t="n">
        <v>-17.7</v>
      </c>
      <c r="L9" s="6" t="n">
        <v>-12.9</v>
      </c>
      <c r="M9" s="6" t="n">
        <v>-19.7</v>
      </c>
    </row>
    <row r="10">
      <c r="A10" s="5" t="inlineStr">
        <is>
          <t>Net fee and commission income</t>
        </is>
      </c>
      <c r="B10" s="5" t="n">
        <v>549.7</v>
      </c>
      <c r="C10" s="5" t="n">
        <v>442</v>
      </c>
      <c r="D10" s="5" t="n">
        <v>438.8</v>
      </c>
      <c r="E10" s="5" t="n">
        <v>344.6</v>
      </c>
      <c r="F10" s="5" t="n">
        <v>330.6</v>
      </c>
      <c r="G10" s="5" t="n">
        <v>292.1</v>
      </c>
      <c r="H10" s="5" t="n">
        <v>263.7</v>
      </c>
      <c r="I10" s="5" t="n">
        <v>252.9</v>
      </c>
      <c r="J10" s="5" t="n">
        <v>235.4</v>
      </c>
      <c r="K10" s="5" t="n">
        <v>206.4</v>
      </c>
      <c r="L10" s="5" t="n">
        <v>203.4</v>
      </c>
      <c r="M10" s="5" t="n">
        <v>170.8</v>
      </c>
    </row>
    <row r="11">
      <c r="A11" s="6" t="inlineStr">
        <is>
          <t>Net trading income</t>
        </is>
      </c>
      <c r="B11" s="6" t="n">
        <v>221.5</v>
      </c>
      <c r="C11" s="6" t="n">
        <v>220.7</v>
      </c>
      <c r="D11" s="6" t="n">
        <v>217.4</v>
      </c>
      <c r="E11" s="6" t="n">
        <v>55.7</v>
      </c>
      <c r="F11" s="6" t="n">
        <v>48.7</v>
      </c>
      <c r="G11" s="6" t="n">
        <v>121.2</v>
      </c>
      <c r="H11" s="6" t="n">
        <v>147.9</v>
      </c>
      <c r="I11" s="6" t="n">
        <v>132.9</v>
      </c>
      <c r="J11" s="6" t="n">
        <v>43.6</v>
      </c>
      <c r="K11" s="6" t="n">
        <v>18.8</v>
      </c>
      <c r="L11" s="6" t="n">
        <v>-7.2</v>
      </c>
      <c r="M11" s="6" t="n">
        <v>17.7</v>
      </c>
    </row>
    <row r="12">
      <c r="A12" s="6" t="inlineStr">
        <is>
          <t>Net losses from disposal of financial assets at amortised cost</t>
        </is>
      </c>
      <c r="B12" s="6" t="n">
        <v>-65.5</v>
      </c>
      <c r="C12" s="6" t="n"/>
      <c r="D12" s="6" t="n"/>
      <c r="E12" s="6" t="n"/>
      <c r="F12" s="6" t="n"/>
      <c r="G12" s="6" t="n"/>
      <c r="H12" s="6" t="n"/>
      <c r="I12" s="6" t="n"/>
      <c r="J12" s="6" t="n"/>
      <c r="K12" s="6" t="n"/>
      <c r="L12" s="6" t="n"/>
      <c r="M12" s="6" t="n"/>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row>
    <row r="14">
      <c r="A14" s="5" t="inlineStr">
        <is>
          <t>Net operating expenses</t>
        </is>
      </c>
      <c r="B14" s="6" t="n"/>
      <c r="C14" s="6" t="n"/>
      <c r="D14" s="6" t="n"/>
      <c r="E14" s="6" t="n"/>
      <c r="F14" s="6" t="n"/>
      <c r="G14" s="6" t="n"/>
      <c r="H14" s="6" t="n"/>
      <c r="I14" s="6" t="n"/>
      <c r="J14" s="6" t="n"/>
      <c r="K14" s="6" t="n"/>
      <c r="L14" s="6" t="n"/>
      <c r="M14" s="6" t="n"/>
    </row>
    <row r="15">
      <c r="A15" s="6" t="inlineStr">
        <is>
          <t>Net impairment loss on financial assets</t>
        </is>
      </c>
      <c r="B15" s="6" t="n">
        <v>-22.2</v>
      </c>
      <c r="C15" s="6" t="n">
        <v>-21.6</v>
      </c>
      <c r="D15" s="6" t="n">
        <v>-39.6</v>
      </c>
      <c r="E15" s="6" t="n">
        <v>-70.40000000000001</v>
      </c>
      <c r="F15" s="6" t="n">
        <v>-6.5</v>
      </c>
      <c r="G15" s="6" t="n">
        <v>-157.6</v>
      </c>
      <c r="H15" s="6" t="n">
        <v>-10</v>
      </c>
      <c r="I15" s="6" t="n">
        <v>-27.6</v>
      </c>
      <c r="J15" s="6" t="n">
        <v>-27.3</v>
      </c>
      <c r="K15" s="6" t="n">
        <v>-48.3</v>
      </c>
      <c r="L15" s="6" t="n">
        <v>-22.4</v>
      </c>
      <c r="M15" s="6" t="n">
        <v>-7.4</v>
      </c>
    </row>
    <row r="16">
      <c r="A16" s="6" t="inlineStr">
        <is>
          <t>Personnel expenses</t>
        </is>
      </c>
      <c r="B16" s="6" t="n">
        <v>-398.3</v>
      </c>
      <c r="C16" s="6" t="n">
        <v>-337.5</v>
      </c>
      <c r="D16" s="6" t="n">
        <v>-309.9</v>
      </c>
      <c r="E16" s="6" t="n">
        <v>-282.9</v>
      </c>
      <c r="F16" s="6" t="n">
        <v>-257.1</v>
      </c>
      <c r="G16" s="6" t="n">
        <v>-212.9</v>
      </c>
      <c r="H16" s="6" t="n">
        <v>-213.4</v>
      </c>
      <c r="I16" s="6" t="n">
        <v>-199.6</v>
      </c>
      <c r="J16" s="6" t="n">
        <v>-192</v>
      </c>
      <c r="K16" s="6" t="n">
        <v>-171.7</v>
      </c>
      <c r="L16" s="6" t="n">
        <v>-151.4</v>
      </c>
      <c r="M16" s="6" t="n">
        <v>-139.4</v>
      </c>
    </row>
    <row r="17">
      <c r="A17" s="6" t="inlineStr">
        <is>
          <t>Depreciation and amortisation</t>
        </is>
      </c>
      <c r="B17" s="6" t="n">
        <v>-48.6</v>
      </c>
      <c r="C17" s="6" t="n">
        <v>-44.2</v>
      </c>
      <c r="D17" s="6" t="n">
        <v>-43.1</v>
      </c>
      <c r="E17" s="6" t="n">
        <v>-31.4</v>
      </c>
      <c r="F17" s="6" t="n">
        <v>-30.9</v>
      </c>
      <c r="G17" s="6" t="n">
        <v>-26.4</v>
      </c>
      <c r="H17" s="6" t="n">
        <v>-15.2</v>
      </c>
      <c r="I17" s="6" t="n">
        <v>-12.5</v>
      </c>
      <c r="J17" s="6" t="n">
        <v>-12.2</v>
      </c>
      <c r="K17" s="6" t="n">
        <v>-9</v>
      </c>
      <c r="L17" s="6" t="n">
        <v>-7.5</v>
      </c>
      <c r="M17" s="6" t="n">
        <v>-6.5</v>
      </c>
    </row>
    <row r="18">
      <c r="A18" s="6" t="inlineStr">
        <is>
          <t>Bank levy</t>
        </is>
      </c>
      <c r="B18" s="6" t="n"/>
      <c r="C18" s="6" t="n"/>
      <c r="D18" s="6" t="n"/>
      <c r="E18" s="6" t="n"/>
      <c r="F18" s="6" t="n">
        <v>-0.5</v>
      </c>
      <c r="G18" s="6" t="n">
        <v>-5.5</v>
      </c>
      <c r="H18" s="6" t="n"/>
      <c r="I18" s="6" t="n"/>
      <c r="J18" s="6" t="n"/>
      <c r="K18" s="6" t="n"/>
      <c r="L18" s="6" t="n"/>
      <c r="M18" s="6" t="n"/>
    </row>
    <row r="19">
      <c r="A19" s="6" t="inlineStr">
        <is>
          <t>Other expenses</t>
        </is>
      </c>
      <c r="B19" s="6" t="n">
        <v>-233.3</v>
      </c>
      <c r="C19" s="6" t="n">
        <v>-183.8</v>
      </c>
      <c r="D19" s="6" t="n">
        <v>-167.2</v>
      </c>
      <c r="E19" s="6" t="n">
        <v>-122.1</v>
      </c>
      <c r="F19" s="6" t="n">
        <v>-93.7</v>
      </c>
      <c r="G19" s="6" t="n">
        <v>-95</v>
      </c>
      <c r="H19" s="6" t="n">
        <v>-99.09999999999999</v>
      </c>
      <c r="I19" s="6" t="n">
        <v>-90.40000000000001</v>
      </c>
      <c r="J19" s="6" t="n">
        <v>-84.2</v>
      </c>
      <c r="K19" s="6" t="n">
        <v>-86.90000000000001</v>
      </c>
      <c r="L19" s="6" t="n">
        <v>-65.90000000000001</v>
      </c>
      <c r="M19" s="6" t="n">
        <v>-65.5</v>
      </c>
    </row>
    <row r="20">
      <c r="A20" s="5" t="inlineStr">
        <is>
          <t>Net operating expenses</t>
        </is>
      </c>
      <c r="B20" s="5" t="n">
        <v>-702.3</v>
      </c>
      <c r="C20" s="5" t="n">
        <v>-587.1</v>
      </c>
      <c r="D20" s="5" t="n">
        <v>-559.7</v>
      </c>
      <c r="E20" s="5" t="n">
        <v>-506.7</v>
      </c>
      <c r="F20" s="5" t="n">
        <v>-388.7</v>
      </c>
      <c r="G20" s="5" t="n">
        <v>-497.4</v>
      </c>
      <c r="H20" s="5" t="n">
        <v>-337.7</v>
      </c>
      <c r="I20" s="5" t="n">
        <v>-330</v>
      </c>
      <c r="J20" s="5" t="n">
        <v>-315.7</v>
      </c>
      <c r="K20" s="5" t="n">
        <v>-315.8</v>
      </c>
      <c r="L20" s="5" t="n">
        <v>-247.2</v>
      </c>
      <c r="M20" s="5" t="n">
        <v>-218.7</v>
      </c>
    </row>
    <row r="21">
      <c r="A21" s="6" t="inlineStr">
        <is>
          <t>Other income</t>
        </is>
      </c>
      <c r="B21" s="6" t="n"/>
      <c r="C21" s="6" t="n"/>
      <c r="D21" s="6" t="n"/>
      <c r="E21" s="6" t="n"/>
      <c r="F21" s="6" t="n">
        <v>3.7</v>
      </c>
      <c r="G21" s="6" t="n">
        <v>6.8</v>
      </c>
      <c r="H21" s="6" t="n"/>
      <c r="I21" s="6" t="n"/>
      <c r="J21" s="6" t="n"/>
      <c r="K21" s="6" t="n"/>
      <c r="L21" s="6" t="n"/>
      <c r="M21" s="6" t="n"/>
    </row>
    <row r="22">
      <c r="A22" s="5" t="inlineStr">
        <is>
          <t>Profit before income tax</t>
        </is>
      </c>
      <c r="B22" s="5" t="n">
        <v>378.6</v>
      </c>
      <c r="C22" s="5" t="n">
        <v>425.7</v>
      </c>
      <c r="D22" s="5" t="n">
        <v>282.6</v>
      </c>
      <c r="E22" s="5" t="n">
        <v>132.8</v>
      </c>
      <c r="F22" s="5" t="n">
        <v>252.5</v>
      </c>
      <c r="G22" s="5" t="n">
        <v>172.7</v>
      </c>
      <c r="H22" s="5" t="n">
        <v>296.4</v>
      </c>
      <c r="I22" s="5" t="n">
        <v>222</v>
      </c>
      <c r="J22" s="5" t="n">
        <v>176.8</v>
      </c>
      <c r="K22" s="5" t="n">
        <v>93.3</v>
      </c>
      <c r="L22" s="5" t="n">
        <v>94.7</v>
      </c>
      <c r="M22" s="5" t="n">
        <v>90.2</v>
      </c>
    </row>
    <row r="23">
      <c r="A23" s="6" t="inlineStr">
        <is>
          <t>Income tax charge</t>
        </is>
      </c>
      <c r="B23" s="6" t="n">
        <v>-104.9</v>
      </c>
      <c r="C23" s="6" t="n">
        <v>-102.8</v>
      </c>
      <c r="D23" s="6" t="n">
        <v>-73.2</v>
      </c>
      <c r="E23" s="6" t="n">
        <v>-35.9</v>
      </c>
      <c r="F23" s="6" t="n">
        <v>-69.90000000000001</v>
      </c>
      <c r="G23" s="6" t="n">
        <v>-52.5</v>
      </c>
      <c r="H23" s="6" t="n">
        <v>-86.2</v>
      </c>
      <c r="I23" s="6" t="n">
        <v>-62.7</v>
      </c>
      <c r="J23" s="6" t="n">
        <v>-55.9</v>
      </c>
      <c r="K23" s="6" t="n">
        <v>-27.5</v>
      </c>
      <c r="L23" s="6" t="n">
        <v>-23.6</v>
      </c>
      <c r="M23" s="6" t="n">
        <v>-25</v>
      </c>
    </row>
    <row r="24">
      <c r="A24" s="5" t="inlineStr">
        <is>
          <t>Profit for the year</t>
        </is>
      </c>
      <c r="B24" s="5" t="n">
        <v>273.7</v>
      </c>
      <c r="C24" s="5" t="n">
        <v>322.9</v>
      </c>
      <c r="D24" s="5" t="n">
        <v>209.3</v>
      </c>
      <c r="E24" s="5" t="n">
        <v>96.90000000000001</v>
      </c>
      <c r="F24" s="5" t="n">
        <v>182.6</v>
      </c>
      <c r="G24" s="5" t="n">
        <v>120.3</v>
      </c>
      <c r="H24" s="5" t="n">
        <v>210.1</v>
      </c>
      <c r="I24" s="5" t="n">
        <v>159.2</v>
      </c>
      <c r="J24" s="5" t="n">
        <v>121</v>
      </c>
      <c r="K24" s="5" t="n">
        <v>65.8</v>
      </c>
      <c r="L24" s="5" t="n">
        <v>71.09999999999999</v>
      </c>
      <c r="M24" s="5" t="n">
        <v>65.2</v>
      </c>
    </row>
    <row r="25">
      <c r="A25" s="6" t="inlineStr">
        <is>
          <t>Profit from continuing operations</t>
        </is>
      </c>
      <c r="B25" s="6" t="n">
        <v>259</v>
      </c>
      <c r="C25" s="6" t="n"/>
      <c r="D25" s="6" t="n"/>
      <c r="E25" s="6" t="n"/>
      <c r="F25" s="6" t="n"/>
      <c r="G25" s="6" t="n"/>
      <c r="H25" s="6" t="n"/>
      <c r="I25" s="6" t="n"/>
      <c r="J25" s="6" t="n"/>
      <c r="K25" s="6" t="n"/>
      <c r="L25" s="6" t="n"/>
      <c r="M25" s="6" t="n"/>
    </row>
    <row r="26">
      <c r="A26" s="6" t="inlineStr">
        <is>
          <t>Profit from discontinued operations</t>
        </is>
      </c>
      <c r="B26" s="6" t="n">
        <v>14.6</v>
      </c>
      <c r="C26" s="6" t="n"/>
      <c r="D26" s="6" t="n"/>
      <c r="E26" s="6" t="n"/>
      <c r="F26" s="6" t="n"/>
      <c r="G26" s="6" t="n"/>
      <c r="H26" s="6" t="n"/>
      <c r="I26" s="6" t="n"/>
      <c r="J26" s="6" t="n"/>
      <c r="K26" s="6" t="n"/>
      <c r="L26" s="6" t="n"/>
      <c r="M26" s="6" t="n"/>
    </row>
    <row r="27">
      <c r="A27" s="5" t="inlineStr">
        <is>
          <t>Other comprehensive income, net of tax</t>
        </is>
      </c>
      <c r="B27" s="6" t="n"/>
      <c r="C27" s="6" t="n"/>
      <c r="D27" s="6" t="n"/>
      <c r="E27" s="6" t="n"/>
      <c r="F27" s="6" t="n"/>
      <c r="G27" s="6" t="n"/>
      <c r="H27" s="6" t="n"/>
      <c r="I27" s="6" t="n"/>
      <c r="J27" s="6" t="n"/>
      <c r="K27" s="6" t="n"/>
      <c r="L27" s="6" t="n"/>
      <c r="M27" s="6" t="n"/>
    </row>
    <row r="28">
      <c r="A28" s="6" t="inlineStr">
        <is>
          <t>Actuarial gains/(losses) on defined benefit scheme</t>
        </is>
      </c>
      <c r="B28" s="6" t="n">
        <v>0.5</v>
      </c>
      <c r="C28" s="6" t="n">
        <v>-7.3</v>
      </c>
      <c r="D28" s="6" t="n">
        <v>-10.5</v>
      </c>
      <c r="E28" s="6" t="n">
        <v>14.7</v>
      </c>
      <c r="F28" s="6" t="n">
        <v>-20.8</v>
      </c>
      <c r="G28" s="6" t="n">
        <v>10.2</v>
      </c>
      <c r="H28" s="6" t="n">
        <v>-1.1</v>
      </c>
      <c r="I28" s="6" t="n">
        <v>1.6</v>
      </c>
      <c r="J28" s="6" t="n">
        <v>-2.9</v>
      </c>
      <c r="K28" s="6" t="n">
        <v>3.7</v>
      </c>
      <c r="L28" s="6" t="n">
        <v>2.8</v>
      </c>
      <c r="M28" s="6" t="n">
        <v>-6</v>
      </c>
    </row>
    <row r="29">
      <c r="A29" s="6" t="inlineStr">
        <is>
          <t>Movement in cash flow hedge reserve</t>
        </is>
      </c>
      <c r="B29" s="6" t="n">
        <v>-2.9</v>
      </c>
      <c r="C29" s="6" t="n">
        <v>-5.2</v>
      </c>
      <c r="D29" s="6" t="n">
        <v>2.9</v>
      </c>
      <c r="E29" s="6" t="n">
        <v>4.1</v>
      </c>
      <c r="F29" s="6" t="n">
        <v>-2.1</v>
      </c>
      <c r="G29" s="6" t="n">
        <v>3.1</v>
      </c>
      <c r="H29" s="6" t="n">
        <v>0</v>
      </c>
      <c r="I29" s="6" t="n">
        <v>-0.5</v>
      </c>
      <c r="J29" s="6" t="n">
        <v>-0.2</v>
      </c>
      <c r="K29" s="6" t="n">
        <v>0.8</v>
      </c>
      <c r="L29" s="6" t="n">
        <v>-1.1</v>
      </c>
      <c r="M29" s="6" t="n">
        <v>4.7</v>
      </c>
    </row>
    <row r="30">
      <c r="A30" s="6" t="inlineStr">
        <is>
          <t>Movement in fair value hedge reserve</t>
        </is>
      </c>
      <c r="B30" s="6" t="n">
        <v>0</v>
      </c>
      <c r="C30" s="6" t="n">
        <v>-0.1</v>
      </c>
      <c r="D30" s="6" t="n">
        <v>0.2</v>
      </c>
      <c r="E30" s="6" t="n">
        <v>0.1</v>
      </c>
      <c r="F30" s="6" t="n">
        <v>0.4</v>
      </c>
      <c r="G30" s="6" t="n">
        <v>-0.5</v>
      </c>
      <c r="H30" s="6" t="n">
        <v>-2</v>
      </c>
      <c r="I30" s="6" t="n">
        <v>1.3</v>
      </c>
      <c r="J30" s="6" t="n">
        <v>-0.2</v>
      </c>
      <c r="K30" s="6" t="n">
        <v>2</v>
      </c>
      <c r="L30" s="6" t="n">
        <v>0</v>
      </c>
      <c r="M30" s="6" t="n">
        <v>-0.6</v>
      </c>
    </row>
    <row r="31">
      <c r="A31" s="6" t="inlineStr">
        <is>
          <t>Effect of changes in tax rate</t>
        </is>
      </c>
      <c r="B31" s="6" t="n"/>
      <c r="C31" s="6" t="n"/>
      <c r="D31" s="6" t="n"/>
      <c r="E31" s="6" t="n">
        <v>-0.1</v>
      </c>
      <c r="F31" s="6" t="n"/>
      <c r="G31" s="6" t="n"/>
      <c r="H31" s="6" t="n"/>
      <c r="I31" s="6" t="n"/>
      <c r="J31" s="6" t="n"/>
      <c r="K31" s="6" t="n"/>
      <c r="L31" s="6" t="n"/>
      <c r="M31" s="6" t="n"/>
    </row>
    <row r="32">
      <c r="A32" s="5" t="inlineStr">
        <is>
          <t>Other comprehensive income, net of tax</t>
        </is>
      </c>
      <c r="B32" s="5" t="n">
        <v>-2.3</v>
      </c>
      <c r="C32" s="5" t="n">
        <v>-12.6</v>
      </c>
      <c r="D32" s="5" t="n">
        <v>-7.4</v>
      </c>
      <c r="E32" s="5" t="n">
        <v>18.9</v>
      </c>
      <c r="F32" s="5" t="n">
        <v>-22.5</v>
      </c>
      <c r="G32" s="5" t="n">
        <v>12.8</v>
      </c>
      <c r="H32" s="5" t="n">
        <v>-3.1</v>
      </c>
      <c r="I32" s="5" t="n">
        <v>2.5</v>
      </c>
      <c r="J32" s="5" t="n">
        <v>-3.4</v>
      </c>
      <c r="K32" s="5" t="n">
        <v>6.5</v>
      </c>
      <c r="L32" s="5" t="n">
        <v>1.7</v>
      </c>
      <c r="M32" s="5" t="n">
        <v>-1.9</v>
      </c>
    </row>
    <row r="33">
      <c r="A33" s="5" t="inlineStr">
        <is>
          <t>Total comprehensive income for the year</t>
        </is>
      </c>
      <c r="B33" s="5" t="n">
        <v>271.3</v>
      </c>
      <c r="C33" s="5" t="n">
        <v>310.3</v>
      </c>
      <c r="D33" s="5" t="n">
        <v>201.9</v>
      </c>
      <c r="E33" s="5" t="n">
        <v>115.7</v>
      </c>
      <c r="F33" s="5" t="n">
        <v>160.1</v>
      </c>
      <c r="G33" s="5" t="n">
        <v>133.1</v>
      </c>
      <c r="H33" s="5" t="n">
        <v>207.1</v>
      </c>
      <c r="I33" s="5" t="n">
        <v>161.7</v>
      </c>
      <c r="J33" s="5" t="n">
        <v>117.6</v>
      </c>
      <c r="K33" s="5" t="n">
        <v>72.3</v>
      </c>
      <c r="L33" s="5" t="n">
        <v>72.8</v>
      </c>
      <c r="M33" s="5" t="n">
        <v>63.3</v>
      </c>
    </row>
    <row r="35" ht="340" customHeight="1">
      <c r="A35" s="8" t="inlineStr">
        <is>
          <t>Sources - SMBC Bank International plc's own Statement of comprehensive income, converted from USD to £m (see FX conversion note below):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Each year's own report was used for its own column (not a restated comparative); every year's own figure was cross-checked against its appearance as the comparative column in the following year's report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(FY2014-2018):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M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2020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2013 (converted at 31 Mar 2013 spot rate)</t>
        </is>
      </c>
      <c r="B4" s="5" t="n">
        <v>1580.9</v>
      </c>
      <c r="C4" s="5" t="n">
        <v>86.59999999999999</v>
      </c>
      <c r="D4" s="5" t="n">
        <v>65.90000000000001</v>
      </c>
      <c r="E4" s="5" t="n">
        <v>-3.9</v>
      </c>
      <c r="F4" s="5" t="n">
        <v>-0.7</v>
      </c>
      <c r="G4" s="5" t="n">
        <v>1728.8</v>
      </c>
    </row>
    <row r="5">
      <c r="A5" s="6" t="inlineStr">
        <is>
          <t>Profit for the year</t>
        </is>
      </c>
      <c r="B5" s="6" t="n"/>
      <c r="C5" s="6" t="n">
        <v>65.2</v>
      </c>
      <c r="D5" s="6" t="n"/>
      <c r="E5" s="6" t="n"/>
      <c r="F5" s="6" t="n"/>
      <c r="G5" s="6" t="n">
        <v>65.2</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1</v>
      </c>
      <c r="F7" s="6" t="n"/>
      <c r="G7" s="6" t="n">
        <v>1</v>
      </c>
    </row>
    <row r="8">
      <c r="A8" s="6" t="inlineStr">
        <is>
          <t>Actuarial gain/(loss) on defined benefit scheme</t>
        </is>
      </c>
      <c r="B8" s="6" t="n"/>
      <c r="C8" s="6" t="n">
        <v>-6</v>
      </c>
      <c r="D8" s="6" t="n"/>
      <c r="E8" s="6" t="n"/>
      <c r="F8" s="6" t="n"/>
      <c r="G8" s="6" t="n">
        <v>-6</v>
      </c>
    </row>
    <row r="9">
      <c r="A9" s="6" t="inlineStr">
        <is>
          <t>Change in fair value of assets classified as FVOCI</t>
        </is>
      </c>
      <c r="B9" s="6" t="n"/>
      <c r="C9" s="6" t="n"/>
      <c r="D9" s="6" t="n"/>
      <c r="E9" s="6" t="n"/>
      <c r="F9" s="6" t="n">
        <v>0.3</v>
      </c>
      <c r="G9" s="6" t="n">
        <v>0.3</v>
      </c>
    </row>
    <row r="10">
      <c r="A10" s="6" t="inlineStr">
        <is>
          <t>Net gains/(losses) transferred to net profit on FVOCI</t>
        </is>
      </c>
      <c r="B10" s="6" t="n"/>
      <c r="C10" s="6" t="n"/>
      <c r="D10" s="6" t="n"/>
      <c r="E10" s="6" t="n"/>
      <c r="F10" s="6" t="n">
        <v>-0.9</v>
      </c>
      <c r="G10" s="6" t="n">
        <v>-0.9</v>
      </c>
    </row>
    <row r="11">
      <c r="A11" s="5" t="inlineStr">
        <is>
          <t>Total comprehensive income for the year</t>
        </is>
      </c>
      <c r="B11" s="5" t="n"/>
      <c r="C11" s="5" t="n">
        <v>59.3</v>
      </c>
      <c r="D11" s="5" t="n"/>
      <c r="E11" s="5" t="n">
        <v>4.7</v>
      </c>
      <c r="F11" s="5" t="n">
        <v>-0.6</v>
      </c>
      <c r="G11" s="5" t="n">
        <v>63.3</v>
      </c>
    </row>
    <row r="12">
      <c r="A12" s="6" t="inlineStr">
        <is>
          <t>Issue of new shares</t>
        </is>
      </c>
      <c r="B12" s="6" t="n">
        <v>501.1</v>
      </c>
      <c r="C12" s="6" t="n"/>
      <c r="D12" s="6" t="n"/>
      <c r="E12" s="6" t="n"/>
      <c r="F12" s="6" t="n"/>
      <c r="G12" s="6" t="n">
        <v>501.1</v>
      </c>
    </row>
    <row r="13">
      <c r="A13" s="6" t="inlineStr">
        <is>
          <t>Effect of GBP/USD translation (£ conversion artefact - see FX note)</t>
        </is>
      </c>
      <c r="B13" s="6" t="n"/>
      <c r="C13" s="6" t="n"/>
      <c r="D13" s="6" t="n"/>
      <c r="E13" s="6" t="n"/>
      <c r="F13" s="6" t="n"/>
      <c r="G13" s="6" t="n">
        <v>-178.6</v>
      </c>
    </row>
    <row r="14">
      <c r="A14" s="5" t="inlineStr">
        <is>
          <t>Balance at 31 March 2014</t>
        </is>
      </c>
      <c r="B14" s="5" t="n">
        <v>1919.3</v>
      </c>
      <c r="C14" s="5" t="n">
        <v>135.5</v>
      </c>
      <c r="D14" s="5" t="n">
        <v>60</v>
      </c>
      <c r="E14" s="5" t="n">
        <v>1</v>
      </c>
      <c r="F14" s="5" t="n">
        <v>-1.2</v>
      </c>
      <c r="G14" s="5" t="n">
        <v>2114.6</v>
      </c>
    </row>
    <row r="15">
      <c r="A15" s="6" t="inlineStr">
        <is>
          <t>Profit for the year</t>
        </is>
      </c>
      <c r="B15" s="6" t="n"/>
      <c r="C15" s="6" t="n">
        <v>71.09999999999999</v>
      </c>
      <c r="D15" s="6" t="n"/>
      <c r="E15" s="6" t="n"/>
      <c r="F15" s="6" t="n"/>
      <c r="G15" s="6" t="n">
        <v>71.09999999999999</v>
      </c>
    </row>
    <row r="16">
      <c r="A16" s="6" t="inlineStr">
        <is>
          <t>Effective portion of changes in fair value</t>
        </is>
      </c>
      <c r="B16" s="6" t="n"/>
      <c r="C16" s="6" t="n"/>
      <c r="D16" s="6" t="n"/>
      <c r="E16" s="6" t="n">
        <v>-0.1</v>
      </c>
      <c r="F16" s="6" t="n"/>
      <c r="G16" s="6" t="n">
        <v>-0.1</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2.8</v>
      </c>
      <c r="D18" s="6" t="n"/>
      <c r="E18" s="6" t="n"/>
      <c r="F18" s="6" t="n"/>
      <c r="G18" s="6" t="n">
        <v>2.8</v>
      </c>
    </row>
    <row r="19">
      <c r="A19" s="6" t="inlineStr">
        <is>
          <t>Change in fair value of assets classified as FVOCI</t>
        </is>
      </c>
      <c r="B19" s="6" t="n"/>
      <c r="C19" s="6" t="n"/>
      <c r="D19" s="6" t="n"/>
      <c r="E19" s="6" t="n"/>
      <c r="F19" s="6" t="n">
        <v>-0.1</v>
      </c>
      <c r="G19" s="6" t="n">
        <v>-0.1</v>
      </c>
    </row>
    <row r="20">
      <c r="A20" s="6" t="inlineStr">
        <is>
          <t>Net gains/(losses) transferred to net profit on FVOCI</t>
        </is>
      </c>
      <c r="B20" s="6" t="n"/>
      <c r="C20" s="6" t="n"/>
      <c r="D20" s="6" t="n"/>
      <c r="E20" s="6" t="n"/>
      <c r="F20" s="6" t="n">
        <v>0.1</v>
      </c>
      <c r="G20" s="6" t="n">
        <v>0.1</v>
      </c>
    </row>
    <row r="21">
      <c r="A21" s="5" t="inlineStr">
        <is>
          <t>Total comprehensive income for the year</t>
        </is>
      </c>
      <c r="B21" s="5" t="n"/>
      <c r="C21" s="5" t="n">
        <v>73.90000000000001</v>
      </c>
      <c r="D21" s="5" t="n"/>
      <c r="E21" s="5" t="n">
        <v>-1.1</v>
      </c>
      <c r="F21" s="5" t="n">
        <v>0</v>
      </c>
      <c r="G21" s="5" t="n">
        <v>72.8</v>
      </c>
    </row>
    <row r="22">
      <c r="A22" s="6" t="inlineStr">
        <is>
          <t>Effect of GBP/USD translation (£ conversion artefact - see FX note)</t>
        </is>
      </c>
      <c r="B22" s="6" t="n"/>
      <c r="C22" s="6" t="n"/>
      <c r="D22" s="6" t="n"/>
      <c r="E22" s="6" t="n"/>
      <c r="F22" s="6" t="n"/>
      <c r="G22" s="6" t="n">
        <v>266.1</v>
      </c>
    </row>
    <row r="23">
      <c r="A23" s="5" t="inlineStr">
        <is>
          <t>Balance at 31 March 2015</t>
        </is>
      </c>
      <c r="B23" s="5" t="n">
        <v>2155.3</v>
      </c>
      <c r="C23" s="5" t="n">
        <v>232.3</v>
      </c>
      <c r="D23" s="5" t="n">
        <v>67.40000000000001</v>
      </c>
      <c r="E23" s="5" t="n">
        <v>-0.1</v>
      </c>
      <c r="F23" s="5" t="n">
        <v>-1.3</v>
      </c>
      <c r="G23" s="5" t="n">
        <v>2453.5</v>
      </c>
    </row>
    <row r="24">
      <c r="A24" s="6" t="inlineStr">
        <is>
          <t>Profit for the year</t>
        </is>
      </c>
      <c r="B24" s="6" t="n"/>
      <c r="C24" s="6" t="n">
        <v>65.8</v>
      </c>
      <c r="D24" s="6" t="n"/>
      <c r="E24" s="6" t="n"/>
      <c r="F24" s="6" t="n"/>
      <c r="G24" s="6" t="n">
        <v>65.8</v>
      </c>
    </row>
    <row r="25">
      <c r="A25" s="6" t="inlineStr">
        <is>
          <t>Effective portion of changes in fair value</t>
        </is>
      </c>
      <c r="B25" s="6" t="n"/>
      <c r="C25" s="6" t="n"/>
      <c r="D25" s="6" t="n"/>
      <c r="E25" s="6" t="n">
        <v>0.1</v>
      </c>
      <c r="F25" s="6" t="n"/>
      <c r="G25" s="6" t="n">
        <v>0.1</v>
      </c>
    </row>
    <row r="26">
      <c r="A26" s="6" t="inlineStr">
        <is>
          <t>Net gains/(losses) transferred to net profit</t>
        </is>
      </c>
      <c r="B26" s="6" t="n"/>
      <c r="C26" s="6" t="n"/>
      <c r="D26" s="6" t="n"/>
      <c r="E26" s="6" t="n">
        <v>0.7</v>
      </c>
      <c r="F26" s="6" t="n"/>
      <c r="G26" s="6" t="n">
        <v>0.7</v>
      </c>
    </row>
    <row r="27">
      <c r="A27" s="6" t="inlineStr">
        <is>
          <t>Actuarial gain/(loss) on defined benefit scheme</t>
        </is>
      </c>
      <c r="B27" s="6" t="n"/>
      <c r="C27" s="6" t="n">
        <v>3.7</v>
      </c>
      <c r="D27" s="6" t="n"/>
      <c r="E27" s="6" t="n"/>
      <c r="F27" s="6" t="n"/>
      <c r="G27" s="6" t="n">
        <v>3.7</v>
      </c>
    </row>
    <row r="28">
      <c r="A28" s="6" t="inlineStr">
        <is>
          <t>Change in fair value of assets classified as FVOCI</t>
        </is>
      </c>
      <c r="B28" s="6" t="n"/>
      <c r="C28" s="6" t="n"/>
      <c r="D28" s="6" t="n"/>
      <c r="E28" s="6" t="n"/>
      <c r="F28" s="6" t="n">
        <v>1.6</v>
      </c>
      <c r="G28" s="6" t="n">
        <v>1.6</v>
      </c>
    </row>
    <row r="29">
      <c r="A29" s="6" t="inlineStr">
        <is>
          <t>Net gains/(losses) transferred to net profit on FVOCI</t>
        </is>
      </c>
      <c r="B29" s="6" t="n"/>
      <c r="C29" s="6" t="n"/>
      <c r="D29" s="6" t="n"/>
      <c r="E29" s="6" t="n"/>
      <c r="F29" s="6" t="n">
        <v>0.4</v>
      </c>
      <c r="G29" s="6" t="n">
        <v>0.4</v>
      </c>
    </row>
    <row r="30">
      <c r="A30" s="5" t="inlineStr">
        <is>
          <t>Total comprehensive income for the year</t>
        </is>
      </c>
      <c r="B30" s="5" t="n"/>
      <c r="C30" s="5" t="n">
        <v>69.5</v>
      </c>
      <c r="D30" s="5" t="n"/>
      <c r="E30" s="5" t="n">
        <v>0.8</v>
      </c>
      <c r="F30" s="5" t="n">
        <v>2</v>
      </c>
      <c r="G30" s="5" t="n">
        <v>72.3</v>
      </c>
    </row>
    <row r="31">
      <c r="A31" s="6" t="inlineStr">
        <is>
          <t>Effect of GBP/USD translation (£ conversion artefact - see FX note)</t>
        </is>
      </c>
      <c r="B31" s="6" t="n"/>
      <c r="C31" s="6" t="n"/>
      <c r="D31" s="6" t="n"/>
      <c r="E31" s="6" t="n"/>
      <c r="F31" s="6" t="n"/>
      <c r="G31" s="6" t="n">
        <v>83.3</v>
      </c>
    </row>
    <row r="32">
      <c r="A32" s="5" t="inlineStr">
        <is>
          <t>Balance at 31 March 2016</t>
        </is>
      </c>
      <c r="B32" s="5" t="n">
        <v>2225.6</v>
      </c>
      <c r="C32" s="5" t="n">
        <v>312.5</v>
      </c>
      <c r="D32" s="5" t="n">
        <v>69.59999999999999</v>
      </c>
      <c r="E32" s="5" t="n">
        <v>0.7</v>
      </c>
      <c r="F32" s="5" t="n">
        <v>0.7</v>
      </c>
      <c r="G32" s="5" t="n">
        <v>2609.1</v>
      </c>
    </row>
    <row r="33">
      <c r="A33" s="6" t="inlineStr">
        <is>
          <t>Effective portion of changes in fair value</t>
        </is>
      </c>
      <c r="B33" s="6" t="n"/>
      <c r="C33" s="6" t="n"/>
      <c r="D33" s="6" t="n"/>
      <c r="E33" s="6" t="n">
        <v>0.5</v>
      </c>
      <c r="F33" s="6" t="n"/>
      <c r="G33" s="6" t="n">
        <v>0.5</v>
      </c>
    </row>
    <row r="34">
      <c r="A34" s="6" t="inlineStr">
        <is>
          <t>Net gains/(losses) transferred to net profit</t>
        </is>
      </c>
      <c r="B34" s="6" t="n"/>
      <c r="C34" s="6" t="n"/>
      <c r="D34" s="6" t="n"/>
      <c r="E34" s="6" t="n">
        <v>-0.8</v>
      </c>
      <c r="F34" s="6" t="n"/>
      <c r="G34" s="6" t="n">
        <v>-0.8</v>
      </c>
    </row>
    <row r="35">
      <c r="A35" s="6" t="inlineStr">
        <is>
          <t>Profit for the year</t>
        </is>
      </c>
      <c r="B35" s="6" t="n"/>
      <c r="C35" s="6" t="n">
        <v>121</v>
      </c>
      <c r="D35" s="6" t="n"/>
      <c r="E35" s="6" t="n"/>
      <c r="F35" s="6" t="n"/>
      <c r="G35" s="6" t="n">
        <v>121</v>
      </c>
    </row>
    <row r="36">
      <c r="A36" s="6" t="inlineStr">
        <is>
          <t>Actuarial gain/(loss) on defined benefit scheme</t>
        </is>
      </c>
      <c r="B36" s="6" t="n"/>
      <c r="C36" s="6" t="n">
        <v>-2.9</v>
      </c>
      <c r="D36" s="6" t="n"/>
      <c r="E36" s="6" t="n"/>
      <c r="F36" s="6" t="n"/>
      <c r="G36" s="6" t="n">
        <v>-2.9</v>
      </c>
    </row>
    <row r="37">
      <c r="A37" s="6" t="inlineStr">
        <is>
          <t>Change in fair value of assets classified as FVOCI</t>
        </is>
      </c>
      <c r="B37" s="6" t="n"/>
      <c r="C37" s="6" t="n"/>
      <c r="D37" s="6" t="n"/>
      <c r="E37" s="6" t="n"/>
      <c r="F37" s="6" t="n">
        <v>-0.2</v>
      </c>
      <c r="G37" s="6" t="n">
        <v>-0.2</v>
      </c>
    </row>
    <row r="38">
      <c r="A38" s="5" t="inlineStr">
        <is>
          <t>Total comprehensive income for the year</t>
        </is>
      </c>
      <c r="B38" s="5" t="n"/>
      <c r="C38" s="5" t="n">
        <v>118</v>
      </c>
      <c r="D38" s="5" t="n"/>
      <c r="E38" s="5" t="n">
        <v>-0.2</v>
      </c>
      <c r="F38" s="5" t="n">
        <v>-0.2</v>
      </c>
      <c r="G38" s="5" t="n">
        <v>117.6</v>
      </c>
    </row>
    <row r="39">
      <c r="A39" s="6" t="inlineStr">
        <is>
          <t>Effect of GBP/USD translation (£ conversion artefact - see FX note)</t>
        </is>
      </c>
      <c r="B39" s="6" t="n"/>
      <c r="C39" s="6" t="n"/>
      <c r="D39" s="6" t="n"/>
      <c r="E39" s="6" t="n"/>
      <c r="F39" s="6" t="n"/>
      <c r="G39" s="6" t="n">
        <v>395.3</v>
      </c>
    </row>
    <row r="40">
      <c r="A40" s="5" t="inlineStr">
        <is>
          <t>Balance at 31 March 2017</t>
        </is>
      </c>
      <c r="B40" s="5" t="n">
        <v>2558.6</v>
      </c>
      <c r="C40" s="5" t="n">
        <v>482.4</v>
      </c>
      <c r="D40" s="5" t="n">
        <v>80</v>
      </c>
      <c r="E40" s="5" t="n">
        <v>0.6</v>
      </c>
      <c r="F40" s="5" t="n">
        <v>0.6</v>
      </c>
      <c r="G40" s="5" t="n">
        <v>3122</v>
      </c>
    </row>
    <row r="41">
      <c r="A41" s="6" t="inlineStr">
        <is>
          <t>Profit for the year</t>
        </is>
      </c>
      <c r="B41" s="6" t="n"/>
      <c r="C41" s="6" t="n">
        <v>159.2</v>
      </c>
      <c r="D41" s="6" t="n"/>
      <c r="E41" s="6" t="n"/>
      <c r="F41" s="6" t="n"/>
      <c r="G41" s="6" t="n">
        <v>159.2</v>
      </c>
    </row>
    <row r="42">
      <c r="A42" s="6" t="inlineStr">
        <is>
          <t>Net gains/(losses) transferred to net profit</t>
        </is>
      </c>
      <c r="B42" s="6" t="n"/>
      <c r="C42" s="6" t="n"/>
      <c r="D42" s="6" t="n"/>
      <c r="E42" s="6" t="n">
        <v>-0.5</v>
      </c>
      <c r="F42" s="6" t="n"/>
      <c r="G42" s="6" t="n">
        <v>-0.5</v>
      </c>
    </row>
    <row r="43">
      <c r="A43" s="6" t="inlineStr">
        <is>
          <t>Actuarial gain/(loss) on defined benefit scheme</t>
        </is>
      </c>
      <c r="B43" s="6" t="n"/>
      <c r="C43" s="6" t="n">
        <v>1.6</v>
      </c>
      <c r="D43" s="6" t="n"/>
      <c r="E43" s="6" t="n"/>
      <c r="F43" s="6" t="n"/>
      <c r="G43" s="6" t="n">
        <v>1.6</v>
      </c>
    </row>
    <row r="44">
      <c r="A44" s="6" t="inlineStr">
        <is>
          <t>Change in fair value of assets classified as FVOCI</t>
        </is>
      </c>
      <c r="B44" s="6" t="n"/>
      <c r="C44" s="6" t="n"/>
      <c r="D44" s="6" t="n"/>
      <c r="E44" s="6" t="n"/>
      <c r="F44" s="6" t="n">
        <v>0.9</v>
      </c>
      <c r="G44" s="6" t="n">
        <v>0.9</v>
      </c>
    </row>
    <row r="45">
      <c r="A45" s="6" t="inlineStr">
        <is>
          <t>Net gains/(losses) transferred to net profit on FVOCI</t>
        </is>
      </c>
      <c r="B45" s="6" t="n"/>
      <c r="C45" s="6" t="n"/>
      <c r="D45" s="6" t="n"/>
      <c r="E45" s="6" t="n"/>
      <c r="F45" s="6" t="n">
        <v>0.4</v>
      </c>
      <c r="G45" s="6" t="n">
        <v>0.4</v>
      </c>
    </row>
    <row r="46">
      <c r="A46" s="5" t="inlineStr">
        <is>
          <t>Total comprehensive income for the year</t>
        </is>
      </c>
      <c r="B46" s="5" t="n"/>
      <c r="C46" s="5" t="n">
        <v>160.9</v>
      </c>
      <c r="D46" s="5" t="n"/>
      <c r="E46" s="5" t="n">
        <v>-0.5</v>
      </c>
      <c r="F46" s="5" t="n">
        <v>1.3</v>
      </c>
      <c r="G46" s="5" t="n">
        <v>161.7</v>
      </c>
    </row>
    <row r="47">
      <c r="A47" s="6" t="inlineStr">
        <is>
          <t>Effect of GBP/USD translation (£ conversion artefact - see FX note)</t>
        </is>
      </c>
      <c r="B47" s="6" t="n"/>
      <c r="C47" s="6" t="n"/>
      <c r="D47" s="6" t="n"/>
      <c r="E47" s="6" t="n"/>
      <c r="F47" s="6" t="n"/>
      <c r="G47" s="6" t="n">
        <v>-346.9</v>
      </c>
    </row>
    <row r="48">
      <c r="A48" s="5" t="inlineStr">
        <is>
          <t>Balance at 31 March 2018</t>
        </is>
      </c>
      <c r="B48" s="5" t="n">
        <v>2280.3</v>
      </c>
      <c r="C48" s="5" t="n">
        <v>583.4</v>
      </c>
      <c r="D48" s="5" t="n">
        <v>71.3</v>
      </c>
      <c r="E48" s="5" t="n">
        <v>0</v>
      </c>
      <c r="F48" s="5" t="n">
        <v>1.8</v>
      </c>
      <c r="G48" s="5" t="n">
        <v>2936.8</v>
      </c>
    </row>
    <row r="49">
      <c r="A49" s="6" t="inlineStr">
        <is>
          <t>Effect of changes in accounting policy (IFRS 9), net of tax</t>
        </is>
      </c>
      <c r="B49" s="6" t="n"/>
      <c r="C49" s="6" t="n">
        <v>11.9</v>
      </c>
      <c r="D49" s="6" t="n"/>
      <c r="E49" s="6" t="n"/>
      <c r="F49" s="6" t="n">
        <v>0</v>
      </c>
      <c r="G49" s="6" t="n">
        <v>11.9</v>
      </c>
    </row>
    <row r="50">
      <c r="A50" s="5" t="inlineStr">
        <is>
          <t>Balance at 1 April 2018 (restated)</t>
        </is>
      </c>
      <c r="B50" s="5" t="n">
        <v>2280.3</v>
      </c>
      <c r="C50" s="5" t="n">
        <v>594.5</v>
      </c>
      <c r="D50" s="5" t="n">
        <v>71.3</v>
      </c>
      <c r="E50" s="5" t="n">
        <v>0</v>
      </c>
      <c r="F50" s="5" t="n">
        <v>1.8</v>
      </c>
      <c r="G50" s="5" t="n">
        <v>2947.9</v>
      </c>
    </row>
    <row r="51">
      <c r="A51" s="6" t="inlineStr">
        <is>
          <t>Profit for the year</t>
        </is>
      </c>
      <c r="B51" s="6" t="n"/>
      <c r="C51" s="6" t="n">
        <v>210.1</v>
      </c>
      <c r="D51" s="6" t="n"/>
      <c r="E51" s="6" t="n"/>
      <c r="F51" s="6" t="n"/>
      <c r="G51" s="6" t="n">
        <v>210.1</v>
      </c>
    </row>
    <row r="52">
      <c r="A52" s="6" t="inlineStr">
        <is>
          <t>Actuarial gain/(loss) on defined benefit scheme</t>
        </is>
      </c>
      <c r="B52" s="6" t="n"/>
      <c r="C52" s="6" t="n">
        <v>-1.1</v>
      </c>
      <c r="D52" s="6" t="n"/>
      <c r="E52" s="6" t="n"/>
      <c r="F52" s="6" t="n"/>
      <c r="G52" s="6" t="n">
        <v>-1.1</v>
      </c>
    </row>
    <row r="53">
      <c r="A53" s="6" t="inlineStr">
        <is>
          <t>Net gains/(losses) transferred to net profit on FVOCI</t>
        </is>
      </c>
      <c r="B53" s="6" t="n"/>
      <c r="C53" s="6" t="n"/>
      <c r="D53" s="6" t="n"/>
      <c r="E53" s="6" t="n"/>
      <c r="F53" s="6" t="n">
        <v>-2</v>
      </c>
      <c r="G53" s="6" t="n">
        <v>-2</v>
      </c>
    </row>
    <row r="54">
      <c r="A54" s="5" t="inlineStr">
        <is>
          <t>Total comprehensive income for the year</t>
        </is>
      </c>
      <c r="B54" s="5" t="n"/>
      <c r="C54" s="5" t="n">
        <v>209.1</v>
      </c>
      <c r="D54" s="5" t="n"/>
      <c r="E54" s="5" t="n">
        <v>0</v>
      </c>
      <c r="F54" s="5" t="n">
        <v>-2</v>
      </c>
      <c r="G54" s="5" t="n">
        <v>207.1</v>
      </c>
    </row>
    <row r="55">
      <c r="A55" s="6" t="inlineStr">
        <is>
          <t>Effect of GBP/USD translation (£ conversion artefact - see FX note)</t>
        </is>
      </c>
      <c r="B55" s="6" t="n"/>
      <c r="C55" s="6" t="n"/>
      <c r="D55" s="6" t="n"/>
      <c r="E55" s="6" t="n"/>
      <c r="F55" s="6" t="n"/>
      <c r="G55" s="6" t="n">
        <v>228</v>
      </c>
    </row>
    <row r="56">
      <c r="A56" s="5" t="inlineStr">
        <is>
          <t>Balance at 31 March 2019</t>
        </is>
      </c>
      <c r="B56" s="5" t="n">
        <v>2455.9</v>
      </c>
      <c r="C56" s="5" t="n">
        <v>850.5</v>
      </c>
      <c r="D56" s="5" t="n">
        <v>76.7</v>
      </c>
      <c r="E56" s="5" t="n">
        <v>0</v>
      </c>
      <c r="F56" s="5" t="n">
        <v>-0.1</v>
      </c>
      <c r="G56" s="5" t="n">
        <v>3383</v>
      </c>
    </row>
    <row r="57">
      <c r="A57" s="6" t="inlineStr">
        <is>
          <t>Profit for the year</t>
        </is>
      </c>
      <c r="B57" s="6" t="n"/>
      <c r="C57" s="6" t="n">
        <v>120.3</v>
      </c>
      <c r="D57" s="6" t="n"/>
      <c r="E57" s="6" t="n"/>
      <c r="F57" s="6" t="n"/>
      <c r="G57" s="6" t="n">
        <v>120.3</v>
      </c>
    </row>
    <row r="58">
      <c r="A58" s="6" t="inlineStr">
        <is>
          <t>Actuarial gain/(loss) on defined benefit scheme</t>
        </is>
      </c>
      <c r="B58" s="6" t="n"/>
      <c r="C58" s="6" t="n">
        <v>10.2</v>
      </c>
      <c r="D58" s="6" t="n"/>
      <c r="E58" s="6" t="n"/>
      <c r="F58" s="6" t="n"/>
      <c r="G58" s="6" t="n">
        <v>10.2</v>
      </c>
    </row>
    <row r="59">
      <c r="A59" s="6" t="inlineStr">
        <is>
          <t>Effective portion of changes in fair value (cash flow hedges)</t>
        </is>
      </c>
      <c r="B59" s="6" t="n"/>
      <c r="C59" s="6" t="n"/>
      <c r="D59" s="6" t="n"/>
      <c r="E59" s="6" t="n">
        <v>3.1</v>
      </c>
      <c r="F59" s="6" t="n"/>
      <c r="G59" s="6" t="n">
        <v>3.1</v>
      </c>
    </row>
    <row r="60">
      <c r="A60" s="6" t="inlineStr">
        <is>
          <t>Fair value through other comprehensive income</t>
        </is>
      </c>
      <c r="B60" s="6" t="n"/>
      <c r="C60" s="6" t="n"/>
      <c r="D60" s="6" t="n"/>
      <c r="E60" s="6" t="n"/>
      <c r="F60" s="6" t="n">
        <v>-0.5</v>
      </c>
      <c r="G60" s="6" t="n">
        <v>-0.5</v>
      </c>
    </row>
    <row r="61">
      <c r="A61" s="5" t="inlineStr">
        <is>
          <t>Total comprehensive income for the year</t>
        </is>
      </c>
      <c r="B61" s="5" t="n"/>
      <c r="C61" s="5" t="n">
        <v>130.5</v>
      </c>
      <c r="D61" s="5" t="n"/>
      <c r="E61" s="5" t="n">
        <v>3.1</v>
      </c>
      <c r="F61" s="5" t="n">
        <v>-0.5</v>
      </c>
      <c r="G61" s="5" t="n">
        <v>133.1</v>
      </c>
    </row>
    <row r="62">
      <c r="A62" s="6" t="inlineStr">
        <is>
          <t>Effect of GBP/USD translation (£ conversion artefact - see FX note)</t>
        </is>
      </c>
      <c r="B62" s="6" t="n"/>
      <c r="C62" s="6" t="n"/>
      <c r="D62" s="6" t="n"/>
      <c r="E62" s="6" t="n"/>
      <c r="F62" s="6" t="n"/>
      <c r="G62" s="6" t="n">
        <v>174.4</v>
      </c>
    </row>
    <row r="63">
      <c r="A63" s="5" t="inlineStr">
        <is>
          <t>Balance at 1 April 2020 (converted at 31 Mar 2020 spot rate)</t>
        </is>
      </c>
      <c r="B63" s="5" t="n">
        <v>2580</v>
      </c>
      <c r="C63" s="5" t="n">
        <v>1027.3</v>
      </c>
      <c r="D63" s="5" t="n">
        <v>80.59999999999999</v>
      </c>
      <c r="E63" s="5" t="n">
        <v>3.1</v>
      </c>
      <c r="F63" s="5" t="n">
        <v>-0.6</v>
      </c>
      <c r="G63" s="5" t="n">
        <v>3690.5</v>
      </c>
    </row>
    <row r="64">
      <c r="A64" s="6" t="inlineStr">
        <is>
          <t>Profit for the year</t>
        </is>
      </c>
      <c r="B64" s="6" t="n"/>
      <c r="C64" s="6" t="n">
        <v>182.6</v>
      </c>
      <c r="D64" s="6" t="n"/>
      <c r="E64" s="6" t="n"/>
      <c r="F64" s="6" t="n"/>
      <c r="G64" s="6" t="n">
        <v>182.6</v>
      </c>
    </row>
    <row r="65">
      <c r="A65" s="6" t="inlineStr">
        <is>
          <t>Net gains/(losses) transferred to net profit</t>
        </is>
      </c>
      <c r="B65" s="6" t="n"/>
      <c r="C65" s="6" t="n"/>
      <c r="D65" s="6" t="n"/>
      <c r="E65" s="6" t="n">
        <v>-3</v>
      </c>
      <c r="F65" s="6" t="n"/>
      <c r="G65" s="6" t="n">
        <v>-3</v>
      </c>
    </row>
    <row r="66">
      <c r="A66" s="6" t="inlineStr">
        <is>
          <t>Actuarial gain/(loss) on defined benefit scheme</t>
        </is>
      </c>
      <c r="B66" s="6" t="n"/>
      <c r="C66" s="6" t="n">
        <v>-20.8</v>
      </c>
      <c r="D66" s="6" t="n"/>
      <c r="E66" s="6" t="n"/>
      <c r="F66" s="6" t="n"/>
      <c r="G66" s="6" t="n">
        <v>-20.8</v>
      </c>
    </row>
    <row r="67">
      <c r="A67" s="6" t="inlineStr">
        <is>
          <t>Change in fair value of assets classified as FVOCI</t>
        </is>
      </c>
      <c r="B67" s="6" t="n"/>
      <c r="C67" s="6" t="n"/>
      <c r="D67" s="6" t="n"/>
      <c r="E67" s="6" t="n"/>
      <c r="F67" s="6" t="n">
        <v>0.4</v>
      </c>
      <c r="G67" s="6" t="n">
        <v>0.4</v>
      </c>
    </row>
    <row r="68">
      <c r="A68" s="6" t="inlineStr">
        <is>
          <t>Effective portion of changes in fair value</t>
        </is>
      </c>
      <c r="B68" s="6" t="n"/>
      <c r="C68" s="6" t="n"/>
      <c r="D68" s="6" t="n"/>
      <c r="E68" s="6" t="n">
        <v>0.8</v>
      </c>
      <c r="F68" s="6" t="n"/>
      <c r="G68" s="6" t="n">
        <v>0.8</v>
      </c>
    </row>
    <row r="69">
      <c r="A69" s="5" t="inlineStr">
        <is>
          <t>Total comprehensive income for the year</t>
        </is>
      </c>
      <c r="B69" s="5" t="n"/>
      <c r="C69" s="5" t="n">
        <v>161.8</v>
      </c>
      <c r="D69" s="5" t="n"/>
      <c r="E69" s="5" t="n">
        <v>-2.2</v>
      </c>
      <c r="F69" s="5" t="n">
        <v>0.4</v>
      </c>
      <c r="G69" s="5" t="n">
        <v>160.1</v>
      </c>
    </row>
    <row r="70">
      <c r="A70" s="6" t="inlineStr">
        <is>
          <t>Issue of new shares</t>
        </is>
      </c>
      <c r="B70" s="6" t="n">
        <v>0.1</v>
      </c>
      <c r="C70" s="6" t="n"/>
      <c r="D70" s="6" t="n"/>
      <c r="E70" s="6" t="n"/>
      <c r="F70" s="6" t="n"/>
      <c r="G70" s="6" t="n">
        <v>0.1</v>
      </c>
    </row>
    <row r="71">
      <c r="A71" s="6" t="inlineStr">
        <is>
          <t>Effect of GBP/USD translation (£ conversion artefact - see FX note)</t>
        </is>
      </c>
      <c r="B71" s="6" t="n"/>
      <c r="C71" s="6" t="n"/>
      <c r="D71" s="6" t="n"/>
      <c r="E71" s="6" t="n"/>
      <c r="F71" s="6" t="n"/>
      <c r="G71" s="6" t="n">
        <v>-379.7</v>
      </c>
    </row>
    <row r="72">
      <c r="A72" s="5" t="inlineStr">
        <is>
          <t>Balance at 31 March 2021</t>
        </is>
      </c>
      <c r="B72" s="5" t="n">
        <v>2319.6</v>
      </c>
      <c r="C72" s="5" t="n">
        <v>1078.3</v>
      </c>
      <c r="D72" s="5" t="n">
        <v>72.5</v>
      </c>
      <c r="E72" s="5" t="n">
        <v>0.8</v>
      </c>
      <c r="F72" s="5" t="n">
        <v>-0.1</v>
      </c>
      <c r="G72" s="5" t="n">
        <v>3471</v>
      </c>
    </row>
    <row r="73">
      <c r="A73" s="6" t="inlineStr">
        <is>
          <t>Profit for the year</t>
        </is>
      </c>
      <c r="B73" s="6" t="n"/>
      <c r="C73" s="6" t="n">
        <v>96.90000000000001</v>
      </c>
      <c r="D73" s="6" t="n"/>
      <c r="E73" s="6" t="n"/>
      <c r="F73" s="6" t="n"/>
      <c r="G73" s="6" t="n">
        <v>96.90000000000001</v>
      </c>
    </row>
    <row r="74">
      <c r="A74" s="6" t="inlineStr">
        <is>
          <t>Net gains/(losses) transferred to net profit</t>
        </is>
      </c>
      <c r="B74" s="6" t="n"/>
      <c r="C74" s="6" t="n"/>
      <c r="D74" s="6" t="n"/>
      <c r="E74" s="6" t="n">
        <v>-0.8</v>
      </c>
      <c r="F74" s="6" t="n"/>
      <c r="G74" s="6" t="n">
        <v>-0.8</v>
      </c>
    </row>
    <row r="75">
      <c r="A75" s="6" t="inlineStr">
        <is>
          <t>Actuarial gain/(loss) on defined benefit scheme</t>
        </is>
      </c>
      <c r="B75" s="6" t="n"/>
      <c r="C75" s="6" t="n">
        <v>14.7</v>
      </c>
      <c r="D75" s="6" t="n"/>
      <c r="E75" s="6" t="n"/>
      <c r="F75" s="6" t="n"/>
      <c r="G75" s="6" t="n">
        <v>14.7</v>
      </c>
    </row>
    <row r="76">
      <c r="A76" s="6" t="inlineStr">
        <is>
          <t>Change in fair value of assets classified as FVOCI</t>
        </is>
      </c>
      <c r="B76" s="6" t="n"/>
      <c r="C76" s="6" t="n"/>
      <c r="D76" s="6" t="n"/>
      <c r="E76" s="6" t="n"/>
      <c r="F76" s="6" t="n">
        <v>0.1</v>
      </c>
      <c r="G76" s="6" t="n">
        <v>0.1</v>
      </c>
    </row>
    <row r="77">
      <c r="A77" s="6" t="inlineStr">
        <is>
          <t>Effective portion of changes in fair value</t>
        </is>
      </c>
      <c r="B77" s="6" t="n"/>
      <c r="C77" s="6" t="n"/>
      <c r="D77" s="6" t="n"/>
      <c r="E77" s="6" t="n">
        <v>4.9</v>
      </c>
      <c r="F77" s="6" t="n"/>
      <c r="G77" s="6" t="n">
        <v>4.9</v>
      </c>
    </row>
    <row r="78">
      <c r="A78" s="5" t="inlineStr">
        <is>
          <t>Total comprehensive income for the year</t>
        </is>
      </c>
      <c r="B78" s="5" t="n"/>
      <c r="C78" s="5" t="n">
        <v>111.6</v>
      </c>
      <c r="D78" s="5" t="n"/>
      <c r="E78" s="5" t="n">
        <v>4.1</v>
      </c>
      <c r="F78" s="5" t="n">
        <v>0.1</v>
      </c>
      <c r="G78" s="5" t="n">
        <v>115.8</v>
      </c>
    </row>
    <row r="79">
      <c r="A79" s="6" t="inlineStr">
        <is>
          <t>Effect of GBP/USD translation (£ conversion artefact - see FX note)</t>
        </is>
      </c>
      <c r="B79" s="6" t="n"/>
      <c r="C79" s="6" t="n"/>
      <c r="D79" s="6" t="n"/>
      <c r="E79" s="6" t="n"/>
      <c r="F79" s="6" t="n"/>
      <c r="G79" s="6" t="n">
        <v>171.1</v>
      </c>
    </row>
    <row r="80">
      <c r="A80" s="5" t="inlineStr">
        <is>
          <t>Balance at 31 March 2022</t>
        </is>
      </c>
      <c r="B80" s="5" t="n">
        <v>2431.3</v>
      </c>
      <c r="C80" s="5" t="n">
        <v>1245.6</v>
      </c>
      <c r="D80" s="5" t="n">
        <v>76</v>
      </c>
      <c r="E80" s="5" t="n">
        <v>5.1</v>
      </c>
      <c r="F80" s="5" t="n">
        <v>0</v>
      </c>
      <c r="G80" s="5" t="n">
        <v>3757.9</v>
      </c>
    </row>
    <row r="81">
      <c r="A81" s="6" t="inlineStr">
        <is>
          <t>Profit for the year</t>
        </is>
      </c>
      <c r="B81" s="6" t="n"/>
      <c r="C81" s="6" t="n">
        <v>209.3</v>
      </c>
      <c r="D81" s="6" t="n"/>
      <c r="E81" s="6" t="n"/>
      <c r="F81" s="6" t="n"/>
      <c r="G81" s="6" t="n">
        <v>209.3</v>
      </c>
    </row>
    <row r="82">
      <c r="A82" s="6" t="inlineStr">
        <is>
          <t>Net gains/(losses) transferred to net profit</t>
        </is>
      </c>
      <c r="B82" s="6" t="n"/>
      <c r="C82" s="6" t="n"/>
      <c r="D82" s="6" t="n"/>
      <c r="E82" s="6" t="n">
        <v>-5.6</v>
      </c>
      <c r="F82" s="6" t="n"/>
      <c r="G82" s="6" t="n">
        <v>-5.6</v>
      </c>
    </row>
    <row r="83">
      <c r="A83" s="6" t="inlineStr">
        <is>
          <t>Actuarial gain/(loss) on defined benefit scheme</t>
        </is>
      </c>
      <c r="B83" s="6" t="n"/>
      <c r="C83" s="6" t="n">
        <v>-10.5</v>
      </c>
      <c r="D83" s="6" t="n"/>
      <c r="E83" s="6" t="n"/>
      <c r="F83" s="6" t="n"/>
      <c r="G83" s="6" t="n">
        <v>-10.5</v>
      </c>
    </row>
    <row r="84">
      <c r="A84" s="6" t="inlineStr">
        <is>
          <t>Change in fair value of assets classified as FVOCI</t>
        </is>
      </c>
      <c r="B84" s="6" t="n"/>
      <c r="C84" s="6" t="n"/>
      <c r="D84" s="6" t="n"/>
      <c r="E84" s="6" t="n"/>
      <c r="F84" s="6" t="n">
        <v>0.2</v>
      </c>
      <c r="G84" s="6" t="n">
        <v>0.2</v>
      </c>
    </row>
    <row r="85">
      <c r="A85" s="6" t="inlineStr">
        <is>
          <t>Effective portion of changes in fair value</t>
        </is>
      </c>
      <c r="B85" s="6" t="n"/>
      <c r="C85" s="6" t="n"/>
      <c r="D85" s="6" t="n"/>
      <c r="E85" s="6" t="n">
        <v>8.5</v>
      </c>
      <c r="F85" s="6" t="n"/>
      <c r="G85" s="6" t="n">
        <v>8.5</v>
      </c>
    </row>
    <row r="86">
      <c r="A86" s="5" t="inlineStr">
        <is>
          <t>Total comprehensive income for the year</t>
        </is>
      </c>
      <c r="B86" s="5" t="n"/>
      <c r="C86" s="5" t="n">
        <v>198.8</v>
      </c>
      <c r="D86" s="5" t="n"/>
      <c r="E86" s="5" t="n">
        <v>2.9</v>
      </c>
      <c r="F86" s="5" t="n">
        <v>0.2</v>
      </c>
      <c r="G86" s="5" t="n">
        <v>201.9</v>
      </c>
    </row>
    <row r="87">
      <c r="A87" s="6" t="inlineStr">
        <is>
          <t>Effect of GBP/USD translation (£ conversion artefact - see FX note)</t>
        </is>
      </c>
      <c r="B87" s="6" t="n"/>
      <c r="C87" s="6" t="n"/>
      <c r="D87" s="6" t="n"/>
      <c r="E87" s="6" t="n"/>
      <c r="F87" s="6" t="n"/>
      <c r="G87" s="6" t="n">
        <v>237.4</v>
      </c>
    </row>
    <row r="88">
      <c r="A88" s="5" t="inlineStr">
        <is>
          <t>Balance at 31 March 2023</t>
        </is>
      </c>
      <c r="B88" s="5" t="n">
        <v>2588.2</v>
      </c>
      <c r="C88" s="5" t="n">
        <v>1519.6</v>
      </c>
      <c r="D88" s="5" t="n">
        <v>80.90000000000001</v>
      </c>
      <c r="E88" s="5" t="n">
        <v>8.199999999999999</v>
      </c>
      <c r="F88" s="5" t="n">
        <v>0.2</v>
      </c>
      <c r="G88" s="5" t="n">
        <v>4197.2</v>
      </c>
    </row>
    <row r="89">
      <c r="A89" s="6" t="inlineStr">
        <is>
          <t>Profit for the year</t>
        </is>
      </c>
      <c r="B89" s="6" t="n"/>
      <c r="C89" s="6" t="n">
        <v>322.9</v>
      </c>
      <c r="D89" s="6" t="n"/>
      <c r="E89" s="6" t="n"/>
      <c r="F89" s="6" t="n"/>
      <c r="G89" s="6" t="n">
        <v>322.9</v>
      </c>
    </row>
    <row r="90">
      <c r="A90" s="6" t="inlineStr">
        <is>
          <t>Net gains/(losses) transferred to net profit</t>
        </is>
      </c>
      <c r="B90" s="6" t="n"/>
      <c r="C90" s="6" t="n"/>
      <c r="D90" s="6" t="n"/>
      <c r="E90" s="6" t="n">
        <v>-8.1</v>
      </c>
      <c r="F90" s="6" t="n"/>
      <c r="G90" s="6" t="n">
        <v>-8.1</v>
      </c>
    </row>
    <row r="91">
      <c r="A91" s="6" t="inlineStr">
        <is>
          <t>Actuarial gain/(loss) on defined benefit scheme</t>
        </is>
      </c>
      <c r="B91" s="6" t="n"/>
      <c r="C91" s="6" t="n">
        <v>-7.3</v>
      </c>
      <c r="D91" s="6" t="n"/>
      <c r="E91" s="6" t="n"/>
      <c r="F91" s="6" t="n"/>
      <c r="G91" s="6" t="n">
        <v>-7.3</v>
      </c>
    </row>
    <row r="92">
      <c r="A92" s="6" t="inlineStr">
        <is>
          <t>Effective portion of changes in fair value</t>
        </is>
      </c>
      <c r="B92" s="6" t="n"/>
      <c r="C92" s="6" t="n"/>
      <c r="D92" s="6" t="n"/>
      <c r="E92" s="6" t="n">
        <v>2.9</v>
      </c>
      <c r="F92" s="6" t="n">
        <v>-0.1</v>
      </c>
      <c r="G92" s="6" t="n">
        <v>2.8</v>
      </c>
    </row>
    <row r="93">
      <c r="A93" s="5" t="inlineStr">
        <is>
          <t>Total comprehensive income for the year</t>
        </is>
      </c>
      <c r="B93" s="5" t="n"/>
      <c r="C93" s="5" t="n">
        <v>315.6</v>
      </c>
      <c r="D93" s="5" t="n"/>
      <c r="E93" s="5" t="n">
        <v>-5.2</v>
      </c>
      <c r="F93" s="5" t="n">
        <v>-0.1</v>
      </c>
      <c r="G93" s="5" t="n">
        <v>310.3</v>
      </c>
    </row>
    <row r="94">
      <c r="A94" s="6" t="inlineStr">
        <is>
          <t>Effect of GBP/USD translation (£ conversion artefact - see FX note)</t>
        </is>
      </c>
      <c r="B94" s="6" t="n"/>
      <c r="C94" s="6" t="n"/>
      <c r="D94" s="6" t="n"/>
      <c r="E94" s="6" t="n"/>
      <c r="F94" s="6" t="n"/>
      <c r="G94" s="6" t="n">
        <v>-90.3</v>
      </c>
    </row>
    <row r="95">
      <c r="A95" s="5" t="inlineStr">
        <is>
          <t>Balance at 31 March 2024</t>
        </is>
      </c>
      <c r="B95" s="5" t="n">
        <v>2533.3</v>
      </c>
      <c r="C95" s="5" t="n">
        <v>1801.7</v>
      </c>
      <c r="D95" s="5" t="n">
        <v>79.2</v>
      </c>
      <c r="E95" s="5" t="n">
        <v>2.8</v>
      </c>
      <c r="F95" s="5" t="n">
        <v>0.2</v>
      </c>
      <c r="G95" s="5" t="n">
        <v>4417.2</v>
      </c>
    </row>
    <row r="96">
      <c r="A96" s="6" t="inlineStr">
        <is>
          <t>Net profit for the period</t>
        </is>
      </c>
      <c r="B96" s="6" t="n"/>
      <c r="C96" s="6" t="n">
        <v>273.7</v>
      </c>
      <c r="D96" s="6" t="n"/>
      <c r="E96" s="6" t="n"/>
      <c r="F96" s="6" t="n"/>
      <c r="G96" s="6" t="n">
        <v>273.7</v>
      </c>
    </row>
    <row r="97">
      <c r="A97" s="6" t="inlineStr">
        <is>
          <t>Net gains/(losses) transferred to net profit</t>
        </is>
      </c>
      <c r="B97" s="6" t="n"/>
      <c r="C97" s="6" t="n"/>
      <c r="D97" s="6" t="n"/>
      <c r="E97" s="6" t="n">
        <v>-2.8</v>
      </c>
      <c r="F97" s="6" t="n"/>
      <c r="G97" s="6" t="n">
        <v>-2.8</v>
      </c>
    </row>
    <row r="98">
      <c r="A98" s="6" t="inlineStr">
        <is>
          <t>Actuarial gain/(loss) on defined benefit scheme</t>
        </is>
      </c>
      <c r="B98" s="6" t="n"/>
      <c r="C98" s="6" t="n">
        <v>0.5</v>
      </c>
      <c r="D98" s="6" t="n"/>
      <c r="E98" s="6" t="n"/>
      <c r="F98" s="6" t="n"/>
      <c r="G98" s="6" t="n">
        <v>0.5</v>
      </c>
    </row>
    <row r="99">
      <c r="A99" s="6" t="inlineStr">
        <is>
          <t>Effective portion of changes in fair value</t>
        </is>
      </c>
      <c r="B99" s="6" t="n"/>
      <c r="C99" s="6" t="n"/>
      <c r="D99" s="6" t="n"/>
      <c r="E99" s="6" t="n">
        <v>-0.1</v>
      </c>
      <c r="F99" s="6" t="n"/>
      <c r="G99" s="6" t="n">
        <v>-0.1</v>
      </c>
    </row>
    <row r="100">
      <c r="A100" s="5" t="inlineStr">
        <is>
          <t>Total comprehensive income for the year</t>
        </is>
      </c>
      <c r="B100" s="5" t="n"/>
      <c r="C100" s="5" t="n">
        <v>274.2</v>
      </c>
      <c r="D100" s="5" t="n"/>
      <c r="E100" s="5" t="n">
        <v>-2.9</v>
      </c>
      <c r="F100" s="5" t="n">
        <v>0</v>
      </c>
      <c r="G100" s="5" t="n">
        <v>271.3</v>
      </c>
    </row>
    <row r="101">
      <c r="A101" s="6" t="inlineStr">
        <is>
          <t>Effect of GBP/USD translation (£ conversion artefact - see FX note)</t>
        </is>
      </c>
      <c r="B101" s="6" t="n"/>
      <c r="C101" s="6" t="n"/>
      <c r="D101" s="6" t="n"/>
      <c r="E101" s="6" t="n"/>
      <c r="F101" s="6" t="n"/>
      <c r="G101" s="6" t="n">
        <v>-98</v>
      </c>
    </row>
    <row r="102">
      <c r="A102" s="5" t="inlineStr">
        <is>
          <t>Balance at 31 March 2025</t>
        </is>
      </c>
      <c r="B102" s="5" t="n">
        <v>2478.8</v>
      </c>
      <c r="C102" s="5" t="n">
        <v>2034.2</v>
      </c>
      <c r="D102" s="5" t="n">
        <v>77.5</v>
      </c>
      <c r="E102" s="5" t="n">
        <v>-0.1</v>
      </c>
      <c r="F102" s="5" t="n">
        <v>0.2</v>
      </c>
      <c r="G102" s="5" t="n">
        <v>4590.5</v>
      </c>
    </row>
    <row r="104" ht="340" customHeight="1">
      <c r="A104" s="8" t="inlineStr">
        <is>
          <t>Sources - SMBC Bank International plc's own Statement of changes in equity, converted from USD to £m (see FX conversion note below):
1 April 2013 opening &amp; FY2014 movements: Sumitomo Mitsui Banking Corporation Europe Limited (SMBC BI's former name) Annual report &amp; financial statements,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FY2014 (USD 800.0m, part of a capital injection also seen in FY2013) and FY2021 (USD 0.1m) only - the two genuine (non-FX) capital transactions across all 12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for the year before tax</t>
        </is>
      </c>
      <c r="B5" s="6" t="n">
        <v>378.6</v>
      </c>
      <c r="C5" s="6" t="n">
        <v>425.7</v>
      </c>
      <c r="D5" s="6" t="n">
        <v>282.6</v>
      </c>
      <c r="E5" s="6" t="n">
        <v>132.8</v>
      </c>
      <c r="F5" s="6" t="n">
        <v>252.5</v>
      </c>
      <c r="G5" s="6" t="n">
        <v>172.7</v>
      </c>
      <c r="H5" s="6" t="n">
        <v>296.4</v>
      </c>
      <c r="I5" s="6" t="n">
        <v>222</v>
      </c>
      <c r="J5" s="6" t="n">
        <v>176.8</v>
      </c>
      <c r="K5" s="6" t="n">
        <v>93.3</v>
      </c>
      <c r="L5" s="6" t="n">
        <v>94.7</v>
      </c>
      <c r="M5" s="6" t="n">
        <v>90.2</v>
      </c>
    </row>
    <row r="6">
      <c r="A6" s="6" t="inlineStr">
        <is>
          <t>Net impairment loss on financial assets</t>
        </is>
      </c>
      <c r="B6" s="6" t="n">
        <v>22.2</v>
      </c>
      <c r="C6" s="6" t="n">
        <v>21.6</v>
      </c>
      <c r="D6" s="6" t="n">
        <v>39.6</v>
      </c>
      <c r="E6" s="6" t="n">
        <v>70.40000000000001</v>
      </c>
      <c r="F6" s="6" t="n">
        <v>6.5</v>
      </c>
      <c r="G6" s="6" t="n">
        <v>157.6</v>
      </c>
      <c r="H6" s="6" t="n">
        <v>10</v>
      </c>
      <c r="I6" s="6" t="n">
        <v>27.6</v>
      </c>
      <c r="J6" s="6" t="n">
        <v>27.3</v>
      </c>
      <c r="K6" s="6" t="n">
        <v>48.3</v>
      </c>
      <c r="L6" s="6" t="n">
        <v>22.4</v>
      </c>
      <c r="M6" s="6" t="n">
        <v>7.4</v>
      </c>
    </row>
    <row r="7">
      <c r="A7" s="6" t="inlineStr">
        <is>
          <t>Net losses from disposal of financial assets at amortised cost</t>
        </is>
      </c>
      <c r="B7" s="6" t="n">
        <v>65.5</v>
      </c>
      <c r="C7" s="6" t="n"/>
      <c r="D7" s="6" t="n"/>
      <c r="E7" s="6" t="n"/>
      <c r="F7" s="6" t="n"/>
      <c r="G7" s="6" t="n"/>
      <c r="H7" s="6" t="n"/>
      <c r="I7" s="6" t="n"/>
      <c r="J7" s="6" t="n"/>
      <c r="K7" s="6" t="n"/>
      <c r="L7" s="6" t="n"/>
      <c r="M7" s="6" t="n"/>
    </row>
    <row r="8">
      <c r="A8" s="6" t="inlineStr">
        <is>
          <t>Unrealised exchange movements on non operating assets and liabilities</t>
        </is>
      </c>
      <c r="B8" s="6" t="n">
        <v>-187.2</v>
      </c>
      <c r="C8" s="6" t="n">
        <v>-128.2</v>
      </c>
      <c r="D8" s="6" t="n">
        <v>-893.5</v>
      </c>
      <c r="E8" s="6" t="n">
        <v>-823.7</v>
      </c>
      <c r="F8" s="6" t="n">
        <v>1287.7</v>
      </c>
      <c r="G8" s="6" t="n">
        <v>3.5</v>
      </c>
      <c r="H8" s="6" t="n">
        <v>-49</v>
      </c>
      <c r="I8" s="6" t="n">
        <v>-14.3</v>
      </c>
      <c r="J8" s="6" t="n">
        <v>22.3</v>
      </c>
      <c r="K8" s="6" t="n">
        <v>-14.9</v>
      </c>
      <c r="L8" s="6" t="n">
        <v>-4.6</v>
      </c>
      <c r="M8" s="6" t="n">
        <v>3.7</v>
      </c>
    </row>
    <row r="9">
      <c r="A9" s="6" t="inlineStr">
        <is>
          <t>Impairment loss written off (FY2014-FY2016 only)</t>
        </is>
      </c>
      <c r="B9" s="6" t="n"/>
      <c r="C9" s="6" t="n"/>
      <c r="D9" s="6" t="n"/>
      <c r="E9" s="6" t="n"/>
      <c r="F9" s="6" t="n"/>
      <c r="G9" s="6" t="n"/>
      <c r="H9" s="6" t="n"/>
      <c r="I9" s="6" t="n"/>
      <c r="J9" s="6" t="n"/>
      <c r="K9" s="6" t="n">
        <v>-14.6</v>
      </c>
      <c r="L9" s="6" t="n">
        <v>-18.8</v>
      </c>
      <c r="M9" s="6" t="n">
        <v>-77</v>
      </c>
    </row>
    <row r="10">
      <c r="A10" s="6" t="inlineStr">
        <is>
          <t>Depreciation and amortisation</t>
        </is>
      </c>
      <c r="B10" s="6" t="n">
        <v>48.6</v>
      </c>
      <c r="C10" s="6" t="n">
        <v>44.2</v>
      </c>
      <c r="D10" s="6" t="n">
        <v>43.1</v>
      </c>
      <c r="E10" s="6" t="n">
        <v>31.4</v>
      </c>
      <c r="F10" s="6" t="n">
        <v>30.9</v>
      </c>
      <c r="G10" s="6" t="n">
        <v>26.4</v>
      </c>
      <c r="H10" s="6" t="n">
        <v>15.2</v>
      </c>
      <c r="I10" s="6" t="n">
        <v>12.5</v>
      </c>
      <c r="J10" s="6" t="n">
        <v>12.3</v>
      </c>
      <c r="K10" s="6" t="n">
        <v>9</v>
      </c>
      <c r="L10" s="6" t="n">
        <v>7.5</v>
      </c>
      <c r="M10" s="6" t="n">
        <v>6.5</v>
      </c>
    </row>
    <row r="11">
      <c r="A11" s="5" t="inlineStr">
        <is>
          <t>Changes in operating assets and liabilities</t>
        </is>
      </c>
      <c r="B11" s="6" t="n"/>
      <c r="C11" s="6" t="n"/>
      <c r="D11" s="6" t="n"/>
      <c r="E11" s="6" t="n"/>
      <c r="F11" s="6" t="n"/>
      <c r="G11" s="6" t="n"/>
      <c r="H11" s="6" t="n"/>
      <c r="I11" s="6" t="n"/>
      <c r="J11" s="6" t="n"/>
      <c r="K11" s="6" t="n"/>
      <c r="L11" s="6" t="n"/>
      <c r="M11" s="6" t="n"/>
    </row>
    <row r="12">
      <c r="A12" s="6" t="inlineStr">
        <is>
          <t>Changes in loans and advances to banks</t>
        </is>
      </c>
      <c r="B12" s="6" t="n">
        <v>-27.4</v>
      </c>
      <c r="C12" s="6" t="n">
        <v>-219.7</v>
      </c>
      <c r="D12" s="6" t="n">
        <v>611.5</v>
      </c>
      <c r="E12" s="6" t="n">
        <v>-145.3</v>
      </c>
      <c r="F12" s="6" t="n">
        <v>6.7</v>
      </c>
      <c r="G12" s="6" t="n">
        <v>-701.2</v>
      </c>
      <c r="H12" s="6" t="n">
        <v>-327.1</v>
      </c>
      <c r="I12" s="6" t="n">
        <v>365.3</v>
      </c>
      <c r="J12" s="6" t="n">
        <v>-9.300000000000001</v>
      </c>
      <c r="K12" s="6" t="n">
        <v>-330.8</v>
      </c>
      <c r="L12" s="6" t="n">
        <v>198.5</v>
      </c>
      <c r="M12" s="6" t="n">
        <v>40.1</v>
      </c>
    </row>
    <row r="13">
      <c r="A13" s="6" t="inlineStr">
        <is>
          <t>Changes in loans and advances to customers</t>
        </is>
      </c>
      <c r="B13" s="6" t="n">
        <v>-1011.7</v>
      </c>
      <c r="C13" s="6" t="n">
        <v>-255.5</v>
      </c>
      <c r="D13" s="6" t="n">
        <v>1872.9</v>
      </c>
      <c r="E13" s="6" t="n">
        <v>628.9</v>
      </c>
      <c r="F13" s="6" t="n">
        <v>1473.1</v>
      </c>
      <c r="G13" s="6" t="n">
        <v>-1104.7</v>
      </c>
      <c r="H13" s="6" t="n">
        <v>-786.5</v>
      </c>
      <c r="I13" s="6" t="n">
        <v>-4079.2</v>
      </c>
      <c r="J13" s="6" t="n">
        <v>433.5</v>
      </c>
      <c r="K13" s="6" t="n">
        <v>-2678.2</v>
      </c>
      <c r="L13" s="6" t="n">
        <v>-153</v>
      </c>
      <c r="M13" s="6" t="n">
        <v>-186.4</v>
      </c>
    </row>
    <row r="14">
      <c r="A14" s="6" t="inlineStr">
        <is>
          <t>Changes in reverse repurchase agreements</t>
        </is>
      </c>
      <c r="B14" s="6" t="n">
        <v>-12034.2</v>
      </c>
      <c r="C14" s="6" t="n">
        <v>-352.5</v>
      </c>
      <c r="D14" s="6" t="n">
        <v>-57.3</v>
      </c>
      <c r="E14" s="6" t="n">
        <v>392.7</v>
      </c>
      <c r="F14" s="6" t="n">
        <v>-174.5</v>
      </c>
      <c r="G14" s="6" t="n">
        <v>228.8</v>
      </c>
      <c r="H14" s="6" t="n">
        <v>-350.9</v>
      </c>
      <c r="I14" s="6" t="n"/>
      <c r="J14" s="6" t="n"/>
      <c r="K14" s="6" t="n"/>
      <c r="L14" s="6" t="n"/>
      <c r="M14" s="6" t="n"/>
    </row>
    <row r="15">
      <c r="A15" s="6" t="inlineStr">
        <is>
          <t>Changes in derivative financial instruments</t>
        </is>
      </c>
      <c r="B15" s="6" t="n">
        <v>280.2</v>
      </c>
      <c r="C15" s="6" t="n">
        <v>-110.9</v>
      </c>
      <c r="D15" s="6" t="n">
        <v>-83.5</v>
      </c>
      <c r="E15" s="6" t="n">
        <v>-59.4</v>
      </c>
      <c r="F15" s="6" t="n">
        <v>93.59999999999999</v>
      </c>
      <c r="G15" s="6" t="n">
        <v>-19.8</v>
      </c>
      <c r="H15" s="6" t="n">
        <v>-135.9</v>
      </c>
      <c r="I15" s="6" t="n">
        <v>81.90000000000001</v>
      </c>
      <c r="J15" s="6" t="n">
        <v>20.6</v>
      </c>
      <c r="K15" s="6" t="n">
        <v>41.1</v>
      </c>
      <c r="L15" s="6" t="n">
        <v>-79.8</v>
      </c>
      <c r="M15" s="6" t="n">
        <v>31.8</v>
      </c>
    </row>
    <row r="16">
      <c r="A16" s="6" t="inlineStr">
        <is>
          <t>Changes in other assets</t>
        </is>
      </c>
      <c r="B16" s="6" t="n">
        <v>-547</v>
      </c>
      <c r="C16" s="6" t="n">
        <v>129.2</v>
      </c>
      <c r="D16" s="6" t="n">
        <v>-177.7</v>
      </c>
      <c r="E16" s="6" t="n">
        <v>-147.4</v>
      </c>
      <c r="F16" s="6" t="n">
        <v>258.9</v>
      </c>
      <c r="G16" s="6" t="n">
        <v>-316.7</v>
      </c>
      <c r="H16" s="6" t="n">
        <v>205.5</v>
      </c>
      <c r="I16" s="6" t="n">
        <v>-34.1</v>
      </c>
      <c r="J16" s="6" t="n">
        <v>1.8</v>
      </c>
      <c r="K16" s="6" t="n">
        <v>42.4</v>
      </c>
      <c r="L16" s="6" t="n">
        <v>-51.7</v>
      </c>
      <c r="M16" s="6" t="n">
        <v>-26.6</v>
      </c>
    </row>
    <row r="17">
      <c r="A17" s="6" t="inlineStr">
        <is>
          <t>Changes in deposits by banks</t>
        </is>
      </c>
      <c r="B17" s="6" t="n">
        <v>5972.7</v>
      </c>
      <c r="C17" s="6" t="n">
        <v>-3245.2</v>
      </c>
      <c r="D17" s="6" t="n">
        <v>-1152</v>
      </c>
      <c r="E17" s="6" t="n">
        <v>1873.1</v>
      </c>
      <c r="F17" s="6" t="n">
        <v>-1405.9</v>
      </c>
      <c r="G17" s="6" t="n">
        <v>1155.1</v>
      </c>
      <c r="H17" s="6" t="n">
        <v>-2078.3</v>
      </c>
      <c r="I17" s="6" t="n">
        <v>11121</v>
      </c>
      <c r="J17" s="6" t="n">
        <v>-8387.200000000001</v>
      </c>
      <c r="K17" s="6" t="n">
        <v>4722.3</v>
      </c>
      <c r="L17" s="6" t="n">
        <v>-139.9</v>
      </c>
      <c r="M17" s="6" t="n">
        <v>-1376.6</v>
      </c>
    </row>
    <row r="18">
      <c r="A18" s="6" t="inlineStr">
        <is>
          <t>Changes in customer accounts</t>
        </is>
      </c>
      <c r="B18" s="6" t="n">
        <v>-116.7</v>
      </c>
      <c r="C18" s="6" t="n">
        <v>919.8</v>
      </c>
      <c r="D18" s="6" t="n">
        <v>-901</v>
      </c>
      <c r="E18" s="6" t="n">
        <v>-1883.7</v>
      </c>
      <c r="F18" s="6" t="n">
        <v>-4039.8</v>
      </c>
      <c r="G18" s="6" t="n">
        <v>7438</v>
      </c>
      <c r="H18" s="6" t="n">
        <v>-3812.7</v>
      </c>
      <c r="I18" s="6" t="n">
        <v>4682.9</v>
      </c>
      <c r="J18" s="6" t="n">
        <v>6828.1</v>
      </c>
      <c r="K18" s="6" t="n">
        <v>240.7</v>
      </c>
      <c r="L18" s="6" t="n">
        <v>-110</v>
      </c>
      <c r="M18" s="6" t="n">
        <v>1696.9</v>
      </c>
    </row>
    <row r="19">
      <c r="A19" s="6" t="inlineStr">
        <is>
          <t>Changes in other liabilities</t>
        </is>
      </c>
      <c r="B19" s="6" t="n">
        <v>113.8</v>
      </c>
      <c r="C19" s="6" t="n">
        <v>79</v>
      </c>
      <c r="D19" s="6" t="n">
        <v>204.2</v>
      </c>
      <c r="E19" s="6" t="n">
        <v>79</v>
      </c>
      <c r="F19" s="6" t="n">
        <v>-245.9</v>
      </c>
      <c r="G19" s="6" t="n">
        <v>472.8</v>
      </c>
      <c r="H19" s="6" t="n">
        <v>-683</v>
      </c>
      <c r="I19" s="6" t="n">
        <v>-24.9</v>
      </c>
      <c r="J19" s="6" t="n">
        <v>70.59999999999999</v>
      </c>
      <c r="K19" s="6" t="n">
        <v>9.300000000000001</v>
      </c>
      <c r="L19" s="6" t="n">
        <v>-10.3</v>
      </c>
      <c r="M19" s="6" t="n">
        <v>8.4</v>
      </c>
    </row>
    <row r="20">
      <c r="A20" s="6" t="inlineStr">
        <is>
          <t>Net decrease/(increase) in trading portfolio assets</t>
        </is>
      </c>
      <c r="B20" s="6" t="n">
        <v>-1172.4</v>
      </c>
      <c r="C20" s="6" t="n"/>
      <c r="D20" s="6" t="n"/>
      <c r="E20" s="6" t="n"/>
      <c r="F20" s="6" t="n"/>
      <c r="G20" s="6" t="n"/>
      <c r="H20" s="6" t="n"/>
      <c r="I20" s="6" t="n"/>
      <c r="J20" s="6" t="n"/>
      <c r="K20" s="6" t="n"/>
      <c r="L20" s="6" t="n"/>
      <c r="M20" s="6" t="n"/>
    </row>
    <row r="21">
      <c r="A21" s="6" t="inlineStr">
        <is>
          <t>Net increase in trading portfolio liabilities</t>
        </is>
      </c>
      <c r="B21" s="6" t="n">
        <v>230.4</v>
      </c>
      <c r="C21" s="6" t="n"/>
      <c r="D21" s="6" t="n"/>
      <c r="E21" s="6" t="n"/>
      <c r="F21" s="6" t="n"/>
      <c r="G21" s="6" t="n"/>
      <c r="H21" s="6" t="n"/>
      <c r="I21" s="6" t="n"/>
      <c r="J21" s="6" t="n"/>
      <c r="K21" s="6" t="n"/>
      <c r="L21" s="6" t="n"/>
      <c r="M21" s="6" t="n"/>
    </row>
    <row r="22">
      <c r="A22" s="6" t="inlineStr">
        <is>
          <t>Net increase in repurchase agreements and other similar secured borrowing</t>
        </is>
      </c>
      <c r="B22" s="6" t="n">
        <v>9917.1</v>
      </c>
      <c r="C22" s="6" t="n"/>
      <c r="D22" s="6" t="n"/>
      <c r="E22" s="6" t="n"/>
      <c r="F22" s="6" t="n"/>
      <c r="G22" s="6" t="n"/>
      <c r="H22" s="6" t="n"/>
      <c r="I22" s="6" t="n"/>
      <c r="J22" s="6" t="n"/>
      <c r="K22" s="6" t="n"/>
      <c r="L22" s="6" t="n"/>
      <c r="M22" s="6" t="n"/>
    </row>
    <row r="23">
      <c r="A23" s="6" t="inlineStr">
        <is>
          <t>Changes in income tax (FY2014-FY2016 only - see 'Taxes paid' for other years)</t>
        </is>
      </c>
      <c r="B23" s="6" t="n"/>
      <c r="C23" s="6" t="n"/>
      <c r="D23" s="6" t="n"/>
      <c r="E23" s="6" t="n"/>
      <c r="F23" s="6" t="n"/>
      <c r="G23" s="6" t="n"/>
      <c r="H23" s="6" t="n"/>
      <c r="I23" s="6" t="n"/>
      <c r="J23" s="6" t="n"/>
      <c r="K23" s="6" t="n">
        <v>-1.2</v>
      </c>
      <c r="L23" s="6" t="n">
        <v>-11.4</v>
      </c>
      <c r="M23" s="6" t="n">
        <v>10.6</v>
      </c>
    </row>
    <row r="24">
      <c r="A24" s="6" t="inlineStr">
        <is>
          <t>Taxes paid</t>
        </is>
      </c>
      <c r="B24" s="6" t="n">
        <v>-102</v>
      </c>
      <c r="C24" s="6" t="n">
        <v>-97.59999999999999</v>
      </c>
      <c r="D24" s="6" t="n">
        <v>-76.09999999999999</v>
      </c>
      <c r="E24" s="6" t="n">
        <v>-67.59999999999999</v>
      </c>
      <c r="F24" s="6" t="n">
        <v>-38.3</v>
      </c>
      <c r="G24" s="6" t="n">
        <v>-118.2</v>
      </c>
      <c r="H24" s="6" t="n">
        <v>-70.40000000000001</v>
      </c>
      <c r="I24" s="6" t="n">
        <v>-52.1</v>
      </c>
      <c r="J24" s="6" t="n">
        <v>-41.7</v>
      </c>
      <c r="K24" s="6" t="n"/>
      <c r="L24" s="6" t="n"/>
      <c r="M24" s="6" t="n"/>
    </row>
    <row r="25">
      <c r="A25" s="5" t="inlineStr">
        <is>
          <t>Net cash from/(used in) operating activities</t>
        </is>
      </c>
      <c r="B25" s="5" t="n">
        <v>1830.5</v>
      </c>
      <c r="C25" s="5" t="n">
        <v>-2790.2</v>
      </c>
      <c r="D25" s="5" t="n">
        <v>-291.2</v>
      </c>
      <c r="E25" s="5" t="n">
        <v>81.09999999999999</v>
      </c>
      <c r="F25" s="5" t="n">
        <v>-2494.4</v>
      </c>
      <c r="G25" s="5" t="n">
        <v>7394.3</v>
      </c>
      <c r="H25" s="5" t="n">
        <v>-7766.9</v>
      </c>
      <c r="I25" s="5" t="n">
        <v>12308.6</v>
      </c>
      <c r="J25" s="5" t="n">
        <v>-844.8</v>
      </c>
      <c r="K25" s="5" t="n">
        <v>2166.8</v>
      </c>
      <c r="L25" s="5" t="n">
        <v>-256.2</v>
      </c>
      <c r="M25" s="5" t="n">
        <v>229</v>
      </c>
    </row>
    <row r="26">
      <c r="A26" s="5" t="inlineStr">
        <is>
          <t>Investing activities</t>
        </is>
      </c>
      <c r="B26" s="6" t="n"/>
      <c r="C26" s="6" t="n"/>
      <c r="D26" s="6" t="n"/>
      <c r="E26" s="6" t="n"/>
      <c r="F26" s="6" t="n"/>
      <c r="G26" s="6" t="n"/>
      <c r="H26" s="6" t="n"/>
      <c r="I26" s="6" t="n"/>
      <c r="J26" s="6" t="n"/>
      <c r="K26" s="6" t="n"/>
      <c r="L26" s="6" t="n"/>
      <c r="M26" s="6" t="n"/>
    </row>
    <row r="27">
      <c r="A27" s="6" t="inlineStr">
        <is>
          <t>Purchase of investment securities</t>
        </is>
      </c>
      <c r="B27" s="6" t="n">
        <v>-2493.9</v>
      </c>
      <c r="C27" s="6" t="n">
        <v>-2265</v>
      </c>
      <c r="D27" s="6" t="n">
        <v>-851.3</v>
      </c>
      <c r="E27" s="6" t="n">
        <v>-1225.7</v>
      </c>
      <c r="F27" s="6" t="n">
        <v>-861.8</v>
      </c>
      <c r="G27" s="6" t="n">
        <v>-893.7</v>
      </c>
      <c r="H27" s="6" t="n">
        <v>-873.5</v>
      </c>
      <c r="I27" s="6" t="n">
        <v>-613.4</v>
      </c>
      <c r="J27" s="6" t="n">
        <v>-673</v>
      </c>
      <c r="K27" s="6" t="n">
        <v>-507.2</v>
      </c>
      <c r="L27" s="6" t="n">
        <v>-590.7</v>
      </c>
      <c r="M27" s="6" t="n">
        <v>-586.4</v>
      </c>
    </row>
    <row r="28">
      <c r="A28" s="6" t="inlineStr">
        <is>
          <t>Proceeds from sale or redemption of investment securities</t>
        </is>
      </c>
      <c r="B28" s="6" t="n">
        <v>2432.4</v>
      </c>
      <c r="C28" s="6" t="n">
        <v>2557.3</v>
      </c>
      <c r="D28" s="6" t="n">
        <v>824</v>
      </c>
      <c r="E28" s="6" t="n">
        <v>841.5</v>
      </c>
      <c r="F28" s="6" t="n">
        <v>961.9</v>
      </c>
      <c r="G28" s="6" t="n">
        <v>725.3</v>
      </c>
      <c r="H28" s="6" t="n">
        <v>1112.9</v>
      </c>
      <c r="I28" s="6" t="n">
        <v>404.9</v>
      </c>
      <c r="J28" s="6" t="n">
        <v>903.3</v>
      </c>
      <c r="K28" s="6" t="n">
        <v>572.5</v>
      </c>
      <c r="L28" s="6" t="n">
        <v>630.6</v>
      </c>
      <c r="M28" s="6" t="n">
        <v>266.5</v>
      </c>
    </row>
    <row r="29">
      <c r="A29" s="6" t="inlineStr">
        <is>
          <t>Purchase of intangible assets</t>
        </is>
      </c>
      <c r="B29" s="6" t="n">
        <v>-51.4</v>
      </c>
      <c r="C29" s="6" t="n">
        <v>-27.4</v>
      </c>
      <c r="D29" s="6" t="n">
        <v>-20.3</v>
      </c>
      <c r="E29" s="6" t="n">
        <v>-15.4</v>
      </c>
      <c r="F29" s="6" t="n">
        <v>-15.8</v>
      </c>
      <c r="G29" s="6" t="n">
        <v>-17.6</v>
      </c>
      <c r="H29" s="6" t="n">
        <v>-9.5</v>
      </c>
      <c r="I29" s="6" t="n">
        <v>-11.9</v>
      </c>
      <c r="J29" s="6" t="n">
        <v>-7.4</v>
      </c>
      <c r="K29" s="6" t="n">
        <v>-6.9</v>
      </c>
      <c r="L29" s="6" t="n">
        <v>-2.7</v>
      </c>
      <c r="M29" s="6" t="n">
        <v>-3.1</v>
      </c>
    </row>
    <row r="30">
      <c r="A30" s="6" t="inlineStr">
        <is>
          <t>Proceeds from the sale of intangible assets</t>
        </is>
      </c>
      <c r="B30" s="6" t="n"/>
      <c r="C30" s="6" t="n"/>
      <c r="D30" s="6" t="n"/>
      <c r="E30" s="6" t="n"/>
      <c r="F30" s="6" t="n">
        <v>0.2</v>
      </c>
      <c r="G30" s="6" t="n"/>
      <c r="H30" s="6" t="n"/>
      <c r="I30" s="6" t="n"/>
      <c r="J30" s="6" t="n"/>
      <c r="K30" s="6" t="n"/>
      <c r="L30" s="6" t="n"/>
      <c r="M30" s="6" t="n"/>
    </row>
    <row r="31">
      <c r="A31" s="6" t="inlineStr">
        <is>
          <t>Purchase of property and equipment</t>
        </is>
      </c>
      <c r="B31" s="6" t="n">
        <v>-5.2</v>
      </c>
      <c r="C31" s="6" t="n">
        <v>-19.1</v>
      </c>
      <c r="D31" s="6" t="n">
        <v>-30.8</v>
      </c>
      <c r="E31" s="6" t="n">
        <v>-47.1</v>
      </c>
      <c r="F31" s="6" t="n">
        <v>-150.9</v>
      </c>
      <c r="G31" s="6" t="n">
        <v>-3.2</v>
      </c>
      <c r="H31" s="6" t="n">
        <v>-8.199999999999999</v>
      </c>
      <c r="I31" s="6" t="n">
        <v>-13.4</v>
      </c>
      <c r="J31" s="6" t="n">
        <v>-4.4</v>
      </c>
      <c r="K31" s="6" t="n">
        <v>-10.5</v>
      </c>
      <c r="L31" s="6" t="n">
        <v>-1.8</v>
      </c>
      <c r="M31" s="6" t="n">
        <v>-0.1</v>
      </c>
    </row>
    <row r="32">
      <c r="A32" s="6" t="inlineStr">
        <is>
          <t>Proceeds from sale of property and equipment</t>
        </is>
      </c>
      <c r="B32" s="6" t="n">
        <v>0.4</v>
      </c>
      <c r="C32" s="6" t="n"/>
      <c r="D32" s="6" t="n"/>
      <c r="E32" s="6" t="n"/>
      <c r="F32" s="6" t="n">
        <v>11.4</v>
      </c>
      <c r="G32" s="6" t="n">
        <v>4.7</v>
      </c>
      <c r="H32" s="6" t="n">
        <v>5.5</v>
      </c>
      <c r="I32" s="6" t="n"/>
      <c r="J32" s="6" t="n"/>
      <c r="K32" s="6" t="n">
        <v>1.1</v>
      </c>
      <c r="L32" s="6" t="n"/>
      <c r="M32" s="6" t="n"/>
    </row>
    <row r="33">
      <c r="A33" s="5" t="inlineStr">
        <is>
          <t>Net cash from/(used in) investing activities</t>
        </is>
      </c>
      <c r="B33" s="5" t="n">
        <v>-117.7</v>
      </c>
      <c r="C33" s="5" t="n">
        <v>245.8</v>
      </c>
      <c r="D33" s="5" t="n">
        <v>-78.40000000000001</v>
      </c>
      <c r="E33" s="5" t="n">
        <v>-446.7</v>
      </c>
      <c r="F33" s="5" t="n">
        <v>-55</v>
      </c>
      <c r="G33" s="5" t="n">
        <v>-184.5</v>
      </c>
      <c r="H33" s="5" t="n">
        <v>227.1</v>
      </c>
      <c r="I33" s="5" t="n">
        <v>-233.8</v>
      </c>
      <c r="J33" s="5" t="n">
        <v>218.5</v>
      </c>
      <c r="K33" s="5" t="n">
        <v>48.9</v>
      </c>
      <c r="L33" s="5" t="n">
        <v>35.4</v>
      </c>
      <c r="M33" s="5" t="n">
        <v>-323.2</v>
      </c>
    </row>
    <row r="34">
      <c r="A34" s="5" t="inlineStr">
        <is>
          <t>Financing activities</t>
        </is>
      </c>
      <c r="B34" s="6" t="n"/>
      <c r="C34" s="6" t="n"/>
      <c r="D34" s="6" t="n"/>
      <c r="E34" s="6" t="n"/>
      <c r="F34" s="6" t="n"/>
      <c r="G34" s="6" t="n"/>
      <c r="H34" s="6" t="n"/>
      <c r="I34" s="6" t="n"/>
      <c r="J34" s="6" t="n"/>
      <c r="K34" s="6" t="n"/>
      <c r="L34" s="6" t="n"/>
      <c r="M34" s="6" t="n"/>
    </row>
    <row r="35">
      <c r="A35" s="6" t="inlineStr">
        <is>
          <t>Payment of lease liabilities</t>
        </is>
      </c>
      <c r="B35" s="6" t="n">
        <v>-13.5</v>
      </c>
      <c r="C35" s="6" t="n">
        <v>-6.6</v>
      </c>
      <c r="D35" s="6" t="n">
        <v>-4.4</v>
      </c>
      <c r="E35" s="6" t="n">
        <v>-13.9</v>
      </c>
      <c r="F35" s="6" t="n">
        <v>-14.4</v>
      </c>
      <c r="G35" s="6" t="n">
        <v>-8.300000000000001</v>
      </c>
      <c r="H35" s="6" t="n"/>
      <c r="I35" s="6" t="n"/>
      <c r="J35" s="6" t="n"/>
      <c r="K35" s="6" t="n"/>
      <c r="L35" s="6" t="n"/>
      <c r="M35" s="6" t="n"/>
    </row>
    <row r="36">
      <c r="A36" s="6" t="inlineStr">
        <is>
          <t>Proceeds from issue of debt securities</t>
        </is>
      </c>
      <c r="B36" s="6" t="n">
        <v>792.2</v>
      </c>
      <c r="C36" s="6" t="n">
        <v>716.9</v>
      </c>
      <c r="D36" s="6" t="n">
        <v>870.8</v>
      </c>
      <c r="E36" s="6" t="n">
        <v>716.8</v>
      </c>
      <c r="F36" s="6" t="n">
        <v>647</v>
      </c>
      <c r="G36" s="6" t="n"/>
      <c r="H36" s="6" t="n">
        <v>10</v>
      </c>
      <c r="I36" s="6" t="n">
        <v>3021.1</v>
      </c>
      <c r="J36" s="6" t="n">
        <v>2697.5</v>
      </c>
      <c r="K36" s="6" t="n">
        <v>2728.2</v>
      </c>
      <c r="L36" s="6" t="n">
        <v>1478.5</v>
      </c>
      <c r="M36" s="6" t="n">
        <v>1488.2</v>
      </c>
    </row>
    <row r="37">
      <c r="A37" s="6" t="inlineStr">
        <is>
          <t>Repayment of debt securities</t>
        </is>
      </c>
      <c r="B37" s="6" t="n">
        <v>-706</v>
      </c>
      <c r="C37" s="6" t="n">
        <v>-833.6</v>
      </c>
      <c r="D37" s="6" t="n">
        <v>-810.4</v>
      </c>
      <c r="E37" s="6" t="n">
        <v>-626.9</v>
      </c>
      <c r="F37" s="6" t="n">
        <v>0</v>
      </c>
      <c r="G37" s="6" t="n">
        <v>-10.3</v>
      </c>
      <c r="H37" s="6" t="n"/>
      <c r="I37" s="6" t="n">
        <v>-2785.7</v>
      </c>
      <c r="J37" s="6" t="n">
        <v>-2979.9</v>
      </c>
      <c r="K37" s="6" t="n">
        <v>-1583.2</v>
      </c>
      <c r="L37" s="6" t="n">
        <v>-1476.8</v>
      </c>
      <c r="M37" s="6" t="n">
        <v>-1403.2</v>
      </c>
    </row>
    <row r="38">
      <c r="A38" s="6" t="inlineStr">
        <is>
          <t>Repayment and cancellation of subordinated debt (FY2014 only)</t>
        </is>
      </c>
      <c r="B38" s="6" t="n"/>
      <c r="C38" s="6" t="n"/>
      <c r="D38" s="6" t="n"/>
      <c r="E38" s="6" t="n"/>
      <c r="F38" s="6" t="n"/>
      <c r="G38" s="6" t="n"/>
      <c r="H38" s="6" t="n"/>
      <c r="I38" s="6" t="n"/>
      <c r="J38" s="6" t="n"/>
      <c r="K38" s="6" t="n"/>
      <c r="L38" s="6" t="n"/>
      <c r="M38" s="6" t="n">
        <v>-501.1</v>
      </c>
    </row>
    <row r="39">
      <c r="A39" s="6" t="inlineStr">
        <is>
          <t>Net issue of shares (FY2014 only)</t>
        </is>
      </c>
      <c r="B39" s="6" t="n"/>
      <c r="C39" s="6" t="n"/>
      <c r="D39" s="6" t="n"/>
      <c r="E39" s="6" t="n"/>
      <c r="F39" s="6" t="n"/>
      <c r="G39" s="6" t="n"/>
      <c r="H39" s="6" t="n"/>
      <c r="I39" s="6" t="n"/>
      <c r="J39" s="6" t="n"/>
      <c r="K39" s="6" t="n"/>
      <c r="L39" s="6" t="n"/>
      <c r="M39" s="6" t="n">
        <v>501.1</v>
      </c>
    </row>
    <row r="40">
      <c r="A40" s="5" t="inlineStr">
        <is>
          <t>Net cash from/(used in) financing activities</t>
        </is>
      </c>
      <c r="B40" s="5" t="n">
        <v>72.7</v>
      </c>
      <c r="C40" s="5" t="n">
        <v>-123.3</v>
      </c>
      <c r="D40" s="5" t="n">
        <v>56</v>
      </c>
      <c r="E40" s="5" t="n">
        <v>76</v>
      </c>
      <c r="F40" s="5" t="n">
        <v>632.6</v>
      </c>
      <c r="G40" s="5" t="n">
        <v>-18.6</v>
      </c>
      <c r="H40" s="5" t="n">
        <v>-3077.5</v>
      </c>
      <c r="I40" s="5" t="n">
        <v>235.5</v>
      </c>
      <c r="J40" s="5" t="n">
        <v>-282.5</v>
      </c>
      <c r="K40" s="5" t="n">
        <v>1145</v>
      </c>
      <c r="L40" s="5" t="n">
        <v>1.7</v>
      </c>
      <c r="M40" s="5" t="n">
        <v>85</v>
      </c>
    </row>
    <row r="41">
      <c r="A41" s="5" t="inlineStr">
        <is>
          <t>Net increase/(decrease) in cash and cash equivalents</t>
        </is>
      </c>
      <c r="B41" s="5" t="n">
        <v>1785.4</v>
      </c>
      <c r="C41" s="5" t="n">
        <v>-2667.7</v>
      </c>
      <c r="D41" s="5" t="n">
        <v>-313.6</v>
      </c>
      <c r="E41" s="5" t="n">
        <v>-289.6</v>
      </c>
      <c r="F41" s="5" t="n">
        <v>-1916.8</v>
      </c>
      <c r="G41" s="5" t="n">
        <v>7191.2</v>
      </c>
      <c r="H41" s="5" t="n">
        <v>-10617.4</v>
      </c>
      <c r="I41" s="5" t="n">
        <v>12310.2</v>
      </c>
      <c r="J41" s="5" t="n">
        <v>-908.7</v>
      </c>
      <c r="K41" s="5" t="n">
        <v>3360.7</v>
      </c>
      <c r="L41" s="5" t="n">
        <v>-219.1</v>
      </c>
      <c r="M41" s="5" t="n">
        <v>-9.199999999999999</v>
      </c>
    </row>
    <row r="42">
      <c r="A42" s="6" t="inlineStr">
        <is>
          <t>Exchange differences in respect of cash and cash equivalents (USD)</t>
        </is>
      </c>
      <c r="B42" s="6" t="n">
        <v>167.7</v>
      </c>
      <c r="C42" s="6" t="n">
        <v>126.8</v>
      </c>
      <c r="D42" s="6" t="n">
        <v>847.7</v>
      </c>
      <c r="E42" s="6" t="n">
        <v>849.7</v>
      </c>
      <c r="F42" s="6" t="n">
        <v>-1383.2</v>
      </c>
      <c r="G42" s="6" t="n"/>
      <c r="H42" s="6" t="n"/>
      <c r="I42" s="6" t="n"/>
      <c r="J42" s="6" t="n"/>
      <c r="K42" s="6" t="n"/>
      <c r="L42" s="6" t="n"/>
      <c r="M42" s="6" t="n"/>
    </row>
    <row r="43">
      <c r="A43" s="6" t="inlineStr">
        <is>
          <t>Effect of GBP/USD translation (£ conversion artefact - see FX note)</t>
        </is>
      </c>
      <c r="B43" s="6" t="n">
        <v>-408.9</v>
      </c>
      <c r="C43" s="6" t="n">
        <v>-435.9</v>
      </c>
      <c r="D43" s="6" t="n">
        <v>1229.4</v>
      </c>
      <c r="E43" s="6" t="n">
        <v>877.9</v>
      </c>
      <c r="F43" s="6" t="n">
        <v>-2212</v>
      </c>
      <c r="G43" s="6" t="n">
        <v>948</v>
      </c>
      <c r="H43" s="6" t="n">
        <v>1790.5</v>
      </c>
      <c r="I43" s="6" t="n">
        <v>-2364.7</v>
      </c>
      <c r="J43" s="6" t="n">
        <v>2239</v>
      </c>
      <c r="K43" s="6" t="n">
        <v>520.9</v>
      </c>
      <c r="L43" s="6" t="n">
        <v>1250.4</v>
      </c>
      <c r="M43" s="6" t="n">
        <v>-1014.3</v>
      </c>
    </row>
    <row r="44">
      <c r="A44" s="6" t="inlineStr">
        <is>
          <t>Cash and cash equivalents at start of the year</t>
        </is>
      </c>
      <c r="B44" s="6" t="n">
        <v>18048.4</v>
      </c>
      <c r="C44" s="6" t="n">
        <v>21025.2</v>
      </c>
      <c r="D44" s="6" t="n">
        <v>19261.7</v>
      </c>
      <c r="E44" s="6" t="n">
        <v>17823.7</v>
      </c>
      <c r="F44" s="6" t="n">
        <v>23335.7</v>
      </c>
      <c r="G44" s="6" t="n">
        <v>15196.5</v>
      </c>
      <c r="H44" s="6" t="n">
        <v>24023.4</v>
      </c>
      <c r="I44" s="6" t="n">
        <v>16558.8</v>
      </c>
      <c r="J44" s="6" t="n">
        <v>15228.5</v>
      </c>
      <c r="K44" s="6" t="n">
        <v>11346.9</v>
      </c>
      <c r="L44" s="6" t="n">
        <v>10315.6</v>
      </c>
      <c r="M44" s="6" t="n">
        <v>11339.1</v>
      </c>
    </row>
    <row r="45">
      <c r="A45" s="5" t="inlineStr">
        <is>
          <t>Cash and cash equivalents at 31 March</t>
        </is>
      </c>
      <c r="B45" s="5" t="n">
        <v>19592.6</v>
      </c>
      <c r="C45" s="5" t="n">
        <v>18048.4</v>
      </c>
      <c r="D45" s="5" t="n">
        <v>21025.2</v>
      </c>
      <c r="E45" s="5" t="n">
        <v>19261.7</v>
      </c>
      <c r="F45" s="5" t="n">
        <v>17823.7</v>
      </c>
      <c r="G45" s="5" t="n">
        <v>23335.7</v>
      </c>
      <c r="H45" s="5" t="n">
        <v>15196.5</v>
      </c>
      <c r="I45" s="5" t="n">
        <v>26504.3</v>
      </c>
      <c r="J45" s="5" t="n">
        <v>16558.8</v>
      </c>
      <c r="K45" s="5" t="n">
        <v>15228.5</v>
      </c>
      <c r="L45" s="5" t="n">
        <v>11346.9</v>
      </c>
      <c r="M45" s="5" t="n">
        <v>10315.6</v>
      </c>
    </row>
    <row r="47" ht="340" customHeight="1">
      <c r="A47" s="8" t="inlineStr">
        <is>
          <t>Sources - all figures are SMBC Bank International plc's own Statement of cash flows, converted from USD to £m (see FX conversion note below):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FY2014-FY2016's own presentation (folded into other lines from FY2017 onward); 'Repayment and cancellation of subordinated debt' and 'Net issue of shares' appear only in FY2014 (the Bank's subordinated debt was redeemed and a further ordinary share capital injection made that year, on top of a similar FY2013 injection - see the Statement of Changes in Equity sheet).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M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row>
    <row r="5">
      <c r="A5" s="6" t="inlineStr">
        <is>
          <t>Stage 1: subject to 12-month ECL</t>
        </is>
      </c>
      <c r="B5" s="6" t="n">
        <v>49765.7</v>
      </c>
      <c r="C5" s="6" t="n">
        <v>34116.8</v>
      </c>
      <c r="D5" s="6" t="n">
        <v>35918.3</v>
      </c>
      <c r="E5" s="6" t="n">
        <v>36163.7</v>
      </c>
      <c r="F5" s="6" t="n">
        <v>33552.3</v>
      </c>
      <c r="G5" s="6" t="n">
        <v>16715.1</v>
      </c>
      <c r="H5" s="6" t="n">
        <v>15707.6</v>
      </c>
      <c r="I5" s="6" t="n"/>
      <c r="J5" s="6" t="n"/>
      <c r="K5" s="6" t="n"/>
      <c r="L5" s="6" t="n"/>
      <c r="M5" s="6" t="n"/>
    </row>
    <row r="6">
      <c r="A6" s="6" t="inlineStr">
        <is>
          <t>Stage 2: subject to lifetime ECL, not credit-impaired</t>
        </is>
      </c>
      <c r="B6" s="6" t="n">
        <v>955.3</v>
      </c>
      <c r="C6" s="6" t="n">
        <v>1140.5</v>
      </c>
      <c r="D6" s="6" t="n">
        <v>2753.7</v>
      </c>
      <c r="E6" s="6" t="n">
        <v>1812.4</v>
      </c>
      <c r="F6" s="6" t="n">
        <v>2245.4</v>
      </c>
      <c r="G6" s="6" t="n">
        <v>1711.8</v>
      </c>
      <c r="H6" s="6" t="n">
        <v>750.2</v>
      </c>
      <c r="I6" s="6" t="n"/>
      <c r="J6" s="6" t="n"/>
      <c r="K6" s="6" t="n"/>
      <c r="L6" s="6" t="n"/>
      <c r="M6" s="6" t="n"/>
    </row>
    <row r="7">
      <c r="A7" s="6" t="inlineStr">
        <is>
          <t>Stage 3: subject to lifetime ECL, credit-impaired</t>
        </is>
      </c>
      <c r="B7" s="6" t="n">
        <v>127.4</v>
      </c>
      <c r="C7" s="6" t="n">
        <v>191.2</v>
      </c>
      <c r="D7" s="6" t="n">
        <v>320.9</v>
      </c>
      <c r="E7" s="6" t="n">
        <v>374.3</v>
      </c>
      <c r="F7" s="6" t="n">
        <v>381.6</v>
      </c>
      <c r="G7" s="6" t="n">
        <v>100.5</v>
      </c>
      <c r="H7" s="6" t="n">
        <v>101.5</v>
      </c>
      <c r="I7" s="6" t="n"/>
      <c r="J7" s="6" t="n"/>
      <c r="K7" s="6" t="n"/>
      <c r="L7" s="6" t="n"/>
      <c r="M7" s="6" t="n"/>
    </row>
    <row r="8">
      <c r="A8" s="5" t="inlineStr">
        <is>
          <t>Total gross exposure</t>
        </is>
      </c>
      <c r="B8" s="5" t="n">
        <v>50848.4</v>
      </c>
      <c r="C8" s="5" t="n">
        <v>35448.5</v>
      </c>
      <c r="D8" s="5" t="n">
        <v>38992.9</v>
      </c>
      <c r="E8" s="5" t="n">
        <v>38350.4</v>
      </c>
      <c r="F8" s="5" t="n">
        <v>36179.3</v>
      </c>
      <c r="G8" s="5" t="n">
        <v>18527.3</v>
      </c>
      <c r="H8" s="5" t="n">
        <v>16559.2</v>
      </c>
      <c r="I8" s="5" t="n"/>
      <c r="J8" s="5" t="n"/>
      <c r="K8" s="5" t="n"/>
      <c r="L8" s="5" t="n"/>
      <c r="M8" s="5" t="n"/>
    </row>
    <row r="9">
      <c r="A9" s="5" t="inlineStr">
        <is>
          <t>Impairment allowance by IFRS 9 stage</t>
        </is>
      </c>
      <c r="B9" s="6" t="n"/>
      <c r="C9" s="6" t="n"/>
      <c r="D9" s="6" t="n"/>
      <c r="E9" s="6" t="n"/>
      <c r="F9" s="6" t="n"/>
      <c r="G9" s="6" t="n"/>
      <c r="H9" s="6" t="n"/>
      <c r="I9" s="6" t="n"/>
      <c r="J9" s="6" t="n"/>
      <c r="K9" s="6" t="n"/>
      <c r="L9" s="6" t="n"/>
      <c r="M9" s="6" t="n"/>
    </row>
    <row r="10">
      <c r="A10" s="6" t="inlineStr">
        <is>
          <t>Stage 1: subject to 12-month ECL</t>
        </is>
      </c>
      <c r="B10" s="6" t="n">
        <v>14.8</v>
      </c>
      <c r="C10" s="6" t="n">
        <v>11.3</v>
      </c>
      <c r="D10" s="6" t="n">
        <v>15.6</v>
      </c>
      <c r="E10" s="6" t="n">
        <v>51.1</v>
      </c>
      <c r="F10" s="6" t="n">
        <v>25.1</v>
      </c>
      <c r="G10" s="6" t="n">
        <v>33.5</v>
      </c>
      <c r="H10" s="6" t="n">
        <v>15.7</v>
      </c>
      <c r="I10" s="6" t="n"/>
      <c r="J10" s="6" t="n"/>
      <c r="K10" s="6" t="n"/>
      <c r="L10" s="6" t="n"/>
      <c r="M10" s="6" t="n"/>
    </row>
    <row r="11">
      <c r="A11" s="6" t="inlineStr">
        <is>
          <t>Stage 2: subject to lifetime ECL, not credit-impaired</t>
        </is>
      </c>
      <c r="B11" s="6" t="n">
        <v>121.8</v>
      </c>
      <c r="C11" s="6" t="n">
        <v>125.3</v>
      </c>
      <c r="D11" s="6" t="n">
        <v>170.9</v>
      </c>
      <c r="E11" s="6" t="n">
        <v>103.9</v>
      </c>
      <c r="F11" s="6" t="n">
        <v>78.40000000000001</v>
      </c>
      <c r="G11" s="6" t="n">
        <v>132.7</v>
      </c>
      <c r="H11" s="6" t="n">
        <v>18.4</v>
      </c>
      <c r="I11" s="6" t="n"/>
      <c r="J11" s="6" t="n"/>
      <c r="K11" s="6" t="n"/>
      <c r="L11" s="6" t="n"/>
      <c r="M11" s="6" t="n"/>
    </row>
    <row r="12">
      <c r="A12" s="6" t="inlineStr">
        <is>
          <t>Stage 3: subject to lifetime ECL, credit-impaired</t>
        </is>
      </c>
      <c r="B12" s="6" t="n">
        <v>21.7</v>
      </c>
      <c r="C12" s="6" t="n">
        <v>76</v>
      </c>
      <c r="D12" s="6" t="n">
        <v>18.2</v>
      </c>
      <c r="E12" s="6" t="n">
        <v>34.8</v>
      </c>
      <c r="F12" s="6" t="n">
        <v>40.7</v>
      </c>
      <c r="G12" s="6" t="n">
        <v>45.2</v>
      </c>
      <c r="H12" s="6" t="n">
        <v>39.8</v>
      </c>
      <c r="I12" s="6" t="n"/>
      <c r="J12" s="6" t="n"/>
      <c r="K12" s="6" t="n"/>
      <c r="L12" s="6" t="n"/>
      <c r="M12" s="6" t="n"/>
    </row>
    <row r="13">
      <c r="A13" s="5" t="inlineStr">
        <is>
          <t>Total impairment allowance</t>
        </is>
      </c>
      <c r="B13" s="5" t="n">
        <v>158.3</v>
      </c>
      <c r="C13" s="5" t="n">
        <v>212.6</v>
      </c>
      <c r="D13" s="5" t="n">
        <v>204.7</v>
      </c>
      <c r="E13" s="5" t="n">
        <v>189.8</v>
      </c>
      <c r="F13" s="5" t="n">
        <v>144.2</v>
      </c>
      <c r="G13" s="5" t="n">
        <v>211.4</v>
      </c>
      <c r="H13" s="5" t="n">
        <v>73.8</v>
      </c>
      <c r="I13" s="5" t="n"/>
      <c r="J13" s="5" t="n"/>
      <c r="K13" s="5" t="n"/>
      <c r="L13" s="5" t="n"/>
      <c r="M13" s="5" t="n"/>
    </row>
    <row r="14">
      <c r="A14" s="6" t="inlineStr">
        <is>
          <t>Stage 3 as % of gross exposure (derived)</t>
        </is>
      </c>
      <c r="B14" s="6" t="inlineStr">
        <is>
          <t>0.25%</t>
        </is>
      </c>
      <c r="C14" s="6" t="inlineStr">
        <is>
          <t>0.54%</t>
        </is>
      </c>
      <c r="D14" s="6" t="inlineStr">
        <is>
          <t>0.82%</t>
        </is>
      </c>
      <c r="E14" s="6" t="inlineStr">
        <is>
          <t>0.98%</t>
        </is>
      </c>
      <c r="F14" s="6" t="inlineStr">
        <is>
          <t>1.05%</t>
        </is>
      </c>
      <c r="G14" s="6" t="inlineStr">
        <is>
          <t>0.54%</t>
        </is>
      </c>
      <c r="H14" s="6" t="inlineStr">
        <is>
          <t>0.61%</t>
        </is>
      </c>
      <c r="I14" s="6" t="n"/>
      <c r="J14" s="6" t="n"/>
      <c r="K14" s="6" t="n"/>
      <c r="L14" s="6" t="n"/>
      <c r="M14" s="6" t="n"/>
    </row>
    <row r="15">
      <c r="A15" s="6" t="inlineStr">
        <is>
          <t>Coverage ratio (derived)</t>
        </is>
      </c>
      <c r="B15" s="6" t="inlineStr">
        <is>
          <t>0.31%</t>
        </is>
      </c>
      <c r="C15" s="6" t="inlineStr">
        <is>
          <t>0.60%</t>
        </is>
      </c>
      <c r="D15" s="6" t="inlineStr">
        <is>
          <t>0.52%</t>
        </is>
      </c>
      <c r="E15" s="6" t="inlineStr">
        <is>
          <t>0.49%</t>
        </is>
      </c>
      <c r="F15" s="6" t="inlineStr">
        <is>
          <t>0.40%</t>
        </is>
      </c>
      <c r="G15" s="6" t="inlineStr">
        <is>
          <t>1.14%</t>
        </is>
      </c>
      <c r="H15" s="6" t="inlineStr">
        <is>
          <t>0.45%</t>
        </is>
      </c>
      <c r="I15" s="6" t="n"/>
      <c r="J15" s="6" t="n"/>
      <c r="K15" s="6" t="n"/>
      <c r="L15" s="6" t="n"/>
      <c r="M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row>
    <row r="17">
      <c r="A17" s="6" t="inlineStr">
        <is>
          <t>Normal borrowers (grades 1-6)</t>
        </is>
      </c>
      <c r="B17" s="6" t="n"/>
      <c r="C17" s="6" t="n"/>
      <c r="D17" s="6" t="n"/>
      <c r="E17" s="6" t="n"/>
      <c r="F17" s="6" t="n"/>
      <c r="G17" s="6" t="n"/>
      <c r="H17" s="6" t="n"/>
      <c r="I17" s="6" t="n">
        <v>14218</v>
      </c>
      <c r="J17" s="6" t="n">
        <v>11568.6</v>
      </c>
      <c r="K17" s="6" t="n">
        <v>10302</v>
      </c>
      <c r="L17" s="6" t="n">
        <v>7444</v>
      </c>
      <c r="M17" s="6" t="n">
        <v>6618.6</v>
      </c>
    </row>
    <row r="18">
      <c r="A18" s="6" t="inlineStr">
        <is>
          <t>Borrowers requiring caution (grades 7A/7B)</t>
        </is>
      </c>
      <c r="B18" s="6" t="n"/>
      <c r="C18" s="6" t="n"/>
      <c r="D18" s="6" t="n"/>
      <c r="E18" s="6" t="n"/>
      <c r="F18" s="6" t="n"/>
      <c r="G18" s="6" t="n"/>
      <c r="H18" s="6" t="n"/>
      <c r="I18" s="6" t="n">
        <v>133.4</v>
      </c>
      <c r="J18" s="6" t="n">
        <v>259.2</v>
      </c>
      <c r="K18" s="6" t="n">
        <v>420</v>
      </c>
      <c r="L18" s="6" t="n">
        <v>309.5</v>
      </c>
      <c r="M18" s="6" t="n">
        <v>171.2</v>
      </c>
    </row>
    <row r="19">
      <c r="A19" s="6" t="inlineStr">
        <is>
          <t>Substandard borrowers and below / Default (grades 7R, 8-10)</t>
        </is>
      </c>
      <c r="B19" s="6" t="n"/>
      <c r="C19" s="6" t="n"/>
      <c r="D19" s="6" t="n"/>
      <c r="E19" s="6" t="n"/>
      <c r="F19" s="6" t="n"/>
      <c r="G19" s="6" t="n"/>
      <c r="H19" s="6" t="n"/>
      <c r="I19" s="6" t="n">
        <v>101.5</v>
      </c>
      <c r="J19" s="6" t="n">
        <v>135.1</v>
      </c>
      <c r="K19" s="6" t="n">
        <v>107.9</v>
      </c>
      <c r="L19" s="6" t="n">
        <v>52.7</v>
      </c>
      <c r="M19" s="6" t="n">
        <v>18.5</v>
      </c>
    </row>
    <row r="20">
      <c r="A20" s="5" t="inlineStr">
        <is>
          <t>Total gross loans and advances to customers</t>
        </is>
      </c>
      <c r="B20" s="5" t="n"/>
      <c r="C20" s="5" t="n"/>
      <c r="D20" s="5" t="n"/>
      <c r="E20" s="5" t="n"/>
      <c r="F20" s="5" t="n"/>
      <c r="G20" s="5" t="n"/>
      <c r="H20" s="5" t="n"/>
      <c r="I20" s="5" t="n">
        <v>14452.9</v>
      </c>
      <c r="J20" s="5" t="n">
        <v>11962.9</v>
      </c>
      <c r="K20" s="5" t="n">
        <v>10829.9</v>
      </c>
      <c r="L20" s="5" t="n">
        <v>7806.2</v>
      </c>
      <c r="M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row>
    <row r="22">
      <c r="A22" s="6" t="inlineStr">
        <is>
          <t>Specific provisions</t>
        </is>
      </c>
      <c r="B22" s="6" t="n"/>
      <c r="C22" s="6" t="n"/>
      <c r="D22" s="6" t="n"/>
      <c r="E22" s="6" t="n"/>
      <c r="F22" s="6" t="n"/>
      <c r="G22" s="6" t="n"/>
      <c r="H22" s="6" t="n"/>
      <c r="I22" s="6" t="n">
        <v>78.7</v>
      </c>
      <c r="J22" s="6" t="n">
        <v>69.90000000000001</v>
      </c>
      <c r="K22" s="6" t="n">
        <v>75.3</v>
      </c>
      <c r="L22" s="6" t="n">
        <v>58.9</v>
      </c>
      <c r="M22" s="6" t="n">
        <v>58</v>
      </c>
    </row>
    <row r="23">
      <c r="A23" s="6" t="inlineStr">
        <is>
          <t>Collective provisions</t>
        </is>
      </c>
      <c r="B23" s="6" t="n"/>
      <c r="C23" s="6" t="n"/>
      <c r="D23" s="6" t="n"/>
      <c r="E23" s="6" t="n"/>
      <c r="F23" s="6" t="n"/>
      <c r="G23" s="6" t="n"/>
      <c r="H23" s="6" t="n"/>
      <c r="I23" s="6" t="n">
        <v>32.8</v>
      </c>
      <c r="J23" s="6" t="n">
        <v>31.7</v>
      </c>
      <c r="K23" s="6" t="n">
        <v>40.3</v>
      </c>
      <c r="L23" s="6" t="n">
        <v>25.5</v>
      </c>
      <c r="M23" s="6" t="n">
        <v>27</v>
      </c>
    </row>
    <row r="24">
      <c r="A24" s="5" t="inlineStr">
        <is>
          <t>Total impairment provisions</t>
        </is>
      </c>
      <c r="B24" s="5" t="n"/>
      <c r="C24" s="5" t="n"/>
      <c r="D24" s="5" t="n"/>
      <c r="E24" s="5" t="n"/>
      <c r="F24" s="5" t="n"/>
      <c r="G24" s="5" t="n"/>
      <c r="H24" s="5" t="n"/>
      <c r="I24" s="5" t="n">
        <v>111.5</v>
      </c>
      <c r="J24" s="5" t="n">
        <v>101.6</v>
      </c>
      <c r="K24" s="5" t="n">
        <v>115.7</v>
      </c>
      <c r="L24" s="5" t="n">
        <v>84.40000000000001</v>
      </c>
      <c r="M24" s="5" t="n">
        <v>85</v>
      </c>
    </row>
    <row r="25">
      <c r="A25" s="6" t="inlineStr">
        <is>
          <t>Default as % of gross loans (derived, legacy-basis proxy for Stage 3)</t>
        </is>
      </c>
      <c r="B25" s="6" t="n"/>
      <c r="C25" s="6" t="n"/>
      <c r="D25" s="6" t="n"/>
      <c r="E25" s="6" t="n"/>
      <c r="F25" s="6" t="n"/>
      <c r="G25" s="6" t="n"/>
      <c r="H25" s="6" t="n"/>
      <c r="I25" s="6" t="inlineStr">
        <is>
          <t>0.70%</t>
        </is>
      </c>
      <c r="J25" s="6" t="inlineStr">
        <is>
          <t>1.13%</t>
        </is>
      </c>
      <c r="K25" s="6" t="inlineStr">
        <is>
          <t>1.00%</t>
        </is>
      </c>
      <c r="L25" s="6" t="inlineStr">
        <is>
          <t>0.67%</t>
        </is>
      </c>
      <c r="M25" s="6" t="inlineStr">
        <is>
          <t>0.27%</t>
        </is>
      </c>
    </row>
    <row r="26">
      <c r="A26" s="6" t="inlineStr">
        <is>
          <t>Coverage ratio (derived, legacy basis)</t>
        </is>
      </c>
      <c r="B26" s="6" t="n"/>
      <c r="C26" s="6" t="n"/>
      <c r="D26" s="6" t="n"/>
      <c r="E26" s="6" t="n"/>
      <c r="F26" s="6" t="n"/>
      <c r="G26" s="6" t="n"/>
      <c r="H26" s="6" t="n"/>
      <c r="I26" s="6" t="inlineStr">
        <is>
          <t>0.77%</t>
        </is>
      </c>
      <c r="J26" s="6" t="inlineStr">
        <is>
          <t>0.85%</t>
        </is>
      </c>
      <c r="K26" s="6" t="inlineStr">
        <is>
          <t>1.07%</t>
        </is>
      </c>
      <c r="L26" s="6" t="inlineStr">
        <is>
          <t>1.08%</t>
        </is>
      </c>
      <c r="M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RWAs</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exposure amount</t>
        </is>
      </c>
      <c r="B4" s="6" t="n">
        <v>26251.7</v>
      </c>
      <c r="C4" s="6" t="n">
        <v>22262.5</v>
      </c>
      <c r="D4" s="6" t="n">
        <v>23114.7</v>
      </c>
      <c r="E4" s="6" t="n">
        <v>22748.1</v>
      </c>
      <c r="F4" s="6" t="n">
        <v>20775.7</v>
      </c>
      <c r="G4" s="6" t="n">
        <v>23347.8</v>
      </c>
      <c r="H4" s="6" t="n">
        <v>17925.6</v>
      </c>
      <c r="I4" s="6" t="n">
        <v>17164.8</v>
      </c>
      <c r="J4" s="6" t="n">
        <v>14613.8</v>
      </c>
      <c r="K4" s="6" t="n">
        <v>13938.7</v>
      </c>
      <c r="L4" s="6" t="n">
        <v>9780</v>
      </c>
      <c r="M4" s="6" t="n">
        <v>9013</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6" t="inlineStr">
        <is>
          <t>Credit risk (excluding CCR)</t>
        </is>
      </c>
      <c r="B4" s="6" t="n">
        <v>21602.6</v>
      </c>
      <c r="C4" s="6" t="n">
        <v>19120.5</v>
      </c>
      <c r="D4" s="6" t="n">
        <v>19916.7</v>
      </c>
      <c r="E4" s="6" t="n">
        <v>20050.9</v>
      </c>
      <c r="F4" s="6" t="n">
        <v>18538.7</v>
      </c>
      <c r="G4" s="6" t="n">
        <v>21795.1</v>
      </c>
      <c r="H4" s="6" t="n">
        <v>16676.9</v>
      </c>
      <c r="I4" s="6" t="n">
        <v>15925.9</v>
      </c>
      <c r="J4" s="6" t="n">
        <v>13487.5</v>
      </c>
      <c r="K4" s="6" t="n">
        <v>12961.7</v>
      </c>
      <c r="L4" s="6" t="n">
        <v>9074.200000000001</v>
      </c>
      <c r="M4" s="6" t="n">
        <v>8425.700000000001</v>
      </c>
    </row>
    <row r="5">
      <c r="A5" s="6" t="inlineStr">
        <is>
          <t>Counterparty credit risk (CCR)</t>
        </is>
      </c>
      <c r="B5" s="6" t="n">
        <v>1426</v>
      </c>
      <c r="C5" s="6" t="n">
        <v>1392.5</v>
      </c>
      <c r="D5" s="6" t="n">
        <v>1408.9</v>
      </c>
      <c r="E5" s="6" t="n">
        <v>990</v>
      </c>
      <c r="F5" s="6" t="n">
        <v>543.6</v>
      </c>
      <c r="G5" s="6" t="n"/>
      <c r="H5" s="6" t="n"/>
      <c r="I5" s="6" t="n"/>
      <c r="J5" s="6" t="n"/>
      <c r="K5" s="6" t="n"/>
      <c r="L5" s="6" t="n"/>
      <c r="M5" s="6" t="n"/>
    </row>
    <row r="6">
      <c r="A6" s="6" t="inlineStr">
        <is>
          <t>Position, foreign exchange and commodities risks (market risk)</t>
        </is>
      </c>
      <c r="B6" s="6" t="n">
        <v>1408.2</v>
      </c>
      <c r="C6" s="6" t="n">
        <v>154.4</v>
      </c>
      <c r="D6" s="6" t="n">
        <v>376.9</v>
      </c>
      <c r="E6" s="6" t="n">
        <v>463.5</v>
      </c>
      <c r="F6" s="6" t="n">
        <v>524.1</v>
      </c>
      <c r="G6" s="6" t="n">
        <v>300.3</v>
      </c>
      <c r="H6" s="6" t="n">
        <v>152.6</v>
      </c>
      <c r="I6" s="6" t="n">
        <v>303.8</v>
      </c>
      <c r="J6" s="6" t="n">
        <v>137.9</v>
      </c>
      <c r="K6" s="6" t="n">
        <v>150.4</v>
      </c>
      <c r="L6" s="6" t="n">
        <v>118.7</v>
      </c>
      <c r="M6" s="6" t="n">
        <v>126.5</v>
      </c>
    </row>
    <row r="7">
      <c r="A7" s="6" t="inlineStr">
        <is>
          <t>Operational risk</t>
        </is>
      </c>
      <c r="B7" s="6" t="n">
        <v>1814.9</v>
      </c>
      <c r="C7" s="6" t="n">
        <v>1595.9</v>
      </c>
      <c r="D7" s="6" t="n">
        <v>1411.4</v>
      </c>
      <c r="E7" s="6" t="n">
        <v>1243.7</v>
      </c>
      <c r="F7" s="6" t="n">
        <v>1169.2</v>
      </c>
      <c r="G7" s="6" t="n">
        <v>1251.7</v>
      </c>
      <c r="H7" s="6" t="n">
        <v>1095.5</v>
      </c>
      <c r="I7" s="6" t="n">
        <v>935.3</v>
      </c>
      <c r="J7" s="6" t="n">
        <v>988.5</v>
      </c>
      <c r="K7" s="6" t="n">
        <v>826.8</v>
      </c>
      <c r="L7" s="6" t="n">
        <v>586.9</v>
      </c>
      <c r="M7" s="6" t="n">
        <v>460.9</v>
      </c>
    </row>
    <row r="8">
      <c r="A8" s="5" t="inlineStr">
        <is>
          <t>Total risk weighted exposure amount</t>
        </is>
      </c>
      <c r="B8" s="5" t="n">
        <v>26251.7</v>
      </c>
      <c r="C8" s="5" t="n">
        <v>22262.5</v>
      </c>
      <c r="D8" s="5" t="n">
        <v>23114.7</v>
      </c>
      <c r="E8" s="5" t="n">
        <v>22748.1</v>
      </c>
      <c r="F8" s="5" t="n">
        <v>20775.7</v>
      </c>
      <c r="G8" s="5" t="n">
        <v>23347.8</v>
      </c>
      <c r="H8" s="5" t="n">
        <v>17925.6</v>
      </c>
      <c r="I8" s="5" t="n">
        <v>17164.8</v>
      </c>
      <c r="J8" s="5" t="n">
        <v>14613.8</v>
      </c>
      <c r="K8" s="5" t="n">
        <v>13938.7</v>
      </c>
      <c r="L8" s="5" t="n">
        <v>9780</v>
      </c>
      <c r="M8" s="5" t="n">
        <v>9013</v>
      </c>
    </row>
    <row r="9">
      <c r="A9" s="6" t="inlineStr">
        <is>
          <t>Memo: amounts below thresholds for deduction (not summed into Total)</t>
        </is>
      </c>
      <c r="B9" s="6" t="n">
        <v>76.7</v>
      </c>
      <c r="C9" s="6" t="n">
        <v>92.59999999999999</v>
      </c>
      <c r="D9" s="6" t="n">
        <v>52.6</v>
      </c>
      <c r="E9" s="6" t="n">
        <v>60.8</v>
      </c>
      <c r="F9" s="6" t="n">
        <v>37.7</v>
      </c>
      <c r="G9" s="6" t="n"/>
      <c r="H9" s="6" t="n"/>
      <c r="I9" s="6" t="n"/>
      <c r="J9" s="6" t="n"/>
      <c r="K9" s="6" t="n"/>
      <c r="L9" s="6" t="n"/>
      <c r="M9" s="6" t="n"/>
    </row>
    <row r="11" ht="340" customHeight="1">
      <c r="A11" s="8" t="inlineStr">
        <is>
          <t>Sources - SMBC Bank International plc's own Basel III Pillar 3 Disclosures, Table OV1 - Overview of risk weighted exposure amounts, converted from USD to £m (see FX conversion note below):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https://web.archive.org/web/20240712094621/https://www.smbcgroup.com/emea/images/SMBC/media/Notices-Reporting/Corporate%20Disclosures/smbcbi-pillar3-2022.pdf
FY2020: Sections 9.3/9.4 Pillar 1 overview &amp; Capital adequacy ratio &amp; capital requirements, pp.34-35 - https://web.archive.org/web/20240527071545/https://www.smbcgroup.com/emea/images/SMBC/media/SMBC/pdf/disclosures/smbce-pillar3-2020.pdf
FY2019: Section 9 Capital Adequacy, pp.6-7 - https://web.archive.org/web/20240527071944/https://www.smbcgroup.com/emea/images/SMBC/media/SMBC/pdf/disclosures/smbce-pillar3-2019.pdf
FY2018: Section 9 Capital Adequacy, pp.6-7 - https://web.archive.org/web/20240527071821/https://www.smbcgroup.com/emea/images/SMBC/media/SMBC/pdf/disclosures/smbce-pillar3-20180331.pdf
FY2017: Section 9 Capital Adequacy, p.6 - https://web.archive.org/web/20230330205458/https://www.smbcgroup.com/emea/images/SMBC/media/SMBC/pdf/disclosures/pillar3disclosures310317.pdf
FY2016: Section 9.3/9.4 Capital Adequacy, pp.6-7 - https://web.archive.org/web/20240527070848/https://www.smbcgroup.com/emea/images/SMBC/media/SMBC/pdf/disclosures/pillar3disclosures310316.pdf
FY2015: Sections 9.1-9.3 Capital Adequacy, pp.24-25 - https://web.archive.org/web/20240527065243/https://www.smbcgroup.com/emea/images/SMBC/media/SMBC/pdf/disclosures/pillar3-31-03-15.pdf
FY2014: Sections 9.1-9.4 Capital Adequacy, pp.30-31 - https://web.archive.org/web/20240701160935/https://www.smbcgroup.com/emea/images/SMBC/media/SMBC/pdf/disclosures/pillar3-31mar14.pdf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2013 spot 1.5181 (FY2014 opening cash only);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Leverage Ratio</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44358.6</v>
      </c>
      <c r="C4" s="6" t="n">
        <v>29347.7</v>
      </c>
      <c r="D4" s="6" t="n">
        <v>29693.5</v>
      </c>
      <c r="E4" s="6" t="n">
        <v>30017.5</v>
      </c>
      <c r="F4" s="6" t="n">
        <v>45325.7</v>
      </c>
      <c r="G4" s="6" t="n">
        <v>54711.5</v>
      </c>
      <c r="H4" s="6" t="n">
        <v>43508.1</v>
      </c>
      <c r="I4" s="6" t="n">
        <v>50105</v>
      </c>
      <c r="J4" s="6" t="n">
        <v>36509.2</v>
      </c>
      <c r="K4" s="6" t="n">
        <v>36110</v>
      </c>
      <c r="L4" s="6" t="n">
        <v>25084.5</v>
      </c>
      <c r="M4" s="6" t="n">
        <v>26146.5</v>
      </c>
    </row>
    <row r="5">
      <c r="A5" s="6" t="inlineStr">
        <is>
          <t>Leverage ratio excluding claims on central banks (%)</t>
        </is>
      </c>
      <c r="B5" s="6" t="inlineStr">
        <is>
          <t>10.1%</t>
        </is>
      </c>
      <c r="C5" s="6" t="inlineStr">
        <is>
          <t>14.8%</t>
        </is>
      </c>
      <c r="D5" s="6" t="inlineStr">
        <is>
          <t>13.8%</t>
        </is>
      </c>
      <c r="E5" s="6" t="inlineStr">
        <is>
          <t>12.4%</t>
        </is>
      </c>
      <c r="F5" s="6" t="inlineStr">
        <is>
          <t>7.7%</t>
        </is>
      </c>
      <c r="G5" s="6" t="inlineStr">
        <is>
          <t>6.8%</t>
        </is>
      </c>
      <c r="H5" s="6" t="inlineStr">
        <is>
          <t>7.6%</t>
        </is>
      </c>
      <c r="I5" s="6" t="inlineStr">
        <is>
          <t>5.8%</t>
        </is>
      </c>
      <c r="J5" s="6" t="inlineStr">
        <is>
          <t>8.4%</t>
        </is>
      </c>
      <c r="K5" s="6" t="inlineStr">
        <is>
          <t>7.1%</t>
        </is>
      </c>
      <c r="L5" s="6" t="inlineStr">
        <is>
          <t>9.7%</t>
        </is>
      </c>
      <c r="M5" s="6" t="inlineStr">
        <is>
          <t>7.7%</t>
        </is>
      </c>
    </row>
    <row r="6">
      <c r="A6" s="6" t="inlineStr">
        <is>
          <t>Leverage ratio including claims on central banks (%)</t>
        </is>
      </c>
      <c r="B6" s="6" t="inlineStr">
        <is>
          <t>7.0%</t>
        </is>
      </c>
      <c r="C6" s="6" t="inlineStr">
        <is>
          <t>9.2%</t>
        </is>
      </c>
      <c r="D6" s="6" t="inlineStr">
        <is>
          <t>8.2%</t>
        </is>
      </c>
      <c r="E6" s="6" t="n"/>
      <c r="F6" s="6" t="n"/>
      <c r="G6" s="6" t="n"/>
      <c r="H6" s="6" t="n"/>
      <c r="I6" s="6" t="n"/>
      <c r="J6" s="6" t="n"/>
      <c r="K6" s="6" t="n"/>
      <c r="L6" s="6" t="n"/>
      <c r="M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 quality liquid assets (HQLA), weighted value (average)</t>
        </is>
      </c>
      <c r="B4" s="6" t="n">
        <v>19642.9</v>
      </c>
      <c r="C4" s="6" t="n">
        <v>19847.2</v>
      </c>
      <c r="D4" s="6" t="n">
        <v>22460.4</v>
      </c>
      <c r="E4" s="6" t="n">
        <v>20635.2</v>
      </c>
      <c r="F4" s="6" t="n">
        <v>18314</v>
      </c>
      <c r="G4" s="6" t="n">
        <v>20703.7</v>
      </c>
      <c r="H4" s="6" t="n">
        <v>15906.8</v>
      </c>
      <c r="I4" s="6" t="n">
        <v>25420.1</v>
      </c>
      <c r="J4" s="6" t="n">
        <v>14673.1</v>
      </c>
      <c r="K4" s="6" t="n">
        <v>14477.5</v>
      </c>
      <c r="L4" s="6" t="n">
        <v>10536.6</v>
      </c>
      <c r="M4" s="6" t="n"/>
    </row>
    <row r="5">
      <c r="A5" s="6" t="inlineStr">
        <is>
          <t>Total net cash outflows (adjusted value)</t>
        </is>
      </c>
      <c r="B5" s="6" t="n">
        <v>12265.7</v>
      </c>
      <c r="C5" s="6" t="n">
        <v>12753.3</v>
      </c>
      <c r="D5" s="6" t="n">
        <v>15443.2</v>
      </c>
      <c r="E5" s="6" t="n">
        <v>15222.6</v>
      </c>
      <c r="F5" s="6" t="n">
        <v>12631.4</v>
      </c>
      <c r="G5" s="6" t="n">
        <v>16408.9</v>
      </c>
      <c r="H5" s="6" t="n">
        <v>11252</v>
      </c>
      <c r="I5" s="6" t="n">
        <v>18600.2</v>
      </c>
      <c r="J5" s="6" t="n">
        <v>11212.9</v>
      </c>
      <c r="K5" s="6" t="n">
        <v>14875.8</v>
      </c>
      <c r="L5" s="6" t="n">
        <v>9150.299999999999</v>
      </c>
      <c r="M5" s="6" t="n"/>
    </row>
    <row r="6">
      <c r="A6" s="6" t="inlineStr">
        <is>
          <t>Liquidity coverage ratio (%)</t>
        </is>
      </c>
      <c r="B6" s="6" t="inlineStr">
        <is>
          <t>160.1%</t>
        </is>
      </c>
      <c r="C6" s="6" t="inlineStr">
        <is>
          <t>155.6%</t>
        </is>
      </c>
      <c r="D6" s="6" t="inlineStr">
        <is>
          <t>145.4%</t>
        </is>
      </c>
      <c r="E6" s="6" t="inlineStr">
        <is>
          <t>136%</t>
        </is>
      </c>
      <c r="F6" s="6" t="inlineStr">
        <is>
          <t>145.0%</t>
        </is>
      </c>
      <c r="G6" s="6" t="inlineStr">
        <is>
          <t>126.2%</t>
        </is>
      </c>
      <c r="H6" s="6" t="inlineStr">
        <is>
          <t>141.4%</t>
        </is>
      </c>
      <c r="I6" s="6" t="inlineStr">
        <is>
          <t>133.4%</t>
        </is>
      </c>
      <c r="J6" s="6" t="inlineStr">
        <is>
          <t>125.5%</t>
        </is>
      </c>
      <c r="K6" s="6" t="inlineStr">
        <is>
          <t>97.3%</t>
        </is>
      </c>
      <c r="L6" s="6" t="inlineStr">
        <is>
          <t>115.2%</t>
        </is>
      </c>
      <c r="M6" s="6" t="n"/>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NSFR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17562.4</v>
      </c>
      <c r="C4" s="6" t="n">
        <v>18988.3</v>
      </c>
      <c r="D4" s="6" t="n">
        <v>19398.3</v>
      </c>
      <c r="E4" s="6" t="n">
        <v>17963.1</v>
      </c>
      <c r="F4" s="6" t="n">
        <v>19570.9</v>
      </c>
      <c r="G4" s="6" t="n">
        <v>19140.9</v>
      </c>
      <c r="H4" s="6" t="n">
        <v>16495.9</v>
      </c>
      <c r="I4" s="6" t="n">
        <v>14512.9</v>
      </c>
      <c r="J4" s="6" t="n">
        <v>11094</v>
      </c>
      <c r="K4" s="6" t="n"/>
      <c r="L4" s="6" t="n"/>
      <c r="M4" s="6" t="n"/>
    </row>
    <row r="5">
      <c r="A5" s="6" t="inlineStr">
        <is>
          <t>Total required stable funding</t>
        </is>
      </c>
      <c r="B5" s="6" t="n">
        <v>13808.7</v>
      </c>
      <c r="C5" s="6" t="n">
        <v>13388.2</v>
      </c>
      <c r="D5" s="6" t="n">
        <v>13619.4</v>
      </c>
      <c r="E5" s="6" t="n">
        <v>13457.7</v>
      </c>
      <c r="F5" s="6" t="n">
        <v>14441.1</v>
      </c>
      <c r="G5" s="6" t="n">
        <v>17789.5</v>
      </c>
      <c r="H5" s="6" t="n">
        <v>14927.2</v>
      </c>
      <c r="I5" s="6" t="n">
        <v>14108.1</v>
      </c>
      <c r="J5" s="6" t="n">
        <v>11544.3</v>
      </c>
      <c r="K5" s="6" t="n"/>
      <c r="L5" s="6" t="n"/>
      <c r="M5" s="6" t="n"/>
    </row>
    <row r="6">
      <c r="A6" s="6" t="inlineStr">
        <is>
          <t>NSFR ratio (%)</t>
        </is>
      </c>
      <c r="B6" s="6" t="inlineStr">
        <is>
          <t>127.2%</t>
        </is>
      </c>
      <c r="C6" s="6" t="inlineStr">
        <is>
          <t>141.8%</t>
        </is>
      </c>
      <c r="D6" s="6" t="inlineStr">
        <is>
          <t>142.4%</t>
        </is>
      </c>
      <c r="E6" s="6" t="inlineStr">
        <is>
          <t>133.5%</t>
        </is>
      </c>
      <c r="F6" s="6" t="inlineStr">
        <is>
          <t>135.5%</t>
        </is>
      </c>
      <c r="G6" s="6" t="inlineStr">
        <is>
          <t>107.6%</t>
        </is>
      </c>
      <c r="H6" s="6" t="inlineStr">
        <is>
          <t>110.5%</t>
        </is>
      </c>
      <c r="I6" s="6" t="inlineStr">
        <is>
          <t>102.9%</t>
        </is>
      </c>
      <c r="J6" s="6" t="inlineStr">
        <is>
          <t>96.1%</t>
        </is>
      </c>
      <c r="K6" s="6" t="n"/>
      <c r="L6" s="6" t="n"/>
      <c r="M6" s="6" t="n"/>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of any kind (numeric or qualitative) appears in any of the 12 years' Pillar 3 disclosures (FY2014-FY2025)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2026-09-05T20:52:15Z</dcterms:created>
  <dcterms:modified xmlns:dcterms="http://purl.org/dc/terms/" xmlns:xsi="http://www.w3.org/2001/XMLSchema-instance" xsi:type="dcterms:W3CDTF">2026-09-05T20:52:16Z</dcterms:modified>
</cp:coreProperties>
</file>