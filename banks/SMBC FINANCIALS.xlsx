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Interim Pillar 3"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1B6B3C"/>
        <bgColor rgb="001B6B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SMBC Bank International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'Overview'!Q6</f>
            </strRef>
          </tx>
          <spPr>
            <a:ln xmlns:a="http://schemas.openxmlformats.org/drawingml/2006/main">
              <a:prstDash val="solid"/>
            </a:ln>
          </spPr>
          <cat>
            <numRef>
              <f>'Overview'!$R$5:$AD$5</f>
            </numRef>
          </cat>
          <val>
            <numRef>
              <f>'Overview'!$R$6:$AD$6</f>
            </numRef>
          </val>
        </ser>
        <ser>
          <idx val="1"/>
          <order val="1"/>
          <tx>
            <strRef>
              <f>'Overview'!Q7</f>
            </strRef>
          </tx>
          <spPr>
            <a:ln xmlns:a="http://schemas.openxmlformats.org/drawingml/2006/main">
              <a:prstDash val="solid"/>
            </a:ln>
          </spPr>
          <cat>
            <numRef>
              <f>'Overview'!$R$5:$AD$5</f>
            </numRef>
          </cat>
          <val>
            <numRef>
              <f>'Overview'!$R$7:$AD$7</f>
            </numRef>
          </val>
        </ser>
        <ser>
          <idx val="2"/>
          <order val="2"/>
          <tx>
            <strRef>
              <f>'Overview'!Q8</f>
            </strRef>
          </tx>
          <spPr>
            <a:ln xmlns:a="http://schemas.openxmlformats.org/drawingml/2006/main">
              <a:prstDash val="solid"/>
            </a:ln>
          </spPr>
          <cat>
            <numRef>
              <f>'Overview'!$R$5:$AD$5</f>
            </numRef>
          </cat>
          <val>
            <numRef>
              <f>'Overview'!$R$8:$AD$8</f>
            </numRef>
          </val>
        </ser>
        <ser>
          <idx val="3"/>
          <order val="3"/>
          <tx>
            <strRef>
              <f>'Overview'!Q9</f>
            </strRef>
          </tx>
          <spPr>
            <a:ln xmlns:a="http://schemas.openxmlformats.org/drawingml/2006/main">
              <a:prstDash val="solid"/>
            </a:ln>
          </spPr>
          <cat>
            <numRef>
              <f>'Overview'!$R$5:$AD$5</f>
            </numRef>
          </cat>
          <val>
            <numRef>
              <f>'Overview'!$R$9:$AD$9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SMBC Bank International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'Overview'!AG13</f>
            </strRef>
          </tx>
          <spPr>
            <a:ln xmlns:a="http://schemas.openxmlformats.org/drawingml/2006/main">
              <a:prstDash val="solid"/>
            </a:ln>
          </spPr>
          <cat>
            <numRef>
              <f>'Overview'!$AH$12:$AT$12</f>
            </numRef>
          </cat>
          <val>
            <numRef>
              <f>'Overview'!$AH$13:$AT$13</f>
            </numRef>
          </val>
        </ser>
        <ser>
          <idx val="1"/>
          <order val="1"/>
          <tx>
            <strRef>
              <f>'Overview'!AG14</f>
            </strRef>
          </tx>
          <spPr>
            <a:ln xmlns:a="http://schemas.openxmlformats.org/drawingml/2006/main">
              <a:prstDash val="solid"/>
            </a:ln>
          </spPr>
          <cat>
            <numRef>
              <f>'Overview'!$AH$12:$AT$12</f>
            </numRef>
          </cat>
          <val>
            <numRef>
              <f>'Overview'!$AH$14:$AT$14</f>
            </numRef>
          </val>
        </ser>
        <ser>
          <idx val="2"/>
          <order val="2"/>
          <tx>
            <strRef>
              <f>'Overview'!AG15</f>
            </strRef>
          </tx>
          <spPr>
            <a:ln xmlns:a="http://schemas.openxmlformats.org/drawingml/2006/main">
              <a:prstDash val="solid"/>
            </a:ln>
          </spPr>
          <cat>
            <numRef>
              <f>'Overview'!$AH$12:$AT$12</f>
            </numRef>
          </cat>
          <val>
            <numRef>
              <f>'Overview'!$AH$15:$AT$15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SMBC Bank International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'Overview'!AW19</f>
            </strRef>
          </tx>
          <spPr>
            <a:ln xmlns:a="http://schemas.openxmlformats.org/drawingml/2006/main">
              <a:prstDash val="solid"/>
            </a:ln>
          </spPr>
          <cat>
            <numRef>
              <f>'Overview'!$AX$18:$BJ$18</f>
            </numRef>
          </cat>
          <val>
            <numRef>
              <f>'Overview'!$AX$19:$BJ$19</f>
            </numRef>
          </val>
        </ser>
        <ser>
          <idx val="1"/>
          <order val="1"/>
          <tx>
            <strRef>
              <f>'Overview'!AW20</f>
            </strRef>
          </tx>
          <spPr>
            <a:ln xmlns:a="http://schemas.openxmlformats.org/drawingml/2006/main">
              <a:prstDash val="solid"/>
            </a:ln>
          </spPr>
          <cat>
            <numRef>
              <f>'Overview'!$AX$18:$BJ$18</f>
            </numRef>
          </cat>
          <val>
            <numRef>
              <f>'Overview'!$AX$20:$BJ$20</f>
            </numRef>
          </val>
        </ser>
        <ser>
          <idx val="2"/>
          <order val="2"/>
          <tx>
            <strRef>
              <f>'Overview'!AW21</f>
            </strRef>
          </tx>
          <spPr>
            <a:ln xmlns:a="http://schemas.openxmlformats.org/drawingml/2006/main">
              <a:prstDash val="solid"/>
            </a:ln>
          </spPr>
          <cat>
            <numRef>
              <f>'Overview'!$AX$18:$BJ$18</f>
            </numRef>
          </cat>
          <val>
            <numRef>
              <f>'Overview'!$AX$21:$BJ$21</f>
            </numRef>
          </val>
        </ser>
        <ser>
          <idx val="3"/>
          <order val="3"/>
          <tx>
            <strRef>
              <f>'Overview'!AW22</f>
            </strRef>
          </tx>
          <spPr>
            <a:ln xmlns:a="http://schemas.openxmlformats.org/drawingml/2006/main">
              <a:prstDash val="solid"/>
            </a:ln>
          </spPr>
          <cat>
            <numRef>
              <f>'Overview'!$AX$18:$BJ$18</f>
            </numRef>
          </cat>
          <val>
            <numRef>
              <f>'Overview'!$AX$22:$BJ$22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SMBC Bank International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'Overview'!BM26</f>
            </strRef>
          </tx>
          <spPr>
            <a:ln xmlns:a="http://schemas.openxmlformats.org/drawingml/2006/main">
              <a:prstDash val="solid"/>
            </a:ln>
          </spPr>
          <cat>
            <numRef>
              <f>'Overview'!$BN$25:$BZ$25</f>
            </numRef>
          </cat>
          <val>
            <numRef>
              <f>'Overview'!$BN$26:$BZ$26</f>
            </numRef>
          </val>
        </ser>
        <ser>
          <idx val="1"/>
          <order val="1"/>
          <tx>
            <strRef>
              <f>'Overview'!BM27</f>
            </strRef>
          </tx>
          <spPr>
            <a:ln xmlns:a="http://schemas.openxmlformats.org/drawingml/2006/main">
              <a:prstDash val="solid"/>
            </a:ln>
          </spPr>
          <cat>
            <numRef>
              <f>'Overview'!$BN$25:$BZ$25</f>
            </numRef>
          </cat>
          <val>
            <numRef>
              <f>'Overview'!$BN$27:$BZ$27</f>
            </numRef>
          </val>
        </ser>
        <ser>
          <idx val="2"/>
          <order val="2"/>
          <tx>
            <strRef>
              <f>'Overview'!BM28</f>
            </strRef>
          </tx>
          <spPr>
            <a:ln xmlns:a="http://schemas.openxmlformats.org/drawingml/2006/main">
              <a:prstDash val="solid"/>
            </a:ln>
          </spPr>
          <cat>
            <numRef>
              <f>'Overview'!$BN$25:$BZ$25</f>
            </numRef>
          </cat>
          <val>
            <numRef>
              <f>'Overview'!$BN$28:$BZ$28</f>
            </numRef>
          </val>
        </ser>
        <ser>
          <idx val="3"/>
          <order val="3"/>
          <tx>
            <strRef>
              <f>'Overview'!BM29</f>
            </strRef>
          </tx>
          <spPr>
            <a:ln xmlns:a="http://schemas.openxmlformats.org/drawingml/2006/main">
              <a:prstDash val="solid"/>
            </a:ln>
          </spPr>
          <cat>
            <numRef>
              <f>'Overview'!$BN$25:$BZ$25</f>
            </numRef>
          </cat>
          <val>
            <numRef>
              <f>'Overview'!$BN$29:$BZ$29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SMBC Bank International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'Overview'!CC6</f>
            </strRef>
          </tx>
          <spPr>
            <a:ln xmlns:a="http://schemas.openxmlformats.org/drawingml/2006/main">
              <a:prstDash val="solid"/>
            </a:ln>
          </spPr>
          <marker>
            <symbol val="none"/>
            <spPr>
              <a:ln xmlns:a="http://schemas.openxmlformats.org/drawingml/2006/main">
                <a:prstDash val="solid"/>
              </a:ln>
            </spPr>
          </marker>
          <cat>
            <numRef>
              <f>'Overview'!$CD$5:$CP$5</f>
            </numRef>
          </cat>
          <val>
            <numRef>
              <f>'Overview'!$CD$6:$CP$6</f>
            </numRef>
          </val>
          <smooth val="0"/>
        </ser>
        <ser>
          <idx val="1"/>
          <order val="1"/>
          <tx>
            <strRef>
              <f>'Overview'!CC7</f>
            </strRef>
          </tx>
          <spPr>
            <a:ln xmlns:a="http://schemas.openxmlformats.org/drawingml/2006/main">
              <a:prstDash val="solid"/>
            </a:ln>
          </spPr>
          <marker>
            <symbol val="none"/>
            <spPr>
              <a:ln xmlns:a="http://schemas.openxmlformats.org/drawingml/2006/main">
                <a:prstDash val="solid"/>
              </a:ln>
            </spPr>
          </marker>
          <cat>
            <numRef>
              <f>'Overview'!$CD$5:$CP$5</f>
            </numRef>
          </cat>
          <val>
            <numRef>
              <f>'Overview'!$CD$7:$CP$7</f>
            </numRef>
          </val>
          <smooth val="0"/>
        </ser>
        <ser>
          <idx val="2"/>
          <order val="2"/>
          <tx>
            <strRef>
              <f>'Overview'!CC8</f>
            </strRef>
          </tx>
          <spPr>
            <a:ln xmlns:a="http://schemas.openxmlformats.org/drawingml/2006/main">
              <a:prstDash val="solid"/>
            </a:ln>
          </spPr>
          <marker>
            <symbol val="none"/>
            <spPr>
              <a:ln xmlns:a="http://schemas.openxmlformats.org/drawingml/2006/main">
                <a:prstDash val="solid"/>
              </a:ln>
            </spPr>
          </marker>
          <cat>
            <numRef>
              <f>'Overview'!$CD$5:$CP$5</f>
            </numRef>
          </cat>
          <val>
            <numRef>
              <f>'Overview'!$CD$8:$CP$8</f>
            </numRef>
          </val>
          <smooth val="0"/>
        </ser>
        <ser>
          <idx val="3"/>
          <order val="3"/>
          <tx>
            <strRef>
              <f>'Overview'!CC9</f>
            </strRef>
          </tx>
          <spPr>
            <a:ln xmlns:a="http://schemas.openxmlformats.org/drawingml/2006/main">
              <a:prstDash val="solid"/>
            </a:ln>
          </spPr>
          <marker>
            <symbol val="none"/>
            <spPr>
              <a:ln xmlns:a="http://schemas.openxmlformats.org/drawingml/2006/main">
                <a:prstDash val="solid"/>
              </a:ln>
            </spPr>
          </marker>
          <cat>
            <numRef>
              <f>'Overview'!$CD$5:$CP$5</f>
            </numRef>
          </cat>
          <val>
            <numRef>
              <f>'Overview'!$CD$9:$CP$9</f>
            </numRef>
          </val>
          <smooth val="0"/>
        </ser>
        <ser>
          <idx val="4"/>
          <order val="4"/>
          <tx>
            <strRef>
              <f>'Overview'!CC10</f>
            </strRef>
          </tx>
          <spPr>
            <a:ln xmlns:a="http://schemas.openxmlformats.org/drawingml/2006/main">
              <a:prstDash val="solid"/>
            </a:ln>
          </spPr>
          <marker>
            <symbol val="none"/>
            <spPr>
              <a:ln xmlns:a="http://schemas.openxmlformats.org/drawingml/2006/main">
                <a:prstDash val="solid"/>
              </a:ln>
            </spPr>
          </marker>
          <cat>
            <numRef>
              <f>'Overview'!$CD$5:$CP$5</f>
            </numRef>
          </cat>
          <val>
            <numRef>
              <f>'Overview'!$CD$10:$CP$10</f>
            </numRef>
          </val>
          <smooth val="0"/>
        </ser>
        <ser>
          <idx val="5"/>
          <order val="5"/>
          <tx>
            <strRef>
              <f>'Overview'!CC11</f>
            </strRef>
          </tx>
          <spPr>
            <a:ln xmlns:a="http://schemas.openxmlformats.org/drawingml/2006/main">
              <a:prstDash val="solid"/>
            </a:ln>
          </spPr>
          <marker>
            <symbol val="none"/>
            <spPr>
              <a:ln xmlns:a="http://schemas.openxmlformats.org/drawingml/2006/main">
                <a:prstDash val="solid"/>
              </a:ln>
            </spPr>
          </marker>
          <cat>
            <numRef>
              <f>'Overview'!$CD$5:$CP$5</f>
            </numRef>
          </cat>
          <val>
            <numRef>
              <f>'Overview'!$CD$11:$CP$11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hyperlink" Target="https://www.smbcgroup.com/emea/getmedia/0d5f0926-6436-48ef-a708-377fa7898591/SMBC-BI-Pillar-3-Dec-25-v3.pdf" TargetMode="External" Id="rId1"/><Relationship Type="http://schemas.openxmlformats.org/officeDocument/2006/relationships/hyperlink" Target="https://www.smbcgroup.com/emea/getmedia/bd6c0013-d139-4ba1-913c-96bbd44efe1f/SMBC-BI-Pillar-3-Sept-25.pdf" TargetMode="External" Id="rId2"/><Relationship Type="http://schemas.openxmlformats.org/officeDocument/2006/relationships/hyperlink" Target="https://www.smbcgroup.com/emea/getmedia/97fab1b7-9060-4cfe-93c7-09d3172181ac/SMBC-BI-Pillar-3-June-25.pdf" TargetMode="External" Id="rId3"/><Relationship Type="http://schemas.openxmlformats.org/officeDocument/2006/relationships/hyperlink" Target="https://www.smbcgroup.com/emea/getmedia/478b7c2d-76e0-4c07-b727-b00757a4636d/Pillar-3-Interim-Disclosure-December-2024-(SMBC-BI).pdf" TargetMode="External" Id="rId4"/><Relationship Type="http://schemas.openxmlformats.org/officeDocument/2006/relationships/hyperlink" Target="https://www.smbcgroup.com/emea/getmedia/7c046ae7-c39b-4e3a-83b6-789e9c0d305e/Pillar-3-Interim-Disclosure-September-2024-(SMBC-BI).pdf" TargetMode="External" Id="rId5"/><Relationship Type="http://schemas.openxmlformats.org/officeDocument/2006/relationships/hyperlink" Target="https://www.smbcgroup.com/emea/getmedia/5808b03a-874f-4d90-a062-10d94d98c9d8/Pillar-3-Interim-Disclosure-June-2024-(SMBC-BI).pdf" TargetMode="External" Id="rId6"/><Relationship Type="http://schemas.openxmlformats.org/officeDocument/2006/relationships/hyperlink" Target="https://www.smbcgroup.com/emea/getmedia/8c626609-cec1-44a5-b08b-227189f7e287/Pillar-3-Interim-Disclosure-December-2023-(SMBC-BI).pdf" TargetMode="External" Id="rId7"/><Relationship Type="http://schemas.openxmlformats.org/officeDocument/2006/relationships/hyperlink" Target="https://www.smbcgroup.com/emea/getmedia/e2329270-9c6b-4707-be71-48a96b030b7b/Pillar-3-Interim-Disclosure-September-2023-(SMBC-BI).pdf" TargetMode="External" Id="rId8"/><Relationship Type="http://schemas.openxmlformats.org/officeDocument/2006/relationships/hyperlink" Target="https://www.smbcgroup.com/emea/getmedia/db3289f7-2020-4cfe-835c-4b0ef5eac4aa/Pillar-3-Interim-Disclosure-June-2023-(SMBC-BI).pdf" TargetMode="External" Id="rId9"/><Relationship Type="http://schemas.openxmlformats.org/officeDocument/2006/relationships/hyperlink" Target="https://www.smbcgroup.com/emea/getmedia/ee8d7d6b-5d17-4d82-9bd8-d52369fa4e45/Pillar-3-Interim-Disclosure-December-2022-(SMBC-BI).pdf" TargetMode="External" Id="rId10"/><Relationship Type="http://schemas.openxmlformats.org/officeDocument/2006/relationships/hyperlink" Target="https://www.smbcgroup.com/emea/getmedia/cd804340-56b8-4410-8bab-2b2f733729cd/Pillar-3-Interim-Disclosure-September-2022-(SMBC-BI).pdf" TargetMode="External" Id="rId11"/><Relationship Type="http://schemas.openxmlformats.org/officeDocument/2006/relationships/hyperlink" Target="https://www.smbcgroup.com/emea/getmedia/4490ceb5-1ff3-4cfb-84ac-93a8049d8cb5/Pillar-3-Interim-Disclosure-June-2022-(SMBC-BI).pdf" TargetMode="External" Id="rId12"/><Relationship Type="http://schemas.openxmlformats.org/officeDocument/2006/relationships/hyperlink" Target="https://www.smbcgroup.com/emea/getmedia/0d5f0926-6436-48ef-a708-377fa7898591/SMBC-BI-Pillar-3-Dec-25-v3.pdf" TargetMode="External" Id="rId13"/><Relationship Type="http://schemas.openxmlformats.org/officeDocument/2006/relationships/hyperlink" Target="https://www.smbcgroup.com/emea/getmedia/bd6c0013-d139-4ba1-913c-96bbd44efe1f/SMBC-BI-Pillar-3-Sept-25.pdf" TargetMode="External" Id="rId14"/><Relationship Type="http://schemas.openxmlformats.org/officeDocument/2006/relationships/hyperlink" Target="https://www.smbcgroup.com/emea/getmedia/97fab1b7-9060-4cfe-93c7-09d3172181ac/SMBC-BI-Pillar-3-June-25.pdf" TargetMode="External" Id="rId15"/><Relationship Type="http://schemas.openxmlformats.org/officeDocument/2006/relationships/hyperlink" Target="https://www.smbcgroup.com/emea/getmedia/478b7c2d-76e0-4c07-b727-b00757a4636d/Pillar-3-Interim-Disclosure-December-2024-(SMBC-BI).pdf" TargetMode="External" Id="rId16"/><Relationship Type="http://schemas.openxmlformats.org/officeDocument/2006/relationships/hyperlink" Target="https://www.smbcgroup.com/emea/getmedia/7c046ae7-c39b-4e3a-83b6-789e9c0d305e/Pillar-3-Interim-Disclosure-September-2024-(SMBC-BI).pdf" TargetMode="External" Id="rId17"/><Relationship Type="http://schemas.openxmlformats.org/officeDocument/2006/relationships/hyperlink" Target="https://www.smbcgroup.com/emea/getmedia/5808b03a-874f-4d90-a062-10d94d98c9d8/Pillar-3-Interim-Disclosure-June-2024-(SMBC-BI).pdf" TargetMode="External" Id="rId18"/><Relationship Type="http://schemas.openxmlformats.org/officeDocument/2006/relationships/hyperlink" Target="https://www.smbcgroup.com/emea/getmedia/8c626609-cec1-44a5-b08b-227189f7e287/Pillar-3-Interim-Disclosure-December-2023-(SMBC-BI).pdf" TargetMode="External" Id="rId19"/><Relationship Type="http://schemas.openxmlformats.org/officeDocument/2006/relationships/hyperlink" Target="https://www.smbcgroup.com/emea/getmedia/e2329270-9c6b-4707-be71-48a96b030b7b/Pillar-3-Interim-Disclosure-September-2023-(SMBC-BI).pdf" TargetMode="External" Id="rId20"/><Relationship Type="http://schemas.openxmlformats.org/officeDocument/2006/relationships/hyperlink" Target="https://www.smbcgroup.com/emea/getmedia/db3289f7-2020-4cfe-835c-4b0ef5eac4aa/Pillar-3-Interim-Disclosure-June-2023-(SMBC-BI).pdf" TargetMode="External" Id="rId21"/><Relationship Type="http://schemas.openxmlformats.org/officeDocument/2006/relationships/hyperlink" Target="https://www.smbcgroup.com/emea/getmedia/ee8d7d6b-5d17-4d82-9bd8-d52369fa4e45/Pillar-3-Interim-Disclosure-December-2022-(SMBC-BI).pdf" TargetMode="External" Id="rId22"/><Relationship Type="http://schemas.openxmlformats.org/officeDocument/2006/relationships/hyperlink" Target="https://www.smbcgroup.com/emea/getmedia/cd804340-56b8-4410-8bab-2b2f733729cd/Pillar-3-Interim-Disclosure-September-2022-(SMBC-BI).pdf" TargetMode="External" Id="rId23"/><Relationship Type="http://schemas.openxmlformats.org/officeDocument/2006/relationships/hyperlink" Target="https://www.smbcgroup.com/emea/getmedia/4490ceb5-1ff3-4cfb-84ac-93a8049d8cb5/Pillar-3-Interim-Disclosure-June-2022-(SMBC-BI).pdf" TargetMode="External" Id="rId24"/><Relationship Type="http://schemas.openxmlformats.org/officeDocument/2006/relationships/hyperlink" Target="https://www.smbcgroup.com/emea/getmedia/0d5f0926-6436-48ef-a708-377fa7898591/SMBC-BI-Pillar-3-Dec-25-v3.pdf" TargetMode="External" Id="rId25"/><Relationship Type="http://schemas.openxmlformats.org/officeDocument/2006/relationships/hyperlink" Target="https://www.smbcgroup.com/emea/getmedia/bd6c0013-d139-4ba1-913c-96bbd44efe1f/SMBC-BI-Pillar-3-Sept-25.pdf" TargetMode="External" Id="rId26"/><Relationship Type="http://schemas.openxmlformats.org/officeDocument/2006/relationships/hyperlink" Target="https://www.smbcgroup.com/emea/getmedia/97fab1b7-9060-4cfe-93c7-09d3172181ac/SMBC-BI-Pillar-3-June-25.pdf" TargetMode="External" Id="rId27"/><Relationship Type="http://schemas.openxmlformats.org/officeDocument/2006/relationships/hyperlink" Target="https://www.smbcgroup.com/emea/getmedia/478b7c2d-76e0-4c07-b727-b00757a4636d/Pillar-3-Interim-Disclosure-December-2024-(SMBC-BI).pdf" TargetMode="External" Id="rId28"/><Relationship Type="http://schemas.openxmlformats.org/officeDocument/2006/relationships/hyperlink" Target="https://www.smbcgroup.com/emea/getmedia/7c046ae7-c39b-4e3a-83b6-789e9c0d305e/Pillar-3-Interim-Disclosure-September-2024-(SMBC-BI).pdf" TargetMode="External" Id="rId29"/><Relationship Type="http://schemas.openxmlformats.org/officeDocument/2006/relationships/hyperlink" Target="https://www.smbcgroup.com/emea/getmedia/5808b03a-874f-4d90-a062-10d94d98c9d8/Pillar-3-Interim-Disclosure-June-2024-(SMBC-BI).pdf" TargetMode="External" Id="rId30"/><Relationship Type="http://schemas.openxmlformats.org/officeDocument/2006/relationships/hyperlink" Target="https://www.smbcgroup.com/emea/getmedia/8c626609-cec1-44a5-b08b-227189f7e287/Pillar-3-Interim-Disclosure-December-2023-(SMBC-BI).pdf" TargetMode="External" Id="rId31"/><Relationship Type="http://schemas.openxmlformats.org/officeDocument/2006/relationships/hyperlink" Target="https://www.smbcgroup.com/emea/getmedia/e2329270-9c6b-4707-be71-48a96b030b7b/Pillar-3-Interim-Disclosure-September-2023-(SMBC-BI).pdf" TargetMode="External" Id="rId32"/><Relationship Type="http://schemas.openxmlformats.org/officeDocument/2006/relationships/hyperlink" Target="https://www.smbcgroup.com/emea/getmedia/db3289f7-2020-4cfe-835c-4b0ef5eac4aa/Pillar-3-Interim-Disclosure-June-2023-(SMBC-BI).pdf" TargetMode="External" Id="rId33"/><Relationship Type="http://schemas.openxmlformats.org/officeDocument/2006/relationships/hyperlink" Target="https://www.smbcgroup.com/emea/getmedia/ee8d7d6b-5d17-4d82-9bd8-d52369fa4e45/Pillar-3-Interim-Disclosure-December-2022-(SMBC-BI).pdf" TargetMode="External" Id="rId34"/><Relationship Type="http://schemas.openxmlformats.org/officeDocument/2006/relationships/hyperlink" Target="https://www.smbcgroup.com/emea/getmedia/cd804340-56b8-4410-8bab-2b2f733729cd/Pillar-3-Interim-Disclosure-September-2022-(SMBC-BI).pdf" TargetMode="External" Id="rId35"/><Relationship Type="http://schemas.openxmlformats.org/officeDocument/2006/relationships/hyperlink" Target="https://www.smbcgroup.com/emea/getmedia/4490ceb5-1ff3-4cfb-84ac-93a8049d8cb5/Pillar-3-Interim-Disclosure-June-2022-(SMBC-BI).pdf" TargetMode="External" Id="rId36"/><Relationship Type="http://schemas.openxmlformats.org/officeDocument/2006/relationships/hyperlink" Target="https://www.smbcgroup.com/emea/getmedia/0d5f0926-6436-48ef-a708-377fa7898591/SMBC-BI-Pillar-3-Dec-25-v3.pdf" TargetMode="External" Id="rId37"/><Relationship Type="http://schemas.openxmlformats.org/officeDocument/2006/relationships/hyperlink" Target="https://www.smbcgroup.com/emea/getmedia/bd6c0013-d139-4ba1-913c-96bbd44efe1f/SMBC-BI-Pillar-3-Sept-25.pdf" TargetMode="External" Id="rId38"/><Relationship Type="http://schemas.openxmlformats.org/officeDocument/2006/relationships/hyperlink" Target="https://www.smbcgroup.com/emea/getmedia/97fab1b7-9060-4cfe-93c7-09d3172181ac/SMBC-BI-Pillar-3-June-25.pdf" TargetMode="External" Id="rId39"/><Relationship Type="http://schemas.openxmlformats.org/officeDocument/2006/relationships/hyperlink" Target="https://www.smbcgroup.com/emea/getmedia/478b7c2d-76e0-4c07-b727-b00757a4636d/Pillar-3-Interim-Disclosure-December-2024-(SMBC-BI).pdf" TargetMode="External" Id="rId40"/><Relationship Type="http://schemas.openxmlformats.org/officeDocument/2006/relationships/hyperlink" Target="https://www.smbcgroup.com/emea/getmedia/7c046ae7-c39b-4e3a-83b6-789e9c0d305e/Pillar-3-Interim-Disclosure-September-2024-(SMBC-BI).pdf" TargetMode="External" Id="rId41"/><Relationship Type="http://schemas.openxmlformats.org/officeDocument/2006/relationships/hyperlink" Target="https://www.smbcgroup.com/emea/getmedia/5808b03a-874f-4d90-a062-10d94d98c9d8/Pillar-3-Interim-Disclosure-June-2024-(SMBC-BI).pdf" TargetMode="External" Id="rId42"/><Relationship Type="http://schemas.openxmlformats.org/officeDocument/2006/relationships/hyperlink" Target="https://www.smbcgroup.com/emea/getmedia/8c626609-cec1-44a5-b08b-227189f7e287/Pillar-3-Interim-Disclosure-December-2023-(SMBC-BI).pdf" TargetMode="External" Id="rId43"/><Relationship Type="http://schemas.openxmlformats.org/officeDocument/2006/relationships/hyperlink" Target="https://www.smbcgroup.com/emea/getmedia/e2329270-9c6b-4707-be71-48a96b030b7b/Pillar-3-Interim-Disclosure-September-2023-(SMBC-BI).pdf" TargetMode="External" Id="rId44"/><Relationship Type="http://schemas.openxmlformats.org/officeDocument/2006/relationships/hyperlink" Target="https://www.smbcgroup.com/emea/getmedia/db3289f7-2020-4cfe-835c-4b0ef5eac4aa/Pillar-3-Interim-Disclosure-June-2023-(SMBC-BI).pdf" TargetMode="External" Id="rId45"/><Relationship Type="http://schemas.openxmlformats.org/officeDocument/2006/relationships/hyperlink" Target="https://www.smbcgroup.com/emea/getmedia/ee8d7d6b-5d17-4d82-9bd8-d52369fa4e45/Pillar-3-Interim-Disclosure-December-2022-(SMBC-BI).pdf" TargetMode="External" Id="rId46"/><Relationship Type="http://schemas.openxmlformats.org/officeDocument/2006/relationships/hyperlink" Target="https://www.smbcgroup.com/emea/getmedia/cd804340-56b8-4410-8bab-2b2f733729cd/Pillar-3-Interim-Disclosure-September-2022-(SMBC-BI).pdf" TargetMode="External" Id="rId47"/><Relationship Type="http://schemas.openxmlformats.org/officeDocument/2006/relationships/hyperlink" Target="https://www.smbcgroup.com/emea/getmedia/4490ceb5-1ff3-4cfb-84ac-93a8049d8cb5/Pillar-3-Interim-Disclosure-June-2022-(SMBC-BI).pdf" TargetMode="External" Id="rId48"/><Relationship Type="http://schemas.openxmlformats.org/officeDocument/2006/relationships/hyperlink" Target="https://www.smbcgroup.com/emea/getmedia/0d5f0926-6436-48ef-a708-377fa7898591/SMBC-BI-Pillar-3-Dec-25-v3.pdf" TargetMode="External" Id="rId49"/><Relationship Type="http://schemas.openxmlformats.org/officeDocument/2006/relationships/hyperlink" Target="https://www.smbcgroup.com/emea/getmedia/bd6c0013-d139-4ba1-913c-96bbd44efe1f/SMBC-BI-Pillar-3-Sept-25.pdf" TargetMode="External" Id="rId50"/><Relationship Type="http://schemas.openxmlformats.org/officeDocument/2006/relationships/hyperlink" Target="https://www.smbcgroup.com/emea/getmedia/97fab1b7-9060-4cfe-93c7-09d3172181ac/SMBC-BI-Pillar-3-June-25.pdf" TargetMode="External" Id="rId51"/><Relationship Type="http://schemas.openxmlformats.org/officeDocument/2006/relationships/hyperlink" Target="https://www.smbcgroup.com/emea/getmedia/478b7c2d-76e0-4c07-b727-b00757a4636d/Pillar-3-Interim-Disclosure-December-2024-(SMBC-BI).pdf" TargetMode="External" Id="rId52"/><Relationship Type="http://schemas.openxmlformats.org/officeDocument/2006/relationships/hyperlink" Target="https://www.smbcgroup.com/emea/getmedia/7c046ae7-c39b-4e3a-83b6-789e9c0d305e/Pillar-3-Interim-Disclosure-September-2024-(SMBC-BI).pdf" TargetMode="External" Id="rId53"/><Relationship Type="http://schemas.openxmlformats.org/officeDocument/2006/relationships/hyperlink" Target="https://www.smbcgroup.com/emea/getmedia/5808b03a-874f-4d90-a062-10d94d98c9d8/Pillar-3-Interim-Disclosure-June-2024-(SMBC-BI).pdf" TargetMode="External" Id="rId54"/><Relationship Type="http://schemas.openxmlformats.org/officeDocument/2006/relationships/hyperlink" Target="https://www.smbcgroup.com/emea/getmedia/8c626609-cec1-44a5-b08b-227189f7e287/Pillar-3-Interim-Disclosure-December-2023-(SMBC-BI).pdf" TargetMode="External" Id="rId55"/><Relationship Type="http://schemas.openxmlformats.org/officeDocument/2006/relationships/hyperlink" Target="https://www.smbcgroup.com/emea/getmedia/e2329270-9c6b-4707-be71-48a96b030b7b/Pillar-3-Interim-Disclosure-September-2023-(SMBC-BI).pdf" TargetMode="External" Id="rId56"/><Relationship Type="http://schemas.openxmlformats.org/officeDocument/2006/relationships/hyperlink" Target="https://www.smbcgroup.com/emea/getmedia/db3289f7-2020-4cfe-835c-4b0ef5eac4aa/Pillar-3-Interim-Disclosure-June-2023-(SMBC-BI).pdf" TargetMode="External" Id="rId57"/><Relationship Type="http://schemas.openxmlformats.org/officeDocument/2006/relationships/hyperlink" Target="https://www.smbcgroup.com/emea/getmedia/ee8d7d6b-5d17-4d82-9bd8-d52369fa4e45/Pillar-3-Interim-Disclosure-December-2022-(SMBC-BI).pdf" TargetMode="External" Id="rId58"/><Relationship Type="http://schemas.openxmlformats.org/officeDocument/2006/relationships/hyperlink" Target="https://www.smbcgroup.com/emea/getmedia/cd804340-56b8-4410-8bab-2b2f733729cd/Pillar-3-Interim-Disclosure-September-2022-(SMBC-BI).pdf" TargetMode="External" Id="rId59"/><Relationship Type="http://schemas.openxmlformats.org/officeDocument/2006/relationships/hyperlink" Target="https://www.smbcgroup.com/emea/getmedia/4490ceb5-1ff3-4cfb-84ac-93a8049d8cb5/Pillar-3-Interim-Disclosure-June-2022-(SMBC-BI).pdf" TargetMode="External" Id="rId60"/><Relationship Type="http://schemas.openxmlformats.org/officeDocument/2006/relationships/hyperlink" Target="https://www.smbcgroup.com/emea/getmedia/0d5f0926-6436-48ef-a708-377fa7898591/SMBC-BI-Pillar-3-Dec-25-v3.pdf" TargetMode="External" Id="rId61"/><Relationship Type="http://schemas.openxmlformats.org/officeDocument/2006/relationships/hyperlink" Target="https://www.smbcgroup.com/emea/getmedia/bd6c0013-d139-4ba1-913c-96bbd44efe1f/SMBC-BI-Pillar-3-Sept-25.pdf" TargetMode="External" Id="rId62"/><Relationship Type="http://schemas.openxmlformats.org/officeDocument/2006/relationships/hyperlink" Target="https://www.smbcgroup.com/emea/getmedia/97fab1b7-9060-4cfe-93c7-09d3172181ac/SMBC-BI-Pillar-3-June-25.pdf" TargetMode="External" Id="rId63"/><Relationship Type="http://schemas.openxmlformats.org/officeDocument/2006/relationships/hyperlink" Target="https://www.smbcgroup.com/emea/getmedia/478b7c2d-76e0-4c07-b727-b00757a4636d/Pillar-3-Interim-Disclosure-December-2024-(SMBC-BI).pdf" TargetMode="External" Id="rId64"/><Relationship Type="http://schemas.openxmlformats.org/officeDocument/2006/relationships/hyperlink" Target="https://www.smbcgroup.com/emea/getmedia/7c046ae7-c39b-4e3a-83b6-789e9c0d305e/Pillar-3-Interim-Disclosure-September-2024-(SMBC-BI).pdf" TargetMode="External" Id="rId65"/><Relationship Type="http://schemas.openxmlformats.org/officeDocument/2006/relationships/hyperlink" Target="https://www.smbcgroup.com/emea/getmedia/5808b03a-874f-4d90-a062-10d94d98c9d8/Pillar-3-Interim-Disclosure-June-2024-(SMBC-BI).pdf" TargetMode="External" Id="rId66"/><Relationship Type="http://schemas.openxmlformats.org/officeDocument/2006/relationships/hyperlink" Target="https://www.smbcgroup.com/emea/getmedia/8c626609-cec1-44a5-b08b-227189f7e287/Pillar-3-Interim-Disclosure-December-2023-(SMBC-BI).pdf" TargetMode="External" Id="rId67"/><Relationship Type="http://schemas.openxmlformats.org/officeDocument/2006/relationships/hyperlink" Target="https://www.smbcgroup.com/emea/getmedia/e2329270-9c6b-4707-be71-48a96b030b7b/Pillar-3-Interim-Disclosure-September-2023-(SMBC-BI).pdf" TargetMode="External" Id="rId68"/><Relationship Type="http://schemas.openxmlformats.org/officeDocument/2006/relationships/hyperlink" Target="https://www.smbcgroup.com/emea/getmedia/db3289f7-2020-4cfe-835c-4b0ef5eac4aa/Pillar-3-Interim-Disclosure-June-2023-(SMBC-BI).pdf" TargetMode="External" Id="rId69"/><Relationship Type="http://schemas.openxmlformats.org/officeDocument/2006/relationships/hyperlink" Target="https://www.smbcgroup.com/emea/getmedia/ee8d7d6b-5d17-4d82-9bd8-d52369fa4e45/Pillar-3-Interim-Disclosure-December-2022-(SMBC-BI).pdf" TargetMode="External" Id="rId70"/><Relationship Type="http://schemas.openxmlformats.org/officeDocument/2006/relationships/hyperlink" Target="https://www.smbcgroup.com/emea/getmedia/cd804340-56b8-4410-8bab-2b2f733729cd/Pillar-3-Interim-Disclosure-September-2022-(SMBC-BI).pdf" TargetMode="External" Id="rId71"/><Relationship Type="http://schemas.openxmlformats.org/officeDocument/2006/relationships/hyperlink" Target="https://www.smbcgroup.com/emea/getmedia/4490ceb5-1ff3-4cfb-84ac-93a8049d8cb5/Pillar-3-Interim-Disclosure-June-2022-(SMBC-BI).pdf" TargetMode="External" Id="rId72"/><Relationship Type="http://schemas.openxmlformats.org/officeDocument/2006/relationships/hyperlink" Target="https://www.smbcgroup.com/emea/getmedia/0d5f0926-6436-48ef-a708-377fa7898591/SMBC-BI-Pillar-3-Dec-25-v3.pdf" TargetMode="External" Id="rId73"/><Relationship Type="http://schemas.openxmlformats.org/officeDocument/2006/relationships/hyperlink" Target="https://www.smbcgroup.com/emea/getmedia/bd6c0013-d139-4ba1-913c-96bbd44efe1f/SMBC-BI-Pillar-3-Sept-25.pdf" TargetMode="External" Id="rId74"/><Relationship Type="http://schemas.openxmlformats.org/officeDocument/2006/relationships/hyperlink" Target="https://www.smbcgroup.com/emea/getmedia/97fab1b7-9060-4cfe-93c7-09d3172181ac/SMBC-BI-Pillar-3-June-25.pdf" TargetMode="External" Id="rId75"/><Relationship Type="http://schemas.openxmlformats.org/officeDocument/2006/relationships/hyperlink" Target="https://www.smbcgroup.com/emea/getmedia/478b7c2d-76e0-4c07-b727-b00757a4636d/Pillar-3-Interim-Disclosure-December-2024-(SMBC-BI).pdf" TargetMode="External" Id="rId76"/><Relationship Type="http://schemas.openxmlformats.org/officeDocument/2006/relationships/hyperlink" Target="https://www.smbcgroup.com/emea/getmedia/7c046ae7-c39b-4e3a-83b6-789e9c0d305e/Pillar-3-Interim-Disclosure-September-2024-(SMBC-BI).pdf" TargetMode="External" Id="rId77"/><Relationship Type="http://schemas.openxmlformats.org/officeDocument/2006/relationships/hyperlink" Target="https://www.smbcgroup.com/emea/getmedia/5808b03a-874f-4d90-a062-10d94d98c9d8/Pillar-3-Interim-Disclosure-June-2024-(SMBC-BI).pdf" TargetMode="External" Id="rId78"/><Relationship Type="http://schemas.openxmlformats.org/officeDocument/2006/relationships/hyperlink" Target="https://www.smbcgroup.com/emea/getmedia/8c626609-cec1-44a5-b08b-227189f7e287/Pillar-3-Interim-Disclosure-December-2023-(SMBC-BI).pdf" TargetMode="External" Id="rId79"/><Relationship Type="http://schemas.openxmlformats.org/officeDocument/2006/relationships/hyperlink" Target="https://www.smbcgroup.com/emea/getmedia/e2329270-9c6b-4707-be71-48a96b030b7b/Pillar-3-Interim-Disclosure-September-2023-(SMBC-BI).pdf" TargetMode="External" Id="rId80"/><Relationship Type="http://schemas.openxmlformats.org/officeDocument/2006/relationships/hyperlink" Target="https://www.smbcgroup.com/emea/getmedia/db3289f7-2020-4cfe-835c-4b0ef5eac4aa/Pillar-3-Interim-Disclosure-June-2023-(SMBC-BI).pdf" TargetMode="External" Id="rId81"/><Relationship Type="http://schemas.openxmlformats.org/officeDocument/2006/relationships/hyperlink" Target="https://www.smbcgroup.com/emea/getmedia/ee8d7d6b-5d17-4d82-9bd8-d52369fa4e45/Pillar-3-Interim-Disclosure-December-2022-(SMBC-BI).pdf" TargetMode="External" Id="rId82"/><Relationship Type="http://schemas.openxmlformats.org/officeDocument/2006/relationships/hyperlink" Target="https://www.smbcgroup.com/emea/getmedia/cd804340-56b8-4410-8bab-2b2f733729cd/Pillar-3-Interim-Disclosure-September-2022-(SMBC-BI).pdf" TargetMode="External" Id="rId83"/><Relationship Type="http://schemas.openxmlformats.org/officeDocument/2006/relationships/hyperlink" Target="https://www.smbcgroup.com/emea/getmedia/4490ceb5-1ff3-4cfb-84ac-93a8049d8cb5/Pillar-3-Interim-Disclosure-June-2022-(SMBC-BI).pdf" TargetMode="External" Id="rId84"/><Relationship Type="http://schemas.openxmlformats.org/officeDocument/2006/relationships/hyperlink" Target="https://www.smbcgroup.com/emea/getmedia/0d5f0926-6436-48ef-a708-377fa7898591/SMBC-BI-Pillar-3-Dec-25-v3.pdf" TargetMode="External" Id="rId85"/><Relationship Type="http://schemas.openxmlformats.org/officeDocument/2006/relationships/hyperlink" Target="https://www.smbcgroup.com/emea/getmedia/bd6c0013-d139-4ba1-913c-96bbd44efe1f/SMBC-BI-Pillar-3-Sept-25.pdf" TargetMode="External" Id="rId86"/><Relationship Type="http://schemas.openxmlformats.org/officeDocument/2006/relationships/hyperlink" Target="https://www.smbcgroup.com/emea/getmedia/97fab1b7-9060-4cfe-93c7-09d3172181ac/SMBC-BI-Pillar-3-June-25.pdf" TargetMode="External" Id="rId87"/><Relationship Type="http://schemas.openxmlformats.org/officeDocument/2006/relationships/hyperlink" Target="https://www.smbcgroup.com/emea/getmedia/478b7c2d-76e0-4c07-b727-b00757a4636d/Pillar-3-Interim-Disclosure-December-2024-(SMBC-BI).pdf" TargetMode="External" Id="rId88"/><Relationship Type="http://schemas.openxmlformats.org/officeDocument/2006/relationships/hyperlink" Target="https://www.smbcgroup.com/emea/getmedia/7c046ae7-c39b-4e3a-83b6-789e9c0d305e/Pillar-3-Interim-Disclosure-September-2024-(SMBC-BI).pdf" TargetMode="External" Id="rId89"/><Relationship Type="http://schemas.openxmlformats.org/officeDocument/2006/relationships/hyperlink" Target="https://www.smbcgroup.com/emea/getmedia/5808b03a-874f-4d90-a062-10d94d98c9d8/Pillar-3-Interim-Disclosure-June-2024-(SMBC-BI).pdf" TargetMode="External" Id="rId90"/><Relationship Type="http://schemas.openxmlformats.org/officeDocument/2006/relationships/hyperlink" Target="https://www.smbcgroup.com/emea/getmedia/8c626609-cec1-44a5-b08b-227189f7e287/Pillar-3-Interim-Disclosure-December-2023-(SMBC-BI).pdf" TargetMode="External" Id="rId91"/><Relationship Type="http://schemas.openxmlformats.org/officeDocument/2006/relationships/hyperlink" Target="https://www.smbcgroup.com/emea/getmedia/e2329270-9c6b-4707-be71-48a96b030b7b/Pillar-3-Interim-Disclosure-September-2023-(SMBC-BI).pdf" TargetMode="External" Id="rId92"/><Relationship Type="http://schemas.openxmlformats.org/officeDocument/2006/relationships/hyperlink" Target="https://www.smbcgroup.com/emea/getmedia/db3289f7-2020-4cfe-835c-4b0ef5eac4aa/Pillar-3-Interim-Disclosure-June-2023-(SMBC-BI).pdf" TargetMode="External" Id="rId93"/><Relationship Type="http://schemas.openxmlformats.org/officeDocument/2006/relationships/hyperlink" Target="https://www.smbcgroup.com/emea/getmedia/ee8d7d6b-5d17-4d82-9bd8-d52369fa4e45/Pillar-3-Interim-Disclosure-December-2022-(SMBC-BI).pdf" TargetMode="External" Id="rId94"/><Relationship Type="http://schemas.openxmlformats.org/officeDocument/2006/relationships/hyperlink" Target="https://www.smbcgroup.com/emea/getmedia/cd804340-56b8-4410-8bab-2b2f733729cd/Pillar-3-Interim-Disclosure-September-2022-(SMBC-BI).pdf" TargetMode="External" Id="rId95"/><Relationship Type="http://schemas.openxmlformats.org/officeDocument/2006/relationships/hyperlink" Target="https://www.smbcgroup.com/emea/getmedia/4490ceb5-1ff3-4cfb-84ac-93a8049d8cb5/Pillar-3-Interim-Disclosure-June-2022-(SMBC-BI).pdf" TargetMode="External" Id="rId96"/><Relationship Type="http://schemas.openxmlformats.org/officeDocument/2006/relationships/hyperlink" Target="https://www.smbcgroup.com/emea/getmedia/0d5f0926-6436-48ef-a708-377fa7898591/SMBC-BI-Pillar-3-Dec-25-v3.pdf" TargetMode="External" Id="rId97"/><Relationship Type="http://schemas.openxmlformats.org/officeDocument/2006/relationships/hyperlink" Target="https://www.smbcgroup.com/emea/getmedia/bd6c0013-d139-4ba1-913c-96bbd44efe1f/SMBC-BI-Pillar-3-Sept-25.pdf" TargetMode="External" Id="rId98"/><Relationship Type="http://schemas.openxmlformats.org/officeDocument/2006/relationships/hyperlink" Target="https://www.smbcgroup.com/emea/getmedia/97fab1b7-9060-4cfe-93c7-09d3172181ac/SMBC-BI-Pillar-3-June-25.pdf" TargetMode="External" Id="rId99"/><Relationship Type="http://schemas.openxmlformats.org/officeDocument/2006/relationships/hyperlink" Target="https://www.smbcgroup.com/emea/getmedia/478b7c2d-76e0-4c07-b727-b00757a4636d/Pillar-3-Interim-Disclosure-December-2024-(SMBC-BI).pdf" TargetMode="External" Id="rId100"/><Relationship Type="http://schemas.openxmlformats.org/officeDocument/2006/relationships/hyperlink" Target="https://www.smbcgroup.com/emea/getmedia/7c046ae7-c39b-4e3a-83b6-789e9c0d305e/Pillar-3-Interim-Disclosure-September-2024-(SMBC-BI).pdf" TargetMode="External" Id="rId101"/><Relationship Type="http://schemas.openxmlformats.org/officeDocument/2006/relationships/hyperlink" Target="https://www.smbcgroup.com/emea/getmedia/5808b03a-874f-4d90-a062-10d94d98c9d8/Pillar-3-Interim-Disclosure-June-2024-(SMBC-BI).pdf" TargetMode="External" Id="rId102"/><Relationship Type="http://schemas.openxmlformats.org/officeDocument/2006/relationships/hyperlink" Target="https://www.smbcgroup.com/emea/getmedia/8c626609-cec1-44a5-b08b-227189f7e287/Pillar-3-Interim-Disclosure-December-2023-(SMBC-BI).pdf" TargetMode="External" Id="rId103"/><Relationship Type="http://schemas.openxmlformats.org/officeDocument/2006/relationships/hyperlink" Target="https://www.smbcgroup.com/emea/getmedia/e2329270-9c6b-4707-be71-48a96b030b7b/Pillar-3-Interim-Disclosure-September-2023-(SMBC-BI).pdf" TargetMode="External" Id="rId104"/><Relationship Type="http://schemas.openxmlformats.org/officeDocument/2006/relationships/hyperlink" Target="https://www.smbcgroup.com/emea/getmedia/db3289f7-2020-4cfe-835c-4b0ef5eac4aa/Pillar-3-Interim-Disclosure-June-2023-(SMBC-BI).pdf" TargetMode="External" Id="rId105"/><Relationship Type="http://schemas.openxmlformats.org/officeDocument/2006/relationships/hyperlink" Target="https://www.smbcgroup.com/emea/getmedia/ee8d7d6b-5d17-4d82-9bd8-d52369fa4e45/Pillar-3-Interim-Disclosure-December-2022-(SMBC-BI).pdf" TargetMode="External" Id="rId106"/><Relationship Type="http://schemas.openxmlformats.org/officeDocument/2006/relationships/hyperlink" Target="https://www.smbcgroup.com/emea/getmedia/cd804340-56b8-4410-8bab-2b2f733729cd/Pillar-3-Interim-Disclosure-September-2022-(SMBC-BI).pdf" TargetMode="External" Id="rId107"/><Relationship Type="http://schemas.openxmlformats.org/officeDocument/2006/relationships/hyperlink" Target="https://www.smbcgroup.com/emea/getmedia/4490ceb5-1ff3-4cfb-84ac-93a8049d8cb5/Pillar-3-Interim-Disclosure-June-2022-(SMBC-BI).pdf" TargetMode="External" Id="rId108"/><Relationship Type="http://schemas.openxmlformats.org/officeDocument/2006/relationships/hyperlink" Target="https://www.smbcgroup.com/emea/getmedia/0d5f0926-6436-48ef-a708-377fa7898591/SMBC-BI-Pillar-3-Dec-25-v3.pdf" TargetMode="External" Id="rId109"/><Relationship Type="http://schemas.openxmlformats.org/officeDocument/2006/relationships/hyperlink" Target="https://www.smbcgroup.com/emea/getmedia/bd6c0013-d139-4ba1-913c-96bbd44efe1f/SMBC-BI-Pillar-3-Sept-25.pdf" TargetMode="External" Id="rId110"/><Relationship Type="http://schemas.openxmlformats.org/officeDocument/2006/relationships/hyperlink" Target="https://www.smbcgroup.com/emea/getmedia/97fab1b7-9060-4cfe-93c7-09d3172181ac/SMBC-BI-Pillar-3-June-25.pdf" TargetMode="External" Id="rId111"/><Relationship Type="http://schemas.openxmlformats.org/officeDocument/2006/relationships/hyperlink" Target="https://www.smbcgroup.com/emea/getmedia/478b7c2d-76e0-4c07-b727-b00757a4636d/Pillar-3-Interim-Disclosure-December-2024-(SMBC-BI).pdf" TargetMode="External" Id="rId112"/><Relationship Type="http://schemas.openxmlformats.org/officeDocument/2006/relationships/hyperlink" Target="https://www.smbcgroup.com/emea/getmedia/7c046ae7-c39b-4e3a-83b6-789e9c0d305e/Pillar-3-Interim-Disclosure-September-2024-(SMBC-BI).pdf" TargetMode="External" Id="rId113"/><Relationship Type="http://schemas.openxmlformats.org/officeDocument/2006/relationships/hyperlink" Target="https://www.smbcgroup.com/emea/getmedia/5808b03a-874f-4d90-a062-10d94d98c9d8/Pillar-3-Interim-Disclosure-June-2024-(SMBC-BI).pdf" TargetMode="External" Id="rId114"/><Relationship Type="http://schemas.openxmlformats.org/officeDocument/2006/relationships/hyperlink" Target="https://www.smbcgroup.com/emea/getmedia/8c626609-cec1-44a5-b08b-227189f7e287/Pillar-3-Interim-Disclosure-December-2023-(SMBC-BI).pdf" TargetMode="External" Id="rId115"/><Relationship Type="http://schemas.openxmlformats.org/officeDocument/2006/relationships/hyperlink" Target="https://www.smbcgroup.com/emea/getmedia/e2329270-9c6b-4707-be71-48a96b030b7b/Pillar-3-Interim-Disclosure-September-2023-(SMBC-BI).pdf" TargetMode="External" Id="rId116"/><Relationship Type="http://schemas.openxmlformats.org/officeDocument/2006/relationships/hyperlink" Target="https://www.smbcgroup.com/emea/getmedia/db3289f7-2020-4cfe-835c-4b0ef5eac4aa/Pillar-3-Interim-Disclosure-June-2023-(SMBC-BI).pdf" TargetMode="External" Id="rId117"/><Relationship Type="http://schemas.openxmlformats.org/officeDocument/2006/relationships/hyperlink" Target="https://www.smbcgroup.com/emea/getmedia/ee8d7d6b-5d17-4d82-9bd8-d52369fa4e45/Pillar-3-Interim-Disclosure-December-2022-(SMBC-BI).pdf" TargetMode="External" Id="rId118"/><Relationship Type="http://schemas.openxmlformats.org/officeDocument/2006/relationships/hyperlink" Target="https://www.smbcgroup.com/emea/getmedia/cd804340-56b8-4410-8bab-2b2f733729cd/Pillar-3-Interim-Disclosure-September-2022-(SMBC-BI).pdf" TargetMode="External" Id="rId119"/><Relationship Type="http://schemas.openxmlformats.org/officeDocument/2006/relationships/hyperlink" Target="https://www.smbcgroup.com/emea/getmedia/4490ceb5-1ff3-4cfb-84ac-93a8049d8cb5/Pillar-3-Interim-Disclosure-June-2022-(SMBC-BI).pdf" TargetMode="External" Id="rId120"/><Relationship Type="http://schemas.openxmlformats.org/officeDocument/2006/relationships/hyperlink" Target="https://www.smbcgroup.com/emea/getmedia/0d5f0926-6436-48ef-a708-377fa7898591/SMBC-BI-Pillar-3-Dec-25-v3.pdf" TargetMode="External" Id="rId121"/><Relationship Type="http://schemas.openxmlformats.org/officeDocument/2006/relationships/hyperlink" Target="https://www.smbcgroup.com/emea/getmedia/bd6c0013-d139-4ba1-913c-96bbd44efe1f/SMBC-BI-Pillar-3-Sept-25.pdf" TargetMode="External" Id="rId122"/><Relationship Type="http://schemas.openxmlformats.org/officeDocument/2006/relationships/hyperlink" Target="https://www.smbcgroup.com/emea/getmedia/97fab1b7-9060-4cfe-93c7-09d3172181ac/SMBC-BI-Pillar-3-June-25.pdf" TargetMode="External" Id="rId123"/><Relationship Type="http://schemas.openxmlformats.org/officeDocument/2006/relationships/hyperlink" Target="https://www.smbcgroup.com/emea/getmedia/478b7c2d-76e0-4c07-b727-b00757a4636d/Pillar-3-Interim-Disclosure-December-2024-(SMBC-BI).pdf" TargetMode="External" Id="rId124"/><Relationship Type="http://schemas.openxmlformats.org/officeDocument/2006/relationships/hyperlink" Target="https://www.smbcgroup.com/emea/getmedia/7c046ae7-c39b-4e3a-83b6-789e9c0d305e/Pillar-3-Interim-Disclosure-September-2024-(SMBC-BI).pdf" TargetMode="External" Id="rId125"/><Relationship Type="http://schemas.openxmlformats.org/officeDocument/2006/relationships/hyperlink" Target="https://www.smbcgroup.com/emea/getmedia/5808b03a-874f-4d90-a062-10d94d98c9d8/Pillar-3-Interim-Disclosure-June-2024-(SMBC-BI).pdf" TargetMode="External" Id="rId126"/><Relationship Type="http://schemas.openxmlformats.org/officeDocument/2006/relationships/hyperlink" Target="https://www.smbcgroup.com/emea/getmedia/8c626609-cec1-44a5-b08b-227189f7e287/Pillar-3-Interim-Disclosure-December-2023-(SMBC-BI).pdf" TargetMode="External" Id="rId127"/><Relationship Type="http://schemas.openxmlformats.org/officeDocument/2006/relationships/hyperlink" Target="https://www.smbcgroup.com/emea/getmedia/e2329270-9c6b-4707-be71-48a96b030b7b/Pillar-3-Interim-Disclosure-September-2023-(SMBC-BI).pdf" TargetMode="External" Id="rId128"/><Relationship Type="http://schemas.openxmlformats.org/officeDocument/2006/relationships/hyperlink" Target="https://www.smbcgroup.com/emea/getmedia/db3289f7-2020-4cfe-835c-4b0ef5eac4aa/Pillar-3-Interim-Disclosure-June-2023-(SMBC-BI).pdf" TargetMode="External" Id="rId129"/><Relationship Type="http://schemas.openxmlformats.org/officeDocument/2006/relationships/hyperlink" Target="https://www.smbcgroup.com/emea/getmedia/ee8d7d6b-5d17-4d82-9bd8-d52369fa4e45/Pillar-3-Interim-Disclosure-December-2022-(SMBC-BI).pdf" TargetMode="External" Id="rId130"/><Relationship Type="http://schemas.openxmlformats.org/officeDocument/2006/relationships/hyperlink" Target="https://www.smbcgroup.com/emea/getmedia/cd804340-56b8-4410-8bab-2b2f733729cd/Pillar-3-Interim-Disclosure-September-2022-(SMBC-BI).pdf" TargetMode="External" Id="rId131"/><Relationship Type="http://schemas.openxmlformats.org/officeDocument/2006/relationships/hyperlink" Target="https://www.smbcgroup.com/emea/getmedia/4490ceb5-1ff3-4cfb-84ac-93a8049d8cb5/Pillar-3-Interim-Disclosure-June-2022-(SMBC-BI).pdf" TargetMode="External" Id="rId132"/><Relationship Type="http://schemas.openxmlformats.org/officeDocument/2006/relationships/hyperlink" Target="https://www.smbcgroup.com/emea/getmedia/0d5f0926-6436-48ef-a708-377fa7898591/SMBC-BI-Pillar-3-Dec-25-v3.pdf" TargetMode="External" Id="rId133"/><Relationship Type="http://schemas.openxmlformats.org/officeDocument/2006/relationships/hyperlink" Target="https://www.smbcgroup.com/emea/getmedia/bd6c0013-d139-4ba1-913c-96bbd44efe1f/SMBC-BI-Pillar-3-Sept-25.pdf" TargetMode="External" Id="rId134"/><Relationship Type="http://schemas.openxmlformats.org/officeDocument/2006/relationships/hyperlink" Target="https://www.smbcgroup.com/emea/getmedia/97fab1b7-9060-4cfe-93c7-09d3172181ac/SMBC-BI-Pillar-3-June-25.pdf" TargetMode="External" Id="rId135"/><Relationship Type="http://schemas.openxmlformats.org/officeDocument/2006/relationships/hyperlink" Target="https://www.smbcgroup.com/emea/getmedia/478b7c2d-76e0-4c07-b727-b00757a4636d/Pillar-3-Interim-Disclosure-December-2024-(SMBC-BI).pdf" TargetMode="External" Id="rId136"/><Relationship Type="http://schemas.openxmlformats.org/officeDocument/2006/relationships/hyperlink" Target="https://www.smbcgroup.com/emea/getmedia/7c046ae7-c39b-4e3a-83b6-789e9c0d305e/Pillar-3-Interim-Disclosure-September-2024-(SMBC-BI).pdf" TargetMode="External" Id="rId137"/><Relationship Type="http://schemas.openxmlformats.org/officeDocument/2006/relationships/hyperlink" Target="https://www.smbcgroup.com/emea/getmedia/5808b03a-874f-4d90-a062-10d94d98c9d8/Pillar-3-Interim-Disclosure-June-2024-(SMBC-BI).pdf" TargetMode="External" Id="rId138"/><Relationship Type="http://schemas.openxmlformats.org/officeDocument/2006/relationships/hyperlink" Target="https://www.smbcgroup.com/emea/getmedia/8c626609-cec1-44a5-b08b-227189f7e287/Pillar-3-Interim-Disclosure-December-2023-(SMBC-BI).pdf" TargetMode="External" Id="rId139"/><Relationship Type="http://schemas.openxmlformats.org/officeDocument/2006/relationships/hyperlink" Target="https://www.smbcgroup.com/emea/getmedia/e2329270-9c6b-4707-be71-48a96b030b7b/Pillar-3-Interim-Disclosure-September-2023-(SMBC-BI).pdf" TargetMode="External" Id="rId140"/><Relationship Type="http://schemas.openxmlformats.org/officeDocument/2006/relationships/hyperlink" Target="https://www.smbcgroup.com/emea/getmedia/db3289f7-2020-4cfe-835c-4b0ef5eac4aa/Pillar-3-Interim-Disclosure-June-2023-(SMBC-BI).pdf" TargetMode="External" Id="rId141"/><Relationship Type="http://schemas.openxmlformats.org/officeDocument/2006/relationships/hyperlink" Target="https://www.smbcgroup.com/emea/getmedia/ee8d7d6b-5d17-4d82-9bd8-d52369fa4e45/Pillar-3-Interim-Disclosure-December-2022-(SMBC-BI).pdf" TargetMode="External" Id="rId142"/><Relationship Type="http://schemas.openxmlformats.org/officeDocument/2006/relationships/hyperlink" Target="https://www.smbcgroup.com/emea/getmedia/cd804340-56b8-4410-8bab-2b2f733729cd/Pillar-3-Interim-Disclosure-September-2022-(SMBC-BI).pdf" TargetMode="External" Id="rId143"/><Relationship Type="http://schemas.openxmlformats.org/officeDocument/2006/relationships/hyperlink" Target="https://www.smbcgroup.com/emea/getmedia/4490ceb5-1ff3-4cfb-84ac-93a8049d8cb5/Pillar-3-Interim-Disclosure-June-2022-(SMBC-BI).pdf" TargetMode="External" Id="rId144"/><Relationship Type="http://schemas.openxmlformats.org/officeDocument/2006/relationships/hyperlink" Target="https://www.smbcgroup.com/emea/getmedia/0d5f0926-6436-48ef-a708-377fa7898591/SMBC-BI-Pillar-3-Dec-25-v3.pdf" TargetMode="External" Id="rId145"/><Relationship Type="http://schemas.openxmlformats.org/officeDocument/2006/relationships/hyperlink" Target="https://www.smbcgroup.com/emea/getmedia/bd6c0013-d139-4ba1-913c-96bbd44efe1f/SMBC-BI-Pillar-3-Sept-25.pdf" TargetMode="External" Id="rId146"/><Relationship Type="http://schemas.openxmlformats.org/officeDocument/2006/relationships/hyperlink" Target="https://www.smbcgroup.com/emea/getmedia/97fab1b7-9060-4cfe-93c7-09d3172181ac/SMBC-BI-Pillar-3-June-25.pdf" TargetMode="External" Id="rId147"/><Relationship Type="http://schemas.openxmlformats.org/officeDocument/2006/relationships/hyperlink" Target="https://www.smbcgroup.com/emea/getmedia/478b7c2d-76e0-4c07-b727-b00757a4636d/Pillar-3-Interim-Disclosure-December-2024-(SMBC-BI).pdf" TargetMode="External" Id="rId148"/><Relationship Type="http://schemas.openxmlformats.org/officeDocument/2006/relationships/hyperlink" Target="https://www.smbcgroup.com/emea/getmedia/7c046ae7-c39b-4e3a-83b6-789e9c0d305e/Pillar-3-Interim-Disclosure-September-2024-(SMBC-BI).pdf" TargetMode="External" Id="rId149"/><Relationship Type="http://schemas.openxmlformats.org/officeDocument/2006/relationships/hyperlink" Target="https://www.smbcgroup.com/emea/getmedia/5808b03a-874f-4d90-a062-10d94d98c9d8/Pillar-3-Interim-Disclosure-June-2024-(SMBC-BI).pdf" TargetMode="External" Id="rId150"/><Relationship Type="http://schemas.openxmlformats.org/officeDocument/2006/relationships/hyperlink" Target="https://www.smbcgroup.com/emea/getmedia/8c626609-cec1-44a5-b08b-227189f7e287/Pillar-3-Interim-Disclosure-December-2023-(SMBC-BI).pdf" TargetMode="External" Id="rId151"/><Relationship Type="http://schemas.openxmlformats.org/officeDocument/2006/relationships/hyperlink" Target="https://www.smbcgroup.com/emea/getmedia/e2329270-9c6b-4707-be71-48a96b030b7b/Pillar-3-Interim-Disclosure-September-2023-(SMBC-BI).pdf" TargetMode="External" Id="rId152"/><Relationship Type="http://schemas.openxmlformats.org/officeDocument/2006/relationships/hyperlink" Target="https://www.smbcgroup.com/emea/getmedia/db3289f7-2020-4cfe-835c-4b0ef5eac4aa/Pillar-3-Interim-Disclosure-June-2023-(SMBC-BI).pdf" TargetMode="External" Id="rId153"/><Relationship Type="http://schemas.openxmlformats.org/officeDocument/2006/relationships/hyperlink" Target="https://www.smbcgroup.com/emea/getmedia/ee8d7d6b-5d17-4d82-9bd8-d52369fa4e45/Pillar-3-Interim-Disclosure-December-2022-(SMBC-BI).pdf" TargetMode="External" Id="rId154"/><Relationship Type="http://schemas.openxmlformats.org/officeDocument/2006/relationships/hyperlink" Target="https://www.smbcgroup.com/emea/getmedia/cd804340-56b8-4410-8bab-2b2f733729cd/Pillar-3-Interim-Disclosure-September-2022-(SMBC-BI).pdf" TargetMode="External" Id="rId155"/><Relationship Type="http://schemas.openxmlformats.org/officeDocument/2006/relationships/hyperlink" Target="https://www.smbcgroup.com/emea/getmedia/4490ceb5-1ff3-4cfb-84ac-93a8049d8cb5/Pillar-3-Interim-Disclosure-June-2022-(SMBC-BI).pdf" TargetMode="External" Id="rId156"/><Relationship Type="http://schemas.openxmlformats.org/officeDocument/2006/relationships/hyperlink" Target="https://www.smbcgroup.com/emea/getmedia/0d5f0926-6436-48ef-a708-377fa7898591/SMBC-BI-Pillar-3-Dec-25-v3.pdf" TargetMode="External" Id="rId157"/><Relationship Type="http://schemas.openxmlformats.org/officeDocument/2006/relationships/hyperlink" Target="https://www.smbcgroup.com/emea/getmedia/bd6c0013-d139-4ba1-913c-96bbd44efe1f/SMBC-BI-Pillar-3-Sept-25.pdf" TargetMode="External" Id="rId158"/><Relationship Type="http://schemas.openxmlformats.org/officeDocument/2006/relationships/hyperlink" Target="https://www.smbcgroup.com/emea/getmedia/97fab1b7-9060-4cfe-93c7-09d3172181ac/SMBC-BI-Pillar-3-June-25.pdf" TargetMode="External" Id="rId159"/><Relationship Type="http://schemas.openxmlformats.org/officeDocument/2006/relationships/hyperlink" Target="https://www.smbcgroup.com/emea/getmedia/478b7c2d-76e0-4c07-b727-b00757a4636d/Pillar-3-Interim-Disclosure-December-2024-(SMBC-BI).pdf" TargetMode="External" Id="rId160"/><Relationship Type="http://schemas.openxmlformats.org/officeDocument/2006/relationships/hyperlink" Target="https://www.smbcgroup.com/emea/getmedia/7c046ae7-c39b-4e3a-83b6-789e9c0d305e/Pillar-3-Interim-Disclosure-September-2024-(SMBC-BI).pdf" TargetMode="External" Id="rId161"/><Relationship Type="http://schemas.openxmlformats.org/officeDocument/2006/relationships/hyperlink" Target="https://www.smbcgroup.com/emea/getmedia/5808b03a-874f-4d90-a062-10d94d98c9d8/Pillar-3-Interim-Disclosure-June-2024-(SMBC-BI).pdf" TargetMode="External" Id="rId162"/><Relationship Type="http://schemas.openxmlformats.org/officeDocument/2006/relationships/hyperlink" Target="https://www.smbcgroup.com/emea/getmedia/8c626609-cec1-44a5-b08b-227189f7e287/Pillar-3-Interim-Disclosure-December-2023-(SMBC-BI).pdf" TargetMode="External" Id="rId163"/><Relationship Type="http://schemas.openxmlformats.org/officeDocument/2006/relationships/hyperlink" Target="https://www.smbcgroup.com/emea/getmedia/e2329270-9c6b-4707-be71-48a96b030b7b/Pillar-3-Interim-Disclosure-September-2023-(SMBC-BI).pdf" TargetMode="External" Id="rId164"/><Relationship Type="http://schemas.openxmlformats.org/officeDocument/2006/relationships/hyperlink" Target="https://www.smbcgroup.com/emea/getmedia/db3289f7-2020-4cfe-835c-4b0ef5eac4aa/Pillar-3-Interim-Disclosure-June-2023-(SMBC-BI).pdf" TargetMode="External" Id="rId165"/><Relationship Type="http://schemas.openxmlformats.org/officeDocument/2006/relationships/hyperlink" Target="https://www.smbcgroup.com/emea/getmedia/ee8d7d6b-5d17-4d82-9bd8-d52369fa4e45/Pillar-3-Interim-Disclosure-December-2022-(SMBC-BI).pdf" TargetMode="External" Id="rId166"/><Relationship Type="http://schemas.openxmlformats.org/officeDocument/2006/relationships/hyperlink" Target="https://www.smbcgroup.com/emea/getmedia/cd804340-56b8-4410-8bab-2b2f733729cd/Pillar-3-Interim-Disclosure-September-2022-(SMBC-BI).pdf" TargetMode="External" Id="rId167"/><Relationship Type="http://schemas.openxmlformats.org/officeDocument/2006/relationships/hyperlink" Target="https://www.smbcgroup.com/emea/getmedia/4490ceb5-1ff3-4cfb-84ac-93a8049d8cb5/Pillar-3-Interim-Disclosure-June-2022-(SMBC-BI).pdf" TargetMode="External" Id="rId168"/><Relationship Type="http://schemas.openxmlformats.org/officeDocument/2006/relationships/hyperlink" Target="https://www.smbcgroup.com/emea/getmedia/0d5f0926-6436-48ef-a708-377fa7898591/SMBC-BI-Pillar-3-Dec-25-v3.pdf" TargetMode="External" Id="rId169"/><Relationship Type="http://schemas.openxmlformats.org/officeDocument/2006/relationships/hyperlink" Target="https://www.smbcgroup.com/emea/getmedia/bd6c0013-d139-4ba1-913c-96bbd44efe1f/SMBC-BI-Pillar-3-Sept-25.pdf" TargetMode="External" Id="rId170"/><Relationship Type="http://schemas.openxmlformats.org/officeDocument/2006/relationships/hyperlink" Target="https://www.smbcgroup.com/emea/getmedia/97fab1b7-9060-4cfe-93c7-09d3172181ac/SMBC-BI-Pillar-3-June-25.pdf" TargetMode="External" Id="rId171"/><Relationship Type="http://schemas.openxmlformats.org/officeDocument/2006/relationships/hyperlink" Target="https://www.smbcgroup.com/emea/getmedia/478b7c2d-76e0-4c07-b727-b00757a4636d/Pillar-3-Interim-Disclosure-December-2024-(SMBC-BI).pdf" TargetMode="External" Id="rId172"/><Relationship Type="http://schemas.openxmlformats.org/officeDocument/2006/relationships/hyperlink" Target="https://www.smbcgroup.com/emea/getmedia/7c046ae7-c39b-4e3a-83b6-789e9c0d305e/Pillar-3-Interim-Disclosure-September-2024-(SMBC-BI).pdf" TargetMode="External" Id="rId173"/><Relationship Type="http://schemas.openxmlformats.org/officeDocument/2006/relationships/hyperlink" Target="https://www.smbcgroup.com/emea/getmedia/5808b03a-874f-4d90-a062-10d94d98c9d8/Pillar-3-Interim-Disclosure-June-2024-(SMBC-BI).pdf" TargetMode="External" Id="rId174"/><Relationship Type="http://schemas.openxmlformats.org/officeDocument/2006/relationships/hyperlink" Target="https://www.smbcgroup.com/emea/getmedia/8c626609-cec1-44a5-b08b-227189f7e287/Pillar-3-Interim-Disclosure-December-2023-(SMBC-BI).pdf" TargetMode="External" Id="rId175"/><Relationship Type="http://schemas.openxmlformats.org/officeDocument/2006/relationships/hyperlink" Target="https://www.smbcgroup.com/emea/getmedia/e2329270-9c6b-4707-be71-48a96b030b7b/Pillar-3-Interim-Disclosure-September-2023-(SMBC-BI).pdf" TargetMode="External" Id="rId176"/><Relationship Type="http://schemas.openxmlformats.org/officeDocument/2006/relationships/hyperlink" Target="https://www.smbcgroup.com/emea/getmedia/db3289f7-2020-4cfe-835c-4b0ef5eac4aa/Pillar-3-Interim-Disclosure-June-2023-(SMBC-BI).pdf" TargetMode="External" Id="rId177"/><Relationship Type="http://schemas.openxmlformats.org/officeDocument/2006/relationships/hyperlink" Target="https://www.smbcgroup.com/emea/getmedia/ee8d7d6b-5d17-4d82-9bd8-d52369fa4e45/Pillar-3-Interim-Disclosure-December-2022-(SMBC-BI).pdf" TargetMode="External" Id="rId178"/><Relationship Type="http://schemas.openxmlformats.org/officeDocument/2006/relationships/hyperlink" Target="https://www.smbcgroup.com/emea/getmedia/cd804340-56b8-4410-8bab-2b2f733729cd/Pillar-3-Interim-Disclosure-September-2022-(SMBC-BI).pdf" TargetMode="External" Id="rId179"/><Relationship Type="http://schemas.openxmlformats.org/officeDocument/2006/relationships/hyperlink" Target="https://www.smbcgroup.com/emea/getmedia/4490ceb5-1ff3-4cfb-84ac-93a8049d8cb5/Pillar-3-Interim-Disclosure-June-2022-(SMBC-BI).pdf" TargetMode="External" Id="rId180"/><Relationship Type="http://schemas.openxmlformats.org/officeDocument/2006/relationships/hyperlink" Target="https://www.smbcgroup.com/emea/getmedia/0d5f0926-6436-48ef-a708-377fa7898591/SMBC-BI-Pillar-3-Dec-25-v3.pdf" TargetMode="External" Id="rId181"/><Relationship Type="http://schemas.openxmlformats.org/officeDocument/2006/relationships/hyperlink" Target="https://www.smbcgroup.com/emea/getmedia/bd6c0013-d139-4ba1-913c-96bbd44efe1f/SMBC-BI-Pillar-3-Sept-25.pdf" TargetMode="External" Id="rId182"/><Relationship Type="http://schemas.openxmlformats.org/officeDocument/2006/relationships/hyperlink" Target="https://www.smbcgroup.com/emea/getmedia/97fab1b7-9060-4cfe-93c7-09d3172181ac/SMBC-BI-Pillar-3-June-25.pdf" TargetMode="External" Id="rId183"/><Relationship Type="http://schemas.openxmlformats.org/officeDocument/2006/relationships/hyperlink" Target="https://www.smbcgroup.com/emea/getmedia/478b7c2d-76e0-4c07-b727-b00757a4636d/Pillar-3-Interim-Disclosure-December-2024-(SMBC-BI).pdf" TargetMode="External" Id="rId184"/><Relationship Type="http://schemas.openxmlformats.org/officeDocument/2006/relationships/hyperlink" Target="https://www.smbcgroup.com/emea/getmedia/7c046ae7-c39b-4e3a-83b6-789e9c0d305e/Pillar-3-Interim-Disclosure-September-2024-(SMBC-BI).pdf" TargetMode="External" Id="rId185"/><Relationship Type="http://schemas.openxmlformats.org/officeDocument/2006/relationships/hyperlink" Target="https://www.smbcgroup.com/emea/getmedia/5808b03a-874f-4d90-a062-10d94d98c9d8/Pillar-3-Interim-Disclosure-June-2024-(SMBC-BI).pdf" TargetMode="External" Id="rId186"/><Relationship Type="http://schemas.openxmlformats.org/officeDocument/2006/relationships/hyperlink" Target="https://www.smbcgroup.com/emea/getmedia/8c626609-cec1-44a5-b08b-227189f7e287/Pillar-3-Interim-Disclosure-December-2023-(SMBC-BI).pdf" TargetMode="External" Id="rId187"/><Relationship Type="http://schemas.openxmlformats.org/officeDocument/2006/relationships/hyperlink" Target="https://www.smbcgroup.com/emea/getmedia/e2329270-9c6b-4707-be71-48a96b030b7b/Pillar-3-Interim-Disclosure-September-2023-(SMBC-BI).pdf" TargetMode="External" Id="rId188"/><Relationship Type="http://schemas.openxmlformats.org/officeDocument/2006/relationships/hyperlink" Target="https://www.smbcgroup.com/emea/getmedia/db3289f7-2020-4cfe-835c-4b0ef5eac4aa/Pillar-3-Interim-Disclosure-June-2023-(SMBC-BI).pdf" TargetMode="External" Id="rId189"/><Relationship Type="http://schemas.openxmlformats.org/officeDocument/2006/relationships/hyperlink" Target="https://www.smbcgroup.com/emea/getmedia/ee8d7d6b-5d17-4d82-9bd8-d52369fa4e45/Pillar-3-Interim-Disclosure-December-2022-(SMBC-BI).pdf" TargetMode="External" Id="rId190"/><Relationship Type="http://schemas.openxmlformats.org/officeDocument/2006/relationships/hyperlink" Target="https://www.smbcgroup.com/emea/getmedia/cd804340-56b8-4410-8bab-2b2f733729cd/Pillar-3-Interim-Disclosure-September-2022-(SMBC-BI).pdf" TargetMode="External" Id="rId191"/><Relationship Type="http://schemas.openxmlformats.org/officeDocument/2006/relationships/hyperlink" Target="https://www.smbcgroup.com/emea/getmedia/4490ceb5-1ff3-4cfb-84ac-93a8049d8cb5/Pillar-3-Interim-Disclosure-June-2022-(SMBC-BI).pdf" TargetMode="External" Id="rId192"/></Relationships>
</file>

<file path=xl/worksheets/sheet1.xml><?xml version="1.0" encoding="utf-8"?>
<worksheet xmlns="http://schemas.openxmlformats.org/spreadsheetml/2006/main">
  <sheetPr>
    <outlinePr summaryBelow="1" summaryRight="1"/>
    <pageSetUpPr/>
  </sheetPr>
  <dimension ref="A1:CP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s>
  <sheetData>
    <row r="1">
      <c r="A1" s="1" t="inlineStr">
        <is>
          <t>SMBC Bank International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 (conv. from USD))</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K5" s="4" t="inlineStr">
        <is>
          <t>FY2017</t>
        </is>
      </c>
      <c r="L5" s="4" t="inlineStr">
        <is>
          <t>FY2016</t>
        </is>
      </c>
      <c r="M5" s="4" t="inlineStr">
        <is>
          <t>FY2015</t>
        </is>
      </c>
      <c r="N5" s="4" t="inlineStr">
        <is>
          <t>FY2014</t>
        </is>
      </c>
      <c r="R5" t="inlineStr">
        <is>
          <t>FY2014</t>
        </is>
      </c>
      <c r="S5" t="inlineStr">
        <is>
          <t>FY2015</t>
        </is>
      </c>
      <c r="T5" t="inlineStr">
        <is>
          <t>FY2016</t>
        </is>
      </c>
      <c r="U5" t="inlineStr">
        <is>
          <t>FY2017</t>
        </is>
      </c>
      <c r="V5" t="inlineStr">
        <is>
          <t>FY2018</t>
        </is>
      </c>
      <c r="W5" t="inlineStr">
        <is>
          <t>FY2019</t>
        </is>
      </c>
      <c r="X5" t="inlineStr">
        <is>
          <t>FY2020</t>
        </is>
      </c>
      <c r="Y5" t="inlineStr">
        <is>
          <t>FY2021</t>
        </is>
      </c>
      <c r="Z5" t="inlineStr">
        <is>
          <t>FY2022</t>
        </is>
      </c>
      <c r="AA5" t="inlineStr">
        <is>
          <t>FY2023</t>
        </is>
      </c>
      <c r="AB5" t="inlineStr">
        <is>
          <t>FY2024</t>
        </is>
      </c>
      <c r="AC5" t="inlineStr">
        <is>
          <t>FY2025</t>
        </is>
      </c>
      <c r="AD5" t="inlineStr">
        <is>
          <t>FY2026</t>
        </is>
      </c>
      <c r="CD5" t="inlineStr">
        <is>
          <t>FY2014</t>
        </is>
      </c>
      <c r="CE5" t="inlineStr">
        <is>
          <t>FY2015</t>
        </is>
      </c>
      <c r="CF5" t="inlineStr">
        <is>
          <t>FY2016</t>
        </is>
      </c>
      <c r="CG5" t="inlineStr">
        <is>
          <t>FY2017</t>
        </is>
      </c>
      <c r="CH5" t="inlineStr">
        <is>
          <t>FY2018</t>
        </is>
      </c>
      <c r="CI5" t="inlineStr">
        <is>
          <t>FY2019</t>
        </is>
      </c>
      <c r="CJ5" t="inlineStr">
        <is>
          <t>FY2020</t>
        </is>
      </c>
      <c r="CK5" t="inlineStr">
        <is>
          <t>FY2021</t>
        </is>
      </c>
      <c r="CL5" t="inlineStr">
        <is>
          <t>FY2022</t>
        </is>
      </c>
      <c r="CM5" t="inlineStr">
        <is>
          <t>FY2023</t>
        </is>
      </c>
      <c r="CN5" t="inlineStr">
        <is>
          <t>FY2024</t>
        </is>
      </c>
      <c r="CO5" t="inlineStr">
        <is>
          <t>FY2025</t>
        </is>
      </c>
      <c r="CP5" t="inlineStr">
        <is>
          <t>FY2026</t>
        </is>
      </c>
    </row>
    <row r="6">
      <c r="A6" s="5" t="inlineStr">
        <is>
          <t>Total assets</t>
        </is>
      </c>
      <c r="B6" s="5" t="n">
        <v>59080.9</v>
      </c>
      <c r="C6" s="5" t="n">
        <v>55295.7</v>
      </c>
      <c r="D6" s="5" t="n">
        <v>39632.8</v>
      </c>
      <c r="E6" s="5" t="n">
        <v>42592.3</v>
      </c>
      <c r="F6" s="5" t="n">
        <v>41040.2</v>
      </c>
      <c r="G6" s="5" t="n">
        <v>38829</v>
      </c>
      <c r="H6" s="5" t="n">
        <v>48690.9</v>
      </c>
      <c r="I6" s="5" t="n">
        <v>36845.2</v>
      </c>
      <c r="J6" s="5" t="n">
        <v>43538.7</v>
      </c>
      <c r="K6" s="5" t="n">
        <v>31053</v>
      </c>
      <c r="L6" s="5" t="n">
        <v>28592</v>
      </c>
      <c r="M6" s="5" t="n">
        <v>21529.9</v>
      </c>
      <c r="N6" s="5" t="n">
        <v>18826.7</v>
      </c>
      <c r="Q6" t="inlineStr">
        <is>
          <t>Total assets</t>
        </is>
      </c>
      <c r="R6" t="n">
        <v>18826.7</v>
      </c>
      <c r="S6" t="n">
        <v>21529.9</v>
      </c>
      <c r="T6" t="n">
        <v>28592</v>
      </c>
      <c r="U6" t="n">
        <v>31053</v>
      </c>
      <c r="V6" t="n">
        <v>43538.7</v>
      </c>
      <c r="W6" t="n">
        <v>36845.2</v>
      </c>
      <c r="X6" t="n">
        <v>48690.9</v>
      </c>
      <c r="Y6" t="n">
        <v>38829</v>
      </c>
      <c r="Z6" t="n">
        <v>41040.2</v>
      </c>
      <c r="AA6" t="n">
        <v>42592.3</v>
      </c>
      <c r="AB6" t="n">
        <v>39632.8</v>
      </c>
      <c r="AC6" t="n">
        <v>55295.7</v>
      </c>
      <c r="AD6" t="n">
        <v>59080.9</v>
      </c>
      <c r="CC6" t="inlineStr">
        <is>
          <t>CET1 Ratio</t>
        </is>
      </c>
      <c r="CD6" t="n">
        <v>22.9</v>
      </c>
      <c r="CE6" t="n">
        <v>24.8</v>
      </c>
      <c r="CF6" t="n">
        <v>18.4</v>
      </c>
      <c r="CG6" t="n">
        <v>20.9</v>
      </c>
      <c r="CH6" t="n">
        <v>16.8</v>
      </c>
      <c r="CI6" t="n">
        <v>18.5</v>
      </c>
      <c r="CJ6" t="n">
        <v>15.8</v>
      </c>
      <c r="CK6" t="n">
        <v>16.7</v>
      </c>
      <c r="CL6" t="n">
        <v>16.3</v>
      </c>
      <c r="CM6" t="n">
        <v>17.8</v>
      </c>
      <c r="CN6" t="n">
        <v>19.5</v>
      </c>
      <c r="CO6" t="n">
        <v>17.1</v>
      </c>
      <c r="CP6" t="n">
        <v>21</v>
      </c>
    </row>
    <row r="7">
      <c r="A7" s="5" t="inlineStr">
        <is>
          <t>Loans and advances to customers</t>
        </is>
      </c>
      <c r="B7" s="5" t="n">
        <v>10601.8</v>
      </c>
      <c r="C7" s="5" t="n">
        <v>14934</v>
      </c>
      <c r="D7" s="5" t="n">
        <v>14290.5</v>
      </c>
      <c r="E7" s="5" t="n">
        <v>14326</v>
      </c>
      <c r="F7" s="5" t="n">
        <v>15151.6</v>
      </c>
      <c r="G7" s="5" t="n">
        <v>15109.8</v>
      </c>
      <c r="H7" s="5" t="n">
        <v>18320.3</v>
      </c>
      <c r="I7" s="5" t="n">
        <v>16488.3</v>
      </c>
      <c r="J7" s="5" t="n">
        <v>14533</v>
      </c>
      <c r="K7" s="5" t="n">
        <v>11962.9</v>
      </c>
      <c r="L7" s="5" t="n">
        <v>10829.9</v>
      </c>
      <c r="M7" s="5" t="n">
        <v>7806.2</v>
      </c>
      <c r="N7" s="5" t="n">
        <v>6808.3</v>
      </c>
      <c r="Q7" t="inlineStr">
        <is>
          <t>Loans and advances to customers</t>
        </is>
      </c>
      <c r="R7" t="n">
        <v>6808.3</v>
      </c>
      <c r="S7" t="n">
        <v>7806.2</v>
      </c>
      <c r="T7" t="n">
        <v>10829.9</v>
      </c>
      <c r="U7" t="n">
        <v>11962.9</v>
      </c>
      <c r="V7" t="n">
        <v>14533</v>
      </c>
      <c r="W7" t="n">
        <v>16488.3</v>
      </c>
      <c r="X7" t="n">
        <v>18320.3</v>
      </c>
      <c r="Y7" t="n">
        <v>15109.8</v>
      </c>
      <c r="Z7" t="n">
        <v>15151.6</v>
      </c>
      <c r="AA7" t="n">
        <v>14326</v>
      </c>
      <c r="AB7" t="n">
        <v>14290.5</v>
      </c>
      <c r="AC7" t="n">
        <v>14934</v>
      </c>
      <c r="AD7" t="n">
        <v>10601.8</v>
      </c>
      <c r="CC7" t="inlineStr">
        <is>
          <t>Tier 1 Ratio</t>
        </is>
      </c>
      <c r="CD7" t="n">
        <v>22.9</v>
      </c>
      <c r="CE7" t="n">
        <v>24.8</v>
      </c>
      <c r="CF7" t="n">
        <v>18.4</v>
      </c>
      <c r="CG7" t="n">
        <v>20.9</v>
      </c>
      <c r="CH7" t="n">
        <v>16.8</v>
      </c>
      <c r="CI7" t="n">
        <v>18.5</v>
      </c>
      <c r="CJ7" t="n">
        <v>15.8</v>
      </c>
      <c r="CK7" t="n">
        <v>16.7</v>
      </c>
      <c r="CL7" t="n">
        <v>16.3</v>
      </c>
      <c r="CM7" t="n">
        <v>17.8</v>
      </c>
      <c r="CN7" t="n">
        <v>19.5</v>
      </c>
      <c r="CO7" t="n">
        <v>17.1</v>
      </c>
      <c r="CP7" t="n">
        <v>21</v>
      </c>
    </row>
    <row r="8">
      <c r="A8" s="5" t="inlineStr">
        <is>
          <t>Customer accounts</t>
        </is>
      </c>
      <c r="B8" s="5" t="n">
        <v>19255.5</v>
      </c>
      <c r="C8" s="5" t="n">
        <v>15242.8</v>
      </c>
      <c r="D8" s="5" t="n">
        <v>15697.5</v>
      </c>
      <c r="E8" s="5" t="n">
        <v>15099.5</v>
      </c>
      <c r="F8" s="5" t="n">
        <v>15008.4</v>
      </c>
      <c r="G8" s="5" t="n">
        <v>16178</v>
      </c>
      <c r="H8" s="5" t="n">
        <v>22292.1</v>
      </c>
      <c r="I8" s="5" t="n">
        <v>13962.4</v>
      </c>
      <c r="J8" s="5" t="n">
        <v>16524.2</v>
      </c>
      <c r="K8" s="5" t="n">
        <v>13526.8</v>
      </c>
      <c r="L8" s="5" t="n">
        <v>5571</v>
      </c>
      <c r="M8" s="5" t="n">
        <v>5151.5</v>
      </c>
      <c r="N8" s="5" t="n">
        <v>4693.4</v>
      </c>
      <c r="Q8" t="inlineStr">
        <is>
          <t>Customer accounts</t>
        </is>
      </c>
      <c r="R8" t="n">
        <v>4693.4</v>
      </c>
      <c r="S8" t="n">
        <v>5151.5</v>
      </c>
      <c r="T8" t="n">
        <v>5571</v>
      </c>
      <c r="U8" t="n">
        <v>13526.8</v>
      </c>
      <c r="V8" t="n">
        <v>16524.2</v>
      </c>
      <c r="W8" t="n">
        <v>13962.4</v>
      </c>
      <c r="X8" t="n">
        <v>22292.1</v>
      </c>
      <c r="Y8" t="n">
        <v>16178</v>
      </c>
      <c r="Z8" t="n">
        <v>15008.4</v>
      </c>
      <c r="AA8" t="n">
        <v>15099.5</v>
      </c>
      <c r="AB8" t="n">
        <v>15697.5</v>
      </c>
      <c r="AC8" t="n">
        <v>15242.8</v>
      </c>
      <c r="AD8" t="n">
        <v>19255.5</v>
      </c>
      <c r="CC8" t="inlineStr">
        <is>
          <t>Total Capital Ratio</t>
        </is>
      </c>
      <c r="CD8" t="n">
        <v>22.9</v>
      </c>
      <c r="CE8" t="n">
        <v>24.8</v>
      </c>
      <c r="CF8" t="n">
        <v>18.4</v>
      </c>
      <c r="CG8" t="n">
        <v>20.9</v>
      </c>
      <c r="CH8" t="n">
        <v>16.8</v>
      </c>
      <c r="CI8" t="n">
        <v>18.5</v>
      </c>
      <c r="CJ8" t="n">
        <v>15.8</v>
      </c>
      <c r="CK8" t="n">
        <v>16.7</v>
      </c>
      <c r="CL8" t="n">
        <v>16.3</v>
      </c>
      <c r="CM8" t="n">
        <v>17.8</v>
      </c>
      <c r="CN8" t="n">
        <v>19.5</v>
      </c>
      <c r="CO8" t="n">
        <v>17.1</v>
      </c>
      <c r="CP8" t="n">
        <v>21</v>
      </c>
    </row>
    <row r="9">
      <c r="A9" s="5" t="inlineStr">
        <is>
          <t>Total equity</t>
        </is>
      </c>
      <c r="B9" s="5" t="n">
        <v>4814.8</v>
      </c>
      <c r="C9" s="5" t="n">
        <v>4590.5</v>
      </c>
      <c r="D9" s="5" t="n">
        <v>4417.2</v>
      </c>
      <c r="E9" s="5" t="n">
        <v>4197.2</v>
      </c>
      <c r="F9" s="5" t="n">
        <v>3757.9</v>
      </c>
      <c r="G9" s="5" t="n">
        <v>3471</v>
      </c>
      <c r="H9" s="5" t="n">
        <v>3690.5</v>
      </c>
      <c r="I9" s="5" t="n">
        <v>3383</v>
      </c>
      <c r="J9" s="5" t="n">
        <v>2936.8</v>
      </c>
      <c r="K9" s="5" t="n">
        <v>3122</v>
      </c>
      <c r="L9" s="5" t="n">
        <v>2609.1</v>
      </c>
      <c r="M9" s="5" t="n">
        <v>2453.5</v>
      </c>
      <c r="N9" s="5" t="n">
        <v>2114.6</v>
      </c>
      <c r="Q9" t="inlineStr">
        <is>
          <t>Total equity</t>
        </is>
      </c>
      <c r="R9" t="n">
        <v>2114.6</v>
      </c>
      <c r="S9" t="n">
        <v>2453.5</v>
      </c>
      <c r="T9" t="n">
        <v>2609.1</v>
      </c>
      <c r="U9" t="n">
        <v>3122</v>
      </c>
      <c r="V9" t="n">
        <v>2936.8</v>
      </c>
      <c r="W9" t="n">
        <v>3383</v>
      </c>
      <c r="X9" t="n">
        <v>3690.5</v>
      </c>
      <c r="Y9" t="n">
        <v>3471</v>
      </c>
      <c r="Z9" t="n">
        <v>3757.9</v>
      </c>
      <c r="AA9" t="n">
        <v>4197.2</v>
      </c>
      <c r="AB9" t="n">
        <v>4417.2</v>
      </c>
      <c r="AC9" t="n">
        <v>4590.5</v>
      </c>
      <c r="AD9" t="n">
        <v>4814.8</v>
      </c>
      <c r="CC9" t="inlineStr">
        <is>
          <t>Leverage Ratio</t>
        </is>
      </c>
      <c r="CD9" t="n">
        <v>7.7</v>
      </c>
      <c r="CE9" t="n">
        <v>9.699999999999999</v>
      </c>
      <c r="CF9" t="n">
        <v>7.1</v>
      </c>
      <c r="CG9" t="n">
        <v>8.4</v>
      </c>
      <c r="CH9" t="n">
        <v>5.8</v>
      </c>
      <c r="CI9" t="n">
        <v>7.6</v>
      </c>
      <c r="CJ9" t="n">
        <v>6.8</v>
      </c>
      <c r="CK9" t="n">
        <v>7.7</v>
      </c>
      <c r="CL9" t="n">
        <v>12.4</v>
      </c>
      <c r="CM9" t="n">
        <v>13.8</v>
      </c>
      <c r="CN9" t="n">
        <v>14.8</v>
      </c>
      <c r="CO9" t="n">
        <v>10.1</v>
      </c>
      <c r="CP9" t="n">
        <v>8.300000000000001</v>
      </c>
    </row>
    <row r="10">
      <c r="CC10" t="inlineStr">
        <is>
          <t>LCR</t>
        </is>
      </c>
      <c r="CE10" t="n">
        <v>115.2</v>
      </c>
      <c r="CF10" t="n">
        <v>97.3</v>
      </c>
      <c r="CG10" t="n">
        <v>125.5</v>
      </c>
      <c r="CH10" t="n">
        <v>133.4</v>
      </c>
      <c r="CI10" t="n">
        <v>141.4</v>
      </c>
      <c r="CJ10" t="n">
        <v>126.2</v>
      </c>
      <c r="CK10" t="n">
        <v>145</v>
      </c>
      <c r="CL10" t="n">
        <v>136</v>
      </c>
      <c r="CM10" t="n">
        <v>145.4</v>
      </c>
      <c r="CN10" t="n">
        <v>155.6</v>
      </c>
      <c r="CO10" t="n">
        <v>160.1</v>
      </c>
      <c r="CP10" t="n">
        <v>154.8</v>
      </c>
    </row>
    <row r="11">
      <c r="A11" s="3" t="inlineStr">
        <is>
          <t>Profit &amp; Loss Summary (£m (conv. from USD))</t>
        </is>
      </c>
      <c r="CC11" t="inlineStr">
        <is>
          <t>NSFR</t>
        </is>
      </c>
      <c r="CG11" t="n">
        <v>96.09999999999999</v>
      </c>
      <c r="CH11" t="n">
        <v>102.9</v>
      </c>
      <c r="CI11" t="n">
        <v>110.5</v>
      </c>
      <c r="CJ11" t="n">
        <v>107.6</v>
      </c>
      <c r="CK11" t="n">
        <v>135.5</v>
      </c>
      <c r="CL11" t="n">
        <v>133.5</v>
      </c>
      <c r="CM11" t="n">
        <v>142.4</v>
      </c>
      <c r="CN11" t="n">
        <v>141.8</v>
      </c>
      <c r="CO11" t="n">
        <v>127.2</v>
      </c>
      <c r="CP11" t="n">
        <v>132.8</v>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K12" s="4" t="inlineStr">
        <is>
          <t>FY2017</t>
        </is>
      </c>
      <c r="L12" s="4" t="inlineStr">
        <is>
          <t>FY2016</t>
        </is>
      </c>
      <c r="M12" s="4" t="inlineStr">
        <is>
          <t>FY2015</t>
        </is>
      </c>
      <c r="N12" s="4" t="inlineStr">
        <is>
          <t>FY2014</t>
        </is>
      </c>
      <c r="AH12" t="inlineStr">
        <is>
          <t>FY2014</t>
        </is>
      </c>
      <c r="AI12" t="inlineStr">
        <is>
          <t>FY2015</t>
        </is>
      </c>
      <c r="AJ12" t="inlineStr">
        <is>
          <t>FY2016</t>
        </is>
      </c>
      <c r="AK12" t="inlineStr">
        <is>
          <t>FY2017</t>
        </is>
      </c>
      <c r="AL12" t="inlineStr">
        <is>
          <t>FY2018</t>
        </is>
      </c>
      <c r="AM12" t="inlineStr">
        <is>
          <t>FY2019</t>
        </is>
      </c>
      <c r="AN12" t="inlineStr">
        <is>
          <t>FY2020</t>
        </is>
      </c>
      <c r="AO12" t="inlineStr">
        <is>
          <t>FY2021</t>
        </is>
      </c>
      <c r="AP12" t="inlineStr">
        <is>
          <t>FY2022</t>
        </is>
      </c>
      <c r="AQ12" t="inlineStr">
        <is>
          <t>FY2023</t>
        </is>
      </c>
      <c r="AR12" t="inlineStr">
        <is>
          <t>FY2024</t>
        </is>
      </c>
      <c r="AS12" t="inlineStr">
        <is>
          <t>FY2025</t>
        </is>
      </c>
      <c r="AT12" t="inlineStr">
        <is>
          <t>FY2026</t>
        </is>
      </c>
    </row>
    <row r="13">
      <c r="A13" s="5" t="inlineStr">
        <is>
          <t>Operating income</t>
        </is>
      </c>
      <c r="B13" s="5" t="n">
        <v>1280.2</v>
      </c>
      <c r="C13" s="5" t="n">
        <v>1080.9</v>
      </c>
      <c r="D13" s="5" t="n">
        <v>1012.8</v>
      </c>
      <c r="E13" s="5" t="n">
        <v>842.3</v>
      </c>
      <c r="F13" s="5" t="n">
        <v>639.5</v>
      </c>
      <c r="G13" s="5" t="n">
        <v>637.5</v>
      </c>
      <c r="H13" s="5" t="n">
        <v>663.3</v>
      </c>
      <c r="I13" s="5" t="n">
        <v>634.1</v>
      </c>
      <c r="J13" s="5" t="n">
        <v>552</v>
      </c>
      <c r="K13" s="5" t="n">
        <v>492.6</v>
      </c>
      <c r="L13" s="5" t="n">
        <v>409.1</v>
      </c>
      <c r="M13" s="5" t="n">
        <v>341.9</v>
      </c>
      <c r="N13" s="5" t="n">
        <v>308.9</v>
      </c>
      <c r="AG13" t="inlineStr">
        <is>
          <t>Operating income</t>
        </is>
      </c>
      <c r="AH13" t="n">
        <v>308.9</v>
      </c>
      <c r="AI13" t="n">
        <v>341.9</v>
      </c>
      <c r="AJ13" t="n">
        <v>409.1</v>
      </c>
      <c r="AK13" t="n">
        <v>492.6</v>
      </c>
      <c r="AL13" t="n">
        <v>552</v>
      </c>
      <c r="AM13" t="n">
        <v>634.1</v>
      </c>
      <c r="AN13" t="n">
        <v>663.3</v>
      </c>
      <c r="AO13" t="n">
        <v>637.5</v>
      </c>
      <c r="AP13" t="n">
        <v>639.5</v>
      </c>
      <c r="AQ13" t="n">
        <v>842.3</v>
      </c>
      <c r="AR13" t="n">
        <v>1012.8</v>
      </c>
      <c r="AS13" t="n">
        <v>1080.9</v>
      </c>
      <c r="AT13" t="n">
        <v>1280.2</v>
      </c>
    </row>
    <row r="14">
      <c r="A14" s="5" t="inlineStr">
        <is>
          <t>Net operating expenses</t>
        </is>
      </c>
      <c r="B14" s="5" t="n">
        <v>-817.1</v>
      </c>
      <c r="C14" s="5" t="n">
        <v>-702.3</v>
      </c>
      <c r="D14" s="5" t="n">
        <v>-587.1</v>
      </c>
      <c r="E14" s="5" t="n">
        <v>-559.7</v>
      </c>
      <c r="F14" s="5" t="n">
        <v>-506.7</v>
      </c>
      <c r="G14" s="5" t="n">
        <v>-388.7</v>
      </c>
      <c r="H14" s="5" t="n">
        <v>-497.4</v>
      </c>
      <c r="I14" s="5" t="n">
        <v>-337.7</v>
      </c>
      <c r="J14" s="5" t="n">
        <v>-330</v>
      </c>
      <c r="K14" s="5" t="n">
        <v>-315.7</v>
      </c>
      <c r="L14" s="5" t="n">
        <v>-315.8</v>
      </c>
      <c r="M14" s="5" t="n">
        <v>-247.2</v>
      </c>
      <c r="N14" s="5" t="n">
        <v>-218.7</v>
      </c>
      <c r="AG14" t="inlineStr">
        <is>
          <t>Net operating expenses</t>
        </is>
      </c>
      <c r="AH14" t="n">
        <v>-218.7</v>
      </c>
      <c r="AI14" t="n">
        <v>-247.2</v>
      </c>
      <c r="AJ14" t="n">
        <v>-315.8</v>
      </c>
      <c r="AK14" t="n">
        <v>-315.7</v>
      </c>
      <c r="AL14" t="n">
        <v>-330</v>
      </c>
      <c r="AM14" t="n">
        <v>-337.7</v>
      </c>
      <c r="AN14" t="n">
        <v>-497.4</v>
      </c>
      <c r="AO14" t="n">
        <v>-388.7</v>
      </c>
      <c r="AP14" t="n">
        <v>-506.7</v>
      </c>
      <c r="AQ14" t="n">
        <v>-559.7</v>
      </c>
      <c r="AR14" t="n">
        <v>-587.1</v>
      </c>
      <c r="AS14" t="n">
        <v>-702.3</v>
      </c>
      <c r="AT14" t="n">
        <v>-817.1</v>
      </c>
    </row>
    <row r="15">
      <c r="A15" s="5" t="inlineStr">
        <is>
          <t>Profit for the year</t>
        </is>
      </c>
      <c r="B15" s="5" t="n">
        <v>329.4</v>
      </c>
      <c r="C15" s="5" t="n">
        <v>273.7</v>
      </c>
      <c r="D15" s="5" t="n">
        <v>322.9</v>
      </c>
      <c r="E15" s="5" t="n">
        <v>209.3</v>
      </c>
      <c r="F15" s="5" t="n">
        <v>96.90000000000001</v>
      </c>
      <c r="G15" s="5" t="n">
        <v>182.6</v>
      </c>
      <c r="H15" s="5" t="n">
        <v>120.3</v>
      </c>
      <c r="I15" s="5" t="n">
        <v>210.1</v>
      </c>
      <c r="J15" s="5" t="n">
        <v>159.2</v>
      </c>
      <c r="K15" s="5" t="n">
        <v>121</v>
      </c>
      <c r="L15" s="5" t="n">
        <v>65.8</v>
      </c>
      <c r="M15" s="5" t="n">
        <v>71.09999999999999</v>
      </c>
      <c r="N15" s="5" t="n">
        <v>65.2</v>
      </c>
      <c r="AG15" t="inlineStr">
        <is>
          <t>Profit for the year</t>
        </is>
      </c>
      <c r="AH15" t="n">
        <v>65.2</v>
      </c>
      <c r="AI15" t="n">
        <v>71.09999999999999</v>
      </c>
      <c r="AJ15" t="n">
        <v>65.8</v>
      </c>
      <c r="AK15" t="n">
        <v>121</v>
      </c>
      <c r="AL15" t="n">
        <v>159.2</v>
      </c>
      <c r="AM15" t="n">
        <v>210.1</v>
      </c>
      <c r="AN15" t="n">
        <v>120.3</v>
      </c>
      <c r="AO15" t="n">
        <v>182.6</v>
      </c>
      <c r="AP15" t="n">
        <v>96.90000000000001</v>
      </c>
      <c r="AQ15" t="n">
        <v>209.3</v>
      </c>
      <c r="AR15" t="n">
        <v>322.9</v>
      </c>
      <c r="AS15" t="n">
        <v>273.7</v>
      </c>
      <c r="AT15" t="n">
        <v>329.4</v>
      </c>
    </row>
    <row r="17">
      <c r="A17" s="3" t="inlineStr">
        <is>
          <t>Statement of Changes in Equity Summary (£m (conv. from USD))</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J18" s="4" t="inlineStr">
        <is>
          <t>FY2018</t>
        </is>
      </c>
      <c r="K18" s="4" t="inlineStr">
        <is>
          <t>FY2017</t>
        </is>
      </c>
      <c r="L18" s="4" t="inlineStr">
        <is>
          <t>FY2016</t>
        </is>
      </c>
      <c r="M18" s="4" t="inlineStr">
        <is>
          <t>FY2015</t>
        </is>
      </c>
      <c r="N18" s="4" t="inlineStr">
        <is>
          <t>FY2014</t>
        </is>
      </c>
      <c r="AX18" t="inlineStr">
        <is>
          <t>FY2014</t>
        </is>
      </c>
      <c r="AY18" t="inlineStr">
        <is>
          <t>FY2015</t>
        </is>
      </c>
      <c r="AZ18" t="inlineStr">
        <is>
          <t>FY2016</t>
        </is>
      </c>
      <c r="BA18" t="inlineStr">
        <is>
          <t>FY2017</t>
        </is>
      </c>
      <c r="BB18" t="inlineStr">
        <is>
          <t>FY2018</t>
        </is>
      </c>
      <c r="BC18" t="inlineStr">
        <is>
          <t>FY2019</t>
        </is>
      </c>
      <c r="BD18" t="inlineStr">
        <is>
          <t>FY2020</t>
        </is>
      </c>
      <c r="BE18" t="inlineStr">
        <is>
          <t>FY2021</t>
        </is>
      </c>
      <c r="BF18" t="inlineStr">
        <is>
          <t>FY2022</t>
        </is>
      </c>
      <c r="BG18" t="inlineStr">
        <is>
          <t>FY2023</t>
        </is>
      </c>
      <c r="BH18" t="inlineStr">
        <is>
          <t>FY2024</t>
        </is>
      </c>
      <c r="BI18" t="inlineStr">
        <is>
          <t>FY2025</t>
        </is>
      </c>
      <c r="BJ18" t="inlineStr">
        <is>
          <t>FY2026</t>
        </is>
      </c>
    </row>
    <row r="19">
      <c r="A19" s="5" t="inlineStr">
        <is>
          <t>Opening equity</t>
        </is>
      </c>
      <c r="B19" s="5" t="n"/>
      <c r="C19" s="5" t="n">
        <v>4417.2</v>
      </c>
      <c r="D19" s="5" t="n">
        <v>4197.2</v>
      </c>
      <c r="E19" s="5" t="n">
        <v>3757.9</v>
      </c>
      <c r="F19" s="5" t="n">
        <v>3471</v>
      </c>
      <c r="G19" s="5" t="n">
        <v>3690.5</v>
      </c>
      <c r="H19" s="5" t="n">
        <v>3383</v>
      </c>
      <c r="I19" s="5" t="n">
        <v>2947.9</v>
      </c>
      <c r="J19" s="5" t="n">
        <v>3122</v>
      </c>
      <c r="K19" s="5" t="n">
        <v>2609.1</v>
      </c>
      <c r="L19" s="5" t="n">
        <v>2453.5</v>
      </c>
      <c r="M19" s="5" t="n">
        <v>2114.6</v>
      </c>
      <c r="N19" s="5" t="n">
        <v>1728.8</v>
      </c>
      <c r="AW19" t="inlineStr">
        <is>
          <t>Opening equity</t>
        </is>
      </c>
      <c r="AX19" t="n">
        <v>1728.8</v>
      </c>
      <c r="AY19" t="n">
        <v>2114.6</v>
      </c>
      <c r="AZ19" t="n">
        <v>2453.5</v>
      </c>
      <c r="BA19" t="n">
        <v>2609.1</v>
      </c>
      <c r="BB19" t="n">
        <v>3122</v>
      </c>
      <c r="BC19" t="n">
        <v>2947.9</v>
      </c>
      <c r="BD19" t="n">
        <v>3383</v>
      </c>
      <c r="BE19" t="n">
        <v>3690.5</v>
      </c>
      <c r="BF19" t="n">
        <v>3471</v>
      </c>
      <c r="BG19" t="n">
        <v>3757.9</v>
      </c>
      <c r="BH19" t="n">
        <v>4197.2</v>
      </c>
      <c r="BI19" t="n">
        <v>4417.2</v>
      </c>
    </row>
    <row r="20">
      <c r="A20" s="5" t="inlineStr">
        <is>
          <t>Total comprehensive income for the year</t>
        </is>
      </c>
      <c r="B20" s="5" t="n"/>
      <c r="C20" s="5" t="n">
        <v>271.3</v>
      </c>
      <c r="D20" s="5" t="n">
        <v>310.3</v>
      </c>
      <c r="E20" s="5" t="n">
        <v>201.9</v>
      </c>
      <c r="F20" s="5" t="n">
        <v>115.8</v>
      </c>
      <c r="G20" s="5" t="n">
        <v>160.1</v>
      </c>
      <c r="H20" s="5" t="n">
        <v>133.1</v>
      </c>
      <c r="I20" s="5" t="n">
        <v>207.1</v>
      </c>
      <c r="J20" s="5" t="n">
        <v>161.7</v>
      </c>
      <c r="K20" s="5" t="n">
        <v>117.6</v>
      </c>
      <c r="L20" s="5" t="n">
        <v>72.3</v>
      </c>
      <c r="M20" s="5" t="n">
        <v>72.8</v>
      </c>
      <c r="N20" s="5" t="n">
        <v>63.3</v>
      </c>
      <c r="AW20" t="inlineStr">
        <is>
          <t>Total comprehensive income for the year</t>
        </is>
      </c>
      <c r="AX20" t="n">
        <v>63.3</v>
      </c>
      <c r="AY20" t="n">
        <v>72.8</v>
      </c>
      <c r="AZ20" t="n">
        <v>72.3</v>
      </c>
      <c r="BA20" t="n">
        <v>117.6</v>
      </c>
      <c r="BB20" t="n">
        <v>161.7</v>
      </c>
      <c r="BC20" t="n">
        <v>207.1</v>
      </c>
      <c r="BD20" t="n">
        <v>133.1</v>
      </c>
      <c r="BE20" t="n">
        <v>160.1</v>
      </c>
      <c r="BF20" t="n">
        <v>115.8</v>
      </c>
      <c r="BG20" t="n">
        <v>201.9</v>
      </c>
      <c r="BH20" t="n">
        <v>310.3</v>
      </c>
      <c r="BI20" t="n">
        <v>271.3</v>
      </c>
    </row>
    <row r="21">
      <c r="A21" s="5" t="inlineStr">
        <is>
          <t>Other equity movements, net</t>
        </is>
      </c>
      <c r="B21" s="5" t="n"/>
      <c r="C21" s="5" t="n">
        <v>-98</v>
      </c>
      <c r="D21" s="5" t="n">
        <v>-90.3</v>
      </c>
      <c r="E21" s="5" t="n">
        <v>237.4</v>
      </c>
      <c r="F21" s="5" t="n">
        <v>171.1</v>
      </c>
      <c r="G21" s="5" t="n">
        <v>-379.6</v>
      </c>
      <c r="H21" s="5" t="n">
        <v>174.4</v>
      </c>
      <c r="I21" s="5" t="n">
        <v>228</v>
      </c>
      <c r="J21" s="5" t="n">
        <v>-346.9</v>
      </c>
      <c r="K21" s="5" t="n">
        <v>395.3</v>
      </c>
      <c r="L21" s="5" t="n">
        <v>83.3</v>
      </c>
      <c r="M21" s="5" t="n">
        <v>266.1</v>
      </c>
      <c r="N21" s="5" t="n">
        <v>322.5</v>
      </c>
      <c r="AW21" t="inlineStr">
        <is>
          <t>Other equity movements, net</t>
        </is>
      </c>
      <c r="AX21" t="n">
        <v>322.5</v>
      </c>
      <c r="AY21" t="n">
        <v>266.1</v>
      </c>
      <c r="AZ21" t="n">
        <v>83.3</v>
      </c>
      <c r="BA21" t="n">
        <v>395.3</v>
      </c>
      <c r="BB21" t="n">
        <v>-346.9</v>
      </c>
      <c r="BC21" t="n">
        <v>228</v>
      </c>
      <c r="BD21" t="n">
        <v>174.4</v>
      </c>
      <c r="BE21" t="n">
        <v>-379.6</v>
      </c>
      <c r="BF21" t="n">
        <v>171.1</v>
      </c>
      <c r="BG21" t="n">
        <v>237.4</v>
      </c>
      <c r="BH21" t="n">
        <v>-90.3</v>
      </c>
      <c r="BI21" t="n">
        <v>-98</v>
      </c>
    </row>
    <row r="22">
      <c r="A22" s="5" t="inlineStr">
        <is>
          <t>Closing equity</t>
        </is>
      </c>
      <c r="B22" s="5" t="n">
        <v>4814.8</v>
      </c>
      <c r="C22" s="5" t="n">
        <v>4590.5</v>
      </c>
      <c r="D22" s="5" t="n">
        <v>4417.2</v>
      </c>
      <c r="E22" s="5" t="n">
        <v>4197.2</v>
      </c>
      <c r="F22" s="5" t="n">
        <v>3757.9</v>
      </c>
      <c r="G22" s="5" t="n">
        <v>3471</v>
      </c>
      <c r="H22" s="5" t="n">
        <v>3690.5</v>
      </c>
      <c r="I22" s="5" t="n">
        <v>3383</v>
      </c>
      <c r="J22" s="5" t="n">
        <v>2936.8</v>
      </c>
      <c r="K22" s="5" t="n">
        <v>3122</v>
      </c>
      <c r="L22" s="5" t="n">
        <v>2609.1</v>
      </c>
      <c r="M22" s="5" t="n">
        <v>2453.5</v>
      </c>
      <c r="N22" s="5" t="n">
        <v>2114.6</v>
      </c>
      <c r="AW22" t="inlineStr">
        <is>
          <t>Closing equity</t>
        </is>
      </c>
      <c r="AX22" t="n">
        <v>2114.6</v>
      </c>
      <c r="AY22" t="n">
        <v>2453.5</v>
      </c>
      <c r="AZ22" t="n">
        <v>2609.1</v>
      </c>
      <c r="BA22" t="n">
        <v>3122</v>
      </c>
      <c r="BB22" t="n">
        <v>2936.8</v>
      </c>
      <c r="BC22" t="n">
        <v>3383</v>
      </c>
      <c r="BD22" t="n">
        <v>3690.5</v>
      </c>
      <c r="BE22" t="n">
        <v>3471</v>
      </c>
      <c r="BF22" t="n">
        <v>3757.9</v>
      </c>
      <c r="BG22" t="n">
        <v>4197.2</v>
      </c>
      <c r="BH22" t="n">
        <v>4417.2</v>
      </c>
      <c r="BI22" t="n">
        <v>4590.5</v>
      </c>
      <c r="BJ22" t="n">
        <v>4814.8</v>
      </c>
    </row>
    <row r="24">
      <c r="A24" s="3" t="inlineStr">
        <is>
          <t>Cash Flow Summary (£m (conv. from USD))</t>
        </is>
      </c>
    </row>
    <row r="25">
      <c r="A25" s="4" t="inlineStr">
        <is>
          <t>Line item</t>
        </is>
      </c>
      <c r="B25" s="4" t="inlineStr">
        <is>
          <t>FY2026</t>
        </is>
      </c>
      <c r="C25" s="4" t="inlineStr">
        <is>
          <t>FY2025</t>
        </is>
      </c>
      <c r="D25" s="4" t="inlineStr">
        <is>
          <t>FY2024</t>
        </is>
      </c>
      <c r="E25" s="4" t="inlineStr">
        <is>
          <t>FY2023</t>
        </is>
      </c>
      <c r="F25" s="4" t="inlineStr">
        <is>
          <t>FY2022</t>
        </is>
      </c>
      <c r="G25" s="4" t="inlineStr">
        <is>
          <t>FY2021</t>
        </is>
      </c>
      <c r="H25" s="4" t="inlineStr">
        <is>
          <t>FY2020</t>
        </is>
      </c>
      <c r="I25" s="4" t="inlineStr">
        <is>
          <t>FY2019</t>
        </is>
      </c>
      <c r="J25" s="4" t="inlineStr">
        <is>
          <t>FY2018</t>
        </is>
      </c>
      <c r="K25" s="4" t="inlineStr">
        <is>
          <t>FY2017</t>
        </is>
      </c>
      <c r="L25" s="4" t="inlineStr">
        <is>
          <t>FY2016</t>
        </is>
      </c>
      <c r="M25" s="4" t="inlineStr">
        <is>
          <t>FY2015</t>
        </is>
      </c>
      <c r="N25" s="4" t="inlineStr">
        <is>
          <t>FY2014</t>
        </is>
      </c>
      <c r="BN25" t="inlineStr">
        <is>
          <t>FY2014</t>
        </is>
      </c>
      <c r="BO25" t="inlineStr">
        <is>
          <t>FY2015</t>
        </is>
      </c>
      <c r="BP25" t="inlineStr">
        <is>
          <t>FY2016</t>
        </is>
      </c>
      <c r="BQ25" t="inlineStr">
        <is>
          <t>FY2017</t>
        </is>
      </c>
      <c r="BR25" t="inlineStr">
        <is>
          <t>FY2018</t>
        </is>
      </c>
      <c r="BS25" t="inlineStr">
        <is>
          <t>FY2019</t>
        </is>
      </c>
      <c r="BT25" t="inlineStr">
        <is>
          <t>FY2020</t>
        </is>
      </c>
      <c r="BU25" t="inlineStr">
        <is>
          <t>FY2021</t>
        </is>
      </c>
      <c r="BV25" t="inlineStr">
        <is>
          <t>FY2022</t>
        </is>
      </c>
      <c r="BW25" t="inlineStr">
        <is>
          <t>FY2023</t>
        </is>
      </c>
      <c r="BX25" t="inlineStr">
        <is>
          <t>FY2024</t>
        </is>
      </c>
      <c r="BY25" t="inlineStr">
        <is>
          <t>FY2025</t>
        </is>
      </c>
      <c r="BZ25" t="inlineStr">
        <is>
          <t>FY2026</t>
        </is>
      </c>
    </row>
    <row r="26">
      <c r="A26" s="5" t="inlineStr">
        <is>
          <t>Net cash from/(used in) operating activities</t>
        </is>
      </c>
      <c r="B26" s="5" t="n">
        <v>-6955.1</v>
      </c>
      <c r="C26" s="5" t="n">
        <v>1830.5</v>
      </c>
      <c r="D26" s="5" t="n">
        <v>-2790.2</v>
      </c>
      <c r="E26" s="5" t="n">
        <v>-291.2</v>
      </c>
      <c r="F26" s="5" t="n">
        <v>81.09999999999999</v>
      </c>
      <c r="G26" s="5" t="n">
        <v>-2494.4</v>
      </c>
      <c r="H26" s="5" t="n">
        <v>7394.3</v>
      </c>
      <c r="I26" s="5" t="n">
        <v>-7766.9</v>
      </c>
      <c r="J26" s="5" t="n">
        <v>12308.6</v>
      </c>
      <c r="K26" s="5" t="n">
        <v>-844.8</v>
      </c>
      <c r="L26" s="5" t="n">
        <v>2166.8</v>
      </c>
      <c r="M26" s="5" t="n">
        <v>-256.2</v>
      </c>
      <c r="N26" s="5" t="n">
        <v>229</v>
      </c>
      <c r="BM26" t="inlineStr">
        <is>
          <t>Net cash from/(used in) operating activities</t>
        </is>
      </c>
      <c r="BN26" t="n">
        <v>229</v>
      </c>
      <c r="BO26" t="n">
        <v>-256.2</v>
      </c>
      <c r="BP26" t="n">
        <v>2166.8</v>
      </c>
      <c r="BQ26" t="n">
        <v>-844.8</v>
      </c>
      <c r="BR26" t="n">
        <v>12308.6</v>
      </c>
      <c r="BS26" t="n">
        <v>-7766.9</v>
      </c>
      <c r="BT26" t="n">
        <v>7394.3</v>
      </c>
      <c r="BU26" t="n">
        <v>-2494.4</v>
      </c>
      <c r="BV26" t="n">
        <v>81.09999999999999</v>
      </c>
      <c r="BW26" t="n">
        <v>-291.2</v>
      </c>
      <c r="BX26" t="n">
        <v>-2790.2</v>
      </c>
      <c r="BY26" t="n">
        <v>1830.5</v>
      </c>
      <c r="BZ26" t="n">
        <v>-6955.1</v>
      </c>
    </row>
    <row r="27">
      <c r="A27" s="5" t="inlineStr">
        <is>
          <t>Net cash from/(used in) investing activities</t>
        </is>
      </c>
      <c r="B27" s="5" t="n">
        <v>-2631.3</v>
      </c>
      <c r="C27" s="5" t="n">
        <v>-117.7</v>
      </c>
      <c r="D27" s="5" t="n">
        <v>245.8</v>
      </c>
      <c r="E27" s="5" t="n">
        <v>-78.40000000000001</v>
      </c>
      <c r="F27" s="5" t="n">
        <v>-446.7</v>
      </c>
      <c r="G27" s="5" t="n">
        <v>-55</v>
      </c>
      <c r="H27" s="5" t="n">
        <v>-184.5</v>
      </c>
      <c r="I27" s="5" t="n">
        <v>227.1</v>
      </c>
      <c r="J27" s="5" t="n">
        <v>-233.8</v>
      </c>
      <c r="K27" s="5" t="n">
        <v>218.5</v>
      </c>
      <c r="L27" s="5" t="n">
        <v>48.9</v>
      </c>
      <c r="M27" s="5" t="n">
        <v>35.4</v>
      </c>
      <c r="N27" s="5" t="n">
        <v>-323.2</v>
      </c>
      <c r="BM27" t="inlineStr">
        <is>
          <t>Net cash from/(used in) investing activities</t>
        </is>
      </c>
      <c r="BN27" t="n">
        <v>-323.2</v>
      </c>
      <c r="BO27" t="n">
        <v>35.4</v>
      </c>
      <c r="BP27" t="n">
        <v>48.9</v>
      </c>
      <c r="BQ27" t="n">
        <v>218.5</v>
      </c>
      <c r="BR27" t="n">
        <v>-233.8</v>
      </c>
      <c r="BS27" t="n">
        <v>227.1</v>
      </c>
      <c r="BT27" t="n">
        <v>-184.5</v>
      </c>
      <c r="BU27" t="n">
        <v>-55</v>
      </c>
      <c r="BV27" t="n">
        <v>-446.7</v>
      </c>
      <c r="BW27" t="n">
        <v>-78.40000000000001</v>
      </c>
      <c r="BX27" t="n">
        <v>245.8</v>
      </c>
      <c r="BY27" t="n">
        <v>-117.7</v>
      </c>
      <c r="BZ27" t="n">
        <v>-2631.3</v>
      </c>
    </row>
    <row r="28">
      <c r="A28" s="5" t="inlineStr">
        <is>
          <t>Net cash from/(used in) financing activities</t>
        </is>
      </c>
      <c r="B28" s="5" t="n">
        <v>-693.8</v>
      </c>
      <c r="C28" s="5" t="n">
        <v>72.7</v>
      </c>
      <c r="D28" s="5" t="n">
        <v>-123.3</v>
      </c>
      <c r="E28" s="5" t="n">
        <v>56</v>
      </c>
      <c r="F28" s="5" t="n">
        <v>76</v>
      </c>
      <c r="G28" s="5" t="n">
        <v>632.6</v>
      </c>
      <c r="H28" s="5" t="n">
        <v>-18.6</v>
      </c>
      <c r="I28" s="5" t="n">
        <v>-3077.5</v>
      </c>
      <c r="J28" s="5" t="n">
        <v>235.5</v>
      </c>
      <c r="K28" s="5" t="n">
        <v>-282.5</v>
      </c>
      <c r="L28" s="5" t="n">
        <v>1145</v>
      </c>
      <c r="M28" s="5" t="n">
        <v>1.7</v>
      </c>
      <c r="N28" s="5" t="n">
        <v>85</v>
      </c>
      <c r="BM28" t="inlineStr">
        <is>
          <t>Net cash from/(used in) financing activities</t>
        </is>
      </c>
      <c r="BN28" t="n">
        <v>85</v>
      </c>
      <c r="BO28" t="n">
        <v>1.7</v>
      </c>
      <c r="BP28" t="n">
        <v>1145</v>
      </c>
      <c r="BQ28" t="n">
        <v>-282.5</v>
      </c>
      <c r="BR28" t="n">
        <v>235.5</v>
      </c>
      <c r="BS28" t="n">
        <v>-3077.5</v>
      </c>
      <c r="BT28" t="n">
        <v>-18.6</v>
      </c>
      <c r="BU28" t="n">
        <v>632.6</v>
      </c>
      <c r="BV28" t="n">
        <v>76</v>
      </c>
      <c r="BW28" t="n">
        <v>56</v>
      </c>
      <c r="BX28" t="n">
        <v>-123.3</v>
      </c>
      <c r="BY28" t="n">
        <v>72.7</v>
      </c>
      <c r="BZ28" t="n">
        <v>-693.8</v>
      </c>
    </row>
    <row r="29">
      <c r="A29" s="5" t="inlineStr">
        <is>
          <t>Cash and cash equivalents at 31 March</t>
        </is>
      </c>
      <c r="B29" s="5" t="n">
        <v>9592.4</v>
      </c>
      <c r="C29" s="5" t="n">
        <v>19592.6</v>
      </c>
      <c r="D29" s="5" t="n">
        <v>18048.4</v>
      </c>
      <c r="E29" s="5" t="n">
        <v>21025.2</v>
      </c>
      <c r="F29" s="5" t="n">
        <v>19261.7</v>
      </c>
      <c r="G29" s="5" t="n">
        <v>17823.7</v>
      </c>
      <c r="H29" s="5" t="n">
        <v>23335.7</v>
      </c>
      <c r="I29" s="5" t="n">
        <v>15196.5</v>
      </c>
      <c r="J29" s="5" t="n">
        <v>26504.3</v>
      </c>
      <c r="K29" s="5" t="n">
        <v>16558.8</v>
      </c>
      <c r="L29" s="5" t="n">
        <v>15228.5</v>
      </c>
      <c r="M29" s="5" t="n">
        <v>11346.9</v>
      </c>
      <c r="N29" s="5" t="n">
        <v>10315.6</v>
      </c>
      <c r="BM29" t="inlineStr">
        <is>
          <t>Cash and cash equivalents at 31 March</t>
        </is>
      </c>
      <c r="BN29" t="n">
        <v>10315.6</v>
      </c>
      <c r="BO29" t="n">
        <v>11346.9</v>
      </c>
      <c r="BP29" t="n">
        <v>15228.5</v>
      </c>
      <c r="BQ29" t="n">
        <v>16558.8</v>
      </c>
      <c r="BR29" t="n">
        <v>26504.3</v>
      </c>
      <c r="BS29" t="n">
        <v>15196.5</v>
      </c>
      <c r="BT29" t="n">
        <v>23335.7</v>
      </c>
      <c r="BU29" t="n">
        <v>17823.7</v>
      </c>
      <c r="BV29" t="n">
        <v>19261.7</v>
      </c>
      <c r="BW29" t="n">
        <v>21025.2</v>
      </c>
      <c r="BX29" t="n">
        <v>18048.4</v>
      </c>
      <c r="BY29" t="n">
        <v>19592.6</v>
      </c>
      <c r="BZ29" t="n">
        <v>9592.4</v>
      </c>
    </row>
    <row r="31">
      <c r="A31" s="3" t="inlineStr">
        <is>
          <t>Pillar 3 Key Metrics</t>
        </is>
      </c>
    </row>
    <row r="32">
      <c r="A32" s="4" t="inlineStr">
        <is>
          <t>Line item</t>
        </is>
      </c>
      <c r="B32" s="4" t="inlineStr">
        <is>
          <t>FY2026</t>
        </is>
      </c>
      <c r="C32" s="4" t="inlineStr">
        <is>
          <t>FY2025</t>
        </is>
      </c>
      <c r="D32" s="4" t="inlineStr">
        <is>
          <t>FY2024</t>
        </is>
      </c>
      <c r="E32" s="4" t="inlineStr">
        <is>
          <t>FY2023</t>
        </is>
      </c>
      <c r="F32" s="4" t="inlineStr">
        <is>
          <t>FY2022</t>
        </is>
      </c>
      <c r="G32" s="4" t="inlineStr">
        <is>
          <t>FY2021</t>
        </is>
      </c>
      <c r="H32" s="4" t="inlineStr">
        <is>
          <t>FY2020</t>
        </is>
      </c>
      <c r="I32" s="4" t="inlineStr">
        <is>
          <t>FY2019</t>
        </is>
      </c>
      <c r="J32" s="4" t="inlineStr">
        <is>
          <t>FY2018</t>
        </is>
      </c>
      <c r="K32" s="4" t="inlineStr">
        <is>
          <t>FY2017</t>
        </is>
      </c>
      <c r="L32" s="4" t="inlineStr">
        <is>
          <t>FY2016</t>
        </is>
      </c>
      <c r="M32" s="4" t="inlineStr">
        <is>
          <t>FY2015</t>
        </is>
      </c>
      <c r="N32" s="4" t="inlineStr">
        <is>
          <t>FY2014</t>
        </is>
      </c>
    </row>
    <row r="33">
      <c r="A33" s="6" t="inlineStr">
        <is>
          <t>CET1 Ratio</t>
        </is>
      </c>
      <c r="B33" s="6" t="inlineStr">
        <is>
          <t>21.0%</t>
        </is>
      </c>
      <c r="C33" s="6" t="inlineStr">
        <is>
          <t>17.1%</t>
        </is>
      </c>
      <c r="D33" s="6" t="inlineStr">
        <is>
          <t>19.5%</t>
        </is>
      </c>
      <c r="E33" s="6" t="inlineStr">
        <is>
          <t>17.8%</t>
        </is>
      </c>
      <c r="F33" s="6" t="inlineStr">
        <is>
          <t>16.3%</t>
        </is>
      </c>
      <c r="G33" s="6" t="inlineStr">
        <is>
          <t>16.7%</t>
        </is>
      </c>
      <c r="H33" s="6" t="inlineStr">
        <is>
          <t>15.8%</t>
        </is>
      </c>
      <c r="I33" s="6" t="inlineStr">
        <is>
          <t>18.5%</t>
        </is>
      </c>
      <c r="J33" s="6" t="inlineStr">
        <is>
          <t>16.8%</t>
        </is>
      </c>
      <c r="K33" s="6" t="inlineStr">
        <is>
          <t>20.9%</t>
        </is>
      </c>
      <c r="L33" s="6" t="inlineStr">
        <is>
          <t>18.4%</t>
        </is>
      </c>
      <c r="M33" s="6" t="inlineStr">
        <is>
          <t>24.8%</t>
        </is>
      </c>
      <c r="N33" s="6" t="inlineStr">
        <is>
          <t>22.9%</t>
        </is>
      </c>
    </row>
    <row r="34">
      <c r="A34" s="6" t="inlineStr">
        <is>
          <t>Tier 1 Ratio</t>
        </is>
      </c>
      <c r="B34" s="6" t="inlineStr">
        <is>
          <t>21.0%</t>
        </is>
      </c>
      <c r="C34" s="6" t="inlineStr">
        <is>
          <t>17.1%</t>
        </is>
      </c>
      <c r="D34" s="6" t="inlineStr">
        <is>
          <t>19.5%</t>
        </is>
      </c>
      <c r="E34" s="6" t="inlineStr">
        <is>
          <t>17.8%</t>
        </is>
      </c>
      <c r="F34" s="6" t="inlineStr">
        <is>
          <t>16.3%</t>
        </is>
      </c>
      <c r="G34" s="6" t="inlineStr">
        <is>
          <t>16.7%</t>
        </is>
      </c>
      <c r="H34" s="6" t="inlineStr">
        <is>
          <t>15.8%</t>
        </is>
      </c>
      <c r="I34" s="6" t="inlineStr">
        <is>
          <t>18.5%</t>
        </is>
      </c>
      <c r="J34" s="6" t="inlineStr">
        <is>
          <t>16.8%</t>
        </is>
      </c>
      <c r="K34" s="6" t="inlineStr">
        <is>
          <t>20.9%</t>
        </is>
      </c>
      <c r="L34" s="6" t="inlineStr">
        <is>
          <t>18.4%</t>
        </is>
      </c>
      <c r="M34" s="6" t="inlineStr">
        <is>
          <t>24.8%</t>
        </is>
      </c>
      <c r="N34" s="6" t="inlineStr">
        <is>
          <t>22.9%</t>
        </is>
      </c>
    </row>
    <row r="35">
      <c r="A35" s="6" t="inlineStr">
        <is>
          <t>Total Capital Ratio</t>
        </is>
      </c>
      <c r="B35" s="6" t="inlineStr">
        <is>
          <t>21.0%</t>
        </is>
      </c>
      <c r="C35" s="6" t="inlineStr">
        <is>
          <t>17.1%</t>
        </is>
      </c>
      <c r="D35" s="6" t="inlineStr">
        <is>
          <t>19.5%</t>
        </is>
      </c>
      <c r="E35" s="6" t="inlineStr">
        <is>
          <t>17.8%</t>
        </is>
      </c>
      <c r="F35" s="6" t="inlineStr">
        <is>
          <t>16.3%</t>
        </is>
      </c>
      <c r="G35" s="6" t="inlineStr">
        <is>
          <t>16.7%</t>
        </is>
      </c>
      <c r="H35" s="6" t="inlineStr">
        <is>
          <t>15.8%</t>
        </is>
      </c>
      <c r="I35" s="6" t="inlineStr">
        <is>
          <t>18.5%</t>
        </is>
      </c>
      <c r="J35" s="6" t="inlineStr">
        <is>
          <t>16.8%</t>
        </is>
      </c>
      <c r="K35" s="6" t="inlineStr">
        <is>
          <t>20.9%</t>
        </is>
      </c>
      <c r="L35" s="6" t="inlineStr">
        <is>
          <t>18.4%</t>
        </is>
      </c>
      <c r="M35" s="6" t="inlineStr">
        <is>
          <t>24.8%</t>
        </is>
      </c>
      <c r="N35" s="6" t="inlineStr">
        <is>
          <t>22.9%</t>
        </is>
      </c>
    </row>
    <row r="36">
      <c r="A36" s="6" t="inlineStr">
        <is>
          <t>Leverage Ratio</t>
        </is>
      </c>
      <c r="B36" s="6" t="inlineStr">
        <is>
          <t>8.3%</t>
        </is>
      </c>
      <c r="C36" s="6" t="inlineStr">
        <is>
          <t>10.1%</t>
        </is>
      </c>
      <c r="D36" s="6" t="inlineStr">
        <is>
          <t>14.8%</t>
        </is>
      </c>
      <c r="E36" s="6" t="inlineStr">
        <is>
          <t>13.8%</t>
        </is>
      </c>
      <c r="F36" s="6" t="inlineStr">
        <is>
          <t>12.4%</t>
        </is>
      </c>
      <c r="G36" s="6" t="inlineStr">
        <is>
          <t>7.7%</t>
        </is>
      </c>
      <c r="H36" s="6" t="inlineStr">
        <is>
          <t>6.8%</t>
        </is>
      </c>
      <c r="I36" s="6" t="inlineStr">
        <is>
          <t>7.6%</t>
        </is>
      </c>
      <c r="J36" s="6" t="inlineStr">
        <is>
          <t>5.8%</t>
        </is>
      </c>
      <c r="K36" s="6" t="inlineStr">
        <is>
          <t>8.4%</t>
        </is>
      </c>
      <c r="L36" s="6" t="inlineStr">
        <is>
          <t>7.1%</t>
        </is>
      </c>
      <c r="M36" s="6" t="inlineStr">
        <is>
          <t>9.7%</t>
        </is>
      </c>
      <c r="N36" s="6" t="inlineStr">
        <is>
          <t>7.7%</t>
        </is>
      </c>
    </row>
    <row r="37">
      <c r="A37" s="6" t="inlineStr">
        <is>
          <t>LCR</t>
        </is>
      </c>
      <c r="B37" s="6" t="inlineStr">
        <is>
          <t>154.8%</t>
        </is>
      </c>
      <c r="C37" s="6" t="inlineStr">
        <is>
          <t>160.1%</t>
        </is>
      </c>
      <c r="D37" s="6" t="inlineStr">
        <is>
          <t>155.6%</t>
        </is>
      </c>
      <c r="E37" s="6" t="inlineStr">
        <is>
          <t>145.4%</t>
        </is>
      </c>
      <c r="F37" s="6" t="inlineStr">
        <is>
          <t>136%</t>
        </is>
      </c>
      <c r="G37" s="6" t="inlineStr">
        <is>
          <t>145.0%</t>
        </is>
      </c>
      <c r="H37" s="6" t="inlineStr">
        <is>
          <t>126.2%</t>
        </is>
      </c>
      <c r="I37" s="6" t="inlineStr">
        <is>
          <t>141.4%</t>
        </is>
      </c>
      <c r="J37" s="6" t="inlineStr">
        <is>
          <t>133.4%</t>
        </is>
      </c>
      <c r="K37" s="6" t="inlineStr">
        <is>
          <t>125.5%</t>
        </is>
      </c>
      <c r="L37" s="6" t="inlineStr">
        <is>
          <t>97.3%</t>
        </is>
      </c>
      <c r="M37" s="6" t="inlineStr">
        <is>
          <t>115.2%</t>
        </is>
      </c>
      <c r="N37" s="6" t="n"/>
    </row>
    <row r="38">
      <c r="A38" s="6" t="inlineStr">
        <is>
          <t>NSFR</t>
        </is>
      </c>
      <c r="B38" s="6" t="inlineStr">
        <is>
          <t>132.8%</t>
        </is>
      </c>
      <c r="C38" s="6" t="inlineStr">
        <is>
          <t>127.2%</t>
        </is>
      </c>
      <c r="D38" s="6" t="inlineStr">
        <is>
          <t>141.8%</t>
        </is>
      </c>
      <c r="E38" s="6" t="inlineStr">
        <is>
          <t>142.4%</t>
        </is>
      </c>
      <c r="F38" s="6" t="inlineStr">
        <is>
          <t>133.5%</t>
        </is>
      </c>
      <c r="G38" s="6" t="inlineStr">
        <is>
          <t>135.5%</t>
        </is>
      </c>
      <c r="H38" s="6" t="inlineStr">
        <is>
          <t>107.6%</t>
        </is>
      </c>
      <c r="I38" s="6" t="inlineStr">
        <is>
          <t>110.5%</t>
        </is>
      </c>
      <c r="J38" s="6" t="inlineStr">
        <is>
          <t>102.9%</t>
        </is>
      </c>
      <c r="K38" s="6" t="inlineStr">
        <is>
          <t>96.1%</t>
        </is>
      </c>
      <c r="L38" s="6" t="n"/>
      <c r="M38" s="6" t="n"/>
      <c r="N38" s="6" t="n"/>
    </row>
    <row r="40" ht="30" customHeight="1">
      <c r="A40" s="7" t="inlineStr">
        <is>
          <t>Note: Figures are duplicated from the detail sheets for at-a-glance trend viewing. ALL £ figures in this workbook are converted from SMBC Bank International plc's native USD reporting - see the Cash Flow Statement sheet's source note for the full FX methodology and exact rates used. Ratios (%) are shown exactly as reported in USD and were not converted.</t>
        </is>
      </c>
    </row>
  </sheetData>
  <mergeCells count="1">
    <mergeCell ref="A40:N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SMBC Bank International plc — Statement of Financial Position</t>
        </is>
      </c>
    </row>
    <row r="2">
      <c r="A2" s="2" t="inlineStr">
        <is>
          <t>£m, converted from USD - see source note at bottom for FX methodology and rates used.</t>
        </is>
      </c>
    </row>
    <row r="3">
      <c r="A3" s="4" t="inlineStr">
        <is>
          <t>Line item</t>
        </is>
      </c>
      <c r="B3" s="4" t="inlineStr">
        <is>
          <t>FY2026 (£m, conv. from USD)</t>
        </is>
      </c>
      <c r="C3" s="4" t="inlineStr">
        <is>
          <t>FY2025 (£m, conv. from USD)</t>
        </is>
      </c>
      <c r="D3" s="4" t="inlineStr">
        <is>
          <t>FY2024 (£m, conv. from USD)</t>
        </is>
      </c>
      <c r="E3" s="4" t="inlineStr">
        <is>
          <t>FY2023 (£m, conv. from USD)</t>
        </is>
      </c>
      <c r="F3" s="4" t="inlineStr">
        <is>
          <t>FY2022 (£m, conv. from USD)</t>
        </is>
      </c>
      <c r="G3" s="4" t="inlineStr">
        <is>
          <t>FY2021 (£m, conv. from USD)</t>
        </is>
      </c>
      <c r="H3" s="4" t="inlineStr">
        <is>
          <t>FY2020 (£m, conv. from USD)</t>
        </is>
      </c>
      <c r="I3" s="4" t="inlineStr">
        <is>
          <t>FY2019 (£m, conv. from USD)</t>
        </is>
      </c>
      <c r="J3" s="4" t="inlineStr">
        <is>
          <t>FY2018 (£m, conv. from USD)</t>
        </is>
      </c>
      <c r="K3" s="4" t="inlineStr">
        <is>
          <t>FY2017 (£m, conv. from USD)</t>
        </is>
      </c>
      <c r="L3" s="4" t="inlineStr">
        <is>
          <t>FY2016 (£m, conv. from USD)</t>
        </is>
      </c>
      <c r="M3" s="4" t="inlineStr">
        <is>
          <t>FY2015 (£m, conv. from USD)</t>
        </is>
      </c>
      <c r="N3" s="4" t="inlineStr">
        <is>
          <t>FY2014 (£m, conv. from USD)</t>
        </is>
      </c>
      <c r="O3" s="4" t="inlineStr">
        <is>
          <t>FY2013 (£m, conv. from USD)</t>
        </is>
      </c>
    </row>
    <row r="4">
      <c r="A4" s="5" t="inlineStr">
        <is>
          <t>Assets</t>
        </is>
      </c>
      <c r="B4" s="6" t="n"/>
      <c r="C4" s="6" t="n"/>
      <c r="D4" s="6" t="n"/>
      <c r="E4" s="6" t="n"/>
      <c r="F4" s="6" t="n"/>
      <c r="G4" s="6" t="n"/>
      <c r="H4" s="6" t="n"/>
      <c r="I4" s="6" t="n"/>
      <c r="J4" s="6" t="n"/>
      <c r="K4" s="6" t="n"/>
      <c r="L4" s="6" t="n"/>
      <c r="M4" s="6" t="n"/>
      <c r="N4" s="6" t="n"/>
      <c r="O4" s="6" t="n"/>
    </row>
    <row r="5">
      <c r="A5" s="6" t="inlineStr">
        <is>
          <t>Cash and balances at central banks</t>
        </is>
      </c>
      <c r="B5" s="6" t="n">
        <v>9342.700000000001</v>
      </c>
      <c r="C5" s="6" t="n">
        <v>19593</v>
      </c>
      <c r="D5" s="6" t="n">
        <v>18169.1</v>
      </c>
      <c r="E5" s="6" t="n">
        <v>20931.7</v>
      </c>
      <c r="F5" s="6" t="n">
        <v>19188.1</v>
      </c>
      <c r="G5" s="6" t="n">
        <v>17795.3</v>
      </c>
      <c r="H5" s="6" t="n">
        <v>19935.9</v>
      </c>
      <c r="I5" s="6" t="n">
        <v>15096</v>
      </c>
      <c r="J5" s="6" t="n">
        <v>23982.8</v>
      </c>
      <c r="K5" s="6" t="n">
        <v>13240.2</v>
      </c>
      <c r="L5" s="6" t="n">
        <v>13603.7</v>
      </c>
      <c r="M5" s="6" t="n">
        <v>7998.4</v>
      </c>
      <c r="N5" s="6" t="n">
        <v>8262.200000000001</v>
      </c>
      <c r="O5" s="6" t="n">
        <v>10160.8</v>
      </c>
    </row>
    <row r="6">
      <c r="A6" s="6" t="inlineStr">
        <is>
          <t>Settlement balances</t>
        </is>
      </c>
      <c r="B6" s="6" t="n">
        <v>527.1</v>
      </c>
      <c r="C6" s="6" t="n">
        <v>308.2</v>
      </c>
      <c r="D6" s="6" t="n">
        <v>75.59999999999999</v>
      </c>
      <c r="E6" s="6" t="n">
        <v>93.40000000000001</v>
      </c>
      <c r="F6" s="6" t="n">
        <v>73.59999999999999</v>
      </c>
      <c r="G6" s="6" t="n">
        <v>28.4</v>
      </c>
      <c r="H6" s="6" t="n">
        <v>3399.8</v>
      </c>
      <c r="I6" s="6" t="n">
        <v>100.5</v>
      </c>
      <c r="J6" s="6" t="n"/>
      <c r="K6" s="6" t="n"/>
      <c r="L6" s="6" t="n"/>
      <c r="M6" s="6" t="n"/>
      <c r="N6" s="6" t="n"/>
      <c r="O6" s="6" t="n"/>
    </row>
    <row r="7">
      <c r="A7" s="6" t="inlineStr">
        <is>
          <t>Loans and advances to banks</t>
        </is>
      </c>
      <c r="B7" s="6" t="n">
        <v>5460.3</v>
      </c>
      <c r="C7" s="6" t="n">
        <v>2669.5</v>
      </c>
      <c r="D7" s="6" t="n">
        <v>2733.9</v>
      </c>
      <c r="E7" s="6" t="n">
        <v>2607.2</v>
      </c>
      <c r="F7" s="6" t="n">
        <v>3030.4</v>
      </c>
      <c r="G7" s="6" t="n">
        <v>2751.1</v>
      </c>
      <c r="H7" s="6" t="n">
        <v>3065.8</v>
      </c>
      <c r="I7" s="6" t="n">
        <v>2236.8</v>
      </c>
      <c r="J7" s="6" t="n">
        <v>3112.9</v>
      </c>
      <c r="K7" s="6" t="n">
        <v>4372.9</v>
      </c>
      <c r="L7" s="6" t="n">
        <v>2533</v>
      </c>
      <c r="M7" s="6" t="n">
        <v>3892.6</v>
      </c>
      <c r="N7" s="6" t="n">
        <v>2714.9</v>
      </c>
      <c r="O7" s="6" t="n">
        <v>1940.5</v>
      </c>
    </row>
    <row r="8">
      <c r="A8" s="6" t="inlineStr">
        <is>
          <t>Loans and advances to customers</t>
        </is>
      </c>
      <c r="B8" s="6" t="n">
        <v>10601.8</v>
      </c>
      <c r="C8" s="6" t="n">
        <v>14934</v>
      </c>
      <c r="D8" s="6" t="n">
        <v>14290.5</v>
      </c>
      <c r="E8" s="6" t="n">
        <v>14326</v>
      </c>
      <c r="F8" s="6" t="n">
        <v>15151.6</v>
      </c>
      <c r="G8" s="6" t="n">
        <v>15109.8</v>
      </c>
      <c r="H8" s="6" t="n">
        <v>18320.3</v>
      </c>
      <c r="I8" s="6" t="n">
        <v>16488.3</v>
      </c>
      <c r="J8" s="6" t="n">
        <v>14533</v>
      </c>
      <c r="K8" s="6" t="n">
        <v>11962.9</v>
      </c>
      <c r="L8" s="6" t="n">
        <v>10829.9</v>
      </c>
      <c r="M8" s="6" t="n">
        <v>7806.2</v>
      </c>
      <c r="N8" s="6" t="n">
        <v>6808.3</v>
      </c>
      <c r="O8" s="6" t="n">
        <v>7260.9</v>
      </c>
    </row>
    <row r="9">
      <c r="A9" s="6" t="inlineStr">
        <is>
          <t>Reverse repurchase agreements</t>
        </is>
      </c>
      <c r="B9" s="6" t="n">
        <v>25407.9</v>
      </c>
      <c r="C9" s="6" t="n">
        <v>13233.2</v>
      </c>
      <c r="D9" s="6" t="n">
        <v>1354</v>
      </c>
      <c r="E9" s="6" t="n">
        <v>1024.7</v>
      </c>
      <c r="F9" s="6" t="n">
        <v>910.1</v>
      </c>
      <c r="G9" s="6" t="n">
        <v>1255.9</v>
      </c>
      <c r="H9" s="6" t="n">
        <v>1211.4</v>
      </c>
      <c r="I9" s="6" t="n">
        <v>1376.4</v>
      </c>
      <c r="J9" s="6" t="n"/>
      <c r="K9" s="6" t="n"/>
      <c r="L9" s="6" t="n"/>
      <c r="M9" s="6" t="n"/>
      <c r="N9" s="6" t="n"/>
      <c r="O9" s="6" t="n"/>
    </row>
    <row r="10">
      <c r="A10" s="6" t="inlineStr">
        <is>
          <t>Trading assets</t>
        </is>
      </c>
      <c r="B10" s="6" t="n">
        <v>1630.1</v>
      </c>
      <c r="C10" s="6" t="n">
        <v>1160.1</v>
      </c>
      <c r="D10" s="6" t="n"/>
      <c r="E10" s="6" t="n"/>
      <c r="F10" s="6" t="n"/>
      <c r="G10" s="6" t="n"/>
      <c r="H10" s="6" t="n"/>
      <c r="I10" s="6" t="n"/>
      <c r="J10" s="6" t="n"/>
      <c r="K10" s="6" t="n"/>
      <c r="L10" s="6" t="n"/>
      <c r="M10" s="6" t="n"/>
      <c r="N10" s="6" t="n"/>
      <c r="O10" s="6" t="n"/>
    </row>
    <row r="11">
      <c r="A11" s="6" t="inlineStr">
        <is>
          <t>Total investment securities</t>
        </is>
      </c>
      <c r="B11" s="6" t="n">
        <v>3168.5</v>
      </c>
      <c r="C11" s="6" t="n">
        <v>591.9</v>
      </c>
      <c r="D11" s="6" t="n">
        <v>529.2</v>
      </c>
      <c r="E11" s="6" t="n">
        <v>845.3</v>
      </c>
      <c r="F11" s="6" t="n">
        <v>766.8</v>
      </c>
      <c r="G11" s="6" t="n">
        <v>359.9</v>
      </c>
      <c r="H11" s="6" t="n">
        <v>503.8</v>
      </c>
      <c r="I11" s="6" t="n">
        <v>327.3</v>
      </c>
      <c r="J11" s="6" t="n">
        <v>535.2</v>
      </c>
      <c r="K11" s="6" t="n">
        <v>364</v>
      </c>
      <c r="L11" s="6" t="n">
        <v>545.1</v>
      </c>
      <c r="M11" s="6" t="n">
        <v>594.7</v>
      </c>
      <c r="N11" s="6" t="n">
        <v>600.8</v>
      </c>
      <c r="O11" s="6" t="n">
        <v>313.6</v>
      </c>
    </row>
    <row r="12">
      <c r="A12" s="6" t="inlineStr">
        <is>
          <t>Investment securities - Amortised cost</t>
        </is>
      </c>
      <c r="B12" s="6" t="n">
        <v>0</v>
      </c>
      <c r="C12" s="6" t="n">
        <v>13.9</v>
      </c>
      <c r="D12" s="6" t="n">
        <v>8.199999999999999</v>
      </c>
      <c r="E12" s="6" t="n">
        <v>23.7</v>
      </c>
      <c r="F12" s="6" t="n">
        <v>49.7</v>
      </c>
      <c r="G12" s="6" t="n">
        <v>94.3</v>
      </c>
      <c r="H12" s="6" t="n">
        <v>150.1</v>
      </c>
      <c r="I12" s="6" t="n"/>
      <c r="J12" s="6" t="n"/>
      <c r="K12" s="6" t="n"/>
      <c r="L12" s="6" t="n"/>
      <c r="M12" s="6" t="n"/>
      <c r="N12" s="6" t="n"/>
      <c r="O12" s="6" t="n"/>
    </row>
    <row r="13">
      <c r="A13" s="6" t="inlineStr">
        <is>
          <t>Investment securities - Fair value through other comprehensive income (FVOCI)</t>
        </is>
      </c>
      <c r="B13" s="6" t="n">
        <v>3151.3</v>
      </c>
      <c r="C13" s="6" t="n">
        <v>560.8</v>
      </c>
      <c r="D13" s="6" t="n">
        <v>504.3</v>
      </c>
      <c r="E13" s="6" t="n">
        <v>806.4</v>
      </c>
      <c r="F13" s="6" t="n">
        <v>703.3</v>
      </c>
      <c r="G13" s="6" t="n">
        <v>257.2</v>
      </c>
      <c r="H13" s="6" t="n">
        <v>349.4</v>
      </c>
      <c r="I13" s="6" t="n"/>
      <c r="J13" s="6" t="n"/>
      <c r="K13" s="6" t="n"/>
      <c r="L13" s="6" t="n"/>
      <c r="M13" s="6" t="n"/>
      <c r="N13" s="6" t="n"/>
      <c r="O13" s="6" t="n"/>
    </row>
    <row r="14">
      <c r="A14" s="6" t="inlineStr">
        <is>
          <t>Investment securities - Fair value through profit and loss (FVTPL)</t>
        </is>
      </c>
      <c r="B14" s="6" t="n">
        <v>17.1</v>
      </c>
      <c r="C14" s="6" t="n">
        <v>17.1</v>
      </c>
      <c r="D14" s="6" t="n">
        <v>16.8</v>
      </c>
      <c r="E14" s="6" t="n">
        <v>15.2</v>
      </c>
      <c r="F14" s="6" t="n">
        <v>13.8</v>
      </c>
      <c r="G14" s="6" t="n">
        <v>8.300000000000001</v>
      </c>
      <c r="H14" s="6" t="n">
        <v>4.3</v>
      </c>
      <c r="I14" s="6" t="n"/>
      <c r="J14" s="6" t="n"/>
      <c r="K14" s="6" t="n"/>
      <c r="L14" s="6" t="n"/>
      <c r="M14" s="6" t="n"/>
      <c r="N14" s="6" t="n"/>
      <c r="O14" s="6" t="n"/>
    </row>
    <row r="15">
      <c r="A15" s="6" t="inlineStr">
        <is>
          <t>Derivative assets</t>
        </is>
      </c>
      <c r="B15" s="6" t="n">
        <v>1451.7</v>
      </c>
      <c r="C15" s="6" t="n">
        <v>1361.7</v>
      </c>
      <c r="D15" s="6" t="n">
        <v>1561.9</v>
      </c>
      <c r="E15" s="6" t="n">
        <v>1686.8</v>
      </c>
      <c r="F15" s="6" t="n">
        <v>1086.8</v>
      </c>
      <c r="G15" s="6" t="n">
        <v>910.2</v>
      </c>
      <c r="H15" s="6" t="n">
        <v>1432.2</v>
      </c>
      <c r="I15" s="6" t="n">
        <v>764.4</v>
      </c>
      <c r="J15" s="6" t="n">
        <v>1117.5</v>
      </c>
      <c r="K15" s="6" t="n">
        <v>874.4</v>
      </c>
      <c r="L15" s="6" t="n">
        <v>877</v>
      </c>
      <c r="M15" s="6" t="n">
        <v>1007.9</v>
      </c>
      <c r="N15" s="6" t="n">
        <v>281.1</v>
      </c>
      <c r="O15" s="6" t="n">
        <v>318.2</v>
      </c>
    </row>
    <row r="16">
      <c r="A16" s="6" t="inlineStr">
        <is>
          <t>Other assets</t>
        </is>
      </c>
      <c r="B16" s="6" t="n">
        <v>1199.6</v>
      </c>
      <c r="C16" s="6" t="n">
        <v>1132</v>
      </c>
      <c r="D16" s="6" t="n">
        <v>604.7</v>
      </c>
      <c r="E16" s="6" t="n">
        <v>751.3</v>
      </c>
      <c r="F16" s="6" t="n">
        <v>529</v>
      </c>
      <c r="G16" s="6" t="n">
        <v>391.9</v>
      </c>
      <c r="H16" s="6" t="n">
        <v>674.4</v>
      </c>
      <c r="I16" s="6" t="n">
        <v>369.1</v>
      </c>
      <c r="J16" s="6" t="n">
        <v>181.6</v>
      </c>
      <c r="K16" s="6" t="n">
        <v>173.7</v>
      </c>
      <c r="L16" s="6" t="n">
        <v>148.3</v>
      </c>
      <c r="M16" s="6" t="n">
        <v>202</v>
      </c>
      <c r="N16" s="6" t="n">
        <v>136.7</v>
      </c>
      <c r="O16" s="6" t="n">
        <v>121.9</v>
      </c>
    </row>
    <row r="17">
      <c r="A17" s="6" t="inlineStr">
        <is>
          <t>Intangible assets and goodwill</t>
        </is>
      </c>
      <c r="B17" s="6" t="n">
        <v>110.2</v>
      </c>
      <c r="C17" s="6" t="n">
        <v>83</v>
      </c>
      <c r="D17" s="6" t="n">
        <v>55.6</v>
      </c>
      <c r="E17" s="6" t="n">
        <v>45.6</v>
      </c>
      <c r="F17" s="6" t="n">
        <v>35.5</v>
      </c>
      <c r="G17" s="6" t="n">
        <v>28.9</v>
      </c>
      <c r="H17" s="6" t="n">
        <v>30.9</v>
      </c>
      <c r="I17" s="6" t="n">
        <v>23</v>
      </c>
      <c r="J17" s="6" t="n">
        <v>15.7</v>
      </c>
      <c r="K17" s="6" t="n">
        <v>13.1</v>
      </c>
      <c r="L17" s="6" t="n">
        <v>9.5</v>
      </c>
      <c r="M17" s="6" t="n">
        <v>4.6</v>
      </c>
      <c r="N17" s="6" t="n">
        <v>3.7</v>
      </c>
      <c r="O17" s="6" t="n">
        <v>2.4</v>
      </c>
    </row>
    <row r="18">
      <c r="A18" s="6" t="inlineStr">
        <is>
          <t>Property and equipment</t>
        </is>
      </c>
      <c r="B18" s="6" t="n">
        <v>136.9</v>
      </c>
      <c r="C18" s="6" t="n">
        <v>167.5</v>
      </c>
      <c r="D18" s="6" t="n">
        <v>192.8</v>
      </c>
      <c r="E18" s="6" t="n">
        <v>205.8</v>
      </c>
      <c r="F18" s="6" t="n">
        <v>193.4</v>
      </c>
      <c r="G18" s="6" t="n">
        <v>158.8</v>
      </c>
      <c r="H18" s="6" t="n">
        <v>36.4</v>
      </c>
      <c r="I18" s="6" t="n">
        <v>23.3</v>
      </c>
      <c r="J18" s="6" t="n">
        <v>20.1</v>
      </c>
      <c r="K18" s="6" t="n">
        <v>13.4</v>
      </c>
      <c r="L18" s="6" t="n">
        <v>13.6</v>
      </c>
      <c r="M18" s="6" t="n">
        <v>8.1</v>
      </c>
      <c r="N18" s="6" t="n">
        <v>10.4</v>
      </c>
      <c r="O18" s="6" t="n">
        <v>15.4</v>
      </c>
    </row>
    <row r="19">
      <c r="A19" s="6" t="inlineStr">
        <is>
          <t>Current tax asset</t>
        </is>
      </c>
      <c r="B19" s="6" t="n"/>
      <c r="C19" s="6" t="n">
        <v>6.4</v>
      </c>
      <c r="D19" s="6" t="n">
        <v>4.4</v>
      </c>
      <c r="E19" s="6" t="n">
        <v>19.6</v>
      </c>
      <c r="F19" s="6" t="n">
        <v>4.6</v>
      </c>
      <c r="G19" s="6" t="n"/>
      <c r="H19" s="6" t="n">
        <v>24.7</v>
      </c>
      <c r="I19" s="6" t="n"/>
      <c r="J19" s="6" t="n"/>
      <c r="K19" s="6" t="n"/>
      <c r="L19" s="6" t="n"/>
      <c r="M19" s="6" t="n"/>
      <c r="N19" s="6" t="n">
        <v>1.3</v>
      </c>
      <c r="O19" s="6" t="n"/>
    </row>
    <row r="20">
      <c r="A20" s="6" t="inlineStr">
        <is>
          <t>Deferred tax asset</t>
        </is>
      </c>
      <c r="B20" s="6" t="n">
        <v>14</v>
      </c>
      <c r="C20" s="6" t="n">
        <v>26.8</v>
      </c>
      <c r="D20" s="6" t="n">
        <v>34.6</v>
      </c>
      <c r="E20" s="6" t="n">
        <v>21</v>
      </c>
      <c r="F20" s="6" t="n">
        <v>24.4</v>
      </c>
      <c r="G20" s="6" t="n">
        <v>14.8</v>
      </c>
      <c r="H20" s="6" t="n">
        <v>5.2</v>
      </c>
      <c r="I20" s="6" t="n">
        <v>5</v>
      </c>
      <c r="J20" s="6" t="n">
        <v>3.8</v>
      </c>
      <c r="K20" s="6" t="n">
        <v>5.5</v>
      </c>
      <c r="L20" s="6" t="n"/>
      <c r="M20" s="6" t="n">
        <v>1.2</v>
      </c>
      <c r="N20" s="6" t="n">
        <v>4.9</v>
      </c>
      <c r="O20" s="6" t="n">
        <v>5.5</v>
      </c>
    </row>
    <row r="21">
      <c r="A21" s="6" t="inlineStr">
        <is>
          <t>Pensions surplus</t>
        </is>
      </c>
      <c r="B21" s="6" t="n">
        <v>30.2</v>
      </c>
      <c r="C21" s="6" t="n">
        <v>28.4</v>
      </c>
      <c r="D21" s="6" t="n">
        <v>26.6</v>
      </c>
      <c r="E21" s="6" t="n">
        <v>33.8</v>
      </c>
      <c r="F21" s="6" t="n">
        <v>45.9</v>
      </c>
      <c r="G21" s="6" t="n">
        <v>24</v>
      </c>
      <c r="H21" s="6" t="n">
        <v>50.1</v>
      </c>
      <c r="I21" s="6" t="n">
        <v>35</v>
      </c>
      <c r="J21" s="6" t="n">
        <v>36.2</v>
      </c>
      <c r="K21" s="6" t="n">
        <v>32.9</v>
      </c>
      <c r="L21" s="6" t="n">
        <v>32</v>
      </c>
      <c r="M21" s="6" t="n">
        <v>14.3</v>
      </c>
      <c r="N21" s="6" t="n">
        <v>2.2</v>
      </c>
      <c r="O21" s="6" t="n">
        <v>0.3</v>
      </c>
    </row>
    <row r="22">
      <c r="A22" s="5" t="inlineStr">
        <is>
          <t>Total assets</t>
        </is>
      </c>
      <c r="B22" s="5" t="n">
        <v>59080.9</v>
      </c>
      <c r="C22" s="5" t="n">
        <v>55295.7</v>
      </c>
      <c r="D22" s="5" t="n">
        <v>39632.8</v>
      </c>
      <c r="E22" s="5" t="n">
        <v>42592.3</v>
      </c>
      <c r="F22" s="5" t="n">
        <v>41040.2</v>
      </c>
      <c r="G22" s="5" t="n">
        <v>38829</v>
      </c>
      <c r="H22" s="5" t="n">
        <v>48690.9</v>
      </c>
      <c r="I22" s="5" t="n">
        <v>36845.2</v>
      </c>
      <c r="J22" s="5" t="n">
        <v>43538.7</v>
      </c>
      <c r="K22" s="5" t="n">
        <v>31053</v>
      </c>
      <c r="L22" s="5" t="n">
        <v>28592</v>
      </c>
      <c r="M22" s="5" t="n">
        <v>21529.9</v>
      </c>
      <c r="N22" s="5" t="n">
        <v>18826.7</v>
      </c>
      <c r="O22" s="5" t="n">
        <v>20139.5</v>
      </c>
    </row>
    <row r="23">
      <c r="A23" s="5" t="inlineStr">
        <is>
          <t>Liabilities</t>
        </is>
      </c>
      <c r="B23" s="6" t="n"/>
      <c r="C23" s="6" t="n"/>
      <c r="D23" s="6" t="n"/>
      <c r="E23" s="6" t="n"/>
      <c r="F23" s="6" t="n"/>
      <c r="G23" s="6" t="n"/>
      <c r="H23" s="6" t="n"/>
      <c r="I23" s="6" t="n"/>
      <c r="J23" s="6" t="n"/>
      <c r="K23" s="6" t="n"/>
      <c r="L23" s="6" t="n"/>
      <c r="M23" s="6" t="n"/>
      <c r="N23" s="6" t="n"/>
      <c r="O23" s="6" t="n"/>
    </row>
    <row r="24">
      <c r="A24" s="6" t="inlineStr">
        <is>
          <t>Deposits by banks</t>
        </is>
      </c>
      <c r="B24" s="6" t="n">
        <v>15664.1</v>
      </c>
      <c r="C24" s="6" t="n">
        <v>22412</v>
      </c>
      <c r="D24" s="6" t="n">
        <v>16744.5</v>
      </c>
      <c r="E24" s="6" t="n">
        <v>20211.5</v>
      </c>
      <c r="F24" s="6" t="n">
        <v>20040.2</v>
      </c>
      <c r="G24" s="6" t="n">
        <v>17270.4</v>
      </c>
      <c r="H24" s="6" t="n">
        <v>20705.6</v>
      </c>
      <c r="I24" s="6" t="n">
        <v>18582.2</v>
      </c>
      <c r="J24" s="6" t="n">
        <v>19880.4</v>
      </c>
      <c r="K24" s="6" t="n">
        <v>10399.9</v>
      </c>
      <c r="L24" s="6" t="n">
        <v>16656.8</v>
      </c>
      <c r="M24" s="6" t="n">
        <v>11352.3</v>
      </c>
      <c r="N24" s="6" t="n">
        <v>10244</v>
      </c>
      <c r="O24" s="6" t="n">
        <v>12698.4</v>
      </c>
    </row>
    <row r="25">
      <c r="A25" s="6" t="inlineStr">
        <is>
          <t>Customer accounts</t>
        </is>
      </c>
      <c r="B25" s="6" t="n">
        <v>19255.5</v>
      </c>
      <c r="C25" s="6" t="n">
        <v>15242.8</v>
      </c>
      <c r="D25" s="6" t="n">
        <v>15697.5</v>
      </c>
      <c r="E25" s="6" t="n">
        <v>15099.5</v>
      </c>
      <c r="F25" s="6" t="n">
        <v>15008.4</v>
      </c>
      <c r="G25" s="6" t="n">
        <v>16178</v>
      </c>
      <c r="H25" s="6" t="n">
        <v>22292.1</v>
      </c>
      <c r="I25" s="6" t="n">
        <v>13962.4</v>
      </c>
      <c r="J25" s="6" t="n">
        <v>16524.2</v>
      </c>
      <c r="K25" s="6" t="n">
        <v>13526.8</v>
      </c>
      <c r="L25" s="6" t="n">
        <v>5571</v>
      </c>
      <c r="M25" s="6" t="n">
        <v>5151.5</v>
      </c>
      <c r="N25" s="6" t="n">
        <v>4693.4</v>
      </c>
      <c r="O25" s="6" t="n">
        <v>3370.2</v>
      </c>
    </row>
    <row r="26">
      <c r="A26" s="6" t="inlineStr">
        <is>
          <t>Debt securities in issue</t>
        </is>
      </c>
      <c r="B26" s="6" t="n">
        <v>75.40000000000001</v>
      </c>
      <c r="C26" s="6" t="n">
        <v>783.9</v>
      </c>
      <c r="D26" s="6" t="n">
        <v>714</v>
      </c>
      <c r="E26" s="6" t="n">
        <v>848.2</v>
      </c>
      <c r="F26" s="6" t="n">
        <v>741.5</v>
      </c>
      <c r="G26" s="6" t="n">
        <v>618.7</v>
      </c>
      <c r="H26" s="6" t="n"/>
      <c r="I26" s="6" t="n">
        <v>10.1</v>
      </c>
      <c r="J26" s="6" t="n">
        <v>2882.7</v>
      </c>
      <c r="K26" s="6" t="n">
        <v>2982.3</v>
      </c>
      <c r="L26" s="6" t="n">
        <v>2850.5</v>
      </c>
      <c r="M26" s="6" t="n">
        <v>1601.9</v>
      </c>
      <c r="N26" s="6" t="n">
        <v>1424.9</v>
      </c>
      <c r="O26" s="6" t="n">
        <v>1475.5</v>
      </c>
    </row>
    <row r="27">
      <c r="A27" s="6" t="inlineStr">
        <is>
          <t>Subordinated liabilities (FY2013 only)</t>
        </is>
      </c>
      <c r="B27" s="6" t="n"/>
      <c r="C27" s="6" t="n"/>
      <c r="D27" s="6" t="n"/>
      <c r="E27" s="6" t="n"/>
      <c r="F27" s="6" t="n"/>
      <c r="G27" s="6" t="n"/>
      <c r="H27" s="6" t="n"/>
      <c r="I27" s="6" t="n"/>
      <c r="J27" s="6" t="n"/>
      <c r="K27" s="6" t="n"/>
      <c r="L27" s="6" t="n"/>
      <c r="M27" s="6" t="n"/>
      <c r="N27" s="6" t="n"/>
      <c r="O27" s="6" t="n">
        <v>527</v>
      </c>
    </row>
    <row r="28">
      <c r="A28" s="6" t="inlineStr">
        <is>
          <t>Repurchase agreements</t>
        </is>
      </c>
      <c r="B28" s="6" t="n">
        <v>16097.2</v>
      </c>
      <c r="C28" s="6" t="n">
        <v>9813.4</v>
      </c>
      <c r="D28" s="6" t="n"/>
      <c r="E28" s="6" t="n"/>
      <c r="F28" s="6" t="n"/>
      <c r="G28" s="6" t="n"/>
      <c r="H28" s="6" t="n"/>
      <c r="I28" s="6" t="n"/>
      <c r="J28" s="6" t="n"/>
      <c r="K28" s="6" t="n"/>
      <c r="L28" s="6" t="n"/>
      <c r="M28" s="6" t="n"/>
      <c r="N28" s="6" t="n"/>
      <c r="O28" s="6" t="n"/>
    </row>
    <row r="29">
      <c r="A29" s="6" t="inlineStr">
        <is>
          <t>Derivative liabilities</t>
        </is>
      </c>
      <c r="B29" s="6" t="n">
        <v>1253.8</v>
      </c>
      <c r="C29" s="6" t="n">
        <v>1369.6</v>
      </c>
      <c r="D29" s="6" t="n">
        <v>1286.6</v>
      </c>
      <c r="E29" s="6" t="n">
        <v>1518.4</v>
      </c>
      <c r="F29" s="6" t="n">
        <v>1004.9</v>
      </c>
      <c r="G29" s="6" t="n">
        <v>890.7</v>
      </c>
      <c r="H29" s="6" t="n">
        <v>1310.9</v>
      </c>
      <c r="I29" s="6" t="n">
        <v>668.3</v>
      </c>
      <c r="J29" s="6" t="n">
        <v>1155.2</v>
      </c>
      <c r="K29" s="6" t="n">
        <v>829</v>
      </c>
      <c r="L29" s="6" t="n">
        <v>818.8</v>
      </c>
      <c r="M29" s="6" t="n">
        <v>909.9</v>
      </c>
      <c r="N29" s="6" t="n">
        <v>270.8</v>
      </c>
      <c r="O29" s="6" t="n">
        <v>273.4</v>
      </c>
    </row>
    <row r="30">
      <c r="A30" s="6" t="inlineStr">
        <is>
          <t>Trading liabilities</t>
        </is>
      </c>
      <c r="B30" s="6" t="n">
        <v>481.3</v>
      </c>
      <c r="C30" s="6" t="n">
        <v>228</v>
      </c>
      <c r="D30" s="6" t="n"/>
      <c r="E30" s="6" t="n"/>
      <c r="F30" s="6" t="n"/>
      <c r="G30" s="6" t="n"/>
      <c r="H30" s="6" t="n"/>
      <c r="I30" s="6" t="n"/>
      <c r="J30" s="6" t="n"/>
      <c r="K30" s="6" t="n"/>
      <c r="L30" s="6" t="n"/>
      <c r="M30" s="6" t="n"/>
      <c r="N30" s="6" t="n"/>
      <c r="O30" s="6" t="n"/>
    </row>
    <row r="31">
      <c r="A31" s="6" t="inlineStr">
        <is>
          <t>Other liabilities</t>
        </is>
      </c>
      <c r="B31" s="6" t="n">
        <v>1393.3</v>
      </c>
      <c r="C31" s="6" t="n">
        <v>826.3</v>
      </c>
      <c r="D31" s="6" t="n">
        <v>743</v>
      </c>
      <c r="E31" s="6" t="n">
        <v>685.3</v>
      </c>
      <c r="F31" s="6" t="n">
        <v>443.5</v>
      </c>
      <c r="G31" s="6" t="n">
        <v>361.9</v>
      </c>
      <c r="H31" s="6" t="n">
        <v>666.1</v>
      </c>
      <c r="I31" s="6" t="n">
        <v>178.7</v>
      </c>
      <c r="J31" s="6" t="n">
        <v>117.6</v>
      </c>
      <c r="K31" s="6" t="n">
        <v>163.2</v>
      </c>
      <c r="L31" s="6" t="n">
        <v>72.90000000000001</v>
      </c>
      <c r="M31" s="6" t="n">
        <v>56.4</v>
      </c>
      <c r="N31" s="6" t="n">
        <v>60.2</v>
      </c>
      <c r="O31" s="6" t="n">
        <v>57.3</v>
      </c>
    </row>
    <row r="32">
      <c r="A32" s="6" t="inlineStr">
        <is>
          <t>Other provisions</t>
        </is>
      </c>
      <c r="B32" s="6" t="n">
        <v>19</v>
      </c>
      <c r="C32" s="6" t="n">
        <v>12.8</v>
      </c>
      <c r="D32" s="6" t="n">
        <v>8.699999999999999</v>
      </c>
      <c r="E32" s="6" t="n">
        <v>9.699999999999999</v>
      </c>
      <c r="F32" s="6" t="n">
        <v>26.2</v>
      </c>
      <c r="G32" s="6" t="n">
        <v>15.4</v>
      </c>
      <c r="H32" s="6" t="n">
        <v>7.7</v>
      </c>
      <c r="I32" s="6" t="n">
        <v>4.2</v>
      </c>
      <c r="J32" s="6" t="n">
        <v>7.7</v>
      </c>
      <c r="K32" s="6" t="n">
        <v>6.7</v>
      </c>
      <c r="L32" s="6" t="n">
        <v>10</v>
      </c>
      <c r="M32" s="6" t="n">
        <v>2.4</v>
      </c>
      <c r="N32" s="6" t="n">
        <v>4.7</v>
      </c>
      <c r="O32" s="6" t="n">
        <v>4.4</v>
      </c>
    </row>
    <row r="33">
      <c r="A33" s="6" t="inlineStr">
        <is>
          <t>Current tax liability</t>
        </is>
      </c>
      <c r="B33" s="6" t="n">
        <v>11.9</v>
      </c>
      <c r="C33" s="6" t="n"/>
      <c r="D33" s="6" t="n"/>
      <c r="E33" s="6" t="n"/>
      <c r="F33" s="6" t="n"/>
      <c r="G33" s="6" t="n">
        <v>13.3</v>
      </c>
      <c r="H33" s="6" t="n"/>
      <c r="I33" s="6" t="n">
        <v>42</v>
      </c>
      <c r="J33" s="6" t="n">
        <v>24.5</v>
      </c>
      <c r="K33" s="6" t="n">
        <v>14.9</v>
      </c>
      <c r="L33" s="6" t="n">
        <v>0.8</v>
      </c>
      <c r="M33" s="6" t="n">
        <v>2</v>
      </c>
      <c r="N33" s="6" t="n">
        <v>14.2</v>
      </c>
      <c r="O33" s="6" t="n">
        <v>4.4</v>
      </c>
    </row>
    <row r="34">
      <c r="A34" s="6" t="inlineStr">
        <is>
          <t>Deferred tax liability</t>
        </is>
      </c>
      <c r="B34" s="6" t="n">
        <v>14.6</v>
      </c>
      <c r="C34" s="6" t="n">
        <v>16.4</v>
      </c>
      <c r="D34" s="6" t="n">
        <v>21.2</v>
      </c>
      <c r="E34" s="6" t="n">
        <v>22.6</v>
      </c>
      <c r="F34" s="6" t="n">
        <v>17.6</v>
      </c>
      <c r="G34" s="6" t="n">
        <v>9.6</v>
      </c>
      <c r="H34" s="6" t="n">
        <v>18</v>
      </c>
      <c r="I34" s="6" t="n">
        <v>14.4</v>
      </c>
      <c r="J34" s="6" t="n">
        <v>9.6</v>
      </c>
      <c r="K34" s="6" t="n">
        <v>8.199999999999999</v>
      </c>
      <c r="L34" s="6" t="n">
        <v>2.2</v>
      </c>
      <c r="M34" s="6" t="n"/>
      <c r="N34" s="6" t="n"/>
      <c r="O34" s="6" t="n"/>
    </row>
    <row r="35">
      <c r="A35" s="5" t="inlineStr">
        <is>
          <t>Total liabilities</t>
        </is>
      </c>
      <c r="B35" s="5" t="n">
        <v>54266.2</v>
      </c>
      <c r="C35" s="5" t="n">
        <v>50705.1</v>
      </c>
      <c r="D35" s="5" t="n">
        <v>35215.6</v>
      </c>
      <c r="E35" s="5" t="n">
        <v>38395.1</v>
      </c>
      <c r="F35" s="5" t="n">
        <v>37282.3</v>
      </c>
      <c r="G35" s="5" t="n">
        <v>35358</v>
      </c>
      <c r="H35" s="5" t="n">
        <v>45000.4</v>
      </c>
      <c r="I35" s="5" t="n">
        <v>33462.2</v>
      </c>
      <c r="J35" s="5" t="n">
        <v>40601.9</v>
      </c>
      <c r="K35" s="5" t="n">
        <v>27931</v>
      </c>
      <c r="L35" s="5" t="n">
        <v>25983</v>
      </c>
      <c r="M35" s="5" t="n">
        <v>19076.4</v>
      </c>
      <c r="N35" s="5" t="n">
        <v>16712.1</v>
      </c>
      <c r="O35" s="5" t="n">
        <v>18410.6</v>
      </c>
    </row>
    <row r="36">
      <c r="A36" s="5" t="inlineStr">
        <is>
          <t>Shareholders' equity</t>
        </is>
      </c>
      <c r="B36" s="6" t="n"/>
      <c r="C36" s="6" t="n"/>
      <c r="D36" s="6" t="n"/>
      <c r="E36" s="6" t="n"/>
      <c r="F36" s="6" t="n"/>
      <c r="G36" s="6" t="n"/>
      <c r="H36" s="6" t="n"/>
      <c r="I36" s="6" t="n"/>
      <c r="J36" s="6" t="n"/>
      <c r="K36" s="6" t="n"/>
      <c r="L36" s="6" t="n"/>
      <c r="M36" s="6" t="n"/>
      <c r="N36" s="6" t="n"/>
      <c r="O36" s="6" t="n"/>
    </row>
    <row r="37">
      <c r="A37" s="6" t="inlineStr">
        <is>
          <t>Called up share capital</t>
        </is>
      </c>
      <c r="B37" s="6" t="n">
        <v>2426.5</v>
      </c>
      <c r="C37" s="6" t="n">
        <v>2478.8</v>
      </c>
      <c r="D37" s="6" t="n">
        <v>2533.3</v>
      </c>
      <c r="E37" s="6" t="n">
        <v>2588.2</v>
      </c>
      <c r="F37" s="6" t="n">
        <v>2431.3</v>
      </c>
      <c r="G37" s="6" t="n">
        <v>2319.6</v>
      </c>
      <c r="H37" s="6" t="n">
        <v>2580</v>
      </c>
      <c r="I37" s="6" t="n">
        <v>2455.9</v>
      </c>
      <c r="J37" s="6" t="n">
        <v>2280.3</v>
      </c>
      <c r="K37" s="6" t="n">
        <v>2558.6</v>
      </c>
      <c r="L37" s="6" t="n">
        <v>2225.6</v>
      </c>
      <c r="M37" s="6" t="n">
        <v>2155.3</v>
      </c>
      <c r="N37" s="6" t="n">
        <v>1919.3</v>
      </c>
      <c r="O37" s="6" t="n">
        <v>1580.9</v>
      </c>
    </row>
    <row r="38">
      <c r="A38" s="6" t="inlineStr">
        <is>
          <t>Other reserves</t>
        </is>
      </c>
      <c r="B38" s="6" t="n">
        <v>60.8</v>
      </c>
      <c r="C38" s="6" t="n">
        <v>77.5</v>
      </c>
      <c r="D38" s="6" t="n">
        <v>82.2</v>
      </c>
      <c r="E38" s="6" t="n">
        <v>89.40000000000001</v>
      </c>
      <c r="F38" s="6" t="n">
        <v>81.09999999999999</v>
      </c>
      <c r="G38" s="6" t="n">
        <v>73.09999999999999</v>
      </c>
      <c r="H38" s="6" t="n">
        <v>83.2</v>
      </c>
      <c r="I38" s="6" t="n">
        <v>76.7</v>
      </c>
      <c r="J38" s="6" t="n">
        <v>73</v>
      </c>
      <c r="K38" s="6" t="n">
        <v>81.09999999999999</v>
      </c>
      <c r="L38" s="6" t="n">
        <v>70.90000000000001</v>
      </c>
      <c r="M38" s="6" t="n">
        <v>65.90000000000001</v>
      </c>
      <c r="N38" s="6" t="n">
        <v>59.7</v>
      </c>
      <c r="O38" s="6" t="n">
        <v>61.3</v>
      </c>
    </row>
    <row r="39">
      <c r="A39" s="6" t="inlineStr">
        <is>
          <t>Retained earnings</t>
        </is>
      </c>
      <c r="B39" s="6" t="n">
        <v>2327.4</v>
      </c>
      <c r="C39" s="6" t="n">
        <v>2034.2</v>
      </c>
      <c r="D39" s="6" t="n">
        <v>1801.7</v>
      </c>
      <c r="E39" s="6" t="n">
        <v>1519.6</v>
      </c>
      <c r="F39" s="6" t="n">
        <v>1245.6</v>
      </c>
      <c r="G39" s="6" t="n">
        <v>1078.3</v>
      </c>
      <c r="H39" s="6" t="n">
        <v>1027.3</v>
      </c>
      <c r="I39" s="6" t="n">
        <v>850.5</v>
      </c>
      <c r="J39" s="6" t="n">
        <v>583.4</v>
      </c>
      <c r="K39" s="6" t="n">
        <v>482.4</v>
      </c>
      <c r="L39" s="6" t="n">
        <v>312.5</v>
      </c>
      <c r="M39" s="6" t="n">
        <v>232.3</v>
      </c>
      <c r="N39" s="6" t="n">
        <v>135.5</v>
      </c>
      <c r="O39" s="6" t="n">
        <v>86.59999999999999</v>
      </c>
    </row>
    <row r="40">
      <c r="A40" s="5" t="inlineStr">
        <is>
          <t>Total equity</t>
        </is>
      </c>
      <c r="B40" s="5" t="n">
        <v>4814.8</v>
      </c>
      <c r="C40" s="5" t="n">
        <v>4590.5</v>
      </c>
      <c r="D40" s="5" t="n">
        <v>4417.2</v>
      </c>
      <c r="E40" s="5" t="n">
        <v>4197.2</v>
      </c>
      <c r="F40" s="5" t="n">
        <v>3757.9</v>
      </c>
      <c r="G40" s="5" t="n">
        <v>3471</v>
      </c>
      <c r="H40" s="5" t="n">
        <v>3690.5</v>
      </c>
      <c r="I40" s="5" t="n">
        <v>3383</v>
      </c>
      <c r="J40" s="5" t="n">
        <v>2936.8</v>
      </c>
      <c r="K40" s="5" t="n">
        <v>3122</v>
      </c>
      <c r="L40" s="5" t="n">
        <v>2609.1</v>
      </c>
      <c r="M40" s="5" t="n">
        <v>2453.5</v>
      </c>
      <c r="N40" s="5" t="n">
        <v>2114.6</v>
      </c>
      <c r="O40" s="5" t="n">
        <v>1728.8</v>
      </c>
    </row>
    <row r="41">
      <c r="A41" s="5" t="inlineStr">
        <is>
          <t>Total liabilities and equity</t>
        </is>
      </c>
      <c r="B41" s="5" t="n">
        <v>59080.9</v>
      </c>
      <c r="C41" s="5" t="n">
        <v>55295.7</v>
      </c>
      <c r="D41" s="5" t="n">
        <v>39632.8</v>
      </c>
      <c r="E41" s="5" t="n">
        <v>42592.3</v>
      </c>
      <c r="F41" s="5" t="n">
        <v>41040.2</v>
      </c>
      <c r="G41" s="5" t="n">
        <v>38829</v>
      </c>
      <c r="H41" s="5" t="n">
        <v>48690.9</v>
      </c>
      <c r="I41" s="5" t="n">
        <v>36845.2</v>
      </c>
      <c r="J41" s="5" t="n">
        <v>43538.7</v>
      </c>
      <c r="K41" s="5" t="n">
        <v>31053</v>
      </c>
      <c r="L41" s="5" t="n">
        <v>28592</v>
      </c>
      <c r="M41" s="5" t="n">
        <v>21529.9</v>
      </c>
      <c r="N41" s="5" t="n">
        <v>18826.7</v>
      </c>
      <c r="O41" s="5" t="n">
        <v>20139.5</v>
      </c>
    </row>
    <row r="43" ht="409" customHeight="1">
      <c r="A43" s="8" t="inlineStr">
        <is>
          <t>Sources - SMBC Bank International plc's own Statement of financial position, converted from USD to £m (see FX conversion note below):
FY2026: SMBC BI Annual report and financial statements, year ended 31 March 2026 (Companies House filing, scanned/image-only - read by OCR at 250 dpi), p.64 (Statement of financial position) - https://find-and-update.company-information.service.gov.uk/company/04684034/filing-history/MzUzMjU4ODMxMmFkaXF6a2N4/document?format=pdf&amp;download=0. Added 2026-09-15. Every FY2026 figure was checked to foot against its own statement before use: Total assets USD 77,915.9m equals the sum of the asset lines and equals Total liabilities USD 71,566.2m plus Total equity USD 6,349.7m; Net interest income, Net fee and commission income, Operating income, Net operating expenses, Profit before tax and Profit for the year each recompute exactly from their own components; and the cash flow statement's operating, investing and financing subtotals, net change, and closing cash all reconcile. Every FY2025 comparative printed in the FY2026 report reproduces this workbook's existing FY2025 figures exactly, so no prior year was restated. The Bank's FY2026 Pillar 3 disclosure (Table 3.2 CC2) prints Total liabilities as USD 71,566.1m against the audited Statement of financial position's USD 71,566.2m - a 0.1m difference between the Bank's own two documents. The audited statement's figure is used here, and it is the one that foots against the individual liability lines.
FY2025: SMBC BI Annual report and financial statements, year ended 31 March 2025, p.71 (Statement of financial position) - https://www.smbcgroup.com/emea/getmedia/28eec268-62ab-4d64-b597-02b7f918c767/smbcbi-annual-report-2025.pdf
FY2024: SMBC BI Annual report and financial statements, year ended 31 March 2024, p.83 (Statement of financial position) - https://www.smbcgroup.com/emea/getmedia/1c52fee7-2c0d-4378-b571-bd45d5f6ea9f/PDF-Annual-report-(SMBC-BI).pdf
FY2023: SMBC BI Annual report and financial statements, year ended 31 March 2023, p.88 (Statement of financial position) - https://www.smbcgroup.com/emea/getmedia/1784eaa0-0924-4cd7-a4e4-1613b6cb015f/Annual-Report-and-Financial-Statements-2023-(SMBC-BI).pdf
FY2022: SMBC BI Annual report and financial statements, year ended 31 March 2022, p.85 (Statement of financial position) - https://www.smbcgroup.com/emea/getmedia/efb562ee-627d-41c9-823a-b157f879892f/Annual-Report-and-Financial-Statements-2022-(SMBC-BI).pdf
FY2021: SMBC BI Annual report &amp; financial statements, year ended 31 March 2021, p.73 (Statement of financial position) - https://web.archive.org/web/20240612221125id_/https://www.smbcgroup.com/emea/images/SMBC/media/SMBC/pdf/disclosures/smbcbi-annual-report-2021.pdf
FY2020: Sumitomo Mitsui Banking Corporation Europe Limited Annual report &amp; financial statements, year ended 31 March 2020, p.46 - https://find-and-update.company-information.service.gov.uk/company/04684034/filing-history/MzI3MzY1NDE4NmFkaXF6a2N4/document?format=pdf&amp;download=0
FY2019: as above, year ended 31 March 2019, p.25 - https://find-and-update.company-information.service.gov.uk/company/04684034/filing-history/MzIzOTk1Nzc1NWFkaXF6a2N4/document?format=pdf&amp;download=0
FY2018: as above, year ended 31 March 2018, p.23 - https://find-and-update.company-information.service.gov.uk/company/04684034/filing-history/MzIxMDI4NjgxOWFkaXF6a2N4/document?format=pdf&amp;download=0
FY2017: as above, year ended 31 March 2017, p.16 - https://find-and-update.company-information.service.gov.uk/company/04684034/filing-history/MzE4MjA0OTM3OWFkaXF6a2N4/document?format=pdf&amp;download=0
FY2016: as above, year ended 31 March 2016, p.15 - https://find-and-update.company-information.service.gov.uk/company/04684034/filing-history/MzE1MzEzNzE2MWFkaXF6a2N4/document?format=pdf&amp;download=0
FY2015: as above, year ended 31 March 2015, p.15 - https://find-and-update.company-information.service.gov.uk/company/04684034/filing-history/MzEyNjg1NTk3OWFkaXF6a2N4/document?format=pdf&amp;download=0
FY2014: as above, year ended 31 March 2014, p.14 - https://find-and-update.company-information.service.gov.uk/company/04684034/filing-history/MzEwMzk5NTEyM2FkaXF6a2N4/document?format=pdf&amp;download=0
FY2013 (HD-072): as above, year ended 31 March 2013, p.14 - https://find-and-update.company-information.service.gov.uk/company/04684034/filing-history/MzA4MDk2MzYzM2FkaXF6a2N4/document?format=pdf&amp;download=0
Each year's own report was used for its own column (not a restated comparative); every year's own figure was cross-checked against its appearance as the comparative column in the following year's report and matched exactly in all cases EXCEPT FY2014 (see the genuine derivatives-basis restatement flagged on the Cash Flow Statement sheet's source note - Derivative assets/liabilities are affected) - FY2013's own figures were specifically cross-checked against their appearance as the comparative column in AR2014 and matched exactly with no restatement. Total assets ties exactly to Total liabilities + Total equity in USD every year; in GBP terms the two sides differ by up to £0.1m due to independent per-line rounding, not a data error. FY2013 is the only year with a 'Subordinated liabilities' balance (USD 800.0m, redeemed in full during FY2014 - see the Cash Flow Statement sheet). FY2025 is the first year to show Trading assets/liabilities and Repurchase agreements as separate lines (following the securities-business transfer described in the entity note) and the only year with a Deferred tax asset balance shown alongside a Current tax asset; Current tax liability appears only in FY2021 among FY2021-2025 (nil/dash in every other of those years) but also appears in FY2014-2019. PRE-FY2019 PRESENTATION: FY2018 and earlier reports combine 'Loans and advances to banks' into a single line (split pre-restatement into 'included in cash and cash equivalents' + 'other' sub-lines, summed here into one Loans and advances to banks figure) and do not disclose 'Settlement balances' or 'Reverse repurchase agreements' as separate lines at all (both blank/not disclosed for FY2014-2018) - a genuine, cited presentation change introduced as at 31 March 2019 per that year's own report ('Changes to the balance sheet were introduced as at 31 March 2018 as a result of the adoption of IFRS 9 on 1 April 2018'), not a data gap.
INVESTMENT SECURITIES BREAKDOWN: the 'Investment securities - ...' sub-rows below the headline 'Total investment securities' line are transcribed from Note 12 'Investment securities' of each year's own Notes to the financial statements, which splits the balance by measurement basis (amortised cost / fair value through other comprehensive income (FVOCI) / fair value through profit and loss (FVTPL)):
FY2025: Note 12, p.108 - https://www.smbcgroup.com/emea/getmedia/28eec268-62ab-4d64-b597-02b7f918c767/smbcbi-annual-report-2025.pdf
FY2024: same FY2025 filing's own FY2024 comparative column, Note 12, p.108
FY2023: Note 12, p.134 - https://www.smbcgroup.com/emea/getmedia/1784eaa0-0924-4cd7-a4e4-1613b6cb015f/Annual-Report-and-Financial-Statements-2023-(SMBC-BI).pdf</t>
        </is>
      </c>
    </row>
    <row r="45" ht="409" customHeight="1">
      <c r="A45" s="8" t="inlineStr">
        <is>
          <t>(continued)
FY2022: same FY2023 filing's own FY2022 comparative column, Note 12, p.134
FY2021: Note 12, p.120 - https://web.archive.org/web/20240612221125id_/https://www.smbcgroup.com/emea/images/SMBC/media/SMBC/pdf/disclosures/smbcbi-annual-report-2021.pdf
FY2020: same FY2021 filing's own FY2020 comparative column, Note 12, p.120
Each year's sub-rows sum exactly to that year's headline 'Total investment securities' line. No breakdown is available for FY2013-FY2019: those years' own Annual Reports are scanned/image-only Companies House filings (TIFF-derived PDFs with no extractable text layer, per Companies House filing history for company 04684034) and Note 12 in this later, text-native format was in any case only introduced following IFRS 9 adoption on 1 April 2018 (see the pre-FY2019 presentation note above) - no issuer-type (e.g. UK government/sovereign vs. supranational/corporate) breakdown of Investment securities is disclosed in any year's Note 12.
ENTITY NOTE: SMBC Bank International plc (SMBC BI), FRN 223304, is a wholesale bank headquartered in London and a wholly-owned subsidiary of Sumitomo Mitsui Banking Corporation (SMBC), itself part of Sumitomo Mitsui Financial Group (Japan). It was incorporated on 3 March 2003 as Sumitomo Mitsui Banking Corporation Europe Limited and renamed/re-registered as a public limited company on 30 September 2020 (per Companies House's own filing history for company 04684034: 'Certificate of change of name and re-registration from Private to Public Limited Company', 30 Sep 2020) - every FY2014-FY2020 Annual Report used in this workbook is therefore filed under the entity's former name. On 7 October 2024, SMBC BI completed a project transferring the securities business of SMBC Nikko Capital Markets Limited (a portfolio of debt securities and other fixed income assets) to itself, and opened a branch in the Abu Dhabi Global Market - this accounts for new FY2025 cash flow line items (trading portfolio assets/liabilities, repurchase agreements) not present in earlier years, and for part of the FY2025 RWA increase. Figures are on SMBC Bank International plc's own (entity-level) basis throughout, both for cash flow and Pillar 3.
FX CONVERSION NOTE: SMBC Bank International plc reports in US Dollars (its functional currency, per its own Annual Report). This workbook converts every $ amount to £ at the user's request - conversion was necessary because every other workbook in this series is £-denominated and SMBC BI does not itself publish £ figures. Methodology: point-in-time/balance figures (capital, RWA, leverage exposure, HQLA, cash balances) use the Bank of England GBP/USD SPOT rate as at that fiscal year-end (31 March); flow figures (every cash flow statement line item) use the AVERAGE of the 12 month-end spot rates over that fiscal year (1 April-31 March), since a true daily average was not practically obtainable - both from Bank of England daily reference rates via poundsterlinglive.com's published archive. Rates used (£1 = $X): 31 Mar 2012 spot 1.5981 (FY2013 opening equity balance only); FY2013 spot 1.5181 / average 1.5795; FY2014 spot 1.6673 / average 1.5964; FY2015 spot 1.4847 / average 1.6087; FY2016 spot 1.4378 / average 1.5023; FY2017 spot 1.2507 / average 1.3046;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FY2026's two rates (added 2026-09-15) come directly from the Bank of England's own Interactive Statistical Database series XUDLUSS (spot US$ into sterling), rather than from poundsterlinglive.com's republication of the same Bank of England rates used for FY2013-FY2025 - the primary source in place of a secondary one. The methodology is unchanged and was validated against it: re-deriving FY2025 from XUDLUSS on the same basis reproduces its period-end spot of 1.2910 exactly and gives an average of 1.2776 against the 1.2775 recorded for FY2025 above, a 0.0001 difference with no material effect on any converted figure. All % ratios (CET1/Tier 1/Total Capital/Leverage/LCR/NSFR ratios) are shown EXACTLY as reported in USD and were NOT converted - a ratio is dimensionless and currency-invariant since both its numerator and denominator would move by the same factor. Because stocks and flows are converted at different rates (standard practice for translating foreign-currency financial statements), the cash flow statement includes an explicit 'Effect of GBP/USD translation' reconciling line so opening + all flows + this line = closing exactly in £ terms - this line is purely an artefact of £ translation and has no bearing on the Bank's underlying USD results.</t>
        </is>
      </c>
    </row>
  </sheetData>
  <mergeCells count="2">
    <mergeCell ref="A45:O45"/>
    <mergeCell ref="A43:O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SMBC Bank International plc — Statement of Comprehensive Income</t>
        </is>
      </c>
    </row>
    <row r="2">
      <c r="A2" s="2" t="inlineStr">
        <is>
          <t>£m, converted from USD - see source note at bottom for FX methodology and rates used.</t>
        </is>
      </c>
    </row>
    <row r="3">
      <c r="A3" s="4" t="inlineStr">
        <is>
          <t>Line item</t>
        </is>
      </c>
      <c r="B3" s="4" t="inlineStr">
        <is>
          <t>FY2026 (£m, conv. from USD)</t>
        </is>
      </c>
      <c r="C3" s="4" t="inlineStr">
        <is>
          <t>FY2025 (£m, conv. from USD)</t>
        </is>
      </c>
      <c r="D3" s="4" t="inlineStr">
        <is>
          <t>FY2024 (£m, conv. from USD)</t>
        </is>
      </c>
      <c r="E3" s="4" t="inlineStr">
        <is>
          <t>FY2023 (£m, conv. from USD)</t>
        </is>
      </c>
      <c r="F3" s="4" t="inlineStr">
        <is>
          <t>FY2022 (£m, conv. from USD)</t>
        </is>
      </c>
      <c r="G3" s="4" t="inlineStr">
        <is>
          <t>FY2021 (£m, conv. from USD)</t>
        </is>
      </c>
      <c r="H3" s="4" t="inlineStr">
        <is>
          <t>FY2020 (£m, conv. from USD)</t>
        </is>
      </c>
      <c r="I3" s="4" t="inlineStr">
        <is>
          <t>FY2019 (£m, conv. from USD)</t>
        </is>
      </c>
      <c r="J3" s="4" t="inlineStr">
        <is>
          <t>FY2018 (£m, conv. from USD)</t>
        </is>
      </c>
      <c r="K3" s="4" t="inlineStr">
        <is>
          <t>FY2017 (£m, conv. from USD)</t>
        </is>
      </c>
      <c r="L3" s="4" t="inlineStr">
        <is>
          <t>FY2016 (£m, conv. from USD)</t>
        </is>
      </c>
      <c r="M3" s="4" t="inlineStr">
        <is>
          <t>FY2015 (£m, conv. from USD)</t>
        </is>
      </c>
      <c r="N3" s="4" t="inlineStr">
        <is>
          <t>FY2014 (£m, conv. from USD)</t>
        </is>
      </c>
      <c r="O3" s="4" t="inlineStr">
        <is>
          <t>FY2013 (£m, conv. from USD)</t>
        </is>
      </c>
    </row>
    <row r="4">
      <c r="A4" s="5" t="inlineStr">
        <is>
          <t>Income</t>
        </is>
      </c>
      <c r="B4" s="6" t="n"/>
      <c r="C4" s="6" t="n"/>
      <c r="D4" s="6" t="n"/>
      <c r="E4" s="6" t="n"/>
      <c r="F4" s="6" t="n"/>
      <c r="G4" s="6" t="n"/>
      <c r="H4" s="6" t="n"/>
      <c r="I4" s="6" t="n"/>
      <c r="J4" s="6" t="n"/>
      <c r="K4" s="6" t="n"/>
      <c r="L4" s="6" t="n"/>
      <c r="M4" s="6" t="n"/>
      <c r="N4" s="6" t="n"/>
      <c r="O4" s="6" t="n"/>
    </row>
    <row r="5">
      <c r="A5" s="6" t="inlineStr">
        <is>
          <t>Interest income</t>
        </is>
      </c>
      <c r="B5" s="6" t="n">
        <v>2309.1</v>
      </c>
      <c r="C5" s="6" t="n">
        <v>2205.8</v>
      </c>
      <c r="D5" s="6" t="n">
        <v>1969.2</v>
      </c>
      <c r="E5" s="6" t="n">
        <v>1030.1</v>
      </c>
      <c r="F5" s="6" t="n">
        <v>343.8</v>
      </c>
      <c r="G5" s="6" t="n">
        <v>438.6</v>
      </c>
      <c r="H5" s="6" t="n">
        <v>691</v>
      </c>
      <c r="I5" s="6" t="n">
        <v>638.5</v>
      </c>
      <c r="J5" s="6" t="n">
        <v>386.2</v>
      </c>
      <c r="K5" s="6" t="n">
        <v>354</v>
      </c>
      <c r="L5" s="6" t="n">
        <v>289.5</v>
      </c>
      <c r="M5" s="6" t="n">
        <v>238.2</v>
      </c>
      <c r="N5" s="6" t="n">
        <v>190.1</v>
      </c>
      <c r="O5" s="6" t="n">
        <v>245.9</v>
      </c>
    </row>
    <row r="6">
      <c r="A6" s="6" t="inlineStr">
        <is>
          <t>Interest expense</t>
        </is>
      </c>
      <c r="B6" s="6" t="n">
        <v>-2002.5</v>
      </c>
      <c r="C6" s="6" t="n">
        <v>-1830.7</v>
      </c>
      <c r="D6" s="6" t="n">
        <v>-1619.1</v>
      </c>
      <c r="E6" s="6" t="n">
        <v>-844.1</v>
      </c>
      <c r="F6" s="6" t="n">
        <v>-104.6</v>
      </c>
      <c r="G6" s="6" t="n">
        <v>-180.4</v>
      </c>
      <c r="H6" s="6" t="n">
        <v>-441</v>
      </c>
      <c r="I6" s="6" t="n">
        <v>-416</v>
      </c>
      <c r="J6" s="6" t="n">
        <v>-220</v>
      </c>
      <c r="K6" s="6" t="n">
        <v>-140.4</v>
      </c>
      <c r="L6" s="6" t="n">
        <v>-105.5</v>
      </c>
      <c r="M6" s="6" t="n">
        <v>-92.5</v>
      </c>
      <c r="N6" s="6" t="n">
        <v>-69.7</v>
      </c>
      <c r="O6" s="6" t="n">
        <v>-113.8</v>
      </c>
    </row>
    <row r="7">
      <c r="A7" s="5" t="inlineStr">
        <is>
          <t>Net interest income</t>
        </is>
      </c>
      <c r="B7" s="5" t="n">
        <v>306.6</v>
      </c>
      <c r="C7" s="5" t="n">
        <v>375.1</v>
      </c>
      <c r="D7" s="5" t="n">
        <v>350.1</v>
      </c>
      <c r="E7" s="5" t="n">
        <v>186.1</v>
      </c>
      <c r="F7" s="5" t="n">
        <v>239.2</v>
      </c>
      <c r="G7" s="5" t="n">
        <v>258.2</v>
      </c>
      <c r="H7" s="5" t="n">
        <v>250.1</v>
      </c>
      <c r="I7" s="5" t="n">
        <v>222.5</v>
      </c>
      <c r="J7" s="5" t="n">
        <v>166.2</v>
      </c>
      <c r="K7" s="5" t="n">
        <v>213.6</v>
      </c>
      <c r="L7" s="5" t="n">
        <v>184</v>
      </c>
      <c r="M7" s="5" t="n">
        <v>145.7</v>
      </c>
      <c r="N7" s="5" t="n">
        <v>120.5</v>
      </c>
      <c r="O7" s="5" t="n">
        <v>132.1</v>
      </c>
    </row>
    <row r="8">
      <c r="A8" s="6" t="inlineStr">
        <is>
          <t>Fees and commissions income</t>
        </is>
      </c>
      <c r="B8" s="6" t="n">
        <v>790.4</v>
      </c>
      <c r="C8" s="6" t="n">
        <v>608.2</v>
      </c>
      <c r="D8" s="6" t="n">
        <v>462.6</v>
      </c>
      <c r="E8" s="6" t="n">
        <v>473.4</v>
      </c>
      <c r="F8" s="6" t="n">
        <v>380.8</v>
      </c>
      <c r="G8" s="6" t="n">
        <v>365.5</v>
      </c>
      <c r="H8" s="6" t="n">
        <v>348.8</v>
      </c>
      <c r="I8" s="6" t="n">
        <v>305.5</v>
      </c>
      <c r="J8" s="6" t="n">
        <v>278</v>
      </c>
      <c r="K8" s="6" t="n">
        <v>269.5</v>
      </c>
      <c r="L8" s="6" t="n">
        <v>224.1</v>
      </c>
      <c r="M8" s="6" t="n">
        <v>216.3</v>
      </c>
      <c r="N8" s="6" t="n">
        <v>190.6</v>
      </c>
      <c r="O8" s="6" t="n">
        <v>166.5</v>
      </c>
    </row>
    <row r="9">
      <c r="A9" s="6" t="inlineStr">
        <is>
          <t>Fees and commissions expense</t>
        </is>
      </c>
      <c r="B9" s="6" t="n">
        <v>-103</v>
      </c>
      <c r="C9" s="6" t="n">
        <v>-58.5</v>
      </c>
      <c r="D9" s="6" t="n">
        <v>-20.6</v>
      </c>
      <c r="E9" s="6" t="n">
        <v>-34.5</v>
      </c>
      <c r="F9" s="6" t="n">
        <v>-36.3</v>
      </c>
      <c r="G9" s="6" t="n">
        <v>-34.9</v>
      </c>
      <c r="H9" s="6" t="n">
        <v>-56.7</v>
      </c>
      <c r="I9" s="6" t="n">
        <v>-41.8</v>
      </c>
      <c r="J9" s="6" t="n">
        <v>-25.1</v>
      </c>
      <c r="K9" s="6" t="n">
        <v>-34.1</v>
      </c>
      <c r="L9" s="6" t="n">
        <v>-17.7</v>
      </c>
      <c r="M9" s="6" t="n">
        <v>-12.9</v>
      </c>
      <c r="N9" s="6" t="n">
        <v>-19.7</v>
      </c>
      <c r="O9" s="6" t="n">
        <v>-21</v>
      </c>
    </row>
    <row r="10">
      <c r="A10" s="5" t="inlineStr">
        <is>
          <t>Net fee and commission income</t>
        </is>
      </c>
      <c r="B10" s="5" t="n">
        <v>687.3</v>
      </c>
      <c r="C10" s="5" t="n">
        <v>549.7</v>
      </c>
      <c r="D10" s="5" t="n">
        <v>442</v>
      </c>
      <c r="E10" s="5" t="n">
        <v>438.8</v>
      </c>
      <c r="F10" s="5" t="n">
        <v>344.6</v>
      </c>
      <c r="G10" s="5" t="n">
        <v>330.6</v>
      </c>
      <c r="H10" s="5" t="n">
        <v>292.1</v>
      </c>
      <c r="I10" s="5" t="n">
        <v>263.7</v>
      </c>
      <c r="J10" s="5" t="n">
        <v>252.9</v>
      </c>
      <c r="K10" s="5" t="n">
        <v>235.4</v>
      </c>
      <c r="L10" s="5" t="n">
        <v>206.4</v>
      </c>
      <c r="M10" s="5" t="n">
        <v>203.4</v>
      </c>
      <c r="N10" s="5" t="n">
        <v>170.8</v>
      </c>
      <c r="O10" s="5" t="n">
        <v>145.5</v>
      </c>
    </row>
    <row r="11">
      <c r="A11" s="6" t="inlineStr">
        <is>
          <t>Net trading income</t>
        </is>
      </c>
      <c r="B11" s="6" t="n">
        <v>254.1</v>
      </c>
      <c r="C11" s="6" t="n">
        <v>221.5</v>
      </c>
      <c r="D11" s="6" t="n">
        <v>220.7</v>
      </c>
      <c r="E11" s="6" t="n">
        <v>217.4</v>
      </c>
      <c r="F11" s="6" t="n">
        <v>55.7</v>
      </c>
      <c r="G11" s="6" t="n">
        <v>48.7</v>
      </c>
      <c r="H11" s="6" t="n">
        <v>121.2</v>
      </c>
      <c r="I11" s="6" t="n">
        <v>147.9</v>
      </c>
      <c r="J11" s="6" t="n">
        <v>132.9</v>
      </c>
      <c r="K11" s="6" t="n">
        <v>43.6</v>
      </c>
      <c r="L11" s="6" t="n">
        <v>18.8</v>
      </c>
      <c r="M11" s="6" t="n">
        <v>-7.2</v>
      </c>
      <c r="N11" s="6" t="n">
        <v>17.7</v>
      </c>
      <c r="O11" s="6" t="n">
        <v>13.8</v>
      </c>
    </row>
    <row r="12">
      <c r="A12" s="6" t="inlineStr">
        <is>
          <t>Net losses from disposal of financial assets at amortised cost</t>
        </is>
      </c>
      <c r="B12" s="6" t="n">
        <v>32.1</v>
      </c>
      <c r="C12" s="6" t="n">
        <v>-65.5</v>
      </c>
      <c r="D12" s="6" t="n"/>
      <c r="E12" s="6" t="n"/>
      <c r="F12" s="6" t="n"/>
      <c r="G12" s="6" t="n"/>
      <c r="H12" s="6" t="n"/>
      <c r="I12" s="6" t="n"/>
      <c r="J12" s="6" t="n"/>
      <c r="K12" s="6" t="n"/>
      <c r="L12" s="6" t="n"/>
      <c r="M12" s="6" t="n"/>
      <c r="N12" s="6" t="n"/>
      <c r="O12" s="6" t="n"/>
    </row>
    <row r="13">
      <c r="A13" s="5" t="inlineStr">
        <is>
          <t>Operating income</t>
        </is>
      </c>
      <c r="B13" s="5" t="n">
        <v>1280.2</v>
      </c>
      <c r="C13" s="5" t="n">
        <v>1080.9</v>
      </c>
      <c r="D13" s="5" t="n">
        <v>1012.8</v>
      </c>
      <c r="E13" s="5" t="n">
        <v>842.3</v>
      </c>
      <c r="F13" s="5" t="n">
        <v>639.5</v>
      </c>
      <c r="G13" s="5" t="n">
        <v>637.5</v>
      </c>
      <c r="H13" s="5" t="n">
        <v>663.3</v>
      </c>
      <c r="I13" s="5" t="n">
        <v>634.1</v>
      </c>
      <c r="J13" s="5" t="n">
        <v>552</v>
      </c>
      <c r="K13" s="5" t="n">
        <v>492.6</v>
      </c>
      <c r="L13" s="5" t="n">
        <v>409.1</v>
      </c>
      <c r="M13" s="5" t="n">
        <v>341.9</v>
      </c>
      <c r="N13" s="5" t="n">
        <v>308.9</v>
      </c>
      <c r="O13" s="5" t="n">
        <v>291.4</v>
      </c>
    </row>
    <row r="14">
      <c r="A14" s="5" t="inlineStr">
        <is>
          <t>Net operating expenses</t>
        </is>
      </c>
      <c r="B14" s="6" t="n"/>
      <c r="C14" s="6" t="n"/>
      <c r="D14" s="6" t="n"/>
      <c r="E14" s="6" t="n"/>
      <c r="F14" s="6" t="n"/>
      <c r="G14" s="6" t="n"/>
      <c r="H14" s="6" t="n"/>
      <c r="I14" s="6" t="n"/>
      <c r="J14" s="6" t="n"/>
      <c r="K14" s="6" t="n"/>
      <c r="L14" s="6" t="n"/>
      <c r="M14" s="6" t="n"/>
      <c r="N14" s="6" t="n"/>
      <c r="O14" s="6" t="n"/>
    </row>
    <row r="15">
      <c r="A15" s="6" t="inlineStr">
        <is>
          <t>Net impairment loss on financial assets</t>
        </is>
      </c>
      <c r="B15" s="6" t="n">
        <v>-15.4</v>
      </c>
      <c r="C15" s="6" t="n">
        <v>-22.2</v>
      </c>
      <c r="D15" s="6" t="n">
        <v>-21.6</v>
      </c>
      <c r="E15" s="6" t="n">
        <v>-39.6</v>
      </c>
      <c r="F15" s="6" t="n">
        <v>-70.40000000000001</v>
      </c>
      <c r="G15" s="6" t="n">
        <v>-6.5</v>
      </c>
      <c r="H15" s="6" t="n">
        <v>-157.6</v>
      </c>
      <c r="I15" s="6" t="n">
        <v>-10</v>
      </c>
      <c r="J15" s="6" t="n">
        <v>-27.6</v>
      </c>
      <c r="K15" s="6" t="n">
        <v>-27.3</v>
      </c>
      <c r="L15" s="6" t="n">
        <v>-48.3</v>
      </c>
      <c r="M15" s="6" t="n">
        <v>-22.4</v>
      </c>
      <c r="N15" s="6" t="n">
        <v>-7.4</v>
      </c>
      <c r="O15" s="6" t="n">
        <v>-18.5</v>
      </c>
    </row>
    <row r="16">
      <c r="A16" s="6" t="inlineStr">
        <is>
          <t>Personnel expenses</t>
        </is>
      </c>
      <c r="B16" s="6" t="n">
        <v>-444.9</v>
      </c>
      <c r="C16" s="6" t="n">
        <v>-398.3</v>
      </c>
      <c r="D16" s="6" t="n">
        <v>-337.5</v>
      </c>
      <c r="E16" s="6" t="n">
        <v>-309.9</v>
      </c>
      <c r="F16" s="6" t="n">
        <v>-282.9</v>
      </c>
      <c r="G16" s="6" t="n">
        <v>-257.1</v>
      </c>
      <c r="H16" s="6" t="n">
        <v>-212.9</v>
      </c>
      <c r="I16" s="6" t="n">
        <v>-213.4</v>
      </c>
      <c r="J16" s="6" t="n">
        <v>-199.6</v>
      </c>
      <c r="K16" s="6" t="n">
        <v>-192</v>
      </c>
      <c r="L16" s="6" t="n">
        <v>-171.7</v>
      </c>
      <c r="M16" s="6" t="n">
        <v>-151.4</v>
      </c>
      <c r="N16" s="6" t="n">
        <v>-139.4</v>
      </c>
      <c r="O16" s="6" t="n">
        <v>-125.9</v>
      </c>
    </row>
    <row r="17">
      <c r="A17" s="6" t="inlineStr">
        <is>
          <t>Depreciation and amortisation</t>
        </is>
      </c>
      <c r="B17" s="6" t="n">
        <v>-49.7</v>
      </c>
      <c r="C17" s="6" t="n">
        <v>-48.6</v>
      </c>
      <c r="D17" s="6" t="n">
        <v>-44.2</v>
      </c>
      <c r="E17" s="6" t="n">
        <v>-43.1</v>
      </c>
      <c r="F17" s="6" t="n">
        <v>-31.4</v>
      </c>
      <c r="G17" s="6" t="n">
        <v>-30.9</v>
      </c>
      <c r="H17" s="6" t="n">
        <v>-26.4</v>
      </c>
      <c r="I17" s="6" t="n">
        <v>-15.2</v>
      </c>
      <c r="J17" s="6" t="n">
        <v>-12.5</v>
      </c>
      <c r="K17" s="6" t="n">
        <v>-12.2</v>
      </c>
      <c r="L17" s="6" t="n">
        <v>-9</v>
      </c>
      <c r="M17" s="6" t="n">
        <v>-7.5</v>
      </c>
      <c r="N17" s="6" t="n">
        <v>-6.5</v>
      </c>
      <c r="O17" s="6" t="n">
        <v>-6</v>
      </c>
    </row>
    <row r="18">
      <c r="A18" s="6" t="inlineStr">
        <is>
          <t>Bank levy</t>
        </is>
      </c>
      <c r="B18" s="6" t="n"/>
      <c r="C18" s="6" t="n"/>
      <c r="D18" s="6" t="n"/>
      <c r="E18" s="6" t="n"/>
      <c r="F18" s="6" t="n"/>
      <c r="G18" s="6" t="n">
        <v>-0.5</v>
      </c>
      <c r="H18" s="6" t="n">
        <v>-5.5</v>
      </c>
      <c r="I18" s="6" t="n"/>
      <c r="J18" s="6" t="n"/>
      <c r="K18" s="6" t="n"/>
      <c r="L18" s="6" t="n"/>
      <c r="M18" s="6" t="n"/>
      <c r="N18" s="6" t="n"/>
      <c r="O18" s="6" t="n"/>
    </row>
    <row r="19">
      <c r="A19" s="6" t="inlineStr">
        <is>
          <t>Other expenses</t>
        </is>
      </c>
      <c r="B19" s="6" t="n">
        <v>-307</v>
      </c>
      <c r="C19" s="6" t="n">
        <v>-233.3</v>
      </c>
      <c r="D19" s="6" t="n">
        <v>-183.8</v>
      </c>
      <c r="E19" s="6" t="n">
        <v>-167.2</v>
      </c>
      <c r="F19" s="6" t="n">
        <v>-122.1</v>
      </c>
      <c r="G19" s="6" t="n">
        <v>-93.7</v>
      </c>
      <c r="H19" s="6" t="n">
        <v>-95</v>
      </c>
      <c r="I19" s="6" t="n">
        <v>-99.09999999999999</v>
      </c>
      <c r="J19" s="6" t="n">
        <v>-90.40000000000001</v>
      </c>
      <c r="K19" s="6" t="n">
        <v>-84.2</v>
      </c>
      <c r="L19" s="6" t="n">
        <v>-86.90000000000001</v>
      </c>
      <c r="M19" s="6" t="n">
        <v>-65.90000000000001</v>
      </c>
      <c r="N19" s="6" t="n">
        <v>-65.5</v>
      </c>
      <c r="O19" s="6" t="n">
        <v>-63.4</v>
      </c>
    </row>
    <row r="20">
      <c r="A20" s="5" t="inlineStr">
        <is>
          <t>Net operating expenses</t>
        </is>
      </c>
      <c r="B20" s="5" t="n">
        <v>-817.1</v>
      </c>
      <c r="C20" s="5" t="n">
        <v>-702.3</v>
      </c>
      <c r="D20" s="5" t="n">
        <v>-587.1</v>
      </c>
      <c r="E20" s="5" t="n">
        <v>-559.7</v>
      </c>
      <c r="F20" s="5" t="n">
        <v>-506.7</v>
      </c>
      <c r="G20" s="5" t="n">
        <v>-388.7</v>
      </c>
      <c r="H20" s="5" t="n">
        <v>-497.4</v>
      </c>
      <c r="I20" s="5" t="n">
        <v>-337.7</v>
      </c>
      <c r="J20" s="5" t="n">
        <v>-330</v>
      </c>
      <c r="K20" s="5" t="n">
        <v>-315.7</v>
      </c>
      <c r="L20" s="5" t="n">
        <v>-315.8</v>
      </c>
      <c r="M20" s="5" t="n">
        <v>-247.2</v>
      </c>
      <c r="N20" s="5" t="n">
        <v>-218.7</v>
      </c>
      <c r="O20" s="5" t="n">
        <v>-213.7</v>
      </c>
    </row>
    <row r="21">
      <c r="A21" s="6" t="inlineStr">
        <is>
          <t>Other income</t>
        </is>
      </c>
      <c r="B21" s="6" t="n"/>
      <c r="C21" s="6" t="n"/>
      <c r="D21" s="6" t="n"/>
      <c r="E21" s="6" t="n"/>
      <c r="F21" s="6" t="n"/>
      <c r="G21" s="6" t="n">
        <v>3.7</v>
      </c>
      <c r="H21" s="6" t="n">
        <v>6.8</v>
      </c>
      <c r="I21" s="6" t="n"/>
      <c r="J21" s="6" t="n"/>
      <c r="K21" s="6" t="n"/>
      <c r="L21" s="6" t="n"/>
      <c r="M21" s="6" t="n"/>
      <c r="N21" s="6" t="n"/>
      <c r="O21" s="6" t="n"/>
    </row>
    <row r="22">
      <c r="A22" s="5" t="inlineStr">
        <is>
          <t>Profit before income tax</t>
        </is>
      </c>
      <c r="B22" s="5" t="n">
        <v>463.1</v>
      </c>
      <c r="C22" s="5" t="n">
        <v>378.6</v>
      </c>
      <c r="D22" s="5" t="n">
        <v>425.7</v>
      </c>
      <c r="E22" s="5" t="n">
        <v>282.6</v>
      </c>
      <c r="F22" s="5" t="n">
        <v>132.8</v>
      </c>
      <c r="G22" s="5" t="n">
        <v>252.5</v>
      </c>
      <c r="H22" s="5" t="n">
        <v>172.7</v>
      </c>
      <c r="I22" s="5" t="n">
        <v>296.4</v>
      </c>
      <c r="J22" s="5" t="n">
        <v>222</v>
      </c>
      <c r="K22" s="5" t="n">
        <v>176.8</v>
      </c>
      <c r="L22" s="5" t="n">
        <v>93.3</v>
      </c>
      <c r="M22" s="5" t="n">
        <v>94.7</v>
      </c>
      <c r="N22" s="5" t="n">
        <v>90.2</v>
      </c>
      <c r="O22" s="5" t="n">
        <v>77.7</v>
      </c>
    </row>
    <row r="23">
      <c r="A23" s="6" t="inlineStr">
        <is>
          <t>Income tax charge</t>
        </is>
      </c>
      <c r="B23" s="6" t="n">
        <v>-133.7</v>
      </c>
      <c r="C23" s="6" t="n">
        <v>-104.9</v>
      </c>
      <c r="D23" s="6" t="n">
        <v>-102.8</v>
      </c>
      <c r="E23" s="6" t="n">
        <v>-73.2</v>
      </c>
      <c r="F23" s="6" t="n">
        <v>-35.9</v>
      </c>
      <c r="G23" s="6" t="n">
        <v>-69.90000000000001</v>
      </c>
      <c r="H23" s="6" t="n">
        <v>-52.5</v>
      </c>
      <c r="I23" s="6" t="n">
        <v>-86.2</v>
      </c>
      <c r="J23" s="6" t="n">
        <v>-62.7</v>
      </c>
      <c r="K23" s="6" t="n">
        <v>-55.9</v>
      </c>
      <c r="L23" s="6" t="n">
        <v>-27.5</v>
      </c>
      <c r="M23" s="6" t="n">
        <v>-23.6</v>
      </c>
      <c r="N23" s="6" t="n">
        <v>-25</v>
      </c>
      <c r="O23" s="6" t="n">
        <v>-20.3</v>
      </c>
    </row>
    <row r="24">
      <c r="A24" s="5" t="inlineStr">
        <is>
          <t>Profit for the year</t>
        </is>
      </c>
      <c r="B24" s="5" t="n">
        <v>329.4</v>
      </c>
      <c r="C24" s="5" t="n">
        <v>273.7</v>
      </c>
      <c r="D24" s="5" t="n">
        <v>322.9</v>
      </c>
      <c r="E24" s="5" t="n">
        <v>209.3</v>
      </c>
      <c r="F24" s="5" t="n">
        <v>96.90000000000001</v>
      </c>
      <c r="G24" s="5" t="n">
        <v>182.6</v>
      </c>
      <c r="H24" s="5" t="n">
        <v>120.3</v>
      </c>
      <c r="I24" s="5" t="n">
        <v>210.1</v>
      </c>
      <c r="J24" s="5" t="n">
        <v>159.2</v>
      </c>
      <c r="K24" s="5" t="n">
        <v>121</v>
      </c>
      <c r="L24" s="5" t="n">
        <v>65.8</v>
      </c>
      <c r="M24" s="5" t="n">
        <v>71.09999999999999</v>
      </c>
      <c r="N24" s="5" t="n">
        <v>65.2</v>
      </c>
      <c r="O24" s="5" t="n">
        <v>57.4</v>
      </c>
    </row>
    <row r="25">
      <c r="A25" s="6" t="inlineStr">
        <is>
          <t>Profit from continuing operations</t>
        </is>
      </c>
      <c r="B25" s="6" t="n">
        <v>275.7</v>
      </c>
      <c r="C25" s="6" t="n">
        <v>259</v>
      </c>
      <c r="D25" s="6" t="n"/>
      <c r="E25" s="6" t="n"/>
      <c r="F25" s="6" t="n"/>
      <c r="G25" s="6" t="n"/>
      <c r="H25" s="6" t="n"/>
      <c r="I25" s="6" t="n"/>
      <c r="J25" s="6" t="n"/>
      <c r="K25" s="6" t="n"/>
      <c r="L25" s="6" t="n"/>
      <c r="M25" s="6" t="n"/>
      <c r="N25" s="6" t="n"/>
      <c r="O25" s="6" t="n"/>
    </row>
    <row r="26">
      <c r="A26" s="6" t="inlineStr">
        <is>
          <t>Profit from discontinued operations</t>
        </is>
      </c>
      <c r="B26" s="6" t="n">
        <v>53.8</v>
      </c>
      <c r="C26" s="6" t="n">
        <v>14.6</v>
      </c>
      <c r="D26" s="6" t="n"/>
      <c r="E26" s="6" t="n"/>
      <c r="F26" s="6" t="n"/>
      <c r="G26" s="6" t="n"/>
      <c r="H26" s="6" t="n"/>
      <c r="I26" s="6" t="n"/>
      <c r="J26" s="6" t="n"/>
      <c r="K26" s="6" t="n"/>
      <c r="L26" s="6" t="n"/>
      <c r="M26" s="6" t="n"/>
      <c r="N26" s="6" t="n"/>
      <c r="O26" s="6" t="n"/>
    </row>
    <row r="27">
      <c r="A27" s="5" t="inlineStr">
        <is>
          <t>Other comprehensive income, net of tax</t>
        </is>
      </c>
      <c r="B27" s="6" t="n"/>
      <c r="C27" s="6" t="n"/>
      <c r="D27" s="6" t="n"/>
      <c r="E27" s="6" t="n"/>
      <c r="F27" s="6" t="n"/>
      <c r="G27" s="6" t="n"/>
      <c r="H27" s="6" t="n"/>
      <c r="I27" s="6" t="n"/>
      <c r="J27" s="6" t="n"/>
      <c r="K27" s="6" t="n"/>
      <c r="L27" s="6" t="n"/>
      <c r="M27" s="6" t="n"/>
      <c r="N27" s="6" t="n"/>
      <c r="O27" s="6" t="n"/>
    </row>
    <row r="28">
      <c r="A28" s="6" t="inlineStr">
        <is>
          <t>Actuarial gains/(losses) on defined benefit scheme</t>
        </is>
      </c>
      <c r="B28" s="6" t="n">
        <v>1</v>
      </c>
      <c r="C28" s="6" t="n">
        <v>0.5</v>
      </c>
      <c r="D28" s="6" t="n">
        <v>-7.3</v>
      </c>
      <c r="E28" s="6" t="n">
        <v>-10.5</v>
      </c>
      <c r="F28" s="6" t="n">
        <v>14.7</v>
      </c>
      <c r="G28" s="6" t="n">
        <v>-20.8</v>
      </c>
      <c r="H28" s="6" t="n">
        <v>10.2</v>
      </c>
      <c r="I28" s="6" t="n">
        <v>-1.1</v>
      </c>
      <c r="J28" s="6" t="n">
        <v>1.6</v>
      </c>
      <c r="K28" s="6" t="n">
        <v>-2.9</v>
      </c>
      <c r="L28" s="6" t="n">
        <v>3.7</v>
      </c>
      <c r="M28" s="6" t="n">
        <v>2.8</v>
      </c>
      <c r="N28" s="6" t="n">
        <v>-6</v>
      </c>
      <c r="O28" s="6" t="n">
        <v>3.5</v>
      </c>
    </row>
    <row r="29">
      <c r="A29" s="6" t="inlineStr">
        <is>
          <t>Movement in cash flow hedge reserve</t>
        </is>
      </c>
      <c r="B29" s="6" t="n">
        <v>-1.9</v>
      </c>
      <c r="C29" s="6" t="n">
        <v>-2.9</v>
      </c>
      <c r="D29" s="6" t="n">
        <v>-5.2</v>
      </c>
      <c r="E29" s="6" t="n">
        <v>2.9</v>
      </c>
      <c r="F29" s="6" t="n">
        <v>4.1</v>
      </c>
      <c r="G29" s="6" t="n">
        <v>-2.1</v>
      </c>
      <c r="H29" s="6" t="n">
        <v>3.1</v>
      </c>
      <c r="I29" s="6" t="n">
        <v>0</v>
      </c>
      <c r="J29" s="6" t="n">
        <v>-0.5</v>
      </c>
      <c r="K29" s="6" t="n">
        <v>-0.2</v>
      </c>
      <c r="L29" s="6" t="n">
        <v>0.8</v>
      </c>
      <c r="M29" s="6" t="n">
        <v>-1.1</v>
      </c>
      <c r="N29" s="6" t="n">
        <v>4.7</v>
      </c>
      <c r="O29" s="6" t="n">
        <v>-5.7</v>
      </c>
    </row>
    <row r="30">
      <c r="A30" s="6" t="inlineStr">
        <is>
          <t>Movement in fair value hedge reserve</t>
        </is>
      </c>
      <c r="B30" s="6" t="n"/>
      <c r="C30" s="6" t="n">
        <v>0</v>
      </c>
      <c r="D30" s="6" t="n">
        <v>-0.1</v>
      </c>
      <c r="E30" s="6" t="n">
        <v>0.2</v>
      </c>
      <c r="F30" s="6" t="n">
        <v>0.1</v>
      </c>
      <c r="G30" s="6" t="n">
        <v>0.4</v>
      </c>
      <c r="H30" s="6" t="n">
        <v>-0.5</v>
      </c>
      <c r="I30" s="6" t="n">
        <v>-2</v>
      </c>
      <c r="J30" s="6" t="n">
        <v>1.3</v>
      </c>
      <c r="K30" s="6" t="n">
        <v>-0.2</v>
      </c>
      <c r="L30" s="6" t="n">
        <v>2</v>
      </c>
      <c r="M30" s="6" t="n">
        <v>0</v>
      </c>
      <c r="N30" s="6" t="n">
        <v>-0.6</v>
      </c>
      <c r="O30" s="6" t="n">
        <v>-0.4</v>
      </c>
    </row>
    <row r="31">
      <c r="A31" s="6" t="inlineStr">
        <is>
          <t>Effect of changes in tax rate</t>
        </is>
      </c>
      <c r="B31" s="6" t="n"/>
      <c r="C31" s="6" t="n"/>
      <c r="D31" s="6" t="n"/>
      <c r="E31" s="6" t="n"/>
      <c r="F31" s="6" t="n">
        <v>-0.1</v>
      </c>
      <c r="G31" s="6" t="n"/>
      <c r="H31" s="6" t="n"/>
      <c r="I31" s="6" t="n"/>
      <c r="J31" s="6" t="n"/>
      <c r="K31" s="6" t="n"/>
      <c r="L31" s="6" t="n"/>
      <c r="M31" s="6" t="n"/>
      <c r="N31" s="6" t="n"/>
      <c r="O31" s="6" t="n"/>
    </row>
    <row r="32">
      <c r="A32" s="5" t="inlineStr">
        <is>
          <t>Other comprehensive income, net of tax</t>
        </is>
      </c>
      <c r="B32" s="5" t="n">
        <v>-13.8</v>
      </c>
      <c r="C32" s="5" t="n">
        <v>-2.3</v>
      </c>
      <c r="D32" s="5" t="n">
        <v>-12.6</v>
      </c>
      <c r="E32" s="5" t="n">
        <v>-7.4</v>
      </c>
      <c r="F32" s="5" t="n">
        <v>18.9</v>
      </c>
      <c r="G32" s="5" t="n">
        <v>-22.5</v>
      </c>
      <c r="H32" s="5" t="n">
        <v>12.8</v>
      </c>
      <c r="I32" s="5" t="n">
        <v>-3.1</v>
      </c>
      <c r="J32" s="5" t="n">
        <v>2.5</v>
      </c>
      <c r="K32" s="5" t="n">
        <v>-3.4</v>
      </c>
      <c r="L32" s="5" t="n">
        <v>6.5</v>
      </c>
      <c r="M32" s="5" t="n">
        <v>1.7</v>
      </c>
      <c r="N32" s="5" t="n">
        <v>-1.9</v>
      </c>
      <c r="O32" s="5" t="n">
        <v>-2.5</v>
      </c>
    </row>
    <row r="33">
      <c r="A33" s="5" t="inlineStr">
        <is>
          <t>Total comprehensive income for the year</t>
        </is>
      </c>
      <c r="B33" s="5" t="n">
        <v>315.6</v>
      </c>
      <c r="C33" s="5" t="n">
        <v>271.3</v>
      </c>
      <c r="D33" s="5" t="n">
        <v>310.3</v>
      </c>
      <c r="E33" s="5" t="n">
        <v>201.9</v>
      </c>
      <c r="F33" s="5" t="n">
        <v>115.7</v>
      </c>
      <c r="G33" s="5" t="n">
        <v>160.1</v>
      </c>
      <c r="H33" s="5" t="n">
        <v>133.1</v>
      </c>
      <c r="I33" s="5" t="n">
        <v>207.1</v>
      </c>
      <c r="J33" s="5" t="n">
        <v>161.7</v>
      </c>
      <c r="K33" s="5" t="n">
        <v>117.6</v>
      </c>
      <c r="L33" s="5" t="n">
        <v>72.3</v>
      </c>
      <c r="M33" s="5" t="n">
        <v>72.8</v>
      </c>
      <c r="N33" s="5" t="n">
        <v>63.3</v>
      </c>
      <c r="O33" s="5" t="n">
        <v>54.8</v>
      </c>
    </row>
    <row r="35" ht="351" customHeight="1">
      <c r="A35" s="8" t="inlineStr">
        <is>
          <t>Sources - SMBC Bank International plc's own Statement of comprehensive income, converted from USD to £m (see FX conversion note below):
FY2026: SMBC BI Annual report and financial statements, year ended 31 March 2026 (Companies House filing, scanned/image-only - read by OCR at 250 dpi), p.63 (Statement of comprehensive income) - https://find-and-update.company-information.service.gov.uk/company/04684034/filing-history/MzUzMjU4ODMxMmFkaXF6a2N4/document?format=pdf&amp;download=0. Added 2026-09-15. Every FY2026 figure was checked to foot against its own statement before use: Total assets USD 77,915.9m equals the sum of the asset lines and equals Total liabilities USD 71,566.2m plus Total equity USD 6,349.7m; Net interest income, Net fee and commission income, Operating income, Net operating expenses, Profit before tax and Profit for the year each recompute exactly from their own components; and the cash flow statement's operating, investing and financing subtotals, net change, and closing cash all reconcile. Every FY2025 comparative printed in the FY2026 report reproduces this workbook's existing FY2025 figures exactly, so no prior year was restated.
FY2025: SMBC BI Annual report and financial statements, year ended 31 March 2025, p.70 (Statement of comprehensive income) - https://www.smbcgroup.com/emea/getmedia/28eec268-62ab-4d64-b597-02b7f918c767/smbcbi-annual-report-2025.pdf
FY2024: SMBC BI Annual report and financial statements, year ended 31 March 2024, p.82 (Statement of comprehensive income) - https://www.smbcgroup.com/emea/getmedia/1c52fee7-2c0d-4378-b571-bd45d5f6ea9f/PDF-Annual-report-(SMBC-BI).pdf
FY2023: SMBC BI Annual report and financial statements, year ended 31 March 2023, p.87 (Statement of comprehensive income) - https://www.smbcgroup.com/emea/getmedia/1784eaa0-0924-4cd7-a4e4-1613b6cb015f/Annual-Report-and-Financial-Statements-2023-(SMBC-BI).pdf
FY2022: SMBC BI Annual report and financial statements, year ended 31 March 2022, p.84 (Statement of comprehensive income) - https://www.smbcgroup.com/emea/getmedia/efb562ee-627d-41c9-823a-b157f879892f/Annual-Report-and-Financial-Statements-2022-(SMBC-BI).pdf
FY2021: SMBC BI Annual report &amp; financial statements, year ended 31 March 2021, p.72 (Statement of comprehensive income) - https://web.archive.org/web/20240612221125id_/https://www.smbcgroup.com/emea/images/SMBC/media/SMBC/pdf/disclosures/smbcbi-annual-report-2021.pdf
FY2020: Sumitomo Mitsui Banking Corporation Europe Limited Annual report &amp; financial statements, year ended 31 March 2020, p.45 - https://find-and-update.company-information.service.gov.uk/company/04684034/filing-history/MzI3MzY1NDE4NmFkaXF6a2N4/document?format=pdf&amp;download=0
FY2019: as above, year ended 31 March 2019, p.24 - https://find-and-update.company-information.service.gov.uk/company/04684034/filing-history/MzIzOTk1Nzc1NWFkaXF6a2N4/document?format=pdf&amp;download=0
FY2018: as above, year ended 31 March 2018, p.22 - https://find-and-update.company-information.service.gov.uk/company/04684034/filing-history/MzIxMDI4NjgxOWFkaXF6a2N4/document?format=pdf&amp;download=0
FY2017: as above, year ended 31 March 2017, p.15/16 - https://find-and-update.company-information.service.gov.uk/company/04684034/filing-history/MzE4MjA0OTM3OWFkaXF6a2N4/document?format=pdf&amp;download=0
FY2016: as above, year ended 31 March 2016, p.14 - https://find-and-update.company-information.service.gov.uk/company/04684034/filing-history/MzE1MzEzNzE2MWFkaXF6a2N4/document?format=pdf&amp;download=0
FY2015: as above, year ended 31 March 2015, p.14 - https://find-and-update.company-information.service.gov.uk/company/04684034/filing-history/MzEyNjg1NTk3OWFkaXF6a2N4/document?format=pdf&amp;download=0
FY2014: as above, year ended 31 March 2014, p.13 - https://find-and-update.company-information.service.gov.uk/company/04684034/filing-history/MzEwMzk5NTEyM2FkaXF6a2N4/document?format=pdf&amp;download=0
FY2013 (HD-072): as above, year ended 31 March 2013, p.13 - https://find-and-update.company-information.service.gov.uk/company/04684034/filing-history/MzA4MDk2MzYzM2FkaXF6a2N4/document?format=pdf&amp;download=0
Each year's own report was used for its own column (not a restated comparative); every year's own figure was cross-checked against its appearance as the comparative column in the following year's report and matched exactly (FY2013's own figures were specifically cross-checked against their appearance as the comparative column in AR2014 and matched exactly), EXCEPT: FY2021's own report shows a standalone 'Bank levy' line (USD 0.6m) separate from 'Other expenses'; AR2022's own comparative column for FY2021 instead folds the bank levy into 'Other expenses' (USD 124.2m = 123.6 + 0.6). FY2021's own originally-published split (used here) is kept, not AR2022's later combined presentation - both total the same Net operating expenses either way. Net operating expenses is a single bracket comprising impairment + personnel + depreciation + (bank levy, FY2020 and FY2021 only) + other expenses in every year's own presentation, not a separate impairment subtotal. FY2025 is the only year showing a continuing/discontinued split of Profit for the year (the October 2024 securities-business transfer and Abu Dhabi branch opening - see entity note); FY2020 and FY2021 are the only years with a separate 'Other income' line. TERMINOLOGY NOTE (FY2013-2018): the 'Movement in fair value hedge reserve' row is labelled 'Available-for-sale investments' in these years' own reports (FVOCI/'Fair value reserve' terminology was introduced only from FY2019's report following IFRS 9 adoption on 1 April 2018) - the same underlying reserve bucket, shown here under the later, consistent row label.
ENTITY NOTE: SMBC Bank International plc (SMBC BI), FRN 223304, is a wholesale bank headquartered in London and a wholly-owned subsidiary of Sumitomo Mitsui Banking Corporation (SMBC), itself part of Sumitomo Mitsui Financial Group (Japan). It was incorporated on 3 March 2003 as Sumitomo Mitsui Banking Corporation Europe Limited and renamed/re-registered as a public limited company on 30 September 2020 (per Companies House's own filing history for company 04684034: 'Certificate of change of name and re-registration from Private to Public Limited Company', 30 Sep 2020) - every FY2014-FY2020 Annual Report used in this workbook is therefore filed under the entity's former name. On 7 October 2024, SMBC BI completed a project transferring the securities business of SMBC Nikko Capital Markets Limited (a portfolio of debt securities and other fixed income assets) to itself, and opened a branch in the Abu Dhabi Global Market - this accounts for new FY2025 cash flow line items (trading portfolio assets/liabilities, repurchase agreements) not present in earlier years, and for part of the FY2025 RWA increase. Figures are on SMBC Bank International plc's own (entity-level) basis throughout, both for cash flow and Pillar 3.</t>
        </is>
      </c>
    </row>
    <row r="37" ht="340" customHeight="1">
      <c r="A37" s="8" t="inlineStr">
        <is>
          <t>(continued)
FX CONVERSION NOTE: SMBC Bank International plc reports in US Dollars (its functional currency, per its own Annual Report). This workbook converts every $ amount to £ at the user's request - conversion was necessary because every other workbook in this series is £-denominated and SMBC BI does not itself publish £ figures. Methodology: point-in-time/balance figures (capital, RWA, leverage exposure, HQLA, cash balances) use the Bank of England GBP/USD SPOT rate as at that fiscal year-end (31 March); flow figures (every cash flow statement line item) use the AVERAGE of the 12 month-end spot rates over that fiscal year (1 April-31 March), since a true daily average was not practically obtainable - both from Bank of England daily reference rates via poundsterlinglive.com's published archive. Rates used (£1 = $X): 31 Mar 2012 spot 1.5981 (FY2013 opening equity balance only); FY2013 spot 1.5181 / average 1.5795; FY2014 spot 1.6673 / average 1.5964; FY2015 spot 1.4847 / average 1.6087; FY2016 spot 1.4378 / average 1.5023; FY2017 spot 1.2507 / average 1.3046;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FY2026's two rates (added 2026-09-15) come directly from the Bank of England's own Interactive Statistical Database series XUDLUSS (spot US$ into sterling), rather than from poundsterlinglive.com's republication of the same Bank of England rates used for FY2013-FY2025 - the primary source in place of a secondary one. The methodology is unchanged and was validated against it: re-deriving FY2025 from XUDLUSS on the same basis reproduces its period-end spot of 1.2910 exactly and gives an average of 1.2776 against the 1.2775 recorded for FY2025 above, a 0.0001 difference with no material effect on any converted figure. All % ratios (CET1/Tier 1/Total Capital/Leverage/LCR/NSFR ratios) are shown EXACTLY as reported in USD and were NOT converted - a ratio is dimensionless and currency-invariant since both its numerator and denominator would move by the same factor. Because stocks and flows are converted at different rates (standard practice for translating foreign-currency financial statements), the cash flow statement includes an explicit 'Effect of GBP/USD translation' reconciling line so opening + all flows + this line = closing exactly in £ terms - this line is purely an artefact of £ translation and has no bearing on the Bank's underlying USD results.</t>
        </is>
      </c>
    </row>
  </sheetData>
  <mergeCells count="2">
    <mergeCell ref="A35:O35"/>
    <mergeCell ref="A37:O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6"/>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SMBC Bank International plc — Statement of Changes in Equity</t>
        </is>
      </c>
    </row>
    <row r="2">
      <c r="A2" s="2" t="inlineStr">
        <is>
          <t>£m, converted from USD - chronological 1 April 2012 through 31 March 2025 - see source note for FX methodology.</t>
        </is>
      </c>
    </row>
    <row r="3">
      <c r="A3" s="4" t="inlineStr">
        <is>
          <t>Movement</t>
        </is>
      </c>
      <c r="B3" s="4" t="inlineStr">
        <is>
          <t>Share capital</t>
        </is>
      </c>
      <c r="C3" s="4" t="inlineStr">
        <is>
          <t>Retained earnings</t>
        </is>
      </c>
      <c r="D3" s="4" t="inlineStr">
        <is>
          <t>Capital redemption</t>
        </is>
      </c>
      <c r="E3" s="4" t="inlineStr">
        <is>
          <t>Hedge reserve</t>
        </is>
      </c>
      <c r="F3" s="4" t="inlineStr">
        <is>
          <t>Fair value reserve</t>
        </is>
      </c>
      <c r="G3" s="4" t="inlineStr">
        <is>
          <t>Total equity</t>
        </is>
      </c>
    </row>
    <row r="4">
      <c r="A4" s="5" t="inlineStr">
        <is>
          <t>Balance at 1 April 2012 (converted at 31 Mar 2012 spot rate)</t>
        </is>
      </c>
      <c r="B4" s="5" t="n">
        <v>1001.2</v>
      </c>
      <c r="C4" s="5" t="n">
        <v>22</v>
      </c>
      <c r="D4" s="5" t="n">
        <v>62.6</v>
      </c>
      <c r="E4" s="5" t="n">
        <v>1.9</v>
      </c>
      <c r="F4" s="5" t="n">
        <v>-0.3</v>
      </c>
      <c r="G4" s="5" t="n">
        <v>1087.5</v>
      </c>
    </row>
    <row r="5">
      <c r="A5" s="6" t="inlineStr">
        <is>
          <t>Profit for the year</t>
        </is>
      </c>
      <c r="B5" s="6" t="n"/>
      <c r="C5" s="6" t="n">
        <v>57.4</v>
      </c>
      <c r="D5" s="6" t="n"/>
      <c r="E5" s="6" t="n"/>
      <c r="F5" s="6" t="n"/>
      <c r="G5" s="6" t="n">
        <v>57.4</v>
      </c>
    </row>
    <row r="6">
      <c r="A6" s="6" t="inlineStr">
        <is>
          <t>Effective portion of changes in fair value</t>
        </is>
      </c>
      <c r="B6" s="6" t="n"/>
      <c r="C6" s="6" t="n"/>
      <c r="D6" s="6" t="n"/>
      <c r="E6" s="6" t="n">
        <v>-3.7</v>
      </c>
      <c r="F6" s="6" t="n"/>
      <c r="G6" s="6" t="n">
        <v>-3.7</v>
      </c>
    </row>
    <row r="7">
      <c r="A7" s="6" t="inlineStr">
        <is>
          <t>Net gains/(losses) transferred to net profit</t>
        </is>
      </c>
      <c r="B7" s="6" t="n"/>
      <c r="C7" s="6" t="n"/>
      <c r="D7" s="6" t="n"/>
      <c r="E7" s="6" t="n">
        <v>-2</v>
      </c>
      <c r="F7" s="6" t="n"/>
      <c r="G7" s="6" t="n">
        <v>-2</v>
      </c>
    </row>
    <row r="8">
      <c r="A8" s="6" t="inlineStr">
        <is>
          <t>Actuarial gain/(loss) on defined benefit scheme</t>
        </is>
      </c>
      <c r="B8" s="6" t="n"/>
      <c r="C8" s="6" t="n">
        <v>3.5</v>
      </c>
      <c r="D8" s="6" t="n"/>
      <c r="E8" s="6" t="n"/>
      <c r="F8" s="6" t="n"/>
      <c r="G8" s="6" t="n">
        <v>3.5</v>
      </c>
    </row>
    <row r="9">
      <c r="A9" s="6" t="inlineStr">
        <is>
          <t>Change in fair value of assets classified as FVOCI</t>
        </is>
      </c>
      <c r="B9" s="6" t="n"/>
      <c r="C9" s="6" t="n"/>
      <c r="D9" s="6" t="n"/>
      <c r="E9" s="6" t="n"/>
      <c r="F9" s="6" t="n">
        <v>-0.6</v>
      </c>
      <c r="G9" s="6" t="n">
        <v>-0.6</v>
      </c>
    </row>
    <row r="10">
      <c r="A10" s="6" t="inlineStr">
        <is>
          <t>Net gains/(losses) transferred to net profit on FVOCI</t>
        </is>
      </c>
      <c r="B10" s="6" t="n"/>
      <c r="C10" s="6" t="n"/>
      <c r="D10" s="6" t="n"/>
      <c r="E10" s="6" t="n"/>
      <c r="F10" s="6" t="n">
        <v>0.3</v>
      </c>
      <c r="G10" s="6" t="n">
        <v>0.3</v>
      </c>
    </row>
    <row r="11">
      <c r="A11" s="5" t="inlineStr">
        <is>
          <t>Total comprehensive income for the year</t>
        </is>
      </c>
      <c r="B11" s="5" t="n"/>
      <c r="C11" s="5" t="n">
        <v>60.9</v>
      </c>
      <c r="D11" s="5" t="n"/>
      <c r="E11" s="5" t="n">
        <v>-5.7</v>
      </c>
      <c r="F11" s="5" t="n">
        <v>-0.4</v>
      </c>
      <c r="G11" s="5" t="n">
        <v>54.8</v>
      </c>
    </row>
    <row r="12">
      <c r="A12" s="6" t="inlineStr">
        <is>
          <t>Issue of new shares</t>
        </is>
      </c>
      <c r="B12" s="6" t="n">
        <v>506.5</v>
      </c>
      <c r="C12" s="6" t="n"/>
      <c r="D12" s="6" t="n"/>
      <c r="E12" s="6" t="n"/>
      <c r="F12" s="6" t="n"/>
      <c r="G12" s="6" t="n">
        <v>506.5</v>
      </c>
    </row>
    <row r="13">
      <c r="A13" s="6" t="inlineStr">
        <is>
          <t>Effect of GBP/USD translation (£ conversion artefact - see FX note)</t>
        </is>
      </c>
      <c r="B13" s="6" t="n"/>
      <c r="C13" s="6" t="n"/>
      <c r="D13" s="6" t="n"/>
      <c r="E13" s="6" t="n"/>
      <c r="F13" s="6" t="n"/>
      <c r="G13" s="6" t="n">
        <v>80</v>
      </c>
    </row>
    <row r="14">
      <c r="A14" s="5" t="inlineStr">
        <is>
          <t>Balance at 31 March 2013</t>
        </is>
      </c>
      <c r="B14" s="5" t="n">
        <v>1580.9</v>
      </c>
      <c r="C14" s="5" t="n">
        <v>86.59999999999999</v>
      </c>
      <c r="D14" s="5" t="n">
        <v>65.90000000000001</v>
      </c>
      <c r="E14" s="5" t="n">
        <v>-3.9</v>
      </c>
      <c r="F14" s="5" t="n">
        <v>-0.7</v>
      </c>
      <c r="G14" s="5" t="n">
        <v>1728.8</v>
      </c>
    </row>
    <row r="15">
      <c r="A15" s="6" t="inlineStr">
        <is>
          <t>Profit for the year</t>
        </is>
      </c>
      <c r="B15" s="6" t="n"/>
      <c r="C15" s="6" t="n">
        <v>65.2</v>
      </c>
      <c r="D15" s="6" t="n"/>
      <c r="E15" s="6" t="n"/>
      <c r="F15" s="6" t="n"/>
      <c r="G15" s="6" t="n">
        <v>65.2</v>
      </c>
    </row>
    <row r="16">
      <c r="A16" s="6" t="inlineStr">
        <is>
          <t>Effective portion of changes in fair value</t>
        </is>
      </c>
      <c r="B16" s="6" t="n"/>
      <c r="C16" s="6" t="n"/>
      <c r="D16" s="6" t="n"/>
      <c r="E16" s="6" t="n">
        <v>3.7</v>
      </c>
      <c r="F16" s="6" t="n"/>
      <c r="G16" s="6" t="n">
        <v>3.7</v>
      </c>
    </row>
    <row r="17">
      <c r="A17" s="6" t="inlineStr">
        <is>
          <t>Net gains/(losses) transferred to net profit</t>
        </is>
      </c>
      <c r="B17" s="6" t="n"/>
      <c r="C17" s="6" t="n"/>
      <c r="D17" s="6" t="n"/>
      <c r="E17" s="6" t="n">
        <v>1</v>
      </c>
      <c r="F17" s="6" t="n"/>
      <c r="G17" s="6" t="n">
        <v>1</v>
      </c>
    </row>
    <row r="18">
      <c r="A18" s="6" t="inlineStr">
        <is>
          <t>Actuarial gain/(loss) on defined benefit scheme</t>
        </is>
      </c>
      <c r="B18" s="6" t="n"/>
      <c r="C18" s="6" t="n">
        <v>-6</v>
      </c>
      <c r="D18" s="6" t="n"/>
      <c r="E18" s="6" t="n"/>
      <c r="F18" s="6" t="n"/>
      <c r="G18" s="6" t="n">
        <v>-6</v>
      </c>
    </row>
    <row r="19">
      <c r="A19" s="6" t="inlineStr">
        <is>
          <t>Change in fair value of assets classified as FVOCI</t>
        </is>
      </c>
      <c r="B19" s="6" t="n"/>
      <c r="C19" s="6" t="n"/>
      <c r="D19" s="6" t="n"/>
      <c r="E19" s="6" t="n"/>
      <c r="F19" s="6" t="n">
        <v>0.3</v>
      </c>
      <c r="G19" s="6" t="n">
        <v>0.3</v>
      </c>
    </row>
    <row r="20">
      <c r="A20" s="6" t="inlineStr">
        <is>
          <t>Net gains/(losses) transferred to net profit on FVOCI</t>
        </is>
      </c>
      <c r="B20" s="6" t="n"/>
      <c r="C20" s="6" t="n"/>
      <c r="D20" s="6" t="n"/>
      <c r="E20" s="6" t="n"/>
      <c r="F20" s="6" t="n">
        <v>-0.9</v>
      </c>
      <c r="G20" s="6" t="n">
        <v>-0.9</v>
      </c>
    </row>
    <row r="21">
      <c r="A21" s="5" t="inlineStr">
        <is>
          <t>Total comprehensive income for the year</t>
        </is>
      </c>
      <c r="B21" s="5" t="n"/>
      <c r="C21" s="5" t="n">
        <v>59.3</v>
      </c>
      <c r="D21" s="5" t="n"/>
      <c r="E21" s="5" t="n">
        <v>4.7</v>
      </c>
      <c r="F21" s="5" t="n">
        <v>-0.6</v>
      </c>
      <c r="G21" s="5" t="n">
        <v>63.3</v>
      </c>
    </row>
    <row r="22">
      <c r="A22" s="6" t="inlineStr">
        <is>
          <t>Issue of new shares</t>
        </is>
      </c>
      <c r="B22" s="6" t="n">
        <v>501.1</v>
      </c>
      <c r="C22" s="6" t="n"/>
      <c r="D22" s="6" t="n"/>
      <c r="E22" s="6" t="n"/>
      <c r="F22" s="6" t="n"/>
      <c r="G22" s="6" t="n">
        <v>501.1</v>
      </c>
    </row>
    <row r="23">
      <c r="A23" s="6" t="inlineStr">
        <is>
          <t>Effect of GBP/USD translation (£ conversion artefact - see FX note)</t>
        </is>
      </c>
      <c r="B23" s="6" t="n"/>
      <c r="C23" s="6" t="n"/>
      <c r="D23" s="6" t="n"/>
      <c r="E23" s="6" t="n"/>
      <c r="F23" s="6" t="n"/>
      <c r="G23" s="6" t="n">
        <v>-178.6</v>
      </c>
    </row>
    <row r="24">
      <c r="A24" s="5" t="inlineStr">
        <is>
          <t>Balance at 31 March 2014</t>
        </is>
      </c>
      <c r="B24" s="5" t="n">
        <v>1919.3</v>
      </c>
      <c r="C24" s="5" t="n">
        <v>135.5</v>
      </c>
      <c r="D24" s="5" t="n">
        <v>60</v>
      </c>
      <c r="E24" s="5" t="n">
        <v>1</v>
      </c>
      <c r="F24" s="5" t="n">
        <v>-1.2</v>
      </c>
      <c r="G24" s="5" t="n">
        <v>2114.6</v>
      </c>
    </row>
    <row r="25">
      <c r="A25" s="6" t="inlineStr">
        <is>
          <t>Profit for the year</t>
        </is>
      </c>
      <c r="B25" s="6" t="n"/>
      <c r="C25" s="6" t="n">
        <v>71.09999999999999</v>
      </c>
      <c r="D25" s="6" t="n"/>
      <c r="E25" s="6" t="n"/>
      <c r="F25" s="6" t="n"/>
      <c r="G25" s="6" t="n">
        <v>71.09999999999999</v>
      </c>
    </row>
    <row r="26">
      <c r="A26" s="6" t="inlineStr">
        <is>
          <t>Effective portion of changes in fair value</t>
        </is>
      </c>
      <c r="B26" s="6" t="n"/>
      <c r="C26" s="6" t="n"/>
      <c r="D26" s="6" t="n"/>
      <c r="E26" s="6" t="n">
        <v>-0.1</v>
      </c>
      <c r="F26" s="6" t="n"/>
      <c r="G26" s="6" t="n">
        <v>-0.1</v>
      </c>
    </row>
    <row r="27">
      <c r="A27" s="6" t="inlineStr">
        <is>
          <t>Net gains/(losses) transferred to net profit</t>
        </is>
      </c>
      <c r="B27" s="6" t="n"/>
      <c r="C27" s="6" t="n"/>
      <c r="D27" s="6" t="n"/>
      <c r="E27" s="6" t="n">
        <v>-1</v>
      </c>
      <c r="F27" s="6" t="n"/>
      <c r="G27" s="6" t="n">
        <v>-1</v>
      </c>
    </row>
    <row r="28">
      <c r="A28" s="6" t="inlineStr">
        <is>
          <t>Actuarial gain/(loss) on defined benefit scheme</t>
        </is>
      </c>
      <c r="B28" s="6" t="n"/>
      <c r="C28" s="6" t="n">
        <v>2.8</v>
      </c>
      <c r="D28" s="6" t="n"/>
      <c r="E28" s="6" t="n"/>
      <c r="F28" s="6" t="n"/>
      <c r="G28" s="6" t="n">
        <v>2.8</v>
      </c>
    </row>
    <row r="29">
      <c r="A29" s="6" t="inlineStr">
        <is>
          <t>Change in fair value of assets classified as FVOCI</t>
        </is>
      </c>
      <c r="B29" s="6" t="n"/>
      <c r="C29" s="6" t="n"/>
      <c r="D29" s="6" t="n"/>
      <c r="E29" s="6" t="n"/>
      <c r="F29" s="6" t="n">
        <v>-0.1</v>
      </c>
      <c r="G29" s="6" t="n">
        <v>-0.1</v>
      </c>
    </row>
    <row r="30">
      <c r="A30" s="6" t="inlineStr">
        <is>
          <t>Net gains/(losses) transferred to net profit on FVOCI</t>
        </is>
      </c>
      <c r="B30" s="6" t="n"/>
      <c r="C30" s="6" t="n"/>
      <c r="D30" s="6" t="n"/>
      <c r="E30" s="6" t="n"/>
      <c r="F30" s="6" t="n">
        <v>0.1</v>
      </c>
      <c r="G30" s="6" t="n">
        <v>0.1</v>
      </c>
    </row>
    <row r="31">
      <c r="A31" s="5" t="inlineStr">
        <is>
          <t>Total comprehensive income for the year</t>
        </is>
      </c>
      <c r="B31" s="5" t="n"/>
      <c r="C31" s="5" t="n">
        <v>73.90000000000001</v>
      </c>
      <c r="D31" s="5" t="n"/>
      <c r="E31" s="5" t="n">
        <v>-1.1</v>
      </c>
      <c r="F31" s="5" t="n">
        <v>0</v>
      </c>
      <c r="G31" s="5" t="n">
        <v>72.8</v>
      </c>
    </row>
    <row r="32">
      <c r="A32" s="6" t="inlineStr">
        <is>
          <t>Effect of GBP/USD translation (£ conversion artefact - see FX note)</t>
        </is>
      </c>
      <c r="B32" s="6" t="n"/>
      <c r="C32" s="6" t="n"/>
      <c r="D32" s="6" t="n"/>
      <c r="E32" s="6" t="n"/>
      <c r="F32" s="6" t="n"/>
      <c r="G32" s="6" t="n">
        <v>266.1</v>
      </c>
    </row>
    <row r="33">
      <c r="A33" s="5" t="inlineStr">
        <is>
          <t>Balance at 31 March 2015</t>
        </is>
      </c>
      <c r="B33" s="5" t="n">
        <v>2155.3</v>
      </c>
      <c r="C33" s="5" t="n">
        <v>232.3</v>
      </c>
      <c r="D33" s="5" t="n">
        <v>67.40000000000001</v>
      </c>
      <c r="E33" s="5" t="n">
        <v>-0.1</v>
      </c>
      <c r="F33" s="5" t="n">
        <v>-1.3</v>
      </c>
      <c r="G33" s="5" t="n">
        <v>2453.5</v>
      </c>
    </row>
    <row r="34">
      <c r="A34" s="6" t="inlineStr">
        <is>
          <t>Profit for the year</t>
        </is>
      </c>
      <c r="B34" s="6" t="n"/>
      <c r="C34" s="6" t="n">
        <v>65.8</v>
      </c>
      <c r="D34" s="6" t="n"/>
      <c r="E34" s="6" t="n"/>
      <c r="F34" s="6" t="n"/>
      <c r="G34" s="6" t="n">
        <v>65.8</v>
      </c>
    </row>
    <row r="35">
      <c r="A35" s="6" t="inlineStr">
        <is>
          <t>Effective portion of changes in fair value</t>
        </is>
      </c>
      <c r="B35" s="6" t="n"/>
      <c r="C35" s="6" t="n"/>
      <c r="D35" s="6" t="n"/>
      <c r="E35" s="6" t="n">
        <v>0.1</v>
      </c>
      <c r="F35" s="6" t="n"/>
      <c r="G35" s="6" t="n">
        <v>0.1</v>
      </c>
    </row>
    <row r="36">
      <c r="A36" s="6" t="inlineStr">
        <is>
          <t>Net gains/(losses) transferred to net profit</t>
        </is>
      </c>
      <c r="B36" s="6" t="n"/>
      <c r="C36" s="6" t="n"/>
      <c r="D36" s="6" t="n"/>
      <c r="E36" s="6" t="n">
        <v>0.7</v>
      </c>
      <c r="F36" s="6" t="n"/>
      <c r="G36" s="6" t="n">
        <v>0.7</v>
      </c>
    </row>
    <row r="37">
      <c r="A37" s="6" t="inlineStr">
        <is>
          <t>Actuarial gain/(loss) on defined benefit scheme</t>
        </is>
      </c>
      <c r="B37" s="6" t="n"/>
      <c r="C37" s="6" t="n">
        <v>3.7</v>
      </c>
      <c r="D37" s="6" t="n"/>
      <c r="E37" s="6" t="n"/>
      <c r="F37" s="6" t="n"/>
      <c r="G37" s="6" t="n">
        <v>3.7</v>
      </c>
    </row>
    <row r="38">
      <c r="A38" s="6" t="inlineStr">
        <is>
          <t>Change in fair value of assets classified as FVOCI</t>
        </is>
      </c>
      <c r="B38" s="6" t="n"/>
      <c r="C38" s="6" t="n"/>
      <c r="D38" s="6" t="n"/>
      <c r="E38" s="6" t="n"/>
      <c r="F38" s="6" t="n">
        <v>1.6</v>
      </c>
      <c r="G38" s="6" t="n">
        <v>1.6</v>
      </c>
    </row>
    <row r="39">
      <c r="A39" s="6" t="inlineStr">
        <is>
          <t>Net gains/(losses) transferred to net profit on FVOCI</t>
        </is>
      </c>
      <c r="B39" s="6" t="n"/>
      <c r="C39" s="6" t="n"/>
      <c r="D39" s="6" t="n"/>
      <c r="E39" s="6" t="n"/>
      <c r="F39" s="6" t="n">
        <v>0.4</v>
      </c>
      <c r="G39" s="6" t="n">
        <v>0.4</v>
      </c>
    </row>
    <row r="40">
      <c r="A40" s="5" t="inlineStr">
        <is>
          <t>Total comprehensive income for the year</t>
        </is>
      </c>
      <c r="B40" s="5" t="n"/>
      <c r="C40" s="5" t="n">
        <v>69.5</v>
      </c>
      <c r="D40" s="5" t="n"/>
      <c r="E40" s="5" t="n">
        <v>0.8</v>
      </c>
      <c r="F40" s="5" t="n">
        <v>2</v>
      </c>
      <c r="G40" s="5" t="n">
        <v>72.3</v>
      </c>
    </row>
    <row r="41">
      <c r="A41" s="6" t="inlineStr">
        <is>
          <t>Effect of GBP/USD translation (£ conversion artefact - see FX note)</t>
        </is>
      </c>
      <c r="B41" s="6" t="n"/>
      <c r="C41" s="6" t="n"/>
      <c r="D41" s="6" t="n"/>
      <c r="E41" s="6" t="n"/>
      <c r="F41" s="6" t="n"/>
      <c r="G41" s="6" t="n">
        <v>83.3</v>
      </c>
    </row>
    <row r="42">
      <c r="A42" s="5" t="inlineStr">
        <is>
          <t>Balance at 31 March 2016</t>
        </is>
      </c>
      <c r="B42" s="5" t="n">
        <v>2225.6</v>
      </c>
      <c r="C42" s="5" t="n">
        <v>312.5</v>
      </c>
      <c r="D42" s="5" t="n">
        <v>69.59999999999999</v>
      </c>
      <c r="E42" s="5" t="n">
        <v>0.7</v>
      </c>
      <c r="F42" s="5" t="n">
        <v>0.7</v>
      </c>
      <c r="G42" s="5" t="n">
        <v>2609.1</v>
      </c>
    </row>
    <row r="43">
      <c r="A43" s="6" t="inlineStr">
        <is>
          <t>Effective portion of changes in fair value</t>
        </is>
      </c>
      <c r="B43" s="6" t="n"/>
      <c r="C43" s="6" t="n"/>
      <c r="D43" s="6" t="n"/>
      <c r="E43" s="6" t="n">
        <v>0.5</v>
      </c>
      <c r="F43" s="6" t="n"/>
      <c r="G43" s="6" t="n">
        <v>0.5</v>
      </c>
    </row>
    <row r="44">
      <c r="A44" s="6" t="inlineStr">
        <is>
          <t>Net gains/(losses) transferred to net profit</t>
        </is>
      </c>
      <c r="B44" s="6" t="n"/>
      <c r="C44" s="6" t="n"/>
      <c r="D44" s="6" t="n"/>
      <c r="E44" s="6" t="n">
        <v>-0.8</v>
      </c>
      <c r="F44" s="6" t="n"/>
      <c r="G44" s="6" t="n">
        <v>-0.8</v>
      </c>
    </row>
    <row r="45">
      <c r="A45" s="6" t="inlineStr">
        <is>
          <t>Profit for the year</t>
        </is>
      </c>
      <c r="B45" s="6" t="n"/>
      <c r="C45" s="6" t="n">
        <v>121</v>
      </c>
      <c r="D45" s="6" t="n"/>
      <c r="E45" s="6" t="n"/>
      <c r="F45" s="6" t="n"/>
      <c r="G45" s="6" t="n">
        <v>121</v>
      </c>
    </row>
    <row r="46">
      <c r="A46" s="6" t="inlineStr">
        <is>
          <t>Actuarial gain/(loss) on defined benefit scheme</t>
        </is>
      </c>
      <c r="B46" s="6" t="n"/>
      <c r="C46" s="6" t="n">
        <v>-2.9</v>
      </c>
      <c r="D46" s="6" t="n"/>
      <c r="E46" s="6" t="n"/>
      <c r="F46" s="6" t="n"/>
      <c r="G46" s="6" t="n">
        <v>-2.9</v>
      </c>
    </row>
    <row r="47">
      <c r="A47" s="6" t="inlineStr">
        <is>
          <t>Change in fair value of assets classified as FVOCI</t>
        </is>
      </c>
      <c r="B47" s="6" t="n"/>
      <c r="C47" s="6" t="n"/>
      <c r="D47" s="6" t="n"/>
      <c r="E47" s="6" t="n"/>
      <c r="F47" s="6" t="n">
        <v>-0.2</v>
      </c>
      <c r="G47" s="6" t="n">
        <v>-0.2</v>
      </c>
    </row>
    <row r="48">
      <c r="A48" s="5" t="inlineStr">
        <is>
          <t>Total comprehensive income for the year</t>
        </is>
      </c>
      <c r="B48" s="5" t="n"/>
      <c r="C48" s="5" t="n">
        <v>118</v>
      </c>
      <c r="D48" s="5" t="n"/>
      <c r="E48" s="5" t="n">
        <v>-0.2</v>
      </c>
      <c r="F48" s="5" t="n">
        <v>-0.2</v>
      </c>
      <c r="G48" s="5" t="n">
        <v>117.6</v>
      </c>
    </row>
    <row r="49">
      <c r="A49" s="6" t="inlineStr">
        <is>
          <t>Effect of GBP/USD translation (£ conversion artefact - see FX note)</t>
        </is>
      </c>
      <c r="B49" s="6" t="n"/>
      <c r="C49" s="6" t="n"/>
      <c r="D49" s="6" t="n"/>
      <c r="E49" s="6" t="n"/>
      <c r="F49" s="6" t="n"/>
      <c r="G49" s="6" t="n">
        <v>395.3</v>
      </c>
    </row>
    <row r="50">
      <c r="A50" s="5" t="inlineStr">
        <is>
          <t>Balance at 31 March 2017</t>
        </is>
      </c>
      <c r="B50" s="5" t="n">
        <v>2558.6</v>
      </c>
      <c r="C50" s="5" t="n">
        <v>482.4</v>
      </c>
      <c r="D50" s="5" t="n">
        <v>80</v>
      </c>
      <c r="E50" s="5" t="n">
        <v>0.6</v>
      </c>
      <c r="F50" s="5" t="n">
        <v>0.6</v>
      </c>
      <c r="G50" s="5" t="n">
        <v>3122</v>
      </c>
    </row>
    <row r="51">
      <c r="A51" s="6" t="inlineStr">
        <is>
          <t>Profit for the year</t>
        </is>
      </c>
      <c r="B51" s="6" t="n"/>
      <c r="C51" s="6" t="n">
        <v>159.2</v>
      </c>
      <c r="D51" s="6" t="n"/>
      <c r="E51" s="6" t="n"/>
      <c r="F51" s="6" t="n"/>
      <c r="G51" s="6" t="n">
        <v>159.2</v>
      </c>
    </row>
    <row r="52">
      <c r="A52" s="6" t="inlineStr">
        <is>
          <t>Net gains/(losses) transferred to net profit</t>
        </is>
      </c>
      <c r="B52" s="6" t="n"/>
      <c r="C52" s="6" t="n"/>
      <c r="D52" s="6" t="n"/>
      <c r="E52" s="6" t="n">
        <v>-0.5</v>
      </c>
      <c r="F52" s="6" t="n"/>
      <c r="G52" s="6" t="n">
        <v>-0.5</v>
      </c>
    </row>
    <row r="53">
      <c r="A53" s="6" t="inlineStr">
        <is>
          <t>Actuarial gain/(loss) on defined benefit scheme</t>
        </is>
      </c>
      <c r="B53" s="6" t="n"/>
      <c r="C53" s="6" t="n">
        <v>1.6</v>
      </c>
      <c r="D53" s="6" t="n"/>
      <c r="E53" s="6" t="n"/>
      <c r="F53" s="6" t="n"/>
      <c r="G53" s="6" t="n">
        <v>1.6</v>
      </c>
    </row>
    <row r="54">
      <c r="A54" s="6" t="inlineStr">
        <is>
          <t>Change in fair value of assets classified as FVOCI</t>
        </is>
      </c>
      <c r="B54" s="6" t="n"/>
      <c r="C54" s="6" t="n"/>
      <c r="D54" s="6" t="n"/>
      <c r="E54" s="6" t="n"/>
      <c r="F54" s="6" t="n">
        <v>0.9</v>
      </c>
      <c r="G54" s="6" t="n">
        <v>0.9</v>
      </c>
    </row>
    <row r="55">
      <c r="A55" s="6" t="inlineStr">
        <is>
          <t>Net gains/(losses) transferred to net profit on FVOCI</t>
        </is>
      </c>
      <c r="B55" s="6" t="n"/>
      <c r="C55" s="6" t="n"/>
      <c r="D55" s="6" t="n"/>
      <c r="E55" s="6" t="n"/>
      <c r="F55" s="6" t="n">
        <v>0.4</v>
      </c>
      <c r="G55" s="6" t="n">
        <v>0.4</v>
      </c>
    </row>
    <row r="56">
      <c r="A56" s="5" t="inlineStr">
        <is>
          <t>Total comprehensive income for the year</t>
        </is>
      </c>
      <c r="B56" s="5" t="n"/>
      <c r="C56" s="5" t="n">
        <v>160.9</v>
      </c>
      <c r="D56" s="5" t="n"/>
      <c r="E56" s="5" t="n">
        <v>-0.5</v>
      </c>
      <c r="F56" s="5" t="n">
        <v>1.3</v>
      </c>
      <c r="G56" s="5" t="n">
        <v>161.7</v>
      </c>
    </row>
    <row r="57">
      <c r="A57" s="6" t="inlineStr">
        <is>
          <t>Effect of GBP/USD translation (£ conversion artefact - see FX note)</t>
        </is>
      </c>
      <c r="B57" s="6" t="n"/>
      <c r="C57" s="6" t="n"/>
      <c r="D57" s="6" t="n"/>
      <c r="E57" s="6" t="n"/>
      <c r="F57" s="6" t="n"/>
      <c r="G57" s="6" t="n">
        <v>-346.9</v>
      </c>
    </row>
    <row r="58">
      <c r="A58" s="5" t="inlineStr">
        <is>
          <t>Balance at 31 March 2018</t>
        </is>
      </c>
      <c r="B58" s="5" t="n">
        <v>2280.3</v>
      </c>
      <c r="C58" s="5" t="n">
        <v>583.4</v>
      </c>
      <c r="D58" s="5" t="n">
        <v>71.3</v>
      </c>
      <c r="E58" s="5" t="n">
        <v>0</v>
      </c>
      <c r="F58" s="5" t="n">
        <v>1.8</v>
      </c>
      <c r="G58" s="5" t="n">
        <v>2936.8</v>
      </c>
    </row>
    <row r="59">
      <c r="A59" s="6" t="inlineStr">
        <is>
          <t>Effect of changes in accounting policy (IFRS 9), net of tax</t>
        </is>
      </c>
      <c r="B59" s="6" t="n"/>
      <c r="C59" s="6" t="n">
        <v>11.9</v>
      </c>
      <c r="D59" s="6" t="n"/>
      <c r="E59" s="6" t="n"/>
      <c r="F59" s="6" t="n">
        <v>0</v>
      </c>
      <c r="G59" s="6" t="n">
        <v>11.9</v>
      </c>
    </row>
    <row r="60">
      <c r="A60" s="5" t="inlineStr">
        <is>
          <t>Balance at 1 April 2018 (restated)</t>
        </is>
      </c>
      <c r="B60" s="5" t="n">
        <v>2280.3</v>
      </c>
      <c r="C60" s="5" t="n">
        <v>594.5</v>
      </c>
      <c r="D60" s="5" t="n">
        <v>71.3</v>
      </c>
      <c r="E60" s="5" t="n">
        <v>0</v>
      </c>
      <c r="F60" s="5" t="n">
        <v>1.8</v>
      </c>
      <c r="G60" s="5" t="n">
        <v>2947.9</v>
      </c>
    </row>
    <row r="61">
      <c r="A61" s="6" t="inlineStr">
        <is>
          <t>Profit for the year</t>
        </is>
      </c>
      <c r="B61" s="6" t="n"/>
      <c r="C61" s="6" t="n">
        <v>210.1</v>
      </c>
      <c r="D61" s="6" t="n"/>
      <c r="E61" s="6" t="n"/>
      <c r="F61" s="6" t="n"/>
      <c r="G61" s="6" t="n">
        <v>210.1</v>
      </c>
    </row>
    <row r="62">
      <c r="A62" s="6" t="inlineStr">
        <is>
          <t>Actuarial gain/(loss) on defined benefit scheme</t>
        </is>
      </c>
      <c r="B62" s="6" t="n"/>
      <c r="C62" s="6" t="n">
        <v>-1.1</v>
      </c>
      <c r="D62" s="6" t="n"/>
      <c r="E62" s="6" t="n"/>
      <c r="F62" s="6" t="n"/>
      <c r="G62" s="6" t="n">
        <v>-1.1</v>
      </c>
    </row>
    <row r="63">
      <c r="A63" s="6" t="inlineStr">
        <is>
          <t>Net gains/(losses) transferred to net profit on FVOCI</t>
        </is>
      </c>
      <c r="B63" s="6" t="n"/>
      <c r="C63" s="6" t="n"/>
      <c r="D63" s="6" t="n"/>
      <c r="E63" s="6" t="n"/>
      <c r="F63" s="6" t="n">
        <v>-2</v>
      </c>
      <c r="G63" s="6" t="n">
        <v>-2</v>
      </c>
    </row>
    <row r="64">
      <c r="A64" s="5" t="inlineStr">
        <is>
          <t>Total comprehensive income for the year</t>
        </is>
      </c>
      <c r="B64" s="5" t="n"/>
      <c r="C64" s="5" t="n">
        <v>209.1</v>
      </c>
      <c r="D64" s="5" t="n"/>
      <c r="E64" s="5" t="n">
        <v>0</v>
      </c>
      <c r="F64" s="5" t="n">
        <v>-2</v>
      </c>
      <c r="G64" s="5" t="n">
        <v>207.1</v>
      </c>
    </row>
    <row r="65">
      <c r="A65" s="6" t="inlineStr">
        <is>
          <t>Effect of GBP/USD translation (£ conversion artefact - see FX note)</t>
        </is>
      </c>
      <c r="B65" s="6" t="n"/>
      <c r="C65" s="6" t="n"/>
      <c r="D65" s="6" t="n"/>
      <c r="E65" s="6" t="n"/>
      <c r="F65" s="6" t="n"/>
      <c r="G65" s="6" t="n">
        <v>228</v>
      </c>
    </row>
    <row r="66">
      <c r="A66" s="5" t="inlineStr">
        <is>
          <t>Balance at 31 March 2019</t>
        </is>
      </c>
      <c r="B66" s="5" t="n">
        <v>2455.9</v>
      </c>
      <c r="C66" s="5" t="n">
        <v>850.5</v>
      </c>
      <c r="D66" s="5" t="n">
        <v>76.7</v>
      </c>
      <c r="E66" s="5" t="n">
        <v>0</v>
      </c>
      <c r="F66" s="5" t="n">
        <v>-0.1</v>
      </c>
      <c r="G66" s="5" t="n">
        <v>3383</v>
      </c>
    </row>
    <row r="67">
      <c r="A67" s="6" t="inlineStr">
        <is>
          <t>Profit for the year</t>
        </is>
      </c>
      <c r="B67" s="6" t="n"/>
      <c r="C67" s="6" t="n">
        <v>120.3</v>
      </c>
      <c r="D67" s="6" t="n"/>
      <c r="E67" s="6" t="n"/>
      <c r="F67" s="6" t="n"/>
      <c r="G67" s="6" t="n">
        <v>120.3</v>
      </c>
    </row>
    <row r="68">
      <c r="A68" s="6" t="inlineStr">
        <is>
          <t>Actuarial gain/(loss) on defined benefit scheme</t>
        </is>
      </c>
      <c r="B68" s="6" t="n"/>
      <c r="C68" s="6" t="n">
        <v>10.2</v>
      </c>
      <c r="D68" s="6" t="n"/>
      <c r="E68" s="6" t="n"/>
      <c r="F68" s="6" t="n"/>
      <c r="G68" s="6" t="n">
        <v>10.2</v>
      </c>
    </row>
    <row r="69">
      <c r="A69" s="6" t="inlineStr">
        <is>
          <t>Effective portion of changes in fair value (cash flow hedges)</t>
        </is>
      </c>
      <c r="B69" s="6" t="n"/>
      <c r="C69" s="6" t="n"/>
      <c r="D69" s="6" t="n"/>
      <c r="E69" s="6" t="n">
        <v>3.1</v>
      </c>
      <c r="F69" s="6" t="n"/>
      <c r="G69" s="6" t="n">
        <v>3.1</v>
      </c>
    </row>
    <row r="70">
      <c r="A70" s="6" t="inlineStr">
        <is>
          <t>Fair value through other comprehensive income</t>
        </is>
      </c>
      <c r="B70" s="6" t="n"/>
      <c r="C70" s="6" t="n"/>
      <c r="D70" s="6" t="n"/>
      <c r="E70" s="6" t="n"/>
      <c r="F70" s="6" t="n">
        <v>-0.5</v>
      </c>
      <c r="G70" s="6" t="n">
        <v>-0.5</v>
      </c>
    </row>
    <row r="71">
      <c r="A71" s="5" t="inlineStr">
        <is>
          <t>Total comprehensive income for the year</t>
        </is>
      </c>
      <c r="B71" s="5" t="n"/>
      <c r="C71" s="5" t="n">
        <v>130.5</v>
      </c>
      <c r="D71" s="5" t="n"/>
      <c r="E71" s="5" t="n">
        <v>3.1</v>
      </c>
      <c r="F71" s="5" t="n">
        <v>-0.5</v>
      </c>
      <c r="G71" s="5" t="n">
        <v>133.1</v>
      </c>
    </row>
    <row r="72">
      <c r="A72" s="6" t="inlineStr">
        <is>
          <t>Effect of GBP/USD translation (£ conversion artefact - see FX note)</t>
        </is>
      </c>
      <c r="B72" s="6" t="n"/>
      <c r="C72" s="6" t="n"/>
      <c r="D72" s="6" t="n"/>
      <c r="E72" s="6" t="n"/>
      <c r="F72" s="6" t="n"/>
      <c r="G72" s="6" t="n">
        <v>174.4</v>
      </c>
    </row>
    <row r="73">
      <c r="A73" s="5" t="inlineStr">
        <is>
          <t>Balance at 1 April 2020 (converted at 31 Mar 2020 spot rate)</t>
        </is>
      </c>
      <c r="B73" s="5" t="n">
        <v>2580</v>
      </c>
      <c r="C73" s="5" t="n">
        <v>1027.3</v>
      </c>
      <c r="D73" s="5" t="n">
        <v>80.59999999999999</v>
      </c>
      <c r="E73" s="5" t="n">
        <v>3.1</v>
      </c>
      <c r="F73" s="5" t="n">
        <v>-0.6</v>
      </c>
      <c r="G73" s="5" t="n">
        <v>3690.5</v>
      </c>
    </row>
    <row r="74">
      <c r="A74" s="6" t="inlineStr">
        <is>
          <t>Profit for the year</t>
        </is>
      </c>
      <c r="B74" s="6" t="n"/>
      <c r="C74" s="6" t="n">
        <v>182.6</v>
      </c>
      <c r="D74" s="6" t="n"/>
      <c r="E74" s="6" t="n"/>
      <c r="F74" s="6" t="n"/>
      <c r="G74" s="6" t="n">
        <v>182.6</v>
      </c>
    </row>
    <row r="75">
      <c r="A75" s="6" t="inlineStr">
        <is>
          <t>Net gains/(losses) transferred to net profit</t>
        </is>
      </c>
      <c r="B75" s="6" t="n"/>
      <c r="C75" s="6" t="n"/>
      <c r="D75" s="6" t="n"/>
      <c r="E75" s="6" t="n">
        <v>-3</v>
      </c>
      <c r="F75" s="6" t="n"/>
      <c r="G75" s="6" t="n">
        <v>-3</v>
      </c>
    </row>
    <row r="76">
      <c r="A76" s="6" t="inlineStr">
        <is>
          <t>Actuarial gain/(loss) on defined benefit scheme</t>
        </is>
      </c>
      <c r="B76" s="6" t="n"/>
      <c r="C76" s="6" t="n">
        <v>-20.8</v>
      </c>
      <c r="D76" s="6" t="n"/>
      <c r="E76" s="6" t="n"/>
      <c r="F76" s="6" t="n"/>
      <c r="G76" s="6" t="n">
        <v>-20.8</v>
      </c>
    </row>
    <row r="77">
      <c r="A77" s="6" t="inlineStr">
        <is>
          <t>Change in fair value of assets classified as FVOCI</t>
        </is>
      </c>
      <c r="B77" s="6" t="n"/>
      <c r="C77" s="6" t="n"/>
      <c r="D77" s="6" t="n"/>
      <c r="E77" s="6" t="n"/>
      <c r="F77" s="6" t="n">
        <v>0.4</v>
      </c>
      <c r="G77" s="6" t="n">
        <v>0.4</v>
      </c>
    </row>
    <row r="78">
      <c r="A78" s="6" t="inlineStr">
        <is>
          <t>Effective portion of changes in fair value</t>
        </is>
      </c>
      <c r="B78" s="6" t="n"/>
      <c r="C78" s="6" t="n"/>
      <c r="D78" s="6" t="n"/>
      <c r="E78" s="6" t="n">
        <v>0.8</v>
      </c>
      <c r="F78" s="6" t="n"/>
      <c r="G78" s="6" t="n">
        <v>0.8</v>
      </c>
    </row>
    <row r="79">
      <c r="A79" s="5" t="inlineStr">
        <is>
          <t>Total comprehensive income for the year</t>
        </is>
      </c>
      <c r="B79" s="5" t="n"/>
      <c r="C79" s="5" t="n">
        <v>161.8</v>
      </c>
      <c r="D79" s="5" t="n"/>
      <c r="E79" s="5" t="n">
        <v>-2.2</v>
      </c>
      <c r="F79" s="5" t="n">
        <v>0.4</v>
      </c>
      <c r="G79" s="5" t="n">
        <v>160.1</v>
      </c>
    </row>
    <row r="80">
      <c r="A80" s="6" t="inlineStr">
        <is>
          <t>Issue of new shares</t>
        </is>
      </c>
      <c r="B80" s="6" t="n">
        <v>0.1</v>
      </c>
      <c r="C80" s="6" t="n"/>
      <c r="D80" s="6" t="n"/>
      <c r="E80" s="6" t="n"/>
      <c r="F80" s="6" t="n"/>
      <c r="G80" s="6" t="n">
        <v>0.1</v>
      </c>
    </row>
    <row r="81">
      <c r="A81" s="6" t="inlineStr">
        <is>
          <t>Effect of GBP/USD translation (£ conversion artefact - see FX note)</t>
        </is>
      </c>
      <c r="B81" s="6" t="n"/>
      <c r="C81" s="6" t="n"/>
      <c r="D81" s="6" t="n"/>
      <c r="E81" s="6" t="n"/>
      <c r="F81" s="6" t="n"/>
      <c r="G81" s="6" t="n">
        <v>-379.7</v>
      </c>
    </row>
    <row r="82">
      <c r="A82" s="5" t="inlineStr">
        <is>
          <t>Balance at 31 March 2021</t>
        </is>
      </c>
      <c r="B82" s="5" t="n">
        <v>2319.6</v>
      </c>
      <c r="C82" s="5" t="n">
        <v>1078.3</v>
      </c>
      <c r="D82" s="5" t="n">
        <v>72.5</v>
      </c>
      <c r="E82" s="5" t="n">
        <v>0.8</v>
      </c>
      <c r="F82" s="5" t="n">
        <v>-0.1</v>
      </c>
      <c r="G82" s="5" t="n">
        <v>3471</v>
      </c>
    </row>
    <row r="83">
      <c r="A83" s="6" t="inlineStr">
        <is>
          <t>Profit for the year</t>
        </is>
      </c>
      <c r="B83" s="6" t="n"/>
      <c r="C83" s="6" t="n">
        <v>96.90000000000001</v>
      </c>
      <c r="D83" s="6" t="n"/>
      <c r="E83" s="6" t="n"/>
      <c r="F83" s="6" t="n"/>
      <c r="G83" s="6" t="n">
        <v>96.90000000000001</v>
      </c>
    </row>
    <row r="84">
      <c r="A84" s="6" t="inlineStr">
        <is>
          <t>Net gains/(losses) transferred to net profit</t>
        </is>
      </c>
      <c r="B84" s="6" t="n"/>
      <c r="C84" s="6" t="n"/>
      <c r="D84" s="6" t="n"/>
      <c r="E84" s="6" t="n">
        <v>-0.8</v>
      </c>
      <c r="F84" s="6" t="n"/>
      <c r="G84" s="6" t="n">
        <v>-0.8</v>
      </c>
    </row>
    <row r="85">
      <c r="A85" s="6" t="inlineStr">
        <is>
          <t>Actuarial gain/(loss) on defined benefit scheme</t>
        </is>
      </c>
      <c r="B85" s="6" t="n"/>
      <c r="C85" s="6" t="n">
        <v>14.7</v>
      </c>
      <c r="D85" s="6" t="n"/>
      <c r="E85" s="6" t="n"/>
      <c r="F85" s="6" t="n"/>
      <c r="G85" s="6" t="n">
        <v>14.7</v>
      </c>
    </row>
    <row r="86">
      <c r="A86" s="6" t="inlineStr">
        <is>
          <t>Change in fair value of assets classified as FVOCI</t>
        </is>
      </c>
      <c r="B86" s="6" t="n"/>
      <c r="C86" s="6" t="n"/>
      <c r="D86" s="6" t="n"/>
      <c r="E86" s="6" t="n"/>
      <c r="F86" s="6" t="n">
        <v>0.1</v>
      </c>
      <c r="G86" s="6" t="n">
        <v>0.1</v>
      </c>
    </row>
    <row r="87">
      <c r="A87" s="6" t="inlineStr">
        <is>
          <t>Effective portion of changes in fair value</t>
        </is>
      </c>
      <c r="B87" s="6" t="n"/>
      <c r="C87" s="6" t="n"/>
      <c r="D87" s="6" t="n"/>
      <c r="E87" s="6" t="n">
        <v>4.9</v>
      </c>
      <c r="F87" s="6" t="n"/>
      <c r="G87" s="6" t="n">
        <v>4.9</v>
      </c>
    </row>
    <row r="88">
      <c r="A88" s="5" t="inlineStr">
        <is>
          <t>Total comprehensive income for the year</t>
        </is>
      </c>
      <c r="B88" s="5" t="n"/>
      <c r="C88" s="5" t="n">
        <v>111.6</v>
      </c>
      <c r="D88" s="5" t="n"/>
      <c r="E88" s="5" t="n">
        <v>4.1</v>
      </c>
      <c r="F88" s="5" t="n">
        <v>0.1</v>
      </c>
      <c r="G88" s="5" t="n">
        <v>115.8</v>
      </c>
    </row>
    <row r="89">
      <c r="A89" s="6" t="inlineStr">
        <is>
          <t>Effect of GBP/USD translation (£ conversion artefact - see FX note)</t>
        </is>
      </c>
      <c r="B89" s="6" t="n"/>
      <c r="C89" s="6" t="n"/>
      <c r="D89" s="6" t="n"/>
      <c r="E89" s="6" t="n"/>
      <c r="F89" s="6" t="n"/>
      <c r="G89" s="6" t="n">
        <v>171.1</v>
      </c>
    </row>
    <row r="90">
      <c r="A90" s="5" t="inlineStr">
        <is>
          <t>Balance at 31 March 2022</t>
        </is>
      </c>
      <c r="B90" s="5" t="n">
        <v>2431.3</v>
      </c>
      <c r="C90" s="5" t="n">
        <v>1245.6</v>
      </c>
      <c r="D90" s="5" t="n">
        <v>76</v>
      </c>
      <c r="E90" s="5" t="n">
        <v>5.1</v>
      </c>
      <c r="F90" s="5" t="n">
        <v>0</v>
      </c>
      <c r="G90" s="5" t="n">
        <v>3757.9</v>
      </c>
    </row>
    <row r="91">
      <c r="A91" s="6" t="inlineStr">
        <is>
          <t>Profit for the year</t>
        </is>
      </c>
      <c r="B91" s="6" t="n"/>
      <c r="C91" s="6" t="n">
        <v>209.3</v>
      </c>
      <c r="D91" s="6" t="n"/>
      <c r="E91" s="6" t="n"/>
      <c r="F91" s="6" t="n"/>
      <c r="G91" s="6" t="n">
        <v>209.3</v>
      </c>
    </row>
    <row r="92">
      <c r="A92" s="6" t="inlineStr">
        <is>
          <t>Net gains/(losses) transferred to net profit</t>
        </is>
      </c>
      <c r="B92" s="6" t="n"/>
      <c r="C92" s="6" t="n"/>
      <c r="D92" s="6" t="n"/>
      <c r="E92" s="6" t="n">
        <v>-5.6</v>
      </c>
      <c r="F92" s="6" t="n"/>
      <c r="G92" s="6" t="n">
        <v>-5.6</v>
      </c>
    </row>
    <row r="93">
      <c r="A93" s="6" t="inlineStr">
        <is>
          <t>Actuarial gain/(loss) on defined benefit scheme</t>
        </is>
      </c>
      <c r="B93" s="6" t="n"/>
      <c r="C93" s="6" t="n">
        <v>-10.5</v>
      </c>
      <c r="D93" s="6" t="n"/>
      <c r="E93" s="6" t="n"/>
      <c r="F93" s="6" t="n"/>
      <c r="G93" s="6" t="n">
        <v>-10.5</v>
      </c>
    </row>
    <row r="94">
      <c r="A94" s="6" t="inlineStr">
        <is>
          <t>Change in fair value of assets classified as FVOCI</t>
        </is>
      </c>
      <c r="B94" s="6" t="n"/>
      <c r="C94" s="6" t="n"/>
      <c r="D94" s="6" t="n"/>
      <c r="E94" s="6" t="n"/>
      <c r="F94" s="6" t="n">
        <v>0.2</v>
      </c>
      <c r="G94" s="6" t="n">
        <v>0.2</v>
      </c>
    </row>
    <row r="95">
      <c r="A95" s="6" t="inlineStr">
        <is>
          <t>Effective portion of changes in fair value</t>
        </is>
      </c>
      <c r="B95" s="6" t="n"/>
      <c r="C95" s="6" t="n"/>
      <c r="D95" s="6" t="n"/>
      <c r="E95" s="6" t="n">
        <v>8.5</v>
      </c>
      <c r="F95" s="6" t="n"/>
      <c r="G95" s="6" t="n">
        <v>8.5</v>
      </c>
    </row>
    <row r="96">
      <c r="A96" s="5" t="inlineStr">
        <is>
          <t>Total comprehensive income for the year</t>
        </is>
      </c>
      <c r="B96" s="5" t="n"/>
      <c r="C96" s="5" t="n">
        <v>198.8</v>
      </c>
      <c r="D96" s="5" t="n"/>
      <c r="E96" s="5" t="n">
        <v>2.9</v>
      </c>
      <c r="F96" s="5" t="n">
        <v>0.2</v>
      </c>
      <c r="G96" s="5" t="n">
        <v>201.9</v>
      </c>
    </row>
    <row r="97">
      <c r="A97" s="6" t="inlineStr">
        <is>
          <t>Effect of GBP/USD translation (£ conversion artefact - see FX note)</t>
        </is>
      </c>
      <c r="B97" s="6" t="n"/>
      <c r="C97" s="6" t="n"/>
      <c r="D97" s="6" t="n"/>
      <c r="E97" s="6" t="n"/>
      <c r="F97" s="6" t="n"/>
      <c r="G97" s="6" t="n">
        <v>237.4</v>
      </c>
    </row>
    <row r="98">
      <c r="A98" s="5" t="inlineStr">
        <is>
          <t>Balance at 31 March 2023</t>
        </is>
      </c>
      <c r="B98" s="5" t="n">
        <v>2588.2</v>
      </c>
      <c r="C98" s="5" t="n">
        <v>1519.6</v>
      </c>
      <c r="D98" s="5" t="n">
        <v>80.90000000000001</v>
      </c>
      <c r="E98" s="5" t="n">
        <v>8.199999999999999</v>
      </c>
      <c r="F98" s="5" t="n">
        <v>0.2</v>
      </c>
      <c r="G98" s="5" t="n">
        <v>4197.2</v>
      </c>
    </row>
    <row r="99">
      <c r="A99" s="6" t="inlineStr">
        <is>
          <t>Profit for the year</t>
        </is>
      </c>
      <c r="B99" s="6" t="n"/>
      <c r="C99" s="6" t="n">
        <v>322.9</v>
      </c>
      <c r="D99" s="6" t="n"/>
      <c r="E99" s="6" t="n"/>
      <c r="F99" s="6" t="n"/>
      <c r="G99" s="6" t="n">
        <v>322.9</v>
      </c>
    </row>
    <row r="100">
      <c r="A100" s="6" t="inlineStr">
        <is>
          <t>Net gains/(losses) transferred to net profit</t>
        </is>
      </c>
      <c r="B100" s="6" t="n"/>
      <c r="C100" s="6" t="n"/>
      <c r="D100" s="6" t="n"/>
      <c r="E100" s="6" t="n">
        <v>-8.1</v>
      </c>
      <c r="F100" s="6" t="n"/>
      <c r="G100" s="6" t="n">
        <v>-8.1</v>
      </c>
    </row>
    <row r="101">
      <c r="A101" s="6" t="inlineStr">
        <is>
          <t>Actuarial gain/(loss) on defined benefit scheme</t>
        </is>
      </c>
      <c r="B101" s="6" t="n"/>
      <c r="C101" s="6" t="n">
        <v>-7.3</v>
      </c>
      <c r="D101" s="6" t="n"/>
      <c r="E101" s="6" t="n"/>
      <c r="F101" s="6" t="n"/>
      <c r="G101" s="6" t="n">
        <v>-7.3</v>
      </c>
    </row>
    <row r="102">
      <c r="A102" s="6" t="inlineStr">
        <is>
          <t>Effective portion of changes in fair value</t>
        </is>
      </c>
      <c r="B102" s="6" t="n"/>
      <c r="C102" s="6" t="n"/>
      <c r="D102" s="6" t="n"/>
      <c r="E102" s="6" t="n">
        <v>2.9</v>
      </c>
      <c r="F102" s="6" t="n">
        <v>-0.1</v>
      </c>
      <c r="G102" s="6" t="n">
        <v>2.8</v>
      </c>
    </row>
    <row r="103">
      <c r="A103" s="5" t="inlineStr">
        <is>
          <t>Total comprehensive income for the year</t>
        </is>
      </c>
      <c r="B103" s="5" t="n"/>
      <c r="C103" s="5" t="n">
        <v>315.6</v>
      </c>
      <c r="D103" s="5" t="n"/>
      <c r="E103" s="5" t="n">
        <v>-5.2</v>
      </c>
      <c r="F103" s="5" t="n">
        <v>-0.1</v>
      </c>
      <c r="G103" s="5" t="n">
        <v>310.3</v>
      </c>
    </row>
    <row r="104">
      <c r="A104" s="6" t="inlineStr">
        <is>
          <t>Effect of GBP/USD translation (£ conversion artefact - see FX note)</t>
        </is>
      </c>
      <c r="B104" s="6" t="n"/>
      <c r="C104" s="6" t="n"/>
      <c r="D104" s="6" t="n"/>
      <c r="E104" s="6" t="n"/>
      <c r="F104" s="6" t="n"/>
      <c r="G104" s="6" t="n">
        <v>-90.3</v>
      </c>
    </row>
    <row r="105">
      <c r="A105" s="5" t="inlineStr">
        <is>
          <t>Balance at 31 March 2024</t>
        </is>
      </c>
      <c r="B105" s="5" t="n">
        <v>2533.3</v>
      </c>
      <c r="C105" s="5" t="n">
        <v>1801.7</v>
      </c>
      <c r="D105" s="5" t="n">
        <v>79.2</v>
      </c>
      <c r="E105" s="5" t="n">
        <v>2.8</v>
      </c>
      <c r="F105" s="5" t="n">
        <v>0.2</v>
      </c>
      <c r="G105" s="5" t="n">
        <v>4417.2</v>
      </c>
    </row>
    <row r="106">
      <c r="A106" s="6" t="inlineStr">
        <is>
          <t>Net profit for the period</t>
        </is>
      </c>
      <c r="B106" s="6" t="n"/>
      <c r="C106" s="6" t="n">
        <v>273.7</v>
      </c>
      <c r="D106" s="6" t="n"/>
      <c r="E106" s="6" t="n"/>
      <c r="F106" s="6" t="n"/>
      <c r="G106" s="6" t="n">
        <v>273.7</v>
      </c>
    </row>
    <row r="107">
      <c r="A107" s="6" t="inlineStr">
        <is>
          <t>Net gains/(losses) transferred to net profit</t>
        </is>
      </c>
      <c r="B107" s="6" t="n"/>
      <c r="C107" s="6" t="n"/>
      <c r="D107" s="6" t="n"/>
      <c r="E107" s="6" t="n">
        <v>-2.8</v>
      </c>
      <c r="F107" s="6" t="n"/>
      <c r="G107" s="6" t="n">
        <v>-2.8</v>
      </c>
    </row>
    <row r="108">
      <c r="A108" s="6" t="inlineStr">
        <is>
          <t>Actuarial gain/(loss) on defined benefit scheme</t>
        </is>
      </c>
      <c r="B108" s="6" t="n"/>
      <c r="C108" s="6" t="n">
        <v>0.5</v>
      </c>
      <c r="D108" s="6" t="n"/>
      <c r="E108" s="6" t="n"/>
      <c r="F108" s="6" t="n"/>
      <c r="G108" s="6" t="n">
        <v>0.5</v>
      </c>
    </row>
    <row r="109">
      <c r="A109" s="6" t="inlineStr">
        <is>
          <t>Effective portion of changes in fair value</t>
        </is>
      </c>
      <c r="B109" s="6" t="n"/>
      <c r="C109" s="6" t="n"/>
      <c r="D109" s="6" t="n"/>
      <c r="E109" s="6" t="n">
        <v>-0.1</v>
      </c>
      <c r="F109" s="6" t="n"/>
      <c r="G109" s="6" t="n">
        <v>-0.1</v>
      </c>
    </row>
    <row r="110">
      <c r="A110" s="5" t="inlineStr">
        <is>
          <t>Total comprehensive income for the year</t>
        </is>
      </c>
      <c r="B110" s="5" t="n"/>
      <c r="C110" s="5" t="n">
        <v>274.2</v>
      </c>
      <c r="D110" s="5" t="n"/>
      <c r="E110" s="5" t="n">
        <v>-2.9</v>
      </c>
      <c r="F110" s="5" t="n">
        <v>0</v>
      </c>
      <c r="G110" s="5" t="n">
        <v>271.3</v>
      </c>
    </row>
    <row r="111">
      <c r="A111" s="6" t="inlineStr">
        <is>
          <t>Effect of GBP/USD translation (£ conversion artefact - see FX note)</t>
        </is>
      </c>
      <c r="B111" s="6" t="n"/>
      <c r="C111" s="6" t="n"/>
      <c r="D111" s="6" t="n"/>
      <c r="E111" s="6" t="n"/>
      <c r="F111" s="6" t="n"/>
      <c r="G111" s="6" t="n">
        <v>-98</v>
      </c>
    </row>
    <row r="112">
      <c r="A112" s="5" t="inlineStr">
        <is>
          <t>Balance at 31 March 2025</t>
        </is>
      </c>
      <c r="B112" s="5" t="n">
        <v>2478.8</v>
      </c>
      <c r="C112" s="5" t="n">
        <v>2034.2</v>
      </c>
      <c r="D112" s="5" t="n">
        <v>77.5</v>
      </c>
      <c r="E112" s="5" t="n">
        <v>-0.1</v>
      </c>
      <c r="F112" s="5" t="n">
        <v>0.2</v>
      </c>
      <c r="G112" s="5" t="n">
        <v>4590.5</v>
      </c>
    </row>
    <row r="113">
      <c r="A113" s="6" t="inlineStr">
        <is>
          <t>Net profit for the year</t>
        </is>
      </c>
      <c r="B113" s="6" t="n"/>
      <c r="C113" s="6" t="n">
        <v>329.4</v>
      </c>
      <c r="D113" s="6" t="n"/>
      <c r="E113" s="6" t="n"/>
      <c r="F113" s="6" t="n"/>
      <c r="G113" s="6" t="n">
        <v>329.4</v>
      </c>
    </row>
    <row r="114">
      <c r="A114" s="6" t="inlineStr">
        <is>
          <t>Net gains/(losses) transferred to net profit</t>
        </is>
      </c>
      <c r="B114" s="6" t="n"/>
      <c r="C114" s="6" t="n"/>
      <c r="D114" s="6" t="n"/>
      <c r="E114" s="6" t="n">
        <v>0.1</v>
      </c>
      <c r="F114" s="6" t="n"/>
      <c r="G114" s="6" t="n">
        <v>0.1</v>
      </c>
    </row>
    <row r="115">
      <c r="A115" s="6" t="inlineStr">
        <is>
          <t>Actuarial gain/(loss) on defined benefit scheme</t>
        </is>
      </c>
      <c r="B115" s="6" t="n"/>
      <c r="C115" s="6" t="n">
        <v>1</v>
      </c>
      <c r="D115" s="6" t="n"/>
      <c r="E115" s="6" t="n"/>
      <c r="F115" s="6" t="n"/>
      <c r="G115" s="6" t="n">
        <v>1</v>
      </c>
    </row>
    <row r="116">
      <c r="A116" s="6" t="inlineStr">
        <is>
          <t>Change in fair value of assets classified as FVOCI</t>
        </is>
      </c>
      <c r="B116" s="6" t="n"/>
      <c r="C116" s="6" t="n"/>
      <c r="D116" s="6" t="n"/>
      <c r="E116" s="6" t="n"/>
      <c r="F116" s="6" t="n">
        <v>-13</v>
      </c>
      <c r="G116" s="6" t="n">
        <v>-13</v>
      </c>
    </row>
    <row r="117">
      <c r="A117" s="6" t="inlineStr">
        <is>
          <t>Effective portion of changes in fair value</t>
        </is>
      </c>
      <c r="B117" s="6" t="n"/>
      <c r="C117" s="6" t="n"/>
      <c r="D117" s="6" t="n"/>
      <c r="E117" s="6" t="n">
        <v>-1.9</v>
      </c>
      <c r="F117" s="6" t="n"/>
      <c r="G117" s="6" t="n">
        <v>-1.9</v>
      </c>
    </row>
    <row r="118">
      <c r="A118" s="5" t="inlineStr">
        <is>
          <t>Total comprehensive income for the year</t>
        </is>
      </c>
      <c r="B118" s="5" t="n"/>
      <c r="C118" s="5" t="n">
        <v>330.4</v>
      </c>
      <c r="D118" s="5" t="n"/>
      <c r="E118" s="5" t="n">
        <v>-1.8</v>
      </c>
      <c r="F118" s="5" t="n">
        <v>-13</v>
      </c>
      <c r="G118" s="5" t="n">
        <v>315.6</v>
      </c>
    </row>
    <row r="119">
      <c r="A119" s="6" t="inlineStr">
        <is>
          <t>Effect of GBP/USD translation (£ conversion artefact - see FX note)</t>
        </is>
      </c>
      <c r="B119" s="6" t="n"/>
      <c r="C119" s="6" t="n"/>
      <c r="D119" s="6" t="n"/>
      <c r="E119" s="6" t="n"/>
      <c r="F119" s="6" t="n"/>
      <c r="G119" s="6" t="n">
        <v>-91.3</v>
      </c>
    </row>
    <row r="120">
      <c r="A120" s="5" t="inlineStr">
        <is>
          <t>Balance at 31 March 2026</t>
        </is>
      </c>
      <c r="B120" s="5" t="n">
        <v>2426.5</v>
      </c>
      <c r="C120" s="5" t="n">
        <v>2327.4</v>
      </c>
      <c r="D120" s="5" t="n">
        <v>75.8</v>
      </c>
      <c r="E120" s="5" t="n">
        <v>-2</v>
      </c>
      <c r="F120" s="5" t="n">
        <v>-13</v>
      </c>
      <c r="G120" s="5" t="n">
        <v>4814.8</v>
      </c>
    </row>
    <row r="122" ht="340" customHeight="1">
      <c r="A122" s="8" t="inlineStr">
        <is>
          <t>Sources - SMBC Bank International plc's own Statement of changes in equity, converted from USD to £m (see FX conversion note below):
1 April 2012 opening &amp; FY2013 movements (HD-072): Sumitomo Mitsui Banking Corporation Europe Limited (SMBC BI's former name) Annual report &amp; financial statements, year ended 31 March 2013, p.15 - https://find-and-update.company-information.service.gov.uk/company/04684034/filing-history/MzA4MDk2MzYzM2FkaXF6a2N4/document?format=pdf&amp;download=0
FY2026: SMBC BI Annual report and financial statements, year ended 31 March 2026 (Companies House filing, scanned/image-only - read by OCR at 250 dpi), p.65 (Statement of changes in equity) - https://find-and-update.company-information.service.gov.uk/company/04684034/filing-history/MzUzMjU4ODMxMmFkaXF6a2N4/document?format=pdf&amp;download=0. Added 2026-09-15. The FY2026 block's own 1 April 2025 opening row (USD 3,200.1m / 2,626.2m / 100.0m / (0.1)m / 0.2m / 5,926.4m) ties exactly to the 31 March 2025 closing row already in this sheet, and each closing component reconciles: retained earnings 2,626.2 + 441.8 profit + 1.4 actuarial = 3,069.4; hedge reserve (0.1) + 0.1 - 2.6 = (2.6); FVOCI reserve 0.2 - 17.4 = (17.2).
FY2014 movements: as above, year ended 31 March 2014, p.15 - https://find-and-update.company-information.service.gov.uk/company/04684034/filing-history/MzEwMzk5NTEyM2FkaXF6a2N4/document?format=pdf&amp;download=0
FY2015 movements: as above, year ended 31 March 2015, p.16 - https://find-and-update.company-information.service.gov.uk/company/04684034/filing-history/MzEyNjg1NTk3OWFkaXF6a2N4/document?format=pdf&amp;download=0
FY2016 movements: as above, year ended 31 March 2016, p.16 - https://find-and-update.company-information.service.gov.uk/company/04684034/filing-history/MzE1MzEzNzE2MWFkaXF6a2N4/document?format=pdf&amp;download=0
FY2017 movements: as above, year ended 31 March 2017, p.17 - https://find-and-update.company-information.service.gov.uk/company/04684034/filing-history/MzE4MjA0OTM3OWFkaXF6a2N4/document?format=pdf&amp;download=0
FY2018 movements: as above, year ended 31 March 2018, p.24 - https://find-and-update.company-information.service.gov.uk/company/04684034/filing-history/MzIxMDI4NjgxOWFkaXF6a2N4/document?format=pdf&amp;download=0
FY2019 movements (incl. 1 April 2018 IFRS 9 transition effect): as above, year ended 31 March 2019, p.26 - https://find-and-update.company-information.service.gov.uk/company/04684034/filing-history/MzIzOTk1Nzc1NWFkaXF6a2N4/document?format=pdf&amp;download=0
FY2020 movements: as above, year ended 31 March 2020, p.47 - https://find-and-update.company-information.service.gov.uk/company/04684034/filing-history/MzI3MzY1NDE4NmFkaXF6a2N4/document?format=pdf&amp;download=0
1 April 2020 opening &amp; FY2021 movements: SMBC BI Annual report &amp; financial statements, year ended 31 March 2021, p.74 - https://web.archive.org/web/20240612221125id_/https://www.smbcgroup.com/emea/images/SMBC/media/SMBC/pdf/disclosures/smbcbi-annual-report-2021.pdf
FY2022 movements: SMBC BI Annual report and financial statements, year ended 31 March 2022, p.86 - https://www.smbcgroup.com/emea/getmedia/efb562ee-627d-41c9-823a-b157f879892f/Annual-Report-and-Financial-Statements-2022-(SMBC-BI).pdf
FY2023 movements: SMBC BI Annual report and financial statements, year ended 31 March 2023, p.89 - https://www.smbcgroup.com/emea/getmedia/1784eaa0-0924-4cd7-a4e4-1613b6cb015f/Annual-Report-and-Financial-Statements-2023-(SMBC-BI).pdf
FY2024 movements: SMBC BI Annual report and financial statements, year ended 31 March 2024, p.84 - https://www.smbcgroup.com/emea/getmedia/1c52fee7-2c0d-4378-b571-bd45d5f6ea9f/PDF-Annual-report-(SMBC-BI).pdf
FY2025 movements: SMBC BI Annual report and financial statements, year ended 31 March 2025, p.72 - https://www.smbcgroup.com/emea/getmedia/28eec268-62ab-4d64-b597-02b7f918c767/smbcbi-annual-report-2025.pdf</t>
        </is>
      </c>
    </row>
    <row r="124" ht="340" customHeight="1">
      <c r="A124" s="8" t="inlineStr">
        <is>
          <t>(continued)
Each year's own report was used for its own movements column; every year's own closing balance was cross-checked against its appearance as the opening balance in the following year's report and matched exactly in USD (FY2013's own 'At 1 April 2012' opening and 'At 31 March 2013' closing were specifically cross-checked against AR2014's own comparative equity statement and matched exactly). GENUINE FX ARTEFACT, NOT A PLUG ROW: because Share capital/Capital redemption are static USD amounts and opening/closing balances are converted at each year's own period-end spot rate while movements are converted at that year's average rate (see FX note), a large 'Effect of GBP/USD translation' bridging line is needed on the Total column every year purely from GBP/USD rate movement - this has no bearing on the Bank's underlying USD equity position, which reconciles exactly without any such line. Individual component columns (Share capital/Retained earnings/Capital redemption/Hedge reserve/Fair value reserve) are shown directly spot/average-converted without a matching per-column translation line, so only the Total column is guaranteed to tie exactly row-to-row; components will not sum to Total's own movements exactly for this reason. 'Issue of new shares' occurs in FY2013 (USD 800.0m), FY2014 (USD 800.0m, a further injection on top of FY2013's) and FY2021 (USD 0.1m) - the three genuine (non-FX) capital transactions across all 13 years. This single 'Fair value reserve' column merges what FY2014-2018's own reports called the 'Available-for-sale reserve' and what FY2019 onward calls the 'Fair value reserve'/'FVOCI reserve' (renamed following IFRS 9 adoption on 1 April 2018 - see the Profit &amp; Loss sheet's source note) - the same underlying reserve bucket throughout. The IFRS 9 transition on 1 April 2018 also reclassified USD 2.5m from what was then a separate 'AFS Reserve' sub-column into the 'Fair Value Reserve' sub-column within FY2019's own six-column presentation; because both map to this sheet's single merged 'Fair value reserve' column, that specific reclassification nets to nil here and only the genuine USD 15.6m retained-earnings transition effect is shown.
ENTITY NOTE: SMBC Bank International plc (SMBC BI), FRN 223304, is a wholesale bank headquartered in London and a wholly-owned subsidiary of Sumitomo Mitsui Banking Corporation (SMBC), itself part of Sumitomo Mitsui Financial Group (Japan). It was incorporated on 3 March 2003 as Sumitomo Mitsui Banking Corporation Europe Limited and renamed/re-registered as a public limited company on 30 September 2020 (per Companies House's own filing history for company 04684034: 'Certificate of change of name and re-registration from Private to Public Limited Company', 30 Sep 2020) - every FY2014-FY2020 Annual Report used in this workbook is therefore filed under the entity's former name. On 7 October 2024, SMBC BI completed a project transferring the securities business of SMBC Nikko Capital Markets Limited (a portfolio of debt securities and other fixed income assets) to itself, and opened a branch in the Abu Dhabi Global Market - this accounts for new FY2025 cash flow line items (trading portfolio assets/liabilities, repurchase agreements) not present in earlier years, and for part of the FY2025 RWA increase. Figures are on SMBC Bank International plc's own (entity-level) basis throughout, both for cash flow and Pillar 3.</t>
        </is>
      </c>
    </row>
    <row r="126" ht="340" customHeight="1">
      <c r="A126" s="8" t="inlineStr">
        <is>
          <t>(continued)
FX CONVERSION NOTE: SMBC Bank International plc reports in US Dollars (its functional currency, per its own Annual Report). This workbook converts every $ amount to £ at the user's request - conversion was necessary because every other workbook in this series is £-denominated and SMBC BI does not itself publish £ figures. Methodology: point-in-time/balance figures (capital, RWA, leverage exposure, HQLA, cash balances) use the Bank of England GBP/USD SPOT rate as at that fiscal year-end (31 March); flow figures (every cash flow statement line item) use the AVERAGE of the 12 month-end spot rates over that fiscal year (1 April-31 March), since a true daily average was not practically obtainable - both from Bank of England daily reference rates via poundsterlinglive.com's published archive. Rates used (£1 = $X): 31 Mar 2012 spot 1.5981 (FY2013 opening equity balance only); FY2013 spot 1.5181 / average 1.5795; FY2014 spot 1.6673 / average 1.5964; FY2015 spot 1.4847 / average 1.6087; FY2016 spot 1.4378 / average 1.5023; FY2017 spot 1.2507 / average 1.3046;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FY2026's two rates (added 2026-09-15) come directly from the Bank of England's own Interactive Statistical Database series XUDLUSS (spot US$ into sterling), rather than from poundsterlinglive.com's republication of the same Bank of England rates used for FY2013-FY2025 - the primary source in place of a secondary one. The methodology is unchanged and was validated against it: re-deriving FY2025 from XUDLUSS on the same basis reproduces its period-end spot of 1.2910 exactly and gives an average of 1.2776 against the 1.2775 recorded for FY2025 above, a 0.0001 difference with no material effect on any converted figure. All % ratios (CET1/Tier 1/Total Capital/Leverage/LCR/NSFR ratios) are shown EXACTLY as reported in USD and were NOT converted - a ratio is dimensionless and currency-invariant since both its numerator and denominator would move by the same factor. Because stocks and flows are converted at different rates (standard practice for translating foreign-currency financial statements), the cash flow statement includes an explicit 'Effect of GBP/USD translation' reconciling line so opening + all flows + this line = closing exactly in £ terms - this line is purely an artefact of £ translation and has no bearing on the Bank's underlying USD results.</t>
        </is>
      </c>
    </row>
  </sheetData>
  <mergeCells count="3">
    <mergeCell ref="A126:G126"/>
    <mergeCell ref="A124:G124"/>
    <mergeCell ref="A122:G1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SMBC Bank International plc — Consolidated Cash Flow Statement</t>
        </is>
      </c>
    </row>
    <row r="2">
      <c r="A2" s="2" t="inlineStr">
        <is>
          <t>£m, converted from USD - see source note at bottom for FX methodology and rates used.</t>
        </is>
      </c>
    </row>
    <row r="3">
      <c r="A3" s="4" t="inlineStr">
        <is>
          <t>Line item</t>
        </is>
      </c>
      <c r="B3" s="4" t="inlineStr">
        <is>
          <t>FY2026 (£m, conv. from USD)</t>
        </is>
      </c>
      <c r="C3" s="4" t="inlineStr">
        <is>
          <t>FY2025 (£m, conv. from USD)</t>
        </is>
      </c>
      <c r="D3" s="4" t="inlineStr">
        <is>
          <t>FY2024 (£m, conv. from USD)</t>
        </is>
      </c>
      <c r="E3" s="4" t="inlineStr">
        <is>
          <t>FY2023 (£m, conv. from USD)</t>
        </is>
      </c>
      <c r="F3" s="4" t="inlineStr">
        <is>
          <t>FY2022 (£m, conv. from USD)</t>
        </is>
      </c>
      <c r="G3" s="4" t="inlineStr">
        <is>
          <t>FY2021 (£m, conv. from USD)</t>
        </is>
      </c>
      <c r="H3" s="4" t="inlineStr">
        <is>
          <t>FY2020 (£m, conv. from USD)</t>
        </is>
      </c>
      <c r="I3" s="4" t="inlineStr">
        <is>
          <t>FY2019 (£m, conv. from USD)</t>
        </is>
      </c>
      <c r="J3" s="4" t="inlineStr">
        <is>
          <t>FY2018 (£m, conv. from USD)</t>
        </is>
      </c>
      <c r="K3" s="4" t="inlineStr">
        <is>
          <t>FY2017 (£m, conv. from USD)</t>
        </is>
      </c>
      <c r="L3" s="4" t="inlineStr">
        <is>
          <t>FY2016 (£m, conv. from USD)</t>
        </is>
      </c>
      <c r="M3" s="4" t="inlineStr">
        <is>
          <t>FY2015 (£m, conv. from USD)</t>
        </is>
      </c>
      <c r="N3" s="4" t="inlineStr">
        <is>
          <t>FY2014 (£m, conv. from USD)</t>
        </is>
      </c>
      <c r="O3" s="4" t="inlineStr">
        <is>
          <t>FY2013 (£m, conv. from USD)</t>
        </is>
      </c>
    </row>
    <row r="4">
      <c r="A4" s="5" t="inlineStr">
        <is>
          <t>Reconciliation of profit before tax to net cash flows from operating activities</t>
        </is>
      </c>
      <c r="B4" s="6" t="n"/>
      <c r="C4" s="6" t="n"/>
      <c r="D4" s="6" t="n"/>
      <c r="E4" s="6" t="n"/>
      <c r="F4" s="6" t="n"/>
      <c r="G4" s="6" t="n"/>
      <c r="H4" s="6" t="n"/>
      <c r="I4" s="6" t="n"/>
      <c r="J4" s="6" t="n"/>
      <c r="K4" s="6" t="n"/>
      <c r="L4" s="6" t="n"/>
      <c r="M4" s="6" t="n"/>
      <c r="N4" s="6" t="n"/>
      <c r="O4" s="6" t="n"/>
    </row>
    <row r="5">
      <c r="A5" s="6" t="inlineStr">
        <is>
          <t>Profit for the year before tax</t>
        </is>
      </c>
      <c r="B5" s="6" t="n">
        <v>463.1</v>
      </c>
      <c r="C5" s="6" t="n">
        <v>378.6</v>
      </c>
      <c r="D5" s="6" t="n">
        <v>425.7</v>
      </c>
      <c r="E5" s="6" t="n">
        <v>282.6</v>
      </c>
      <c r="F5" s="6" t="n">
        <v>132.8</v>
      </c>
      <c r="G5" s="6" t="n">
        <v>252.5</v>
      </c>
      <c r="H5" s="6" t="n">
        <v>172.7</v>
      </c>
      <c r="I5" s="6" t="n">
        <v>296.4</v>
      </c>
      <c r="J5" s="6" t="n">
        <v>222</v>
      </c>
      <c r="K5" s="6" t="n">
        <v>176.8</v>
      </c>
      <c r="L5" s="6" t="n">
        <v>93.3</v>
      </c>
      <c r="M5" s="6" t="n">
        <v>94.7</v>
      </c>
      <c r="N5" s="6" t="n">
        <v>90.2</v>
      </c>
      <c r="O5" s="6" t="n">
        <v>77.7</v>
      </c>
    </row>
    <row r="6">
      <c r="A6" s="6" t="inlineStr">
        <is>
          <t>Net impairment loss on financial assets</t>
        </is>
      </c>
      <c r="B6" s="6" t="n">
        <v>15.4</v>
      </c>
      <c r="C6" s="6" t="n">
        <v>22.2</v>
      </c>
      <c r="D6" s="6" t="n">
        <v>21.6</v>
      </c>
      <c r="E6" s="6" t="n">
        <v>39.6</v>
      </c>
      <c r="F6" s="6" t="n">
        <v>70.40000000000001</v>
      </c>
      <c r="G6" s="6" t="n">
        <v>6.5</v>
      </c>
      <c r="H6" s="6" t="n">
        <v>157.6</v>
      </c>
      <c r="I6" s="6" t="n">
        <v>10</v>
      </c>
      <c r="J6" s="6" t="n">
        <v>27.6</v>
      </c>
      <c r="K6" s="6" t="n">
        <v>27.3</v>
      </c>
      <c r="L6" s="6" t="n">
        <v>48.3</v>
      </c>
      <c r="M6" s="6" t="n">
        <v>22.4</v>
      </c>
      <c r="N6" s="6" t="n">
        <v>7.4</v>
      </c>
      <c r="O6" s="6" t="n">
        <v>18.5</v>
      </c>
    </row>
    <row r="7">
      <c r="A7" s="6" t="inlineStr">
        <is>
          <t>Net losses from disposal of financial assets at amortised cost</t>
        </is>
      </c>
      <c r="B7" s="6" t="n">
        <v>-32.1</v>
      </c>
      <c r="C7" s="6" t="n">
        <v>65.5</v>
      </c>
      <c r="D7" s="6" t="n"/>
      <c r="E7" s="6" t="n"/>
      <c r="F7" s="6" t="n"/>
      <c r="G7" s="6" t="n"/>
      <c r="H7" s="6" t="n"/>
      <c r="I7" s="6" t="n"/>
      <c r="J7" s="6" t="n"/>
      <c r="K7" s="6" t="n"/>
      <c r="L7" s="6" t="n"/>
      <c r="M7" s="6" t="n"/>
      <c r="N7" s="6" t="n"/>
      <c r="O7" s="6" t="n"/>
    </row>
    <row r="8">
      <c r="A8" s="6" t="inlineStr">
        <is>
          <t>Unrealised exchange movements on non operating assets and liabilities</t>
        </is>
      </c>
      <c r="B8" s="6" t="n">
        <v>-850.2</v>
      </c>
      <c r="C8" s="6" t="n">
        <v>-187.2</v>
      </c>
      <c r="D8" s="6" t="n">
        <v>-128.2</v>
      </c>
      <c r="E8" s="6" t="n">
        <v>-893.5</v>
      </c>
      <c r="F8" s="6" t="n">
        <v>-823.7</v>
      </c>
      <c r="G8" s="6" t="n">
        <v>1287.7</v>
      </c>
      <c r="H8" s="6" t="n">
        <v>3.5</v>
      </c>
      <c r="I8" s="6" t="n">
        <v>-49</v>
      </c>
      <c r="J8" s="6" t="n">
        <v>-14.3</v>
      </c>
      <c r="K8" s="6" t="n">
        <v>22.3</v>
      </c>
      <c r="L8" s="6" t="n">
        <v>-14.9</v>
      </c>
      <c r="M8" s="6" t="n">
        <v>-4.6</v>
      </c>
      <c r="N8" s="6" t="n">
        <v>3.7</v>
      </c>
      <c r="O8" s="6" t="n">
        <v>-1.6</v>
      </c>
    </row>
    <row r="9">
      <c r="A9" s="6" t="inlineStr">
        <is>
          <t>Impairment loss written off (FY2013-FY2016 only)</t>
        </is>
      </c>
      <c r="B9" s="6" t="n"/>
      <c r="C9" s="6" t="n"/>
      <c r="D9" s="6" t="n"/>
      <c r="E9" s="6" t="n"/>
      <c r="F9" s="6" t="n"/>
      <c r="G9" s="6" t="n"/>
      <c r="H9" s="6" t="n"/>
      <c r="I9" s="6" t="n"/>
      <c r="J9" s="6" t="n"/>
      <c r="K9" s="6" t="n"/>
      <c r="L9" s="6" t="n">
        <v>-14.6</v>
      </c>
      <c r="M9" s="6" t="n">
        <v>-18.8</v>
      </c>
      <c r="N9" s="6" t="n">
        <v>-77</v>
      </c>
      <c r="O9" s="6" t="n">
        <v>-18</v>
      </c>
    </row>
    <row r="10">
      <c r="A10" s="6" t="inlineStr">
        <is>
          <t>Depreciation and amortisation</t>
        </is>
      </c>
      <c r="B10" s="6" t="n">
        <v>49.7</v>
      </c>
      <c r="C10" s="6" t="n">
        <v>48.6</v>
      </c>
      <c r="D10" s="6" t="n">
        <v>44.2</v>
      </c>
      <c r="E10" s="6" t="n">
        <v>43.1</v>
      </c>
      <c r="F10" s="6" t="n">
        <v>31.4</v>
      </c>
      <c r="G10" s="6" t="n">
        <v>30.9</v>
      </c>
      <c r="H10" s="6" t="n">
        <v>26.4</v>
      </c>
      <c r="I10" s="6" t="n">
        <v>15.2</v>
      </c>
      <c r="J10" s="6" t="n">
        <v>12.5</v>
      </c>
      <c r="K10" s="6" t="n">
        <v>12.3</v>
      </c>
      <c r="L10" s="6" t="n">
        <v>9</v>
      </c>
      <c r="M10" s="6" t="n">
        <v>7.5</v>
      </c>
      <c r="N10" s="6" t="n">
        <v>6.5</v>
      </c>
      <c r="O10" s="6" t="n">
        <v>6</v>
      </c>
    </row>
    <row r="11">
      <c r="A11" s="5" t="inlineStr">
        <is>
          <t>Changes in operating assets and liabilities</t>
        </is>
      </c>
      <c r="B11" s="6" t="n"/>
      <c r="C11" s="6" t="n"/>
      <c r="D11" s="6" t="n"/>
      <c r="E11" s="6" t="n"/>
      <c r="F11" s="6" t="n"/>
      <c r="G11" s="6" t="n"/>
      <c r="H11" s="6" t="n"/>
      <c r="I11" s="6" t="n"/>
      <c r="J11" s="6" t="n"/>
      <c r="K11" s="6" t="n"/>
      <c r="L11" s="6" t="n"/>
      <c r="M11" s="6" t="n"/>
      <c r="N11" s="6" t="n"/>
      <c r="O11" s="6" t="n"/>
    </row>
    <row r="12">
      <c r="A12" s="6" t="inlineStr">
        <is>
          <t>Changes in loans and advances to banks</t>
        </is>
      </c>
      <c r="B12" s="6" t="n">
        <v>-2804.1</v>
      </c>
      <c r="C12" s="6" t="n">
        <v>-27.4</v>
      </c>
      <c r="D12" s="6" t="n">
        <v>-219.7</v>
      </c>
      <c r="E12" s="6" t="n">
        <v>611.5</v>
      </c>
      <c r="F12" s="6" t="n">
        <v>-145.3</v>
      </c>
      <c r="G12" s="6" t="n">
        <v>6.7</v>
      </c>
      <c r="H12" s="6" t="n">
        <v>-701.2</v>
      </c>
      <c r="I12" s="6" t="n">
        <v>-327.1</v>
      </c>
      <c r="J12" s="6" t="n">
        <v>365.3</v>
      </c>
      <c r="K12" s="6" t="n">
        <v>-9.300000000000001</v>
      </c>
      <c r="L12" s="6" t="n">
        <v>-330.8</v>
      </c>
      <c r="M12" s="6" t="n">
        <v>198.5</v>
      </c>
      <c r="N12" s="6" t="n">
        <v>40.1</v>
      </c>
      <c r="O12" s="6" t="n">
        <v>610.3</v>
      </c>
    </row>
    <row r="13">
      <c r="A13" s="6" t="inlineStr">
        <is>
          <t>Changes in loans and advances to customers</t>
        </is>
      </c>
      <c r="B13" s="6" t="n">
        <v>3978.1</v>
      </c>
      <c r="C13" s="6" t="n">
        <v>-1011.7</v>
      </c>
      <c r="D13" s="6" t="n">
        <v>-255.5</v>
      </c>
      <c r="E13" s="6" t="n">
        <v>1872.9</v>
      </c>
      <c r="F13" s="6" t="n">
        <v>628.9</v>
      </c>
      <c r="G13" s="6" t="n">
        <v>1473.1</v>
      </c>
      <c r="H13" s="6" t="n">
        <v>-1104.7</v>
      </c>
      <c r="I13" s="6" t="n">
        <v>-786.5</v>
      </c>
      <c r="J13" s="6" t="n">
        <v>-4079.2</v>
      </c>
      <c r="K13" s="6" t="n">
        <v>433.5</v>
      </c>
      <c r="L13" s="6" t="n">
        <v>-2678.2</v>
      </c>
      <c r="M13" s="6" t="n">
        <v>-153</v>
      </c>
      <c r="N13" s="6" t="n">
        <v>-186.4</v>
      </c>
      <c r="O13" s="6" t="n">
        <v>-218.6</v>
      </c>
    </row>
    <row r="14">
      <c r="A14" s="6" t="inlineStr">
        <is>
          <t>Changes in reverse repurchase agreements</t>
        </is>
      </c>
      <c r="B14" s="6" t="n">
        <v>-12246.5</v>
      </c>
      <c r="C14" s="6" t="n">
        <v>-12034.2</v>
      </c>
      <c r="D14" s="6" t="n">
        <v>-352.5</v>
      </c>
      <c r="E14" s="6" t="n">
        <v>-57.3</v>
      </c>
      <c r="F14" s="6" t="n">
        <v>392.7</v>
      </c>
      <c r="G14" s="6" t="n">
        <v>-174.5</v>
      </c>
      <c r="H14" s="6" t="n">
        <v>228.8</v>
      </c>
      <c r="I14" s="6" t="n">
        <v>-350.9</v>
      </c>
      <c r="J14" s="6" t="n"/>
      <c r="K14" s="6" t="n"/>
      <c r="L14" s="6" t="n"/>
      <c r="M14" s="6" t="n"/>
      <c r="N14" s="6" t="n"/>
      <c r="O14" s="6" t="n"/>
    </row>
    <row r="15">
      <c r="A15" s="6" t="inlineStr">
        <is>
          <t>Changes in derivative financial instruments</t>
        </is>
      </c>
      <c r="B15" s="6" t="n">
        <v>-202.2</v>
      </c>
      <c r="C15" s="6" t="n">
        <v>280.2</v>
      </c>
      <c r="D15" s="6" t="n">
        <v>-110.9</v>
      </c>
      <c r="E15" s="6" t="n">
        <v>-83.5</v>
      </c>
      <c r="F15" s="6" t="n">
        <v>-59.4</v>
      </c>
      <c r="G15" s="6" t="n">
        <v>93.59999999999999</v>
      </c>
      <c r="H15" s="6" t="n">
        <v>-19.8</v>
      </c>
      <c r="I15" s="6" t="n">
        <v>-135.9</v>
      </c>
      <c r="J15" s="6" t="n">
        <v>81.90000000000001</v>
      </c>
      <c r="K15" s="6" t="n">
        <v>20.6</v>
      </c>
      <c r="L15" s="6" t="n">
        <v>41.1</v>
      </c>
      <c r="M15" s="6" t="n">
        <v>-79.8</v>
      </c>
      <c r="N15" s="6" t="n">
        <v>31.8</v>
      </c>
      <c r="O15" s="6" t="n">
        <v>-64.40000000000001</v>
      </c>
    </row>
    <row r="16">
      <c r="A16" s="6" t="inlineStr">
        <is>
          <t>Changes in other assets</t>
        </is>
      </c>
      <c r="B16" s="6" t="n">
        <v>-96.09999999999999</v>
      </c>
      <c r="C16" s="6" t="n">
        <v>-547</v>
      </c>
      <c r="D16" s="6" t="n">
        <v>129.2</v>
      </c>
      <c r="E16" s="6" t="n">
        <v>-177.7</v>
      </c>
      <c r="F16" s="6" t="n">
        <v>-147.4</v>
      </c>
      <c r="G16" s="6" t="n">
        <v>258.9</v>
      </c>
      <c r="H16" s="6" t="n">
        <v>-316.7</v>
      </c>
      <c r="I16" s="6" t="n">
        <v>205.5</v>
      </c>
      <c r="J16" s="6" t="n">
        <v>-34.1</v>
      </c>
      <c r="K16" s="6" t="n">
        <v>1.8</v>
      </c>
      <c r="L16" s="6" t="n">
        <v>42.4</v>
      </c>
      <c r="M16" s="6" t="n">
        <v>-51.7</v>
      </c>
      <c r="N16" s="6" t="n">
        <v>-26.6</v>
      </c>
      <c r="O16" s="6" t="n">
        <v>-29.1</v>
      </c>
    </row>
    <row r="17">
      <c r="A17" s="6" t="inlineStr">
        <is>
          <t>Changes in deposits by banks</t>
        </is>
      </c>
      <c r="B17" s="6" t="n">
        <v>-6146.1</v>
      </c>
      <c r="C17" s="6" t="n">
        <v>5972.7</v>
      </c>
      <c r="D17" s="6" t="n">
        <v>-3245.2</v>
      </c>
      <c r="E17" s="6" t="n">
        <v>-1152</v>
      </c>
      <c r="F17" s="6" t="n">
        <v>1873.1</v>
      </c>
      <c r="G17" s="6" t="n">
        <v>-1405.9</v>
      </c>
      <c r="H17" s="6" t="n">
        <v>1155.1</v>
      </c>
      <c r="I17" s="6" t="n">
        <v>-2078.3</v>
      </c>
      <c r="J17" s="6" t="n">
        <v>11121</v>
      </c>
      <c r="K17" s="6" t="n">
        <v>-8387.200000000001</v>
      </c>
      <c r="L17" s="6" t="n">
        <v>4722.3</v>
      </c>
      <c r="M17" s="6" t="n">
        <v>-139.9</v>
      </c>
      <c r="N17" s="6" t="n">
        <v>-1376.6</v>
      </c>
      <c r="O17" s="6" t="n">
        <v>5096.6</v>
      </c>
    </row>
    <row r="18">
      <c r="A18" s="6" t="inlineStr">
        <is>
          <t>Changes in customer accounts</t>
        </is>
      </c>
      <c r="B18" s="6" t="n">
        <v>4261.2</v>
      </c>
      <c r="C18" s="6" t="n">
        <v>-116.7</v>
      </c>
      <c r="D18" s="6" t="n">
        <v>919.8</v>
      </c>
      <c r="E18" s="6" t="n">
        <v>-901</v>
      </c>
      <c r="F18" s="6" t="n">
        <v>-1883.7</v>
      </c>
      <c r="G18" s="6" t="n">
        <v>-4039.8</v>
      </c>
      <c r="H18" s="6" t="n">
        <v>7438</v>
      </c>
      <c r="I18" s="6" t="n">
        <v>-3812.7</v>
      </c>
      <c r="J18" s="6" t="n">
        <v>4682.9</v>
      </c>
      <c r="K18" s="6" t="n">
        <v>6828.1</v>
      </c>
      <c r="L18" s="6" t="n">
        <v>240.7</v>
      </c>
      <c r="M18" s="6" t="n">
        <v>-110</v>
      </c>
      <c r="N18" s="6" t="n">
        <v>1696.9</v>
      </c>
      <c r="O18" s="6" t="n">
        <v>-137.3</v>
      </c>
    </row>
    <row r="19">
      <c r="A19" s="6" t="inlineStr">
        <is>
          <t>Changes in other liabilities</t>
        </is>
      </c>
      <c r="B19" s="6" t="n">
        <v>599.1</v>
      </c>
      <c r="C19" s="6" t="n">
        <v>113.8</v>
      </c>
      <c r="D19" s="6" t="n">
        <v>79</v>
      </c>
      <c r="E19" s="6" t="n">
        <v>204.2</v>
      </c>
      <c r="F19" s="6" t="n">
        <v>79</v>
      </c>
      <c r="G19" s="6" t="n">
        <v>-245.9</v>
      </c>
      <c r="H19" s="6" t="n">
        <v>472.8</v>
      </c>
      <c r="I19" s="6" t="n">
        <v>-683</v>
      </c>
      <c r="J19" s="6" t="n">
        <v>-24.9</v>
      </c>
      <c r="K19" s="6" t="n">
        <v>70.59999999999999</v>
      </c>
      <c r="L19" s="6" t="n">
        <v>9.300000000000001</v>
      </c>
      <c r="M19" s="6" t="n">
        <v>-10.3</v>
      </c>
      <c r="N19" s="6" t="n">
        <v>8.4</v>
      </c>
      <c r="O19" s="6" t="n">
        <v>-8.9</v>
      </c>
    </row>
    <row r="20">
      <c r="A20" s="6" t="inlineStr">
        <is>
          <t>Net decrease/(increase) in trading portfolio assets</t>
        </is>
      </c>
      <c r="B20" s="6" t="n">
        <v>-486.2</v>
      </c>
      <c r="C20" s="6" t="n">
        <v>-1172.4</v>
      </c>
      <c r="D20" s="6" t="n"/>
      <c r="E20" s="6" t="n"/>
      <c r="F20" s="6" t="n"/>
      <c r="G20" s="6" t="n"/>
      <c r="H20" s="6" t="n"/>
      <c r="I20" s="6" t="n"/>
      <c r="J20" s="6" t="n"/>
      <c r="K20" s="6" t="n"/>
      <c r="L20" s="6" t="n"/>
      <c r="M20" s="6" t="n"/>
      <c r="N20" s="6" t="n"/>
      <c r="O20" s="6" t="n"/>
    </row>
    <row r="21">
      <c r="A21" s="6" t="inlineStr">
        <is>
          <t>Net increase in trading portfolio liabilities</t>
        </is>
      </c>
      <c r="B21" s="6" t="n">
        <v>253.9</v>
      </c>
      <c r="C21" s="6" t="n">
        <v>230.4</v>
      </c>
      <c r="D21" s="6" t="n"/>
      <c r="E21" s="6" t="n"/>
      <c r="F21" s="6" t="n"/>
      <c r="G21" s="6" t="n"/>
      <c r="H21" s="6" t="n"/>
      <c r="I21" s="6" t="n"/>
      <c r="J21" s="6" t="n"/>
      <c r="K21" s="6" t="n"/>
      <c r="L21" s="6" t="n"/>
      <c r="M21" s="6" t="n"/>
      <c r="N21" s="6" t="n"/>
      <c r="O21" s="6" t="n"/>
    </row>
    <row r="22">
      <c r="A22" s="6" t="inlineStr">
        <is>
          <t>Net increase in repurchase agreements and other similar secured borrowing</t>
        </is>
      </c>
      <c r="B22" s="6" t="n">
        <v>6382.7</v>
      </c>
      <c r="C22" s="6" t="n">
        <v>9917.1</v>
      </c>
      <c r="D22" s="6" t="n"/>
      <c r="E22" s="6" t="n"/>
      <c r="F22" s="6" t="n"/>
      <c r="G22" s="6" t="n"/>
      <c r="H22" s="6" t="n"/>
      <c r="I22" s="6" t="n"/>
      <c r="J22" s="6" t="n"/>
      <c r="K22" s="6" t="n"/>
      <c r="L22" s="6" t="n"/>
      <c r="M22" s="6" t="n"/>
      <c r="N22" s="6" t="n"/>
      <c r="O22" s="6" t="n"/>
    </row>
    <row r="23">
      <c r="A23" s="6" t="inlineStr">
        <is>
          <t>Changes in income tax (FY2013-FY2016 only - see 'Taxes paid' for other years)</t>
        </is>
      </c>
      <c r="B23" s="6" t="n"/>
      <c r="C23" s="6" t="n"/>
      <c r="D23" s="6" t="n"/>
      <c r="E23" s="6" t="n"/>
      <c r="F23" s="6" t="n"/>
      <c r="G23" s="6" t="n"/>
      <c r="H23" s="6" t="n"/>
      <c r="I23" s="6" t="n"/>
      <c r="J23" s="6" t="n"/>
      <c r="K23" s="6" t="n"/>
      <c r="L23" s="6" t="n">
        <v>-1.2</v>
      </c>
      <c r="M23" s="6" t="n">
        <v>-11.4</v>
      </c>
      <c r="N23" s="6" t="n">
        <v>10.6</v>
      </c>
      <c r="O23" s="6" t="n">
        <v>-3.4</v>
      </c>
    </row>
    <row r="24">
      <c r="A24" s="6" t="inlineStr">
        <is>
          <t>Taxes paid</t>
        </is>
      </c>
      <c r="B24" s="6" t="n">
        <v>-94.8</v>
      </c>
      <c r="C24" s="6" t="n">
        <v>-102</v>
      </c>
      <c r="D24" s="6" t="n">
        <v>-97.59999999999999</v>
      </c>
      <c r="E24" s="6" t="n">
        <v>-76.09999999999999</v>
      </c>
      <c r="F24" s="6" t="n">
        <v>-67.59999999999999</v>
      </c>
      <c r="G24" s="6" t="n">
        <v>-38.3</v>
      </c>
      <c r="H24" s="6" t="n">
        <v>-118.2</v>
      </c>
      <c r="I24" s="6" t="n">
        <v>-70.40000000000001</v>
      </c>
      <c r="J24" s="6" t="n">
        <v>-52.1</v>
      </c>
      <c r="K24" s="6" t="n">
        <v>-41.7</v>
      </c>
      <c r="L24" s="6" t="n"/>
      <c r="M24" s="6" t="n"/>
      <c r="N24" s="6" t="n"/>
      <c r="O24" s="6" t="n"/>
    </row>
    <row r="25">
      <c r="A25" s="5" t="inlineStr">
        <is>
          <t>Net cash from/(used in) operating activities</t>
        </is>
      </c>
      <c r="B25" s="5" t="n">
        <v>-6955.1</v>
      </c>
      <c r="C25" s="5" t="n">
        <v>1830.5</v>
      </c>
      <c r="D25" s="5" t="n">
        <v>-2790.2</v>
      </c>
      <c r="E25" s="5" t="n">
        <v>-291.2</v>
      </c>
      <c r="F25" s="5" t="n">
        <v>81.09999999999999</v>
      </c>
      <c r="G25" s="5" t="n">
        <v>-2494.4</v>
      </c>
      <c r="H25" s="5" t="n">
        <v>7394.3</v>
      </c>
      <c r="I25" s="5" t="n">
        <v>-7766.9</v>
      </c>
      <c r="J25" s="5" t="n">
        <v>12308.6</v>
      </c>
      <c r="K25" s="5" t="n">
        <v>-844.8</v>
      </c>
      <c r="L25" s="5" t="n">
        <v>2166.8</v>
      </c>
      <c r="M25" s="5" t="n">
        <v>-256.2</v>
      </c>
      <c r="N25" s="5" t="n">
        <v>229</v>
      </c>
      <c r="O25" s="5" t="n">
        <v>5327.8</v>
      </c>
    </row>
    <row r="26">
      <c r="A26" s="5" t="inlineStr">
        <is>
          <t>Investing activities</t>
        </is>
      </c>
      <c r="B26" s="6" t="n"/>
      <c r="C26" s="6" t="n"/>
      <c r="D26" s="6" t="n"/>
      <c r="E26" s="6" t="n"/>
      <c r="F26" s="6" t="n"/>
      <c r="G26" s="6" t="n"/>
      <c r="H26" s="6" t="n"/>
      <c r="I26" s="6" t="n"/>
      <c r="J26" s="6" t="n"/>
      <c r="K26" s="6" t="n"/>
      <c r="L26" s="6" t="n"/>
      <c r="M26" s="6" t="n"/>
      <c r="N26" s="6" t="n"/>
      <c r="O26" s="6" t="n"/>
    </row>
    <row r="27">
      <c r="A27" s="6" t="inlineStr">
        <is>
          <t>Purchase of investment securities</t>
        </is>
      </c>
      <c r="B27" s="6" t="n">
        <v>-4932.4</v>
      </c>
      <c r="C27" s="6" t="n">
        <v>-2493.9</v>
      </c>
      <c r="D27" s="6" t="n">
        <v>-2265</v>
      </c>
      <c r="E27" s="6" t="n">
        <v>-851.3</v>
      </c>
      <c r="F27" s="6" t="n">
        <v>-1225.7</v>
      </c>
      <c r="G27" s="6" t="n">
        <v>-861.8</v>
      </c>
      <c r="H27" s="6" t="n">
        <v>-893.7</v>
      </c>
      <c r="I27" s="6" t="n">
        <v>-873.5</v>
      </c>
      <c r="J27" s="6" t="n">
        <v>-613.4</v>
      </c>
      <c r="K27" s="6" t="n">
        <v>-673</v>
      </c>
      <c r="L27" s="6" t="n">
        <v>-507.2</v>
      </c>
      <c r="M27" s="6" t="n">
        <v>-590.7</v>
      </c>
      <c r="N27" s="6" t="n">
        <v>-586.4</v>
      </c>
      <c r="O27" s="6" t="n">
        <v>-370.4</v>
      </c>
    </row>
    <row r="28">
      <c r="A28" s="6" t="inlineStr">
        <is>
          <t>Proceeds from sale or redemption of investment securities</t>
        </is>
      </c>
      <c r="B28" s="6" t="n">
        <v>2363.9</v>
      </c>
      <c r="C28" s="6" t="n">
        <v>2432.4</v>
      </c>
      <c r="D28" s="6" t="n">
        <v>2557.3</v>
      </c>
      <c r="E28" s="6" t="n">
        <v>824</v>
      </c>
      <c r="F28" s="6" t="n">
        <v>841.5</v>
      </c>
      <c r="G28" s="6" t="n">
        <v>961.9</v>
      </c>
      <c r="H28" s="6" t="n">
        <v>725.3</v>
      </c>
      <c r="I28" s="6" t="n">
        <v>1112.9</v>
      </c>
      <c r="J28" s="6" t="n">
        <v>404.9</v>
      </c>
      <c r="K28" s="6" t="n">
        <v>903.3</v>
      </c>
      <c r="L28" s="6" t="n">
        <v>572.5</v>
      </c>
      <c r="M28" s="6" t="n">
        <v>630.6</v>
      </c>
      <c r="N28" s="6" t="n">
        <v>266.5</v>
      </c>
      <c r="O28" s="6" t="n">
        <v>333.3</v>
      </c>
    </row>
    <row r="29">
      <c r="A29" s="6" t="inlineStr">
        <is>
          <t>Purchase of intangible assets</t>
        </is>
      </c>
      <c r="B29" s="6" t="n">
        <v>-54.4</v>
      </c>
      <c r="C29" s="6" t="n">
        <v>-51.4</v>
      </c>
      <c r="D29" s="6" t="n">
        <v>-27.4</v>
      </c>
      <c r="E29" s="6" t="n">
        <v>-20.3</v>
      </c>
      <c r="F29" s="6" t="n">
        <v>-15.4</v>
      </c>
      <c r="G29" s="6" t="n">
        <v>-15.8</v>
      </c>
      <c r="H29" s="6" t="n">
        <v>-17.6</v>
      </c>
      <c r="I29" s="6" t="n">
        <v>-9.5</v>
      </c>
      <c r="J29" s="6" t="n">
        <v>-11.9</v>
      </c>
      <c r="K29" s="6" t="n">
        <v>-7.4</v>
      </c>
      <c r="L29" s="6" t="n">
        <v>-6.9</v>
      </c>
      <c r="M29" s="6" t="n">
        <v>-2.7</v>
      </c>
      <c r="N29" s="6" t="n">
        <v>-3.1</v>
      </c>
      <c r="O29" s="6" t="n">
        <v>-1.3</v>
      </c>
    </row>
    <row r="30">
      <c r="A30" s="6" t="inlineStr">
        <is>
          <t>Proceeds from the sale of intangible assets</t>
        </is>
      </c>
      <c r="B30" s="6" t="n">
        <v>0.3</v>
      </c>
      <c r="C30" s="6" t="n"/>
      <c r="D30" s="6" t="n"/>
      <c r="E30" s="6" t="n"/>
      <c r="F30" s="6" t="n"/>
      <c r="G30" s="6" t="n">
        <v>0.2</v>
      </c>
      <c r="H30" s="6" t="n"/>
      <c r="I30" s="6" t="n"/>
      <c r="J30" s="6" t="n"/>
      <c r="K30" s="6" t="n"/>
      <c r="L30" s="6" t="n"/>
      <c r="M30" s="6" t="n"/>
      <c r="N30" s="6" t="n"/>
      <c r="O30" s="6" t="n"/>
    </row>
    <row r="31">
      <c r="A31" s="6" t="inlineStr">
        <is>
          <t>Purchase of property and equipment</t>
        </is>
      </c>
      <c r="B31" s="6" t="n">
        <v>-8.9</v>
      </c>
      <c r="C31" s="6" t="n">
        <v>-5.2</v>
      </c>
      <c r="D31" s="6" t="n">
        <v>-19.1</v>
      </c>
      <c r="E31" s="6" t="n">
        <v>-30.8</v>
      </c>
      <c r="F31" s="6" t="n">
        <v>-47.1</v>
      </c>
      <c r="G31" s="6" t="n">
        <v>-150.9</v>
      </c>
      <c r="H31" s="6" t="n">
        <v>-3.2</v>
      </c>
      <c r="I31" s="6" t="n">
        <v>-8.199999999999999</v>
      </c>
      <c r="J31" s="6" t="n">
        <v>-13.4</v>
      </c>
      <c r="K31" s="6" t="n">
        <v>-4.4</v>
      </c>
      <c r="L31" s="6" t="n">
        <v>-10.5</v>
      </c>
      <c r="M31" s="6" t="n">
        <v>-1.8</v>
      </c>
      <c r="N31" s="6" t="n">
        <v>-0.1</v>
      </c>
      <c r="O31" s="6" t="n">
        <v>-3</v>
      </c>
    </row>
    <row r="32">
      <c r="A32" s="6" t="inlineStr">
        <is>
          <t>Proceeds from sale of property and equipment</t>
        </is>
      </c>
      <c r="B32" s="6" t="n">
        <v>0.3</v>
      </c>
      <c r="C32" s="6" t="n">
        <v>0.4</v>
      </c>
      <c r="D32" s="6" t="n"/>
      <c r="E32" s="6" t="n"/>
      <c r="F32" s="6" t="n"/>
      <c r="G32" s="6" t="n">
        <v>11.4</v>
      </c>
      <c r="H32" s="6" t="n">
        <v>4.7</v>
      </c>
      <c r="I32" s="6" t="n">
        <v>5.5</v>
      </c>
      <c r="J32" s="6" t="n"/>
      <c r="K32" s="6" t="n"/>
      <c r="L32" s="6" t="n">
        <v>1.1</v>
      </c>
      <c r="M32" s="6" t="n"/>
      <c r="N32" s="6" t="n"/>
      <c r="O32" s="6" t="n"/>
    </row>
    <row r="33">
      <c r="A33" s="5" t="inlineStr">
        <is>
          <t>Net cash from/(used in) investing activities</t>
        </is>
      </c>
      <c r="B33" s="5" t="n">
        <v>-2631.3</v>
      </c>
      <c r="C33" s="5" t="n">
        <v>-117.7</v>
      </c>
      <c r="D33" s="5" t="n">
        <v>245.8</v>
      </c>
      <c r="E33" s="5" t="n">
        <v>-78.40000000000001</v>
      </c>
      <c r="F33" s="5" t="n">
        <v>-446.7</v>
      </c>
      <c r="G33" s="5" t="n">
        <v>-55</v>
      </c>
      <c r="H33" s="5" t="n">
        <v>-184.5</v>
      </c>
      <c r="I33" s="5" t="n">
        <v>227.1</v>
      </c>
      <c r="J33" s="5" t="n">
        <v>-233.8</v>
      </c>
      <c r="K33" s="5" t="n">
        <v>218.5</v>
      </c>
      <c r="L33" s="5" t="n">
        <v>48.9</v>
      </c>
      <c r="M33" s="5" t="n">
        <v>35.4</v>
      </c>
      <c r="N33" s="5" t="n">
        <v>-323.2</v>
      </c>
      <c r="O33" s="5" t="n">
        <v>-41.5</v>
      </c>
    </row>
    <row r="34">
      <c r="A34" s="5" t="inlineStr">
        <is>
          <t>Financing activities</t>
        </is>
      </c>
      <c r="B34" s="6" t="n"/>
      <c r="C34" s="6" t="n"/>
      <c r="D34" s="6" t="n"/>
      <c r="E34" s="6" t="n"/>
      <c r="F34" s="6" t="n"/>
      <c r="G34" s="6" t="n"/>
      <c r="H34" s="6" t="n"/>
      <c r="I34" s="6" t="n"/>
      <c r="J34" s="6" t="n"/>
      <c r="K34" s="6" t="n"/>
      <c r="L34" s="6" t="n"/>
      <c r="M34" s="6" t="n"/>
      <c r="N34" s="6" t="n"/>
      <c r="O34" s="6" t="n"/>
    </row>
    <row r="35">
      <c r="A35" s="6" t="inlineStr">
        <is>
          <t>Payment of lease liabilities</t>
        </is>
      </c>
      <c r="B35" s="6" t="n">
        <v>-13.3</v>
      </c>
      <c r="C35" s="6" t="n">
        <v>-13.5</v>
      </c>
      <c r="D35" s="6" t="n">
        <v>-6.6</v>
      </c>
      <c r="E35" s="6" t="n">
        <v>-4.4</v>
      </c>
      <c r="F35" s="6" t="n">
        <v>-13.9</v>
      </c>
      <c r="G35" s="6" t="n">
        <v>-14.4</v>
      </c>
      <c r="H35" s="6" t="n">
        <v>-8.300000000000001</v>
      </c>
      <c r="I35" s="6" t="n"/>
      <c r="J35" s="6" t="n"/>
      <c r="K35" s="6" t="n"/>
      <c r="L35" s="6" t="n"/>
      <c r="M35" s="6" t="n"/>
      <c r="N35" s="6" t="n"/>
      <c r="O35" s="6" t="n"/>
    </row>
    <row r="36">
      <c r="A36" s="6" t="inlineStr">
        <is>
          <t>Proceeds from issue of debt securities</t>
        </is>
      </c>
      <c r="B36" s="6" t="n">
        <v>74.09999999999999</v>
      </c>
      <c r="C36" s="6" t="n">
        <v>792.2</v>
      </c>
      <c r="D36" s="6" t="n">
        <v>716.9</v>
      </c>
      <c r="E36" s="6" t="n">
        <v>870.8</v>
      </c>
      <c r="F36" s="6" t="n">
        <v>716.8</v>
      </c>
      <c r="G36" s="6" t="n">
        <v>647</v>
      </c>
      <c r="H36" s="6" t="n"/>
      <c r="I36" s="6" t="n">
        <v>10</v>
      </c>
      <c r="J36" s="6" t="n">
        <v>3021.1</v>
      </c>
      <c r="K36" s="6" t="n">
        <v>2697.5</v>
      </c>
      <c r="L36" s="6" t="n">
        <v>2728.2</v>
      </c>
      <c r="M36" s="6" t="n">
        <v>1478.5</v>
      </c>
      <c r="N36" s="6" t="n">
        <v>1488.2</v>
      </c>
      <c r="O36" s="6" t="n">
        <v>1418.2</v>
      </c>
    </row>
    <row r="37">
      <c r="A37" s="6" t="inlineStr">
        <is>
          <t>Repayment of debt securities</t>
        </is>
      </c>
      <c r="B37" s="6" t="n">
        <v>-754.6</v>
      </c>
      <c r="C37" s="6" t="n">
        <v>-706</v>
      </c>
      <c r="D37" s="6" t="n">
        <v>-833.6</v>
      </c>
      <c r="E37" s="6" t="n">
        <v>-810.4</v>
      </c>
      <c r="F37" s="6" t="n">
        <v>-626.9</v>
      </c>
      <c r="G37" s="6" t="n">
        <v>0</v>
      </c>
      <c r="H37" s="6" t="n">
        <v>-10.3</v>
      </c>
      <c r="I37" s="6" t="n"/>
      <c r="J37" s="6" t="n">
        <v>-2785.7</v>
      </c>
      <c r="K37" s="6" t="n">
        <v>-2979.9</v>
      </c>
      <c r="L37" s="6" t="n">
        <v>-1583.2</v>
      </c>
      <c r="M37" s="6" t="n">
        <v>-1476.8</v>
      </c>
      <c r="N37" s="6" t="n">
        <v>-1403.2</v>
      </c>
      <c r="O37" s="6" t="n">
        <v>-2104.3</v>
      </c>
    </row>
    <row r="38">
      <c r="A38" s="6" t="inlineStr">
        <is>
          <t>Repayment and cancellation of subordinated debt (FY2014 only)</t>
        </is>
      </c>
      <c r="B38" s="6" t="n"/>
      <c r="C38" s="6" t="n"/>
      <c r="D38" s="6" t="n"/>
      <c r="E38" s="6" t="n"/>
      <c r="F38" s="6" t="n"/>
      <c r="G38" s="6" t="n"/>
      <c r="H38" s="6" t="n"/>
      <c r="I38" s="6" t="n"/>
      <c r="J38" s="6" t="n"/>
      <c r="K38" s="6" t="n"/>
      <c r="L38" s="6" t="n"/>
      <c r="M38" s="6" t="n"/>
      <c r="N38" s="6" t="n">
        <v>-501.1</v>
      </c>
      <c r="O38" s="6" t="n"/>
    </row>
    <row r="39">
      <c r="A39" s="6" t="inlineStr">
        <is>
          <t>Net issue of shares (FY2013-FY2014 only)</t>
        </is>
      </c>
      <c r="B39" s="6" t="n"/>
      <c r="C39" s="6" t="n"/>
      <c r="D39" s="6" t="n"/>
      <c r="E39" s="6" t="n"/>
      <c r="F39" s="6" t="n"/>
      <c r="G39" s="6" t="n"/>
      <c r="H39" s="6" t="n"/>
      <c r="I39" s="6" t="n"/>
      <c r="J39" s="6" t="n"/>
      <c r="K39" s="6" t="n"/>
      <c r="L39" s="6" t="n"/>
      <c r="M39" s="6" t="n"/>
      <c r="N39" s="6" t="n">
        <v>501.1</v>
      </c>
      <c r="O39" s="6" t="n">
        <v>506.5</v>
      </c>
    </row>
    <row r="40">
      <c r="A40" s="5" t="inlineStr">
        <is>
          <t>Net cash from/(used in) financing activities</t>
        </is>
      </c>
      <c r="B40" s="5" t="n">
        <v>-693.8</v>
      </c>
      <c r="C40" s="5" t="n">
        <v>72.7</v>
      </c>
      <c r="D40" s="5" t="n">
        <v>-123.3</v>
      </c>
      <c r="E40" s="5" t="n">
        <v>56</v>
      </c>
      <c r="F40" s="5" t="n">
        <v>76</v>
      </c>
      <c r="G40" s="5" t="n">
        <v>632.6</v>
      </c>
      <c r="H40" s="5" t="n">
        <v>-18.6</v>
      </c>
      <c r="I40" s="5" t="n">
        <v>-3077.5</v>
      </c>
      <c r="J40" s="5" t="n">
        <v>235.5</v>
      </c>
      <c r="K40" s="5" t="n">
        <v>-282.5</v>
      </c>
      <c r="L40" s="5" t="n">
        <v>1145</v>
      </c>
      <c r="M40" s="5" t="n">
        <v>1.7</v>
      </c>
      <c r="N40" s="5" t="n">
        <v>85</v>
      </c>
      <c r="O40" s="5" t="n">
        <v>-179.6</v>
      </c>
    </row>
    <row r="41">
      <c r="A41" s="5" t="inlineStr">
        <is>
          <t>Net increase/(decrease) in cash and cash equivalents</t>
        </is>
      </c>
      <c r="B41" s="5" t="n">
        <v>-10280.2</v>
      </c>
      <c r="C41" s="5" t="n">
        <v>1785.4</v>
      </c>
      <c r="D41" s="5" t="n">
        <v>-2667.7</v>
      </c>
      <c r="E41" s="5" t="n">
        <v>-313.6</v>
      </c>
      <c r="F41" s="5" t="n">
        <v>-289.6</v>
      </c>
      <c r="G41" s="5" t="n">
        <v>-1916.8</v>
      </c>
      <c r="H41" s="5" t="n">
        <v>7191.2</v>
      </c>
      <c r="I41" s="5" t="n">
        <v>-10617.4</v>
      </c>
      <c r="J41" s="5" t="n">
        <v>12310.2</v>
      </c>
      <c r="K41" s="5" t="n">
        <v>-908.7</v>
      </c>
      <c r="L41" s="5" t="n">
        <v>3360.7</v>
      </c>
      <c r="M41" s="5" t="n">
        <v>-219.1</v>
      </c>
      <c r="N41" s="5" t="n">
        <v>-9.199999999999999</v>
      </c>
      <c r="O41" s="5" t="n">
        <v>5106.7</v>
      </c>
    </row>
    <row r="42">
      <c r="A42" s="6" t="inlineStr">
        <is>
          <t>Exchange differences in respect of cash and cash equivalents (USD)</t>
        </is>
      </c>
      <c r="B42" s="6" t="n">
        <v>852.5</v>
      </c>
      <c r="C42" s="6" t="n">
        <v>167.7</v>
      </c>
      <c r="D42" s="6" t="n">
        <v>126.8</v>
      </c>
      <c r="E42" s="6" t="n">
        <v>847.7</v>
      </c>
      <c r="F42" s="6" t="n">
        <v>849.7</v>
      </c>
      <c r="G42" s="6" t="n">
        <v>-1383.2</v>
      </c>
      <c r="H42" s="6" t="n"/>
      <c r="I42" s="6" t="n"/>
      <c r="J42" s="6" t="n"/>
      <c r="K42" s="6" t="n"/>
      <c r="L42" s="6" t="n"/>
      <c r="M42" s="6" t="n"/>
      <c r="N42" s="6" t="n"/>
      <c r="O42" s="6" t="n"/>
    </row>
    <row r="43">
      <c r="A43" s="6" t="inlineStr">
        <is>
          <t>Effect of GBP/USD translation (£ conversion artefact - see FX note)</t>
        </is>
      </c>
      <c r="B43" s="6" t="n">
        <v>-572.5</v>
      </c>
      <c r="C43" s="6" t="n">
        <v>-408.9</v>
      </c>
      <c r="D43" s="6" t="n">
        <v>-435.9</v>
      </c>
      <c r="E43" s="6" t="n">
        <v>1229.4</v>
      </c>
      <c r="F43" s="6" t="n">
        <v>877.9</v>
      </c>
      <c r="G43" s="6" t="n">
        <v>-2212</v>
      </c>
      <c r="H43" s="6" t="n">
        <v>948</v>
      </c>
      <c r="I43" s="6" t="n">
        <v>1790.5</v>
      </c>
      <c r="J43" s="6" t="n">
        <v>-2364.7</v>
      </c>
      <c r="K43" s="6" t="n">
        <v>2239</v>
      </c>
      <c r="L43" s="6" t="n">
        <v>520.9</v>
      </c>
      <c r="M43" s="6" t="n">
        <v>1250.4</v>
      </c>
      <c r="N43" s="6" t="n">
        <v>-1014.3</v>
      </c>
      <c r="O43" s="6" t="n">
        <v>508.2</v>
      </c>
    </row>
    <row r="44">
      <c r="A44" s="6" t="inlineStr">
        <is>
          <t>Cash and cash equivalents at start of the year</t>
        </is>
      </c>
      <c r="B44" s="6" t="n">
        <v>19592.6</v>
      </c>
      <c r="C44" s="6" t="n">
        <v>18048.4</v>
      </c>
      <c r="D44" s="6" t="n">
        <v>21025.2</v>
      </c>
      <c r="E44" s="6" t="n">
        <v>19261.7</v>
      </c>
      <c r="F44" s="6" t="n">
        <v>17823.7</v>
      </c>
      <c r="G44" s="6" t="n">
        <v>23335.7</v>
      </c>
      <c r="H44" s="6" t="n">
        <v>15196.5</v>
      </c>
      <c r="I44" s="6" t="n">
        <v>24023.4</v>
      </c>
      <c r="J44" s="6" t="n">
        <v>16558.8</v>
      </c>
      <c r="K44" s="6" t="n">
        <v>15228.5</v>
      </c>
      <c r="L44" s="6" t="n">
        <v>11346.9</v>
      </c>
      <c r="M44" s="6" t="n">
        <v>10315.6</v>
      </c>
      <c r="N44" s="6" t="n">
        <v>11339.1</v>
      </c>
      <c r="O44" s="6" t="n">
        <v>5724.2</v>
      </c>
    </row>
    <row r="45">
      <c r="A45" s="5" t="inlineStr">
        <is>
          <t>Cash and cash equivalents at 31 March</t>
        </is>
      </c>
      <c r="B45" s="5" t="n">
        <v>9592.4</v>
      </c>
      <c r="C45" s="5" t="n">
        <v>19592.6</v>
      </c>
      <c r="D45" s="5" t="n">
        <v>18048.4</v>
      </c>
      <c r="E45" s="5" t="n">
        <v>21025.2</v>
      </c>
      <c r="F45" s="5" t="n">
        <v>19261.7</v>
      </c>
      <c r="G45" s="5" t="n">
        <v>17823.7</v>
      </c>
      <c r="H45" s="5" t="n">
        <v>23335.7</v>
      </c>
      <c r="I45" s="5" t="n">
        <v>15196.5</v>
      </c>
      <c r="J45" s="5" t="n">
        <v>26504.3</v>
      </c>
      <c r="K45" s="5" t="n">
        <v>16558.8</v>
      </c>
      <c r="L45" s="5" t="n">
        <v>15228.5</v>
      </c>
      <c r="M45" s="5" t="n">
        <v>11346.9</v>
      </c>
      <c r="N45" s="5" t="n">
        <v>10315.6</v>
      </c>
      <c r="O45" s="5" t="n">
        <v>11339.1</v>
      </c>
    </row>
    <row r="47" ht="377" customHeight="1">
      <c r="A47" s="8" t="inlineStr">
        <is>
          <t>Sources - all figures are SMBC Bank International plc's own Statement of cash flows, converted from USD to £m (see FX conversion note below):
FY2026: SMBC BI Annual report and financial statements, year ended 31 March 2026 (Companies House filing, scanned/image-only - read by OCR at 250 dpi), p.66 (Statement of cash flows) - https://find-and-update.company-information.service.gov.uk/company/04684034/filing-history/MzUzMjU4ODMxMmFkaXF6a2N4/document?format=pdf&amp;download=0. Added 2026-09-15. Every FY2026 figure was checked to foot against its own statement before use: Total assets USD 77,915.9m equals the sum of the asset lines and equals Total liabilities USD 71,566.2m plus Total equity USD 6,349.7m; Net interest income, Net fee and commission income, Operating income, Net operating expenses, Profit before tax and Profit for the year each recompute exactly from their own components; and the cash flow statement's operating, investing and financing subtotals, net change, and closing cash all reconcile. Every FY2025 comparative printed in the FY2026 report reproduces this workbook's existing FY2025 figures exactly, so no prior year was restated.
FY2025: SMBC BI Annual report and financial statements, year ended 31 March 2025, p.72 (Statement of cash flows) - https://www.smbcgroup.com/emea/getmedia/28eec268-62ab-4d64-b597-02b7f918c767/smbcbi-annual-report-2025.pdf
FY2024: SMBC BI Annual report and financial statements, year ended 31 March 2024, p.85 (Statement of cash flows) - https://www.smbcgroup.com/emea/getmedia/1c52fee7-2c0d-4378-b571-bd45d5f6ea9f/PDF-Annual-report-(SMBC-BI).pdf
FY2023: SMBC BI Annual report and financial statements, year ended 31 March 2023, p.90 (Statement of cash flows) - https://www.smbcgroup.com/emea/getmedia/1784eaa0-0924-4cd7-a4e4-1613b6cb015f/Annual-Report-and-Financial-Statements-2023-(SMBC-BI).pdf
FY2022: SMBC BI Annual report and financial statements, year ended 31 March 2022, p.87 (Statement of cash flows) - https://www.smbcgroup.com/emea/getmedia/efb562ee-627d-41c9-823a-b157f879892f/Annual-Report-and-Financial-Statements-2022-(SMBC-BI).pdf
FY2021: SMBC BI Annual report &amp; financial statements, year ended 31 March 2021, p.75 (Statement of cash flows) - https://web.archive.org/web/20240612221125id_/https://www.smbcgroup.com/emea/images/SMBC/media/SMBC/pdf/disclosures/smbcbi-annual-report-2021.pdf
FY2020: Sumitomo Mitsui Banking Corporation Europe Limited (SMBC BI's former name - see entity note) Annual report &amp; financial statements, year ended 31 March 2020, p.48 (Statement of cash flows), retrieved via Companies House filing history (co. 04684034) - https://find-and-update.company-information.service.gov.uk/company/04684034/filing-history/MzI3MzY1NDE4NmFkaXF6a2N4/document?format=pdf&amp;download=0
FY2019: as above, year ended 31 March 2019, p.27 - https://find-and-update.company-information.service.gov.uk/company/04684034/filing-history/MzIzOTk1Nzc1NWFkaXF6a2N4/document?format=pdf&amp;download=0
FY2018: as above, year ended 31 March 2018, p.25 - https://find-and-update.company-information.service.gov.uk/company/04684034/filing-history/MzIxMDI4NjgxOWFkaXF6a2N4/document?format=pdf&amp;download=0
FY2017: as above, year ended 31 March 2017, p.18 - https://find-and-update.company-information.service.gov.uk/company/04684034/filing-history/MzE4MjA0OTM3OWFkaXF6a2N4/document?format=pdf&amp;download=0
FY2016: as above, year ended 31 March 2016, p.17 - https://find-and-update.company-information.service.gov.uk/company/04684034/filing-history/MzE1MzEzNzE2MWFkaXF6a2N4/document?format=pdf&amp;download=0
FY2015: as above, year ended 31 March 2015, p.17 - https://find-and-update.company-information.service.gov.uk/company/04684034/filing-history/MzEyNjg1NTk3OWFkaXF6a2N4/document?format=pdf&amp;download=0
FY2014: as above, year ended 31 March 2014, p.16 - https://find-and-update.company-information.service.gov.uk/company/04684034/filing-history/MzEwMzk5NTEyM2FkaXF6a2N4/document?format=pdf&amp;download=0
FY2013 (HD-072): as above, year ended 31 March 2013, p.16 - https://find-and-update.company-information.service.gov.uk/company/04684034/filing-history/MzA4MDk2MzYzM2FkaXF6a2N4/document?format=pdf&amp;download=0
Each year's own report was used for its own column (not a restated comparative); every year's own figure was cross-checked against its appearance as the comparative column in the following year's report and matched exactly in all cases, so there are no presentation-basis restatements to flag across vintages for FY2015-2025 (only new line items appearing from FY2025 onward - see entity note). FY2013's own figures were specifically cross-checked against their appearance as the comparative column in AR2014 and matched exactly, with no restatement. Note: FY2025's operating/investing/financing subtotals sum to £1,785.5m against a directly-converted net change of £1,785.4m - a £0.1m rounding artefact from rounding each £ line independently to 1 decimal place before summing, not a data error; the full statement still ties exactly end-to-end via the net change, FX and translation-effect lines. GENUINE RESTATEMENT (FY2014 only): FY2014's own report shows 'Unrealised exchange movements' of USD 5.9m and 'Changes in loans and advances to banks - others' consistent with a Derivative assets balance of USD 468.7m at 31 March 2014; FY2015's own report instead shows FY2014's comparative Derivative assets balance as USD 715.3m (a USD 246.6m increase) with an identical uplift on Derivative liabilities (USD 451.5m to USD 698.1m) - a genuine derivatives grossing/netting basis change between the two reports, not a transcription error. FY2014's own originally-published basis is used here, per the general convention above; see also the Balance Sheet sheet's source note. Two rows are genuinely new-then-discontinued: 'Impairment loss written off' and 'Changes in income tax' appear as distinct reconciling lines only in FY2013-FY2016's own presentation (folded into other lines from FY2017 onward); 'Net issue of shares' appears in both FY2013 and FY2014 (a USD 800.0m ordinary share capital injection each year - see the Statement of Changes in Equity sheet); 'Repayment and cancellation of subordinated debt' appears only in FY2014 (redemption in full of the USD 800.0m Subordinated liabilities balance carried on FY2013's own balance sheet - see the Balance Sheet sheet's source note).
ENTITY NOTE: SMBC Bank International plc (SMBC BI), FRN 223304, is a wholesale bank headquartered in London and a wholly-owned subsidiary of Sumitomo Mitsui Banking Corporation (SMBC), itself part of Sumitomo Mitsui Financial Group (Japan). It was incorporated on 3 March 2003 as Sumitomo Mitsui Banking Corporation Europe Limited and renamed/re-registered as a public limited company on 30 September 2020 (per Companies House's own filing history for company 04684034: 'Certificate of change of name and re-registration from Private to Public Limited Company', 30 Sep 2020) - every FY2014-FY2020 Annual Report used in this workbook is therefore filed under the entity's former name. On 7 October 2024, SMBC BI completed a project transferring the securities business of SMBC Nikko Capital Markets Limited (a portfolio of debt securities and other fixed income assets) to itself, and opened a branch in the Abu Dhabi Global Market - this accounts for new FY2025 cash flow line items (trading portfolio assets/liabilities, repurchase agreements) not present in earlier years, and for part of the FY2025 RWA increase. Figures are on SMBC Bank International plc's own (entity-level) basis throughout, both for cash flow and Pillar 3.</t>
        </is>
      </c>
    </row>
    <row r="49" ht="340" customHeight="1">
      <c r="A49" s="8" t="inlineStr">
        <is>
          <t>(continued)
FX CONVERSION NOTE: SMBC Bank International plc reports in US Dollars (its functional currency, per its own Annual Report). This workbook converts every $ amount to £ at the user's request - conversion was necessary because every other workbook in this series is £-denominated and SMBC BI does not itself publish £ figures. Methodology: point-in-time/balance figures (capital, RWA, leverage exposure, HQLA, cash balances) use the Bank of England GBP/USD SPOT rate as at that fiscal year-end (31 March); flow figures (every cash flow statement line item) use the AVERAGE of the 12 month-end spot rates over that fiscal year (1 April-31 March), since a true daily average was not practically obtainable - both from Bank of England daily reference rates via poundsterlinglive.com's published archive. Rates used (£1 = $X): 31 Mar 2012 spot 1.5981 (FY2013 opening equity balance only); FY2013 spot 1.5181 / average 1.5795; FY2014 spot 1.6673 / average 1.5964; FY2015 spot 1.4847 / average 1.6087; FY2016 spot 1.4378 / average 1.5023; FY2017 spot 1.2507 / average 1.3046;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FY2026's two rates (added 2026-09-15) come directly from the Bank of England's own Interactive Statistical Database series XUDLUSS (spot US$ into sterling), rather than from poundsterlinglive.com's republication of the same Bank of England rates used for FY2013-FY2025 - the primary source in place of a secondary one. The methodology is unchanged and was validated against it: re-deriving FY2025 from XUDLUSS on the same basis reproduces its period-end spot of 1.2910 exactly and gives an average of 1.2776 against the 1.2775 recorded for FY2025 above, a 0.0001 difference with no material effect on any converted figure. All % ratios (CET1/Tier 1/Total Capital/Leverage/LCR/NSFR ratios) are shown EXACTLY as reported in USD and were NOT converted - a ratio is dimensionless and currency-invariant since both its numerator and denominator would move by the same factor. Because stocks and flows are converted at different rates (standard practice for translating foreign-currency financial statements), the cash flow statement includes an explicit 'Effect of GBP/USD translation' reconciling line so opening + all flows + this line = closing exactly in £ terms - this line is purely an artefact of £ translation and has no bearing on the Bank's underlying USD results.</t>
        </is>
      </c>
    </row>
  </sheetData>
  <mergeCells count="2">
    <mergeCell ref="A47:O47"/>
    <mergeCell ref="A49:O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Asset Quality</t>
        </is>
      </c>
    </row>
    <row r="2">
      <c r="A2" s="2" t="inlineStr">
        <is>
          <t>£m, converted from USD - IFRS 9 stage breakdown (FY2019-FY2025) and legacy IAS 39 basis (FY2014-FY2018) - see source note for FX methodology.</t>
        </is>
      </c>
    </row>
    <row r="3">
      <c r="A3" s="4" t="inlineStr">
        <is>
          <t>Line item</t>
        </is>
      </c>
      <c r="B3" s="4" t="inlineStr">
        <is>
          <t>FY2026 (£m, conv. from USD)</t>
        </is>
      </c>
      <c r="C3" s="4" t="inlineStr">
        <is>
          <t>FY2025 (£m, conv. from USD)</t>
        </is>
      </c>
      <c r="D3" s="4" t="inlineStr">
        <is>
          <t>FY2024 (£m, conv. from USD)</t>
        </is>
      </c>
      <c r="E3" s="4" t="inlineStr">
        <is>
          <t>FY2023 (£m, conv. from USD)</t>
        </is>
      </c>
      <c r="F3" s="4" t="inlineStr">
        <is>
          <t>FY2022 (£m, conv. from USD)</t>
        </is>
      </c>
      <c r="G3" s="4" t="inlineStr">
        <is>
          <t>FY2021 (£m, conv. from USD)</t>
        </is>
      </c>
      <c r="H3" s="4" t="inlineStr">
        <is>
          <t>FY2020 (£m, conv. from USD)</t>
        </is>
      </c>
      <c r="I3" s="4" t="inlineStr">
        <is>
          <t>FY2019 (£m, conv. from USD)</t>
        </is>
      </c>
      <c r="J3" s="4" t="inlineStr">
        <is>
          <t>FY2018 (£m, conv. from USD)</t>
        </is>
      </c>
      <c r="K3" s="4" t="inlineStr">
        <is>
          <t>FY2017 (£m, conv. from USD)</t>
        </is>
      </c>
      <c r="L3" s="4" t="inlineStr">
        <is>
          <t>FY2016 (£m, conv. from USD)</t>
        </is>
      </c>
      <c r="M3" s="4" t="inlineStr">
        <is>
          <t>FY2015 (£m, conv. from USD)</t>
        </is>
      </c>
      <c r="N3" s="4" t="inlineStr">
        <is>
          <t>FY2014 (£m, conv. from USD)</t>
        </is>
      </c>
    </row>
    <row r="4">
      <c r="A4" s="5" t="inlineStr">
        <is>
          <t>Gross exposure by IFRS 9 stage - financial assets at amortised cost</t>
        </is>
      </c>
      <c r="B4" s="6" t="n"/>
      <c r="C4" s="6" t="n"/>
      <c r="D4" s="6" t="n"/>
      <c r="E4" s="6" t="n"/>
      <c r="F4" s="6" t="n"/>
      <c r="G4" s="6" t="n"/>
      <c r="H4" s="6" t="n"/>
      <c r="I4" s="6" t="n"/>
      <c r="J4" s="6" t="n"/>
      <c r="K4" s="6" t="n"/>
      <c r="L4" s="6" t="n"/>
      <c r="M4" s="6" t="n"/>
      <c r="N4" s="6" t="n"/>
    </row>
    <row r="5">
      <c r="A5" s="6" t="inlineStr">
        <is>
          <t>Stage 1: subject to 12-month ECL</t>
        </is>
      </c>
      <c r="B5" s="6" t="n">
        <v>50561.5</v>
      </c>
      <c r="C5" s="6" t="n">
        <v>49765.7</v>
      </c>
      <c r="D5" s="6" t="n">
        <v>34116.8</v>
      </c>
      <c r="E5" s="6" t="n">
        <v>35918.3</v>
      </c>
      <c r="F5" s="6" t="n">
        <v>36163.7</v>
      </c>
      <c r="G5" s="6" t="n">
        <v>33552.3</v>
      </c>
      <c r="H5" s="6" t="n">
        <v>16715.1</v>
      </c>
      <c r="I5" s="6" t="n">
        <v>15707.6</v>
      </c>
      <c r="J5" s="6" t="n"/>
      <c r="K5" s="6" t="n"/>
      <c r="L5" s="6" t="n"/>
      <c r="M5" s="6" t="n"/>
      <c r="N5" s="6" t="n"/>
    </row>
    <row r="6">
      <c r="A6" s="6" t="inlineStr">
        <is>
          <t>Stage 2: subject to lifetime ECL, not credit-impaired</t>
        </is>
      </c>
      <c r="B6" s="6" t="n">
        <v>729.9</v>
      </c>
      <c r="C6" s="6" t="n">
        <v>955.3</v>
      </c>
      <c r="D6" s="6" t="n">
        <v>1140.5</v>
      </c>
      <c r="E6" s="6" t="n">
        <v>2753.7</v>
      </c>
      <c r="F6" s="6" t="n">
        <v>1812.4</v>
      </c>
      <c r="G6" s="6" t="n">
        <v>2245.4</v>
      </c>
      <c r="H6" s="6" t="n">
        <v>1711.8</v>
      </c>
      <c r="I6" s="6" t="n">
        <v>750.2</v>
      </c>
      <c r="J6" s="6" t="n"/>
      <c r="K6" s="6" t="n"/>
      <c r="L6" s="6" t="n"/>
      <c r="M6" s="6" t="n"/>
      <c r="N6" s="6" t="n"/>
    </row>
    <row r="7">
      <c r="A7" s="6" t="inlineStr">
        <is>
          <t>Stage 3: subject to lifetime ECL, credit-impaired</t>
        </is>
      </c>
      <c r="B7" s="6" t="n">
        <v>81.5</v>
      </c>
      <c r="C7" s="6" t="n">
        <v>127.4</v>
      </c>
      <c r="D7" s="6" t="n">
        <v>191.2</v>
      </c>
      <c r="E7" s="6" t="n">
        <v>320.9</v>
      </c>
      <c r="F7" s="6" t="n">
        <v>374.3</v>
      </c>
      <c r="G7" s="6" t="n">
        <v>381.6</v>
      </c>
      <c r="H7" s="6" t="n">
        <v>100.5</v>
      </c>
      <c r="I7" s="6" t="n">
        <v>101.5</v>
      </c>
      <c r="J7" s="6" t="n"/>
      <c r="K7" s="6" t="n"/>
      <c r="L7" s="6" t="n"/>
      <c r="M7" s="6" t="n"/>
      <c r="N7" s="6" t="n"/>
    </row>
    <row r="8">
      <c r="A8" s="5" t="inlineStr">
        <is>
          <t>Total gross exposure</t>
        </is>
      </c>
      <c r="B8" s="5" t="n">
        <v>51372.9</v>
      </c>
      <c r="C8" s="5" t="n">
        <v>50848.4</v>
      </c>
      <c r="D8" s="5" t="n">
        <v>35448.5</v>
      </c>
      <c r="E8" s="5" t="n">
        <v>38992.9</v>
      </c>
      <c r="F8" s="5" t="n">
        <v>38350.4</v>
      </c>
      <c r="G8" s="5" t="n">
        <v>36179.3</v>
      </c>
      <c r="H8" s="5" t="n">
        <v>18527.3</v>
      </c>
      <c r="I8" s="5" t="n">
        <v>16559.2</v>
      </c>
      <c r="J8" s="5" t="n"/>
      <c r="K8" s="5" t="n"/>
      <c r="L8" s="5" t="n"/>
      <c r="M8" s="5" t="n"/>
      <c r="N8" s="5" t="n"/>
    </row>
    <row r="9">
      <c r="A9" s="5" t="inlineStr">
        <is>
          <t>Impairment allowance by IFRS 9 stage</t>
        </is>
      </c>
      <c r="B9" s="6" t="n"/>
      <c r="C9" s="6" t="n"/>
      <c r="D9" s="6" t="n"/>
      <c r="E9" s="6" t="n"/>
      <c r="F9" s="6" t="n"/>
      <c r="G9" s="6" t="n"/>
      <c r="H9" s="6" t="n"/>
      <c r="I9" s="6" t="n"/>
      <c r="J9" s="6" t="n"/>
      <c r="K9" s="6" t="n"/>
      <c r="L9" s="6" t="n"/>
      <c r="M9" s="6" t="n"/>
      <c r="N9" s="6" t="n"/>
    </row>
    <row r="10">
      <c r="A10" s="6" t="inlineStr">
        <is>
          <t>Stage 1: subject to 12-month ECL</t>
        </is>
      </c>
      <c r="B10" s="6" t="n">
        <v>19.8</v>
      </c>
      <c r="C10" s="6" t="n">
        <v>14.8</v>
      </c>
      <c r="D10" s="6" t="n">
        <v>11.3</v>
      </c>
      <c r="E10" s="6" t="n">
        <v>15.6</v>
      </c>
      <c r="F10" s="6" t="n">
        <v>51.1</v>
      </c>
      <c r="G10" s="6" t="n">
        <v>25.1</v>
      </c>
      <c r="H10" s="6" t="n">
        <v>33.5</v>
      </c>
      <c r="I10" s="6" t="n">
        <v>15.7</v>
      </c>
      <c r="J10" s="6" t="n"/>
      <c r="K10" s="6" t="n"/>
      <c r="L10" s="6" t="n"/>
      <c r="M10" s="6" t="n"/>
      <c r="N10" s="6" t="n"/>
    </row>
    <row r="11">
      <c r="A11" s="6" t="inlineStr">
        <is>
          <t>Stage 2: subject to lifetime ECL, not credit-impaired</t>
        </is>
      </c>
      <c r="B11" s="6" t="n">
        <v>111.8</v>
      </c>
      <c r="C11" s="6" t="n">
        <v>121.8</v>
      </c>
      <c r="D11" s="6" t="n">
        <v>125.3</v>
      </c>
      <c r="E11" s="6" t="n">
        <v>170.9</v>
      </c>
      <c r="F11" s="6" t="n">
        <v>103.9</v>
      </c>
      <c r="G11" s="6" t="n">
        <v>78.40000000000001</v>
      </c>
      <c r="H11" s="6" t="n">
        <v>132.7</v>
      </c>
      <c r="I11" s="6" t="n">
        <v>18.4</v>
      </c>
      <c r="J11" s="6" t="n"/>
      <c r="K11" s="6" t="n"/>
      <c r="L11" s="6" t="n"/>
      <c r="M11" s="6" t="n"/>
      <c r="N11" s="6" t="n"/>
    </row>
    <row r="12">
      <c r="A12" s="6" t="inlineStr">
        <is>
          <t>Stage 3: subject to lifetime ECL, credit-impaired</t>
        </is>
      </c>
      <c r="B12" s="6" t="n">
        <v>14.8</v>
      </c>
      <c r="C12" s="6" t="n">
        <v>21.7</v>
      </c>
      <c r="D12" s="6" t="n">
        <v>76</v>
      </c>
      <c r="E12" s="6" t="n">
        <v>18.2</v>
      </c>
      <c r="F12" s="6" t="n">
        <v>34.8</v>
      </c>
      <c r="G12" s="6" t="n">
        <v>40.7</v>
      </c>
      <c r="H12" s="6" t="n">
        <v>45.2</v>
      </c>
      <c r="I12" s="6" t="n">
        <v>39.8</v>
      </c>
      <c r="J12" s="6" t="n"/>
      <c r="K12" s="6" t="n"/>
      <c r="L12" s="6" t="n"/>
      <c r="M12" s="6" t="n"/>
      <c r="N12" s="6" t="n"/>
    </row>
    <row r="13">
      <c r="A13" s="5" t="inlineStr">
        <is>
          <t>Total impairment allowance</t>
        </is>
      </c>
      <c r="B13" s="5" t="n">
        <v>146.4</v>
      </c>
      <c r="C13" s="5" t="n">
        <v>158.3</v>
      </c>
      <c r="D13" s="5" t="n">
        <v>212.6</v>
      </c>
      <c r="E13" s="5" t="n">
        <v>204.7</v>
      </c>
      <c r="F13" s="5" t="n">
        <v>189.8</v>
      </c>
      <c r="G13" s="5" t="n">
        <v>144.2</v>
      </c>
      <c r="H13" s="5" t="n">
        <v>211.4</v>
      </c>
      <c r="I13" s="5" t="n">
        <v>73.8</v>
      </c>
      <c r="J13" s="5" t="n"/>
      <c r="K13" s="5" t="n"/>
      <c r="L13" s="5" t="n"/>
      <c r="M13" s="5" t="n"/>
      <c r="N13" s="5" t="n"/>
    </row>
    <row r="14">
      <c r="A14" s="6" t="inlineStr">
        <is>
          <t>Stage 3 as % of gross exposure (derived)</t>
        </is>
      </c>
      <c r="B14" s="6" t="inlineStr">
        <is>
          <t>0.16%</t>
        </is>
      </c>
      <c r="C14" s="6" t="inlineStr">
        <is>
          <t>0.25%</t>
        </is>
      </c>
      <c r="D14" s="6" t="inlineStr">
        <is>
          <t>0.54%</t>
        </is>
      </c>
      <c r="E14" s="6" t="inlineStr">
        <is>
          <t>0.82%</t>
        </is>
      </c>
      <c r="F14" s="6" t="inlineStr">
        <is>
          <t>0.98%</t>
        </is>
      </c>
      <c r="G14" s="6" t="inlineStr">
        <is>
          <t>1.05%</t>
        </is>
      </c>
      <c r="H14" s="6" t="inlineStr">
        <is>
          <t>0.54%</t>
        </is>
      </c>
      <c r="I14" s="6" t="inlineStr">
        <is>
          <t>0.61%</t>
        </is>
      </c>
      <c r="J14" s="6" t="n"/>
      <c r="K14" s="6" t="n"/>
      <c r="L14" s="6" t="n"/>
      <c r="M14" s="6" t="n"/>
      <c r="N14" s="6" t="n"/>
    </row>
    <row r="15">
      <c r="A15" s="6" t="inlineStr">
        <is>
          <t>Coverage ratio (derived)</t>
        </is>
      </c>
      <c r="B15" s="6" t="inlineStr">
        <is>
          <t>0.29%</t>
        </is>
      </c>
      <c r="C15" s="6" t="inlineStr">
        <is>
          <t>0.31%</t>
        </is>
      </c>
      <c r="D15" s="6" t="inlineStr">
        <is>
          <t>0.60%</t>
        </is>
      </c>
      <c r="E15" s="6" t="inlineStr">
        <is>
          <t>0.52%</t>
        </is>
      </c>
      <c r="F15" s="6" t="inlineStr">
        <is>
          <t>0.49%</t>
        </is>
      </c>
      <c r="G15" s="6" t="inlineStr">
        <is>
          <t>0.40%</t>
        </is>
      </c>
      <c r="H15" s="6" t="inlineStr">
        <is>
          <t>1.14%</t>
        </is>
      </c>
      <c r="I15" s="6" t="inlineStr">
        <is>
          <t>0.45%</t>
        </is>
      </c>
      <c r="J15" s="6" t="n"/>
      <c r="K15" s="6" t="n"/>
      <c r="L15" s="6" t="n"/>
      <c r="M15" s="6" t="n"/>
      <c r="N15" s="6" t="n"/>
    </row>
    <row r="16">
      <c r="A16" s="5" t="inlineStr">
        <is>
          <t>Legacy IAS 39 basis (FY2014-FY2018 only, NOT comparable to IFRS 9 stages above) - gross loans and advances to customers by internal grading</t>
        </is>
      </c>
      <c r="B16" s="6" t="n"/>
      <c r="C16" s="6" t="n"/>
      <c r="D16" s="6" t="n"/>
      <c r="E16" s="6" t="n"/>
      <c r="F16" s="6" t="n"/>
      <c r="G16" s="6" t="n"/>
      <c r="H16" s="6" t="n"/>
      <c r="I16" s="6" t="n"/>
      <c r="J16" s="6" t="n"/>
      <c r="K16" s="6" t="n"/>
      <c r="L16" s="6" t="n"/>
      <c r="M16" s="6" t="n"/>
      <c r="N16" s="6" t="n"/>
    </row>
    <row r="17">
      <c r="A17" s="6" t="inlineStr">
        <is>
          <t>Normal borrowers (grades 1-6)</t>
        </is>
      </c>
      <c r="B17" s="6" t="n"/>
      <c r="C17" s="6" t="n"/>
      <c r="D17" s="6" t="n"/>
      <c r="E17" s="6" t="n"/>
      <c r="F17" s="6" t="n"/>
      <c r="G17" s="6" t="n"/>
      <c r="H17" s="6" t="n"/>
      <c r="I17" s="6" t="n"/>
      <c r="J17" s="6" t="n">
        <v>14218</v>
      </c>
      <c r="K17" s="6" t="n">
        <v>11568.6</v>
      </c>
      <c r="L17" s="6" t="n">
        <v>10302</v>
      </c>
      <c r="M17" s="6" t="n">
        <v>7444</v>
      </c>
      <c r="N17" s="6" t="n">
        <v>6618.6</v>
      </c>
    </row>
    <row r="18">
      <c r="A18" s="6" t="inlineStr">
        <is>
          <t>Borrowers requiring caution (grades 7A/7B)</t>
        </is>
      </c>
      <c r="B18" s="6" t="n"/>
      <c r="C18" s="6" t="n"/>
      <c r="D18" s="6" t="n"/>
      <c r="E18" s="6" t="n"/>
      <c r="F18" s="6" t="n"/>
      <c r="G18" s="6" t="n"/>
      <c r="H18" s="6" t="n"/>
      <c r="I18" s="6" t="n"/>
      <c r="J18" s="6" t="n">
        <v>133.4</v>
      </c>
      <c r="K18" s="6" t="n">
        <v>259.2</v>
      </c>
      <c r="L18" s="6" t="n">
        <v>420</v>
      </c>
      <c r="M18" s="6" t="n">
        <v>309.5</v>
      </c>
      <c r="N18" s="6" t="n">
        <v>171.2</v>
      </c>
    </row>
    <row r="19">
      <c r="A19" s="6" t="inlineStr">
        <is>
          <t>Substandard borrowers and below / Default (grades 7R, 8-10)</t>
        </is>
      </c>
      <c r="B19" s="6" t="n"/>
      <c r="C19" s="6" t="n"/>
      <c r="D19" s="6" t="n"/>
      <c r="E19" s="6" t="n"/>
      <c r="F19" s="6" t="n"/>
      <c r="G19" s="6" t="n"/>
      <c r="H19" s="6" t="n"/>
      <c r="I19" s="6" t="n"/>
      <c r="J19" s="6" t="n">
        <v>101.5</v>
      </c>
      <c r="K19" s="6" t="n">
        <v>135.1</v>
      </c>
      <c r="L19" s="6" t="n">
        <v>107.9</v>
      </c>
      <c r="M19" s="6" t="n">
        <v>52.7</v>
      </c>
      <c r="N19" s="6" t="n">
        <v>18.5</v>
      </c>
    </row>
    <row r="20">
      <c r="A20" s="5" t="inlineStr">
        <is>
          <t>Total gross loans and advances to customers</t>
        </is>
      </c>
      <c r="B20" s="5" t="n"/>
      <c r="C20" s="5" t="n"/>
      <c r="D20" s="5" t="n"/>
      <c r="E20" s="5" t="n"/>
      <c r="F20" s="5" t="n"/>
      <c r="G20" s="5" t="n"/>
      <c r="H20" s="5" t="n"/>
      <c r="I20" s="5" t="n"/>
      <c r="J20" s="5" t="n">
        <v>14452.9</v>
      </c>
      <c r="K20" s="5" t="n">
        <v>11962.9</v>
      </c>
      <c r="L20" s="5" t="n">
        <v>10829.9</v>
      </c>
      <c r="M20" s="5" t="n">
        <v>7806.2</v>
      </c>
      <c r="N20" s="5" t="n">
        <v>6808.3</v>
      </c>
    </row>
    <row r="21">
      <c r="A21" s="5" t="inlineStr">
        <is>
          <t>Legacy IAS 39 basis - impairment provisions (Note 18 roll-forward)</t>
        </is>
      </c>
      <c r="B21" s="6" t="n"/>
      <c r="C21" s="6" t="n"/>
      <c r="D21" s="6" t="n"/>
      <c r="E21" s="6" t="n"/>
      <c r="F21" s="6" t="n"/>
      <c r="G21" s="6" t="n"/>
      <c r="H21" s="6" t="n"/>
      <c r="I21" s="6" t="n"/>
      <c r="J21" s="6" t="n"/>
      <c r="K21" s="6" t="n"/>
      <c r="L21" s="6" t="n"/>
      <c r="M21" s="6" t="n"/>
      <c r="N21" s="6" t="n"/>
    </row>
    <row r="22">
      <c r="A22" s="6" t="inlineStr">
        <is>
          <t>Specific provisions</t>
        </is>
      </c>
      <c r="B22" s="6" t="n"/>
      <c r="C22" s="6" t="n"/>
      <c r="D22" s="6" t="n"/>
      <c r="E22" s="6" t="n"/>
      <c r="F22" s="6" t="n"/>
      <c r="G22" s="6" t="n"/>
      <c r="H22" s="6" t="n"/>
      <c r="I22" s="6" t="n"/>
      <c r="J22" s="6" t="n">
        <v>78.7</v>
      </c>
      <c r="K22" s="6" t="n">
        <v>69.90000000000001</v>
      </c>
      <c r="L22" s="6" t="n">
        <v>75.3</v>
      </c>
      <c r="M22" s="6" t="n">
        <v>58.9</v>
      </c>
      <c r="N22" s="6" t="n">
        <v>58</v>
      </c>
    </row>
    <row r="23">
      <c r="A23" s="6" t="inlineStr">
        <is>
          <t>Collective provisions</t>
        </is>
      </c>
      <c r="B23" s="6" t="n"/>
      <c r="C23" s="6" t="n"/>
      <c r="D23" s="6" t="n"/>
      <c r="E23" s="6" t="n"/>
      <c r="F23" s="6" t="n"/>
      <c r="G23" s="6" t="n"/>
      <c r="H23" s="6" t="n"/>
      <c r="I23" s="6" t="n"/>
      <c r="J23" s="6" t="n">
        <v>32.8</v>
      </c>
      <c r="K23" s="6" t="n">
        <v>31.7</v>
      </c>
      <c r="L23" s="6" t="n">
        <v>40.3</v>
      </c>
      <c r="M23" s="6" t="n">
        <v>25.5</v>
      </c>
      <c r="N23" s="6" t="n">
        <v>27</v>
      </c>
    </row>
    <row r="24">
      <c r="A24" s="5" t="inlineStr">
        <is>
          <t>Total impairment provisions</t>
        </is>
      </c>
      <c r="B24" s="5" t="n"/>
      <c r="C24" s="5" t="n"/>
      <c r="D24" s="5" t="n"/>
      <c r="E24" s="5" t="n"/>
      <c r="F24" s="5" t="n"/>
      <c r="G24" s="5" t="n"/>
      <c r="H24" s="5" t="n"/>
      <c r="I24" s="5" t="n"/>
      <c r="J24" s="5" t="n">
        <v>111.5</v>
      </c>
      <c r="K24" s="5" t="n">
        <v>101.6</v>
      </c>
      <c r="L24" s="5" t="n">
        <v>115.7</v>
      </c>
      <c r="M24" s="5" t="n">
        <v>84.40000000000001</v>
      </c>
      <c r="N24" s="5" t="n">
        <v>85</v>
      </c>
    </row>
    <row r="25">
      <c r="A25" s="6" t="inlineStr">
        <is>
          <t>Default as % of gross loans (derived, legacy-basis proxy for Stage 3)</t>
        </is>
      </c>
      <c r="B25" s="6" t="n"/>
      <c r="C25" s="6" t="n"/>
      <c r="D25" s="6" t="n"/>
      <c r="E25" s="6" t="n"/>
      <c r="F25" s="6" t="n"/>
      <c r="G25" s="6" t="n"/>
      <c r="H25" s="6" t="n"/>
      <c r="I25" s="6" t="n"/>
      <c r="J25" s="6" t="inlineStr">
        <is>
          <t>0.70%</t>
        </is>
      </c>
      <c r="K25" s="6" t="inlineStr">
        <is>
          <t>1.13%</t>
        </is>
      </c>
      <c r="L25" s="6" t="inlineStr">
        <is>
          <t>1.00%</t>
        </is>
      </c>
      <c r="M25" s="6" t="inlineStr">
        <is>
          <t>0.67%</t>
        </is>
      </c>
      <c r="N25" s="6" t="inlineStr">
        <is>
          <t>0.27%</t>
        </is>
      </c>
    </row>
    <row r="26">
      <c r="A26" s="6" t="inlineStr">
        <is>
          <t>Coverage ratio (derived, legacy basis)</t>
        </is>
      </c>
      <c r="B26" s="6" t="n"/>
      <c r="C26" s="6" t="n"/>
      <c r="D26" s="6" t="n"/>
      <c r="E26" s="6" t="n"/>
      <c r="F26" s="6" t="n"/>
      <c r="G26" s="6" t="n"/>
      <c r="H26" s="6" t="n"/>
      <c r="I26" s="6" t="n"/>
      <c r="J26" s="6" t="inlineStr">
        <is>
          <t>0.77%</t>
        </is>
      </c>
      <c r="K26" s="6" t="inlineStr">
        <is>
          <t>0.85%</t>
        </is>
      </c>
      <c r="L26" s="6" t="inlineStr">
        <is>
          <t>1.07%</t>
        </is>
      </c>
      <c r="M26" s="6" t="inlineStr">
        <is>
          <t>1.08%</t>
        </is>
      </c>
      <c r="N26" s="6" t="inlineStr">
        <is>
          <t>1.25%</t>
        </is>
      </c>
    </row>
    <row r="28" ht="390" customHeight="1">
      <c r="A28" s="8" t="inlineStr">
        <is>
          <t>Sources - SMBC Bank International plc's own IFRS 9 gross exposure and impairment allowance roll-forward for financial assets at amortised cost, converted from USD to £m (see FX conversion note below):
FY2026: SMBC BI Annual report and financial statements, year ended 31 March 2026 (Companies House filing, scanned/image-only - read by OCR at 250 dpi), p.81 (Note 4, Financial risk management - movement in impairment provisions, financial assets at amortised cost) - https://find-and-update.company-information.service.gov.uk/company/04684034/filing-history/MzUzMjU4ODMxMmFkaXF6a2N4/document?format=pdf&amp;download=0. Added 2026-09-15. Both FY2026 roll-forwards reconcile exactly from their own opening balances, and those opening balances reproduce this workbook's existing FY2025 closing figures (gross 64,247.5 / 1,233.3 / 164.5 / 65,645.3; allowance 19.1 / 157.3 / 28.0 / 204.4) exactly.
FY2025: SMBC BI Annual report and financial statements, year ended 31 March 2025, p.87 (Note 4, Financial risk management) - https://www.smbcgroup.com/emea/getmedia/28eec268-62ab-4d64-b597-02b7f918c767/smbcbi-annual-report-2025.pdf
FY2024: SMBC BI Annual report and financial statements, year ended 31 March 2024, p.106 (Note 4, Financial risk management) - https://www.smbcgroup.com/emea/getmedia/1c52fee7-2c0d-4378-b571-bd45d5f6ea9f/PDF-Annual-report-(SMBC-BI).pdf
FY2023: SMBC BI Annual report and financial statements, year ended 31 March 2023, p.111 (Note 4, Financial risk management) - https://www.smbcgroup.com/emea/getmedia/1784eaa0-0924-4cd7-a4e4-1613b6cb015f/Annual-Report-and-Financial-Statements-2023-(SMBC-BI).pdf
FY2022: SMBC BI Annual report and financial statements, year ended 31 March 2022, p.108 (Note 4, Financial risk management) - https://www.smbcgroup.com/emea/getmedia/efb562ee-627d-41c9-823a-b157f879892f/Annual-Report-and-Financial-Statements-2022-(SMBC-BI).pdf
FY2021: SMBC BI Annual report &amp; financial statements, year ended 31 March 2021, p.95 (Note 4, Financial risk management) - https://web.archive.org/web/20240612221125id_/https://www.smbcgroup.com/emea/images/SMBC/media/SMBC/pdf/disclosures/smbcbi-annual-report-2021.pdf
FY2020: Sumitomo Mitsui Banking Corporation Europe Limited Annual report &amp; financial statements, year ended 31 March 2020, p.64 ('Credit quality and stage per class of financial asset') - https://find-and-update.company-information.service.gov.uk/company/04684034/filing-history/MzI3MzY1NDE4NmFkaXF6a2N4/document?format=pdf&amp;download=0
FY2019: as above, year ended 31 March 2019, p.73 ('Credit quality and stage per class of financial asset') - https://find-and-update.company-information.service.gov.uk/company/04684034/filing-history/MzIzOTk1Nzc1NWFkaXF6a2N4/document?format=pdf&amp;download=0
Each year's own report was used for its own 'Balance at end of year' column (not a restated comparative); every year's own closing balance was cross-checked against its appearance as the opening balance in the following year's report and matched exactly, EXCEPT one figure: AR2022's own text extraction of the FY2022 'Balance at end of year' Total gross exposure prints as USD 49,598.7m, which does not foot (47,598.7 + 2,385.5 + 492.6 = 50,476.8) and does not match AR2023's own FY2022 opening balance of USD 50,476.8m exactly - the figure used here (USD 50,476.8m, £38,350.4m converted) is the cross-validated, footing figure, not the garbled PDF-extracted one. SCOPE NOTE: FY2025's disclosure explicitly states these balances 'relate to loans and advances to banks and customers and reverse repurchase agreements' - every other year's disclosure states the narrower 'loans and advances to banks and customers' only (no reverse repos) - a real scope widening from the October 2024 securities-business transfer (see entity note), not a presentation error. FY2019/FY2020 figures above are for 'Loans and advances to customers at amortised cost' only, matching every other year's own basis (no reverse repos existed for this bank yet in those years). 'Stage 3 as % of gross' and 'Coverage ratio' are derived credit-quality proxies (not Pillar 3-defined ratios).
LEGACY IAS 39 BASIS (FY2014-FY2018): SMBC BI adopted IFRS 9 (the 3-stage ECL model the section above is built around) only on 1 April 2018 - FY2014-FY2018's own Annual Reports therefore report credit quality on an entirely different, non-comparable IAS 39 'incurred loss' basis, shown in the separate section below instead:
FY2018: Sumitomo Mitsui Banking Corporation Europe Limited Annual report &amp; financial statements, year ended 31 March 2018, p.45 ('Credit quality of counterparty per class of financial assets') and p.65 (Note 18, Impairment provisions) - https://find-and-update.company-information.service.gov.uk/company/04684034/filing-history/MzIxMDI4NjgxOWFkaXF6a2N4/document?format=pdf&amp;download=0
FY2017: as above, year ended 31 March 2017, p.36 and Note 18 - https://find-and-update.company-information.service.gov.uk/company/04684034/filing-history/MzE4MjA0OTM3OWFkaXF6a2N4/document?format=pdf&amp;download=0
FY2016: as above, year ended 31 March 2016, p.33 and Note 18 - https://find-and-update.company-information.service.gov.uk/company/04684034/filing-history/MzE1MzEzNzE2MWFkaXF6a2N4/document?format=pdf&amp;download=0
FY2015: as above, year ended 31 March 2015, p.33 and Note 18 - https://find-and-update.company-information.service.gov.uk/company/04684034/filing-history/MzEyNjg1NTk3OWFkaXF6a2N4/document?format=pdf&amp;download=0
FY2014: as above, year ended 31 March 2014, p.30 and Note 18 - https://find-and-update.company-information.service.gov.uk/company/04684034/filing-history/MzEwMzk5NTEyM2FkaXF6a2N4/document?format=pdf&amp;download=0
'Normal borrowers' (internal grades 1-6), 'Borrowers requiring caution' (grades 7A+7B, combined here), and 'Substandard borrowers and below' (grades 7R, 8-10) are the Bank's own internal obligor grading tiers for loans and advances to customers - not a stage model, but 'Substandard and below' is the closest available proxy to Stage 3/credit-impaired, since the Bank's own Pillar 3 disclosures describe 7R/J7R through 8-10/J10 as meeting the regulatory 'Default' definition. Every year's own closing gross/grading figures were cross-checked against their appearance as the comparative column in the following year's report and matched exactly in every case (FY2018 vs FY2019's own report is the one exception - see IFRS 9 transition note below). 'Specific'/'Collective' impairment provisions are Note 18's own roll-forward categories (individually assessed vs incurred-but-not-identified portfolio provisions) - the pre-IFRS 9 equivalent of the Stage 3/'Stage 1+2' split above, but not directly comparable to it (different recognition trigger and measurement basis). 'Default as % of gross loans' and 'Coverage ratio' on this section are derived legacy-basis proxies, not directly comparable to the IFRS 9 section's 'Stage 3 as % of gross'/'Coverage ratio' rows above.
IFRS 9 TRANSITION NOTE: FY2019's own report separately discloses an 'as at 1 April 2018' IFRS 9 transition-date restatement of FY2018's closing position (Stage 1/2/3 gross USD 19,313.9m/964.5m/271.5m, ECL allowance USD 16.7m/14.3m/110.4m for loans and advances to customers at amortised cost) - this is a retrospective IFRS 9 recasting of the FY2018 balance, not what FY2018's own Annual Report itself reported (which used the Specific/Collective basis shown in the legacy section), so it is not used as this workbook's FY2018 column; it is recorded here for reference only, in case a future ticket wants an IFRS-9-consistent FY2018 comparative.</t>
        </is>
      </c>
    </row>
    <row r="30" ht="340" customHeight="1">
      <c r="A30" s="8" t="inlineStr">
        <is>
          <t>(continued)
ENTITY NOTE: SMBC Bank International plc (SMBC BI), FRN 223304, is a wholesale bank headquartered in London and a wholly-owned subsidiary of Sumitomo Mitsui Banking Corporation (SMBC), itself part of Sumitomo Mitsui Financial Group (Japan). It was incorporated on 3 March 2003 as Sumitomo Mitsui Banking Corporation Europe Limited and renamed/re-registered as a public limited company on 30 September 2020 (per Companies House's own filing history for company 04684034: 'Certificate of change of name and re-registration from Private to Public Limited Company', 30 Sep 2020) - every FY2014-FY2020 Annual Report used in this workbook is therefore filed under the entity's former name. On 7 October 2024, SMBC BI completed a project transferring the securities business of SMBC Nikko Capital Markets Limited (a portfolio of debt securities and other fixed income assets) to itself, and opened a branch in the Abu Dhabi Global Market - this accounts for new FY2025 cash flow line items (trading portfolio assets/liabilities, repurchase agreements) not present in earlier years, and for part of the FY2025 RWA increase. Figures are on SMBC Bank International plc's own (entity-level) basis throughout, both for cash flow and Pillar 3.
FX CONVERSION NOTE: SMBC Bank International plc reports in US Dollars (its functional currency, per its own Annual Report). This workbook converts every $ amount to £ at the user's request - conversion was necessary because every other workbook in this series is £-denominated and SMBC BI does not itself publish £ figures. Methodology: point-in-time/balance figures (capital, RWA, leverage exposure, HQLA, cash balances) use the Bank of England GBP/USD SPOT rate as at that fiscal year-end (31 March); flow figures (every cash flow statement line item) use the AVERAGE of the 12 month-end spot rates over that fiscal year (1 April-31 March), since a true daily average was not practically obtainable - both from Bank of England daily reference rates via poundsterlinglive.com's published archive. Rates used (£1 = $X): 31 Mar 2012 spot 1.5981 (FY2013 opening equity balance only); FY2013 spot 1.5181 / average 1.5795; FY2014 spot 1.6673 / average 1.5964; FY2015 spot 1.4847 / average 1.6087; FY2016 spot 1.4378 / average 1.5023; FY2017 spot 1.2507 / average 1.3046;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FY2026's two rates (added 2026-09-15) come directly from the Bank of England's own Interactive Statistical Database series XUDLUSS (spot US$ into sterling), rather than from poundsterlinglive.com's republication of the same Bank of England rates used for FY2013-FY2025 - the primary source in place of a secondary one. The methodology is unchanged and was validated against it: re-deriving FY2025 from XUDLUSS on the same basis reproduces its period-end spot of 1.2910 exactly and gives an average of 1.2776 against the 1.2775 recorded for FY2025 above, a 0.0001 difference with no material effect on any converted figure. All % ratios (CET1/Tier 1/Total Capital/Leverage/LCR/NSFR ratios) are shown EXACTLY as reported in USD and were NOT converted - a ratio is dimensionless and currency-invariant since both its numerator and denominator would move by the same factor. Because stocks and flows are converted at different rates (standard practice for translating foreign-currency financial statements), the cash flow statement includes an explicit 'Effect of GBP/USD translation' reconciling line so opening + all flows + this line = closing exactly in £ terms - this line is purely an artefact of £ translation and has no bearing on the Bank's underlying USD results.</t>
        </is>
      </c>
    </row>
  </sheetData>
  <mergeCells count="2">
    <mergeCell ref="A28:N28"/>
    <mergeCell ref="A30:N3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c r="H4" s="6" t="inlineStr">
        <is>
          <t>Not computed</t>
        </is>
      </c>
      <c r="I4" s="6" t="inlineStr">
        <is>
          <t>Not computed</t>
        </is>
      </c>
      <c r="J4" s="6" t="inlineStr">
        <is>
          <t>Not computed</t>
        </is>
      </c>
      <c r="K4" s="6" t="inlineStr">
        <is>
          <t>Not computed</t>
        </is>
      </c>
      <c r="L4" s="6" t="inlineStr">
        <is>
          <t>Not computed</t>
        </is>
      </c>
      <c r="M4" s="6" t="inlineStr">
        <is>
          <t>Not computed</t>
        </is>
      </c>
      <c r="N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c r="H5" s="6" t="inlineStr">
        <is>
          <t>Not computed</t>
        </is>
      </c>
      <c r="I5" s="6" t="inlineStr">
        <is>
          <t>Not computed</t>
        </is>
      </c>
      <c r="J5" s="6" t="inlineStr">
        <is>
          <t>Not computed</t>
        </is>
      </c>
      <c r="K5" s="6" t="inlineStr">
        <is>
          <t>Not computed</t>
        </is>
      </c>
      <c r="L5" s="6" t="inlineStr">
        <is>
          <t>Not computed</t>
        </is>
      </c>
      <c r="M5" s="6" t="inlineStr">
        <is>
          <t>Not computed</t>
        </is>
      </c>
      <c r="N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c r="H6" s="6" t="inlineStr">
        <is>
          <t>Not computed</t>
        </is>
      </c>
      <c r="I6" s="6" t="inlineStr">
        <is>
          <t>Not computed</t>
        </is>
      </c>
      <c r="J6" s="6" t="inlineStr">
        <is>
          <t>Not computed</t>
        </is>
      </c>
      <c r="K6" s="6" t="inlineStr">
        <is>
          <t>Not computed</t>
        </is>
      </c>
      <c r="L6" s="6" t="inlineStr">
        <is>
          <t>Not computed</t>
        </is>
      </c>
      <c r="M6" s="6" t="inlineStr">
        <is>
          <t>Not computed</t>
        </is>
      </c>
      <c r="N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c r="H7" s="6" t="inlineStr">
        <is>
          <t>Not computed</t>
        </is>
      </c>
      <c r="I7" s="6" t="inlineStr">
        <is>
          <t>Not computed</t>
        </is>
      </c>
      <c r="J7" s="6" t="inlineStr">
        <is>
          <t>Not computed</t>
        </is>
      </c>
      <c r="K7" s="6" t="inlineStr">
        <is>
          <t>Not computed</t>
        </is>
      </c>
      <c r="L7" s="6" t="inlineStr">
        <is>
          <t>Not computed</t>
        </is>
      </c>
      <c r="M7" s="6" t="inlineStr">
        <is>
          <t>Not computed</t>
        </is>
      </c>
      <c r="N7" s="6" t="inlineStr">
        <is>
          <t>Not computed</t>
        </is>
      </c>
    </row>
    <row r="8">
      <c r="A8" s="6" t="inlineStr">
        <is>
          <t>Return on equity (as published)</t>
        </is>
      </c>
      <c r="B8" s="6" t="n"/>
      <c r="C8" s="6" t="inlineStr">
        <is>
          <t>6.1%</t>
        </is>
      </c>
      <c r="D8" s="6" t="inlineStr">
        <is>
          <t>Not published</t>
        </is>
      </c>
      <c r="E8" s="6" t="inlineStr">
        <is>
          <t>Not published</t>
        </is>
      </c>
      <c r="F8" s="6" t="inlineStr">
        <is>
          <t>Not published</t>
        </is>
      </c>
      <c r="G8" s="6" t="n"/>
      <c r="H8" s="6" t="n"/>
      <c r="I8" s="6" t="n"/>
      <c r="J8" s="6" t="n"/>
      <c r="K8" s="6" t="n"/>
      <c r="L8" s="6" t="n"/>
      <c r="M8" s="6" t="n"/>
      <c r="N8" s="6" t="n"/>
    </row>
    <row r="9" ht="247"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equity: “Profit after tax of USD 349.6 million divided by the average monthly equity in the year of USD 5,781.8 million.”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
WHY SOME CELLS SAY 'NOT COMPUTED'. Every year above is marked 'Not computed' rather than given a number, and the reason is a unit problem, not a missing figure. This workbook's statement sheets print (£m, conv. from USD):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
FIGURES THE BANK PUBLISHED ONLY AS A LATER EDITION'S COMPARATIVE, AND WHY THEY ARE NOT IN THE CELLS ABOVE. FY2024 Return on equity 7.5%; FY2023 Return on equity 5.0%; FY2022 Return on equity 2.7%.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SMBC Bank International plc's Annual Report and Accounts for each year; see the source cells on the Balance Sheet and Profit &amp; Loss sheets for the exact document, page and table behind every input to every percentage above.
The '(as published)' rows are quoted verbatim from SMBC Bank International plc's own disclosures and are recorded, with the exact document, page and verification state for each, in research/profitability/published_returns.jsonl under ‘SMBC’.</t>
        </is>
      </c>
    </row>
  </sheetData>
  <mergeCells count="2">
    <mergeCell ref="A9:N9"/>
    <mergeCell ref="A11:N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SMBC Bank International plc — KM1 Key Metrics</t>
        </is>
      </c>
    </row>
    <row r="2">
      <c r="A2" s="2" t="inlineStr">
        <is>
          <t>The Bank's own published key-metrics table, reproduced whole in its row order, row numbers, labels and printed precision, in the USD millions it is published in - amounts on this sheet are NOT converted, unlike every other sheet in this workbook. Two caption blocks: the UK KM1 template as printed from the FY2022 edition onward, and the pre-2022 Basel III dashboard as printed in the FY2016-FY2021 editions, whose row numbers mean different things and whose leverage rows are on a different basis. FY2015 is the FY2016 edition's comparative column; FY2014 is blank because no edition prints it. See the source note for the FY2021 bitmap transcription and the cross-edition differences. FY2014 is not shown at all: no edition prints a key-metrics table for that date on any basis, so the column is omitted rather than printed empty.</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row>
    <row r="4">
      <c r="A4" s="5" t="inlineStr">
        <is>
          <t>UK KM1 template — as printed in the FY2022 edition onward</t>
        </is>
      </c>
      <c r="B4" s="6" t="n"/>
      <c r="C4" s="6" t="n"/>
      <c r="D4" s="6" t="n"/>
      <c r="E4" s="6" t="n"/>
      <c r="F4" s="6" t="n"/>
      <c r="G4" s="6" t="n"/>
      <c r="H4" s="6" t="n"/>
      <c r="I4" s="6" t="n"/>
      <c r="J4" s="6" t="n"/>
      <c r="K4" s="6" t="n"/>
      <c r="L4" s="6" t="n"/>
      <c r="M4" s="6" t="n"/>
    </row>
    <row r="5">
      <c r="A5" s="5" t="inlineStr">
        <is>
          <t>Available own funds (amounts)</t>
        </is>
      </c>
      <c r="B5" s="6" t="n"/>
      <c r="C5" s="6" t="n"/>
      <c r="D5" s="6" t="n"/>
      <c r="E5" s="6" t="n"/>
      <c r="F5" s="6" t="n"/>
      <c r="G5" s="6" t="n"/>
      <c r="H5" s="6" t="n"/>
      <c r="I5" s="6" t="n"/>
      <c r="J5" s="6" t="n"/>
      <c r="K5" s="6" t="n"/>
      <c r="L5" s="6" t="n"/>
      <c r="M5" s="6" t="n"/>
    </row>
    <row r="6">
      <c r="A6" s="6" t="inlineStr">
        <is>
          <t>1    Common Equity Tier 1 (CET1) capital (USD m)</t>
        </is>
      </c>
      <c r="B6" s="6" t="n">
        <v>6168</v>
      </c>
      <c r="C6" s="6" t="n">
        <v>5786</v>
      </c>
      <c r="D6" s="6" t="n">
        <v>5477</v>
      </c>
      <c r="E6" s="6" t="n">
        <v>5083</v>
      </c>
      <c r="F6" s="6" t="n">
        <v>4887</v>
      </c>
      <c r="G6" s="6" t="n"/>
      <c r="H6" s="6" t="n"/>
      <c r="I6" s="6" t="n"/>
      <c r="J6" s="6" t="n"/>
      <c r="K6" s="6" t="n"/>
      <c r="L6" s="6" t="n"/>
      <c r="M6" s="6" t="n"/>
    </row>
    <row r="7">
      <c r="A7" s="6" t="inlineStr">
        <is>
          <t>2    Tier 1 capital (USD m)</t>
        </is>
      </c>
      <c r="B7" s="6" t="n">
        <v>6168</v>
      </c>
      <c r="C7" s="6" t="n">
        <v>5786</v>
      </c>
      <c r="D7" s="6" t="n">
        <v>5477</v>
      </c>
      <c r="E7" s="6" t="n">
        <v>5083</v>
      </c>
      <c r="F7" s="6" t="n">
        <v>4887</v>
      </c>
      <c r="G7" s="6" t="n"/>
      <c r="H7" s="6" t="n"/>
      <c r="I7" s="6" t="n"/>
      <c r="J7" s="6" t="n"/>
      <c r="K7" s="6" t="n"/>
      <c r="L7" s="6" t="n"/>
      <c r="M7" s="6" t="n"/>
    </row>
    <row r="8">
      <c r="A8" s="6" t="inlineStr">
        <is>
          <t>3    Total capital (USD m)</t>
        </is>
      </c>
      <c r="B8" s="6" t="n">
        <v>6168</v>
      </c>
      <c r="C8" s="6" t="n">
        <v>5786</v>
      </c>
      <c r="D8" s="6" t="n">
        <v>5477</v>
      </c>
      <c r="E8" s="6" t="n">
        <v>5083</v>
      </c>
      <c r="F8" s="6" t="n">
        <v>4887</v>
      </c>
      <c r="G8" s="6" t="n"/>
      <c r="H8" s="6" t="n"/>
      <c r="I8" s="6" t="n"/>
      <c r="J8" s="6" t="n"/>
      <c r="K8" s="6" t="n"/>
      <c r="L8" s="6" t="n"/>
      <c r="M8" s="6" t="n"/>
    </row>
    <row r="9">
      <c r="A9" s="5" t="inlineStr">
        <is>
          <t>Risk-weighted exposure amounts</t>
        </is>
      </c>
      <c r="B9" s="6" t="n"/>
      <c r="C9" s="6" t="n"/>
      <c r="D9" s="6" t="n"/>
      <c r="E9" s="6" t="n"/>
      <c r="F9" s="6" t="n"/>
      <c r="G9" s="6" t="n"/>
      <c r="H9" s="6" t="n"/>
      <c r="I9" s="6" t="n"/>
      <c r="J9" s="6" t="n"/>
      <c r="K9" s="6" t="n"/>
      <c r="L9" s="6" t="n"/>
      <c r="M9" s="6" t="n"/>
    </row>
    <row r="10">
      <c r="A10" s="6" t="inlineStr">
        <is>
          <t>4    Total risk-weighted exposure amount (USD m)</t>
        </is>
      </c>
      <c r="B10" s="6" t="n">
        <v>29411</v>
      </c>
      <c r="C10" s="6" t="n">
        <v>33891</v>
      </c>
      <c r="D10" s="6" t="n">
        <v>28122</v>
      </c>
      <c r="E10" s="6" t="n">
        <v>28579</v>
      </c>
      <c r="F10" s="6" t="n">
        <v>29941</v>
      </c>
      <c r="G10" s="6" t="n"/>
      <c r="H10" s="6" t="n"/>
      <c r="I10" s="6" t="n"/>
      <c r="J10" s="6" t="n"/>
      <c r="K10" s="6" t="n"/>
      <c r="L10" s="6" t="n"/>
      <c r="M10" s="6" t="n"/>
    </row>
    <row r="11">
      <c r="A11" s="5" t="inlineStr">
        <is>
          <t>Capital ratios (as a percentage of the risk-weighted exposure amount)</t>
        </is>
      </c>
      <c r="B11" s="6" t="n"/>
      <c r="C11" s="6" t="n"/>
      <c r="D11" s="6" t="n"/>
      <c r="E11" s="6" t="n"/>
      <c r="F11" s="6" t="n"/>
      <c r="G11" s="6" t="n"/>
      <c r="H11" s="6" t="n"/>
      <c r="I11" s="6" t="n"/>
      <c r="J11" s="6" t="n"/>
      <c r="K11" s="6" t="n"/>
      <c r="L11" s="6" t="n"/>
      <c r="M11" s="6" t="n"/>
    </row>
    <row r="12">
      <c r="A12" s="6" t="inlineStr">
        <is>
          <t>5    CET1 ratio (%)</t>
        </is>
      </c>
      <c r="B12" s="6" t="inlineStr">
        <is>
          <t>21.0</t>
        </is>
      </c>
      <c r="C12" s="6" t="inlineStr">
        <is>
          <t>17.1</t>
        </is>
      </c>
      <c r="D12" s="6" t="inlineStr">
        <is>
          <t>19.5</t>
        </is>
      </c>
      <c r="E12" s="6" t="inlineStr">
        <is>
          <t>17.8</t>
        </is>
      </c>
      <c r="F12" s="6" t="inlineStr">
        <is>
          <t>16.3</t>
        </is>
      </c>
      <c r="G12" s="6" t="n"/>
      <c r="H12" s="6" t="n"/>
      <c r="I12" s="6" t="n"/>
      <c r="J12" s="6" t="n"/>
      <c r="K12" s="6" t="n"/>
      <c r="L12" s="6" t="n"/>
      <c r="M12" s="6" t="n"/>
    </row>
    <row r="13">
      <c r="A13" s="6" t="inlineStr">
        <is>
          <t>6    Tier 1 ratio (%)</t>
        </is>
      </c>
      <c r="B13" s="6" t="inlineStr">
        <is>
          <t>21.0</t>
        </is>
      </c>
      <c r="C13" s="6" t="inlineStr">
        <is>
          <t>17.1</t>
        </is>
      </c>
      <c r="D13" s="6" t="inlineStr">
        <is>
          <t>19.5</t>
        </is>
      </c>
      <c r="E13" s="6" t="inlineStr">
        <is>
          <t>17.8</t>
        </is>
      </c>
      <c r="F13" s="6" t="inlineStr">
        <is>
          <t>16.3</t>
        </is>
      </c>
      <c r="G13" s="6" t="n"/>
      <c r="H13" s="6" t="n"/>
      <c r="I13" s="6" t="n"/>
      <c r="J13" s="6" t="n"/>
      <c r="K13" s="6" t="n"/>
      <c r="L13" s="6" t="n"/>
      <c r="M13" s="6" t="n"/>
    </row>
    <row r="14">
      <c r="A14" s="6" t="inlineStr">
        <is>
          <t>7    Total capital ratio (%)</t>
        </is>
      </c>
      <c r="B14" s="6" t="inlineStr">
        <is>
          <t>21.0</t>
        </is>
      </c>
      <c r="C14" s="6" t="inlineStr">
        <is>
          <t>17.1</t>
        </is>
      </c>
      <c r="D14" s="6" t="inlineStr">
        <is>
          <t>19.5</t>
        </is>
      </c>
      <c r="E14" s="6" t="inlineStr">
        <is>
          <t>17.8</t>
        </is>
      </c>
      <c r="F14" s="6" t="inlineStr">
        <is>
          <t>16.3</t>
        </is>
      </c>
      <c r="G14" s="6" t="n"/>
      <c r="H14" s="6" t="n"/>
      <c r="I14" s="6" t="n"/>
      <c r="J14" s="6" t="n"/>
      <c r="K14" s="6" t="n"/>
      <c r="L14" s="6" t="n"/>
      <c r="M14" s="6" t="n"/>
    </row>
    <row r="15">
      <c r="A15" s="5" t="inlineStr">
        <is>
          <t>Additional own funds requirements, based on the SREP (as a percentage of the risk-weighted exposure amount)</t>
        </is>
      </c>
      <c r="B15" s="6" t="n"/>
      <c r="C15" s="6" t="n"/>
      <c r="D15" s="6" t="n"/>
      <c r="E15" s="6" t="n"/>
      <c r="F15" s="6" t="n"/>
      <c r="G15" s="6" t="n"/>
      <c r="H15" s="6" t="n"/>
      <c r="I15" s="6" t="n"/>
      <c r="J15" s="6" t="n"/>
      <c r="K15" s="6" t="n"/>
      <c r="L15" s="6" t="n"/>
      <c r="M15" s="6" t="n"/>
    </row>
    <row r="16">
      <c r="A16" s="6" t="inlineStr">
        <is>
          <t>UK 7a    Additional CET1 SREP requirements (%)</t>
        </is>
      </c>
      <c r="B16" s="6" t="inlineStr">
        <is>
          <t>1.6</t>
        </is>
      </c>
      <c r="C16" s="6" t="inlineStr">
        <is>
          <t>1.0</t>
        </is>
      </c>
      <c r="D16" s="6" t="inlineStr">
        <is>
          <t>1.0</t>
        </is>
      </c>
      <c r="E16" s="6" t="inlineStr">
        <is>
          <t>0.7</t>
        </is>
      </c>
      <c r="F16" s="6" t="inlineStr">
        <is>
          <t>0.7</t>
        </is>
      </c>
      <c r="G16" s="6" t="n"/>
      <c r="H16" s="6" t="n"/>
      <c r="I16" s="6" t="n"/>
      <c r="J16" s="6" t="n"/>
      <c r="K16" s="6" t="n"/>
      <c r="L16" s="6" t="n"/>
      <c r="M16" s="6" t="n"/>
    </row>
    <row r="17">
      <c r="A17" s="6" t="inlineStr">
        <is>
          <t>UK 7b    Additional Tier 1 SREP requirements (%)</t>
        </is>
      </c>
      <c r="B17" s="6" t="inlineStr">
        <is>
          <t>0.5</t>
        </is>
      </c>
      <c r="C17" s="6" t="inlineStr">
        <is>
          <t>0.3</t>
        </is>
      </c>
      <c r="D17" s="6" t="inlineStr">
        <is>
          <t>0.3</t>
        </is>
      </c>
      <c r="E17" s="6" t="inlineStr">
        <is>
          <t>0.2</t>
        </is>
      </c>
      <c r="F17" s="6" t="inlineStr">
        <is>
          <t>0.3</t>
        </is>
      </c>
      <c r="G17" s="6" t="n"/>
      <c r="H17" s="6" t="n"/>
      <c r="I17" s="6" t="n"/>
      <c r="J17" s="6" t="n"/>
      <c r="K17" s="6" t="n"/>
      <c r="L17" s="6" t="n"/>
      <c r="M17" s="6" t="n"/>
    </row>
    <row r="18">
      <c r="A18" s="6" t="inlineStr">
        <is>
          <t>UK 7c    Additional Tier 2 SREP requirements (%)</t>
        </is>
      </c>
      <c r="B18" s="6" t="inlineStr">
        <is>
          <t>0.7</t>
        </is>
      </c>
      <c r="C18" s="6" t="inlineStr">
        <is>
          <t>0.5</t>
        </is>
      </c>
      <c r="D18" s="6" t="inlineStr">
        <is>
          <t>0.5</t>
        </is>
      </c>
      <c r="E18" s="6" t="inlineStr">
        <is>
          <t>0.3</t>
        </is>
      </c>
      <c r="F18" s="6" t="inlineStr">
        <is>
          <t>0.3</t>
        </is>
      </c>
      <c r="G18" s="6" t="n"/>
      <c r="H18" s="6" t="n"/>
      <c r="I18" s="6" t="n"/>
      <c r="J18" s="6" t="n"/>
      <c r="K18" s="6" t="n"/>
      <c r="L18" s="6" t="n"/>
      <c r="M18" s="6" t="n"/>
    </row>
    <row r="19">
      <c r="A19" s="6" t="inlineStr">
        <is>
          <t>UK 7d    Total SREP own funds requirements (%)</t>
        </is>
      </c>
      <c r="B19" s="6" t="inlineStr">
        <is>
          <t>10.9</t>
        </is>
      </c>
      <c r="C19" s="6" t="inlineStr">
        <is>
          <t>9.8</t>
        </is>
      </c>
      <c r="D19" s="6" t="inlineStr">
        <is>
          <t>9.8</t>
        </is>
      </c>
      <c r="E19" s="6" t="inlineStr">
        <is>
          <t>9.3</t>
        </is>
      </c>
      <c r="F19" s="6" t="inlineStr">
        <is>
          <t>9.3</t>
        </is>
      </c>
      <c r="G19" s="6" t="n"/>
      <c r="H19" s="6" t="n"/>
      <c r="I19" s="6" t="n"/>
      <c r="J19" s="6" t="n"/>
      <c r="K19" s="6" t="n"/>
      <c r="L19" s="6" t="n"/>
      <c r="M19" s="6" t="n"/>
    </row>
    <row r="20">
      <c r="A20" s="5" t="inlineStr">
        <is>
          <t>Combined buffer requirement (as a percentage of the risk-weighted exposure amount)</t>
        </is>
      </c>
      <c r="B20" s="6" t="n"/>
      <c r="C20" s="6" t="n"/>
      <c r="D20" s="6" t="n"/>
      <c r="E20" s="6" t="n"/>
      <c r="F20" s="6" t="n"/>
      <c r="G20" s="6" t="n"/>
      <c r="H20" s="6" t="n"/>
      <c r="I20" s="6" t="n"/>
      <c r="J20" s="6" t="n"/>
      <c r="K20" s="6" t="n"/>
      <c r="L20" s="6" t="n"/>
      <c r="M20" s="6" t="n"/>
    </row>
    <row r="21">
      <c r="A21" s="6" t="inlineStr">
        <is>
          <t>8    Capital conservation buffer (%)</t>
        </is>
      </c>
      <c r="B21" s="6" t="inlineStr">
        <is>
          <t>2.5</t>
        </is>
      </c>
      <c r="C21" s="6" t="inlineStr">
        <is>
          <t>2.5</t>
        </is>
      </c>
      <c r="D21" s="6" t="inlineStr">
        <is>
          <t>2.5</t>
        </is>
      </c>
      <c r="E21" s="6" t="inlineStr">
        <is>
          <t>2.5</t>
        </is>
      </c>
      <c r="F21" s="6" t="inlineStr">
        <is>
          <t>2.5</t>
        </is>
      </c>
      <c r="G21" s="6" t="n"/>
      <c r="H21" s="6" t="n"/>
      <c r="I21" s="6" t="n"/>
      <c r="J21" s="6" t="n"/>
      <c r="K21" s="6" t="n"/>
      <c r="L21" s="6" t="n"/>
      <c r="M21" s="6" t="n"/>
    </row>
    <row r="22">
      <c r="A22" s="6" t="inlineStr">
        <is>
          <t>UK 8a    Conservation buffer due to macro-prudential or systemic risk identified at the level of a Member State (%)</t>
        </is>
      </c>
      <c r="B22" s="6" t="n"/>
      <c r="C22" s="6" t="n"/>
      <c r="D22" s="6" t="n"/>
      <c r="E22" s="6" t="n"/>
      <c r="F22" s="6" t="inlineStr">
        <is>
          <t>0</t>
        </is>
      </c>
      <c r="G22" s="6" t="n"/>
      <c r="H22" s="6" t="n"/>
      <c r="I22" s="6" t="n"/>
      <c r="J22" s="6" t="n"/>
      <c r="K22" s="6" t="n"/>
      <c r="L22" s="6" t="n"/>
      <c r="M22" s="6" t="n"/>
    </row>
    <row r="23">
      <c r="A23" s="6" t="inlineStr">
        <is>
          <t>9    Institution-specific countercyclical capital buffer (%)</t>
        </is>
      </c>
      <c r="B23" s="6" t="inlineStr">
        <is>
          <t>1.0</t>
        </is>
      </c>
      <c r="C23" s="6" t="inlineStr">
        <is>
          <t>1.1</t>
        </is>
      </c>
      <c r="D23" s="6" t="inlineStr">
        <is>
          <t>1.1</t>
        </is>
      </c>
      <c r="E23" s="6" t="inlineStr">
        <is>
          <t>0.4</t>
        </is>
      </c>
      <c r="F23" s="6" t="inlineStr">
        <is>
          <t>0.04</t>
        </is>
      </c>
      <c r="G23" s="6" t="n"/>
      <c r="H23" s="6" t="n"/>
      <c r="I23" s="6" t="n"/>
      <c r="J23" s="6" t="n"/>
      <c r="K23" s="6" t="n"/>
      <c r="L23" s="6" t="n"/>
      <c r="M23" s="6" t="n"/>
    </row>
    <row r="24">
      <c r="A24" s="6" t="inlineStr">
        <is>
          <t>11    Combined buffer requirement (%)</t>
        </is>
      </c>
      <c r="B24" s="6" t="inlineStr">
        <is>
          <t>3.5</t>
        </is>
      </c>
      <c r="C24" s="6" t="inlineStr">
        <is>
          <t>3.6</t>
        </is>
      </c>
      <c r="D24" s="6" t="inlineStr">
        <is>
          <t>3.6</t>
        </is>
      </c>
      <c r="E24" s="6" t="inlineStr">
        <is>
          <t>2.9</t>
        </is>
      </c>
      <c r="F24" s="6" t="inlineStr">
        <is>
          <t>2.504</t>
        </is>
      </c>
      <c r="G24" s="6" t="n"/>
      <c r="H24" s="6" t="n"/>
      <c r="I24" s="6" t="n"/>
      <c r="J24" s="6" t="n"/>
      <c r="K24" s="6" t="n"/>
      <c r="L24" s="6" t="n"/>
      <c r="M24" s="6" t="n"/>
    </row>
    <row r="25">
      <c r="A25" s="6" t="inlineStr">
        <is>
          <t>UK 11a    Overall capital requirement (%)</t>
        </is>
      </c>
      <c r="B25" s="6" t="inlineStr">
        <is>
          <t>14.4</t>
        </is>
      </c>
      <c r="C25" s="6" t="inlineStr">
        <is>
          <t>13.4</t>
        </is>
      </c>
      <c r="D25" s="6" t="inlineStr">
        <is>
          <t>13.4</t>
        </is>
      </c>
      <c r="E25" s="6" t="inlineStr">
        <is>
          <t>12.3</t>
        </is>
      </c>
      <c r="F25" s="6" t="inlineStr">
        <is>
          <t>12.0</t>
        </is>
      </c>
      <c r="G25" s="6" t="n"/>
      <c r="H25" s="6" t="n"/>
      <c r="I25" s="6" t="n"/>
      <c r="J25" s="6" t="n"/>
      <c r="K25" s="6" t="n"/>
      <c r="L25" s="6" t="n"/>
      <c r="M25" s="6" t="n"/>
    </row>
    <row r="26">
      <c r="A26" s="6" t="inlineStr">
        <is>
          <t>12    CET1 available after meeting the total SREP own funds requirements (%)</t>
        </is>
      </c>
      <c r="B26" s="6" t="inlineStr">
        <is>
          <t>10.1</t>
        </is>
      </c>
      <c r="C26" s="6" t="inlineStr">
        <is>
          <t>7.2</t>
        </is>
      </c>
      <c r="D26" s="6" t="inlineStr">
        <is>
          <t>9.6</t>
        </is>
      </c>
      <c r="E26" s="6" t="inlineStr">
        <is>
          <t>8.5</t>
        </is>
      </c>
      <c r="F26" s="6" t="inlineStr">
        <is>
          <t>7.0</t>
        </is>
      </c>
      <c r="G26" s="6" t="n"/>
      <c r="H26" s="6" t="n"/>
      <c r="I26" s="6" t="n"/>
      <c r="J26" s="6" t="n"/>
      <c r="K26" s="6" t="n"/>
      <c r="L26" s="6" t="n"/>
      <c r="M26" s="6" t="n"/>
    </row>
    <row r="27">
      <c r="A27" s="5" t="inlineStr">
        <is>
          <t>Leverage ratio</t>
        </is>
      </c>
      <c r="B27" s="6" t="n"/>
      <c r="C27" s="6" t="n"/>
      <c r="D27" s="6" t="n"/>
      <c r="E27" s="6" t="n"/>
      <c r="F27" s="6" t="n"/>
      <c r="G27" s="6" t="n"/>
      <c r="H27" s="6" t="n"/>
      <c r="I27" s="6" t="n"/>
      <c r="J27" s="6" t="n"/>
      <c r="K27" s="6" t="n"/>
      <c r="L27" s="6" t="n"/>
      <c r="M27" s="6" t="n"/>
    </row>
    <row r="28">
      <c r="A28" s="6" t="inlineStr">
        <is>
          <t>13    Total exposure measure, excluding claims on central banks (USD m)</t>
        </is>
      </c>
      <c r="B28" s="6" t="n">
        <v>73939</v>
      </c>
      <c r="C28" s="6" t="n">
        <v>57267</v>
      </c>
      <c r="D28" s="6" t="n">
        <v>37072</v>
      </c>
      <c r="E28" s="6" t="n">
        <v>36713</v>
      </c>
      <c r="F28" s="6" t="n">
        <v>39509</v>
      </c>
      <c r="G28" s="6" t="n"/>
      <c r="H28" s="6" t="n"/>
      <c r="I28" s="6" t="n"/>
      <c r="J28" s="6" t="n"/>
      <c r="K28" s="6" t="n"/>
      <c r="L28" s="6" t="n"/>
      <c r="M28" s="6" t="n"/>
    </row>
    <row r="29">
      <c r="A29" s="6" t="inlineStr">
        <is>
          <t>14    Leverage ratio, excluding claims on central banks (%)</t>
        </is>
      </c>
      <c r="B29" s="6" t="inlineStr">
        <is>
          <t>8.3</t>
        </is>
      </c>
      <c r="C29" s="6" t="inlineStr">
        <is>
          <t>10.1</t>
        </is>
      </c>
      <c r="D29" s="6" t="inlineStr">
        <is>
          <t>14.8</t>
        </is>
      </c>
      <c r="E29" s="6" t="inlineStr">
        <is>
          <t>13.8</t>
        </is>
      </c>
      <c r="F29" s="6" t="inlineStr">
        <is>
          <t>12.4</t>
        </is>
      </c>
      <c r="G29" s="6" t="n"/>
      <c r="H29" s="6" t="n"/>
      <c r="I29" s="6" t="n"/>
      <c r="J29" s="6" t="n"/>
      <c r="K29" s="6" t="n"/>
      <c r="L29" s="6" t="n"/>
      <c r="M29" s="6" t="n"/>
    </row>
    <row r="30">
      <c r="A30" s="5" t="inlineStr">
        <is>
          <t>Additional leverage ratio disclosure requirements</t>
        </is>
      </c>
      <c r="B30" s="6" t="n"/>
      <c r="C30" s="6" t="n"/>
      <c r="D30" s="6" t="n"/>
      <c r="E30" s="6" t="n"/>
      <c r="F30" s="6" t="n"/>
      <c r="G30" s="6" t="n"/>
      <c r="H30" s="6" t="n"/>
      <c r="I30" s="6" t="n"/>
      <c r="J30" s="6" t="n"/>
      <c r="K30" s="6" t="n"/>
      <c r="L30" s="6" t="n"/>
      <c r="M30" s="6" t="n"/>
    </row>
    <row r="31">
      <c r="A31" s="6" t="inlineStr">
        <is>
          <t>14a    Fully loaded ECL accounting model leverage ratio, excluding claims on central banks (%)</t>
        </is>
      </c>
      <c r="B31" s="6" t="inlineStr">
        <is>
          <t>8.3</t>
        </is>
      </c>
      <c r="C31" s="6" t="inlineStr">
        <is>
          <t>10.1</t>
        </is>
      </c>
      <c r="D31" s="6" t="inlineStr">
        <is>
          <t>14.8</t>
        </is>
      </c>
      <c r="E31" s="6" t="inlineStr">
        <is>
          <t>13.8</t>
        </is>
      </c>
      <c r="F31" s="6" t="n"/>
      <c r="G31" s="6" t="n"/>
      <c r="H31" s="6" t="n"/>
      <c r="I31" s="6" t="n"/>
      <c r="J31" s="6" t="n"/>
      <c r="K31" s="6" t="n"/>
      <c r="L31" s="6" t="n"/>
      <c r="M31" s="6" t="n"/>
    </row>
    <row r="32">
      <c r="A32" s="6" t="inlineStr">
        <is>
          <t>14b    Leverage ratio, including claims on central banks (%)</t>
        </is>
      </c>
      <c r="B32" s="6" t="inlineStr">
        <is>
          <t>7.2</t>
        </is>
      </c>
      <c r="C32" s="6" t="inlineStr">
        <is>
          <t>7.0</t>
        </is>
      </c>
      <c r="D32" s="6" t="inlineStr">
        <is>
          <t>9.2</t>
        </is>
      </c>
      <c r="E32" s="6" t="inlineStr">
        <is>
          <t>8.2</t>
        </is>
      </c>
      <c r="F32" s="6" t="n"/>
      <c r="G32" s="6" t="n"/>
      <c r="H32" s="6" t="n"/>
      <c r="I32" s="6" t="n"/>
      <c r="J32" s="6" t="n"/>
      <c r="K32" s="6" t="n"/>
      <c r="L32" s="6" t="n"/>
      <c r="M32" s="6" t="n"/>
    </row>
    <row r="33">
      <c r="A33" s="6" t="inlineStr">
        <is>
          <t>14c    Average leverage ratio, excluding claims on central banks (%)</t>
        </is>
      </c>
      <c r="B33" s="6" t="inlineStr">
        <is>
          <t>8.3</t>
        </is>
      </c>
      <c r="C33" s="6" t="inlineStr">
        <is>
          <t>9.9</t>
        </is>
      </c>
      <c r="D33" s="6" t="inlineStr">
        <is>
          <t>14.0</t>
        </is>
      </c>
      <c r="E33" s="6" t="inlineStr">
        <is>
          <t>13.4</t>
        </is>
      </c>
      <c r="F33" s="6" t="n"/>
      <c r="G33" s="6" t="n"/>
      <c r="H33" s="6" t="n"/>
      <c r="I33" s="6" t="n"/>
      <c r="J33" s="6" t="n"/>
      <c r="K33" s="6" t="n"/>
      <c r="L33" s="6" t="n"/>
      <c r="M33" s="6" t="n"/>
    </row>
    <row r="34">
      <c r="A34" s="6" t="inlineStr">
        <is>
          <t>14d    Average leverage ratio, including claims on central banks (%)</t>
        </is>
      </c>
      <c r="B34" s="6" t="inlineStr">
        <is>
          <t>6.7</t>
        </is>
      </c>
      <c r="C34" s="6" t="inlineStr">
        <is>
          <t>7.1</t>
        </is>
      </c>
      <c r="D34" s="6" t="inlineStr">
        <is>
          <t>9.0</t>
        </is>
      </c>
      <c r="E34" s="6" t="inlineStr">
        <is>
          <t>8.1</t>
        </is>
      </c>
      <c r="F34" s="6" t="n"/>
      <c r="G34" s="6" t="n"/>
      <c r="H34" s="6" t="n"/>
      <c r="I34" s="6" t="n"/>
      <c r="J34" s="6" t="n"/>
      <c r="K34" s="6" t="n"/>
      <c r="L34" s="6" t="n"/>
      <c r="M34" s="6" t="n"/>
    </row>
    <row r="35">
      <c r="A35" s="6" t="inlineStr">
        <is>
          <t>14e    Countercyclical leverage ratio buffer (%)</t>
        </is>
      </c>
      <c r="B35" s="6" t="inlineStr">
        <is>
          <t>0.4</t>
        </is>
      </c>
      <c r="C35" s="6" t="inlineStr">
        <is>
          <t>0.4</t>
        </is>
      </c>
      <c r="D35" s="6" t="inlineStr">
        <is>
          <t>0.4</t>
        </is>
      </c>
      <c r="E35" s="6" t="inlineStr">
        <is>
          <t>0.2</t>
        </is>
      </c>
      <c r="F35" s="6" t="n"/>
      <c r="G35" s="6" t="n"/>
      <c r="H35" s="6" t="n"/>
      <c r="I35" s="6" t="n"/>
      <c r="J35" s="6" t="n"/>
      <c r="K35" s="6" t="n"/>
      <c r="L35" s="6" t="n"/>
      <c r="M35" s="6" t="n"/>
    </row>
    <row r="36">
      <c r="A36" s="5" t="inlineStr">
        <is>
          <t>Liquidity coverage ratio</t>
        </is>
      </c>
      <c r="B36" s="6" t="n"/>
      <c r="C36" s="6" t="n"/>
      <c r="D36" s="6" t="n"/>
      <c r="E36" s="6" t="n"/>
      <c r="F36" s="6" t="n"/>
      <c r="G36" s="6" t="n"/>
      <c r="H36" s="6" t="n"/>
      <c r="I36" s="6" t="n"/>
      <c r="J36" s="6" t="n"/>
      <c r="K36" s="6" t="n"/>
      <c r="L36" s="6" t="n"/>
      <c r="M36" s="6" t="n"/>
    </row>
    <row r="37">
      <c r="A37" s="6" t="inlineStr">
        <is>
          <t>15    Total High-quality Liquid Assets (HQLA) (weighted value – average) (USD m)</t>
        </is>
      </c>
      <c r="B37" s="6" t="n">
        <v>29498</v>
      </c>
      <c r="C37" s="6" t="n">
        <v>25359</v>
      </c>
      <c r="D37" s="6" t="n">
        <v>25071</v>
      </c>
      <c r="E37" s="6" t="n">
        <v>27770</v>
      </c>
      <c r="F37" s="6" t="n">
        <v>27160</v>
      </c>
      <c r="G37" s="6" t="n"/>
      <c r="H37" s="6" t="n"/>
      <c r="I37" s="6" t="n"/>
      <c r="J37" s="6" t="n"/>
      <c r="K37" s="6" t="n"/>
      <c r="L37" s="6" t="n"/>
      <c r="M37" s="6" t="n"/>
    </row>
    <row r="38">
      <c r="A38" s="6" t="inlineStr">
        <is>
          <t>UK 16a    Cash outflows – Total weighted value (USD m)</t>
        </is>
      </c>
      <c r="B38" s="6" t="n">
        <v>25852</v>
      </c>
      <c r="C38" s="6" t="n">
        <v>20582</v>
      </c>
      <c r="D38" s="6" t="n">
        <v>19489</v>
      </c>
      <c r="E38" s="6" t="n">
        <v>22064</v>
      </c>
      <c r="F38" s="6" t="n">
        <v>23682</v>
      </c>
      <c r="G38" s="6" t="n"/>
      <c r="H38" s="6" t="n"/>
      <c r="I38" s="6" t="n"/>
      <c r="J38" s="6" t="n"/>
      <c r="K38" s="6" t="n"/>
      <c r="L38" s="6" t="n"/>
      <c r="M38" s="6" t="n"/>
    </row>
    <row r="39">
      <c r="A39" s="6" t="inlineStr">
        <is>
          <t>UK 16b    Cash inflows – Total weighted value (USD m)</t>
        </is>
      </c>
      <c r="B39" s="6" t="n">
        <v>6799</v>
      </c>
      <c r="C39" s="6" t="n">
        <v>4747</v>
      </c>
      <c r="D39" s="6" t="n">
        <v>3380</v>
      </c>
      <c r="E39" s="6" t="n">
        <v>2970</v>
      </c>
      <c r="F39" s="6" t="n">
        <v>3646</v>
      </c>
      <c r="G39" s="6" t="n"/>
      <c r="H39" s="6" t="n"/>
      <c r="I39" s="6" t="n"/>
      <c r="J39" s="6" t="n"/>
      <c r="K39" s="6" t="n"/>
      <c r="L39" s="6" t="n"/>
      <c r="M39" s="6" t="n"/>
    </row>
    <row r="40">
      <c r="A40" s="6" t="inlineStr">
        <is>
          <t>16    Total net cash outflows (adjusted value) (USD m)</t>
        </is>
      </c>
      <c r="B40" s="6" t="n">
        <v>19053</v>
      </c>
      <c r="C40" s="6" t="n">
        <v>15835</v>
      </c>
      <c r="D40" s="6" t="n">
        <v>16110</v>
      </c>
      <c r="E40" s="6" t="n">
        <v>19094</v>
      </c>
      <c r="F40" s="6" t="n">
        <v>20036</v>
      </c>
      <c r="G40" s="6" t="n"/>
      <c r="H40" s="6" t="n"/>
      <c r="I40" s="6" t="n"/>
      <c r="J40" s="6" t="n"/>
      <c r="K40" s="6" t="n"/>
      <c r="L40" s="6" t="n"/>
      <c r="M40" s="6" t="n"/>
    </row>
    <row r="41">
      <c r="A41" s="6" t="inlineStr">
        <is>
          <t>17    Liquidity coverage ratio (%)</t>
        </is>
      </c>
      <c r="B41" s="6" t="inlineStr">
        <is>
          <t>154.8</t>
        </is>
      </c>
      <c r="C41" s="6" t="inlineStr">
        <is>
          <t>160.1</t>
        </is>
      </c>
      <c r="D41" s="6" t="inlineStr">
        <is>
          <t>155.6</t>
        </is>
      </c>
      <c r="E41" s="6" t="inlineStr">
        <is>
          <t>145.4</t>
        </is>
      </c>
      <c r="F41" s="6" t="inlineStr">
        <is>
          <t>136</t>
        </is>
      </c>
      <c r="G41" s="6" t="n"/>
      <c r="H41" s="6" t="n"/>
      <c r="I41" s="6" t="n"/>
      <c r="J41" s="6" t="n"/>
      <c r="K41" s="6" t="n"/>
      <c r="L41" s="6" t="n"/>
      <c r="M41" s="6" t="n"/>
    </row>
    <row r="42">
      <c r="A42" s="5" t="inlineStr">
        <is>
          <t>Net stable funding ratio</t>
        </is>
      </c>
      <c r="B42" s="6" t="n"/>
      <c r="C42" s="6" t="n"/>
      <c r="D42" s="6" t="n"/>
      <c r="E42" s="6" t="n"/>
      <c r="F42" s="6" t="n"/>
      <c r="G42" s="6" t="n"/>
      <c r="H42" s="6" t="n"/>
      <c r="I42" s="6" t="n"/>
      <c r="J42" s="6" t="n"/>
      <c r="K42" s="6" t="n"/>
      <c r="L42" s="6" t="n"/>
      <c r="M42" s="6" t="n"/>
    </row>
    <row r="43">
      <c r="A43" s="6" t="inlineStr">
        <is>
          <t>18    Total available stable funding (USD m)</t>
        </is>
      </c>
      <c r="B43" s="6" t="n">
        <v>25902</v>
      </c>
      <c r="C43" s="6" t="n">
        <v>22673</v>
      </c>
      <c r="D43" s="6" t="n">
        <v>23986</v>
      </c>
      <c r="E43" s="6" t="n">
        <v>23984</v>
      </c>
      <c r="F43" s="6" t="n">
        <v>23643</v>
      </c>
      <c r="G43" s="6" t="n"/>
      <c r="H43" s="6" t="n"/>
      <c r="I43" s="6" t="n"/>
      <c r="J43" s="6" t="n"/>
      <c r="K43" s="6" t="n"/>
      <c r="L43" s="6" t="n"/>
      <c r="M43" s="6" t="n"/>
    </row>
    <row r="44">
      <c r="A44" s="6" t="inlineStr">
        <is>
          <t>19    Total required stable funding (USD m)</t>
        </is>
      </c>
      <c r="B44" s="6" t="n">
        <v>19511</v>
      </c>
      <c r="C44" s="6" t="n">
        <v>17827</v>
      </c>
      <c r="D44" s="6" t="n">
        <v>16912</v>
      </c>
      <c r="E44" s="6" t="n">
        <v>16839</v>
      </c>
      <c r="F44" s="6" t="n">
        <v>17713</v>
      </c>
      <c r="G44" s="6" t="n"/>
      <c r="H44" s="6" t="n"/>
      <c r="I44" s="6" t="n"/>
      <c r="J44" s="6" t="n"/>
      <c r="K44" s="6" t="n"/>
      <c r="L44" s="6" t="n"/>
      <c r="M44" s="6" t="n"/>
    </row>
    <row r="45">
      <c r="A45" s="6" t="inlineStr">
        <is>
          <t>20    NSFR ratio (%)</t>
        </is>
      </c>
      <c r="B45" s="6" t="inlineStr">
        <is>
          <t>132.8</t>
        </is>
      </c>
      <c r="C45" s="6" t="inlineStr">
        <is>
          <t>127.2</t>
        </is>
      </c>
      <c r="D45" s="6" t="inlineStr">
        <is>
          <t>141.8</t>
        </is>
      </c>
      <c r="E45" s="6" t="inlineStr">
        <is>
          <t>142.4</t>
        </is>
      </c>
      <c r="F45" s="6" t="inlineStr">
        <is>
          <t>133.5</t>
        </is>
      </c>
      <c r="G45" s="6" t="n"/>
      <c r="H45" s="6" t="n"/>
      <c r="I45" s="6" t="n"/>
      <c r="J45" s="6" t="n"/>
      <c r="K45" s="6" t="n"/>
      <c r="L45" s="6" t="n"/>
      <c r="M45" s="6" t="n"/>
    </row>
    <row r="46">
      <c r="A46" s="5" t="inlineStr">
        <is>
          <t>Pre-2022 Basel III key metrics dashboard — as printed in the FY2016-FY2021 editions. Its row numbers are the Basel template's and do NOT correspond to the UK template's above</t>
        </is>
      </c>
      <c r="B46" s="6" t="n"/>
      <c r="C46" s="6" t="n"/>
      <c r="D46" s="6" t="n"/>
      <c r="E46" s="6" t="n"/>
      <c r="F46" s="6" t="n"/>
      <c r="G46" s="6" t="n"/>
      <c r="H46" s="6" t="n"/>
      <c r="I46" s="6" t="n"/>
      <c r="J46" s="6" t="n"/>
      <c r="K46" s="6" t="n"/>
      <c r="L46" s="6" t="n"/>
      <c r="M46" s="6" t="n"/>
    </row>
    <row r="47">
      <c r="A47" s="5" t="inlineStr">
        <is>
          <t>Available capital</t>
        </is>
      </c>
      <c r="B47" s="6" t="n"/>
      <c r="C47" s="6" t="n"/>
      <c r="D47" s="6" t="n"/>
      <c r="E47" s="6" t="n"/>
      <c r="F47" s="6" t="n"/>
      <c r="G47" s="6" t="n"/>
      <c r="H47" s="6" t="n"/>
      <c r="I47" s="6" t="n"/>
      <c r="J47" s="6" t="n"/>
      <c r="K47" s="6" t="n"/>
      <c r="L47" s="6" t="n"/>
      <c r="M47" s="6" t="n"/>
    </row>
    <row r="48">
      <c r="A48" s="6" t="inlineStr">
        <is>
          <t>1    Common Equity Tier 1 (CET1) (USD m)</t>
        </is>
      </c>
      <c r="B48" s="6" t="n"/>
      <c r="C48" s="6" t="n"/>
      <c r="D48" s="6" t="n"/>
      <c r="E48" s="6" t="n"/>
      <c r="F48" s="6" t="n"/>
      <c r="G48" s="6" t="n">
        <v>4787.9</v>
      </c>
      <c r="H48" s="6" t="n">
        <v>4583.3</v>
      </c>
      <c r="I48" s="6" t="n">
        <v>4320.3</v>
      </c>
      <c r="J48" s="6" t="n">
        <v>4036.1</v>
      </c>
      <c r="K48" s="6" t="n">
        <v>3817.2</v>
      </c>
      <c r="L48" s="6" t="n">
        <v>3685.2</v>
      </c>
      <c r="M48" s="6" t="n">
        <v>3607.9</v>
      </c>
    </row>
    <row r="49">
      <c r="A49" s="6" t="inlineStr">
        <is>
          <t>2    Tier 1 (USD m)</t>
        </is>
      </c>
      <c r="B49" s="6" t="n"/>
      <c r="C49" s="6" t="n"/>
      <c r="D49" s="6" t="n"/>
      <c r="E49" s="6" t="n"/>
      <c r="F49" s="6" t="n"/>
      <c r="G49" s="6" t="n">
        <v>4787.9</v>
      </c>
      <c r="H49" s="6" t="n">
        <v>4583.3</v>
      </c>
      <c r="I49" s="6" t="n">
        <v>4320.3</v>
      </c>
      <c r="J49" s="6" t="n">
        <v>4036.1</v>
      </c>
      <c r="K49" s="6" t="n">
        <v>3817.2</v>
      </c>
      <c r="L49" s="6" t="n">
        <v>3685.2</v>
      </c>
      <c r="M49" s="6" t="n">
        <v>3607.9</v>
      </c>
    </row>
    <row r="50">
      <c r="A50" s="6" t="inlineStr">
        <is>
          <t>3    Total capital (USD m)</t>
        </is>
      </c>
      <c r="B50" s="6" t="n"/>
      <c r="C50" s="6" t="n"/>
      <c r="D50" s="6" t="n"/>
      <c r="E50" s="6" t="n"/>
      <c r="F50" s="6" t="n"/>
      <c r="G50" s="6" t="n">
        <v>4787.9</v>
      </c>
      <c r="H50" s="6" t="n">
        <v>4583.3</v>
      </c>
      <c r="I50" s="6" t="n">
        <v>4320.3</v>
      </c>
      <c r="J50" s="6" t="n">
        <v>4036.1</v>
      </c>
      <c r="K50" s="6" t="n">
        <v>3817.2</v>
      </c>
      <c r="L50" s="6" t="n">
        <v>3685.2</v>
      </c>
      <c r="M50" s="6" t="n">
        <v>3607.9</v>
      </c>
    </row>
    <row r="51">
      <c r="A51" s="5" t="inlineStr">
        <is>
          <t>Risk-weighted assets</t>
        </is>
      </c>
      <c r="B51" s="6" t="n"/>
      <c r="C51" s="6" t="n"/>
      <c r="D51" s="6" t="n"/>
      <c r="E51" s="6" t="n"/>
      <c r="F51" s="6" t="n"/>
      <c r="G51" s="6" t="n"/>
      <c r="H51" s="6" t="n"/>
      <c r="I51" s="6" t="n"/>
      <c r="J51" s="6" t="n"/>
      <c r="K51" s="6" t="n"/>
      <c r="L51" s="6" t="n"/>
      <c r="M51" s="6" t="n"/>
    </row>
    <row r="52">
      <c r="A52" s="6" t="inlineStr">
        <is>
          <t>4    Total risk-weighted assets (RWA) (USD m)</t>
        </is>
      </c>
      <c r="B52" s="6" t="n"/>
      <c r="C52" s="6" t="n"/>
      <c r="D52" s="6" t="n"/>
      <c r="E52" s="6" t="n"/>
      <c r="F52" s="6" t="n"/>
      <c r="G52" s="6" t="n">
        <v>28662.1</v>
      </c>
      <c r="H52" s="6" t="n">
        <v>28958.3</v>
      </c>
      <c r="I52" s="6" t="n">
        <v>23357.1</v>
      </c>
      <c r="J52" s="6" t="n">
        <v>24087.4</v>
      </c>
      <c r="K52" s="6" t="n">
        <v>18277.5</v>
      </c>
      <c r="L52" s="6" t="n">
        <v>20041.1</v>
      </c>
      <c r="M52" s="6" t="n">
        <v>14520.4</v>
      </c>
    </row>
    <row r="53">
      <c r="A53" s="5" t="inlineStr">
        <is>
          <t>Risk-based capital ratios as a percentage of RWA</t>
        </is>
      </c>
      <c r="B53" s="6" t="n"/>
      <c r="C53" s="6" t="n"/>
      <c r="D53" s="6" t="n"/>
      <c r="E53" s="6" t="n"/>
      <c r="F53" s="6" t="n"/>
      <c r="G53" s="6" t="n"/>
      <c r="H53" s="6" t="n"/>
      <c r="I53" s="6" t="n"/>
      <c r="J53" s="6" t="n"/>
      <c r="K53" s="6" t="n"/>
      <c r="L53" s="6" t="n"/>
      <c r="M53" s="6" t="n"/>
    </row>
    <row r="54">
      <c r="A54" s="6" t="inlineStr">
        <is>
          <t>5    Common Equity Tier 1 ratio (%)</t>
        </is>
      </c>
      <c r="B54" s="6" t="n"/>
      <c r="C54" s="6" t="n"/>
      <c r="D54" s="6" t="n"/>
      <c r="E54" s="6" t="n"/>
      <c r="F54" s="6" t="n"/>
      <c r="G54" s="6" t="inlineStr">
        <is>
          <t>16.7%</t>
        </is>
      </c>
      <c r="H54" s="6" t="inlineStr">
        <is>
          <t>15.8%</t>
        </is>
      </c>
      <c r="I54" s="6" t="inlineStr">
        <is>
          <t>18.5%</t>
        </is>
      </c>
      <c r="J54" s="6" t="inlineStr">
        <is>
          <t>16.8%</t>
        </is>
      </c>
      <c r="K54" s="6" t="inlineStr">
        <is>
          <t>20.9%</t>
        </is>
      </c>
      <c r="L54" s="6" t="inlineStr">
        <is>
          <t>18.4%</t>
        </is>
      </c>
      <c r="M54" s="6" t="inlineStr">
        <is>
          <t>24.8%</t>
        </is>
      </c>
    </row>
    <row r="55">
      <c r="A55" s="6" t="inlineStr">
        <is>
          <t>6    Tier 1 ratio (%)</t>
        </is>
      </c>
      <c r="B55" s="6" t="n"/>
      <c r="C55" s="6" t="n"/>
      <c r="D55" s="6" t="n"/>
      <c r="E55" s="6" t="n"/>
      <c r="F55" s="6" t="n"/>
      <c r="G55" s="6" t="inlineStr">
        <is>
          <t>16.7%</t>
        </is>
      </c>
      <c r="H55" s="6" t="inlineStr">
        <is>
          <t>15.8%</t>
        </is>
      </c>
      <c r="I55" s="6" t="inlineStr">
        <is>
          <t>18.5%</t>
        </is>
      </c>
      <c r="J55" s="6" t="inlineStr">
        <is>
          <t>16.8%</t>
        </is>
      </c>
      <c r="K55" s="6" t="inlineStr">
        <is>
          <t>20.9%</t>
        </is>
      </c>
      <c r="L55" s="6" t="inlineStr">
        <is>
          <t>18.4%</t>
        </is>
      </c>
      <c r="M55" s="6" t="inlineStr">
        <is>
          <t>24.8%</t>
        </is>
      </c>
    </row>
    <row r="56">
      <c r="A56" s="6" t="inlineStr">
        <is>
          <t>7    Total capital ratio (%)</t>
        </is>
      </c>
      <c r="B56" s="6" t="n"/>
      <c r="C56" s="6" t="n"/>
      <c r="D56" s="6" t="n"/>
      <c r="E56" s="6" t="n"/>
      <c r="F56" s="6" t="n"/>
      <c r="G56" s="6" t="inlineStr">
        <is>
          <t>16.7%</t>
        </is>
      </c>
      <c r="H56" s="6" t="inlineStr">
        <is>
          <t>15.8%</t>
        </is>
      </c>
      <c r="I56" s="6" t="inlineStr">
        <is>
          <t>18.5%</t>
        </is>
      </c>
      <c r="J56" s="6" t="inlineStr">
        <is>
          <t>16.8%</t>
        </is>
      </c>
      <c r="K56" s="6" t="inlineStr">
        <is>
          <t>20.9%</t>
        </is>
      </c>
      <c r="L56" s="6" t="inlineStr">
        <is>
          <t>18.4%</t>
        </is>
      </c>
      <c r="M56" s="6" t="inlineStr">
        <is>
          <t>24.8%</t>
        </is>
      </c>
    </row>
    <row r="57">
      <c r="A57" s="5" t="inlineStr">
        <is>
          <t>Additional CET1 buffers requirements as a percentage of RWA</t>
        </is>
      </c>
      <c r="B57" s="6" t="n"/>
      <c r="C57" s="6" t="n"/>
      <c r="D57" s="6" t="n"/>
      <c r="E57" s="6" t="n"/>
      <c r="F57" s="6" t="n"/>
      <c r="G57" s="6" t="n"/>
      <c r="H57" s="6" t="n"/>
      <c r="I57" s="6" t="n"/>
      <c r="J57" s="6" t="n"/>
      <c r="K57" s="6" t="n"/>
      <c r="L57" s="6" t="n"/>
      <c r="M57" s="6" t="n"/>
    </row>
    <row r="58">
      <c r="A58" s="6" t="inlineStr">
        <is>
          <t>8    Capital conservation buffer requirements (2.5% from 2019)</t>
        </is>
      </c>
      <c r="B58" s="6" t="n"/>
      <c r="C58" s="6" t="n"/>
      <c r="D58" s="6" t="n"/>
      <c r="E58" s="6" t="n"/>
      <c r="F58" s="6" t="n"/>
      <c r="G58" s="6" t="inlineStr">
        <is>
          <t>2.500%</t>
        </is>
      </c>
      <c r="H58" s="6" t="inlineStr">
        <is>
          <t>2.500%</t>
        </is>
      </c>
      <c r="I58" s="6" t="inlineStr">
        <is>
          <t>2.500%</t>
        </is>
      </c>
      <c r="J58" s="6" t="inlineStr">
        <is>
          <t>1.875%</t>
        </is>
      </c>
      <c r="K58" s="6" t="inlineStr">
        <is>
          <t>1.250%</t>
        </is>
      </c>
      <c r="L58" s="6" t="inlineStr">
        <is>
          <t>0.625%</t>
        </is>
      </c>
      <c r="M58" s="6" t="n"/>
    </row>
    <row r="59">
      <c r="A59" s="6" t="inlineStr">
        <is>
          <t>9    Countercyclical buffer requirement</t>
        </is>
      </c>
      <c r="B59" s="6" t="n"/>
      <c r="C59" s="6" t="n"/>
      <c r="D59" s="6" t="n"/>
      <c r="E59" s="6" t="n"/>
      <c r="F59" s="6" t="n"/>
      <c r="G59" s="6" t="inlineStr">
        <is>
          <t>0.037%</t>
        </is>
      </c>
      <c r="H59" s="6" t="inlineStr">
        <is>
          <t>0.091%</t>
        </is>
      </c>
      <c r="I59" s="6" t="inlineStr">
        <is>
          <t>0.358%</t>
        </is>
      </c>
      <c r="J59" s="6" t="inlineStr">
        <is>
          <t>0.066%</t>
        </is>
      </c>
      <c r="K59" s="6" t="inlineStr">
        <is>
          <t>0.061%</t>
        </is>
      </c>
      <c r="L59" s="6" t="inlineStr">
        <is>
          <t>0.032%</t>
        </is>
      </c>
      <c r="M59" s="6" t="n"/>
    </row>
    <row r="60">
      <c r="A60" s="6" t="inlineStr">
        <is>
          <t>11    Total of bank CET1 specific buffer requirements</t>
        </is>
      </c>
      <c r="B60" s="6" t="n"/>
      <c r="C60" s="6" t="n"/>
      <c r="D60" s="6" t="n"/>
      <c r="E60" s="6" t="n"/>
      <c r="F60" s="6" t="n"/>
      <c r="G60" s="6" t="inlineStr">
        <is>
          <t>2.537%</t>
        </is>
      </c>
      <c r="H60" s="6" t="inlineStr">
        <is>
          <t>2.591%</t>
        </is>
      </c>
      <c r="I60" s="6" t="inlineStr">
        <is>
          <t>2.858%</t>
        </is>
      </c>
      <c r="J60" s="6" t="inlineStr">
        <is>
          <t>1.941%</t>
        </is>
      </c>
      <c r="K60" s="6" t="inlineStr">
        <is>
          <t>1.311%</t>
        </is>
      </c>
      <c r="L60" s="6" t="inlineStr">
        <is>
          <t>0.657%</t>
        </is>
      </c>
      <c r="M60" s="6" t="n"/>
    </row>
    <row r="61">
      <c r="A61" s="5" t="inlineStr">
        <is>
          <t>Basel III leverage ratio</t>
        </is>
      </c>
      <c r="B61" s="6" t="n"/>
      <c r="C61" s="6" t="n"/>
      <c r="D61" s="6" t="n"/>
      <c r="E61" s="6" t="n"/>
      <c r="F61" s="6" t="n"/>
      <c r="G61" s="6" t="n"/>
      <c r="H61" s="6" t="n"/>
      <c r="I61" s="6" t="n"/>
      <c r="J61" s="6" t="n"/>
      <c r="K61" s="6" t="n"/>
      <c r="L61" s="6" t="n"/>
      <c r="M61" s="6" t="n"/>
    </row>
    <row r="62">
      <c r="A62" s="6" t="inlineStr">
        <is>
          <t>13    Total Basel III leverage ratio exposure measure (USD m)</t>
        </is>
      </c>
      <c r="B62" s="6" t="n"/>
      <c r="C62" s="6" t="n"/>
      <c r="D62" s="6" t="n"/>
      <c r="E62" s="6" t="n"/>
      <c r="F62" s="6" t="n"/>
      <c r="G62" s="6" t="n">
        <v>62531.4</v>
      </c>
      <c r="H62" s="6" t="n">
        <v>67858.7</v>
      </c>
      <c r="I62" s="6" t="n">
        <v>56691</v>
      </c>
      <c r="J62" s="6" t="n">
        <v>70307.10000000001</v>
      </c>
      <c r="K62" s="6" t="n">
        <v>45662</v>
      </c>
      <c r="L62" s="6" t="n">
        <v>51919</v>
      </c>
      <c r="M62" s="6" t="n">
        <v>37242.9</v>
      </c>
    </row>
    <row r="63">
      <c r="A63" s="6" t="inlineStr">
        <is>
          <t>14    Basell III leverage ratio (%)</t>
        </is>
      </c>
      <c r="B63" s="6" t="n"/>
      <c r="C63" s="6" t="n"/>
      <c r="D63" s="6" t="n"/>
      <c r="E63" s="6" t="n"/>
      <c r="F63" s="6" t="n"/>
      <c r="G63" s="6" t="inlineStr">
        <is>
          <t>7.7%</t>
        </is>
      </c>
      <c r="H63" s="6" t="inlineStr">
        <is>
          <t>6.8%</t>
        </is>
      </c>
      <c r="I63" s="6" t="inlineStr">
        <is>
          <t>7.6%</t>
        </is>
      </c>
      <c r="J63" s="6" t="inlineStr">
        <is>
          <t>5.8%</t>
        </is>
      </c>
      <c r="K63" s="6" t="inlineStr">
        <is>
          <t>8.4%</t>
        </is>
      </c>
      <c r="L63" s="6" t="inlineStr">
        <is>
          <t>7.1%</t>
        </is>
      </c>
      <c r="M63" s="6" t="inlineStr">
        <is>
          <t>9.7%</t>
        </is>
      </c>
    </row>
    <row r="64">
      <c r="A64" s="5" t="inlineStr">
        <is>
          <t>Liquidity Coverage Ratio</t>
        </is>
      </c>
      <c r="B64" s="6" t="n"/>
      <c r="C64" s="6" t="n"/>
      <c r="D64" s="6" t="n"/>
      <c r="E64" s="6" t="n"/>
      <c r="F64" s="6" t="n"/>
      <c r="G64" s="6" t="n"/>
      <c r="H64" s="6" t="n"/>
      <c r="I64" s="6" t="n"/>
      <c r="J64" s="6" t="n"/>
      <c r="K64" s="6" t="n"/>
      <c r="L64" s="6" t="n"/>
      <c r="M64" s="6" t="n"/>
    </row>
    <row r="65">
      <c r="A65" s="6" t="inlineStr">
        <is>
          <t>15    Total High-Quality Liquid Assets ("HQLA")* (USD m)</t>
        </is>
      </c>
      <c r="B65" s="6" t="n"/>
      <c r="C65" s="6" t="n"/>
      <c r="D65" s="6" t="n"/>
      <c r="E65" s="6" t="n"/>
      <c r="F65" s="6" t="n"/>
      <c r="G65" s="6" t="n">
        <v>25266</v>
      </c>
      <c r="H65" s="6" t="n">
        <v>25678.8</v>
      </c>
      <c r="I65" s="6" t="n">
        <v>20726.6</v>
      </c>
      <c r="J65" s="6" t="n">
        <v>35672</v>
      </c>
      <c r="K65" s="6" t="n">
        <v>18351.6</v>
      </c>
      <c r="L65" s="6" t="n">
        <v>20815.8</v>
      </c>
      <c r="M65" s="6" t="n">
        <v>15643.7</v>
      </c>
    </row>
    <row r="66">
      <c r="A66" s="6" t="inlineStr">
        <is>
          <t>16    Total Net 30-day Cash Outflow (USD m)</t>
        </is>
      </c>
      <c r="B66" s="6" t="n"/>
      <c r="C66" s="6" t="n"/>
      <c r="D66" s="6" t="n"/>
      <c r="E66" s="6" t="n"/>
      <c r="F66" s="6" t="n"/>
      <c r="G66" s="6" t="n">
        <v>17426.3</v>
      </c>
      <c r="H66" s="6" t="n">
        <v>20351.9</v>
      </c>
      <c r="I66" s="6" t="n">
        <v>14661.3</v>
      </c>
      <c r="J66" s="6" t="n">
        <v>26101.6</v>
      </c>
      <c r="K66" s="6" t="n">
        <v>14024</v>
      </c>
      <c r="L66" s="6" t="n">
        <v>21388.4</v>
      </c>
      <c r="M66" s="6" t="n">
        <v>13585.4</v>
      </c>
    </row>
    <row r="67">
      <c r="A67" s="6" t="inlineStr">
        <is>
          <t>17    LCR ratio (%)</t>
        </is>
      </c>
      <c r="B67" s="6" t="n"/>
      <c r="C67" s="6" t="n"/>
      <c r="D67" s="6" t="n"/>
      <c r="E67" s="6" t="n"/>
      <c r="F67" s="6" t="n"/>
      <c r="G67" s="6" t="inlineStr">
        <is>
          <t>145.0%</t>
        </is>
      </c>
      <c r="H67" s="6" t="inlineStr">
        <is>
          <t>126.2%</t>
        </is>
      </c>
      <c r="I67" s="6" t="inlineStr">
        <is>
          <t>141.4%</t>
        </is>
      </c>
      <c r="J67" s="6" t="inlineStr">
        <is>
          <t>133.4%</t>
        </is>
      </c>
      <c r="K67" s="6" t="inlineStr">
        <is>
          <t>125.5%</t>
        </is>
      </c>
      <c r="L67" s="6" t="inlineStr">
        <is>
          <t>97.3%</t>
        </is>
      </c>
      <c r="M67" s="6" t="inlineStr">
        <is>
          <t>115.2%</t>
        </is>
      </c>
    </row>
    <row r="68">
      <c r="A68" s="5" t="inlineStr">
        <is>
          <t>Net Stable Funding Ratio</t>
        </is>
      </c>
      <c r="B68" s="6" t="n"/>
      <c r="C68" s="6" t="n"/>
      <c r="D68" s="6" t="n"/>
      <c r="E68" s="6" t="n"/>
      <c r="F68" s="6" t="n"/>
      <c r="G68" s="6" t="n"/>
      <c r="H68" s="6" t="n"/>
      <c r="I68" s="6" t="n"/>
      <c r="J68" s="6" t="n"/>
      <c r="K68" s="6" t="n"/>
      <c r="L68" s="6" t="n"/>
      <c r="M68" s="6" t="n"/>
    </row>
    <row r="69">
      <c r="A69" s="6" t="inlineStr">
        <is>
          <t>15    Total Available Stable Funding (USD m)</t>
        </is>
      </c>
      <c r="B69" s="6" t="n"/>
      <c r="C69" s="6" t="n"/>
      <c r="D69" s="6" t="n"/>
      <c r="E69" s="6" t="n"/>
      <c r="F69" s="6" t="n"/>
      <c r="G69" s="6" t="n">
        <v>27000</v>
      </c>
      <c r="H69" s="6" t="n">
        <v>23740.4</v>
      </c>
      <c r="I69" s="6" t="n">
        <v>21494.1</v>
      </c>
      <c r="J69" s="6" t="n">
        <v>20366</v>
      </c>
      <c r="K69" s="6" t="n"/>
      <c r="L69" s="6" t="n"/>
      <c r="M69" s="6" t="n"/>
    </row>
    <row r="70">
      <c r="A70" s="6" t="inlineStr">
        <is>
          <t>16    Total Required Stable Funding (USD m)</t>
        </is>
      </c>
      <c r="B70" s="6" t="n"/>
      <c r="C70" s="6" t="n"/>
      <c r="D70" s="6" t="n"/>
      <c r="E70" s="6" t="n"/>
      <c r="F70" s="6" t="n"/>
      <c r="G70" s="6" t="n">
        <v>19923</v>
      </c>
      <c r="H70" s="6" t="n">
        <v>22064.3</v>
      </c>
      <c r="I70" s="6" t="n">
        <v>19450.2</v>
      </c>
      <c r="J70" s="6" t="n">
        <v>19797.9</v>
      </c>
      <c r="K70" s="6" t="n"/>
      <c r="L70" s="6" t="n"/>
      <c r="M70" s="6" t="n"/>
    </row>
    <row r="71">
      <c r="A71" s="6" t="inlineStr">
        <is>
          <t>18    NSFR Ratio (%)</t>
        </is>
      </c>
      <c r="B71" s="6" t="n"/>
      <c r="C71" s="6" t="n"/>
      <c r="D71" s="6" t="n"/>
      <c r="E71" s="6" t="n"/>
      <c r="F71" s="6" t="n"/>
      <c r="G71" s="6" t="inlineStr">
        <is>
          <t>135.5%</t>
        </is>
      </c>
      <c r="H71" s="6" t="inlineStr">
        <is>
          <t>107.6%</t>
        </is>
      </c>
      <c r="I71" s="6" t="inlineStr">
        <is>
          <t>110.5%</t>
        </is>
      </c>
      <c r="J71" s="6" t="inlineStr">
        <is>
          <t>102.9%</t>
        </is>
      </c>
      <c r="K71" s="6" t="n"/>
      <c r="L71" s="6" t="n"/>
      <c r="M71" s="6" t="n"/>
    </row>
    <row r="73" ht="409" customHeight="1">
      <c r="A73" s="8" t="inlineStr">
        <is>
          <t>Sources - SMBC Bank International plc's own key-metrics table, in the USD millions the Bank publishes it in (every other sheet in this workbook is converted to sterling; a reproduced template is not):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section 2.1 Key metrics, p.6 - https://www.smbcgroup.com/emea/getmedia/c956424b-468e-4f29-9650-a4c792a720c3/Pillar-3-Interim-Disclosure-March-2021-(SMBC-BI).pdf
FY2020: section 2.1 Key metrics, p.6 - https://web.archive.org/web/20240527071545id_/https://www.smbcgroup.com/emea/images/SMBC/media/SMBC/pdf/disclosures/smbce-pillar3-2020.pdf
FY2019: section 2.1 Key metrics, p.6 - https://web.archive.org/web/20240527071944id_/https://www.smbcgroup.com/emea/images/SMBC/media/SMBC/pdf/disclosures/smbce-pillar3-2019.pdf
FY2018: section 2.1 Key metrics, p.6 - https://web.archive.org/web/20240527071821id_/https://www.smbcgroup.com/emea/images/SMBC/media/SMBC/pdf/disclosures/smbce-pillar3-20180331.pdf
FY2017: section 2.1 Key metrics, p.6 - https://web.archive.org/web/20230330205458id_/https://www.smbcgroup.com/emea/images/SMBC/media/SMBC/pdf/disclosures/pillar3disclosures310317.pdf
FY2016: section 2.1 Key metrics, p.6 - https://web.archive.org/web/20240527070848id_/https://www.smbcgroup.com/emea/images/SMBC/media/SMBC/pdf/disclosures/pillar3disclosures310316.pdf
FY2015: the FY2016 edition's 31 March 2015 comparative column, p.6 - https://web.archive.org/web/20240527070848id_/https://www.smbcgroup.com/emea/images/SMBC/media/SMBC/pdf/disclosures/pillar3disclosures310316.pdf
LATEST-EDITION CHECK, 2026-09-17: the Bank's expected disclosures URL on smbcgroup.com returns 404, so the document list was recovered from smbcgroup.com/emea/sitemap.xml and the EMEA 'Notices and reporting' page (both HTTP 200). The newest annual Pillar 3 is the disclosure as at 31 March 2026, which this workbook already holds. Checked, none newer.
TWO TEMPLATES, TWO BLOCKS, NOTHING MERGED. SMBC BI printed the pre-2022 Basel III key-metrics dashboard in its FY2016-FY2021 editions and switched to the UK KM1 template with the FY2022 edition. The two blocks are kept separate because the row numbers do not mean the same things: the Basel table numbers its NSFR ratio 18 and REUSES 15 and 16 for both the LCR and the NSFR build-ups (so '15' appears twice in that block, exactly as published), while the UK template numbers NSFR 20 and adds the UK 7a-7d SREP block, UK 8a, UK 11a and UK 14a-14e. The leverage rows also change basis on 1 January 2022, from the Basel III exposure measure to the UK measure excluding claims on central banks, so those two series are not one series.
THE FY2021 TABLE IS AN IMAGE, NOT TEXT. In the March 2021 disclosure the key-metrics table is an embedded bitmap inside an otherwise text-native PDF: pdftotext returns the '2.1 Key metrics' heading and the trailing footnote and nothing in between. It was rendered at 300dpi and transcribed TWICE - once from the full page and once from the embedded image at its native resolution - and the two transcriptions agree digit for digit. Its figures are further corroborated by the FY2022 edition, whose 31 March 2021 comparative column reproduces them rounded to whole USD millions (4,788 against 4,787.9; 28,662 against 28,662.1; 62,531 against 62,531.4; 135.5% identical).
WHY FY2015 IS FILLED AND FY2014 IS NOT: the FY2015 and FY2014 editions contain no key-metrics section of any kind - the string 'key metric' does not occur in either document, and their capital disclosure is a Section 9 'Capital Adequacy' narrative instead. The FY2016 edition prints a full 31 March 2015 comparative column, so FY2015 is filled from it and labelled as such. No edition anywhere prints a 31 March 2014 comparative in this form, so FY2014 stays blank.
ROWS AND CELLS LEFT BLANK, WITH THE REASON:
- FY2015's three buffer rows print an en-dash in the FY2016 edition's comparative column, so they are blank here. A dash is not a zero.
- FY2017, FY2016 and FY2015 have no NSFR rows: the NSFR block first appears in SMBC BI's FY2018 edition. The FY2018 edition does print a 31 March 2017 NSFR comparative (13,875.3 / 14,438.4 / 96.1%), and that figure is on the NSFR metric sheet, but the FY2017 edition itself printed no such row, so the cell is blank here rather than back-filled.
- FY2022 has no UK 14a-14e rows: the FY2022 edition prints the 'Additional leverage ratio disclosure requirements' rows for the first time in the FY2023 edition, and the FY2023 edition prints them for its own reporting date only, marking the four comparative columns 'n/a'.</t>
        </is>
      </c>
    </row>
    <row r="75" ht="409" customHeight="1">
      <c r="A75" s="8" t="inlineStr">
        <is>
          <t>(continued)
- UK 8a appears only in the FY2022 edition, which prints it as a zero. It is kept as a zero, and is blank in every other year because those editions do not print the row.
ROWS 1, 2 AND 3 ARE EQUAL IN EVERY YEAR, AND THAT IS WHAT SMBC BI PRINTS. CET1 capital, Tier 1 capital and Total capital carry the same figure in all twelve columns because the Bank has no Additional Tier 1 and no Tier 2 instruments in issue, so CET1 = Tier 1 = Total capital by construction. Verified directly in the FY2026 PDF on 18 September 2026: Table 2.1 prints all three rows as 6,168 at 31 March 2026 and 5,786 at 31 March 2025. The Bank's own ratio rows agree - 6,168 / 29,411 = 21.0%, which is what rows 5, 6 and 7 all print. Recorded because an identical triple otherwise looks like one value copied into three slots.
COLUMN SELECTION: from the FY2025 edition onward SMBC BI prints KM1 with FIVE columns - the reporting date and the four preceding quarter-ends (31 Mar 2026, 31 Dec 2025, 30 Sep 2025, 30 Jun 2025, 31 Mar 2025). Only the 31 MARCH columns are taken here, one per financial year; the intermediate quarter-ends are a within-year series and belong to the Interim Pillar 3 sheet, not to this one.
YEAR COLUMNS SHOWN: this sheet carries FY2026-FY2015. FY2014 is omitted from the header rather than shown as an empty column - neither the FY2014 nor the FY2015 edition prints a key-metrics table of any kind, and no edition anywhere prints a 31 March 2014 comparative in this form, so there is no KM1 for that year on any basis. The other sheets in this workbook still carry FY2014.
CROSS-EDITION DIFFERENCES (each year is its own edition's figure, per this project's convention):
- 31 March 2018 leverage exposure reads 70,307.1 in the FY2018 edition (used here) and 70,312.4 in the FY2019 edition's comparative.
- 31 March 2018 HQLA reads 35,672.0 in the FY2018 edition (used here) and 34,827.7 in the FY2019 edition's comparative, which asterisks the row.
- 31 March 2022 HQLA reads 27,160 in the FY2022 edition (used here) and 27,878 in the FY2023 edition's comparative; the same pair of editions differ on UK 11a for that date (12.0 against 11.8) and on the LCR (136 against 138.4).
None of these has been reconciled: they are what the two documents say.
PRINTED-FORM NOTES: the Bank's own row 14 caption reads 'Basell III leverage ratio (%)', with the misspelling, in every edition that prints it - reproduced as published. The FY2016 edition additionally appends '(row 2/13)' to that caption. The FY2016 and FY2017 editions print the LCR rows as 'Total HQLA' and 'Total Net Cash Outflow' where later editions write them out in full; the fuller FY2021 wording is used for the block's row labels. The asterisk on the HQLA row is the Bank's own footnote marker - 'Total HQLAs include Pillar 2 requirement as set out in Article 105 Capital Requirement Directive (CRD)'. The FY2019, FY2017 and FY2016 editions print the dashboard WITHOUT row numbers, while FY2021, FY2020 and FY2018 number it; the numbers shown for that block are the ones the FY2021 edition prints.
ENTITY NOTE: SMBC Bank International plc (SMBC BI), FRN 223304, is a wholesale bank headquartered in London and a wholly-owned subsidiary of Sumitomo Mitsui Banking Corporation (SMBC), itself part of Sumitomo Mitsui Financial Group (Japan). It was incorporated on 3 March 2003 as Sumitomo Mitsui Banking Corporation Europe Limited and renamed/re-registered as a public limited company on 30 September 2020 (per Companies House's own filing history for company 04684034: 'Certificate of change of name and re-registration from Private to Public Limited Company', 30 Sep 2020) - every FY2014-FY2020 Annual Report used in this workbook is therefore filed under the entity's former name. On 7 October 2024, SMBC BI completed a project transferring the securities business of SMBC Nikko Capital Markets Limited (a portfolio of debt securities and other fixed income assets) to itself, and opened a branch in the Abu Dhabi Global Market - this accounts for new FY2025 cash flow line items (trading portfolio assets/liabilities, repurchase agreements) not present in earlier years, and for part of the FY2025 RWA increase. Figures are on SMBC Bank International plc's own (entity-level) basis throughout, both for cash flow and Pillar 3.</t>
        </is>
      </c>
    </row>
  </sheetData>
  <mergeCells count="2">
    <mergeCell ref="A73:M73"/>
    <mergeCell ref="A75:M7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CET1 Capital</t>
        </is>
      </c>
    </row>
    <row r="2">
      <c r="A2" s="2" t="inlineStr">
        <is>
          <t>SMBC BI basis, £m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Common Equity Tier 1 (CET1) capital</t>
        </is>
      </c>
      <c r="B4" s="6" t="n">
        <v>4677</v>
      </c>
      <c r="C4" s="6" t="n">
        <v>4481.8</v>
      </c>
      <c r="D4" s="6" t="n">
        <v>4335.8</v>
      </c>
      <c r="E4" s="6" t="n">
        <v>4111.1</v>
      </c>
      <c r="F4" s="6" t="n">
        <v>3713</v>
      </c>
      <c r="G4" s="6" t="n">
        <v>3470.5</v>
      </c>
      <c r="H4" s="6" t="n">
        <v>3695.3</v>
      </c>
      <c r="I4" s="6" t="n">
        <v>3315.7</v>
      </c>
      <c r="J4" s="6" t="n">
        <v>2876.1</v>
      </c>
      <c r="K4" s="6" t="n">
        <v>3052.1</v>
      </c>
      <c r="L4" s="6" t="n">
        <v>2563.1</v>
      </c>
      <c r="M4" s="6" t="n">
        <v>2430.1</v>
      </c>
      <c r="N4" s="6" t="n">
        <v>2082.7</v>
      </c>
    </row>
    <row r="6" ht="182" customHeight="1">
      <c r="A6"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1">
    <mergeCell ref="A6:N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CET1 Ratio</t>
        </is>
      </c>
    </row>
    <row r="2">
      <c r="A2" s="2" t="inlineStr">
        <is>
          <t>SMBC BI basis, %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Common Equity Tier 1 (CET1) ratio</t>
        </is>
      </c>
      <c r="B4" s="6" t="inlineStr">
        <is>
          <t>21.0%</t>
        </is>
      </c>
      <c r="C4" s="6" t="inlineStr">
        <is>
          <t>17.1%</t>
        </is>
      </c>
      <c r="D4" s="6" t="inlineStr">
        <is>
          <t>19.5%</t>
        </is>
      </c>
      <c r="E4" s="6" t="inlineStr">
        <is>
          <t>17.8%</t>
        </is>
      </c>
      <c r="F4" s="6" t="inlineStr">
        <is>
          <t>16.3%</t>
        </is>
      </c>
      <c r="G4" s="6" t="inlineStr">
        <is>
          <t>16.7%</t>
        </is>
      </c>
      <c r="H4" s="6" t="inlineStr">
        <is>
          <t>15.8%</t>
        </is>
      </c>
      <c r="I4" s="6" t="inlineStr">
        <is>
          <t>18.5%</t>
        </is>
      </c>
      <c r="J4" s="6" t="inlineStr">
        <is>
          <t>16.8%</t>
        </is>
      </c>
      <c r="K4" s="6" t="inlineStr">
        <is>
          <t>20.9%</t>
        </is>
      </c>
      <c r="L4" s="6" t="inlineStr">
        <is>
          <t>18.4%</t>
        </is>
      </c>
      <c r="M4" s="6" t="inlineStr">
        <is>
          <t>24.8%</t>
        </is>
      </c>
      <c r="N4" s="6" t="inlineStr">
        <is>
          <t>22.9%</t>
        </is>
      </c>
    </row>
    <row r="6" ht="182" customHeight="1">
      <c r="A6"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1">
    <mergeCell ref="A6:N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Tier 1 Capital</t>
        </is>
      </c>
    </row>
    <row r="2">
      <c r="A2" s="2" t="inlineStr">
        <is>
          <t>SMBC BI basis, £m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Tier 1 capital</t>
        </is>
      </c>
      <c r="B4" s="6" t="n">
        <v>4677</v>
      </c>
      <c r="C4" s="6" t="n">
        <v>4481.8</v>
      </c>
      <c r="D4" s="6" t="n">
        <v>4335.8</v>
      </c>
      <c r="E4" s="6" t="n">
        <v>4111.1</v>
      </c>
      <c r="F4" s="6" t="n">
        <v>3713</v>
      </c>
      <c r="G4" s="6" t="n">
        <v>3470.5</v>
      </c>
      <c r="H4" s="6" t="n">
        <v>3695.3</v>
      </c>
      <c r="I4" s="6" t="n">
        <v>3315.7</v>
      </c>
      <c r="J4" s="6" t="n">
        <v>2876.1</v>
      </c>
      <c r="K4" s="6" t="n">
        <v>3052.1</v>
      </c>
      <c r="L4" s="6" t="n">
        <v>2563.1</v>
      </c>
      <c r="M4" s="6" t="n">
        <v>2430.1</v>
      </c>
      <c r="N4" s="6" t="n">
        <v>2082.7</v>
      </c>
    </row>
    <row r="5" ht="30" customHeight="1">
      <c r="A5" s="7" t="inlineStr">
        <is>
          <t>Note: Equal to CET1 capital in every year shown - SMBC BI holds no Additional Tier 1 (AT1) instruments.</t>
        </is>
      </c>
    </row>
    <row r="7" ht="182" customHeight="1">
      <c r="A7"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2">
    <mergeCell ref="A5:N5"/>
    <mergeCell ref="A7:N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Tier 1 Ratio</t>
        </is>
      </c>
    </row>
    <row r="2">
      <c r="A2" s="2" t="inlineStr">
        <is>
          <t>SMBC BI basis, %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Tier 1 ratio</t>
        </is>
      </c>
      <c r="B4" s="6" t="inlineStr">
        <is>
          <t>21.0%</t>
        </is>
      </c>
      <c r="C4" s="6" t="inlineStr">
        <is>
          <t>17.1%</t>
        </is>
      </c>
      <c r="D4" s="6" t="inlineStr">
        <is>
          <t>19.5%</t>
        </is>
      </c>
      <c r="E4" s="6" t="inlineStr">
        <is>
          <t>17.8%</t>
        </is>
      </c>
      <c r="F4" s="6" t="inlineStr">
        <is>
          <t>16.3%</t>
        </is>
      </c>
      <c r="G4" s="6" t="inlineStr">
        <is>
          <t>16.7%</t>
        </is>
      </c>
      <c r="H4" s="6" t="inlineStr">
        <is>
          <t>15.8%</t>
        </is>
      </c>
      <c r="I4" s="6" t="inlineStr">
        <is>
          <t>18.5%</t>
        </is>
      </c>
      <c r="J4" s="6" t="inlineStr">
        <is>
          <t>16.8%</t>
        </is>
      </c>
      <c r="K4" s="6" t="inlineStr">
        <is>
          <t>20.9%</t>
        </is>
      </c>
      <c r="L4" s="6" t="inlineStr">
        <is>
          <t>18.4%</t>
        </is>
      </c>
      <c r="M4" s="6" t="inlineStr">
        <is>
          <t>24.8%</t>
        </is>
      </c>
      <c r="N4" s="6" t="inlineStr">
        <is>
          <t>22.9%</t>
        </is>
      </c>
    </row>
    <row r="6" ht="182" customHeight="1">
      <c r="A6"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1">
    <mergeCell ref="A6:N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Total Capital</t>
        </is>
      </c>
    </row>
    <row r="2">
      <c r="A2" s="2" t="inlineStr">
        <is>
          <t>SMBC BI basis, £m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capital</t>
        </is>
      </c>
      <c r="B4" s="6" t="n">
        <v>4677</v>
      </c>
      <c r="C4" s="6" t="n">
        <v>4481.8</v>
      </c>
      <c r="D4" s="6" t="n">
        <v>4335.8</v>
      </c>
      <c r="E4" s="6" t="n">
        <v>4111.1</v>
      </c>
      <c r="F4" s="6" t="n">
        <v>3713</v>
      </c>
      <c r="G4" s="6" t="n">
        <v>3470.5</v>
      </c>
      <c r="H4" s="6" t="n">
        <v>3695.3</v>
      </c>
      <c r="I4" s="6" t="n">
        <v>3315.7</v>
      </c>
      <c r="J4" s="6" t="n">
        <v>2876.1</v>
      </c>
      <c r="K4" s="6" t="n">
        <v>3052.1</v>
      </c>
      <c r="L4" s="6" t="n">
        <v>2563.1</v>
      </c>
      <c r="M4" s="6" t="n">
        <v>2430.1</v>
      </c>
      <c r="N4" s="6" t="n">
        <v>2082.7</v>
      </c>
    </row>
    <row r="5" ht="30" customHeight="1">
      <c r="A5" s="7" t="inlineStr">
        <is>
          <t>Note: Equal to CET1/Tier 1 capital in every year shown - SMBC BI holds no Tier 2 instruments either.</t>
        </is>
      </c>
    </row>
    <row r="7" ht="182" customHeight="1">
      <c r="A7"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2">
    <mergeCell ref="A5:N5"/>
    <mergeCell ref="A7:N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Total Capital Ratio</t>
        </is>
      </c>
    </row>
    <row r="2">
      <c r="A2" s="2" t="inlineStr">
        <is>
          <t>SMBC BI basis, %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capital ratio</t>
        </is>
      </c>
      <c r="B4" s="6" t="inlineStr">
        <is>
          <t>21.0%</t>
        </is>
      </c>
      <c r="C4" s="6" t="inlineStr">
        <is>
          <t>17.1%</t>
        </is>
      </c>
      <c r="D4" s="6" t="inlineStr">
        <is>
          <t>19.5%</t>
        </is>
      </c>
      <c r="E4" s="6" t="inlineStr">
        <is>
          <t>17.8%</t>
        </is>
      </c>
      <c r="F4" s="6" t="inlineStr">
        <is>
          <t>16.3%</t>
        </is>
      </c>
      <c r="G4" s="6" t="inlineStr">
        <is>
          <t>16.7%</t>
        </is>
      </c>
      <c r="H4" s="6" t="inlineStr">
        <is>
          <t>15.8%</t>
        </is>
      </c>
      <c r="I4" s="6" t="inlineStr">
        <is>
          <t>18.5%</t>
        </is>
      </c>
      <c r="J4" s="6" t="inlineStr">
        <is>
          <t>16.8%</t>
        </is>
      </c>
      <c r="K4" s="6" t="inlineStr">
        <is>
          <t>20.9%</t>
        </is>
      </c>
      <c r="L4" s="6" t="inlineStr">
        <is>
          <t>18.4%</t>
        </is>
      </c>
      <c r="M4" s="6" t="inlineStr">
        <is>
          <t>24.8%</t>
        </is>
      </c>
      <c r="N4" s="6" t="inlineStr">
        <is>
          <t>22.9%</t>
        </is>
      </c>
    </row>
    <row r="6" ht="182" customHeight="1">
      <c r="A6"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1">
    <mergeCell ref="A6:N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Total RWAs</t>
        </is>
      </c>
    </row>
    <row r="2">
      <c r="A2" s="2" t="inlineStr">
        <is>
          <t>SMBC BI basis, £m (conv. from USD)</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risk weighted exposure amount</t>
        </is>
      </c>
      <c r="B4" s="6" t="n">
        <v>22301.3</v>
      </c>
      <c r="C4" s="6" t="n">
        <v>26251.7</v>
      </c>
      <c r="D4" s="6" t="n">
        <v>22262.5</v>
      </c>
      <c r="E4" s="6" t="n">
        <v>23114.7</v>
      </c>
      <c r="F4" s="6" t="n">
        <v>22748.1</v>
      </c>
      <c r="G4" s="6" t="n">
        <v>20775.7</v>
      </c>
      <c r="H4" s="6" t="n">
        <v>23347.8</v>
      </c>
      <c r="I4" s="6" t="n">
        <v>17925.6</v>
      </c>
      <c r="J4" s="6" t="n">
        <v>17164.8</v>
      </c>
      <c r="K4" s="6" t="n">
        <v>14613.8</v>
      </c>
      <c r="L4" s="6" t="n">
        <v>13938.7</v>
      </c>
      <c r="M4" s="6" t="n">
        <v>9780</v>
      </c>
      <c r="N4" s="6" t="n">
        <v>9013</v>
      </c>
    </row>
    <row r="6" ht="182" customHeight="1">
      <c r="A6"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1">
    <mergeCell ref="A6:N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RWA Breakdown</t>
        </is>
      </c>
    </row>
    <row r="2">
      <c r="A2" s="2" t="inlineStr">
        <is>
          <t>£m, converted from USD - UK OV1 Overview of risk weighted exposure amounts - see source note for FX methodology.</t>
        </is>
      </c>
    </row>
    <row r="3">
      <c r="A3" s="4" t="inlineStr">
        <is>
          <t>Line item</t>
        </is>
      </c>
      <c r="B3" s="4" t="inlineStr">
        <is>
          <t>FY2026 (£m, conv. from USD)</t>
        </is>
      </c>
      <c r="C3" s="4" t="inlineStr">
        <is>
          <t>FY2025 (£m, conv. from USD)</t>
        </is>
      </c>
      <c r="D3" s="4" t="inlineStr">
        <is>
          <t>FY2024 (£m, conv. from USD)</t>
        </is>
      </c>
      <c r="E3" s="4" t="inlineStr">
        <is>
          <t>FY2023 (£m, conv. from USD)</t>
        </is>
      </c>
      <c r="F3" s="4" t="inlineStr">
        <is>
          <t>FY2022 (£m, conv. from USD)</t>
        </is>
      </c>
      <c r="G3" s="4" t="inlineStr">
        <is>
          <t>FY2021 (£m, conv. from USD)</t>
        </is>
      </c>
      <c r="H3" s="4" t="inlineStr">
        <is>
          <t>FY2020 (£m, conv. from USD)</t>
        </is>
      </c>
      <c r="I3" s="4" t="inlineStr">
        <is>
          <t>FY2019 (£m, conv. from USD)</t>
        </is>
      </c>
      <c r="J3" s="4" t="inlineStr">
        <is>
          <t>FY2018 (£m, conv. from USD)</t>
        </is>
      </c>
      <c r="K3" s="4" t="inlineStr">
        <is>
          <t>FY2017 (£m, conv. from USD)</t>
        </is>
      </c>
      <c r="L3" s="4" t="inlineStr">
        <is>
          <t>FY2016 (£m, conv. from USD)</t>
        </is>
      </c>
      <c r="M3" s="4" t="inlineStr">
        <is>
          <t>FY2015 (£m, conv. from USD)</t>
        </is>
      </c>
      <c r="N3" s="4" t="inlineStr">
        <is>
          <t>FY2014 (£m, conv. from USD)</t>
        </is>
      </c>
    </row>
    <row r="4">
      <c r="A4" s="6" t="inlineStr">
        <is>
          <t>Credit risk (excluding CCR)</t>
        </is>
      </c>
      <c r="B4" s="6" t="n">
        <v>15764.3</v>
      </c>
      <c r="C4" s="6" t="n">
        <v>21602.6</v>
      </c>
      <c r="D4" s="6" t="n">
        <v>19120.5</v>
      </c>
      <c r="E4" s="6" t="n">
        <v>19916.7</v>
      </c>
      <c r="F4" s="6" t="n">
        <v>20050.9</v>
      </c>
      <c r="G4" s="6" t="n">
        <v>18538.7</v>
      </c>
      <c r="H4" s="6" t="n">
        <v>21795.1</v>
      </c>
      <c r="I4" s="6" t="n">
        <v>16676.9</v>
      </c>
      <c r="J4" s="6" t="n">
        <v>15925.9</v>
      </c>
      <c r="K4" s="6" t="n">
        <v>13487.5</v>
      </c>
      <c r="L4" s="6" t="n">
        <v>12961.7</v>
      </c>
      <c r="M4" s="6" t="n">
        <v>9074.200000000001</v>
      </c>
      <c r="N4" s="6" t="n">
        <v>8425.700000000001</v>
      </c>
    </row>
    <row r="5">
      <c r="A5" s="6" t="inlineStr">
        <is>
          <t>Counterparty credit risk (CCR)</t>
        </is>
      </c>
      <c r="B5" s="6" t="n">
        <v>1640.1</v>
      </c>
      <c r="C5" s="6" t="n">
        <v>1426</v>
      </c>
      <c r="D5" s="6" t="n">
        <v>1392.5</v>
      </c>
      <c r="E5" s="6" t="n">
        <v>1408.9</v>
      </c>
      <c r="F5" s="6" t="n">
        <v>990</v>
      </c>
      <c r="G5" s="6" t="n">
        <v>543.6</v>
      </c>
      <c r="H5" s="6" t="n"/>
      <c r="I5" s="6" t="n"/>
      <c r="J5" s="6" t="n"/>
      <c r="K5" s="6" t="n"/>
      <c r="L5" s="6" t="n"/>
      <c r="M5" s="6" t="n"/>
      <c r="N5" s="6" t="n"/>
    </row>
    <row r="6">
      <c r="A6" s="6" t="inlineStr">
        <is>
          <t>Position, foreign exchange and commodities risks (market risk)</t>
        </is>
      </c>
      <c r="B6" s="6" t="n">
        <v>2587.2</v>
      </c>
      <c r="C6" s="6" t="n">
        <v>1408.2</v>
      </c>
      <c r="D6" s="6" t="n">
        <v>154.4</v>
      </c>
      <c r="E6" s="6" t="n">
        <v>376.9</v>
      </c>
      <c r="F6" s="6" t="n">
        <v>463.5</v>
      </c>
      <c r="G6" s="6" t="n">
        <v>524.1</v>
      </c>
      <c r="H6" s="6" t="n">
        <v>300.3</v>
      </c>
      <c r="I6" s="6" t="n">
        <v>152.6</v>
      </c>
      <c r="J6" s="6" t="n">
        <v>303.8</v>
      </c>
      <c r="K6" s="6" t="n">
        <v>137.9</v>
      </c>
      <c r="L6" s="6" t="n">
        <v>150.4</v>
      </c>
      <c r="M6" s="6" t="n">
        <v>118.7</v>
      </c>
      <c r="N6" s="6" t="n">
        <v>126.5</v>
      </c>
    </row>
    <row r="7">
      <c r="A7" s="6" t="inlineStr">
        <is>
          <t>Operational risk</t>
        </is>
      </c>
      <c r="B7" s="6" t="n">
        <v>2120.1</v>
      </c>
      <c r="C7" s="6" t="n">
        <v>1814.9</v>
      </c>
      <c r="D7" s="6" t="n">
        <v>1595.9</v>
      </c>
      <c r="E7" s="6" t="n">
        <v>1411.4</v>
      </c>
      <c r="F7" s="6" t="n">
        <v>1243.7</v>
      </c>
      <c r="G7" s="6" t="n">
        <v>1169.2</v>
      </c>
      <c r="H7" s="6" t="n">
        <v>1251.7</v>
      </c>
      <c r="I7" s="6" t="n">
        <v>1095.5</v>
      </c>
      <c r="J7" s="6" t="n">
        <v>935.3</v>
      </c>
      <c r="K7" s="6" t="n">
        <v>988.5</v>
      </c>
      <c r="L7" s="6" t="n">
        <v>826.8</v>
      </c>
      <c r="M7" s="6" t="n">
        <v>586.9</v>
      </c>
      <c r="N7" s="6" t="n">
        <v>460.9</v>
      </c>
    </row>
    <row r="8">
      <c r="A8" s="5" t="inlineStr">
        <is>
          <t>Total risk weighted exposure amount</t>
        </is>
      </c>
      <c r="B8" s="5" t="n">
        <v>22301.3</v>
      </c>
      <c r="C8" s="5" t="n">
        <v>26251.7</v>
      </c>
      <c r="D8" s="5" t="n">
        <v>22262.5</v>
      </c>
      <c r="E8" s="5" t="n">
        <v>23114.7</v>
      </c>
      <c r="F8" s="5" t="n">
        <v>22748.1</v>
      </c>
      <c r="G8" s="5" t="n">
        <v>20775.7</v>
      </c>
      <c r="H8" s="5" t="n">
        <v>23347.8</v>
      </c>
      <c r="I8" s="5" t="n">
        <v>17925.6</v>
      </c>
      <c r="J8" s="5" t="n">
        <v>17164.8</v>
      </c>
      <c r="K8" s="5" t="n">
        <v>14613.8</v>
      </c>
      <c r="L8" s="5" t="n">
        <v>13938.7</v>
      </c>
      <c r="M8" s="5" t="n">
        <v>9780</v>
      </c>
      <c r="N8" s="5" t="n">
        <v>9013</v>
      </c>
    </row>
    <row r="9">
      <c r="A9" s="6" t="inlineStr">
        <is>
          <t>Memo: amounts below thresholds for deduction (not summed into Total)</t>
        </is>
      </c>
      <c r="B9" s="6" t="n">
        <v>34.9</v>
      </c>
      <c r="C9" s="6" t="n">
        <v>76.7</v>
      </c>
      <c r="D9" s="6" t="n">
        <v>92.59999999999999</v>
      </c>
      <c r="E9" s="6" t="n">
        <v>52.6</v>
      </c>
      <c r="F9" s="6" t="n">
        <v>60.8</v>
      </c>
      <c r="G9" s="6" t="n">
        <v>37.7</v>
      </c>
      <c r="H9" s="6" t="n"/>
      <c r="I9" s="6" t="n"/>
      <c r="J9" s="6" t="n"/>
      <c r="K9" s="6" t="n"/>
      <c r="L9" s="6" t="n"/>
      <c r="M9" s="6" t="n"/>
      <c r="N9" s="6" t="n"/>
    </row>
    <row r="11" ht="377" customHeight="1">
      <c r="A11" s="8" t="inlineStr">
        <is>
          <t>Sources - SMBC Bank International plc's own Basel III Pillar 3 Disclosures, Table OV1 - Overview of risk weighted exposure amounts, converted from USD to £m (see FX conversion note below):
FY2026: Table 4.1 OV1, p.9 - https://www.smbcgroup.com/emea/getmedia/0af76b74-dc6f-4e12-abb8-e87fa2855a03/SMBC_Bank_3-Pillar-Disclosures_260707_Master-v2.pdf
FY2025: Table 4.1 OV1, p.9 - https://www.smbcgroup.com/emea/getmedia/2418d0a0-de22-497a-9a9a-4ca69ade9f94/Pillar-3-annual-disclosure-(SMBC-BI-%E2%80%93-31-March-2025).pdf
FY2024: Table 5 OV1, p.9 - https://www.smbcgroup.com/emea/getmedia/7690b9ee-bae2-4fc1-bba5-0422a250f84c/Pillar-3-Interim-Disclosure-March-2024-(SMBC-BI).pdf
FY2023: Table 5 OV1, p.11 - https://www.smbcgroup.com/emea/getmedia/352315cf-7a34-42d7-9cb1-3082d16539f3/Pillar-3-Interim-Disclosure-March-2023-(SMBC-BI).pdf
FY2022: Table 5 OV1, p.10 - https://web.archive.org/web/20240712094621id_/https://www.smbcgroup.com/emea/images/SMBC/media/Notices-Reporting/Corporate%20Disclosures/smbcbi-pillar3-2022.pdf
FY2021: Table 5 OV1, p.10 (FY2021's own column of the FY2022 Pillar 3 report - no standalone OV1 table is published in the March 2021 interim disclosure itself) - https://web.archive.org/web/20240712094621id_/https://www.smbcgroup.com/emea/images/SMBC/media/Notices-Reporting/Corporate%20Disclosures/smbcbi-pillar3-2022.pdf
FY2020: Sections 9.3/9.4 Pillar 1 overview &amp; Capital adequacy ratio &amp; capital requirements, pp.34-35 - https://web.archive.org/web/20240527071545id_/https://www.smbcgroup.com/emea/images/SMBC/media/SMBC/pdf/disclosures/smbce-pillar3-2020.pdf
FY2019: Section 9 Capital Adequacy, pp.6-7 - https://web.archive.org/web/20240527071944id_/https://www.smbcgroup.com/emea/images/SMBC/media/SMBC/pdf/disclosures/smbce-pillar3-2019.pdf
FY2018: Section 9 Capital Adequacy, pp.6-7 - https://web.archive.org/web/20240527071821id_/https://www.smbcgroup.com/emea/images/SMBC/media/SMBC/pdf/disclosures/smbce-pillar3-20180331.pdf
FY2017: Section 9 Capital Adequacy, p.6 - https://web.archive.org/web/20230330205458id_/https://www.smbcgroup.com/emea/images/SMBC/media/SMBC/pdf/disclosures/pillar3disclosures310317.pdf
FY2016: Section 9.3/9.4 Capital Adequacy, pp.6-7 - https://web.archive.org/web/20240527070848id_/https://www.smbcgroup.com/emea/images/SMBC/media/SMBC/pdf/disclosures/pillar3disclosures310316.pdf
FY2015: Sections 9.1-9.3 Capital Adequacy, pp.24-25 - https://web.archive.org/web/20240527065243id_/https://www.smbcgroup.com/emea/images/SMBC/media/SMBC/pdf/disclosures/pillar3-31-03-15.pdf
FY2014: Sections 9.1-9.4 Capital Adequacy, pp.30-31 - https://web.archive.org/web/20240701160935id_/https://www.smbcgroup.com/emea/images/SMBC/media/SMBC/pdf/disclosures/pillar3-31mar14.pdf
Each year's own figure was cross-checked against its appearance as the comparative column in the following year's report and matched exactly in every case. FY2024 and FY2023 each have a genuine £1m/USD1m rounding gap between the sum of the four category rows and the Total (each line independently rounded to the nearest USD million in the source table itself) - not a data error; FY2025, FY2022 and FY2021 sum exactly. 'Memo: amounts below thresholds for deduction' is an information-only line excluded from the Total per the source template's own footnote, not summed into RWAs. Settlement risk (FY2025 only, USD 0.1m) and 'exposures to a CCP'/large exposures sub-lines (nil or immaterial in every year) are omitted as separate rows for brevity.
FY2026 FOOTING GAP (added 2026-09-15): FY2026 is the one year where the source OV1 table does NOT foot. Its disclosed category rows - Credit risk excluding CCR USD 20,790m, CCR USD 2,163m, settlement risk USD 0.5m, market risk USD 3,412m and operational risk USD 2,796m - sum to USD 29,161.5m against a disclosed Total of USD 29,411m, a gap of USD 249.5m (0.8% of the Total). This is not a rounding artefact and not a transcription error: every individual row in the source table ties exactly to its own 8% own-funds requirement (20,790 x 8% = 1,663; 2,163 x 8% = 173; 3,412 x 8% = 273; 2,796 x 8% = 224), as does the Total (29,411 x 8% = 2,353), and the own-funds column shows the same USD 20m gap that USD 249.5m implies at 12.5x. The published table contains no securitisation or other row that would bridge it. Per this workbook's standing convention the disclosed Total is used for the TOTAL row and the gap is left visible rather than plugged into any category. The FY2025 comparative column of the same FY2026 table reproduces this workbook's existing FY2025 figures exactly and does foot.
FY2014-FY2020 METHODOLOGY: none of these years' Pillar 3 disclosures contain a CRR2-style OV1 template (that first appears with FY2021's disclosure) - instead each year discloses capital REQUIREMENTS by risk category (Section 9, 'Capital adequacy ratio &amp; capital requirements' or equivalent). RWA-by-category for these years is therefore derived as capital requirement x 12.5 (the inverse of the standard 8% minimum capital ratio), cross- checked against each year's own disclosed Total RWA - small (0.1-0.8 £m/USDm, well under 1%) footing gaps are a rounding artefact of each underlying capital-requirement line being independently rounded in the source table, not a data error, consistent with the same pattern seen in FY2023/FY2024. Counterparty credit risk (CCR) is not separately broken out in any of these years' capital-requirement tables and is embedded within the single credit risk figure used for RWA_CREDIT_RISK - RWA_CCR is therefore left blank (not zero) for FY2014-FY2020, and the 'Memo: amounts below thresholds' line is likewise not disclosed pre-FY2021 and left blank. FY2014 is a special case: its own report's Section 9.1 'Total Credit Risk Capital Required' (USD 1,140.748k) includes a Credit Valuation Adjustment (CVA) component that its own Section 9.4 capital-requirement bridge ('8% of credit risk-weighted assets', USD 1,123.848k) excludes - the Section 9.4 bridge figure is used here because it is the one that reconciles exactly (together with Market and Operational risk) to FY2014's own disclosed Total capital requirements (USD 1,202.190k) and hence to TOTAL_RWA; using the Section 9.1 figure instead would overstate credit risk RWA by roughly USD 210m with no corresponding change to the Total. FY2015-FY2020 do not exhibit this discrepancy (their own CVA lines already reconcile within the single credit risk figure).</t>
        </is>
      </c>
    </row>
    <row r="13" ht="340" customHeight="1">
      <c r="A13" s="8" t="inlineStr">
        <is>
          <t>(continued)
ENTITY NOTE: SMBC Bank International plc (SMBC BI), FRN 223304, is a wholesale bank headquartered in London and a wholly-owned subsidiary of Sumitomo Mitsui Banking Corporation (SMBC), itself part of Sumitomo Mitsui Financial Group (Japan). It was incorporated on 3 March 2003 as Sumitomo Mitsui Banking Corporation Europe Limited and renamed/re-registered as a public limited company on 30 September 2020 (per Companies House's own filing history for company 04684034: 'Certificate of change of name and re-registration from Private to Public Limited Company', 30 Sep 2020) - every FY2014-FY2020 Annual Report used in this workbook is therefore filed under the entity's former name. On 7 October 2024, SMBC BI completed a project transferring the securities business of SMBC Nikko Capital Markets Limited (a portfolio of debt securities and other fixed income assets) to itself, and opened a branch in the Abu Dhabi Global Market - this accounts for new FY2025 cash flow line items (trading portfolio assets/liabilities, repurchase agreements) not present in earlier years, and for part of the FY2025 RWA increase. Figures are on SMBC Bank International plc's own (entity-level) basis throughout, both for cash flow and Pillar 3.
FX CONVERSION NOTE: SMBC Bank International plc reports in US Dollars (its functional currency, per its own Annual Report). This workbook converts every $ amount to £ at the user's request - conversion was necessary because every other workbook in this series is £-denominated and SMBC BI does not itself publish £ figures. Methodology: point-in-time/balance figures (capital, RWA, leverage exposure, HQLA, cash balances) use the Bank of England GBP/USD SPOT rate as at that fiscal year-end (31 March); flow figures (every cash flow statement line item) use the AVERAGE of the 12 month-end spot rates over that fiscal year (1 April-31 March), since a true daily average was not practically obtainable - both from Bank of England daily reference rates via poundsterlinglive.com's published archive. Rates used (£1 = $X): 31 Mar 2012 spot 1.5981 (FY2013 opening equity balance only); FY2013 spot 1.5181 / average 1.5795; FY2014 spot 1.6673 / average 1.5964; FY2015 spot 1.4847 / average 1.6087; FY2016 spot 1.4378 / average 1.5023; FY2017 spot 1.2507 / average 1.3046; FY2018 spot 1.4033 / average 1.3390; FY2019 spot 1.3030 / average 1.3102; FY2020 spot 1.2403 / average 1.2713; FY2021 spot 1.3796 / average 1.3193; FY2022 spot 1.3162 / average 1.3617; FY2023 spot 1.2364 / average 1.2043; FY2024 spot 1.2632 / average 1.2581; FY2025 spot 1.2910 / average 1.2775; FY2026 spot 1.3188 / average 1.3411. FY2026's two rates (added 2026-09-15) come directly from the Bank of England's own Interactive Statistical Database series XUDLUSS (spot US$ into sterling), rather than from poundsterlinglive.com's republication of the same Bank of England rates used for FY2013-FY2025 - the primary source in place of a secondary one. The methodology is unchanged and was validated against it: re-deriving FY2025 from XUDLUSS on the same basis reproduces its period-end spot of 1.2910 exactly and gives an average of 1.2776 against the 1.2775 recorded for FY2025 above, a 0.0001 difference with no material effect on any converted figure. All % ratios (CET1/Tier 1/Total Capital/Leverage/LCR/NSFR ratios) are shown EXACTLY as reported in USD and were NOT converted - a ratio is dimensionless and currency-invariant since both its numerator and denominator would move by the same factor. Because stocks and flows are converted at different rates (standard practice for translating foreign-currency financial statements), the cash flow statement includes an explicit 'Effect of GBP/USD translation' reconciling line so opening + all flows + this line = closing exactly in £ terms - this line is purely an artefact of £ translation and has no bearing on the Bank's underlying USD results.</t>
        </is>
      </c>
    </row>
  </sheetData>
  <mergeCells count="2">
    <mergeCell ref="A13:N13"/>
    <mergeCell ref="A11:N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Leverage Ratio</t>
        </is>
      </c>
    </row>
    <row r="2">
      <c r="A2" s="2" t="inlineStr">
        <is>
          <t>SMBC BI basis, £m (conv. from USD)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exposure measure excluding claims on central banks</t>
        </is>
      </c>
      <c r="B4" s="6" t="n">
        <v>56065.4</v>
      </c>
      <c r="C4" s="6" t="n">
        <v>44358.6</v>
      </c>
      <c r="D4" s="6" t="n">
        <v>29347.7</v>
      </c>
      <c r="E4" s="6" t="n">
        <v>29693.5</v>
      </c>
      <c r="F4" s="6" t="n">
        <v>30017.5</v>
      </c>
      <c r="G4" s="6" t="n">
        <v>45325.7</v>
      </c>
      <c r="H4" s="6" t="n">
        <v>54711.5</v>
      </c>
      <c r="I4" s="6" t="n">
        <v>43508.1</v>
      </c>
      <c r="J4" s="6" t="n">
        <v>50105</v>
      </c>
      <c r="K4" s="6" t="n">
        <v>36509.2</v>
      </c>
      <c r="L4" s="6" t="n">
        <v>36110</v>
      </c>
      <c r="M4" s="6" t="n">
        <v>25084.5</v>
      </c>
      <c r="N4" s="6" t="n">
        <v>26146.5</v>
      </c>
    </row>
    <row r="5">
      <c r="A5" s="6" t="inlineStr">
        <is>
          <t>Leverage ratio excluding claims on central banks (%)</t>
        </is>
      </c>
      <c r="B5" s="6" t="inlineStr">
        <is>
          <t>8.3%</t>
        </is>
      </c>
      <c r="C5" s="6" t="inlineStr">
        <is>
          <t>10.1%</t>
        </is>
      </c>
      <c r="D5" s="6" t="inlineStr">
        <is>
          <t>14.8%</t>
        </is>
      </c>
      <c r="E5" s="6" t="inlineStr">
        <is>
          <t>13.8%</t>
        </is>
      </c>
      <c r="F5" s="6" t="inlineStr">
        <is>
          <t>12.4%</t>
        </is>
      </c>
      <c r="G5" s="6" t="inlineStr">
        <is>
          <t>7.7%</t>
        </is>
      </c>
      <c r="H5" s="6" t="inlineStr">
        <is>
          <t>6.8%</t>
        </is>
      </c>
      <c r="I5" s="6" t="inlineStr">
        <is>
          <t>7.6%</t>
        </is>
      </c>
      <c r="J5" s="6" t="inlineStr">
        <is>
          <t>5.8%</t>
        </is>
      </c>
      <c r="K5" s="6" t="inlineStr">
        <is>
          <t>8.4%</t>
        </is>
      </c>
      <c r="L5" s="6" t="inlineStr">
        <is>
          <t>7.1%</t>
        </is>
      </c>
      <c r="M5" s="6" t="inlineStr">
        <is>
          <t>9.7%</t>
        </is>
      </c>
      <c r="N5" s="6" t="inlineStr">
        <is>
          <t>7.7%</t>
        </is>
      </c>
    </row>
    <row r="6">
      <c r="A6" s="6" t="inlineStr">
        <is>
          <t>Leverage ratio including claims on central banks (%)</t>
        </is>
      </c>
      <c r="B6" s="6" t="inlineStr">
        <is>
          <t>7.2%</t>
        </is>
      </c>
      <c r="C6" s="6" t="inlineStr">
        <is>
          <t>7.0%</t>
        </is>
      </c>
      <c r="D6" s="6" t="inlineStr">
        <is>
          <t>9.2%</t>
        </is>
      </c>
      <c r="E6" s="6" t="inlineStr">
        <is>
          <t>8.2%</t>
        </is>
      </c>
      <c r="F6" s="6" t="n"/>
      <c r="G6" s="6" t="n"/>
      <c r="H6" s="6" t="n"/>
      <c r="I6" s="6" t="n"/>
      <c r="J6" s="6" t="n"/>
      <c r="K6" s="6" t="n"/>
      <c r="L6" s="6" t="n"/>
      <c r="M6" s="6" t="n"/>
      <c r="N6" s="6" t="n"/>
    </row>
    <row r="7" ht="52" customHeight="1">
      <c r="A7" s="7" t="inlineStr">
        <is>
          <t>Note: FY2021 and FY2022 disclosed a single Basel III leverage ratio (7.7% / 12.4%) that does NOT exclude central bank claims - the 'excluding claims on central banks' UK framework was introduced only from the FY2022 report onward per that report's own commentary ('this was primarily due to the exclusion of qualifying claims on central banks from the leverage ratio exposures under the UK leverage ratio framework'). FY2021's and FY2022's figures are shown on the 'excluding' row for continuity, but are not on a like-for-like basis with FY2023 onward; no 'including claims on central banks' variant is separately disclosed for those two years. FY2014-FY2020 all predate the UK framework entirely and disclose only a single (CRR, pre-Brexit) 'end of quarter leverage ratio' with no central-bank-claims carve-out at all - shown on the 'excluding' row for continuity but not like-for-like with any other year. FY2014 and FY2015 also separately disclose a 'leverage ratio (average of the monthly leverage ratios over the quarter)' variant (7.7%/9.1% and 9.7%/9.1% respectively) not shown here, to keep this row consistent with the 'end of quarter' basis used everywhere else in the workbook.</t>
        </is>
      </c>
    </row>
    <row r="9" ht="182" customHeight="1">
      <c r="A9"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2">
    <mergeCell ref="A7:N7"/>
    <mergeCell ref="A9:N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SMBC Bank International plc — LCR</t>
        </is>
      </c>
    </row>
    <row r="2">
      <c r="A2" s="2" t="inlineStr">
        <is>
          <t>SMBC BI basis, £m (conv. from USD)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row>
    <row r="4">
      <c r="A4" s="6" t="inlineStr">
        <is>
          <t>Total high quality liquid assets (HQLA), weighted value (average)</t>
        </is>
      </c>
      <c r="B4" s="6" t="n">
        <v>22367.3</v>
      </c>
      <c r="C4" s="6" t="n">
        <v>19642.9</v>
      </c>
      <c r="D4" s="6" t="n">
        <v>19847.2</v>
      </c>
      <c r="E4" s="6" t="n">
        <v>22460.4</v>
      </c>
      <c r="F4" s="6" t="n">
        <v>20635.2</v>
      </c>
      <c r="G4" s="6" t="n">
        <v>18314</v>
      </c>
      <c r="H4" s="6" t="n">
        <v>20703.7</v>
      </c>
      <c r="I4" s="6" t="n">
        <v>15906.8</v>
      </c>
      <c r="J4" s="6" t="n">
        <v>25420.1</v>
      </c>
      <c r="K4" s="6" t="n">
        <v>14673.1</v>
      </c>
      <c r="L4" s="6" t="n">
        <v>14477.5</v>
      </c>
      <c r="M4" s="6" t="n">
        <v>10536.6</v>
      </c>
    </row>
    <row r="5">
      <c r="A5" s="6" t="inlineStr">
        <is>
          <t>Total net cash outflows (adjusted value)</t>
        </is>
      </c>
      <c r="B5" s="6" t="n">
        <v>14447.2</v>
      </c>
      <c r="C5" s="6" t="n">
        <v>12265.7</v>
      </c>
      <c r="D5" s="6" t="n">
        <v>12753.3</v>
      </c>
      <c r="E5" s="6" t="n">
        <v>15443.2</v>
      </c>
      <c r="F5" s="6" t="n">
        <v>15222.6</v>
      </c>
      <c r="G5" s="6" t="n">
        <v>12631.4</v>
      </c>
      <c r="H5" s="6" t="n">
        <v>16408.9</v>
      </c>
      <c r="I5" s="6" t="n">
        <v>11252</v>
      </c>
      <c r="J5" s="6" t="n">
        <v>18600.2</v>
      </c>
      <c r="K5" s="6" t="n">
        <v>11212.9</v>
      </c>
      <c r="L5" s="6" t="n">
        <v>14875.8</v>
      </c>
      <c r="M5" s="6" t="n">
        <v>9150.299999999999</v>
      </c>
    </row>
    <row r="6">
      <c r="A6" s="6" t="inlineStr">
        <is>
          <t>Liquidity coverage ratio (%)</t>
        </is>
      </c>
      <c r="B6" s="6" t="inlineStr">
        <is>
          <t>154.8%</t>
        </is>
      </c>
      <c r="C6" s="6" t="inlineStr">
        <is>
          <t>160.1%</t>
        </is>
      </c>
      <c r="D6" s="6" t="inlineStr">
        <is>
          <t>155.6%</t>
        </is>
      </c>
      <c r="E6" s="6" t="inlineStr">
        <is>
          <t>145.4%</t>
        </is>
      </c>
      <c r="F6" s="6" t="inlineStr">
        <is>
          <t>136%</t>
        </is>
      </c>
      <c r="G6" s="6" t="inlineStr">
        <is>
          <t>145.0%</t>
        </is>
      </c>
      <c r="H6" s="6" t="inlineStr">
        <is>
          <t>126.2%</t>
        </is>
      </c>
      <c r="I6" s="6" t="inlineStr">
        <is>
          <t>141.4%</t>
        </is>
      </c>
      <c r="J6" s="6" t="inlineStr">
        <is>
          <t>133.4%</t>
        </is>
      </c>
      <c r="K6" s="6" t="inlineStr">
        <is>
          <t>125.5%</t>
        </is>
      </c>
      <c r="L6" s="6" t="inlineStr">
        <is>
          <t>97.3%</t>
        </is>
      </c>
      <c r="M6" s="6" t="inlineStr">
        <is>
          <t>115.2%</t>
        </is>
      </c>
    </row>
    <row r="7" ht="30" customHeight="1">
      <c r="A7" s="7" t="inlineStr">
        <is>
          <t>Note: FY2014 predates the EU LCR requirement (phased in for UK banks from October 2015) and is not disclosed - left blank rather than estimated.</t>
        </is>
      </c>
    </row>
    <row r="9" ht="182" customHeight="1">
      <c r="A9"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2">
    <mergeCell ref="A9:M9"/>
    <mergeCell ref="A7:M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SMBC Bank International plc — NSFR</t>
        </is>
      </c>
    </row>
    <row r="2">
      <c r="A2" s="2" t="inlineStr">
        <is>
          <t>SMBC BI basis, £m (conv. from USD)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row>
    <row r="4">
      <c r="A4" s="6" t="inlineStr">
        <is>
          <t>Total available stable funding</t>
        </is>
      </c>
      <c r="B4" s="6" t="n">
        <v>19640.6</v>
      </c>
      <c r="C4" s="6" t="n">
        <v>17562.4</v>
      </c>
      <c r="D4" s="6" t="n">
        <v>18988.3</v>
      </c>
      <c r="E4" s="6" t="n">
        <v>19398.3</v>
      </c>
      <c r="F4" s="6" t="n">
        <v>17963.1</v>
      </c>
      <c r="G4" s="6" t="n">
        <v>19570.9</v>
      </c>
      <c r="H4" s="6" t="n">
        <v>19140.9</v>
      </c>
      <c r="I4" s="6" t="n">
        <v>16495.9</v>
      </c>
      <c r="J4" s="6" t="n">
        <v>14512.9</v>
      </c>
      <c r="K4" s="6" t="n">
        <v>11094</v>
      </c>
    </row>
    <row r="5">
      <c r="A5" s="6" t="inlineStr">
        <is>
          <t>Total required stable funding</t>
        </is>
      </c>
      <c r="B5" s="6" t="n">
        <v>14794.5</v>
      </c>
      <c r="C5" s="6" t="n">
        <v>13808.7</v>
      </c>
      <c r="D5" s="6" t="n">
        <v>13388.2</v>
      </c>
      <c r="E5" s="6" t="n">
        <v>13619.4</v>
      </c>
      <c r="F5" s="6" t="n">
        <v>13457.7</v>
      </c>
      <c r="G5" s="6" t="n">
        <v>14441.1</v>
      </c>
      <c r="H5" s="6" t="n">
        <v>17789.5</v>
      </c>
      <c r="I5" s="6" t="n">
        <v>14927.2</v>
      </c>
      <c r="J5" s="6" t="n">
        <v>14108.1</v>
      </c>
      <c r="K5" s="6" t="n">
        <v>11544.3</v>
      </c>
    </row>
    <row r="6">
      <c r="A6" s="6" t="inlineStr">
        <is>
          <t>NSFR ratio (%)</t>
        </is>
      </c>
      <c r="B6" s="6" t="inlineStr">
        <is>
          <t>132.8%</t>
        </is>
      </c>
      <c r="C6" s="6" t="inlineStr">
        <is>
          <t>127.2%</t>
        </is>
      </c>
      <c r="D6" s="6" t="inlineStr">
        <is>
          <t>141.8%</t>
        </is>
      </c>
      <c r="E6" s="6" t="inlineStr">
        <is>
          <t>142.4%</t>
        </is>
      </c>
      <c r="F6" s="6" t="inlineStr">
        <is>
          <t>133.5%</t>
        </is>
      </c>
      <c r="G6" s="6" t="inlineStr">
        <is>
          <t>135.5%</t>
        </is>
      </c>
      <c r="H6" s="6" t="inlineStr">
        <is>
          <t>107.6%</t>
        </is>
      </c>
      <c r="I6" s="6" t="inlineStr">
        <is>
          <t>110.5%</t>
        </is>
      </c>
      <c r="J6" s="6" t="inlineStr">
        <is>
          <t>102.9%</t>
        </is>
      </c>
      <c r="K6" s="6" t="inlineStr">
        <is>
          <t>96.1%</t>
        </is>
      </c>
    </row>
    <row r="7" ht="30" customHeight="1">
      <c r="A7" s="7" t="inlineStr">
        <is>
          <t>Note: NSFR first appears in SMBC BI's own Pillar 3 disclosures with the FY2018 report (showing FY2018 and its FY2017 comparative); not disclosed at all for FY2014-FY2016 - left blank rather than estimated.</t>
        </is>
      </c>
    </row>
    <row r="9" ht="195" customHeight="1">
      <c r="A9"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2">
    <mergeCell ref="A7:K7"/>
    <mergeCell ref="A9:K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SMBC Bank International plc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MREL Ratio</t>
        </is>
      </c>
      <c r="B4" s="6" t="inlineStr">
        <is>
          <t>Not published – zero 'MREL' in every Pillar 3 edition, 31 Mar 2014 to 31 Mar 2026 (full text searched 2026-09-19); only SMFG's Japanese TLAC narrative appears</t>
        </is>
      </c>
      <c r="C4" s="6" t="inlineStr">
        <is>
          <t>Not published – zero 'MREL' in every Pillar 3 edition, 31 Mar 2014 to 31 Mar 2026 (full text searched 2026-09-19); only SMFG's Japanese TLAC narrative appears</t>
        </is>
      </c>
      <c r="D4" s="6" t="inlineStr">
        <is>
          <t>Not published – zero 'MREL' in every Pillar 3 edition, 31 Mar 2014 to 31 Mar 2026 (full text searched 2026-09-19); only SMFG's Japanese TLAC narrative appears</t>
        </is>
      </c>
      <c r="E4" s="6" t="inlineStr">
        <is>
          <t>Not published – zero 'MREL' in every Pillar 3 edition, 31 Mar 2014 to 31 Mar 2026 (full text searched 2026-09-19); only SMFG's Japanese TLAC narrative appears</t>
        </is>
      </c>
      <c r="F4" s="6" t="inlineStr">
        <is>
          <t>Not published – zero 'MREL' in every Pillar 3 edition, 31 Mar 2014 to 31 Mar 2026 (full text searched 2026-09-19); only SMFG's Japanese TLAC narrative appears</t>
        </is>
      </c>
      <c r="G4" s="6" t="inlineStr">
        <is>
          <t>Not published – zero 'MREL' in every Pillar 3 edition, 31 Mar 2014 to 31 Mar 2026 (full text searched 2026-09-19); only SMFG's Japanese TLAC narrative appears</t>
        </is>
      </c>
      <c r="H4" s="6" t="inlineStr">
        <is>
          <t>Not published – zero 'MREL' in every Pillar 3 edition, 31 Mar 2014 to 31 Mar 2026 (full text searched 2026-09-19); only SMFG's Japanese TLAC narrative appears</t>
        </is>
      </c>
      <c r="I4" s="6" t="inlineStr">
        <is>
          <t>Not published – zero 'MREL' in every Pillar 3 edition, 31 Mar 2014 to 31 Mar 2026 (full text searched 2026-09-19); only SMFG's Japanese TLAC narrative appears</t>
        </is>
      </c>
      <c r="J4" s="6" t="inlineStr">
        <is>
          <t>Not published – zero 'MREL' in every Pillar 3 edition, 31 Mar 2014 to 31 Mar 2026 (full text searched 2026-09-19); only SMFG's Japanese TLAC narrative appears</t>
        </is>
      </c>
      <c r="K4" s="6" t="inlineStr">
        <is>
          <t>Not published – zero 'MREL' in every Pillar 3 edition, 31 Mar 2014 to 31 Mar 2026 (full text searched 2026-09-19); only SMFG's Japanese TLAC narrative appears</t>
        </is>
      </c>
      <c r="L4" s="6" t="inlineStr">
        <is>
          <t>Not published – zero 'MREL' in every Pillar 3 edition, 31 Mar 2014 to 31 Mar 2026 (full text searched 2026-09-19); only SMFG's Japanese TLAC narrative appears</t>
        </is>
      </c>
      <c r="M4" s="6" t="inlineStr">
        <is>
          <t>Not published – zero 'MREL' in every Pillar 3 edition, 31 Mar 2014 to 31 Mar 2026 (full text searched 2026-09-19); only SMFG's Japanese TLAC narrative appears</t>
        </is>
      </c>
      <c r="N4" s="6" t="inlineStr">
        <is>
          <t>Not published – zero 'MREL' in every Pillar 3 edition, 31 Mar 2014 to 31 Mar 2026 (full text searched 2026-09-19); only SMFG's Japanese TLAC narrative appears</t>
        </is>
      </c>
    </row>
    <row r="5" ht="30" customHeight="1">
      <c r="A5" s="7" t="inlineStr">
        <is>
          <t>Note: No MREL disclosure of any kind (numeric or qualitative) appears in any of the 12 years' Pillar 3 disclosures (FY2014-FY2026) - SMBC BI does not appear to be subject to a disclosed MREL requirement. GA-020 RE-CHECK 2026-09-19: all 13 editions (31 Mar 2014 - 31 Mar 2026, the P3_*_URL documents above) full-text searched; zero 'MREL'. The only related hits are the CCA template title 'own funds instruments and eligible liabilities instruments' (FY2022+) and a narrative on SMFG's Japanese TLAC / single-point-of-entry strategy (FY2025-FY2026 s.5.4/5.5) - no ratio or requirement for SMBC BI.</t>
        </is>
      </c>
    </row>
    <row r="7" ht="182" customHeight="1">
      <c r="A7" s="8" t="inlineStr">
        <is>
          <t>Sources - SMBC Bank International plc's own Basel III Pillar 3 Disclosures, converted from USD to £m where a $ amount (see FX conversion note on the Cash Flow Statement sheet; % ratios are unconverted):
FY2026: Table 2.1 KM1 - Key metrics, p.4-5 - https://www.smbcgroup.com/emea/getmedia/0af76b74-dc6f-4e12-abb8-e87fa2855a03/SMBC_Bank_3-Pillar-Disclosures_260707_Master-v2.pdf
FY2025: Table 2.1 KM1 - Key metrics, p.5-6 - https://www.smbcgroup.com/emea/getmedia/2418d0a0-de22-497a-9a9a-4ca69ade9f94/Pillar-3-annual-disclosure-(SMBC-BI-%E2%80%93-31-March-2025).pdf
FY2024: Table 1 KM1 - Key metrics, p.5-6 - https://www.smbcgroup.com/emea/getmedia/7690b9ee-bae2-4fc1-bba5-0422a250f84c/Pillar-3-Interim-Disclosure-March-2024-(SMBC-BI).pdf
FY2023: Table 1 KM1 - Key metrics, p.7-8 - https://www.smbcgroup.com/emea/getmedia/352315cf-7a34-42d7-9cb1-3082d16539f3/Pillar-3-Interim-Disclosure-March-2023-(SMBC-BI).pdf
FY2022: Table 1 KM1 Key metrics, p.6-7 - https://web.archive.org/web/20240712094621id_/https://www.smbcgroup.com/emea/images/SMBC/media/Notices-Reporting/Corporate%20Disclosures/smbcbi-pillar3-2022.pdf
FY2021: 2.1 Key metrics dashboard, p.6 - https://www.smbcgroup.com/emea/getmedia/c956424b-468e-4f29-9650-a4c792a720c3/Pillar-3-Interim-Disclosure-March-2021-(SMBC-BI).pdf
FY2020: 2.1 Key metrics, p.6 - https://web.archive.org/web/20240527071545id_/https://www.smbcgroup.com/emea/images/SMBC/media/SMBC/pdf/disclosures/smbce-pillar3-2020.pdf
FY2019: 2.1 Key metrics, p.6 - https://web.archive.org/web/20240527071944id_/https://www.smbcgroup.com/emea/images/SMBC/media/SMBC/pdf/disclosures/smbce-pillar3-2019.pdf
FY2018: 2.1 Key metrics, p.6 - https://web.archive.org/web/20240527071821id_/https://www.smbcgroup.com/emea/images/SMBC/media/SMBC/pdf/disclosures/smbce-pillar3-20180331.pdf
FY2017: 2.1 Key metrics, p.6 - https://web.archive.org/web/20230330205458id_/https://www.smbcgroup.com/emea/images/SMBC/media/SMBC/pdf/disclosures/pillar3disclosures310317.pdf
FY2016: 2.1 Key metrics, p.6 - https://web.archive.org/web/20240527070848id_/https://www.smbcgroup.com/emea/images/SMBC/media/SMBC/pdf/disclosures/pillar3disclosures310316.pdf
FY2015: Section 9 Capital Adequacy (pre-dates the standard KM1/'Key metrics' template introduced from the FY2016 disclosure onward), p.24 - https://web.archive.org/web/20240527065243id_/https://www.smbcgroup.com/emea/images/SMBC/media/SMBC/pdf/disclosures/pillar3-31-03-15.pdf
FY2014: Section 9 Capital Adequacy, p.31 - https://web.archive.org/web/20240701160935id_/https://www.smbcgroup.com/emea/images/SMBC/media/SMBC/pdf/disclosures/pillar3-31mar14.pdf</t>
        </is>
      </c>
    </row>
  </sheetData>
  <mergeCells count="2">
    <mergeCell ref="A5:N5"/>
    <mergeCell ref="A7:N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3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SMBC Bank International plc — Interim Pillar 3</t>
        </is>
      </c>
    </row>
    <row r="2">
      <c r="A2" s="2" t="inlineStr">
        <is>
          <t>Entity-level KM1 observations for non-annual quarter ends; amounts are native USDm and ratios are as reported.</t>
        </is>
      </c>
    </row>
    <row r="3"/>
    <row r="4">
      <c r="A4" s="4" t="inlineStr">
        <is>
          <t>Metric</t>
        </is>
      </c>
      <c r="B4" s="4" t="inlineStr">
        <is>
          <t>Unit</t>
        </is>
      </c>
      <c r="C4" s="4" t="inlineStr">
        <is>
          <t>Basis</t>
        </is>
      </c>
      <c r="D4" s="4" t="inlineStr">
        <is>
          <t>2025 Q4</t>
        </is>
      </c>
      <c r="E4" s="4" t="inlineStr">
        <is>
          <t>2025 Q3</t>
        </is>
      </c>
      <c r="F4" s="4" t="inlineStr">
        <is>
          <t>2025 H1</t>
        </is>
      </c>
      <c r="G4" s="4" t="inlineStr">
        <is>
          <t>2024 Q4</t>
        </is>
      </c>
      <c r="H4" s="4" t="inlineStr">
        <is>
          <t>2024 Q3</t>
        </is>
      </c>
      <c r="I4" s="4" t="inlineStr">
        <is>
          <t>2024 H1</t>
        </is>
      </c>
      <c r="J4" s="4" t="inlineStr">
        <is>
          <t>2023 Q4</t>
        </is>
      </c>
      <c r="K4" s="4" t="inlineStr">
        <is>
          <t>2023 Q3</t>
        </is>
      </c>
      <c r="L4" s="4" t="inlineStr">
        <is>
          <t>2023 H1</t>
        </is>
      </c>
      <c r="M4" s="4" t="inlineStr">
        <is>
          <t>2022 Q4</t>
        </is>
      </c>
      <c r="N4" s="4" t="inlineStr">
        <is>
          <t>2022 Q3</t>
        </is>
      </c>
      <c r="O4" s="4" t="inlineStr">
        <is>
          <t>2022 H1</t>
        </is>
      </c>
    </row>
    <row r="5">
      <c r="A5" s="6" t="inlineStr">
        <is>
          <t>CET1 Capital</t>
        </is>
      </c>
      <c r="B5" s="6" t="inlineStr">
        <is>
          <t>USDm</t>
        </is>
      </c>
      <c r="C5" s="6" t="inlineStr">
        <is>
          <t>SMBC Bank International plc entity-level; native USD reporting</t>
        </is>
      </c>
      <c r="D5" s="9" t="n">
        <v>5761</v>
      </c>
      <c r="E5" s="9" t="n">
        <v>5771</v>
      </c>
      <c r="F5" s="9" t="n">
        <v>5780</v>
      </c>
      <c r="G5" s="9" t="n">
        <v>5450</v>
      </c>
      <c r="H5" s="9" t="n">
        <v>5465</v>
      </c>
      <c r="I5" s="9" t="n">
        <v>5469</v>
      </c>
      <c r="J5" s="9" t="n">
        <v>5077</v>
      </c>
      <c r="K5" s="9" t="n">
        <v>5084</v>
      </c>
      <c r="L5" s="9" t="n">
        <v>5077</v>
      </c>
      <c r="M5" s="9" t="n">
        <v>4878</v>
      </c>
      <c r="N5" s="9" t="n">
        <v>4871</v>
      </c>
      <c r="O5" s="9" t="n">
        <v>4864</v>
      </c>
    </row>
    <row r="6">
      <c r="A6" s="6" t="inlineStr">
        <is>
          <t>Tier 1 Capital</t>
        </is>
      </c>
      <c r="B6" s="6" t="inlineStr">
        <is>
          <t>USDm</t>
        </is>
      </c>
      <c r="C6" s="6" t="inlineStr">
        <is>
          <t>SMBC Bank International plc entity-level; native USD reporting</t>
        </is>
      </c>
      <c r="D6" s="9" t="n">
        <v>5761</v>
      </c>
      <c r="E6" s="9" t="n">
        <v>5771</v>
      </c>
      <c r="F6" s="9" t="n">
        <v>5780</v>
      </c>
      <c r="G6" s="9" t="n">
        <v>5450</v>
      </c>
      <c r="H6" s="9" t="n">
        <v>5465</v>
      </c>
      <c r="I6" s="9" t="n">
        <v>5469</v>
      </c>
      <c r="J6" s="9" t="n">
        <v>5077</v>
      </c>
      <c r="K6" s="9" t="n">
        <v>5084</v>
      </c>
      <c r="L6" s="9" t="n">
        <v>5077</v>
      </c>
      <c r="M6" s="9" t="n">
        <v>4878</v>
      </c>
      <c r="N6" s="9" t="n">
        <v>4871</v>
      </c>
      <c r="O6" s="9" t="n">
        <v>4864</v>
      </c>
    </row>
    <row r="7">
      <c r="A7" s="6" t="inlineStr">
        <is>
          <t>Total Capital</t>
        </is>
      </c>
      <c r="B7" s="6" t="inlineStr">
        <is>
          <t>USDm</t>
        </is>
      </c>
      <c r="C7" s="6" t="inlineStr">
        <is>
          <t>SMBC Bank International plc entity-level; native USD reporting</t>
        </is>
      </c>
      <c r="D7" s="9" t="n">
        <v>5761</v>
      </c>
      <c r="E7" s="9" t="n">
        <v>5771</v>
      </c>
      <c r="F7" s="9" t="n">
        <v>5780</v>
      </c>
      <c r="G7" s="9" t="n">
        <v>5450</v>
      </c>
      <c r="H7" s="9" t="n">
        <v>5465</v>
      </c>
      <c r="I7" s="9" t="n">
        <v>5469</v>
      </c>
      <c r="J7" s="9" t="n">
        <v>5077</v>
      </c>
      <c r="K7" s="9" t="n">
        <v>5084</v>
      </c>
      <c r="L7" s="9" t="n">
        <v>5077</v>
      </c>
      <c r="M7" s="9" t="n">
        <v>4878</v>
      </c>
      <c r="N7" s="9" t="n">
        <v>4871</v>
      </c>
      <c r="O7" s="9" t="n">
        <v>4864</v>
      </c>
    </row>
    <row r="8">
      <c r="A8" s="6" t="inlineStr">
        <is>
          <t>Total RWAs</t>
        </is>
      </c>
      <c r="B8" s="6" t="inlineStr">
        <is>
          <t>USDm</t>
        </is>
      </c>
      <c r="C8" s="6" t="inlineStr">
        <is>
          <t>SMBC Bank International plc entity-level; native USD reporting</t>
        </is>
      </c>
      <c r="D8" s="9" t="n">
        <v>34723</v>
      </c>
      <c r="E8" s="9" t="n">
        <v>32117</v>
      </c>
      <c r="F8" s="9" t="n">
        <v>34299</v>
      </c>
      <c r="G8" s="9" t="n">
        <v>32113</v>
      </c>
      <c r="H8" s="9" t="n">
        <v>30156</v>
      </c>
      <c r="I8" s="9" t="n">
        <v>28591</v>
      </c>
      <c r="J8" s="9" t="n">
        <v>31432</v>
      </c>
      <c r="K8" s="9" t="n">
        <v>29061</v>
      </c>
      <c r="L8" s="9" t="n">
        <v>29791</v>
      </c>
      <c r="M8" s="9" t="n">
        <v>28657</v>
      </c>
      <c r="N8" s="9" t="n">
        <v>27759</v>
      </c>
      <c r="O8" s="9" t="n">
        <v>28233</v>
      </c>
    </row>
    <row r="9">
      <c r="A9" s="6" t="inlineStr">
        <is>
          <t>CET1 Ratio</t>
        </is>
      </c>
      <c r="B9" s="6" t="inlineStr">
        <is>
          <t>%</t>
        </is>
      </c>
      <c r="C9" s="6" t="inlineStr">
        <is>
          <t>SMBC Bank International plc entity-level; native USD reporting</t>
        </is>
      </c>
      <c r="D9" s="9" t="inlineStr">
        <is>
          <t>16.6%</t>
        </is>
      </c>
      <c r="E9" s="9" t="inlineStr">
        <is>
          <t>18.0%</t>
        </is>
      </c>
      <c r="F9" s="9" t="inlineStr">
        <is>
          <t>16.9%</t>
        </is>
      </c>
      <c r="G9" s="9" t="inlineStr">
        <is>
          <t>17.0%</t>
        </is>
      </c>
      <c r="H9" s="9" t="inlineStr">
        <is>
          <t>18.1%</t>
        </is>
      </c>
      <c r="I9" s="9" t="inlineStr">
        <is>
          <t>19.1%</t>
        </is>
      </c>
      <c r="J9" s="9" t="inlineStr">
        <is>
          <t>16.2%</t>
        </is>
      </c>
      <c r="K9" s="9" t="inlineStr">
        <is>
          <t>17.5%</t>
        </is>
      </c>
      <c r="L9" s="9" t="inlineStr">
        <is>
          <t>17.0%</t>
        </is>
      </c>
      <c r="M9" s="9" t="inlineStr">
        <is>
          <t>17.0%</t>
        </is>
      </c>
      <c r="N9" s="9" t="inlineStr">
        <is>
          <t>17.5%</t>
        </is>
      </c>
      <c r="O9" s="9" t="inlineStr">
        <is>
          <t>17.2%</t>
        </is>
      </c>
    </row>
    <row r="10">
      <c r="A10" s="6" t="inlineStr">
        <is>
          <t>Tier 1 Ratio</t>
        </is>
      </c>
      <c r="B10" s="6" t="inlineStr">
        <is>
          <t>%</t>
        </is>
      </c>
      <c r="C10" s="6" t="inlineStr">
        <is>
          <t>SMBC Bank International plc entity-level; native USD reporting</t>
        </is>
      </c>
      <c r="D10" s="9" t="inlineStr">
        <is>
          <t>16.6%</t>
        </is>
      </c>
      <c r="E10" s="9" t="inlineStr">
        <is>
          <t>18.0%</t>
        </is>
      </c>
      <c r="F10" s="9" t="inlineStr">
        <is>
          <t>16.9%</t>
        </is>
      </c>
      <c r="G10" s="9" t="inlineStr">
        <is>
          <t>17.0%</t>
        </is>
      </c>
      <c r="H10" s="9" t="inlineStr">
        <is>
          <t>18.1%</t>
        </is>
      </c>
      <c r="I10" s="9" t="inlineStr">
        <is>
          <t>19.1%</t>
        </is>
      </c>
      <c r="J10" s="9" t="inlineStr">
        <is>
          <t>16.2%</t>
        </is>
      </c>
      <c r="K10" s="9" t="inlineStr">
        <is>
          <t>17.5%</t>
        </is>
      </c>
      <c r="L10" s="9" t="inlineStr">
        <is>
          <t>17.0%</t>
        </is>
      </c>
      <c r="M10" s="9" t="inlineStr">
        <is>
          <t>17.0%</t>
        </is>
      </c>
      <c r="N10" s="9" t="inlineStr">
        <is>
          <t>17.5%</t>
        </is>
      </c>
      <c r="O10" s="9" t="inlineStr">
        <is>
          <t>17.2%</t>
        </is>
      </c>
    </row>
    <row r="11">
      <c r="A11" s="6" t="inlineStr">
        <is>
          <t>Total Capital Ratio</t>
        </is>
      </c>
      <c r="B11" s="6" t="inlineStr">
        <is>
          <t>%</t>
        </is>
      </c>
      <c r="C11" s="6" t="inlineStr">
        <is>
          <t>SMBC Bank International plc entity-level; native USD reporting</t>
        </is>
      </c>
      <c r="D11" s="9" t="inlineStr">
        <is>
          <t>16.6%</t>
        </is>
      </c>
      <c r="E11" s="9" t="inlineStr">
        <is>
          <t>18.0%</t>
        </is>
      </c>
      <c r="F11" s="9" t="inlineStr">
        <is>
          <t>16.9%</t>
        </is>
      </c>
      <c r="G11" s="9" t="inlineStr">
        <is>
          <t>17.0%</t>
        </is>
      </c>
      <c r="H11" s="9" t="inlineStr">
        <is>
          <t>18.1%</t>
        </is>
      </c>
      <c r="I11" s="9" t="inlineStr">
        <is>
          <t>19.1%</t>
        </is>
      </c>
      <c r="J11" s="9" t="inlineStr">
        <is>
          <t>16.2%</t>
        </is>
      </c>
      <c r="K11" s="9" t="inlineStr">
        <is>
          <t>17.5%</t>
        </is>
      </c>
      <c r="L11" s="9" t="inlineStr">
        <is>
          <t>17.0%</t>
        </is>
      </c>
      <c r="M11" s="9" t="inlineStr">
        <is>
          <t>17.0%</t>
        </is>
      </c>
      <c r="N11" s="9" t="inlineStr">
        <is>
          <t>17.5%</t>
        </is>
      </c>
      <c r="O11" s="9" t="inlineStr">
        <is>
          <t>17.2%</t>
        </is>
      </c>
    </row>
    <row r="12">
      <c r="A12" s="6" t="inlineStr">
        <is>
          <t>Leverage Exposure</t>
        </is>
      </c>
      <c r="B12" s="6" t="inlineStr">
        <is>
          <t>USDm</t>
        </is>
      </c>
      <c r="C12" s="6" t="inlineStr">
        <is>
          <t>SMBC Bank International plc entity-level; native USD reporting</t>
        </is>
      </c>
      <c r="D12" s="9" t="n">
        <v>74964</v>
      </c>
      <c r="E12" s="9" t="n">
        <v>64993</v>
      </c>
      <c r="F12" s="9" t="n">
        <v>63790</v>
      </c>
      <c r="G12" s="9" t="n">
        <v>59429</v>
      </c>
      <c r="H12" s="9" t="n">
        <v>40131</v>
      </c>
      <c r="I12" s="9" t="n">
        <v>36189</v>
      </c>
      <c r="J12" s="9" t="n">
        <v>42439</v>
      </c>
      <c r="K12" s="9" t="n">
        <v>37292</v>
      </c>
      <c r="L12" s="9" t="n">
        <v>36456</v>
      </c>
      <c r="M12" s="9" t="n">
        <v>38261</v>
      </c>
      <c r="N12" s="9" t="n">
        <v>42903</v>
      </c>
      <c r="O12" s="9" t="n">
        <v>38634</v>
      </c>
    </row>
    <row r="13">
      <c r="A13" s="6" t="inlineStr">
        <is>
          <t>Leverage Ratio</t>
        </is>
      </c>
      <c r="B13" s="6" t="inlineStr">
        <is>
          <t>%</t>
        </is>
      </c>
      <c r="C13" s="6" t="inlineStr">
        <is>
          <t>SMBC Bank International plc entity-level; native USD reporting</t>
        </is>
      </c>
      <c r="D13" s="9" t="inlineStr">
        <is>
          <t>7.7%</t>
        </is>
      </c>
      <c r="E13" s="9" t="inlineStr">
        <is>
          <t>8.9%</t>
        </is>
      </c>
      <c r="F13" s="9" t="inlineStr">
        <is>
          <t>9.1%</t>
        </is>
      </c>
      <c r="G13" s="9" t="inlineStr">
        <is>
          <t>9.2%</t>
        </is>
      </c>
      <c r="H13" s="9" t="inlineStr">
        <is>
          <t>13.6%</t>
        </is>
      </c>
      <c r="I13" s="9" t="inlineStr">
        <is>
          <t>15.1%</t>
        </is>
      </c>
      <c r="J13" s="9" t="inlineStr">
        <is>
          <t>12.0%</t>
        </is>
      </c>
      <c r="K13" s="9" t="inlineStr">
        <is>
          <t>13.6%</t>
        </is>
      </c>
      <c r="L13" s="9" t="inlineStr">
        <is>
          <t>13.9%</t>
        </is>
      </c>
      <c r="M13" s="9" t="inlineStr">
        <is>
          <t>12.7%</t>
        </is>
      </c>
      <c r="N13" s="9" t="inlineStr">
        <is>
          <t>11.4%</t>
        </is>
      </c>
      <c r="O13" s="9" t="inlineStr">
        <is>
          <t>12.6%</t>
        </is>
      </c>
    </row>
    <row r="14">
      <c r="A14" s="6" t="inlineStr">
        <is>
          <t>LCR HQLA</t>
        </is>
      </c>
      <c r="B14" s="6" t="inlineStr">
        <is>
          <t>USDm</t>
        </is>
      </c>
      <c r="C14" s="6" t="inlineStr">
        <is>
          <t>SMBC Bank International plc entity-level; native USD reporting</t>
        </is>
      </c>
      <c r="D14" s="9" t="n">
        <v>28993</v>
      </c>
      <c r="E14" s="9" t="n">
        <v>27479</v>
      </c>
      <c r="F14" s="9" t="n">
        <v>26296</v>
      </c>
      <c r="G14" s="9" t="n">
        <v>24939</v>
      </c>
      <c r="H14" s="9" t="n">
        <v>25369</v>
      </c>
      <c r="I14" s="9" t="n">
        <v>25342</v>
      </c>
      <c r="J14" s="9" t="n">
        <v>26810</v>
      </c>
      <c r="K14" s="9" t="n">
        <v>25074</v>
      </c>
      <c r="L14" s="9" t="n">
        <v>22986</v>
      </c>
      <c r="M14" s="9" t="n">
        <v>28599</v>
      </c>
      <c r="N14" s="9" t="n">
        <v>26812</v>
      </c>
      <c r="O14" s="9" t="n">
        <v>27846</v>
      </c>
    </row>
    <row r="15">
      <c r="A15" s="6" t="inlineStr">
        <is>
          <t>LCR Net Outflows</t>
        </is>
      </c>
      <c r="B15" s="6" t="inlineStr">
        <is>
          <t>USDm</t>
        </is>
      </c>
      <c r="C15" s="6" t="inlineStr">
        <is>
          <t>SMBC Bank International plc entity-level; native USD reporting</t>
        </is>
      </c>
      <c r="D15" s="9" t="n">
        <v>19099</v>
      </c>
      <c r="E15" s="9" t="n">
        <v>18026</v>
      </c>
      <c r="F15" s="9" t="n">
        <v>16850</v>
      </c>
      <c r="G15" s="9" t="n">
        <v>15384</v>
      </c>
      <c r="H15" s="9" t="n">
        <v>15651</v>
      </c>
      <c r="I15" s="9" t="n">
        <v>15855</v>
      </c>
      <c r="J15" s="9" t="n">
        <v>16971</v>
      </c>
      <c r="K15" s="9" t="n">
        <v>16237</v>
      </c>
      <c r="L15" s="9" t="n">
        <v>15301</v>
      </c>
      <c r="M15" s="9" t="n">
        <v>19175</v>
      </c>
      <c r="N15" s="9" t="n">
        <v>16934</v>
      </c>
      <c r="O15" s="9" t="n">
        <v>19730</v>
      </c>
    </row>
    <row r="16">
      <c r="A16" s="6" t="inlineStr">
        <is>
          <t>LCR Ratio</t>
        </is>
      </c>
      <c r="B16" s="6" t="inlineStr">
        <is>
          <t>%</t>
        </is>
      </c>
      <c r="C16" s="6" t="inlineStr">
        <is>
          <t>SMBC Bank International plc entity-level; native USD reporting</t>
        </is>
      </c>
      <c r="D16" s="9" t="inlineStr">
        <is>
          <t>151.8%</t>
        </is>
      </c>
      <c r="E16" s="9" t="inlineStr">
        <is>
          <t>152.4%</t>
        </is>
      </c>
      <c r="F16" s="9" t="inlineStr">
        <is>
          <t>156.1%</t>
        </is>
      </c>
      <c r="G16" s="9" t="inlineStr">
        <is>
          <t>162.1%</t>
        </is>
      </c>
      <c r="H16" s="9" t="inlineStr">
        <is>
          <t>162.1%</t>
        </is>
      </c>
      <c r="I16" s="9" t="inlineStr">
        <is>
          <t>159.8%</t>
        </is>
      </c>
      <c r="J16" s="9" t="inlineStr">
        <is>
          <t>158.0%</t>
        </is>
      </c>
      <c r="K16" s="9" t="inlineStr">
        <is>
          <t>154.4%</t>
        </is>
      </c>
      <c r="L16" s="9" t="inlineStr">
        <is>
          <t>150.2%</t>
        </is>
      </c>
      <c r="M16" s="9" t="inlineStr">
        <is>
          <t>149.1%</t>
        </is>
      </c>
      <c r="N16" s="9" t="inlineStr">
        <is>
          <t>158.3%</t>
        </is>
      </c>
      <c r="O16" s="9" t="inlineStr">
        <is>
          <t>141.1%</t>
        </is>
      </c>
    </row>
    <row r="17">
      <c r="A17" s="6" t="inlineStr">
        <is>
          <t>NSFR ASF</t>
        </is>
      </c>
      <c r="B17" s="6" t="inlineStr">
        <is>
          <t>USDm</t>
        </is>
      </c>
      <c r="C17" s="6" t="inlineStr">
        <is>
          <t>SMBC Bank International plc entity-level; native USD reporting</t>
        </is>
      </c>
      <c r="D17" s="9" t="n">
        <v>26054</v>
      </c>
      <c r="E17" s="9" t="n">
        <v>24586</v>
      </c>
      <c r="F17" s="9" t="n">
        <v>23735</v>
      </c>
      <c r="G17" s="9" t="n">
        <v>22805</v>
      </c>
      <c r="H17" s="9" t="n">
        <v>23060</v>
      </c>
      <c r="I17" s="9" t="n">
        <v>23516</v>
      </c>
      <c r="J17" s="9" t="n">
        <v>23890</v>
      </c>
      <c r="K17" s="9" t="n">
        <v>23965</v>
      </c>
      <c r="L17" s="9" t="n">
        <v>23210</v>
      </c>
      <c r="M17" s="9" t="n">
        <v>24228</v>
      </c>
      <c r="N17" s="9" t="n">
        <v>24965</v>
      </c>
      <c r="O17" s="9" t="n">
        <v>22865</v>
      </c>
    </row>
    <row r="18">
      <c r="A18" s="6" t="inlineStr">
        <is>
          <t>NSFR RSF</t>
        </is>
      </c>
      <c r="B18" s="6" t="inlineStr">
        <is>
          <t>USDm</t>
        </is>
      </c>
      <c r="C18" s="6" t="inlineStr">
        <is>
          <t>SMBC Bank International plc entity-level; native USD reporting</t>
        </is>
      </c>
      <c r="D18" s="9" t="n">
        <v>20317</v>
      </c>
      <c r="E18" s="9" t="n">
        <v>19844</v>
      </c>
      <c r="F18" s="9" t="n">
        <v>19020</v>
      </c>
      <c r="G18" s="9" t="n">
        <v>16987</v>
      </c>
      <c r="H18" s="9" t="n">
        <v>16693</v>
      </c>
      <c r="I18" s="9" t="n">
        <v>16735</v>
      </c>
      <c r="J18" s="9" t="n">
        <v>16939</v>
      </c>
      <c r="K18" s="9" t="n">
        <v>16870</v>
      </c>
      <c r="L18" s="9" t="n">
        <v>16613</v>
      </c>
      <c r="M18" s="9" t="n">
        <v>17256</v>
      </c>
      <c r="N18" s="9" t="n">
        <v>16274</v>
      </c>
      <c r="O18" s="9" t="n">
        <v>17191</v>
      </c>
    </row>
    <row r="19">
      <c r="A19" s="6" t="inlineStr">
        <is>
          <t>NSFR Ratio</t>
        </is>
      </c>
      <c r="B19" s="6" t="inlineStr">
        <is>
          <t>%</t>
        </is>
      </c>
      <c r="C19" s="6" t="inlineStr">
        <is>
          <t>SMBC Bank International plc entity-level; native USD reporting</t>
        </is>
      </c>
      <c r="D19" s="9" t="inlineStr">
        <is>
          <t>128.2%</t>
        </is>
      </c>
      <c r="E19" s="9" t="inlineStr">
        <is>
          <t>123.9%</t>
        </is>
      </c>
      <c r="F19" s="9" t="inlineStr">
        <is>
          <t>124.8%</t>
        </is>
      </c>
      <c r="G19" s="9" t="inlineStr">
        <is>
          <t>134.3%</t>
        </is>
      </c>
      <c r="H19" s="9" t="inlineStr">
        <is>
          <t>138.1%</t>
        </is>
      </c>
      <c r="I19" s="9" t="inlineStr">
        <is>
          <t>140.5%</t>
        </is>
      </c>
      <c r="J19" s="9" t="inlineStr">
        <is>
          <t>141.0%</t>
        </is>
      </c>
      <c r="K19" s="9" t="inlineStr">
        <is>
          <t>142.1%</t>
        </is>
      </c>
      <c r="L19" s="9" t="inlineStr">
        <is>
          <t>139.7%</t>
        </is>
      </c>
      <c r="M19" s="9" t="inlineStr">
        <is>
          <t>140.4%</t>
        </is>
      </c>
      <c r="N19" s="9" t="inlineStr">
        <is>
          <t>153.4%</t>
        </is>
      </c>
      <c r="O19" s="9" t="inlineStr">
        <is>
          <t>133.0%</t>
        </is>
      </c>
    </row>
    <row r="22">
      <c r="A22" s="2" t="inlineStr">
        <is>
          <t>Source register</t>
        </is>
      </c>
    </row>
    <row r="23">
      <c r="A23" s="4" t="inlineStr">
        <is>
          <t>Period</t>
        </is>
      </c>
      <c r="B23" s="4" t="inlineStr">
        <is>
          <t>Disclosure type</t>
        </is>
      </c>
      <c r="C23" s="4" t="inlineStr">
        <is>
          <t>Source document</t>
        </is>
      </c>
      <c r="D23" s="4" t="inlineStr">
        <is>
          <t>Page / table</t>
        </is>
      </c>
    </row>
    <row r="24">
      <c r="A24" s="6" t="inlineStr">
        <is>
          <t>2025 Q4</t>
        </is>
      </c>
      <c r="B24" s="6" t="inlineStr">
        <is>
          <t>Q4</t>
        </is>
      </c>
      <c r="C24" s="9" t="inlineStr">
        <is>
          <t>SMBC-BI-Pillar-3-Dec-25-v3.pdf</t>
        </is>
      </c>
      <c r="D24" s="6" t="inlineStr">
        <is>
          <t>Table 1: KM1, PDF p.5</t>
        </is>
      </c>
    </row>
    <row r="25">
      <c r="A25" s="6" t="inlineStr">
        <is>
          <t>2025 Q3</t>
        </is>
      </c>
      <c r="B25" s="6" t="inlineStr">
        <is>
          <t>Q3</t>
        </is>
      </c>
      <c r="C25" s="9" t="inlineStr">
        <is>
          <t>SMBC-BI-Pillar-3-Sept-25.pdf</t>
        </is>
      </c>
      <c r="D25" s="6" t="inlineStr">
        <is>
          <t>Table 2.1: KM1, PDF p.5</t>
        </is>
      </c>
    </row>
    <row r="26">
      <c r="A26" s="6" t="inlineStr">
        <is>
          <t>2025 H1</t>
        </is>
      </c>
      <c r="B26" s="6" t="inlineStr">
        <is>
          <t>H1</t>
        </is>
      </c>
      <c r="C26" s="9" t="inlineStr">
        <is>
          <t>SMBC-BI-Pillar-3-June-25.pdf</t>
        </is>
      </c>
      <c r="D26" s="6" t="inlineStr">
        <is>
          <t>Table 1: KM1, PDF p.5</t>
        </is>
      </c>
    </row>
    <row r="27">
      <c r="A27" s="6" t="inlineStr">
        <is>
          <t>2024 Q4</t>
        </is>
      </c>
      <c r="B27" s="6" t="inlineStr">
        <is>
          <t>Q4</t>
        </is>
      </c>
      <c r="C27" s="9" t="inlineStr">
        <is>
          <t>Pillar-3-Interim-Disclosure-December-2024-(SMBC-BI).pdf</t>
        </is>
      </c>
      <c r="D27" s="6" t="inlineStr">
        <is>
          <t>Table 1: KM1, PDF p.5</t>
        </is>
      </c>
    </row>
    <row r="28">
      <c r="A28" s="6" t="inlineStr">
        <is>
          <t>2024 Q3</t>
        </is>
      </c>
      <c r="B28" s="6" t="inlineStr">
        <is>
          <t>Q3</t>
        </is>
      </c>
      <c r="C28" s="9" t="inlineStr">
        <is>
          <t>Pillar-3-Interim-Disclosure-September-2024-(SMBC-BI).pdf</t>
        </is>
      </c>
      <c r="D28" s="6" t="inlineStr">
        <is>
          <t>Table 1: KM1, PDF p.5</t>
        </is>
      </c>
    </row>
    <row r="29">
      <c r="A29" s="6" t="inlineStr">
        <is>
          <t>2024 H1</t>
        </is>
      </c>
      <c r="B29" s="6" t="inlineStr">
        <is>
          <t>H1</t>
        </is>
      </c>
      <c r="C29" s="9" t="inlineStr">
        <is>
          <t>Pillar-3-Interim-Disclosure-June-2024-(SMBC-BI).pdf</t>
        </is>
      </c>
      <c r="D29" s="6" t="inlineStr">
        <is>
          <t>Table 1: KM1, PDF p.5</t>
        </is>
      </c>
    </row>
    <row r="30">
      <c r="A30" s="6" t="inlineStr">
        <is>
          <t>2023 Q4</t>
        </is>
      </c>
      <c r="B30" s="6" t="inlineStr">
        <is>
          <t>Q4</t>
        </is>
      </c>
      <c r="C30" s="9" t="inlineStr">
        <is>
          <t>Pillar-3-Interim-Disclosure-December-2023-(SMBC-BI).pdf</t>
        </is>
      </c>
      <c r="D30" s="6" t="inlineStr">
        <is>
          <t>Table 1: KM1, PDF p.5</t>
        </is>
      </c>
    </row>
    <row r="31">
      <c r="A31" s="6" t="inlineStr">
        <is>
          <t>2023 Q3</t>
        </is>
      </c>
      <c r="B31" s="6" t="inlineStr">
        <is>
          <t>Q3</t>
        </is>
      </c>
      <c r="C31" s="9" t="inlineStr">
        <is>
          <t>Pillar-3-Interim-Disclosure-September-2023-(SMBC-BI).pdf</t>
        </is>
      </c>
      <c r="D31" s="6" t="inlineStr">
        <is>
          <t>Table 1: KM1, PDF p.4</t>
        </is>
      </c>
    </row>
    <row r="32">
      <c r="A32" s="6" t="inlineStr">
        <is>
          <t>2023 H1</t>
        </is>
      </c>
      <c r="B32" s="6" t="inlineStr">
        <is>
          <t>H1</t>
        </is>
      </c>
      <c r="C32" s="9" t="inlineStr">
        <is>
          <t>Pillar-3-Interim-Disclosure-June-2023-(SMBC-BI).pdf</t>
        </is>
      </c>
      <c r="D32" s="6" t="inlineStr">
        <is>
          <t>Table 1: KM1, PDF p.5</t>
        </is>
      </c>
    </row>
    <row r="33">
      <c r="A33" s="6" t="inlineStr">
        <is>
          <t>2022 Q4</t>
        </is>
      </c>
      <c r="B33" s="6" t="inlineStr">
        <is>
          <t>Q4</t>
        </is>
      </c>
      <c r="C33" s="9" t="inlineStr">
        <is>
          <t>Pillar-3-Interim-Disclosure-December-2022-(SMBC-BI).pdf</t>
        </is>
      </c>
      <c r="D33" s="6" t="inlineStr">
        <is>
          <t>Table 1: KM1, PDF p.5</t>
        </is>
      </c>
    </row>
    <row r="34">
      <c r="A34" s="6" t="inlineStr">
        <is>
          <t>2022 Q3</t>
        </is>
      </c>
      <c r="B34" s="6" t="inlineStr">
        <is>
          <t>Q3</t>
        </is>
      </c>
      <c r="C34" s="9" t="inlineStr">
        <is>
          <t>Pillar-3-Interim-Disclosure-September-2022-(SMBC-BI).pdf</t>
        </is>
      </c>
      <c r="D34" s="6" t="inlineStr">
        <is>
          <t>Table 1: KM1, PDF p.4</t>
        </is>
      </c>
    </row>
    <row r="35">
      <c r="A35" s="6" t="inlineStr">
        <is>
          <t>2022 H1</t>
        </is>
      </c>
      <c r="B35" s="6" t="inlineStr">
        <is>
          <t>H1</t>
        </is>
      </c>
      <c r="C35" s="9" t="inlineStr">
        <is>
          <t>Pillar-3-Interim-Disclosure-June-2022-(SMBC-BI).pdf</t>
        </is>
      </c>
      <c r="D35" s="6" t="inlineStr">
        <is>
          <t>Table 1: KM1, PDF p.5</t>
        </is>
      </c>
    </row>
    <row r="37" ht="30" customHeight="1">
      <c r="A37" s="8" t="inlineStr">
        <is>
          <t>Note: The March year-end observations remain on the annual metric sheets. The official archive provides June, September and December disclosures for 2022-2025. Direct source-document hyperlinks are attached to every row. Interim amounts are intentionally not converted to GBP because a common, documented month-end conversion series is not part of the source methodology used for the annual workbook.</t>
        </is>
      </c>
    </row>
  </sheetData>
  <mergeCells count="1">
    <mergeCell ref="A37:O37"/>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I5" r:id="rId6"/>
    <hyperlink xmlns:r="http://schemas.openxmlformats.org/officeDocument/2006/relationships" ref="J5" r:id="rId7"/>
    <hyperlink xmlns:r="http://schemas.openxmlformats.org/officeDocument/2006/relationships" ref="K5" r:id="rId8"/>
    <hyperlink xmlns:r="http://schemas.openxmlformats.org/officeDocument/2006/relationships" ref="L5" r:id="rId9"/>
    <hyperlink xmlns:r="http://schemas.openxmlformats.org/officeDocument/2006/relationships" ref="M5" r:id="rId10"/>
    <hyperlink xmlns:r="http://schemas.openxmlformats.org/officeDocument/2006/relationships" ref="N5" r:id="rId11"/>
    <hyperlink xmlns:r="http://schemas.openxmlformats.org/officeDocument/2006/relationships" ref="O5" r:id="rId12"/>
    <hyperlink xmlns:r="http://schemas.openxmlformats.org/officeDocument/2006/relationships" ref="D6" r:id="rId13"/>
    <hyperlink xmlns:r="http://schemas.openxmlformats.org/officeDocument/2006/relationships" ref="E6" r:id="rId14"/>
    <hyperlink xmlns:r="http://schemas.openxmlformats.org/officeDocument/2006/relationships" ref="F6" r:id="rId15"/>
    <hyperlink xmlns:r="http://schemas.openxmlformats.org/officeDocument/2006/relationships" ref="G6" r:id="rId16"/>
    <hyperlink xmlns:r="http://schemas.openxmlformats.org/officeDocument/2006/relationships" ref="H6" r:id="rId17"/>
    <hyperlink xmlns:r="http://schemas.openxmlformats.org/officeDocument/2006/relationships" ref="I6" r:id="rId18"/>
    <hyperlink xmlns:r="http://schemas.openxmlformats.org/officeDocument/2006/relationships" ref="J6" r:id="rId19"/>
    <hyperlink xmlns:r="http://schemas.openxmlformats.org/officeDocument/2006/relationships" ref="K6" r:id="rId20"/>
    <hyperlink xmlns:r="http://schemas.openxmlformats.org/officeDocument/2006/relationships" ref="L6" r:id="rId21"/>
    <hyperlink xmlns:r="http://schemas.openxmlformats.org/officeDocument/2006/relationships" ref="M6" r:id="rId22"/>
    <hyperlink xmlns:r="http://schemas.openxmlformats.org/officeDocument/2006/relationships" ref="N6" r:id="rId23"/>
    <hyperlink xmlns:r="http://schemas.openxmlformats.org/officeDocument/2006/relationships" ref="O6" r:id="rId24"/>
    <hyperlink xmlns:r="http://schemas.openxmlformats.org/officeDocument/2006/relationships" ref="D7" r:id="rId25"/>
    <hyperlink xmlns:r="http://schemas.openxmlformats.org/officeDocument/2006/relationships" ref="E7" r:id="rId26"/>
    <hyperlink xmlns:r="http://schemas.openxmlformats.org/officeDocument/2006/relationships" ref="F7" r:id="rId27"/>
    <hyperlink xmlns:r="http://schemas.openxmlformats.org/officeDocument/2006/relationships" ref="G7" r:id="rId28"/>
    <hyperlink xmlns:r="http://schemas.openxmlformats.org/officeDocument/2006/relationships" ref="H7" r:id="rId29"/>
    <hyperlink xmlns:r="http://schemas.openxmlformats.org/officeDocument/2006/relationships" ref="I7" r:id="rId30"/>
    <hyperlink xmlns:r="http://schemas.openxmlformats.org/officeDocument/2006/relationships" ref="J7" r:id="rId31"/>
    <hyperlink xmlns:r="http://schemas.openxmlformats.org/officeDocument/2006/relationships" ref="K7" r:id="rId32"/>
    <hyperlink xmlns:r="http://schemas.openxmlformats.org/officeDocument/2006/relationships" ref="L7" r:id="rId33"/>
    <hyperlink xmlns:r="http://schemas.openxmlformats.org/officeDocument/2006/relationships" ref="M7" r:id="rId34"/>
    <hyperlink xmlns:r="http://schemas.openxmlformats.org/officeDocument/2006/relationships" ref="N7" r:id="rId35"/>
    <hyperlink xmlns:r="http://schemas.openxmlformats.org/officeDocument/2006/relationships" ref="O7" r:id="rId36"/>
    <hyperlink xmlns:r="http://schemas.openxmlformats.org/officeDocument/2006/relationships" ref="D8" r:id="rId37"/>
    <hyperlink xmlns:r="http://schemas.openxmlformats.org/officeDocument/2006/relationships" ref="E8" r:id="rId38"/>
    <hyperlink xmlns:r="http://schemas.openxmlformats.org/officeDocument/2006/relationships" ref="F8" r:id="rId39"/>
    <hyperlink xmlns:r="http://schemas.openxmlformats.org/officeDocument/2006/relationships" ref="G8" r:id="rId40"/>
    <hyperlink xmlns:r="http://schemas.openxmlformats.org/officeDocument/2006/relationships" ref="H8" r:id="rId41"/>
    <hyperlink xmlns:r="http://schemas.openxmlformats.org/officeDocument/2006/relationships" ref="I8" r:id="rId42"/>
    <hyperlink xmlns:r="http://schemas.openxmlformats.org/officeDocument/2006/relationships" ref="J8" r:id="rId43"/>
    <hyperlink xmlns:r="http://schemas.openxmlformats.org/officeDocument/2006/relationships" ref="K8" r:id="rId44"/>
    <hyperlink xmlns:r="http://schemas.openxmlformats.org/officeDocument/2006/relationships" ref="L8" r:id="rId45"/>
    <hyperlink xmlns:r="http://schemas.openxmlformats.org/officeDocument/2006/relationships" ref="M8" r:id="rId46"/>
    <hyperlink xmlns:r="http://schemas.openxmlformats.org/officeDocument/2006/relationships" ref="N8" r:id="rId47"/>
    <hyperlink xmlns:r="http://schemas.openxmlformats.org/officeDocument/2006/relationships" ref="O8" r:id="rId48"/>
    <hyperlink xmlns:r="http://schemas.openxmlformats.org/officeDocument/2006/relationships" ref="D9" r:id="rId49"/>
    <hyperlink xmlns:r="http://schemas.openxmlformats.org/officeDocument/2006/relationships" ref="E9" r:id="rId50"/>
    <hyperlink xmlns:r="http://schemas.openxmlformats.org/officeDocument/2006/relationships" ref="F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J9" r:id="rId55"/>
    <hyperlink xmlns:r="http://schemas.openxmlformats.org/officeDocument/2006/relationships" ref="K9" r:id="rId56"/>
    <hyperlink xmlns:r="http://schemas.openxmlformats.org/officeDocument/2006/relationships" ref="L9" r:id="rId57"/>
    <hyperlink xmlns:r="http://schemas.openxmlformats.org/officeDocument/2006/relationships" ref="M9" r:id="rId58"/>
    <hyperlink xmlns:r="http://schemas.openxmlformats.org/officeDocument/2006/relationships" ref="N9" r:id="rId59"/>
    <hyperlink xmlns:r="http://schemas.openxmlformats.org/officeDocument/2006/relationships" ref="O9" r:id="rId60"/>
    <hyperlink xmlns:r="http://schemas.openxmlformats.org/officeDocument/2006/relationships" ref="D10" r:id="rId61"/>
    <hyperlink xmlns:r="http://schemas.openxmlformats.org/officeDocument/2006/relationships" ref="E10" r:id="rId62"/>
    <hyperlink xmlns:r="http://schemas.openxmlformats.org/officeDocument/2006/relationships" ref="F10" r:id="rId63"/>
    <hyperlink xmlns:r="http://schemas.openxmlformats.org/officeDocument/2006/relationships" ref="G10" r:id="rId64"/>
    <hyperlink xmlns:r="http://schemas.openxmlformats.org/officeDocument/2006/relationships" ref="H10" r:id="rId65"/>
    <hyperlink xmlns:r="http://schemas.openxmlformats.org/officeDocument/2006/relationships" ref="I10" r:id="rId66"/>
    <hyperlink xmlns:r="http://schemas.openxmlformats.org/officeDocument/2006/relationships" ref="J10" r:id="rId67"/>
    <hyperlink xmlns:r="http://schemas.openxmlformats.org/officeDocument/2006/relationships" ref="K10" r:id="rId68"/>
    <hyperlink xmlns:r="http://schemas.openxmlformats.org/officeDocument/2006/relationships" ref="L10" r:id="rId69"/>
    <hyperlink xmlns:r="http://schemas.openxmlformats.org/officeDocument/2006/relationships" ref="M10" r:id="rId70"/>
    <hyperlink xmlns:r="http://schemas.openxmlformats.org/officeDocument/2006/relationships" ref="N10" r:id="rId71"/>
    <hyperlink xmlns:r="http://schemas.openxmlformats.org/officeDocument/2006/relationships" ref="O10" r:id="rId72"/>
    <hyperlink xmlns:r="http://schemas.openxmlformats.org/officeDocument/2006/relationships" ref="D11" r:id="rId73"/>
    <hyperlink xmlns:r="http://schemas.openxmlformats.org/officeDocument/2006/relationships" ref="E11" r:id="rId74"/>
    <hyperlink xmlns:r="http://schemas.openxmlformats.org/officeDocument/2006/relationships" ref="F11" r:id="rId75"/>
    <hyperlink xmlns:r="http://schemas.openxmlformats.org/officeDocument/2006/relationships" ref="G11" r:id="rId76"/>
    <hyperlink xmlns:r="http://schemas.openxmlformats.org/officeDocument/2006/relationships" ref="H11" r:id="rId77"/>
    <hyperlink xmlns:r="http://schemas.openxmlformats.org/officeDocument/2006/relationships" ref="I11" r:id="rId78"/>
    <hyperlink xmlns:r="http://schemas.openxmlformats.org/officeDocument/2006/relationships" ref="J11" r:id="rId79"/>
    <hyperlink xmlns:r="http://schemas.openxmlformats.org/officeDocument/2006/relationships" ref="K11" r:id="rId80"/>
    <hyperlink xmlns:r="http://schemas.openxmlformats.org/officeDocument/2006/relationships" ref="L11" r:id="rId81"/>
    <hyperlink xmlns:r="http://schemas.openxmlformats.org/officeDocument/2006/relationships" ref="M11" r:id="rId82"/>
    <hyperlink xmlns:r="http://schemas.openxmlformats.org/officeDocument/2006/relationships" ref="N11" r:id="rId83"/>
    <hyperlink xmlns:r="http://schemas.openxmlformats.org/officeDocument/2006/relationships" ref="O11" r:id="rId84"/>
    <hyperlink xmlns:r="http://schemas.openxmlformats.org/officeDocument/2006/relationships" ref="D12" r:id="rId85"/>
    <hyperlink xmlns:r="http://schemas.openxmlformats.org/officeDocument/2006/relationships" ref="E12" r:id="rId86"/>
    <hyperlink xmlns:r="http://schemas.openxmlformats.org/officeDocument/2006/relationships" ref="F12" r:id="rId87"/>
    <hyperlink xmlns:r="http://schemas.openxmlformats.org/officeDocument/2006/relationships" ref="G12" r:id="rId88"/>
    <hyperlink xmlns:r="http://schemas.openxmlformats.org/officeDocument/2006/relationships" ref="H12" r:id="rId89"/>
    <hyperlink xmlns:r="http://schemas.openxmlformats.org/officeDocument/2006/relationships" ref="I12" r:id="rId90"/>
    <hyperlink xmlns:r="http://schemas.openxmlformats.org/officeDocument/2006/relationships" ref="J12" r:id="rId91"/>
    <hyperlink xmlns:r="http://schemas.openxmlformats.org/officeDocument/2006/relationships" ref="K12" r:id="rId92"/>
    <hyperlink xmlns:r="http://schemas.openxmlformats.org/officeDocument/2006/relationships" ref="L12" r:id="rId93"/>
    <hyperlink xmlns:r="http://schemas.openxmlformats.org/officeDocument/2006/relationships" ref="M12" r:id="rId94"/>
    <hyperlink xmlns:r="http://schemas.openxmlformats.org/officeDocument/2006/relationships" ref="N12" r:id="rId95"/>
    <hyperlink xmlns:r="http://schemas.openxmlformats.org/officeDocument/2006/relationships" ref="O12" r:id="rId96"/>
    <hyperlink xmlns:r="http://schemas.openxmlformats.org/officeDocument/2006/relationships" ref="D13" r:id="rId97"/>
    <hyperlink xmlns:r="http://schemas.openxmlformats.org/officeDocument/2006/relationships" ref="E13" r:id="rId98"/>
    <hyperlink xmlns:r="http://schemas.openxmlformats.org/officeDocument/2006/relationships" ref="F13" r:id="rId99"/>
    <hyperlink xmlns:r="http://schemas.openxmlformats.org/officeDocument/2006/relationships" ref="G13" r:id="rId100"/>
    <hyperlink xmlns:r="http://schemas.openxmlformats.org/officeDocument/2006/relationships" ref="H13" r:id="rId101"/>
    <hyperlink xmlns:r="http://schemas.openxmlformats.org/officeDocument/2006/relationships" ref="I13" r:id="rId102"/>
    <hyperlink xmlns:r="http://schemas.openxmlformats.org/officeDocument/2006/relationships" ref="J13" r:id="rId103"/>
    <hyperlink xmlns:r="http://schemas.openxmlformats.org/officeDocument/2006/relationships" ref="K13" r:id="rId104"/>
    <hyperlink xmlns:r="http://schemas.openxmlformats.org/officeDocument/2006/relationships" ref="L13" r:id="rId105"/>
    <hyperlink xmlns:r="http://schemas.openxmlformats.org/officeDocument/2006/relationships" ref="M13" r:id="rId106"/>
    <hyperlink xmlns:r="http://schemas.openxmlformats.org/officeDocument/2006/relationships" ref="N13" r:id="rId107"/>
    <hyperlink xmlns:r="http://schemas.openxmlformats.org/officeDocument/2006/relationships" ref="O13" r:id="rId108"/>
    <hyperlink xmlns:r="http://schemas.openxmlformats.org/officeDocument/2006/relationships" ref="D14" r:id="rId109"/>
    <hyperlink xmlns:r="http://schemas.openxmlformats.org/officeDocument/2006/relationships" ref="E14" r:id="rId110"/>
    <hyperlink xmlns:r="http://schemas.openxmlformats.org/officeDocument/2006/relationships" ref="F14" r:id="rId111"/>
    <hyperlink xmlns:r="http://schemas.openxmlformats.org/officeDocument/2006/relationships" ref="G14" r:id="rId112"/>
    <hyperlink xmlns:r="http://schemas.openxmlformats.org/officeDocument/2006/relationships" ref="H14" r:id="rId113"/>
    <hyperlink xmlns:r="http://schemas.openxmlformats.org/officeDocument/2006/relationships" ref="I14" r:id="rId114"/>
    <hyperlink xmlns:r="http://schemas.openxmlformats.org/officeDocument/2006/relationships" ref="J14" r:id="rId115"/>
    <hyperlink xmlns:r="http://schemas.openxmlformats.org/officeDocument/2006/relationships" ref="K14" r:id="rId116"/>
    <hyperlink xmlns:r="http://schemas.openxmlformats.org/officeDocument/2006/relationships" ref="L14" r:id="rId117"/>
    <hyperlink xmlns:r="http://schemas.openxmlformats.org/officeDocument/2006/relationships" ref="M14" r:id="rId118"/>
    <hyperlink xmlns:r="http://schemas.openxmlformats.org/officeDocument/2006/relationships" ref="N14" r:id="rId119"/>
    <hyperlink xmlns:r="http://schemas.openxmlformats.org/officeDocument/2006/relationships" ref="O14" r:id="rId120"/>
    <hyperlink xmlns:r="http://schemas.openxmlformats.org/officeDocument/2006/relationships" ref="D15" r:id="rId121"/>
    <hyperlink xmlns:r="http://schemas.openxmlformats.org/officeDocument/2006/relationships" ref="E15" r:id="rId122"/>
    <hyperlink xmlns:r="http://schemas.openxmlformats.org/officeDocument/2006/relationships" ref="F15" r:id="rId123"/>
    <hyperlink xmlns:r="http://schemas.openxmlformats.org/officeDocument/2006/relationships" ref="G15" r:id="rId124"/>
    <hyperlink xmlns:r="http://schemas.openxmlformats.org/officeDocument/2006/relationships" ref="H15" r:id="rId125"/>
    <hyperlink xmlns:r="http://schemas.openxmlformats.org/officeDocument/2006/relationships" ref="I15" r:id="rId126"/>
    <hyperlink xmlns:r="http://schemas.openxmlformats.org/officeDocument/2006/relationships" ref="J15" r:id="rId127"/>
    <hyperlink xmlns:r="http://schemas.openxmlformats.org/officeDocument/2006/relationships" ref="K15" r:id="rId128"/>
    <hyperlink xmlns:r="http://schemas.openxmlformats.org/officeDocument/2006/relationships" ref="L15" r:id="rId129"/>
    <hyperlink xmlns:r="http://schemas.openxmlformats.org/officeDocument/2006/relationships" ref="M15" r:id="rId130"/>
    <hyperlink xmlns:r="http://schemas.openxmlformats.org/officeDocument/2006/relationships" ref="N15" r:id="rId131"/>
    <hyperlink xmlns:r="http://schemas.openxmlformats.org/officeDocument/2006/relationships" ref="O15" r:id="rId132"/>
    <hyperlink xmlns:r="http://schemas.openxmlformats.org/officeDocument/2006/relationships" ref="D16" r:id="rId133"/>
    <hyperlink xmlns:r="http://schemas.openxmlformats.org/officeDocument/2006/relationships" ref="E16" r:id="rId134"/>
    <hyperlink xmlns:r="http://schemas.openxmlformats.org/officeDocument/2006/relationships" ref="F16" r:id="rId135"/>
    <hyperlink xmlns:r="http://schemas.openxmlformats.org/officeDocument/2006/relationships" ref="G16" r:id="rId136"/>
    <hyperlink xmlns:r="http://schemas.openxmlformats.org/officeDocument/2006/relationships" ref="H16" r:id="rId137"/>
    <hyperlink xmlns:r="http://schemas.openxmlformats.org/officeDocument/2006/relationships" ref="I16" r:id="rId138"/>
    <hyperlink xmlns:r="http://schemas.openxmlformats.org/officeDocument/2006/relationships" ref="J16" r:id="rId139"/>
    <hyperlink xmlns:r="http://schemas.openxmlformats.org/officeDocument/2006/relationships" ref="K16" r:id="rId140"/>
    <hyperlink xmlns:r="http://schemas.openxmlformats.org/officeDocument/2006/relationships" ref="L16" r:id="rId141"/>
    <hyperlink xmlns:r="http://schemas.openxmlformats.org/officeDocument/2006/relationships" ref="M16" r:id="rId142"/>
    <hyperlink xmlns:r="http://schemas.openxmlformats.org/officeDocument/2006/relationships" ref="N16" r:id="rId143"/>
    <hyperlink xmlns:r="http://schemas.openxmlformats.org/officeDocument/2006/relationships" ref="O16" r:id="rId144"/>
    <hyperlink xmlns:r="http://schemas.openxmlformats.org/officeDocument/2006/relationships" ref="D17" r:id="rId145"/>
    <hyperlink xmlns:r="http://schemas.openxmlformats.org/officeDocument/2006/relationships" ref="E17" r:id="rId146"/>
    <hyperlink xmlns:r="http://schemas.openxmlformats.org/officeDocument/2006/relationships" ref="F17" r:id="rId147"/>
    <hyperlink xmlns:r="http://schemas.openxmlformats.org/officeDocument/2006/relationships" ref="G17" r:id="rId148"/>
    <hyperlink xmlns:r="http://schemas.openxmlformats.org/officeDocument/2006/relationships" ref="H17" r:id="rId149"/>
    <hyperlink xmlns:r="http://schemas.openxmlformats.org/officeDocument/2006/relationships" ref="I17" r:id="rId150"/>
    <hyperlink xmlns:r="http://schemas.openxmlformats.org/officeDocument/2006/relationships" ref="J17" r:id="rId151"/>
    <hyperlink xmlns:r="http://schemas.openxmlformats.org/officeDocument/2006/relationships" ref="K17" r:id="rId152"/>
    <hyperlink xmlns:r="http://schemas.openxmlformats.org/officeDocument/2006/relationships" ref="L17" r:id="rId153"/>
    <hyperlink xmlns:r="http://schemas.openxmlformats.org/officeDocument/2006/relationships" ref="M17" r:id="rId154"/>
    <hyperlink xmlns:r="http://schemas.openxmlformats.org/officeDocument/2006/relationships" ref="N17" r:id="rId155"/>
    <hyperlink xmlns:r="http://schemas.openxmlformats.org/officeDocument/2006/relationships" ref="O17" r:id="rId156"/>
    <hyperlink xmlns:r="http://schemas.openxmlformats.org/officeDocument/2006/relationships" ref="D18" r:id="rId157"/>
    <hyperlink xmlns:r="http://schemas.openxmlformats.org/officeDocument/2006/relationships" ref="E18" r:id="rId158"/>
    <hyperlink xmlns:r="http://schemas.openxmlformats.org/officeDocument/2006/relationships" ref="F18" r:id="rId159"/>
    <hyperlink xmlns:r="http://schemas.openxmlformats.org/officeDocument/2006/relationships" ref="G18" r:id="rId160"/>
    <hyperlink xmlns:r="http://schemas.openxmlformats.org/officeDocument/2006/relationships" ref="H18" r:id="rId161"/>
    <hyperlink xmlns:r="http://schemas.openxmlformats.org/officeDocument/2006/relationships" ref="I18" r:id="rId162"/>
    <hyperlink xmlns:r="http://schemas.openxmlformats.org/officeDocument/2006/relationships" ref="J18" r:id="rId163"/>
    <hyperlink xmlns:r="http://schemas.openxmlformats.org/officeDocument/2006/relationships" ref="K18" r:id="rId164"/>
    <hyperlink xmlns:r="http://schemas.openxmlformats.org/officeDocument/2006/relationships" ref="L18" r:id="rId165"/>
    <hyperlink xmlns:r="http://schemas.openxmlformats.org/officeDocument/2006/relationships" ref="M18" r:id="rId166"/>
    <hyperlink xmlns:r="http://schemas.openxmlformats.org/officeDocument/2006/relationships" ref="N18" r:id="rId167"/>
    <hyperlink xmlns:r="http://schemas.openxmlformats.org/officeDocument/2006/relationships" ref="O18" r:id="rId168"/>
    <hyperlink xmlns:r="http://schemas.openxmlformats.org/officeDocument/2006/relationships" ref="D19" r:id="rId169"/>
    <hyperlink xmlns:r="http://schemas.openxmlformats.org/officeDocument/2006/relationships" ref="E19" r:id="rId170"/>
    <hyperlink xmlns:r="http://schemas.openxmlformats.org/officeDocument/2006/relationships" ref="F19" r:id="rId171"/>
    <hyperlink xmlns:r="http://schemas.openxmlformats.org/officeDocument/2006/relationships" ref="G19" r:id="rId172"/>
    <hyperlink xmlns:r="http://schemas.openxmlformats.org/officeDocument/2006/relationships" ref="H19" r:id="rId173"/>
    <hyperlink xmlns:r="http://schemas.openxmlformats.org/officeDocument/2006/relationships" ref="I19" r:id="rId174"/>
    <hyperlink xmlns:r="http://schemas.openxmlformats.org/officeDocument/2006/relationships" ref="J19" r:id="rId175"/>
    <hyperlink xmlns:r="http://schemas.openxmlformats.org/officeDocument/2006/relationships" ref="K19" r:id="rId176"/>
    <hyperlink xmlns:r="http://schemas.openxmlformats.org/officeDocument/2006/relationships" ref="L19" r:id="rId177"/>
    <hyperlink xmlns:r="http://schemas.openxmlformats.org/officeDocument/2006/relationships" ref="M19" r:id="rId178"/>
    <hyperlink xmlns:r="http://schemas.openxmlformats.org/officeDocument/2006/relationships" ref="N19" r:id="rId179"/>
    <hyperlink xmlns:r="http://schemas.openxmlformats.org/officeDocument/2006/relationships" ref="O19" r:id="rId180"/>
    <hyperlink xmlns:r="http://schemas.openxmlformats.org/officeDocument/2006/relationships" ref="C24" r:id="rId181"/>
    <hyperlink xmlns:r="http://schemas.openxmlformats.org/officeDocument/2006/relationships" ref="C25" r:id="rId182"/>
    <hyperlink xmlns:r="http://schemas.openxmlformats.org/officeDocument/2006/relationships" ref="C26" r:id="rId183"/>
    <hyperlink xmlns:r="http://schemas.openxmlformats.org/officeDocument/2006/relationships" ref="C27" r:id="rId184"/>
    <hyperlink xmlns:r="http://schemas.openxmlformats.org/officeDocument/2006/relationships" ref="C28" r:id="rId185"/>
    <hyperlink xmlns:r="http://schemas.openxmlformats.org/officeDocument/2006/relationships" ref="C29" r:id="rId186"/>
    <hyperlink xmlns:r="http://schemas.openxmlformats.org/officeDocument/2006/relationships" ref="C30" r:id="rId187"/>
    <hyperlink xmlns:r="http://schemas.openxmlformats.org/officeDocument/2006/relationships" ref="C31" r:id="rId188"/>
    <hyperlink xmlns:r="http://schemas.openxmlformats.org/officeDocument/2006/relationships" ref="C32" r:id="rId189"/>
    <hyperlink xmlns:r="http://schemas.openxmlformats.org/officeDocument/2006/relationships" ref="C33" r:id="rId190"/>
    <hyperlink xmlns:r="http://schemas.openxmlformats.org/officeDocument/2006/relationships" ref="C34" r:id="rId191"/>
    <hyperlink xmlns:r="http://schemas.openxmlformats.org/officeDocument/2006/relationships" ref="C35" r:id="rId1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2026-10-26T09:36:16Z</dcterms:created>
  <dcterms:modified xmlns:dcterms="http://purl.org/dc/terms/" xmlns:xsi="http://www.w3.org/2001/XMLSchema-instance" xsi:type="dcterms:W3CDTF">2026-10-26T09:36:16Z</dcterms:modified>
</cp:coreProperties>
</file>