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E7D32"/>
        <bgColor rgb="002E7D3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CAF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CAF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CAF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CAF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CAF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CAF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1544559</v>
      </c>
      <c r="C6" s="5" t="n">
        <v>1510925</v>
      </c>
      <c r="D6" s="5" t="n">
        <v>1571534</v>
      </c>
      <c r="E6" s="5" t="n">
        <v>1556044</v>
      </c>
      <c r="F6" s="5" t="n">
        <v>1441296</v>
      </c>
      <c r="G6" s="5" t="n">
        <v>1212930</v>
      </c>
      <c r="J6" t="inlineStr">
        <is>
          <t>Total assets</t>
        </is>
      </c>
      <c r="K6" t="n">
        <v>1212930</v>
      </c>
      <c r="L6" t="n">
        <v>1441296</v>
      </c>
      <c r="M6" t="n">
        <v>1556044</v>
      </c>
      <c r="N6" t="n">
        <v>1571534</v>
      </c>
      <c r="O6" t="n">
        <v>1510925</v>
      </c>
      <c r="P6" t="n">
        <v>1544559</v>
      </c>
      <c r="AT6" t="inlineStr">
        <is>
          <t>CET1 Ratio</t>
        </is>
      </c>
      <c r="AU6" t="n">
        <v>20.6</v>
      </c>
      <c r="AV6" t="n">
        <v>22.8</v>
      </c>
      <c r="AW6" t="n">
        <v>21.9</v>
      </c>
      <c r="AX6" t="n">
        <v>30.8</v>
      </c>
      <c r="AY6" t="n">
        <v>29.35</v>
      </c>
    </row>
    <row r="7">
      <c r="A7" s="5" t="inlineStr">
        <is>
          <t>Loans and advances to customers</t>
        </is>
      </c>
      <c r="B7" s="5" t="n">
        <v>219101</v>
      </c>
      <c r="C7" s="5" t="n">
        <v>197701</v>
      </c>
      <c r="D7" s="5" t="n">
        <v>177734</v>
      </c>
      <c r="E7" s="5" t="n">
        <v>160407</v>
      </c>
      <c r="F7" s="5" t="n">
        <v>124506</v>
      </c>
      <c r="G7" s="5" t="n">
        <v>103625</v>
      </c>
      <c r="J7" t="inlineStr">
        <is>
          <t>Loans and advances to customers</t>
        </is>
      </c>
      <c r="K7" t="n">
        <v>103625</v>
      </c>
      <c r="L7" t="n">
        <v>124506</v>
      </c>
      <c r="M7" t="n">
        <v>160407</v>
      </c>
      <c r="N7" t="n">
        <v>177734</v>
      </c>
      <c r="O7" t="n">
        <v>197701</v>
      </c>
      <c r="P7" t="n">
        <v>219101</v>
      </c>
      <c r="AT7" t="inlineStr">
        <is>
          <t>Tier 1 Ratio</t>
        </is>
      </c>
      <c r="AU7" t="n">
        <v>28</v>
      </c>
      <c r="AV7" t="n">
        <v>31.4</v>
      </c>
      <c r="AW7" t="n">
        <v>30.8</v>
      </c>
      <c r="AX7" t="n">
        <v>30.8</v>
      </c>
      <c r="AY7" t="n">
        <v>29.35</v>
      </c>
    </row>
    <row r="8">
      <c r="A8" s="5" t="inlineStr">
        <is>
          <t>Customer accounts</t>
        </is>
      </c>
      <c r="B8" s="5" t="n">
        <v>1450926</v>
      </c>
      <c r="C8" s="5" t="n">
        <v>1419433</v>
      </c>
      <c r="D8" s="5" t="n">
        <v>1505425</v>
      </c>
      <c r="E8" s="5" t="n">
        <v>1508937</v>
      </c>
      <c r="F8" s="5" t="n">
        <v>1398146</v>
      </c>
      <c r="G8" s="5" t="n">
        <v>1156995</v>
      </c>
      <c r="J8" t="inlineStr">
        <is>
          <t>Customer accounts</t>
        </is>
      </c>
      <c r="K8" t="n">
        <v>1156995</v>
      </c>
      <c r="L8" t="n">
        <v>1398146</v>
      </c>
      <c r="M8" t="n">
        <v>1508937</v>
      </c>
      <c r="N8" t="n">
        <v>1505425</v>
      </c>
      <c r="O8" t="n">
        <v>1419433</v>
      </c>
      <c r="P8" t="n">
        <v>1450926</v>
      </c>
      <c r="AT8" t="inlineStr">
        <is>
          <t>Total Capital Ratio</t>
        </is>
      </c>
      <c r="AU8" t="n">
        <v>28</v>
      </c>
      <c r="AV8" t="n">
        <v>31.4</v>
      </c>
      <c r="AW8" t="n">
        <v>30.8</v>
      </c>
      <c r="AX8" t="n">
        <v>30.8</v>
      </c>
      <c r="AY8" t="n">
        <v>30.33</v>
      </c>
      <c r="AZ8" t="n">
        <v>29.7</v>
      </c>
    </row>
    <row r="9">
      <c r="A9" s="5" t="inlineStr">
        <is>
          <t>Total shareholders' funds</t>
        </is>
      </c>
      <c r="B9" s="5" t="n">
        <v>76239</v>
      </c>
      <c r="C9" s="5" t="n">
        <v>65100</v>
      </c>
      <c r="D9" s="5" t="n">
        <v>51473</v>
      </c>
      <c r="E9" s="5" t="n">
        <v>42929</v>
      </c>
      <c r="F9" s="5" t="n">
        <v>41289</v>
      </c>
      <c r="G9" s="5" t="n">
        <v>41350</v>
      </c>
      <c r="J9" t="inlineStr">
        <is>
          <t>Total shareholders' funds</t>
        </is>
      </c>
      <c r="K9" t="n">
        <v>41350</v>
      </c>
      <c r="L9" t="n">
        <v>41289</v>
      </c>
      <c r="M9" t="n">
        <v>42929</v>
      </c>
      <c r="N9" t="n">
        <v>51473</v>
      </c>
      <c r="O9" t="n">
        <v>65100</v>
      </c>
      <c r="P9" t="n">
        <v>76239</v>
      </c>
      <c r="AT9" t="inlineStr">
        <is>
          <t>Leverage Ratio</t>
        </is>
      </c>
      <c r="AU9" t="n">
        <v>4.62</v>
      </c>
      <c r="AV9" t="n">
        <v>3.81</v>
      </c>
      <c r="AW9" t="n">
        <v>3.97</v>
      </c>
      <c r="AX9" t="n">
        <v>4.64</v>
      </c>
      <c r="AY9" t="n">
        <v>6.05</v>
      </c>
      <c r="AZ9" t="n">
        <v>6.35</v>
      </c>
    </row>
    <row r="10">
      <c r="AT10" t="inlineStr">
        <is>
          <t>LCR</t>
        </is>
      </c>
      <c r="AW10" t="n">
        <v>264</v>
      </c>
      <c r="AX10" t="n">
        <v>260</v>
      </c>
      <c r="AY10" t="n">
        <v>257</v>
      </c>
      <c r="AZ10" t="n">
        <v>543</v>
      </c>
    </row>
    <row r="11">
      <c r="A11" s="3" t="inlineStr">
        <is>
          <t>Profit &amp; Loss Summary (£'000)</t>
        </is>
      </c>
      <c r="AT11" t="inlineStr">
        <is>
          <t>NSFR</t>
        </is>
      </c>
      <c r="AW11" t="n">
        <v>804</v>
      </c>
      <c r="AX11" t="n">
        <v>926</v>
      </c>
      <c r="AY11" t="n">
        <v>506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operating income</t>
        </is>
      </c>
      <c r="B13" s="5" t="n">
        <v>47304</v>
      </c>
      <c r="C13" s="5" t="n">
        <v>46540</v>
      </c>
      <c r="D13" s="5" t="n">
        <v>29693</v>
      </c>
      <c r="E13" s="5" t="n">
        <v>12703</v>
      </c>
      <c r="F13" s="5" t="n">
        <v>11211</v>
      </c>
      <c r="G13" s="5" t="n">
        <v>12600</v>
      </c>
      <c r="S13" t="inlineStr">
        <is>
          <t>Net operating income</t>
        </is>
      </c>
      <c r="T13" t="n">
        <v>12600</v>
      </c>
      <c r="U13" t="n">
        <v>11211</v>
      </c>
      <c r="V13" t="n">
        <v>12703</v>
      </c>
      <c r="W13" t="n">
        <v>29693</v>
      </c>
      <c r="X13" t="n">
        <v>46540</v>
      </c>
      <c r="Y13" t="n">
        <v>47304</v>
      </c>
    </row>
    <row r="14">
      <c r="A14" s="5" t="inlineStr">
        <is>
          <t>Administrative expenses</t>
        </is>
      </c>
      <c r="B14" s="5" t="n">
        <v>-32827</v>
      </c>
      <c r="C14" s="5" t="n">
        <v>-27655</v>
      </c>
      <c r="D14" s="5" t="n">
        <v>-18472</v>
      </c>
      <c r="E14" s="5" t="n">
        <v>-11774</v>
      </c>
      <c r="F14" s="5" t="n">
        <v>-9763</v>
      </c>
      <c r="G14" s="5" t="n">
        <v>-10109</v>
      </c>
      <c r="S14" t="inlineStr">
        <is>
          <t>Administrative expenses</t>
        </is>
      </c>
      <c r="T14" t="n">
        <v>-10109</v>
      </c>
      <c r="U14" t="n">
        <v>-9763</v>
      </c>
      <c r="V14" t="n">
        <v>-11774</v>
      </c>
      <c r="W14" t="n">
        <v>-18472</v>
      </c>
      <c r="X14" t="n">
        <v>-27655</v>
      </c>
      <c r="Y14" t="n">
        <v>-32827</v>
      </c>
    </row>
    <row r="15">
      <c r="A15" s="5" t="inlineStr">
        <is>
          <t>Profit on ordinary activities after taxation</t>
        </is>
      </c>
      <c r="B15" s="5" t="n">
        <v>12139</v>
      </c>
      <c r="C15" s="5" t="n">
        <v>13627</v>
      </c>
      <c r="D15" s="5" t="n">
        <v>8575</v>
      </c>
      <c r="E15" s="5" t="n">
        <v>1640</v>
      </c>
      <c r="F15" s="5" t="n">
        <v>929</v>
      </c>
      <c r="G15" s="5" t="n">
        <v>1290</v>
      </c>
      <c r="S15" t="inlineStr">
        <is>
          <t>Profit on ordinary activities after taxation</t>
        </is>
      </c>
      <c r="T15" t="n">
        <v>1290</v>
      </c>
      <c r="U15" t="n">
        <v>929</v>
      </c>
      <c r="V15" t="n">
        <v>1640</v>
      </c>
      <c r="W15" t="n">
        <v>8575</v>
      </c>
      <c r="X15" t="n">
        <v>13627</v>
      </c>
      <c r="Y15" t="n">
        <v>12139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65100</v>
      </c>
      <c r="C19" s="5" t="n">
        <v>51473</v>
      </c>
      <c r="D19" s="5" t="n">
        <v>42929</v>
      </c>
      <c r="E19" s="5" t="n">
        <v>41289</v>
      </c>
      <c r="F19" s="5" t="n">
        <v>41350</v>
      </c>
      <c r="G19" s="5" t="n"/>
      <c r="AB19" t="inlineStr">
        <is>
          <t>Opening equity</t>
        </is>
      </c>
      <c r="AD19" t="n">
        <v>41350</v>
      </c>
      <c r="AE19" t="n">
        <v>41289</v>
      </c>
      <c r="AF19" t="n">
        <v>42929</v>
      </c>
      <c r="AG19" t="n">
        <v>51473</v>
      </c>
      <c r="AH19" t="n">
        <v>65100</v>
      </c>
    </row>
    <row r="20">
      <c r="A20" s="5" t="inlineStr">
        <is>
          <t>Total comprehensive income for the year</t>
        </is>
      </c>
      <c r="B20" s="5" t="n">
        <v>12139</v>
      </c>
      <c r="C20" s="5" t="n">
        <v>13627</v>
      </c>
      <c r="D20" s="5" t="n">
        <v>8575</v>
      </c>
      <c r="E20" s="5" t="n">
        <v>1640</v>
      </c>
      <c r="F20" s="5" t="n">
        <v>929</v>
      </c>
      <c r="G20" s="5" t="n">
        <v>1290</v>
      </c>
      <c r="AB20" t="inlineStr">
        <is>
          <t>Total comprehensive income for the year</t>
        </is>
      </c>
      <c r="AC20" t="n">
        <v>1290</v>
      </c>
      <c r="AD20" t="n">
        <v>929</v>
      </c>
      <c r="AE20" t="n">
        <v>1640</v>
      </c>
      <c r="AF20" t="n">
        <v>8575</v>
      </c>
      <c r="AG20" t="n">
        <v>13627</v>
      </c>
      <c r="AH20" t="n">
        <v>12139</v>
      </c>
    </row>
    <row r="21">
      <c r="A21" s="5" t="inlineStr">
        <is>
          <t>Other equity movements, net</t>
        </is>
      </c>
      <c r="B21" s="5" t="n"/>
      <c r="C21" s="5" t="n"/>
      <c r="D21" s="5" t="n">
        <v>-31</v>
      </c>
      <c r="E21" s="5" t="n"/>
      <c r="F21" s="5" t="n">
        <v>-990</v>
      </c>
      <c r="G21" s="5" t="n">
        <v>-1290</v>
      </c>
      <c r="AB21" t="inlineStr">
        <is>
          <t>Other equity movements, net</t>
        </is>
      </c>
      <c r="AC21" t="n">
        <v>-1290</v>
      </c>
      <c r="AD21" t="n">
        <v>-990</v>
      </c>
      <c r="AF21" t="n">
        <v>-31</v>
      </c>
    </row>
    <row r="22">
      <c r="A22" s="5" t="inlineStr">
        <is>
          <t>Closing equity</t>
        </is>
      </c>
      <c r="B22" s="5" t="n">
        <v>76239</v>
      </c>
      <c r="C22" s="5" t="n">
        <v>65100</v>
      </c>
      <c r="D22" s="5" t="n">
        <v>51473</v>
      </c>
      <c r="E22" s="5" t="n">
        <v>42929</v>
      </c>
      <c r="F22" s="5" t="n">
        <v>41289</v>
      </c>
      <c r="G22" s="5" t="n">
        <v>41350</v>
      </c>
      <c r="AB22" t="inlineStr">
        <is>
          <t>Closing equity</t>
        </is>
      </c>
      <c r="AC22" t="n">
        <v>41350</v>
      </c>
      <c r="AD22" t="n">
        <v>41289</v>
      </c>
      <c r="AE22" t="n">
        <v>42929</v>
      </c>
      <c r="AF22" t="n">
        <v>51473</v>
      </c>
      <c r="AG22" t="n">
        <v>65100</v>
      </c>
      <c r="AH22" t="n">
        <v>76239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generated from/(used in) operating activities</t>
        </is>
      </c>
      <c r="B26" s="5" t="n">
        <v>20729</v>
      </c>
      <c r="C26" s="5" t="n">
        <v>-91236</v>
      </c>
      <c r="D26" s="5" t="n">
        <v>-15666</v>
      </c>
      <c r="E26" s="5" t="n">
        <v>79374</v>
      </c>
      <c r="F26" s="5" t="n">
        <v>240451</v>
      </c>
      <c r="G26" s="5" t="n">
        <v>115649</v>
      </c>
      <c r="AK26" t="inlineStr">
        <is>
          <t>Net cash generated from/(used in) operating activities</t>
        </is>
      </c>
      <c r="AL26" t="n">
        <v>115649</v>
      </c>
      <c r="AM26" t="n">
        <v>240451</v>
      </c>
      <c r="AN26" t="n">
        <v>79374</v>
      </c>
      <c r="AO26" t="n">
        <v>-15666</v>
      </c>
      <c r="AP26" t="n">
        <v>-91236</v>
      </c>
      <c r="AQ26" t="n">
        <v>20729</v>
      </c>
    </row>
    <row r="27">
      <c r="A27" s="5" t="inlineStr">
        <is>
          <t>Net cash generated from/(used in) investing activities</t>
        </is>
      </c>
      <c r="B27" s="5" t="n">
        <v>-60368</v>
      </c>
      <c r="C27" s="5" t="n">
        <v>122750</v>
      </c>
      <c r="D27" s="5" t="n">
        <v>31896</v>
      </c>
      <c r="E27" s="5" t="n">
        <v>104079</v>
      </c>
      <c r="F27" s="5" t="n">
        <v>-148048</v>
      </c>
      <c r="G27" s="5" t="n">
        <v>-103448</v>
      </c>
      <c r="AK27" t="inlineStr">
        <is>
          <t>Net cash generated from/(used in) investing activities</t>
        </is>
      </c>
      <c r="AL27" t="n">
        <v>-103448</v>
      </c>
      <c r="AM27" t="n">
        <v>-148048</v>
      </c>
      <c r="AN27" t="n">
        <v>104079</v>
      </c>
      <c r="AO27" t="n">
        <v>31896</v>
      </c>
      <c r="AP27" t="n">
        <v>122750</v>
      </c>
      <c r="AQ27" t="n">
        <v>-60368</v>
      </c>
    </row>
    <row r="28">
      <c r="A28" s="5" t="inlineStr">
        <is>
          <t>Net cash used in financing activities</t>
        </is>
      </c>
      <c r="B28" s="5" t="n">
        <v>0</v>
      </c>
      <c r="C28" s="5" t="n">
        <v>0</v>
      </c>
      <c r="D28" s="5" t="n">
        <v>-31</v>
      </c>
      <c r="E28" s="5" t="n">
        <v>0</v>
      </c>
      <c r="F28" s="5" t="n">
        <v>-1423</v>
      </c>
      <c r="G28" s="5" t="n">
        <v>-5766</v>
      </c>
      <c r="AK28" t="inlineStr">
        <is>
          <t>Net cash used in financing activities</t>
        </is>
      </c>
      <c r="AL28" t="n">
        <v>-5766</v>
      </c>
      <c r="AM28" t="n">
        <v>-1423</v>
      </c>
      <c r="AN28" t="n">
        <v>0</v>
      </c>
      <c r="AO28" t="n">
        <v>-31</v>
      </c>
      <c r="AP28" t="n">
        <v>0</v>
      </c>
      <c r="AQ28" t="n">
        <v>0</v>
      </c>
    </row>
    <row r="29">
      <c r="A29" s="5" t="inlineStr">
        <is>
          <t>Cash and cash equivalents at end of year</t>
        </is>
      </c>
      <c r="B29" s="5" t="n">
        <v>614885</v>
      </c>
      <c r="C29" s="5" t="n">
        <v>654524</v>
      </c>
      <c r="D29" s="5" t="n">
        <v>623010</v>
      </c>
      <c r="E29" s="5" t="n">
        <v>606811</v>
      </c>
      <c r="F29" s="5" t="n">
        <v>423358</v>
      </c>
      <c r="G29" s="5" t="n">
        <v>332378</v>
      </c>
      <c r="AK29" t="inlineStr">
        <is>
          <t>Cash and cash equivalents at end of year</t>
        </is>
      </c>
      <c r="AL29" t="n">
        <v>332378</v>
      </c>
      <c r="AM29" t="n">
        <v>423358</v>
      </c>
      <c r="AN29" t="n">
        <v>606811</v>
      </c>
      <c r="AO29" t="n">
        <v>623010</v>
      </c>
      <c r="AP29" t="n">
        <v>654524</v>
      </c>
      <c r="AQ29" t="n">
        <v>614885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Not publicly disclosed</t>
        </is>
      </c>
      <c r="C33" s="6" t="inlineStr">
        <is>
          <t>29.35%</t>
        </is>
      </c>
      <c r="D33" s="6" t="inlineStr">
        <is>
          <t>30.8%</t>
        </is>
      </c>
      <c r="E33" s="6" t="inlineStr">
        <is>
          <t>21.9%</t>
        </is>
      </c>
      <c r="F33" s="6" t="inlineStr">
        <is>
          <t>22.8%</t>
        </is>
      </c>
      <c r="G33" s="6" t="inlineStr">
        <is>
          <t>20.6%</t>
        </is>
      </c>
    </row>
    <row r="34">
      <c r="A34" s="6" t="inlineStr">
        <is>
          <t>Tier 1 Ratio</t>
        </is>
      </c>
      <c r="B34" s="6" t="inlineStr">
        <is>
          <t>Not publicly disclosed</t>
        </is>
      </c>
      <c r="C34" s="6" t="inlineStr">
        <is>
          <t>29.35%</t>
        </is>
      </c>
      <c r="D34" s="6" t="inlineStr">
        <is>
          <t>30.8%</t>
        </is>
      </c>
      <c r="E34" s="6" t="inlineStr">
        <is>
          <t>30.8%</t>
        </is>
      </c>
      <c r="F34" s="6" t="inlineStr">
        <is>
          <t>31.4%</t>
        </is>
      </c>
      <c r="G34" s="6" t="inlineStr">
        <is>
          <t>28.0%</t>
        </is>
      </c>
    </row>
    <row r="35">
      <c r="A35" s="6" t="inlineStr">
        <is>
          <t>Total Capital Ratio</t>
        </is>
      </c>
      <c r="B35" s="6" t="inlineStr">
        <is>
          <t>29.7%</t>
        </is>
      </c>
      <c r="C35" s="6" t="inlineStr">
        <is>
          <t>30.33%</t>
        </is>
      </c>
      <c r="D35" s="6" t="inlineStr">
        <is>
          <t>30.8%</t>
        </is>
      </c>
      <c r="E35" s="6" t="inlineStr">
        <is>
          <t>30.8%</t>
        </is>
      </c>
      <c r="F35" s="6" t="inlineStr">
        <is>
          <t>31.4%</t>
        </is>
      </c>
      <c r="G35" s="6" t="inlineStr">
        <is>
          <t>28.0%</t>
        </is>
      </c>
    </row>
    <row r="36">
      <c r="A36" s="6" t="inlineStr">
        <is>
          <t>Leverage Ratio</t>
        </is>
      </c>
      <c r="B36" s="6" t="inlineStr">
        <is>
          <t>6.35%</t>
        </is>
      </c>
      <c r="C36" s="6" t="inlineStr">
        <is>
          <t>6.05%</t>
        </is>
      </c>
      <c r="D36" s="6" t="inlineStr">
        <is>
          <t>4.64%</t>
        </is>
      </c>
      <c r="E36" s="6" t="inlineStr">
        <is>
          <t>3.97%</t>
        </is>
      </c>
      <c r="F36" s="6" t="inlineStr">
        <is>
          <t>3.81%</t>
        </is>
      </c>
      <c r="G36" s="6" t="inlineStr">
        <is>
          <t>4.62%</t>
        </is>
      </c>
    </row>
    <row r="37">
      <c r="A37" s="6" t="inlineStr">
        <is>
          <t>LCR</t>
        </is>
      </c>
      <c r="B37" s="6" t="inlineStr">
        <is>
          <t>543%</t>
        </is>
      </c>
      <c r="C37" s="6" t="inlineStr">
        <is>
          <t>257%</t>
        </is>
      </c>
      <c r="D37" s="6" t="inlineStr">
        <is>
          <t>260%</t>
        </is>
      </c>
      <c r="E37" s="6" t="inlineStr">
        <is>
          <t>264%</t>
        </is>
      </c>
      <c r="F37" s="6" t="inlineStr">
        <is>
          <t>Not publicly disclosed</t>
        </is>
      </c>
      <c r="G37" s="6" t="inlineStr">
        <is>
          <t>Not publicly disclosed</t>
        </is>
      </c>
    </row>
    <row r="38">
      <c r="A38" s="6" t="inlineStr">
        <is>
          <t>NSFR</t>
        </is>
      </c>
      <c r="B38" s="6" t="inlineStr">
        <is>
          <t>Not publicly disclosed</t>
        </is>
      </c>
      <c r="C38" s="6" t="inlineStr">
        <is>
          <t>506%</t>
        </is>
      </c>
      <c r="D38" s="6" t="inlineStr">
        <is>
          <t>926%</t>
        </is>
      </c>
      <c r="E38" s="6" t="inlineStr">
        <is>
          <t>804%</t>
        </is>
      </c>
      <c r="F38" s="6" t="inlineStr">
        <is>
          <t>Not applicable</t>
        </is>
      </c>
      <c r="G38" s="6" t="inlineStr">
        <is>
          <t>Not applicable</t>
        </is>
      </c>
    </row>
    <row r="40" ht="45" customHeight="1">
      <c r="A40" s="7" t="inlineStr">
        <is>
          <t>Note: Full 6-year Balance Sheet/P&amp;L/Statement of Changes in Equity/Cash Flow Statement (FY2020-FY2025), no FRS 101/102 cash-flow exemption. Extended back to FY2020 2026-09-06 (HD-061) - re-verified directly against a rendered page-image read of FY2020's own Companies House filing and FY2021's own FY2020 comparative column, both of which tie exactly with no restatement found. CORRECTION (2026-09-05): CAF Bank Limited does publish real Pillar 3 disclosure via standalone PDFs on cafonline.org (not Companies House) for FY2020-FY2024, and the FY2025 Annual Report's own Strategic Report discloses Total Capital Ratio/Leverage Ratio/LCR directly; an earlier build of this workbook incorrectly marked all 11 Pillar 3 metric sheets 'Not publicly disclosed' - only MREL Ratio remains genuinely undisclosed in every year. See ENTITY_NOTE and PILLAR3_SOURCES on the Cash Flow Statement sheet for the full correction and citations. Asset Quality's individual/collective loan loss provision split is disclosed for FY2020, FY2021, FY2024 and FY2025 but not FY2022/FY2023 (FRS 102, not IFRS 9 - no stage split at all).
EMPTY CELLS WERE MADE EXPLICIT 2026-09-15. Every previously-blank Pillar 3 cell now carries a word, because a blank is indistinguishable from an unresearched gap and had caused this bank to be re-chased. Two different words are used and the difference matters. 'Not applicable' appears only on NSFR FY2021 and FY2020: the UK NSFR requirement began on 1 January 2022 under PRA PS17/21, and CAF's 30 April year-end puts both those reference dates before it, so there was nothing to disclose - a regulatory boundary that should never be re-chased. Everything else reads 'Not publicly disclosed', meaning the search was done and came back empty.
THE FY2025 LABEL IS DELIBERATELY *NOT* 'SDDT-EXEMPT', AND THIS MUST NOT BE 'TIDIED UP'. CAF Bank's own website does assert an exemption - verbatim, and it is the whole of that page: 'CAF Bank has become part of the PRA's SDDT ("Small Domestic Deposit Taker") regime under which, as a non-listed institution, the Bank is not required to publish a Pillar 3 report' (fetched 2026-09-15). But that page carries no date, no effective date and no rule number, and the PRA's own register - the thing that actually settles it - shows CAF Bank Limited (FRN 204451) holding the Rule 3.1 SDDT modification (waiver ref A00010742P.pdf) with a START DATE of 08/08/2025, while FY2025 ended on 30 April 2025, three months earlier. On a reference-date reading FY2025 predates the relief and the blanks are a genuine gap; on a publication-date reading the FY2025 report would not have fallen due until after the relief bit. The tension is real, both facts are sourced, and this workbook does not resolve it by picking a side - the cells are blank either way and only the LABEL is at stake. FY2026 onward (year ending 30 April 2026) falls unambiguously after 08/08/2025 and IS structurally exempt; FY2024 and earlier unambiguously predate it, which is consistent with real standalone Pillar 3 documents existing for FY2020-FY2024.</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Balance Sheet</t>
        </is>
      </c>
    </row>
    <row r="2">
      <c r="A2" s="2" t="inlineStr">
        <is>
          <t>CAF Bank Limited's own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Balances at Bank of England</t>
        </is>
      </c>
      <c r="B5" s="6" t="n">
        <v>610671</v>
      </c>
      <c r="C5" s="6" t="n">
        <v>630526</v>
      </c>
      <c r="D5" s="6" t="n">
        <v>620476</v>
      </c>
      <c r="E5" s="6" t="n">
        <v>602553</v>
      </c>
      <c r="F5" s="6" t="n">
        <v>417756</v>
      </c>
      <c r="G5" s="6" t="n">
        <v>327571</v>
      </c>
    </row>
    <row r="6">
      <c r="A6" s="6" t="inlineStr">
        <is>
          <t>Loans and advances to banks</t>
        </is>
      </c>
      <c r="B6" s="6" t="n">
        <v>4214</v>
      </c>
      <c r="C6" s="6" t="n">
        <v>23998</v>
      </c>
      <c r="D6" s="6" t="n">
        <v>6116</v>
      </c>
      <c r="E6" s="6" t="n">
        <v>7471</v>
      </c>
      <c r="F6" s="6" t="n">
        <v>7897</v>
      </c>
      <c r="G6" s="6" t="n">
        <v>6273</v>
      </c>
    </row>
    <row r="7">
      <c r="A7" s="6" t="inlineStr">
        <is>
          <t>Loans and advances to customers</t>
        </is>
      </c>
      <c r="B7" s="6" t="n">
        <v>219101</v>
      </c>
      <c r="C7" s="6" t="n">
        <v>197701</v>
      </c>
      <c r="D7" s="6" t="n">
        <v>177734</v>
      </c>
      <c r="E7" s="6" t="n">
        <v>160407</v>
      </c>
      <c r="F7" s="6" t="n">
        <v>124506</v>
      </c>
      <c r="G7" s="6" t="n">
        <v>103625</v>
      </c>
    </row>
    <row r="8">
      <c r="A8" s="6" t="inlineStr">
        <is>
          <t>Total debt securities</t>
        </is>
      </c>
      <c r="B8" s="6" t="n">
        <v>682783</v>
      </c>
      <c r="C8" s="6" t="n">
        <v>637376</v>
      </c>
      <c r="D8" s="6" t="n">
        <v>752100</v>
      </c>
      <c r="E8" s="6" t="n">
        <v>777145</v>
      </c>
      <c r="F8" s="6" t="n">
        <v>885876</v>
      </c>
      <c r="G8" s="6" t="n">
        <v>771083</v>
      </c>
    </row>
    <row r="9">
      <c r="A9" s="6" t="inlineStr">
        <is>
          <t>Debt securities - UK government (sovereign, amortised cost)</t>
        </is>
      </c>
      <c r="B9" s="6" t="n"/>
      <c r="C9" s="6" t="n"/>
      <c r="D9" s="6" t="n"/>
      <c r="E9" s="6" t="n"/>
      <c r="F9" s="6" t="n">
        <v>0</v>
      </c>
      <c r="G9" s="6" t="n">
        <v>63036</v>
      </c>
    </row>
    <row r="10">
      <c r="A10" s="6" t="inlineStr">
        <is>
          <t>Debt securities - Multilateral financial institutions (supranational, amortised cost)</t>
        </is>
      </c>
      <c r="B10" s="6" t="n">
        <v>563083</v>
      </c>
      <c r="C10" s="6" t="n">
        <v>511053</v>
      </c>
      <c r="D10" s="6" t="n">
        <v>670370</v>
      </c>
      <c r="E10" s="6" t="n">
        <v>679925</v>
      </c>
      <c r="F10" s="6" t="n">
        <v>758564</v>
      </c>
      <c r="G10" s="6" t="n">
        <v>536545</v>
      </c>
    </row>
    <row r="11">
      <c r="A11" s="6" t="inlineStr">
        <is>
          <t>Debt securities - Fixed coupon corporate bonds (amortised cost)</t>
        </is>
      </c>
      <c r="B11" s="6" t="n">
        <v>59570</v>
      </c>
      <c r="C11" s="6" t="n">
        <v>49368</v>
      </c>
      <c r="D11" s="6" t="n">
        <v>23498</v>
      </c>
      <c r="E11" s="6" t="n">
        <v>23723</v>
      </c>
      <c r="F11" s="6" t="n">
        <v>24093</v>
      </c>
      <c r="G11" s="6" t="n">
        <v>43521</v>
      </c>
    </row>
    <row r="12">
      <c r="A12" s="6" t="inlineStr">
        <is>
          <t>Debt securities - Floating rate corporate bonds (amortised cost)</t>
        </is>
      </c>
      <c r="B12" s="6" t="n">
        <v>60130</v>
      </c>
      <c r="C12" s="6" t="n">
        <v>76955</v>
      </c>
      <c r="D12" s="6" t="n">
        <v>48232</v>
      </c>
      <c r="E12" s="6" t="n">
        <v>63497</v>
      </c>
      <c r="F12" s="6" t="n">
        <v>83398</v>
      </c>
      <c r="G12" s="6" t="n">
        <v>107981</v>
      </c>
    </row>
    <row r="13">
      <c r="A13" s="6" t="inlineStr">
        <is>
          <t>Debt securities - Certificates of deposit (other, amortised cost)</t>
        </is>
      </c>
      <c r="B13" s="6" t="n"/>
      <c r="C13" s="6" t="n"/>
      <c r="D13" s="6" t="n">
        <v>10000</v>
      </c>
      <c r="E13" s="6" t="n">
        <v>10000</v>
      </c>
      <c r="F13" s="6" t="n">
        <v>19821</v>
      </c>
      <c r="G13" s="6" t="n">
        <v>20000</v>
      </c>
    </row>
    <row r="14">
      <c r="A14" s="6" t="inlineStr">
        <is>
          <t>Prepayments and accrued income</t>
        </is>
      </c>
      <c r="B14" s="6" t="n">
        <v>11882</v>
      </c>
      <c r="C14" s="6" t="n">
        <v>10566</v>
      </c>
      <c r="D14" s="6" t="n">
        <v>8775</v>
      </c>
      <c r="E14" s="6" t="n">
        <v>3792</v>
      </c>
      <c r="F14" s="6" t="n">
        <v>4067</v>
      </c>
      <c r="G14" s="6" t="n">
        <v>4378</v>
      </c>
    </row>
    <row r="15">
      <c r="A15" s="6" t="inlineStr">
        <is>
          <t>Intangible assets</t>
        </is>
      </c>
      <c r="B15" s="6" t="n">
        <v>15908</v>
      </c>
      <c r="C15" s="6" t="n">
        <v>10758</v>
      </c>
      <c r="D15" s="6" t="n">
        <v>6333</v>
      </c>
      <c r="E15" s="6" t="n">
        <v>4676</v>
      </c>
      <c r="F15" s="6" t="n">
        <v>1194</v>
      </c>
      <c r="G15" s="6" t="n"/>
    </row>
    <row r="16">
      <c r="A16" s="5" t="inlineStr">
        <is>
          <t>Total assets</t>
        </is>
      </c>
      <c r="B16" s="5" t="n">
        <v>1544559</v>
      </c>
      <c r="C16" s="5" t="n">
        <v>1510925</v>
      </c>
      <c r="D16" s="5" t="n">
        <v>1571534</v>
      </c>
      <c r="E16" s="5" t="n">
        <v>1556044</v>
      </c>
      <c r="F16" s="5" t="n">
        <v>1441296</v>
      </c>
      <c r="G16" s="5" t="n">
        <v>1212930</v>
      </c>
    </row>
    <row r="17">
      <c r="A17" s="5" t="inlineStr">
        <is>
          <t>Liabilities</t>
        </is>
      </c>
      <c r="B17" s="6" t="n"/>
      <c r="C17" s="6" t="n"/>
      <c r="D17" s="6" t="n"/>
      <c r="E17" s="6" t="n"/>
      <c r="F17" s="6" t="n"/>
      <c r="G17" s="6" t="n"/>
    </row>
    <row r="18">
      <c r="A18" s="6" t="inlineStr">
        <is>
          <t>Customer accounts</t>
        </is>
      </c>
      <c r="B18" s="6" t="n">
        <v>1450926</v>
      </c>
      <c r="C18" s="6" t="n">
        <v>1419433</v>
      </c>
      <c r="D18" s="6" t="n">
        <v>1505425</v>
      </c>
      <c r="E18" s="6" t="n">
        <v>1508937</v>
      </c>
      <c r="F18" s="6" t="n">
        <v>1398146</v>
      </c>
      <c r="G18" s="6" t="n">
        <v>1156995</v>
      </c>
    </row>
    <row r="19">
      <c r="A19" s="6" t="inlineStr">
        <is>
          <t>Repurchase agreements</t>
        </is>
      </c>
      <c r="B19" s="6" t="n">
        <v>12394</v>
      </c>
      <c r="C19" s="6" t="n">
        <v>13852</v>
      </c>
      <c r="D19" s="6" t="n">
        <v>8852</v>
      </c>
      <c r="E19" s="6" t="n"/>
      <c r="F19" s="6" t="n">
        <v>0</v>
      </c>
      <c r="G19" s="6" t="n">
        <v>10142</v>
      </c>
    </row>
    <row r="20">
      <c r="A20" s="6" t="inlineStr">
        <is>
          <t>Other liabilities</t>
        </is>
      </c>
      <c r="B20" s="6" t="n">
        <v>5000</v>
      </c>
      <c r="C20" s="6" t="n">
        <v>7540</v>
      </c>
      <c r="D20" s="6" t="n">
        <v>5784</v>
      </c>
      <c r="E20" s="6" t="n">
        <v>4178</v>
      </c>
      <c r="F20" s="6" t="n">
        <v>1848</v>
      </c>
      <c r="G20" s="6" t="n">
        <v>4197</v>
      </c>
    </row>
    <row r="21">
      <c r="A21" s="6" t="inlineStr">
        <is>
          <t>Accruals and deferred income</t>
        </is>
      </c>
      <c r="B21" s="6" t="n"/>
      <c r="C21" s="6" t="n"/>
      <c r="D21" s="6" t="n"/>
      <c r="E21" s="6" t="n"/>
      <c r="F21" s="6" t="n">
        <v>13</v>
      </c>
      <c r="G21" s="6" t="n">
        <v>246</v>
      </c>
    </row>
    <row r="22">
      <c r="A22" s="6" t="inlineStr">
        <is>
          <t>Subordinated debt</t>
        </is>
      </c>
      <c r="B22" s="6" t="n"/>
      <c r="C22" s="6" t="n">
        <v>5000</v>
      </c>
      <c r="D22" s="6" t="n"/>
      <c r="E22" s="6" t="n"/>
      <c r="F22" s="6" t="n"/>
      <c r="G22" s="6" t="n"/>
    </row>
    <row r="23">
      <c r="A23" s="5" t="inlineStr">
        <is>
          <t>Total liabilities</t>
        </is>
      </c>
      <c r="B23" s="5" t="n">
        <v>1468320</v>
      </c>
      <c r="C23" s="5" t="n">
        <v>1445825</v>
      </c>
      <c r="D23" s="5" t="n">
        <v>1520061</v>
      </c>
      <c r="E23" s="5" t="n">
        <v>1513115</v>
      </c>
      <c r="F23" s="5" t="n">
        <v>1400007</v>
      </c>
      <c r="G23" s="5" t="n">
        <v>1171580</v>
      </c>
    </row>
    <row r="24">
      <c r="A24" s="5" t="inlineStr">
        <is>
          <t>Shareholders' funds</t>
        </is>
      </c>
      <c r="B24" s="6" t="n"/>
      <c r="C24" s="6" t="n"/>
      <c r="D24" s="6" t="n"/>
      <c r="E24" s="6" t="n"/>
      <c r="F24" s="6" t="n"/>
      <c r="G24" s="6" t="n"/>
    </row>
    <row r="25">
      <c r="A25" s="6" t="inlineStr">
        <is>
          <t>Called up share capital</t>
        </is>
      </c>
      <c r="B25" s="6" t="n">
        <v>40319</v>
      </c>
      <c r="C25" s="6" t="n">
        <v>40319</v>
      </c>
      <c r="D25" s="6" t="n">
        <v>40319</v>
      </c>
      <c r="E25" s="6" t="n">
        <v>29350</v>
      </c>
      <c r="F25" s="6" t="n">
        <v>29350</v>
      </c>
      <c r="G25" s="6" t="n">
        <v>29350</v>
      </c>
    </row>
    <row r="26">
      <c r="A26" s="6" t="inlineStr">
        <is>
          <t>Additional Tier 1 capital</t>
        </is>
      </c>
      <c r="B26" s="6" t="n"/>
      <c r="C26" s="6" t="n"/>
      <c r="D26" s="6" t="n"/>
      <c r="E26" s="6" t="n">
        <v>11000</v>
      </c>
      <c r="F26" s="6" t="n">
        <v>11000</v>
      </c>
      <c r="G26" s="6" t="n">
        <v>11000</v>
      </c>
    </row>
    <row r="27">
      <c r="A27" s="6" t="inlineStr">
        <is>
          <t>Distributable reserve</t>
        </is>
      </c>
      <c r="B27" s="6" t="n"/>
      <c r="C27" s="6" t="n"/>
      <c r="D27" s="6" t="n"/>
      <c r="E27" s="6" t="n">
        <v>1000</v>
      </c>
      <c r="F27" s="6" t="n">
        <v>939</v>
      </c>
      <c r="G27" s="6" t="n">
        <v>1000</v>
      </c>
    </row>
    <row r="28">
      <c r="A28" s="6" t="inlineStr">
        <is>
          <t>Retained earnings</t>
        </is>
      </c>
      <c r="B28" s="6" t="n">
        <v>35920</v>
      </c>
      <c r="C28" s="6" t="n">
        <v>24781</v>
      </c>
      <c r="D28" s="6" t="n">
        <v>11154</v>
      </c>
      <c r="E28" s="6" t="n">
        <v>1579</v>
      </c>
      <c r="F28" s="6" t="n">
        <v>-61</v>
      </c>
      <c r="G28" s="6" t="n">
        <v>0</v>
      </c>
    </row>
    <row r="29">
      <c r="A29" s="5" t="inlineStr">
        <is>
          <t>Total shareholders' funds</t>
        </is>
      </c>
      <c r="B29" s="5" t="n">
        <v>76239</v>
      </c>
      <c r="C29" s="5" t="n">
        <v>65100</v>
      </c>
      <c r="D29" s="5" t="n">
        <v>51473</v>
      </c>
      <c r="E29" s="5" t="n">
        <v>42929</v>
      </c>
      <c r="F29" s="5" t="n">
        <v>41289</v>
      </c>
      <c r="G29" s="5" t="n">
        <v>41350</v>
      </c>
    </row>
    <row r="30">
      <c r="A30" s="5" t="inlineStr">
        <is>
          <t>Total liabilities and shareholders' funds</t>
        </is>
      </c>
      <c r="B30" s="5" t="n">
        <v>1544559</v>
      </c>
      <c r="C30" s="5" t="n">
        <v>1510925</v>
      </c>
      <c r="D30" s="5" t="n">
        <v>1571534</v>
      </c>
      <c r="E30" s="5" t="n">
        <v>1556044</v>
      </c>
      <c r="F30" s="5" t="n">
        <v>1441296</v>
      </c>
      <c r="G30" s="5" t="n">
        <v>1212930</v>
      </c>
    </row>
    <row r="32" ht="420" customHeight="1">
      <c r="A32" s="8" t="inlineStr">
        <is>
          <t>Sources - all figures are CAF Bank Limited's own Profit and Loss Account / Balance Sheet / Statement of Changes in Equity, transcribed from each year's own Companies House filing (or, for FY2024/FY2022, that year's own comparative column in the following year's filing):
FY2025/FY2024: Full accounts made up to 30 April 2025 (filed 10 Feb 2026), Profit and loss account/Balance sheet/Statement of changes in equity - https://find-and-update.company-information.service.gov.uk/company/01837656/filing-history/MzUwNDA1NTExOGFkaXF6a2N4/document?format=pdf&amp;download=0
FY2023/FY2022: Full accounts made up to 30 April 2023 (filed 14 Sep 2023), Profit and loss account/Balance sheet/Statement of changes in equity - https://find-and-update.company-information.service.gov.uk/company/01837656/filing-history/MzM5MjYwNDE2NmFkaXF6a2N4/document?format=pdf&amp;download=0
FY2021: Full accounts made up to 30 April 2021 (filed 31 Aug 2021), Profit and loss account/Balance sheet - https://find-and-update.company-information.service.gov.uk/company/01837656/filing-history/MzMxMTMwNTcwNWFkaXF6a2N4/document?format=pdf&amp;download=0
FY2020: Full accounts made up to 30 April 2020 (filed 10 Sep 2020), Profit and loss account (p.33)/Balance sheet (p.34)/Statement of changes in equity (p.35)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
PRESENTATION NOTE: the Statement of Changes in Equity had 4 equity components (Called-up share capital, Additional Tier 1 securities, Distributable reserve, Retained earnings) through FY2023; the AT1 securities were redeemed and the distributable reserve fully transferred to retained earnings during FY2023, leaving only 2 components (Called-up share capital, Retained earnings) from FY2024 onward. DISCREPANCY NOTE: the FY2021 filing's own Balance Sheet shows the Distributable reserve at 30 April 2021 as £939k, but the FY2023 filing's own equity reconciliation shows the same opening balance (at 1 May 2021) as £1,000k - a £61k gap between the two source filings, reproduced here as each document states it rather than silently reconciled. FY2020's own filing's Statement of Changes in Equity and FY2021's own filing's FY2020 comparative column agree exactly (Distributable reserve £1,000k, Retained earnings £0k, Total £41,350k at 30 April 2020) - no equivalent discrepancy at the FY2019/FY2020 boundary.
ROLL-FORWARD NOTE: the Statement of Changes in Equity now opens at 'At 30 April 2019' purely as the anchoring opening balance for FY2020's own movement rows (FY2019 itself is outside this workbook's year window, one year before the confirmed floor). Before the FY2020 extension (HD-061, 2026-09-06), this sheet started directly at a row labelled 'At 1 May 2021' with no FY2021 movement detail shown at all - that row's figures (29,350/11,000/1,000/(61)/41,289) were always FY2021's own CLOSING balance, just used as a shortcut opening seed for FY2022 since FY2020/FY2021 were both then out of scope. It is now correctly split into its own 'At 30 April 2021' TOTAL row with FY2021's real movements (comprehensive profit £929k, AT1 dividends payable £(990)k, no charitable donation that year) shown leading up to it - no figures changed, only the previously-collapsed roll-forward detail restored.
DEBT SECURITIES BREAKDOWN: the 'Debt securities - ...' sub-rows below the renamed 'Total debt securities' line are transcribed from each year's own 'Debt securities'/'Investments' note, which splits the balance by issuer type (UK government, multilateral financial institutions, fixed/floating coupon corporate bonds, certificates of deposit) but not by measurement basis - accounting policy note 1.5/1.6 states debt securities held for investment purposes are 'held to redemption at par' and 'measured at amortised cost using the effective interest method' in every year covered, so all sub-rows are amortised cost (no FVOCI/FVTPL instruments held in any year):
FY2025/FY2024: Note 10 'Debt securities', Investments table, p.89 - https://find-and-update.company-information.service.gov.uk/company/01837656/filing-history/MzUwNDA1NTExOGFkaXF6a2N4/document?format=pdf&amp;download=0
FY2023/FY2022: Note 10 'Debt securities', Investments table, p.67 - https://find-and-update.company-information.service.gov.uk/company/01837656/filing-history/MzM5MjYwNDE2NmFkaXF6a2N4/document?format=pdf&amp;download=0
FY2021: Note 11 'Debt securities', section 11.1 Investments, p.44 - https://find-and-update.company-information.service.gov.uk/company/01837656/filing-history/MzMxMTMwNTcwNWFkaXF6a2N4/document?format=pdf&amp;download=0
FY2020: FY2021 filing's own FY2020 comparative column (same note/page as above); independently cross-checked against FY2020's own filing, Note 11 'Debt securities', section 11.1 Investments, p.44 - https://find-and-update.company-information.service.gov.uk/company/01837656/filing-history/MzI3NzEzMDk0OWFkaXF6a2N4/document?format=pdf&amp;download=0 (both agree exactly on all 5 sub-row figures).
Each year's sub-rows sum exactly to that year's 'Total debt securities' line. 'UK government' is disclosed as its own line only in FY2020 (£63,036k) and FY2021 (explicitly £0 - the note still prints the line with a nil balance); no 'UK government' line appears in the FY2022-FY2025 notes at all (fully divested by FY2022), not a gap. 'Certificates of deposit' (the note's 'Unlisted:' section) is disclosed FY2020-FY2023 only - the FY2024/FY2025 notes present a 'Listed:' section only with no unlisted holdings, again a genuine change in composition rather than missing data.</t>
        </is>
      </c>
    </row>
  </sheetData>
  <mergeCells count="1">
    <mergeCell ref="A32:G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Profit &amp; Loss</t>
        </is>
      </c>
    </row>
    <row r="2">
      <c r="A2" s="2" t="inlineStr">
        <is>
          <t>CAF Bank Limited's own basis, £'000. No OCI - there are no recognised gains or losses in any year other than those shown in the profit and loss account (per the Bank's own disclosure).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receivable</t>
        </is>
      </c>
      <c r="B5" s="6" t="n">
        <v>66478</v>
      </c>
      <c r="C5" s="6" t="n">
        <v>65025</v>
      </c>
      <c r="D5" s="6" t="n">
        <v>35396</v>
      </c>
      <c r="E5" s="6" t="n">
        <v>10823</v>
      </c>
      <c r="F5" s="6" t="n">
        <v>10059</v>
      </c>
      <c r="G5" s="6" t="n">
        <v>12534</v>
      </c>
    </row>
    <row r="6">
      <c r="A6" s="6" t="inlineStr">
        <is>
          <t>Interest payable</t>
        </is>
      </c>
      <c r="B6" s="6" t="n">
        <v>-20929</v>
      </c>
      <c r="C6" s="6" t="n">
        <v>-20250</v>
      </c>
      <c r="D6" s="6" t="n">
        <v>-7350</v>
      </c>
      <c r="E6" s="6" t="n">
        <v>-182</v>
      </c>
      <c r="F6" s="6" t="n">
        <v>-263</v>
      </c>
      <c r="G6" s="6" t="n">
        <v>-1035</v>
      </c>
    </row>
    <row r="7">
      <c r="A7" s="5" t="inlineStr">
        <is>
          <t>Net interest income</t>
        </is>
      </c>
      <c r="B7" s="5" t="n">
        <v>45549</v>
      </c>
      <c r="C7" s="5" t="n">
        <v>44775</v>
      </c>
      <c r="D7" s="5" t="n">
        <v>28046</v>
      </c>
      <c r="E7" s="5" t="n">
        <v>10641</v>
      </c>
      <c r="F7" s="5" t="n">
        <v>9796</v>
      </c>
      <c r="G7" s="5" t="n">
        <v>11499</v>
      </c>
    </row>
    <row r="8">
      <c r="A8" s="6" t="inlineStr">
        <is>
          <t>Fees and commissions receivable</t>
        </is>
      </c>
      <c r="B8" s="6" t="n">
        <v>2744</v>
      </c>
      <c r="C8" s="6" t="n">
        <v>2710</v>
      </c>
      <c r="D8" s="6" t="n">
        <v>2560</v>
      </c>
      <c r="E8" s="6" t="n">
        <v>2947</v>
      </c>
      <c r="F8" s="6" t="n">
        <v>2230</v>
      </c>
      <c r="G8" s="6" t="n">
        <v>2109</v>
      </c>
    </row>
    <row r="9">
      <c r="A9" s="6" t="inlineStr">
        <is>
          <t>Fees and commissions payable</t>
        </is>
      </c>
      <c r="B9" s="6" t="n">
        <v>-989</v>
      </c>
      <c r="C9" s="6" t="n">
        <v>-945</v>
      </c>
      <c r="D9" s="6" t="n">
        <v>-913</v>
      </c>
      <c r="E9" s="6" t="n">
        <v>-885</v>
      </c>
      <c r="F9" s="6" t="n">
        <v>-815</v>
      </c>
      <c r="G9" s="6" t="n">
        <v>-1008</v>
      </c>
    </row>
    <row r="10">
      <c r="A10" s="5" t="inlineStr">
        <is>
          <t>Net fee income</t>
        </is>
      </c>
      <c r="B10" s="5" t="n">
        <v>1755</v>
      </c>
      <c r="C10" s="5" t="n">
        <v>1765</v>
      </c>
      <c r="D10" s="5" t="n">
        <v>1647</v>
      </c>
      <c r="E10" s="5" t="n">
        <v>2062</v>
      </c>
      <c r="F10" s="5" t="n">
        <v>1415</v>
      </c>
      <c r="G10" s="5" t="n">
        <v>1101</v>
      </c>
    </row>
    <row r="11">
      <c r="A11" s="5" t="inlineStr">
        <is>
          <t>Net operating income</t>
        </is>
      </c>
      <c r="B11" s="5" t="n">
        <v>47304</v>
      </c>
      <c r="C11" s="5" t="n">
        <v>46540</v>
      </c>
      <c r="D11" s="5" t="n">
        <v>29693</v>
      </c>
      <c r="E11" s="5" t="n">
        <v>12703</v>
      </c>
      <c r="F11" s="5" t="n">
        <v>11211</v>
      </c>
      <c r="G11" s="5" t="n">
        <v>12600</v>
      </c>
    </row>
    <row r="12">
      <c r="A12" s="5" t="inlineStr">
        <is>
          <t>Expenses</t>
        </is>
      </c>
      <c r="B12" s="6" t="n"/>
      <c r="C12" s="6" t="n"/>
      <c r="D12" s="6" t="n"/>
      <c r="E12" s="6" t="n"/>
      <c r="F12" s="6" t="n"/>
      <c r="G12" s="6" t="n"/>
    </row>
    <row r="13">
      <c r="A13" s="6" t="inlineStr">
        <is>
          <t>Administrative expenses</t>
        </is>
      </c>
      <c r="B13" s="6" t="n">
        <v>-32827</v>
      </c>
      <c r="C13" s="6" t="n">
        <v>-27655</v>
      </c>
      <c r="D13" s="6" t="n">
        <v>-18472</v>
      </c>
      <c r="E13" s="6" t="n">
        <v>-11774</v>
      </c>
      <c r="F13" s="6" t="n">
        <v>-9763</v>
      </c>
      <c r="G13" s="6" t="n">
        <v>-10109</v>
      </c>
    </row>
    <row r="14">
      <c r="A14" s="6" t="inlineStr">
        <is>
          <t>Loan loss provision credit/(charge)</t>
        </is>
      </c>
      <c r="B14" s="6" t="n">
        <v>184</v>
      </c>
      <c r="C14" s="6" t="n">
        <v>-716</v>
      </c>
      <c r="D14" s="6" t="n">
        <v>-573</v>
      </c>
      <c r="E14" s="6" t="n">
        <v>1100</v>
      </c>
      <c r="F14" s="6" t="n">
        <v>-533</v>
      </c>
      <c r="G14" s="6" t="n">
        <v>-1200</v>
      </c>
    </row>
    <row r="15">
      <c r="A15" s="5" t="inlineStr">
        <is>
          <t>Profit on ordinary activities before taxation</t>
        </is>
      </c>
      <c r="B15" s="5" t="n">
        <v>14661</v>
      </c>
      <c r="C15" s="5" t="n">
        <v>18169</v>
      </c>
      <c r="D15" s="5" t="n">
        <v>10648</v>
      </c>
      <c r="E15" s="5" t="n">
        <v>2029</v>
      </c>
      <c r="F15" s="5" t="n">
        <v>915</v>
      </c>
      <c r="G15" s="5" t="n">
        <v>1291</v>
      </c>
    </row>
    <row r="16">
      <c r="A16" s="6" t="inlineStr">
        <is>
          <t>Tax on profit on ordinary activities</t>
        </is>
      </c>
      <c r="B16" s="6" t="n">
        <v>-2522</v>
      </c>
      <c r="C16" s="6" t="n">
        <v>-4542</v>
      </c>
      <c r="D16" s="6" t="n">
        <v>-2073</v>
      </c>
      <c r="E16" s="6" t="n">
        <v>-389</v>
      </c>
      <c r="F16" s="6" t="n">
        <v>14</v>
      </c>
      <c r="G16" s="6" t="n">
        <v>-1</v>
      </c>
    </row>
    <row r="17">
      <c r="A17" s="5" t="inlineStr">
        <is>
          <t>Profit on ordinary activities after taxation</t>
        </is>
      </c>
      <c r="B17" s="5" t="n">
        <v>12139</v>
      </c>
      <c r="C17" s="5" t="n">
        <v>13627</v>
      </c>
      <c r="D17" s="5" t="n">
        <v>8575</v>
      </c>
      <c r="E17" s="5" t="n">
        <v>1640</v>
      </c>
      <c r="F17" s="5" t="n">
        <v>929</v>
      </c>
      <c r="G17" s="5" t="n">
        <v>1290</v>
      </c>
    </row>
    <row r="18">
      <c r="A18" s="5" t="inlineStr">
        <is>
          <t>Total comprehensive income for the year, net of tax</t>
        </is>
      </c>
      <c r="B18" s="5" t="n">
        <v>12139</v>
      </c>
      <c r="C18" s="5" t="n">
        <v>13627</v>
      </c>
      <c r="D18" s="5" t="n">
        <v>8575</v>
      </c>
      <c r="E18" s="5" t="n">
        <v>1640</v>
      </c>
      <c r="F18" s="5" t="n">
        <v>929</v>
      </c>
      <c r="G18" s="5" t="n">
        <v>1290</v>
      </c>
    </row>
    <row r="20" ht="280" customHeight="1">
      <c r="A20" s="8" t="inlineStr">
        <is>
          <t>Sources - all figures are CAF Bank Limited's own Profit and Loss Account / Balance Sheet / Statement of Changes in Equity, transcribed from each year's own Companies House filing (or, for FY2024/FY2022, that year's own comparative column in the following year's filing):
FY2025/FY2024: Full accounts made up to 30 April 2025 (filed 10 Feb 2026), Profit and loss account/Balance sheet/Statement of changes in equity - https://find-and-update.company-information.service.gov.uk/company/01837656/filing-history/MzUwNDA1NTExOGFkaXF6a2N4/document?format=pdf&amp;download=0
FY2023/FY2022: Full accounts made up to 30 April 2023 (filed 14 Sep 2023), Profit and loss account/Balance sheet/Statement of changes in equity - https://find-and-update.company-information.service.gov.uk/company/01837656/filing-history/MzM5MjYwNDE2NmFkaXF6a2N4/document?format=pdf&amp;download=0
FY2021: Full accounts made up to 30 April 2021 (filed 31 Aug 2021), Profit and loss account/Balance sheet - https://find-and-update.company-information.service.gov.uk/company/01837656/filing-history/MzMxMTMwNTcwNWFkaXF6a2N4/document?format=pdf&amp;download=0
FY2020: Full accounts made up to 30 April 2020 (filed 10 Sep 2020), Profit and loss account (p.33)/Balance sheet (p.34)/Statement of changes in equity (p.35)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
PRESENTATION NOTE: the Statement of Changes in Equity had 4 equity components (Called-up share capital, Additional Tier 1 securities, Distributable reserve, Retained earnings) through FY2023; the AT1 securities were redeemed and the distributable reserve fully transferred to retained earnings during FY2023, leaving only 2 components (Called-up share capital, Retained earnings) from FY2024 onward. DISCREPANCY NOTE: the FY2021 filing's own Balance Sheet shows the Distributable reserve at 30 April 2021 as £939k, but the FY2023 filing's own equity reconciliation shows the same opening balance (at 1 May 2021) as £1,000k - a £61k gap between the two source filings, reproduced here as each document states it rather than silently reconciled. FY2020's own filing's Statement of Changes in Equity and FY2021's own filing's FY2020 comparative column agree exactly (Distributable reserve £1,000k, Retained earnings £0k, Total £41,350k at 30 April 2020) - no equivalent discrepancy at the FY2019/FY2020 boundary.
ROLL-FORWARD NOTE: the Statement of Changes in Equity now opens at 'At 30 April 2019' purely as the anchoring opening balance for FY2020's own movement rows (FY2019 itself is outside this workbook's year window, one year before the confirmed floor). Before the FY2020 extension (HD-061, 2026-09-06), this sheet started directly at a row labelled 'At 1 May 2021' with no FY2021 movement detail shown at all - that row's figures (29,350/11,000/1,000/(61)/41,289) were always FY2021's own CLOSING balance, just used as a shortcut opening seed for FY2022 since FY2020/FY2021 were both then out of scope. It is now correctly split into its own 'At 30 April 2021' TOTAL row with FY2021's real movements (comprehensive profit £929k, AT1 dividends payable £(990)k, no charitable donation that year) shown leading up to it - no figures changed, only the previously-collapsed roll-forward detail restored.</t>
        </is>
      </c>
    </row>
  </sheetData>
  <mergeCells count="1">
    <mergeCell ref="A20:G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4"/>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CAF Bank Limited — Statement of Changes in Equity</t>
        </is>
      </c>
    </row>
    <row r="2">
      <c r="A2" s="2" t="inlineStr">
        <is>
          <t>CAF Bank Limited's own basis, £'000, chronological (oldest to newest). See source note at bottom.</t>
        </is>
      </c>
    </row>
    <row r="3">
      <c r="A3" s="4" t="inlineStr">
        <is>
          <t>Movement</t>
        </is>
      </c>
      <c r="B3" s="4" t="inlineStr">
        <is>
          <t>Called-up share capital</t>
        </is>
      </c>
      <c r="C3" s="4" t="inlineStr">
        <is>
          <t>Additional Tier 1 securities</t>
        </is>
      </c>
      <c r="D3" s="4" t="inlineStr">
        <is>
          <t>Distributable reserve</t>
        </is>
      </c>
      <c r="E3" s="4" t="inlineStr">
        <is>
          <t>Retained earnings</t>
        </is>
      </c>
      <c r="F3" s="4" t="inlineStr">
        <is>
          <t>Total</t>
        </is>
      </c>
    </row>
    <row r="4">
      <c r="A4" s="5" t="inlineStr">
        <is>
          <t>At 30 April 2019</t>
        </is>
      </c>
      <c r="B4" s="5" t="n">
        <v>29350</v>
      </c>
      <c r="C4" s="5" t="n">
        <v>11000</v>
      </c>
      <c r="D4" s="5" t="n">
        <v>1000</v>
      </c>
      <c r="E4" s="5" t="n">
        <v>0</v>
      </c>
      <c r="F4" s="5" t="n">
        <v>41350</v>
      </c>
    </row>
    <row r="5">
      <c r="A5" s="6" t="inlineStr">
        <is>
          <t>Total comprehensive profit for the financial year</t>
        </is>
      </c>
      <c r="B5" s="6" t="n"/>
      <c r="C5" s="6" t="n"/>
      <c r="D5" s="6" t="n"/>
      <c r="E5" s="6" t="n">
        <v>1290</v>
      </c>
      <c r="F5" s="6" t="n">
        <v>1290</v>
      </c>
    </row>
    <row r="6">
      <c r="A6" s="6" t="inlineStr">
        <is>
          <t>Charitable donation to parent</t>
        </is>
      </c>
      <c r="B6" s="6" t="n"/>
      <c r="C6" s="6" t="n"/>
      <c r="D6" s="6" t="n"/>
      <c r="E6" s="6" t="n">
        <v>-297</v>
      </c>
      <c r="F6" s="6" t="n">
        <v>-297</v>
      </c>
    </row>
    <row r="7">
      <c r="A7" s="6" t="inlineStr">
        <is>
          <t>AT1 dividends payable</t>
        </is>
      </c>
      <c r="B7" s="6" t="n"/>
      <c r="C7" s="6" t="n"/>
      <c r="D7" s="6" t="n"/>
      <c r="E7" s="6" t="n">
        <v>-993</v>
      </c>
      <c r="F7" s="6" t="n">
        <v>-993</v>
      </c>
    </row>
    <row r="8">
      <c r="A8" s="5" t="inlineStr">
        <is>
          <t>At 30 April 2020</t>
        </is>
      </c>
      <c r="B8" s="5" t="n">
        <v>29350</v>
      </c>
      <c r="C8" s="5" t="n">
        <v>11000</v>
      </c>
      <c r="D8" s="5" t="n">
        <v>1000</v>
      </c>
      <c r="E8" s="5" t="n">
        <v>0</v>
      </c>
      <c r="F8" s="5" t="n">
        <v>41350</v>
      </c>
    </row>
    <row r="9">
      <c r="A9" s="6" t="inlineStr">
        <is>
          <t>Total comprehensive profit for the financial year</t>
        </is>
      </c>
      <c r="B9" s="6" t="n"/>
      <c r="C9" s="6" t="n"/>
      <c r="D9" s="6" t="n"/>
      <c r="E9" s="6" t="n">
        <v>929</v>
      </c>
      <c r="F9" s="6" t="n">
        <v>929</v>
      </c>
    </row>
    <row r="10">
      <c r="A10" s="6" t="inlineStr">
        <is>
          <t>AT1 dividends payable</t>
        </is>
      </c>
      <c r="B10" s="6" t="n"/>
      <c r="C10" s="6" t="n"/>
      <c r="D10" s="6" t="n"/>
      <c r="E10" s="6" t="n">
        <v>-990</v>
      </c>
      <c r="F10" s="6" t="n">
        <v>-990</v>
      </c>
    </row>
    <row r="11">
      <c r="A11" s="5" t="inlineStr">
        <is>
          <t>At 30 April 2021</t>
        </is>
      </c>
      <c r="B11" s="5" t="n">
        <v>29350</v>
      </c>
      <c r="C11" s="5" t="n">
        <v>11000</v>
      </c>
      <c r="D11" s="5" t="n">
        <v>1000</v>
      </c>
      <c r="E11" s="5" t="n">
        <v>-61</v>
      </c>
      <c r="F11" s="5" t="n">
        <v>41289</v>
      </c>
    </row>
    <row r="12">
      <c r="A12" s="6" t="inlineStr">
        <is>
          <t>Total comprehensive profit for the financial year</t>
        </is>
      </c>
      <c r="B12" s="6" t="n"/>
      <c r="C12" s="6" t="n"/>
      <c r="D12" s="6" t="n"/>
      <c r="E12" s="6" t="n">
        <v>1640</v>
      </c>
      <c r="F12" s="6" t="n">
        <v>1640</v>
      </c>
    </row>
    <row r="13">
      <c r="A13" s="5" t="inlineStr">
        <is>
          <t>At 30 April 2022</t>
        </is>
      </c>
      <c r="B13" s="5" t="n">
        <v>29350</v>
      </c>
      <c r="C13" s="5" t="n">
        <v>11000</v>
      </c>
      <c r="D13" s="5" t="n">
        <v>1000</v>
      </c>
      <c r="E13" s="5" t="n">
        <v>1579</v>
      </c>
      <c r="F13" s="5" t="n">
        <v>42929</v>
      </c>
    </row>
    <row r="14">
      <c r="A14" s="6" t="inlineStr">
        <is>
          <t>Total comprehensive profit for the financial year</t>
        </is>
      </c>
      <c r="B14" s="6" t="n"/>
      <c r="C14" s="6" t="n"/>
      <c r="D14" s="6" t="n"/>
      <c r="E14" s="6" t="n">
        <v>8575</v>
      </c>
      <c r="F14" s="6" t="n">
        <v>8575</v>
      </c>
    </row>
    <row r="15">
      <c r="A15" s="6" t="inlineStr">
        <is>
          <t>Transferred from distributable reserve</t>
        </is>
      </c>
      <c r="B15" s="6" t="n"/>
      <c r="C15" s="6" t="n"/>
      <c r="D15" s="6" t="n">
        <v>-1000</v>
      </c>
      <c r="E15" s="6" t="n">
        <v>1000</v>
      </c>
      <c r="F15" s="6" t="n">
        <v>0</v>
      </c>
    </row>
    <row r="16">
      <c r="A16" s="6" t="inlineStr">
        <is>
          <t>Redemption of additional tier 1 securities</t>
        </is>
      </c>
      <c r="B16" s="6" t="n"/>
      <c r="C16" s="6" t="n">
        <v>-11000</v>
      </c>
      <c r="D16" s="6" t="n"/>
      <c r="E16" s="6" t="n"/>
      <c r="F16" s="6" t="n">
        <v>-11000</v>
      </c>
    </row>
    <row r="17">
      <c r="A17" s="6" t="inlineStr">
        <is>
          <t>Issue of share capital</t>
        </is>
      </c>
      <c r="B17" s="6" t="n">
        <v>10969</v>
      </c>
      <c r="C17" s="6" t="n"/>
      <c r="D17" s="6" t="n"/>
      <c r="E17" s="6" t="n"/>
      <c r="F17" s="6" t="n">
        <v>10969</v>
      </c>
    </row>
    <row r="18">
      <c r="A18" s="5" t="inlineStr">
        <is>
          <t>At 30 April 2023</t>
        </is>
      </c>
      <c r="B18" s="5" t="n">
        <v>40319</v>
      </c>
      <c r="C18" s="5" t="n">
        <v>0</v>
      </c>
      <c r="D18" s="5" t="n">
        <v>0</v>
      </c>
      <c r="E18" s="5" t="n">
        <v>11154</v>
      </c>
      <c r="F18" s="5" t="n">
        <v>51473</v>
      </c>
    </row>
    <row r="19">
      <c r="A19" s="6" t="inlineStr">
        <is>
          <t>Profit on ordinary activities after taxation for the financial year</t>
        </is>
      </c>
      <c r="B19" s="6" t="n"/>
      <c r="C19" s="6" t="n"/>
      <c r="D19" s="6" t="n"/>
      <c r="E19" s="6" t="n">
        <v>13627</v>
      </c>
      <c r="F19" s="6" t="n">
        <v>13627</v>
      </c>
    </row>
    <row r="20">
      <c r="A20" s="5" t="inlineStr">
        <is>
          <t>At 30 April 2024</t>
        </is>
      </c>
      <c r="B20" s="5" t="n">
        <v>40319</v>
      </c>
      <c r="C20" s="5" t="n">
        <v>0</v>
      </c>
      <c r="D20" s="5" t="n">
        <v>0</v>
      </c>
      <c r="E20" s="5" t="n">
        <v>24781</v>
      </c>
      <c r="F20" s="5" t="n">
        <v>65100</v>
      </c>
    </row>
    <row r="21">
      <c r="A21" s="6" t="inlineStr">
        <is>
          <t>Profit on ordinary activities after taxation for the financial year</t>
        </is>
      </c>
      <c r="B21" s="6" t="n"/>
      <c r="C21" s="6" t="n"/>
      <c r="D21" s="6" t="n"/>
      <c r="E21" s="6" t="n">
        <v>11139</v>
      </c>
      <c r="F21" s="6" t="n">
        <v>11139</v>
      </c>
    </row>
    <row r="22">
      <c r="A22" s="5" t="inlineStr">
        <is>
          <t>At 30 April 2025</t>
        </is>
      </c>
      <c r="B22" s="5" t="n">
        <v>40319</v>
      </c>
      <c r="C22" s="5" t="n">
        <v>0</v>
      </c>
      <c r="D22" s="5" t="n">
        <v>0</v>
      </c>
      <c r="E22" s="5" t="n">
        <v>35920</v>
      </c>
      <c r="F22" s="5" t="n">
        <v>76239</v>
      </c>
    </row>
    <row r="24" ht="280" customHeight="1">
      <c r="A24" s="8" t="inlineStr">
        <is>
          <t>Sources - all figures are CAF Bank Limited's own Profit and Loss Account / Balance Sheet / Statement of Changes in Equity, transcribed from each year's own Companies House filing (or, for FY2024/FY2022, that year's own comparative column in the following year's filing):
FY2025/FY2024: Full accounts made up to 30 April 2025 (filed 10 Feb 2026), Profit and loss account/Balance sheet/Statement of changes in equity - https://find-and-update.company-information.service.gov.uk/company/01837656/filing-history/MzUwNDA1NTExOGFkaXF6a2N4/document?format=pdf&amp;download=0
FY2023/FY2022: Full accounts made up to 30 April 2023 (filed 14 Sep 2023), Profit and loss account/Balance sheet/Statement of changes in equity - https://find-and-update.company-information.service.gov.uk/company/01837656/filing-history/MzM5MjYwNDE2NmFkaXF6a2N4/document?format=pdf&amp;download=0
FY2021: Full accounts made up to 30 April 2021 (filed 31 Aug 2021), Profit and loss account/Balance sheet - https://find-and-update.company-information.service.gov.uk/company/01837656/filing-history/MzMxMTMwNTcwNWFkaXF6a2N4/document?format=pdf&amp;download=0
FY2020: Full accounts made up to 30 April 2020 (filed 10 Sep 2020), Profit and loss account (p.33)/Balance sheet (p.34)/Statement of changes in equity (p.35)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
PRESENTATION NOTE: the Statement of Changes in Equity had 4 equity components (Called-up share capital, Additional Tier 1 securities, Distributable reserve, Retained earnings) through FY2023; the AT1 securities were redeemed and the distributable reserve fully transferred to retained earnings during FY2023, leaving only 2 components (Called-up share capital, Retained earnings) from FY2024 onward. DISCREPANCY NOTE: the FY2021 filing's own Balance Sheet shows the Distributable reserve at 30 April 2021 as £939k, but the FY2023 filing's own equity reconciliation shows the same opening balance (at 1 May 2021) as £1,000k - a £61k gap between the two source filings, reproduced here as each document states it rather than silently reconciled. FY2020's own filing's Statement of Changes in Equity and FY2021's own filing's FY2020 comparative column agree exactly (Distributable reserve £1,000k, Retained earnings £0k, Total £41,350k at 30 April 2020) - no equivalent discrepancy at the FY2019/FY2020 boundary.
ROLL-FORWARD NOTE: the Statement of Changes in Equity now opens at 'At 30 April 2019' purely as the anchoring opening balance for FY2020's own movement rows (FY2019 itself is outside this workbook's year window, one year before the confirmed floor). Before the FY2020 extension (HD-061, 2026-09-06), this sheet started directly at a row labelled 'At 1 May 2021' with no FY2021 movement detail shown at all - that row's figures (29,350/11,000/1,000/(61)/41,289) were always FY2021's own CLOSING balance, just used as a shortcut opening seed for FY2022 since FY2020/FY2021 were both then out of scope. It is now correctly split into its own 'At 30 April 2021' TOTAL row with FY2021's real movements (comprehensive profit £929k, AT1 dividends payable £(990)k, no charitable donation that year) shown leading up to it - no figures changed, only the previously-collapsed roll-forward detail restored.</t>
        </is>
      </c>
    </row>
  </sheetData>
  <mergeCells count="1">
    <mergeCell ref="A24:F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Cash Flow Statement</t>
        </is>
      </c>
    </row>
    <row r="2">
      <c r="A2" s="2" t="inlineStr">
        <is>
          <t>CAF Bank Limited's own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Cash flows from operating activities</t>
        </is>
      </c>
      <c r="B4" s="6" t="n"/>
      <c r="C4" s="6" t="n"/>
      <c r="D4" s="6" t="n"/>
      <c r="E4" s="6" t="n"/>
      <c r="F4" s="6" t="n"/>
      <c r="G4" s="6" t="n"/>
    </row>
    <row r="5">
      <c r="A5" s="6" t="inlineStr">
        <is>
          <t>Profit on ordinary activities</t>
        </is>
      </c>
      <c r="B5" s="6" t="n">
        <v>14661</v>
      </c>
      <c r="C5" s="6" t="n">
        <v>18169</v>
      </c>
      <c r="D5" s="6" t="n">
        <v>8575</v>
      </c>
      <c r="E5" s="6" t="n">
        <v>1640</v>
      </c>
      <c r="F5" s="6" t="n">
        <v>929</v>
      </c>
      <c r="G5" s="6" t="n">
        <v>1291</v>
      </c>
    </row>
    <row r="6">
      <c r="A6" s="6" t="inlineStr">
        <is>
          <t>Amortisation of investments</t>
        </is>
      </c>
      <c r="B6" s="6" t="n">
        <v>-6041</v>
      </c>
      <c r="C6" s="6" t="n">
        <v>-2450</v>
      </c>
      <c r="D6" s="6" t="n">
        <v>344</v>
      </c>
      <c r="E6" s="6" t="n">
        <v>1170</v>
      </c>
      <c r="F6" s="6" t="n">
        <v>21919</v>
      </c>
      <c r="G6" s="6" t="n">
        <v>2451</v>
      </c>
    </row>
    <row r="7">
      <c r="A7" s="6" t="inlineStr">
        <is>
          <t>Corporation tax paid</t>
        </is>
      </c>
      <c r="B7" s="6" t="n">
        <v>-1705</v>
      </c>
      <c r="C7" s="6" t="n">
        <v>-5815</v>
      </c>
      <c r="D7" s="6" t="n">
        <v>-830</v>
      </c>
      <c r="E7" s="6" t="n"/>
      <c r="F7" s="6" t="n"/>
      <c r="G7" s="6" t="n">
        <v>0</v>
      </c>
    </row>
    <row r="8">
      <c r="A8" s="6" t="inlineStr">
        <is>
          <t>(Increase)/decrease in prepayments and accrued income</t>
        </is>
      </c>
      <c r="B8" s="6" t="n">
        <v>-1316</v>
      </c>
      <c r="C8" s="6" t="n">
        <v>-1791</v>
      </c>
      <c r="D8" s="6" t="n">
        <v>-4982</v>
      </c>
      <c r="E8" s="6" t="n">
        <v>275</v>
      </c>
      <c r="F8" s="6" t="n">
        <v>311</v>
      </c>
      <c r="G8" s="6" t="n">
        <v>206</v>
      </c>
    </row>
    <row r="9">
      <c r="A9" s="6" t="inlineStr">
        <is>
          <t>(Decrease)/increase in accruals and deferred income</t>
        </is>
      </c>
      <c r="B9" s="6" t="n"/>
      <c r="C9" s="6" t="n"/>
      <c r="D9" s="6" t="n"/>
      <c r="E9" s="6" t="n"/>
      <c r="F9" s="6" t="n">
        <v>-98</v>
      </c>
      <c r="G9" s="6" t="n">
        <v>4</v>
      </c>
    </row>
    <row r="10">
      <c r="A10" s="6" t="inlineStr">
        <is>
          <t>Increase/(decrease) in Cash Ratio Deposit with the Bank of England</t>
        </is>
      </c>
      <c r="B10" s="6" t="n"/>
      <c r="C10" s="6" t="n">
        <v>3582</v>
      </c>
      <c r="D10" s="6" t="n">
        <v>-369</v>
      </c>
      <c r="E10" s="6" t="n">
        <v>-918</v>
      </c>
      <c r="F10" s="6" t="n">
        <v>-828</v>
      </c>
      <c r="G10" s="6" t="n">
        <v>-242</v>
      </c>
    </row>
    <row r="11">
      <c r="A11" s="6" t="inlineStr">
        <is>
          <t>Decrease in loans and advances to banks</t>
        </is>
      </c>
      <c r="B11" s="6" t="n"/>
      <c r="C11" s="6" t="n"/>
      <c r="D11" s="6" t="n"/>
      <c r="E11" s="6" t="n"/>
      <c r="F11" s="6" t="n">
        <v>0</v>
      </c>
      <c r="G11" s="6" t="n">
        <v>0</v>
      </c>
    </row>
    <row r="12">
      <c r="A12" s="6" t="inlineStr">
        <is>
          <t>(Increase) in loans and advances to customers</t>
        </is>
      </c>
      <c r="B12" s="6" t="n">
        <v>-21216</v>
      </c>
      <c r="C12" s="6" t="n">
        <v>-20683</v>
      </c>
      <c r="D12" s="6" t="n">
        <v>-17900</v>
      </c>
      <c r="E12" s="6" t="n">
        <v>-34801</v>
      </c>
      <c r="F12" s="6" t="n">
        <v>-21414</v>
      </c>
      <c r="G12" s="6" t="n">
        <v>-14363</v>
      </c>
    </row>
    <row r="13">
      <c r="A13" s="6" t="inlineStr">
        <is>
          <t>Increase/(decrease) in loan loss provision</t>
        </is>
      </c>
      <c r="B13" s="6" t="n">
        <v>-184</v>
      </c>
      <c r="C13" s="6" t="n">
        <v>716</v>
      </c>
      <c r="D13" s="6" t="n">
        <v>573</v>
      </c>
      <c r="E13" s="6" t="n">
        <v>-1100</v>
      </c>
      <c r="F13" s="6" t="n">
        <v>533</v>
      </c>
      <c r="G13" s="6" t="n">
        <v>1200</v>
      </c>
    </row>
    <row r="14">
      <c r="A14" s="6" t="inlineStr">
        <is>
          <t>Increase/(decrease) in customer accounts</t>
        </is>
      </c>
      <c r="B14" s="6" t="n">
        <v>31493</v>
      </c>
      <c r="C14" s="6" t="n">
        <v>-85992</v>
      </c>
      <c r="D14" s="6" t="n">
        <v>-3512</v>
      </c>
      <c r="E14" s="6" t="n">
        <v>110791</v>
      </c>
      <c r="F14" s="6" t="n">
        <v>241151</v>
      </c>
      <c r="G14" s="6" t="n">
        <v>122767</v>
      </c>
    </row>
    <row r="15">
      <c r="A15" s="6" t="inlineStr">
        <is>
          <t>Increase in other liabilities</t>
        </is>
      </c>
      <c r="B15" s="6" t="n">
        <v>5037</v>
      </c>
      <c r="C15" s="6" t="n">
        <v>3028</v>
      </c>
      <c r="D15" s="6" t="n">
        <v>2435</v>
      </c>
      <c r="E15" s="6" t="n">
        <v>2317</v>
      </c>
      <c r="F15" s="6" t="n">
        <v>-2052</v>
      </c>
      <c r="G15" s="6" t="n">
        <v>2335</v>
      </c>
    </row>
    <row r="16">
      <c r="A16" s="5" t="inlineStr">
        <is>
          <t>Net cash generated from/(used in) operating activities</t>
        </is>
      </c>
      <c r="B16" s="5" t="n">
        <v>20729</v>
      </c>
      <c r="C16" s="5" t="n">
        <v>-91236</v>
      </c>
      <c r="D16" s="5" t="n">
        <v>-15666</v>
      </c>
      <c r="E16" s="5" t="n">
        <v>79374</v>
      </c>
      <c r="F16" s="5" t="n">
        <v>240451</v>
      </c>
      <c r="G16" s="5" t="n">
        <v>115649</v>
      </c>
    </row>
    <row r="17">
      <c r="A17" s="5" t="inlineStr">
        <is>
          <t>Cash flows from investing activities</t>
        </is>
      </c>
      <c r="B17" s="6" t="n"/>
      <c r="C17" s="6" t="n"/>
      <c r="D17" s="6" t="n"/>
      <c r="E17" s="6" t="n"/>
      <c r="F17" s="6" t="n"/>
      <c r="G17" s="6" t="n"/>
    </row>
    <row r="18">
      <c r="A18" s="6" t="inlineStr">
        <is>
          <t>Acquisitions of debt securities</t>
        </is>
      </c>
      <c r="B18" s="6" t="n">
        <v>-156964</v>
      </c>
      <c r="C18" s="6" t="n">
        <v>-254111</v>
      </c>
      <c r="D18" s="6" t="n">
        <v>-88130</v>
      </c>
      <c r="E18" s="6" t="n">
        <v>-228836</v>
      </c>
      <c r="F18" s="6" t="n">
        <v>-293668</v>
      </c>
      <c r="G18" s="6" t="n">
        <v>-514420</v>
      </c>
    </row>
    <row r="19">
      <c r="A19" s="6" t="inlineStr">
        <is>
          <t>Redemptions of debt securities</t>
        </is>
      </c>
      <c r="B19" s="6" t="n">
        <v>115598</v>
      </c>
      <c r="C19" s="6" t="n">
        <v>371286</v>
      </c>
      <c r="D19" s="6" t="n">
        <v>112831</v>
      </c>
      <c r="E19" s="6" t="n">
        <v>336397</v>
      </c>
      <c r="F19" s="6" t="n">
        <v>156956</v>
      </c>
      <c r="G19" s="6" t="n">
        <v>408809</v>
      </c>
    </row>
    <row r="20">
      <c r="A20" s="6" t="inlineStr">
        <is>
          <t>Disposals of debt securities</t>
        </is>
      </c>
      <c r="B20" s="6" t="n"/>
      <c r="C20" s="6" t="n"/>
      <c r="D20" s="6" t="n"/>
      <c r="E20" s="6" t="n"/>
      <c r="F20" s="6" t="n">
        <v>0</v>
      </c>
      <c r="G20" s="6" t="n">
        <v>2163</v>
      </c>
    </row>
    <row r="21">
      <c r="A21" s="6" t="inlineStr">
        <is>
          <t>Net proceeds/(repayments) from repurchase agreements</t>
        </is>
      </c>
      <c r="B21" s="6" t="n">
        <v>-13852</v>
      </c>
      <c r="C21" s="6" t="n">
        <v>5000</v>
      </c>
      <c r="D21" s="6" t="n">
        <v>8852</v>
      </c>
      <c r="E21" s="6" t="n"/>
      <c r="F21" s="6" t="n">
        <v>-10142</v>
      </c>
      <c r="G21" s="6" t="n"/>
    </row>
    <row r="22">
      <c r="A22" s="6" t="inlineStr">
        <is>
          <t>Acquisition of intangible assets</t>
        </is>
      </c>
      <c r="B22" s="6" t="n">
        <v>-5150</v>
      </c>
      <c r="C22" s="6" t="n">
        <v>-4425</v>
      </c>
      <c r="D22" s="6" t="n">
        <v>-1657</v>
      </c>
      <c r="E22" s="6" t="n">
        <v>-3482</v>
      </c>
      <c r="F22" s="6" t="n">
        <v>-1194</v>
      </c>
      <c r="G22" s="6" t="n"/>
    </row>
    <row r="23">
      <c r="A23" s="6" t="inlineStr">
        <is>
          <t>Proceeds from subordinated debt</t>
        </is>
      </c>
      <c r="B23" s="6" t="n"/>
      <c r="C23" s="6" t="n">
        <v>15000</v>
      </c>
      <c r="D23" s="6" t="n"/>
      <c r="E23" s="6" t="n"/>
      <c r="F23" s="6" t="n"/>
      <c r="G23" s="6" t="n"/>
    </row>
    <row r="24">
      <c r="A24" s="6" t="inlineStr">
        <is>
          <t>Repayment of subordinated debt</t>
        </is>
      </c>
      <c r="B24" s="6" t="n"/>
      <c r="C24" s="6" t="n">
        <v>-10000</v>
      </c>
      <c r="D24" s="6" t="n"/>
      <c r="E24" s="6" t="n"/>
      <c r="F24" s="6" t="n"/>
      <c r="G24" s="6" t="n"/>
    </row>
    <row r="25">
      <c r="A25" s="5" t="inlineStr">
        <is>
          <t>Net cash generated from/(used in) investing activities</t>
        </is>
      </c>
      <c r="B25" s="5" t="n">
        <v>-60368</v>
      </c>
      <c r="C25" s="5" t="n">
        <v>122750</v>
      </c>
      <c r="D25" s="5" t="n">
        <v>31896</v>
      </c>
      <c r="E25" s="5" t="n">
        <v>104079</v>
      </c>
      <c r="F25" s="5" t="n">
        <v>-148048</v>
      </c>
      <c r="G25" s="5" t="n">
        <v>-103448</v>
      </c>
    </row>
    <row r="26">
      <c r="A26" s="5" t="inlineStr">
        <is>
          <t>Cash flows from financing activities</t>
        </is>
      </c>
      <c r="B26" s="6" t="n"/>
      <c r="C26" s="6" t="n"/>
      <c r="D26" s="6" t="n"/>
      <c r="E26" s="6" t="n"/>
      <c r="F26" s="6" t="n"/>
      <c r="G26" s="6" t="n"/>
    </row>
    <row r="27">
      <c r="A27" s="6" t="inlineStr">
        <is>
          <t>Costs of redemption of additional tier 1 securities and exchange for ordinary share capital</t>
        </is>
      </c>
      <c r="B27" s="6" t="n"/>
      <c r="C27" s="6" t="n"/>
      <c r="D27" s="6" t="n">
        <v>-31</v>
      </c>
      <c r="E27" s="6" t="n"/>
      <c r="F27" s="6" t="n"/>
      <c r="G27" s="6" t="n"/>
    </row>
    <row r="28">
      <c r="A28" s="6" t="inlineStr">
        <is>
          <t>Charitable donations paid</t>
        </is>
      </c>
      <c r="B28" s="6" t="n"/>
      <c r="C28" s="6" t="n"/>
      <c r="D28" s="6" t="n"/>
      <c r="E28" s="6" t="n"/>
      <c r="F28" s="6" t="n">
        <v>-297</v>
      </c>
      <c r="G28" s="6" t="n">
        <v>-4908</v>
      </c>
    </row>
    <row r="29">
      <c r="A29" s="6" t="inlineStr">
        <is>
          <t>AT1 dividend paid</t>
        </is>
      </c>
      <c r="B29" s="6" t="n"/>
      <c r="C29" s="6" t="n"/>
      <c r="D29" s="6" t="n"/>
      <c r="E29" s="6" t="n"/>
      <c r="F29" s="6" t="n">
        <v>-1126</v>
      </c>
      <c r="G29" s="6" t="n">
        <v>-858</v>
      </c>
    </row>
    <row r="30">
      <c r="A30" s="5" t="inlineStr">
        <is>
          <t>Net cash used in financing activities</t>
        </is>
      </c>
      <c r="B30" s="5" t="n">
        <v>0</v>
      </c>
      <c r="C30" s="5" t="n">
        <v>0</v>
      </c>
      <c r="D30" s="5" t="n">
        <v>-31</v>
      </c>
      <c r="E30" s="5" t="n">
        <v>0</v>
      </c>
      <c r="F30" s="5" t="n">
        <v>-1423</v>
      </c>
      <c r="G30" s="5" t="n">
        <v>-5766</v>
      </c>
    </row>
    <row r="31">
      <c r="A31" s="5" t="inlineStr">
        <is>
          <t>Change in cash and cash equivalents in the year</t>
        </is>
      </c>
      <c r="B31" s="5" t="n">
        <v>-39639</v>
      </c>
      <c r="C31" s="5" t="n">
        <v>31514</v>
      </c>
      <c r="D31" s="5" t="n">
        <v>16199</v>
      </c>
      <c r="E31" s="5" t="n">
        <v>183453</v>
      </c>
      <c r="F31" s="5" t="n">
        <v>90980</v>
      </c>
      <c r="G31" s="5" t="n">
        <v>6435</v>
      </c>
    </row>
    <row r="32">
      <c r="A32" s="6" t="inlineStr">
        <is>
          <t>Cash and cash equivalents at beginning of year</t>
        </is>
      </c>
      <c r="B32" s="6" t="n">
        <v>654524</v>
      </c>
      <c r="C32" s="6" t="n">
        <v>623010</v>
      </c>
      <c r="D32" s="6" t="n">
        <v>606811</v>
      </c>
      <c r="E32" s="6" t="n">
        <v>423358</v>
      </c>
      <c r="F32" s="6" t="n">
        <v>332378</v>
      </c>
      <c r="G32" s="6" t="n">
        <v>325943</v>
      </c>
    </row>
    <row r="33">
      <c r="A33" s="5" t="inlineStr">
        <is>
          <t>Cash and cash equivalents at end of year</t>
        </is>
      </c>
      <c r="B33" s="5" t="n">
        <v>614885</v>
      </c>
      <c r="C33" s="5" t="n">
        <v>654524</v>
      </c>
      <c r="D33" s="5" t="n">
        <v>623010</v>
      </c>
      <c r="E33" s="5" t="n">
        <v>606811</v>
      </c>
      <c r="F33" s="5" t="n">
        <v>423358</v>
      </c>
      <c r="G33" s="5" t="n">
        <v>332378</v>
      </c>
    </row>
    <row r="34">
      <c r="A34" s="5" t="inlineStr">
        <is>
          <t>Represented by:</t>
        </is>
      </c>
      <c r="B34" s="6" t="n"/>
      <c r="C34" s="6" t="n"/>
      <c r="D34" s="6" t="n"/>
      <c r="E34" s="6" t="n"/>
      <c r="F34" s="6" t="n"/>
      <c r="G34" s="6" t="n"/>
    </row>
    <row r="35">
      <c r="A35" s="6" t="inlineStr">
        <is>
          <t>Balances at Bank of England repayable on demand</t>
        </is>
      </c>
      <c r="B35" s="6" t="n">
        <v>610671</v>
      </c>
      <c r="C35" s="6" t="n">
        <v>630526</v>
      </c>
      <c r="D35" s="6" t="n">
        <v>616894</v>
      </c>
      <c r="E35" s="6" t="n">
        <v>599340</v>
      </c>
      <c r="F35" s="6" t="n">
        <v>415461</v>
      </c>
      <c r="G35" s="6" t="n">
        <v>326105</v>
      </c>
    </row>
    <row r="36">
      <c r="A36" s="6" t="inlineStr">
        <is>
          <t>Loans and advances to banks repayable on demand</t>
        </is>
      </c>
      <c r="B36" s="6" t="n">
        <v>4214</v>
      </c>
      <c r="C36" s="6" t="n">
        <v>23998</v>
      </c>
      <c r="D36" s="6" t="n">
        <v>6116</v>
      </c>
      <c r="E36" s="6" t="n">
        <v>7471</v>
      </c>
      <c r="F36" s="6" t="n">
        <v>7897</v>
      </c>
      <c r="G36" s="6" t="n">
        <v>6273</v>
      </c>
    </row>
    <row r="38" ht="320" customHeight="1">
      <c r="A38"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FY2020: Full accounts made up to 30 April 2020 (filed 10 Sep 2020), Cash Flow Statement (p.36)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t>
        </is>
      </c>
    </row>
  </sheetData>
  <mergeCells count="1">
    <mergeCell ref="A38:G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Asset Quality</t>
        </is>
      </c>
    </row>
    <row r="2">
      <c r="A2" s="2" t="inlineStr">
        <is>
          <t>CAF Bank Limited's own basis, £'000. FRS 102 incurred-loss bank (not IFRS 9) - individual/collective split disclosed FY2020/FY2021/FY2024/FY2025; FY2022/FY2023 only an aggregate was sourced.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 book</t>
        </is>
      </c>
      <c r="B4" s="6" t="n"/>
      <c r="C4" s="6" t="n"/>
      <c r="D4" s="6" t="n"/>
      <c r="E4" s="6" t="n"/>
      <c r="F4" s="6" t="n"/>
      <c r="G4" s="6" t="n"/>
    </row>
    <row r="5">
      <c r="A5" s="6" t="inlineStr">
        <is>
          <t>Loans and advances to customers, net</t>
        </is>
      </c>
      <c r="B5" s="6" t="n">
        <v>219101</v>
      </c>
      <c r="C5" s="6" t="n">
        <v>197701</v>
      </c>
      <c r="D5" s="6" t="n">
        <v>177734</v>
      </c>
      <c r="E5" s="6" t="n">
        <v>160407</v>
      </c>
      <c r="F5" s="6" t="n">
        <v>124506</v>
      </c>
      <c r="G5" s="6" t="n">
        <v>103625</v>
      </c>
    </row>
    <row r="6">
      <c r="A6" s="5" t="inlineStr">
        <is>
          <t>Loan loss provision (FRS 102 - no IFRS 9 stage split)</t>
        </is>
      </c>
      <c r="B6" s="6" t="n"/>
      <c r="C6" s="6" t="n"/>
      <c r="D6" s="6" t="n"/>
      <c r="E6" s="6" t="n"/>
      <c r="F6" s="6" t="n"/>
      <c r="G6" s="6" t="n"/>
    </row>
    <row r="7">
      <c r="A7" s="6" t="inlineStr">
        <is>
          <t>Individual impairment provision, closing balance</t>
        </is>
      </c>
      <c r="B7" s="6" t="n">
        <v>-1021</v>
      </c>
      <c r="C7" s="6" t="n">
        <v>-552</v>
      </c>
      <c r="D7" s="6" t="n"/>
      <c r="E7" s="6" t="n"/>
      <c r="F7" s="6" t="n">
        <v>-1376</v>
      </c>
      <c r="G7" s="6" t="n">
        <v>-938</v>
      </c>
    </row>
    <row r="8">
      <c r="A8" s="6" t="inlineStr">
        <is>
          <t>Collective impairment provision, closing balance</t>
        </is>
      </c>
      <c r="B8" s="6" t="n">
        <v>-1162</v>
      </c>
      <c r="C8" s="6" t="n">
        <v>-1815</v>
      </c>
      <c r="D8" s="6" t="n"/>
      <c r="E8" s="6" t="n"/>
      <c r="F8" s="6" t="n">
        <v>-802</v>
      </c>
      <c r="G8" s="6" t="n">
        <v>-707</v>
      </c>
    </row>
    <row r="9">
      <c r="A9" s="5" t="inlineStr">
        <is>
          <t>Total loan loss provision, closing balance</t>
        </is>
      </c>
      <c r="B9" s="5" t="n">
        <v>-2183</v>
      </c>
      <c r="C9" s="5" t="n">
        <v>-2367</v>
      </c>
      <c r="D9" s="5" t="n">
        <v>-1651</v>
      </c>
      <c r="E9" s="5" t="n">
        <v>-1078</v>
      </c>
      <c r="F9" s="5" t="n">
        <v>-2178</v>
      </c>
      <c r="G9" s="5" t="n">
        <v>-1645</v>
      </c>
    </row>
    <row r="10">
      <c r="A10" s="6" t="inlineStr">
        <is>
          <t>Loan loss provision credit/(charge) for the year</t>
        </is>
      </c>
      <c r="B10" s="6" t="n">
        <v>184</v>
      </c>
      <c r="C10" s="6" t="n">
        <v>-716</v>
      </c>
      <c r="D10" s="6" t="n">
        <v>-573</v>
      </c>
      <c r="E10" s="6" t="n">
        <v>1100</v>
      </c>
      <c r="F10" s="6" t="n">
        <v>-533</v>
      </c>
      <c r="G10" s="6" t="n">
        <v>-1200</v>
      </c>
    </row>
    <row r="12" ht="260" customHeight="1">
      <c r="A12" s="8" t="inlineStr">
        <is>
          <t>Sources - CAF Bank Limited's own Notes to the Financial Statements (Note 10, Loans and advances to customers, p.43 of https://find-and-update.company-information.service.gov.uk/company/01837656/filing-history/MzMxMTMwNTcwNWFkaXF6a2N4/document?format=pdf&amp;download=0 for FY2021's individual/collective impairment tables; p.43 of https://find-and-update.company-information.service.gov.uk/company/01837656/filing-history/MzI3NzEzMDk0OWFkaXF6a2N4/document?format=pdf&amp;download=0 for FY2020's own equivalent table), same filings as STATEMENTS_SOURCES above.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
DISCLOSURE GRANULARITY NOTE: this is an FRS 102 bank (not IFRS 9), so there is no Stage 1/2/3 split - only an individual/collective impairment provision split. FY2021's own filing (Note 10, p.43) does in fact disclose this split (Individual impairments provision closing balance £(1,376)k, Collective impairments provision closing balance £(802)k, summing to the £(2,178)k aggregate) - found on a follow-up pass after an earlier build initially left FY2021 blank, having assumed (without having actually located the note) that the split was only disclosed from FY2024 onward. FY2022/FY2023 were not re-checked in this follow-up pass for a similar split (their columns above still show the single aggregate figure only, £(1,078)k/£(1,651)k, as originally sourced) - worth a similar check if those years are revisited. FY2020's own filing (Note 10, p.43) also discloses the split directly (Individual impairments provision closing balance £(938)k, Collective impairments provision closing balance £(707)k, summing to £(1,645)k) - and independently ties to the Profit and Loss Account's own £(1,200)k loan loss provision charge for the year (£938k newly individually provided + £262k collective movement = £1,200k), a cross-check performed before transcribing.</t>
        </is>
      </c>
    </row>
  </sheetData>
  <mergeCells count="1">
    <mergeCell ref="A12:G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inlineStr">
        <is>
          <t>Not publicly disclosed</t>
        </is>
      </c>
      <c r="C4" s="6" t="n">
        <v>54342</v>
      </c>
      <c r="D4" s="6" t="n">
        <v>45140</v>
      </c>
      <c r="E4" s="6" t="n">
        <v>27253</v>
      </c>
      <c r="F4" s="6" t="n">
        <v>29095</v>
      </c>
      <c r="G4" s="6" t="n">
        <v>30350</v>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Not publicly disclosed</t>
        </is>
      </c>
      <c r="C4" s="6" t="inlineStr">
        <is>
          <t>29.35%</t>
        </is>
      </c>
      <c r="D4" s="6" t="inlineStr">
        <is>
          <t>30.8%</t>
        </is>
      </c>
      <c r="E4" s="6" t="inlineStr">
        <is>
          <t>21.9%</t>
        </is>
      </c>
      <c r="F4" s="6" t="inlineStr">
        <is>
          <t>22.8%</t>
        </is>
      </c>
      <c r="G4" s="6" t="inlineStr">
        <is>
          <t>20.6%</t>
        </is>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inlineStr">
        <is>
          <t>Not publicly disclosed</t>
        </is>
      </c>
      <c r="C4" s="6" t="n">
        <v>54342</v>
      </c>
      <c r="D4" s="6" t="n">
        <v>45140</v>
      </c>
      <c r="E4" s="6" t="n">
        <v>38253</v>
      </c>
      <c r="F4" s="6" t="n">
        <v>40095</v>
      </c>
      <c r="G4" s="6" t="n">
        <v>41350</v>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 Equal to CET1 capital from FY2023 onward - CAF Bank's Additional Tier 1 securities were fully redeemed during FY2023 (see Statement of Changes in Equity); FY2020/FY2021/FY2022 include the AT1 instrument.</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Not publicly disclosed</t>
        </is>
      </c>
      <c r="C4" s="6" t="inlineStr">
        <is>
          <t>29.35%</t>
        </is>
      </c>
      <c r="D4" s="6" t="inlineStr">
        <is>
          <t>30.8%</t>
        </is>
      </c>
      <c r="E4" s="6" t="inlineStr">
        <is>
          <t>30.8%</t>
        </is>
      </c>
      <c r="F4" s="6" t="inlineStr">
        <is>
          <t>31.4%</t>
        </is>
      </c>
      <c r="G4" s="6" t="inlineStr">
        <is>
          <t>28.0%</t>
        </is>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inlineStr">
        <is>
          <t>Not publicly disclosed</t>
        </is>
      </c>
      <c r="C4" s="6" t="n">
        <v>56157</v>
      </c>
      <c r="D4" s="6" t="n">
        <v>45140</v>
      </c>
      <c r="E4" s="6" t="n">
        <v>38253</v>
      </c>
      <c r="F4" s="6" t="n">
        <v>40095</v>
      </c>
      <c r="G4" s="6" t="n">
        <v>41350</v>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 FY2024 is the only year with Tier 2 capital (£1,815k) - equal to Tier 1 capital in every other year shown.</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29.7%</t>
        </is>
      </c>
      <c r="C4" s="6" t="inlineStr">
        <is>
          <t>30.33%</t>
        </is>
      </c>
      <c r="D4" s="6" t="inlineStr">
        <is>
          <t>30.8%</t>
        </is>
      </c>
      <c r="E4" s="6" t="inlineStr">
        <is>
          <t>30.8%</t>
        </is>
      </c>
      <c r="F4" s="6" t="inlineStr">
        <is>
          <t>31.4%</t>
        </is>
      </c>
      <c r="G4" s="6" t="inlineStr">
        <is>
          <t>28.0%</t>
        </is>
      </c>
    </row>
    <row r="5" ht="60" customHeight="1">
      <c r="A5" s="7" t="inlineStr">
        <is>
          <t>Note: FY2025 is the only ratio sourced from the Annual Report's own Strategic Report (no standalone Pillar 3 document exists for FY2025) - see PILLAR3_SOURCES.</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inlineStr">
        <is>
          <t>Not publicly disclosed</t>
        </is>
      </c>
      <c r="C4" s="6" t="n">
        <v>185123</v>
      </c>
      <c r="D4" s="6" t="n">
        <v>146334</v>
      </c>
      <c r="E4" s="6" t="n">
        <v>124243</v>
      </c>
      <c r="F4" s="6" t="n">
        <v>127881</v>
      </c>
      <c r="G4" s="6" t="n">
        <v>147540</v>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 FY2021's own document states £127,881k; a later document's FY2021 comparative shows a immaterially different £127,844k - FY2021's own originally-published figure is used here, per this project's standard convention (see PILLAR3_SOURCES restatement note). FY2020's own document (£147,540k) ties exactly to FY2021's own FY2020 comparative column - no restatement at that boundary.</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RWA Breakdown</t>
        </is>
      </c>
    </row>
    <row r="2">
      <c r="A2" s="2" t="inlineStr">
        <is>
          <t>£'000, solo basis. FY2025 not disclosed (no standalone Pillar 3 document - SDDT-exempt).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RWA by risk category</t>
        </is>
      </c>
      <c r="B4" s="6" t="n"/>
      <c r="C4" s="6" t="n"/>
      <c r="D4" s="6" t="n"/>
      <c r="E4" s="6" t="n"/>
      <c r="F4" s="6" t="n"/>
      <c r="G4" s="6" t="n"/>
    </row>
    <row r="5">
      <c r="A5" s="6" t="inlineStr">
        <is>
          <t>Credit risk (incl. counterparty credit risk, FY2020-FY2021 only)</t>
        </is>
      </c>
      <c r="B5" s="6" t="inlineStr">
        <is>
          <t>Not publicly disclosed</t>
        </is>
      </c>
      <c r="C5" s="6" t="n"/>
      <c r="D5" s="6" t="n"/>
      <c r="E5" s="6" t="n"/>
      <c r="F5" s="6" t="n">
        <v>105880</v>
      </c>
      <c r="G5" s="6" t="n">
        <v>125890</v>
      </c>
    </row>
    <row r="6">
      <c r="A6" s="6" t="inlineStr">
        <is>
          <t>Credit risk and counterparty credit risk</t>
        </is>
      </c>
      <c r="B6" s="6" t="inlineStr">
        <is>
          <t>Not publicly disclosed</t>
        </is>
      </c>
      <c r="C6" s="6" t="n">
        <v>129538</v>
      </c>
      <c r="D6" s="6" t="n">
        <v>112829</v>
      </c>
      <c r="E6" s="6" t="n">
        <v>102044</v>
      </c>
      <c r="F6" s="6" t="n"/>
      <c r="G6" s="6" t="n"/>
    </row>
    <row r="7">
      <c r="A7" s="6" t="inlineStr">
        <is>
          <t>Operational risk</t>
        </is>
      </c>
      <c r="B7" s="6" t="inlineStr">
        <is>
          <t>Not publicly disclosed</t>
        </is>
      </c>
      <c r="C7" s="6" t="n">
        <v>55585</v>
      </c>
      <c r="D7" s="6" t="n">
        <v>33505</v>
      </c>
      <c r="E7" s="6" t="n">
        <v>22199</v>
      </c>
      <c r="F7" s="6" t="n">
        <v>22001</v>
      </c>
      <c r="G7" s="6" t="n">
        <v>21650</v>
      </c>
    </row>
    <row r="8">
      <c r="A8" s="5" t="inlineStr">
        <is>
          <t>Total</t>
        </is>
      </c>
      <c r="B8" s="5" t="inlineStr">
        <is>
          <t>Not publicly disclosed</t>
        </is>
      </c>
      <c r="C8" s="5" t="n">
        <v>185123</v>
      </c>
      <c r="D8" s="5" t="n">
        <v>146334</v>
      </c>
      <c r="E8" s="5" t="n">
        <v>124243</v>
      </c>
      <c r="F8" s="5" t="n">
        <v>127881</v>
      </c>
      <c r="G8" s="5" t="n">
        <v>147540</v>
      </c>
    </row>
    <row r="10" ht="320" customHeight="1">
      <c r="A10"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
FY2020-FY2021's pre-KM1/OV1 category table combines credit and counterparty credit risk into a single 'Credit risk' line, unlike FY2022 onward's OV1 template which keeps them combined too under a single 'Credit risk and counterparty credit risk' row - both eras' rows are kept exactly as each document itself presents them, not force-aligned into one label.</t>
        </is>
      </c>
    </row>
  </sheetData>
  <mergeCells count="1">
    <mergeCell ref="A10:G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 excluding claims on central banks</t>
        </is>
      </c>
      <c r="B4" s="6" t="inlineStr">
        <is>
          <t>6.35%</t>
        </is>
      </c>
      <c r="C4" s="6" t="inlineStr">
        <is>
          <t>6.05%</t>
        </is>
      </c>
      <c r="D4" s="6" t="inlineStr">
        <is>
          <t>4.64%</t>
        </is>
      </c>
      <c r="E4" s="6" t="inlineStr">
        <is>
          <t>3.97%</t>
        </is>
      </c>
      <c r="F4" s="6" t="inlineStr">
        <is>
          <t>3.81%</t>
        </is>
      </c>
      <c r="G4" s="6" t="inlineStr">
        <is>
          <t>4.62%</t>
        </is>
      </c>
    </row>
    <row r="5">
      <c r="A5" s="6" t="inlineStr">
        <is>
          <t>Leverage ratio, including claims on central banks</t>
        </is>
      </c>
      <c r="B5" s="6" t="inlineStr">
        <is>
          <t>Not publicly disclosed</t>
        </is>
      </c>
      <c r="C5" s="6" t="inlineStr">
        <is>
          <t>Not publicly disclosed</t>
        </is>
      </c>
      <c r="D5" s="6" t="inlineStr">
        <is>
          <t>2.83%</t>
        </is>
      </c>
      <c r="E5" s="6" t="inlineStr">
        <is>
          <t>2.44%</t>
        </is>
      </c>
      <c r="F5" s="6" t="inlineStr">
        <is>
          <t>2.72%</t>
        </is>
      </c>
      <c r="G5" s="6" t="inlineStr">
        <is>
          <t>3.35%</t>
        </is>
      </c>
    </row>
    <row r="6" ht="60" customHeight="1">
      <c r="A6" s="7" t="inlineStr">
        <is>
          <t>Note: FY2025 sourced from the Annual Report's Strategic Report (no standalone Pillar 3 document - SDDT-exempt); its 6.35% figure reconciles exactly against FY2024's own 6.05% 'excluding central banks' comparative quoted in the same Annual Report passage. FY2024's own Pillar 3 document discloses only the 'excluding' basis (the 'including central banks' exposure measure is given with no accompanying %, a genuine reduction in disclosure granularity vs. FY2021-2023) - FY2024/FY2025 'including central banks' left blank rather than calculated. FY2021's own document states 2.72%; a later document's FY2021 comparative shows an immaterially different 2.74% - FY2021's own originally-published figure is used here. FY2020's own document (4.62%/3.35%) ties exactly to FY2021's own FY2020 comparative column - no restatement at that boundary, unlike the FY2021-to-FY2022 gap.</t>
        </is>
      </c>
    </row>
    <row r="8" ht="320" customHeight="1">
      <c r="A8"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8:G8"/>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High-quality liquid assets (weighted, average)</t>
        </is>
      </c>
      <c r="B4" s="6" t="inlineStr">
        <is>
          <t>Not publicly disclosed</t>
        </is>
      </c>
      <c r="C4" s="6" t="n">
        <v>1150942</v>
      </c>
      <c r="D4" s="6" t="n">
        <v>1244786</v>
      </c>
      <c r="E4" s="6" t="n">
        <v>1255456</v>
      </c>
      <c r="F4" s="6" t="inlineStr">
        <is>
          <t>Not publicly disclosed</t>
        </is>
      </c>
      <c r="G4" s="6" t="inlineStr">
        <is>
          <t>Not publicly disclosed</t>
        </is>
      </c>
    </row>
    <row r="5">
      <c r="A5" s="6" t="inlineStr">
        <is>
          <t>Net cash outflows (adjusted)</t>
        </is>
      </c>
      <c r="B5" s="6" t="inlineStr">
        <is>
          <t>Not publicly disclosed</t>
        </is>
      </c>
      <c r="C5" s="6" t="n">
        <v>447586</v>
      </c>
      <c r="D5" s="6" t="n">
        <v>478804</v>
      </c>
      <c r="E5" s="6" t="n">
        <v>476184</v>
      </c>
      <c r="F5" s="6" t="inlineStr">
        <is>
          <t>Not publicly disclosed</t>
        </is>
      </c>
      <c r="G5" s="6" t="inlineStr">
        <is>
          <t>Not publicly disclosed</t>
        </is>
      </c>
    </row>
    <row r="6">
      <c r="A6" s="6" t="inlineStr">
        <is>
          <t>Liquidity Coverage Ratio (%)</t>
        </is>
      </c>
      <c r="B6" s="6" t="inlineStr">
        <is>
          <t>543%</t>
        </is>
      </c>
      <c r="C6" s="6" t="inlineStr">
        <is>
          <t>257%</t>
        </is>
      </c>
      <c r="D6" s="6" t="inlineStr">
        <is>
          <t>260%</t>
        </is>
      </c>
      <c r="E6" s="6" t="inlineStr">
        <is>
          <t>264%</t>
        </is>
      </c>
      <c r="F6" s="6" t="inlineStr">
        <is>
          <t>Not publicly disclosed</t>
        </is>
      </c>
      <c r="G6" s="6" t="inlineStr">
        <is>
          <t>Not publicly disclosed</t>
        </is>
      </c>
    </row>
    <row r="7" ht="60" customHeight="1">
      <c r="A7" s="7" t="inlineStr">
        <is>
          <t>Note: FY2025's 543% is sourced from the Annual Report's Strategic Report (no standalone Pillar 3 document - SDDT-exempt); its own comparator ties exactly to FY2024's Pillar 3 KM1 figure. FY2020 and FY2021 are both 'Not publicly disclosed' - both years' own Pillar 3 documents predate the LIQ1/KM1 templates that introduced LCR reporting, so no LCR figure was ever published for either year in its own document (a later document's FY2021 comparative of 268% exists, but per this project's convention of using each year's own originally-published figure, it is not back-filled here); confirmed for FY2020 by a full 27-page read of its own Pillar 3 document, not assumed from the FY2021 pattern.</t>
        </is>
      </c>
    </row>
    <row r="9" ht="320" customHeight="1">
      <c r="A9"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Available stable funding</t>
        </is>
      </c>
      <c r="B4" s="6" t="inlineStr">
        <is>
          <t>Not publicly disclosed</t>
        </is>
      </c>
      <c r="C4" s="6" t="n">
        <v>1377360</v>
      </c>
      <c r="D4" s="6" t="n">
        <v>1429893</v>
      </c>
      <c r="E4" s="6" t="n">
        <v>1426183</v>
      </c>
      <c r="F4" s="6" t="inlineStr">
        <is>
          <t>Not applicable</t>
        </is>
      </c>
      <c r="G4" s="6" t="inlineStr">
        <is>
          <t>Not applicable</t>
        </is>
      </c>
    </row>
    <row r="5">
      <c r="A5" s="6" t="inlineStr">
        <is>
          <t>Required stable funding</t>
        </is>
      </c>
      <c r="B5" s="6" t="inlineStr">
        <is>
          <t>Not publicly disclosed</t>
        </is>
      </c>
      <c r="C5" s="6" t="n">
        <v>272188</v>
      </c>
      <c r="D5" s="6" t="n">
        <v>154418</v>
      </c>
      <c r="E5" s="6" t="n">
        <v>177361</v>
      </c>
      <c r="F5" s="6" t="inlineStr">
        <is>
          <t>Not applicable</t>
        </is>
      </c>
      <c r="G5" s="6" t="inlineStr">
        <is>
          <t>Not applicable</t>
        </is>
      </c>
    </row>
    <row r="6">
      <c r="A6" s="6" t="inlineStr">
        <is>
          <t>Net Stable Funding Ratio (%)</t>
        </is>
      </c>
      <c r="B6" s="6" t="inlineStr">
        <is>
          <t>Not publicly disclosed</t>
        </is>
      </c>
      <c r="C6" s="6" t="inlineStr">
        <is>
          <t>506%</t>
        </is>
      </c>
      <c r="D6" s="6" t="inlineStr">
        <is>
          <t>926%</t>
        </is>
      </c>
      <c r="E6" s="6" t="inlineStr">
        <is>
          <t>804%</t>
        </is>
      </c>
      <c r="F6" s="6" t="inlineStr">
        <is>
          <t>Not applicable</t>
        </is>
      </c>
      <c r="G6" s="6" t="inlineStr">
        <is>
          <t>Not applicable</t>
        </is>
      </c>
    </row>
    <row r="7" ht="60" customHeight="1">
      <c r="A7" s="7" t="inlineStr">
        <is>
          <t>Note: THREE MISSING YEARS, TWO DIFFERENT REASONS, LABELLED DIFFERENTLY ON PURPOSE (split 2026-09-15; all three previously sat blank and were described together as 'not disclosed', which conflated a regulatory boundary with a publication gap).
FY2021 and FY2020 read 'Not applicable'. The UK Net Stable Funding Ratio requirement took effect only on 1 January 2022, under PRA PS17/21. CAF Bank's year-end is 30 April, so FY2021 ended 30 April 2021 and FY2020 ended 30 April 2020 - both comfortably before the requirement existed. There was no NSFR for the Bank to disclose at either date, which is why both years' own Pillar 3 documents predate the KM1 template that carries the NSFR rows at all. This is a structural absence, not a failure to publish, and it should never be re-chased. (FY2022 ended 30 April 2022, after the requirement began, and CAF did disclose 804% for it - which confirms the boundary falls exactly where stated.)
FY2025 reads 'Not publicly disclosed' - a different and weaker finding. No standalone FY2025 Pillar 3 document exists, and unlike the three ratios CAF does put in its FY2025 Strategic Report (Total Capital Ratio, Leverage Ratio, LCR), NSFR is not mentioned there either; a full-document OCR search of the 51-page Annual Report for 'NSFR' and 'net stable' returns no hits. Not labelled as an SDDT exemption - see FY2025_NO_STANDALONE_NOTE and the SDDT DATE TEST for why that remains undetermined.</t>
        </is>
      </c>
    </row>
    <row r="9" ht="320" customHeight="1">
      <c r="A9"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Not publicly disclosed by CAF Bank Limited in any year FY2020-FY2025 - not in any standalone Pillar 3 document, nor in any Annual Report. CAF Bank is not a UK resolution entity.</t>
        </is>
      </c>
    </row>
    <row r="7" ht="15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2026-09-15T19:27:55Z</dcterms:created>
  <dcterms:modified xmlns:dcterms="http://purl.org/dc/terms/" xmlns:xsi="http://www.w3.org/2001/XMLSchema-instance" xsi:type="dcterms:W3CDTF">2026-09-15T19:27:55Z</dcterms:modified>
</cp:coreProperties>
</file>