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 xmlns:r="http://schemas.openxmlformats.org/officeDocument/2006/relationships" name="Interim Pillar 3" sheetId="20" state="visible" r:id="rId2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3"/>
    </font>
    <font>
      <i val="1"/>
      <color rgb="00666666"/>
      <sz val="9"/>
    </font>
    <font>
      <b val="1"/>
      <color rgb="00FFFFFF"/>
    </font>
    <font>
      <b val="1"/>
    </font>
    <font>
      <i val="1"/>
      <color rgb="00444444"/>
      <sz val="9"/>
    </font>
    <font>
      <name val="Calibri"/>
      <family val="2"/>
      <color theme="10"/>
      <sz val="12"/>
      <scheme val="minor"/>
    </font>
  </fonts>
  <fills count="3">
    <fill>
      <patternFill/>
    </fill>
    <fill>
      <patternFill patternType="gray125"/>
    </fill>
    <fill>
      <patternFill patternType="solid">
        <fgColor rgb="00264653"/>
        <bgColor rgb="00264653"/>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2">
    <xf numFmtId="0" fontId="0" fillId="0" borderId="0"/>
    <xf numFmtId="0" fontId="6"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Paragon Bank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'Overview'!M6</f>
            </strRef>
          </tx>
          <spPr>
            <a:ln xmlns:a="http://schemas.openxmlformats.org/drawingml/2006/main">
              <a:prstDash val="solid"/>
            </a:ln>
          </spPr>
          <cat>
            <numRef>
              <f>'Overview'!$N$5:$V$5</f>
            </numRef>
          </cat>
          <val>
            <numRef>
              <f>'Overview'!$N$6:$V$6</f>
            </numRef>
          </val>
        </ser>
        <ser>
          <idx val="1"/>
          <order val="1"/>
          <tx>
            <strRef>
              <f>'Overview'!M7</f>
            </strRef>
          </tx>
          <spPr>
            <a:ln xmlns:a="http://schemas.openxmlformats.org/drawingml/2006/main">
              <a:prstDash val="solid"/>
            </a:ln>
          </spPr>
          <cat>
            <numRef>
              <f>'Overview'!$N$5:$V$5</f>
            </numRef>
          </cat>
          <val>
            <numRef>
              <f>'Overview'!$N$7:$V$7</f>
            </numRef>
          </val>
        </ser>
        <ser>
          <idx val="2"/>
          <order val="2"/>
          <tx>
            <strRef>
              <f>'Overview'!M8</f>
            </strRef>
          </tx>
          <spPr>
            <a:ln xmlns:a="http://schemas.openxmlformats.org/drawingml/2006/main">
              <a:prstDash val="solid"/>
            </a:ln>
          </spPr>
          <cat>
            <numRef>
              <f>'Overview'!$N$5:$V$5</f>
            </numRef>
          </cat>
          <val>
            <numRef>
              <f>'Overview'!$N$8:$V$8</f>
            </numRef>
          </val>
        </ser>
        <ser>
          <idx val="3"/>
          <order val="3"/>
          <tx>
            <strRef>
              <f>'Overview'!M9</f>
            </strRef>
          </tx>
          <spPr>
            <a:ln xmlns:a="http://schemas.openxmlformats.org/drawingml/2006/main">
              <a:prstDash val="solid"/>
            </a:ln>
          </spPr>
          <cat>
            <numRef>
              <f>'Overview'!$N$5:$V$5</f>
            </numRef>
          </cat>
          <val>
            <numRef>
              <f>'Overview'!$N$9:$V$9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Paragon Bank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'Overview'!Y13</f>
            </strRef>
          </tx>
          <spPr>
            <a:ln xmlns:a="http://schemas.openxmlformats.org/drawingml/2006/main">
              <a:prstDash val="solid"/>
            </a:ln>
          </spPr>
          <cat>
            <numRef>
              <f>'Overview'!$Z$12:$AH$12</f>
            </numRef>
          </cat>
          <val>
            <numRef>
              <f>'Overview'!$Z$13:$AH$13</f>
            </numRef>
          </val>
        </ser>
        <ser>
          <idx val="1"/>
          <order val="1"/>
          <tx>
            <strRef>
              <f>'Overview'!Y14</f>
            </strRef>
          </tx>
          <spPr>
            <a:ln xmlns:a="http://schemas.openxmlformats.org/drawingml/2006/main">
              <a:prstDash val="solid"/>
            </a:ln>
          </spPr>
          <cat>
            <numRef>
              <f>'Overview'!$Z$12:$AH$12</f>
            </numRef>
          </cat>
          <val>
            <numRef>
              <f>'Overview'!$Z$14:$AH$14</f>
            </numRef>
          </val>
        </ser>
        <ser>
          <idx val="2"/>
          <order val="2"/>
          <tx>
            <strRef>
              <f>'Overview'!Y15</f>
            </strRef>
          </tx>
          <spPr>
            <a:ln xmlns:a="http://schemas.openxmlformats.org/drawingml/2006/main">
              <a:prstDash val="solid"/>
            </a:ln>
          </spPr>
          <cat>
            <numRef>
              <f>'Overview'!$Z$12:$AH$12</f>
            </numRef>
          </cat>
          <val>
            <numRef>
              <f>'Overview'!$Z$15:$AH$15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Paragon Bank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'Overview'!AK19</f>
            </strRef>
          </tx>
          <spPr>
            <a:ln xmlns:a="http://schemas.openxmlformats.org/drawingml/2006/main">
              <a:prstDash val="solid"/>
            </a:ln>
          </spPr>
          <cat>
            <numRef>
              <f>'Overview'!$AL$18:$AP$18</f>
            </numRef>
          </cat>
          <val>
            <numRef>
              <f>'Overview'!$AL$19:$AP$19</f>
            </numRef>
          </val>
        </ser>
        <ser>
          <idx val="1"/>
          <order val="1"/>
          <tx>
            <strRef>
              <f>'Overview'!AK20</f>
            </strRef>
          </tx>
          <spPr>
            <a:ln xmlns:a="http://schemas.openxmlformats.org/drawingml/2006/main">
              <a:prstDash val="solid"/>
            </a:ln>
          </spPr>
          <cat>
            <numRef>
              <f>'Overview'!$AL$18:$AP$18</f>
            </numRef>
          </cat>
          <val>
            <numRef>
              <f>'Overview'!$AL$20:$AP$20</f>
            </numRef>
          </val>
        </ser>
        <ser>
          <idx val="2"/>
          <order val="2"/>
          <tx>
            <strRef>
              <f>'Overview'!AK21</f>
            </strRef>
          </tx>
          <spPr>
            <a:ln xmlns:a="http://schemas.openxmlformats.org/drawingml/2006/main">
              <a:prstDash val="solid"/>
            </a:ln>
          </spPr>
          <cat>
            <numRef>
              <f>'Overview'!$AL$18:$AP$18</f>
            </numRef>
          </cat>
          <val>
            <numRef>
              <f>'Overview'!$AL$21:$AP$21</f>
            </numRef>
          </val>
        </ser>
        <ser>
          <idx val="3"/>
          <order val="3"/>
          <tx>
            <strRef>
              <f>'Overview'!AK22</f>
            </strRef>
          </tx>
          <spPr>
            <a:ln xmlns:a="http://schemas.openxmlformats.org/drawingml/2006/main">
              <a:prstDash val="solid"/>
            </a:ln>
          </spPr>
          <cat>
            <numRef>
              <f>'Overview'!$AL$18:$AP$18</f>
            </numRef>
          </cat>
          <val>
            <numRef>
              <f>'Overview'!$AL$22:$AP$22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Paragon Bank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'Overview'!AS26</f>
            </strRef>
          </tx>
          <spPr>
            <a:ln xmlns:a="http://schemas.openxmlformats.org/drawingml/2006/main">
              <a:prstDash val="solid"/>
            </a:ln>
          </spPr>
          <cat>
            <numRef>
              <f>'Overview'!$AT$25:$BB$25</f>
            </numRef>
          </cat>
          <val>
            <numRef>
              <f>'Overview'!$AT$26:$BB$26</f>
            </numRef>
          </val>
        </ser>
        <ser>
          <idx val="1"/>
          <order val="1"/>
          <tx>
            <strRef>
              <f>'Overview'!AS27</f>
            </strRef>
          </tx>
          <spPr>
            <a:ln xmlns:a="http://schemas.openxmlformats.org/drawingml/2006/main">
              <a:prstDash val="solid"/>
            </a:ln>
          </spPr>
          <cat>
            <numRef>
              <f>'Overview'!$AT$25:$BB$25</f>
            </numRef>
          </cat>
          <val>
            <numRef>
              <f>'Overview'!$AT$27:$BB$27</f>
            </numRef>
          </val>
        </ser>
        <ser>
          <idx val="2"/>
          <order val="2"/>
          <tx>
            <strRef>
              <f>'Overview'!AS28</f>
            </strRef>
          </tx>
          <spPr>
            <a:ln xmlns:a="http://schemas.openxmlformats.org/drawingml/2006/main">
              <a:prstDash val="solid"/>
            </a:ln>
          </spPr>
          <cat>
            <numRef>
              <f>'Overview'!$AT$25:$BB$25</f>
            </numRef>
          </cat>
          <val>
            <numRef>
              <f>'Overview'!$AT$28:$BB$28</f>
            </numRef>
          </val>
        </ser>
        <ser>
          <idx val="3"/>
          <order val="3"/>
          <tx>
            <strRef>
              <f>'Overview'!AS29</f>
            </strRef>
          </tx>
          <spPr>
            <a:ln xmlns:a="http://schemas.openxmlformats.org/drawingml/2006/main">
              <a:prstDash val="solid"/>
            </a:ln>
          </spPr>
          <cat>
            <numRef>
              <f>'Overview'!$AT$25:$BB$25</f>
            </numRef>
          </cat>
          <val>
            <numRef>
              <f>'Overview'!$AT$29:$BB$29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Paragon Bank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'Overview'!BE6</f>
            </strRef>
          </tx>
          <spPr>
            <a:ln xmlns:a="http://schemas.openxmlformats.org/drawingml/2006/main">
              <a:prstDash val="solid"/>
            </a:ln>
          </spPr>
          <marker>
            <symbol val="none"/>
            <spPr>
              <a:ln xmlns:a="http://schemas.openxmlformats.org/drawingml/2006/main">
                <a:prstDash val="solid"/>
              </a:ln>
            </spPr>
          </marker>
          <cat>
            <numRef>
              <f>'Overview'!$BF$5:$BJ$5</f>
            </numRef>
          </cat>
          <val>
            <numRef>
              <f>'Overview'!$BF$6:$BJ$6</f>
            </numRef>
          </val>
          <smooth val="0"/>
        </ser>
        <ser>
          <idx val="1"/>
          <order val="1"/>
          <tx>
            <strRef>
              <f>'Overview'!BE7</f>
            </strRef>
          </tx>
          <spPr>
            <a:ln xmlns:a="http://schemas.openxmlformats.org/drawingml/2006/main">
              <a:prstDash val="solid"/>
            </a:ln>
          </spPr>
          <marker>
            <symbol val="none"/>
            <spPr>
              <a:ln xmlns:a="http://schemas.openxmlformats.org/drawingml/2006/main">
                <a:prstDash val="solid"/>
              </a:ln>
            </spPr>
          </marker>
          <cat>
            <numRef>
              <f>'Overview'!$BF$5:$BJ$5</f>
            </numRef>
          </cat>
          <val>
            <numRef>
              <f>'Overview'!$BF$7:$BJ$7</f>
            </numRef>
          </val>
          <smooth val="0"/>
        </ser>
        <ser>
          <idx val="2"/>
          <order val="2"/>
          <tx>
            <strRef>
              <f>'Overview'!BE8</f>
            </strRef>
          </tx>
          <spPr>
            <a:ln xmlns:a="http://schemas.openxmlformats.org/drawingml/2006/main">
              <a:prstDash val="solid"/>
            </a:ln>
          </spPr>
          <marker>
            <symbol val="none"/>
            <spPr>
              <a:ln xmlns:a="http://schemas.openxmlformats.org/drawingml/2006/main">
                <a:prstDash val="solid"/>
              </a:ln>
            </spPr>
          </marker>
          <cat>
            <numRef>
              <f>'Overview'!$BF$5:$BJ$5</f>
            </numRef>
          </cat>
          <val>
            <numRef>
              <f>'Overview'!$BF$8:$BJ$8</f>
            </numRef>
          </val>
          <smooth val="0"/>
        </ser>
        <ser>
          <idx val="3"/>
          <order val="3"/>
          <tx>
            <strRef>
              <f>'Overview'!BE9</f>
            </strRef>
          </tx>
          <spPr>
            <a:ln xmlns:a="http://schemas.openxmlformats.org/drawingml/2006/main">
              <a:prstDash val="solid"/>
            </a:ln>
          </spPr>
          <marker>
            <symbol val="none"/>
            <spPr>
              <a:ln xmlns:a="http://schemas.openxmlformats.org/drawingml/2006/main">
                <a:prstDash val="solid"/>
              </a:ln>
            </spPr>
          </marker>
          <cat>
            <numRef>
              <f>'Overview'!$BF$5:$BJ$5</f>
            </numRef>
          </cat>
          <val>
            <numRef>
              <f>'Overview'!$BF$9:$BJ$9</f>
            </numRef>
          </val>
          <smooth val="0"/>
        </ser>
        <ser>
          <idx val="4"/>
          <order val="4"/>
          <tx>
            <strRef>
              <f>'Overview'!BE10</f>
            </strRef>
          </tx>
          <spPr>
            <a:ln xmlns:a="http://schemas.openxmlformats.org/drawingml/2006/main">
              <a:prstDash val="solid"/>
            </a:ln>
          </spPr>
          <marker>
            <symbol val="none"/>
            <spPr>
              <a:ln xmlns:a="http://schemas.openxmlformats.org/drawingml/2006/main">
                <a:prstDash val="solid"/>
              </a:ln>
            </spPr>
          </marker>
          <cat>
            <numRef>
              <f>'Overview'!$BF$5:$BJ$5</f>
            </numRef>
          </cat>
          <val>
            <numRef>
              <f>'Overview'!$BF$10:$BJ$10</f>
            </numRef>
          </val>
          <smooth val="0"/>
        </ser>
        <ser>
          <idx val="5"/>
          <order val="5"/>
          <tx>
            <strRef>
              <f>'Overview'!BE11</f>
            </strRef>
          </tx>
          <spPr>
            <a:ln xmlns:a="http://schemas.openxmlformats.org/drawingml/2006/main">
              <a:prstDash val="solid"/>
            </a:ln>
          </spPr>
          <marker>
            <symbol val="none"/>
            <spPr>
              <a:ln xmlns:a="http://schemas.openxmlformats.org/drawingml/2006/main">
                <a:prstDash val="solid"/>
              </a:ln>
            </spPr>
          </marker>
          <cat>
            <numRef>
              <f>'Overview'!$BF$5:$BJ$5</f>
            </numRef>
          </cat>
          <val>
            <numRef>
              <f>'Overview'!$BF$11:$BJ$11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0.xml.rels><Relationships xmlns="http://schemas.openxmlformats.org/package/2006/relationships"><Relationship Type="http://schemas.openxmlformats.org/officeDocument/2006/relationships/hyperlink" Target="https://www.paragonbankinggroup.co.uk/resources/paragon-group/documents/reports-presentations/2026/2026-pillar-iii" TargetMode="External" Id="rId1"/><Relationship Type="http://schemas.openxmlformats.org/officeDocument/2006/relationships/hyperlink" Target="https://www.paragonbankinggroup.co.uk/resources/paragon-group/documents/reports-presentations/2025/2025-pillar-iii" TargetMode="External" Id="rId2"/><Relationship Type="http://schemas.openxmlformats.org/officeDocument/2006/relationships/hyperlink" Target="https://www.paragonbankinggroup.co.uk/resources/paragon-group/documents/reports-presentations/2024/2024-pillar-iii" TargetMode="External" Id="rId3"/><Relationship Type="http://schemas.openxmlformats.org/officeDocument/2006/relationships/hyperlink" Target="https://www.paragonbankinggroup.co.uk/resources/paragon-group/documents/reports-presentations/2023/paragonbankinggroup_hy_pillar-3_2023" TargetMode="External" Id="rId4"/><Relationship Type="http://schemas.openxmlformats.org/officeDocument/2006/relationships/hyperlink" Target="https://www.paragonbankinggroup.co.uk/resources/paragon-group/documents/corporate-governance/half-year-pillar-iii" TargetMode="External" Id="rId5"/><Relationship Type="http://schemas.openxmlformats.org/officeDocument/2006/relationships/hyperlink" Target="https://www.paragonbankinggroup.co.uk/resources/paragon-group/documents/corporate-governance/half-year-pillar-iii" TargetMode="External" Id="rId6"/><Relationship Type="http://schemas.openxmlformats.org/officeDocument/2006/relationships/hyperlink" Target="https://www.paragonbankinggroup.co.uk/resources/paragon-group/documents/reports-presentations/2026/2026-pillar-iii" TargetMode="External" Id="rId7"/><Relationship Type="http://schemas.openxmlformats.org/officeDocument/2006/relationships/hyperlink" Target="https://www.paragonbankinggroup.co.uk/resources/paragon-group/documents/reports-presentations/2025/2025-pillar-iii" TargetMode="External" Id="rId8"/><Relationship Type="http://schemas.openxmlformats.org/officeDocument/2006/relationships/hyperlink" Target="https://www.paragonbankinggroup.co.uk/resources/paragon-group/documents/reports-presentations/2024/2024-pillar-iii" TargetMode="External" Id="rId9"/><Relationship Type="http://schemas.openxmlformats.org/officeDocument/2006/relationships/hyperlink" Target="https://www.paragonbankinggroup.co.uk/resources/paragon-group/documents/reports-presentations/2023/paragonbankinggroup_hy_pillar-3_2023" TargetMode="External" Id="rId10"/><Relationship Type="http://schemas.openxmlformats.org/officeDocument/2006/relationships/hyperlink" Target="https://www.paragonbankinggroup.co.uk/resources/paragon-group/documents/corporate-governance/half-year-pillar-iii" TargetMode="External" Id="rId11"/><Relationship Type="http://schemas.openxmlformats.org/officeDocument/2006/relationships/hyperlink" Target="https://www.paragonbankinggroup.co.uk/resources/paragon-group/documents/corporate-governance/half-year-pillar-iii" TargetMode="External" Id="rId12"/><Relationship Type="http://schemas.openxmlformats.org/officeDocument/2006/relationships/hyperlink" Target="https://www.paragonbankinggroup.co.uk/resources/paragon-group/documents/reports-presentations/2026/2026-pillar-iii" TargetMode="External" Id="rId13"/><Relationship Type="http://schemas.openxmlformats.org/officeDocument/2006/relationships/hyperlink" Target="https://www.paragonbankinggroup.co.uk/resources/paragon-group/documents/reports-presentations/2025/2025-pillar-iii" TargetMode="External" Id="rId14"/><Relationship Type="http://schemas.openxmlformats.org/officeDocument/2006/relationships/hyperlink" Target="https://www.paragonbankinggroup.co.uk/resources/paragon-group/documents/reports-presentations/2024/2024-pillar-iii" TargetMode="External" Id="rId15"/><Relationship Type="http://schemas.openxmlformats.org/officeDocument/2006/relationships/hyperlink" Target="https://www.paragonbankinggroup.co.uk/resources/paragon-group/documents/reports-presentations/2023/paragonbankinggroup_hy_pillar-3_2023" TargetMode="External" Id="rId16"/><Relationship Type="http://schemas.openxmlformats.org/officeDocument/2006/relationships/hyperlink" Target="https://www.paragonbankinggroup.co.uk/resources/paragon-group/documents/corporate-governance/half-year-pillar-iii" TargetMode="External" Id="rId17"/><Relationship Type="http://schemas.openxmlformats.org/officeDocument/2006/relationships/hyperlink" Target="https://www.paragonbankinggroup.co.uk/resources/paragon-group/documents/corporate-governance/half-year-pillar-iii" TargetMode="External" Id="rId18"/><Relationship Type="http://schemas.openxmlformats.org/officeDocument/2006/relationships/hyperlink" Target="https://www.paragonbankinggroup.co.uk/resources/paragon-group/documents/reports-presentations/2026/2026-pillar-iii" TargetMode="External" Id="rId19"/><Relationship Type="http://schemas.openxmlformats.org/officeDocument/2006/relationships/hyperlink" Target="https://www.paragonbankinggroup.co.uk/resources/paragon-group/documents/reports-presentations/2025/2025-pillar-iii" TargetMode="External" Id="rId20"/><Relationship Type="http://schemas.openxmlformats.org/officeDocument/2006/relationships/hyperlink" Target="https://www.paragonbankinggroup.co.uk/resources/paragon-group/documents/reports-presentations/2024/2024-pillar-iii" TargetMode="External" Id="rId21"/><Relationship Type="http://schemas.openxmlformats.org/officeDocument/2006/relationships/hyperlink" Target="https://www.paragonbankinggroup.co.uk/resources/paragon-group/documents/reports-presentations/2023/paragonbankinggroup_hy_pillar-3_2023" TargetMode="External" Id="rId22"/><Relationship Type="http://schemas.openxmlformats.org/officeDocument/2006/relationships/hyperlink" Target="https://www.paragonbankinggroup.co.uk/resources/paragon-group/documents/corporate-governance/half-year-pillar-iii" TargetMode="External" Id="rId23"/><Relationship Type="http://schemas.openxmlformats.org/officeDocument/2006/relationships/hyperlink" Target="https://www.paragonbankinggroup.co.uk/resources/paragon-group/documents/corporate-governance/half-year-pillar-iii" TargetMode="External" Id="rId24"/><Relationship Type="http://schemas.openxmlformats.org/officeDocument/2006/relationships/hyperlink" Target="https://www.paragonbankinggroup.co.uk/resources/paragon-group/documents/reports-presentations/2026/2026-pillar-iii" TargetMode="External" Id="rId25"/><Relationship Type="http://schemas.openxmlformats.org/officeDocument/2006/relationships/hyperlink" Target="https://www.paragonbankinggroup.co.uk/resources/paragon-group/documents/reports-presentations/2025/2025-pillar-iii" TargetMode="External" Id="rId26"/><Relationship Type="http://schemas.openxmlformats.org/officeDocument/2006/relationships/hyperlink" Target="https://www.paragonbankinggroup.co.uk/resources/paragon-group/documents/reports-presentations/2024/2024-pillar-iii" TargetMode="External" Id="rId27"/><Relationship Type="http://schemas.openxmlformats.org/officeDocument/2006/relationships/hyperlink" Target="https://www.paragonbankinggroup.co.uk/resources/paragon-group/documents/reports-presentations/2023/paragonbankinggroup_hy_pillar-3_2023" TargetMode="External" Id="rId28"/><Relationship Type="http://schemas.openxmlformats.org/officeDocument/2006/relationships/hyperlink" Target="https://www.paragonbankinggroup.co.uk/resources/paragon-group/documents/corporate-governance/half-year-pillar-iii" TargetMode="External" Id="rId29"/><Relationship Type="http://schemas.openxmlformats.org/officeDocument/2006/relationships/hyperlink" Target="https://www.paragonbankinggroup.co.uk/resources/paragon-group/documents/corporate-governance/half-year-pillar-iii" TargetMode="External" Id="rId30"/><Relationship Type="http://schemas.openxmlformats.org/officeDocument/2006/relationships/hyperlink" Target="https://www.paragonbankinggroup.co.uk/resources/paragon-group/documents/reports-presentations/2026/2026-pillar-iii" TargetMode="External" Id="rId31"/><Relationship Type="http://schemas.openxmlformats.org/officeDocument/2006/relationships/hyperlink" Target="https://www.paragonbankinggroup.co.uk/resources/paragon-group/documents/reports-presentations/2025/2025-pillar-iii" TargetMode="External" Id="rId32"/><Relationship Type="http://schemas.openxmlformats.org/officeDocument/2006/relationships/hyperlink" Target="https://www.paragonbankinggroup.co.uk/resources/paragon-group/documents/reports-presentations/2024/2024-pillar-iii" TargetMode="External" Id="rId33"/><Relationship Type="http://schemas.openxmlformats.org/officeDocument/2006/relationships/hyperlink" Target="https://www.paragonbankinggroup.co.uk/resources/paragon-group/documents/reports-presentations/2023/paragonbankinggroup_hy_pillar-3_2023" TargetMode="External" Id="rId34"/><Relationship Type="http://schemas.openxmlformats.org/officeDocument/2006/relationships/hyperlink" Target="https://www.paragonbankinggroup.co.uk/resources/paragon-group/documents/corporate-governance/half-year-pillar-iii" TargetMode="External" Id="rId35"/><Relationship Type="http://schemas.openxmlformats.org/officeDocument/2006/relationships/hyperlink" Target="https://www.paragonbankinggroup.co.uk/resources/paragon-group/documents/corporate-governance/half-year-pillar-iii" TargetMode="External" Id="rId36"/><Relationship Type="http://schemas.openxmlformats.org/officeDocument/2006/relationships/hyperlink" Target="https://www.paragonbankinggroup.co.uk/resources/paragon-group/documents/reports-presentations/2026/2026-pillar-iii" TargetMode="External" Id="rId37"/><Relationship Type="http://schemas.openxmlformats.org/officeDocument/2006/relationships/hyperlink" Target="https://www.paragonbankinggroup.co.uk/resources/paragon-group/documents/reports-presentations/2025/2025-pillar-iii" TargetMode="External" Id="rId38"/><Relationship Type="http://schemas.openxmlformats.org/officeDocument/2006/relationships/hyperlink" Target="https://www.paragonbankinggroup.co.uk/resources/paragon-group/documents/reports-presentations/2024/2024-pillar-iii" TargetMode="External" Id="rId39"/><Relationship Type="http://schemas.openxmlformats.org/officeDocument/2006/relationships/hyperlink" Target="https://www.paragonbankinggroup.co.uk/resources/paragon-group/documents/reports-presentations/2023/paragonbankinggroup_hy_pillar-3_2023" TargetMode="External" Id="rId40"/><Relationship Type="http://schemas.openxmlformats.org/officeDocument/2006/relationships/hyperlink" Target="https://www.paragonbankinggroup.co.uk/resources/paragon-group/documents/corporate-governance/half-year-pillar-iii" TargetMode="External" Id="rId41"/><Relationship Type="http://schemas.openxmlformats.org/officeDocument/2006/relationships/hyperlink" Target="https://www.paragonbankinggroup.co.uk/resources/paragon-group/documents/corporate-governance/half-year-pillar-iii" TargetMode="External" Id="rId42"/><Relationship Type="http://schemas.openxmlformats.org/officeDocument/2006/relationships/hyperlink" Target="https://www.paragonbankinggroup.co.uk/resources/paragon-group/documents/reports-presentations/2026/2026-pillar-iii" TargetMode="External" Id="rId43"/><Relationship Type="http://schemas.openxmlformats.org/officeDocument/2006/relationships/hyperlink" Target="https://www.paragonbankinggroup.co.uk/resources/paragon-group/documents/reports-presentations/2025/2025-pillar-iii" TargetMode="External" Id="rId44"/><Relationship Type="http://schemas.openxmlformats.org/officeDocument/2006/relationships/hyperlink" Target="https://www.paragonbankinggroup.co.uk/resources/paragon-group/documents/reports-presentations/2024/2024-pillar-iii" TargetMode="External" Id="rId45"/><Relationship Type="http://schemas.openxmlformats.org/officeDocument/2006/relationships/hyperlink" Target="https://www.paragonbankinggroup.co.uk/resources/paragon-group/documents/reports-presentations/2023/paragonbankinggroup_hy_pillar-3_2023" TargetMode="External" Id="rId46"/><Relationship Type="http://schemas.openxmlformats.org/officeDocument/2006/relationships/hyperlink" Target="https://www.paragonbankinggroup.co.uk/resources/paragon-group/documents/corporate-governance/half-year-pillar-iii" TargetMode="External" Id="rId47"/><Relationship Type="http://schemas.openxmlformats.org/officeDocument/2006/relationships/hyperlink" Target="https://www.paragonbankinggroup.co.uk/resources/paragon-group/documents/corporate-governance/half-year-pillar-iii" TargetMode="External" Id="rId48"/><Relationship Type="http://schemas.openxmlformats.org/officeDocument/2006/relationships/hyperlink" Target="https://www.paragonbankinggroup.co.uk/resources/paragon-group/documents/reports-presentations/2026/2026-pillar-iii" TargetMode="External" Id="rId49"/><Relationship Type="http://schemas.openxmlformats.org/officeDocument/2006/relationships/hyperlink" Target="https://www.paragonbankinggroup.co.uk/resources/paragon-group/documents/reports-presentations/2025/2025-pillar-iii" TargetMode="External" Id="rId50"/><Relationship Type="http://schemas.openxmlformats.org/officeDocument/2006/relationships/hyperlink" Target="https://www.paragonbankinggroup.co.uk/resources/paragon-group/documents/reports-presentations/2024/2024-pillar-iii" TargetMode="External" Id="rId51"/><Relationship Type="http://schemas.openxmlformats.org/officeDocument/2006/relationships/hyperlink" Target="https://www.paragonbankinggroup.co.uk/resources/paragon-group/documents/reports-presentations/2023/paragonbankinggroup_hy_pillar-3_2023" TargetMode="External" Id="rId52"/><Relationship Type="http://schemas.openxmlformats.org/officeDocument/2006/relationships/hyperlink" Target="https://www.paragonbankinggroup.co.uk/resources/paragon-group/documents/corporate-governance/half-year-pillar-iii" TargetMode="External" Id="rId53"/><Relationship Type="http://schemas.openxmlformats.org/officeDocument/2006/relationships/hyperlink" Target="https://www.paragonbankinggroup.co.uk/resources/paragon-group/documents/corporate-governance/half-year-pillar-iii" TargetMode="External" Id="rId54"/><Relationship Type="http://schemas.openxmlformats.org/officeDocument/2006/relationships/hyperlink" Target="https://www.paragonbankinggroup.co.uk/resources/paragon-group/documents/reports-presentations/2026/2026-pillar-iii" TargetMode="External" Id="rId55"/><Relationship Type="http://schemas.openxmlformats.org/officeDocument/2006/relationships/hyperlink" Target="https://www.paragonbankinggroup.co.uk/resources/paragon-group/documents/reports-presentations/2025/2025-pillar-iii" TargetMode="External" Id="rId56"/><Relationship Type="http://schemas.openxmlformats.org/officeDocument/2006/relationships/hyperlink" Target="https://www.paragonbankinggroup.co.uk/resources/paragon-group/documents/reports-presentations/2024/2024-pillar-iii" TargetMode="External" Id="rId57"/><Relationship Type="http://schemas.openxmlformats.org/officeDocument/2006/relationships/hyperlink" Target="https://www.paragonbankinggroup.co.uk/resources/paragon-group/documents/reports-presentations/2023/paragonbankinggroup_hy_pillar-3_2023" TargetMode="External" Id="rId58"/><Relationship Type="http://schemas.openxmlformats.org/officeDocument/2006/relationships/hyperlink" Target="https://www.paragonbankinggroup.co.uk/resources/paragon-group/documents/corporate-governance/half-year-pillar-iii" TargetMode="External" Id="rId59"/><Relationship Type="http://schemas.openxmlformats.org/officeDocument/2006/relationships/hyperlink" Target="https://www.paragonbankinggroup.co.uk/resources/paragon-group/documents/corporate-governance/half-year-pillar-iii" TargetMode="External" Id="rId60"/><Relationship Type="http://schemas.openxmlformats.org/officeDocument/2006/relationships/hyperlink" Target="https://www.paragonbankinggroup.co.uk/resources/paragon-group/documents/reports-presentations/2026/2026-pillar-iii" TargetMode="External" Id="rId61"/><Relationship Type="http://schemas.openxmlformats.org/officeDocument/2006/relationships/hyperlink" Target="https://www.paragonbankinggroup.co.uk/resources/paragon-group/documents/reports-presentations/2025/2025-pillar-iii" TargetMode="External" Id="rId62"/><Relationship Type="http://schemas.openxmlformats.org/officeDocument/2006/relationships/hyperlink" Target="https://www.paragonbankinggroup.co.uk/resources/paragon-group/documents/reports-presentations/2024/2024-pillar-iii" TargetMode="External" Id="rId63"/><Relationship Type="http://schemas.openxmlformats.org/officeDocument/2006/relationships/hyperlink" Target="https://www.paragonbankinggroup.co.uk/resources/paragon-group/documents/reports-presentations/2023/paragonbankinggroup_hy_pillar-3_2023" TargetMode="External" Id="rId64"/><Relationship Type="http://schemas.openxmlformats.org/officeDocument/2006/relationships/hyperlink" Target="https://www.paragonbankinggroup.co.uk/resources/paragon-group/documents/corporate-governance/half-year-pillar-iii" TargetMode="External" Id="rId65"/><Relationship Type="http://schemas.openxmlformats.org/officeDocument/2006/relationships/hyperlink" Target="https://www.paragonbankinggroup.co.uk/resources/paragon-group/documents/corporate-governance/half-year-pillar-iii" TargetMode="External" Id="rId66"/></Relationships>
</file>

<file path=xl/worksheets/sheet1.xml><?xml version="1.0" encoding="utf-8"?>
<worksheet xmlns="http://schemas.openxmlformats.org/spreadsheetml/2006/main">
  <sheetPr>
    <outlinePr summaryBelow="1" summaryRight="1"/>
    <pageSetUpPr/>
  </sheetPr>
  <dimension ref="A1:BJ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s>
  <sheetData>
    <row r="1">
      <c r="A1" s="1" t="inlineStr">
        <is>
          <t>Paragon Bank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(£m)</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N5" t="inlineStr">
        <is>
          <t>FY2017</t>
        </is>
      </c>
      <c r="O5" t="inlineStr">
        <is>
          <t>FY2018</t>
        </is>
      </c>
      <c r="P5" t="inlineStr">
        <is>
          <t>FY2019</t>
        </is>
      </c>
      <c r="Q5" t="inlineStr">
        <is>
          <t>FY2020</t>
        </is>
      </c>
      <c r="R5" t="inlineStr">
        <is>
          <t>FY2021</t>
        </is>
      </c>
      <c r="S5" t="inlineStr">
        <is>
          <t>FY2022</t>
        </is>
      </c>
      <c r="T5" t="inlineStr">
        <is>
          <t>FY2023</t>
        </is>
      </c>
      <c r="U5" t="inlineStr">
        <is>
          <t>FY2024</t>
        </is>
      </c>
      <c r="V5" t="inlineStr">
        <is>
          <t>FY2025</t>
        </is>
      </c>
      <c r="BF5" t="inlineStr">
        <is>
          <t>FY2021</t>
        </is>
      </c>
      <c r="BG5" t="inlineStr">
        <is>
          <t>FY2022</t>
        </is>
      </c>
      <c r="BH5" t="inlineStr">
        <is>
          <t>FY2023</t>
        </is>
      </c>
      <c r="BI5" t="inlineStr">
        <is>
          <t>FY2024</t>
        </is>
      </c>
      <c r="BJ5" t="inlineStr">
        <is>
          <t>FY2025</t>
        </is>
      </c>
    </row>
    <row r="6">
      <c r="A6" s="5" t="inlineStr">
        <is>
          <t>Total assets</t>
        </is>
      </c>
      <c r="B6" s="5" t="n">
        <v>19812.7</v>
      </c>
      <c r="C6" s="5" t="n">
        <v>19200.3</v>
      </c>
      <c r="D6" s="5" t="n">
        <v>18124.9</v>
      </c>
      <c r="E6" s="5" t="n">
        <v>15389</v>
      </c>
      <c r="F6" s="5" t="n">
        <v>13505.6</v>
      </c>
      <c r="G6" s="5" t="n">
        <v>11061.83</v>
      </c>
      <c r="H6" s="5" t="n">
        <v>8640.959999999999</v>
      </c>
      <c r="I6" s="5" t="n">
        <v>7488.86</v>
      </c>
      <c r="J6" s="5" t="n">
        <v>4914.21</v>
      </c>
      <c r="M6" t="inlineStr">
        <is>
          <t>Total assets</t>
        </is>
      </c>
      <c r="N6" t="n">
        <v>4914.21</v>
      </c>
      <c r="O6" t="n">
        <v>7488.86</v>
      </c>
      <c r="P6" t="n">
        <v>8640.959999999999</v>
      </c>
      <c r="Q6" t="n">
        <v>11061.83</v>
      </c>
      <c r="R6" t="n">
        <v>13505.6</v>
      </c>
      <c r="S6" t="n">
        <v>15389</v>
      </c>
      <c r="T6" t="n">
        <v>18124.9</v>
      </c>
      <c r="U6" t="n">
        <v>19200.3</v>
      </c>
      <c r="V6" t="n">
        <v>19812.7</v>
      </c>
      <c r="BE6" t="inlineStr">
        <is>
          <t>CET1 Ratio</t>
        </is>
      </c>
      <c r="BF6" t="n">
        <v>15.4</v>
      </c>
      <c r="BG6" t="n">
        <v>16.3</v>
      </c>
      <c r="BH6" t="n">
        <v>15.5</v>
      </c>
      <c r="BI6" t="n">
        <v>14.2</v>
      </c>
      <c r="BJ6" t="n">
        <v>13.6</v>
      </c>
    </row>
    <row r="7">
      <c r="A7" s="5" t="inlineStr">
        <is>
          <t>Loans to customers</t>
        </is>
      </c>
      <c r="B7" s="5" t="n">
        <v>12446</v>
      </c>
      <c r="C7" s="5" t="n">
        <v>11671.6</v>
      </c>
      <c r="D7" s="5" t="n">
        <v>11161.2</v>
      </c>
      <c r="E7" s="5" t="n">
        <v>8952.799999999999</v>
      </c>
      <c r="F7" s="5" t="n">
        <v>8144.6</v>
      </c>
      <c r="G7" s="5" t="n">
        <v>7146.78</v>
      </c>
      <c r="H7" s="5" t="n">
        <v>5848.32</v>
      </c>
      <c r="I7" s="5" t="n">
        <v>4655.43</v>
      </c>
      <c r="J7" s="5" t="n">
        <v>3086.7</v>
      </c>
      <c r="M7" t="inlineStr">
        <is>
          <t>Loans to customers</t>
        </is>
      </c>
      <c r="N7" t="n">
        <v>3086.7</v>
      </c>
      <c r="O7" t="n">
        <v>4655.43</v>
      </c>
      <c r="P7" t="n">
        <v>5848.32</v>
      </c>
      <c r="Q7" t="n">
        <v>7146.78</v>
      </c>
      <c r="R7" t="n">
        <v>8144.6</v>
      </c>
      <c r="S7" t="n">
        <v>8952.799999999999</v>
      </c>
      <c r="T7" t="n">
        <v>11161.2</v>
      </c>
      <c r="U7" t="n">
        <v>11671.6</v>
      </c>
      <c r="V7" t="n">
        <v>12446</v>
      </c>
      <c r="BE7" t="inlineStr">
        <is>
          <t>Tier 1 Ratio</t>
        </is>
      </c>
      <c r="BF7" t="n">
        <v>15.4</v>
      </c>
      <c r="BG7" t="n">
        <v>16.3</v>
      </c>
      <c r="BH7" t="n">
        <v>15.5</v>
      </c>
      <c r="BI7" t="n">
        <v>14.2</v>
      </c>
      <c r="BJ7" t="n">
        <v>13.6</v>
      </c>
    </row>
    <row r="8">
      <c r="A8" s="5" t="inlineStr">
        <is>
          <t>Retail deposits</t>
        </is>
      </c>
      <c r="B8" s="5" t="n">
        <v>16270.8</v>
      </c>
      <c r="C8" s="5" t="n">
        <v>16314.7</v>
      </c>
      <c r="D8" s="5" t="n">
        <v>13234.4</v>
      </c>
      <c r="E8" s="5" t="n">
        <v>10569.5</v>
      </c>
      <c r="F8" s="5" t="n">
        <v>9297.4</v>
      </c>
      <c r="G8" s="5" t="n">
        <v>7866.59</v>
      </c>
      <c r="H8" s="5" t="n">
        <v>6395.87</v>
      </c>
      <c r="I8" s="5" t="n">
        <v>5296.57</v>
      </c>
      <c r="J8" s="5" t="n">
        <v>3615.41</v>
      </c>
      <c r="M8" t="inlineStr">
        <is>
          <t>Retail deposits</t>
        </is>
      </c>
      <c r="N8" t="n">
        <v>3615.41</v>
      </c>
      <c r="O8" t="n">
        <v>5296.57</v>
      </c>
      <c r="P8" t="n">
        <v>6395.87</v>
      </c>
      <c r="Q8" t="n">
        <v>7866.59</v>
      </c>
      <c r="R8" t="n">
        <v>9297.4</v>
      </c>
      <c r="S8" t="n">
        <v>10569.5</v>
      </c>
      <c r="T8" t="n">
        <v>13234.4</v>
      </c>
      <c r="U8" t="n">
        <v>16314.7</v>
      </c>
      <c r="V8" t="n">
        <v>16270.8</v>
      </c>
      <c r="BE8" t="inlineStr">
        <is>
          <t>Total Capital Ratio</t>
        </is>
      </c>
      <c r="BF8" t="n">
        <v>17.6</v>
      </c>
      <c r="BG8" t="n">
        <v>18.3</v>
      </c>
      <c r="BH8" t="n">
        <v>17.5</v>
      </c>
      <c r="BI8" t="n">
        <v>16</v>
      </c>
      <c r="BJ8" t="n">
        <v>15.3</v>
      </c>
    </row>
    <row r="9">
      <c r="A9" s="5" t="inlineStr">
        <is>
          <t>Total equity</t>
        </is>
      </c>
      <c r="B9" s="5" t="n">
        <v>1046</v>
      </c>
      <c r="C9" s="5" t="n">
        <v>1050.1</v>
      </c>
      <c r="D9" s="5" t="n">
        <v>1001.5</v>
      </c>
      <c r="E9" s="5" t="n">
        <v>1063.4</v>
      </c>
      <c r="F9" s="5" t="n">
        <v>819.3</v>
      </c>
      <c r="G9" s="5" t="n">
        <v>770.4400000000001</v>
      </c>
      <c r="H9" s="5" t="n">
        <v>786.0700000000001</v>
      </c>
      <c r="I9" s="5" t="n">
        <v>709.33</v>
      </c>
      <c r="J9" s="5" t="n">
        <v>559.8099999999999</v>
      </c>
      <c r="M9" t="inlineStr">
        <is>
          <t>Total equity</t>
        </is>
      </c>
      <c r="N9" t="n">
        <v>559.8099999999999</v>
      </c>
      <c r="O9" t="n">
        <v>709.33</v>
      </c>
      <c r="P9" t="n">
        <v>786.0700000000001</v>
      </c>
      <c r="Q9" t="n">
        <v>770.4400000000001</v>
      </c>
      <c r="R9" t="n">
        <v>819.3</v>
      </c>
      <c r="S9" t="n">
        <v>1063.4</v>
      </c>
      <c r="T9" t="n">
        <v>1001.5</v>
      </c>
      <c r="U9" t="n">
        <v>1050.1</v>
      </c>
      <c r="V9" t="n">
        <v>1046</v>
      </c>
      <c r="BE9" t="inlineStr">
        <is>
          <t>Leverage Ratio</t>
        </is>
      </c>
      <c r="BG9" t="n">
        <v>7.9</v>
      </c>
      <c r="BH9" t="n">
        <v>7.6</v>
      </c>
      <c r="BI9" t="n">
        <v>7</v>
      </c>
      <c r="BJ9" t="n">
        <v>6.6</v>
      </c>
    </row>
    <row r="10">
      <c r="BE10" t="inlineStr">
        <is>
          <t>LCR</t>
        </is>
      </c>
      <c r="BF10" t="n">
        <v>164.9</v>
      </c>
      <c r="BG10" t="n">
        <v>146.3</v>
      </c>
      <c r="BH10" t="n">
        <v>193.8</v>
      </c>
      <c r="BI10" t="n">
        <v>211.5</v>
      </c>
      <c r="BJ10" t="n">
        <v>154</v>
      </c>
    </row>
    <row r="11">
      <c r="A11" s="3" t="inlineStr">
        <is>
          <t>Profit &amp; Loss Summary (£m)</t>
        </is>
      </c>
      <c r="BE11" t="inlineStr">
        <is>
          <t>NSFR</t>
        </is>
      </c>
      <c r="BF11" t="n">
        <v>118.9</v>
      </c>
      <c r="BG11" t="n">
        <v>121.5</v>
      </c>
      <c r="BH11" t="n">
        <v>128</v>
      </c>
      <c r="BI11" t="n">
        <v>138.2</v>
      </c>
      <c r="BJ11" t="n">
        <v>138.7</v>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J12" s="4" t="inlineStr">
        <is>
          <t>FY2017</t>
        </is>
      </c>
      <c r="Z12" t="inlineStr">
        <is>
          <t>FY2017</t>
        </is>
      </c>
      <c r="AA12" t="inlineStr">
        <is>
          <t>FY2018</t>
        </is>
      </c>
      <c r="AB12" t="inlineStr">
        <is>
          <t>FY2019</t>
        </is>
      </c>
      <c r="AC12" t="inlineStr">
        <is>
          <t>FY2020</t>
        </is>
      </c>
      <c r="AD12" t="inlineStr">
        <is>
          <t>FY2021</t>
        </is>
      </c>
      <c r="AE12" t="inlineStr">
        <is>
          <t>FY2022</t>
        </is>
      </c>
      <c r="AF12" t="inlineStr">
        <is>
          <t>FY2023</t>
        </is>
      </c>
      <c r="AG12" t="inlineStr">
        <is>
          <t>FY2024</t>
        </is>
      </c>
      <c r="AH12" t="inlineStr">
        <is>
          <t>FY2025</t>
        </is>
      </c>
    </row>
    <row r="13">
      <c r="A13" s="5" t="inlineStr">
        <is>
          <t>Total operating income</t>
        </is>
      </c>
      <c r="B13" s="5" t="n">
        <v>442.7</v>
      </c>
      <c r="C13" s="5" t="n">
        <v>424.7</v>
      </c>
      <c r="D13" s="5" t="n">
        <v>424.3</v>
      </c>
      <c r="E13" s="5" t="n">
        <v>395.4</v>
      </c>
      <c r="F13" s="5" t="n">
        <v>238.1</v>
      </c>
      <c r="G13" s="5" t="n">
        <v>184.17</v>
      </c>
      <c r="H13" s="5" t="n">
        <v>183.91</v>
      </c>
      <c r="I13" s="5" t="n">
        <v>219.09</v>
      </c>
      <c r="J13" s="5" t="n">
        <v>57.25</v>
      </c>
      <c r="Y13" t="inlineStr">
        <is>
          <t>Total operating income</t>
        </is>
      </c>
      <c r="Z13" t="n">
        <v>57.25</v>
      </c>
      <c r="AA13" t="n">
        <v>219.09</v>
      </c>
      <c r="AB13" t="n">
        <v>183.91</v>
      </c>
      <c r="AC13" t="n">
        <v>184.17</v>
      </c>
      <c r="AD13" t="n">
        <v>238.1</v>
      </c>
      <c r="AE13" t="n">
        <v>395.4</v>
      </c>
      <c r="AF13" t="n">
        <v>424.3</v>
      </c>
      <c r="AG13" t="n">
        <v>424.7</v>
      </c>
      <c r="AH13" t="n">
        <v>442.7</v>
      </c>
    </row>
    <row r="14">
      <c r="A14" s="5" t="inlineStr">
        <is>
          <t>Operating expenses (incl. provisions)</t>
        </is>
      </c>
      <c r="B14" s="5" t="n">
        <v>-164.5</v>
      </c>
      <c r="C14" s="5" t="n">
        <v>-143</v>
      </c>
      <c r="D14" s="5" t="n">
        <v>-127.9</v>
      </c>
      <c r="E14" s="5" t="n">
        <v>-106.4</v>
      </c>
      <c r="F14" s="5" t="n">
        <v>-70.59999999999999</v>
      </c>
      <c r="G14" s="5" t="n">
        <v>-79.54000000000001</v>
      </c>
      <c r="H14" s="5" t="n">
        <v>-65.36</v>
      </c>
      <c r="I14" s="5" t="n">
        <v>-52.83</v>
      </c>
      <c r="J14" s="5" t="n">
        <v>-33.55</v>
      </c>
      <c r="Y14" t="inlineStr">
        <is>
          <t>Operating expenses (incl. provisions)</t>
        </is>
      </c>
      <c r="Z14" t="n">
        <v>-33.55</v>
      </c>
      <c r="AA14" t="n">
        <v>-52.83</v>
      </c>
      <c r="AB14" t="n">
        <v>-65.36</v>
      </c>
      <c r="AC14" t="n">
        <v>-79.54000000000001</v>
      </c>
      <c r="AD14" t="n">
        <v>-70.59999999999999</v>
      </c>
      <c r="AE14" t="n">
        <v>-106.4</v>
      </c>
      <c r="AF14" t="n">
        <v>-127.9</v>
      </c>
      <c r="AG14" t="n">
        <v>-143</v>
      </c>
      <c r="AH14" t="n">
        <v>-164.5</v>
      </c>
    </row>
    <row r="15">
      <c r="A15" s="5" t="inlineStr">
        <is>
          <t>Profit for the financial year</t>
        </is>
      </c>
      <c r="B15" s="5" t="n">
        <v>181</v>
      </c>
      <c r="C15" s="5" t="n">
        <v>207.5</v>
      </c>
      <c r="D15" s="5" t="n">
        <v>196.2</v>
      </c>
      <c r="E15" s="5" t="n">
        <v>394.4</v>
      </c>
      <c r="F15" s="5" t="n">
        <v>143.7</v>
      </c>
      <c r="G15" s="5" t="n">
        <v>94.55</v>
      </c>
      <c r="H15" s="5" t="n">
        <v>97.22</v>
      </c>
      <c r="I15" s="5" t="n">
        <v>156.43</v>
      </c>
      <c r="J15" s="5" t="n">
        <v>17.67</v>
      </c>
      <c r="Y15" t="inlineStr">
        <is>
          <t>Profit for the financial year</t>
        </is>
      </c>
      <c r="Z15" t="n">
        <v>17.67</v>
      </c>
      <c r="AA15" t="n">
        <v>156.43</v>
      </c>
      <c r="AB15" t="n">
        <v>97.22</v>
      </c>
      <c r="AC15" t="n">
        <v>94.55</v>
      </c>
      <c r="AD15" t="n">
        <v>143.7</v>
      </c>
      <c r="AE15" t="n">
        <v>394.4</v>
      </c>
      <c r="AF15" t="n">
        <v>196.2</v>
      </c>
      <c r="AG15" t="n">
        <v>207.5</v>
      </c>
      <c r="AH15" t="n">
        <v>181</v>
      </c>
    </row>
    <row r="17">
      <c r="A17" s="3" t="inlineStr">
        <is>
          <t>Statement of Changes in Equity Summary (£m)</t>
        </is>
      </c>
    </row>
    <row r="18">
      <c r="A18" s="4" t="inlineStr">
        <is>
          <t>Line item</t>
        </is>
      </c>
      <c r="B18" s="4" t="inlineStr">
        <is>
          <t>FY2025</t>
        </is>
      </c>
      <c r="C18" s="4" t="inlineStr">
        <is>
          <t>FY2024</t>
        </is>
      </c>
      <c r="D18" s="4" t="inlineStr">
        <is>
          <t>FY2023</t>
        </is>
      </c>
      <c r="E18" s="4" t="inlineStr">
        <is>
          <t>FY2022</t>
        </is>
      </c>
      <c r="F18" s="4" t="inlineStr">
        <is>
          <t>FY2021</t>
        </is>
      </c>
      <c r="AL18" t="inlineStr">
        <is>
          <t>FY2021</t>
        </is>
      </c>
      <c r="AM18" t="inlineStr">
        <is>
          <t>FY2022</t>
        </is>
      </c>
      <c r="AN18" t="inlineStr">
        <is>
          <t>FY2023</t>
        </is>
      </c>
      <c r="AO18" t="inlineStr">
        <is>
          <t>FY2024</t>
        </is>
      </c>
      <c r="AP18" t="inlineStr">
        <is>
          <t>FY2025</t>
        </is>
      </c>
    </row>
    <row r="19">
      <c r="A19" s="5" t="inlineStr">
        <is>
          <t>Opening equity</t>
        </is>
      </c>
      <c r="B19" s="5" t="n">
        <v>1020.8</v>
      </c>
      <c r="C19" s="5" t="n">
        <v>1001.5</v>
      </c>
      <c r="D19" s="5" t="n">
        <v>1063.4</v>
      </c>
      <c r="E19" s="5" t="n">
        <v>819.3</v>
      </c>
      <c r="F19" s="5" t="n">
        <v>770.4</v>
      </c>
      <c r="AK19" t="inlineStr">
        <is>
          <t>Opening equity</t>
        </is>
      </c>
      <c r="AL19" t="n">
        <v>770.4</v>
      </c>
      <c r="AM19" t="n">
        <v>819.3</v>
      </c>
      <c r="AN19" t="n">
        <v>1063.4</v>
      </c>
      <c r="AO19" t="n">
        <v>1001.5</v>
      </c>
      <c r="AP19" t="n">
        <v>1020.8</v>
      </c>
    </row>
    <row r="20">
      <c r="A20" s="5" t="inlineStr">
        <is>
          <t>Total comprehensive income for the year</t>
        </is>
      </c>
      <c r="B20" s="5" t="n">
        <v>181</v>
      </c>
      <c r="C20" s="5" t="n">
        <v>207.5</v>
      </c>
      <c r="D20" s="5" t="n">
        <v>196.2</v>
      </c>
      <c r="E20" s="5" t="n">
        <v>394.4</v>
      </c>
      <c r="F20" s="5" t="n">
        <v>143.7</v>
      </c>
      <c r="AK20" t="inlineStr">
        <is>
          <t>Total comprehensive income for the year</t>
        </is>
      </c>
      <c r="AL20" t="n">
        <v>143.7</v>
      </c>
      <c r="AM20" t="n">
        <v>394.4</v>
      </c>
      <c r="AN20" t="n">
        <v>196.2</v>
      </c>
      <c r="AO20" t="n">
        <v>207.5</v>
      </c>
      <c r="AP20" t="n">
        <v>181</v>
      </c>
    </row>
    <row r="21">
      <c r="A21" s="5" t="inlineStr">
        <is>
          <t>Other equity movements, net (dividends paid)</t>
        </is>
      </c>
      <c r="B21" s="5" t="n">
        <v>-155.8</v>
      </c>
      <c r="C21" s="5" t="n">
        <v>-158.9</v>
      </c>
      <c r="D21" s="5" t="n">
        <v>-258.1</v>
      </c>
      <c r="E21" s="5" t="n">
        <v>-150.3</v>
      </c>
      <c r="F21" s="5" t="n">
        <v>-94.8</v>
      </c>
      <c r="AK21" t="inlineStr">
        <is>
          <t>Other equity movements, net (dividends paid)</t>
        </is>
      </c>
      <c r="AL21" t="n">
        <v>-94.8</v>
      </c>
      <c r="AM21" t="n">
        <v>-150.3</v>
      </c>
      <c r="AN21" t="n">
        <v>-258.1</v>
      </c>
      <c r="AO21" t="n">
        <v>-158.9</v>
      </c>
      <c r="AP21" t="n">
        <v>-155.8</v>
      </c>
    </row>
    <row r="22">
      <c r="A22" s="5" t="inlineStr">
        <is>
          <t>Closing equity</t>
        </is>
      </c>
      <c r="B22" s="5" t="n">
        <v>1046</v>
      </c>
      <c r="C22" s="5" t="n">
        <v>1050.1</v>
      </c>
      <c r="D22" s="5" t="n">
        <v>1001.5</v>
      </c>
      <c r="E22" s="5" t="n">
        <v>1063.4</v>
      </c>
      <c r="F22" s="5" t="n">
        <v>819.3</v>
      </c>
      <c r="AK22" t="inlineStr">
        <is>
          <t>Closing equity</t>
        </is>
      </c>
      <c r="AL22" t="n">
        <v>819.3</v>
      </c>
      <c r="AM22" t="n">
        <v>1063.4</v>
      </c>
      <c r="AN22" t="n">
        <v>1001.5</v>
      </c>
      <c r="AO22" t="n">
        <v>1050.1</v>
      </c>
      <c r="AP22" t="n">
        <v>1046</v>
      </c>
    </row>
    <row r="24">
      <c r="A24" s="3" t="inlineStr">
        <is>
          <t>Cash Flow Summary (£m)</t>
        </is>
      </c>
    </row>
    <row r="25">
      <c r="A25" s="4" t="inlineStr">
        <is>
          <t>Line item</t>
        </is>
      </c>
      <c r="B25" s="4" t="inlineStr">
        <is>
          <t>FY2025</t>
        </is>
      </c>
      <c r="C25" s="4" t="inlineStr">
        <is>
          <t>FY2024</t>
        </is>
      </c>
      <c r="D25" s="4" t="inlineStr">
        <is>
          <t>FY2023</t>
        </is>
      </c>
      <c r="E25" s="4" t="inlineStr">
        <is>
          <t>FY2022</t>
        </is>
      </c>
      <c r="F25" s="4" t="inlineStr">
        <is>
          <t>FY2021</t>
        </is>
      </c>
      <c r="G25" s="4" t="inlineStr">
        <is>
          <t>FY2020</t>
        </is>
      </c>
      <c r="H25" s="4" t="inlineStr">
        <is>
          <t>FY2019</t>
        </is>
      </c>
      <c r="I25" s="4" t="inlineStr">
        <is>
          <t>FY2018</t>
        </is>
      </c>
      <c r="J25" s="4" t="inlineStr">
        <is>
          <t>FY2017</t>
        </is>
      </c>
      <c r="AT25" t="inlineStr">
        <is>
          <t>FY2017</t>
        </is>
      </c>
      <c r="AU25" t="inlineStr">
        <is>
          <t>FY2018</t>
        </is>
      </c>
      <c r="AV25" t="inlineStr">
        <is>
          <t>FY2019</t>
        </is>
      </c>
      <c r="AW25" t="inlineStr">
        <is>
          <t>FY2020</t>
        </is>
      </c>
      <c r="AX25" t="inlineStr">
        <is>
          <t>FY2021</t>
        </is>
      </c>
      <c r="AY25" t="inlineStr">
        <is>
          <t>FY2022</t>
        </is>
      </c>
      <c r="AZ25" t="inlineStr">
        <is>
          <t>FY2023</t>
        </is>
      </c>
      <c r="BA25" t="inlineStr">
        <is>
          <t>FY2024</t>
        </is>
      </c>
      <c r="BB25" t="inlineStr">
        <is>
          <t>FY2025</t>
        </is>
      </c>
    </row>
    <row r="26">
      <c r="A26" s="5" t="inlineStr">
        <is>
          <t>Net cash generated/(utilised) by operating activities</t>
        </is>
      </c>
      <c r="B26" s="5" t="n">
        <v>-370.4</v>
      </c>
      <c r="C26" s="5" t="n">
        <v>2084.9</v>
      </c>
      <c r="D26" s="5" t="n">
        <v>1215.6</v>
      </c>
      <c r="E26" s="5" t="n">
        <v>883.4</v>
      </c>
      <c r="F26" s="5" t="n">
        <v>-934.8</v>
      </c>
      <c r="G26" s="5" t="n"/>
      <c r="H26" s="5" t="n"/>
      <c r="I26" s="5" t="n">
        <v>-29.83</v>
      </c>
      <c r="J26" s="5" t="n">
        <v>-480.02</v>
      </c>
      <c r="AS26" t="inlineStr">
        <is>
          <t>Net cash generated/(utilised) by operating activities</t>
        </is>
      </c>
      <c r="AT26" t="n">
        <v>-480.02</v>
      </c>
      <c r="AU26" t="n">
        <v>-29.83</v>
      </c>
      <c r="AX26" t="n">
        <v>-934.8</v>
      </c>
      <c r="AY26" t="n">
        <v>883.4</v>
      </c>
      <c r="AZ26" t="n">
        <v>1215.6</v>
      </c>
      <c r="BA26" t="n">
        <v>2084.9</v>
      </c>
      <c r="BB26" t="n">
        <v>-370.4</v>
      </c>
    </row>
    <row r="27">
      <c r="A27" s="5" t="inlineStr">
        <is>
          <t>Net cash generated/(utilised) by investing activities</t>
        </is>
      </c>
      <c r="B27" s="5" t="n">
        <v>-314.1</v>
      </c>
      <c r="C27" s="5" t="n">
        <v>-462.5</v>
      </c>
      <c r="D27" s="5" t="n">
        <v>206.3</v>
      </c>
      <c r="E27" s="5" t="n">
        <v>-212.1</v>
      </c>
      <c r="F27" s="5" t="n">
        <v>-414.4</v>
      </c>
      <c r="G27" s="5" t="n"/>
      <c r="H27" s="5" t="n"/>
      <c r="I27" s="5" t="n">
        <v>0</v>
      </c>
      <c r="J27" s="5" t="n">
        <v>-218.54</v>
      </c>
      <c r="AS27" t="inlineStr">
        <is>
          <t>Net cash generated/(utilised) by investing activities</t>
        </is>
      </c>
      <c r="AT27" t="n">
        <v>-218.54</v>
      </c>
      <c r="AU27" t="n">
        <v>0</v>
      </c>
      <c r="AX27" t="n">
        <v>-414.4</v>
      </c>
      <c r="AY27" t="n">
        <v>-212.1</v>
      </c>
      <c r="AZ27" t="n">
        <v>206.3</v>
      </c>
      <c r="BA27" t="n">
        <v>-462.5</v>
      </c>
      <c r="BB27" t="n">
        <v>-314.1</v>
      </c>
    </row>
    <row r="28">
      <c r="A28" s="5" t="inlineStr">
        <is>
          <t>Net cash generated/(utilised) by financing activities</t>
        </is>
      </c>
      <c r="B28" s="5" t="n">
        <v>538</v>
      </c>
      <c r="C28" s="5" t="n">
        <v>-2104</v>
      </c>
      <c r="D28" s="5" t="n">
        <v>-208</v>
      </c>
      <c r="E28" s="5" t="n">
        <v>-219.3</v>
      </c>
      <c r="F28" s="5" t="n">
        <v>869.7</v>
      </c>
      <c r="G28" s="5" t="n"/>
      <c r="H28" s="5" t="n"/>
      <c r="I28" s="5" t="n">
        <v>317.49</v>
      </c>
      <c r="J28" s="5" t="n">
        <v>1003.76</v>
      </c>
      <c r="AS28" t="inlineStr">
        <is>
          <t>Net cash generated/(utilised) by financing activities</t>
        </is>
      </c>
      <c r="AT28" t="n">
        <v>1003.76</v>
      </c>
      <c r="AU28" t="n">
        <v>317.49</v>
      </c>
      <c r="AX28" t="n">
        <v>869.7</v>
      </c>
      <c r="AY28" t="n">
        <v>-219.3</v>
      </c>
      <c r="AZ28" t="n">
        <v>-208</v>
      </c>
      <c r="BA28" t="n">
        <v>-2104</v>
      </c>
      <c r="BB28" t="n">
        <v>538</v>
      </c>
    </row>
    <row r="29">
      <c r="A29" s="5" t="inlineStr">
        <is>
          <t>Closing cash and cash equivalents</t>
        </is>
      </c>
      <c r="B29" s="5" t="n">
        <v>2231.9</v>
      </c>
      <c r="C29" s="5" t="n">
        <v>2378.4</v>
      </c>
      <c r="D29" s="5" t="n">
        <v>2860</v>
      </c>
      <c r="E29" s="5" t="n">
        <v>1646.1</v>
      </c>
      <c r="F29" s="5" t="n">
        <v>1194.1</v>
      </c>
      <c r="G29" s="5" t="n"/>
      <c r="H29" s="5" t="n"/>
      <c r="I29" s="5" t="n">
        <v>917.55</v>
      </c>
      <c r="J29" s="5" t="n">
        <v>629.89</v>
      </c>
      <c r="AS29" t="inlineStr">
        <is>
          <t>Closing cash and cash equivalents</t>
        </is>
      </c>
      <c r="AT29" t="n">
        <v>629.89</v>
      </c>
      <c r="AU29" t="n">
        <v>917.55</v>
      </c>
      <c r="AX29" t="n">
        <v>1194.1</v>
      </c>
      <c r="AY29" t="n">
        <v>1646.1</v>
      </c>
      <c r="AZ29" t="n">
        <v>2860</v>
      </c>
      <c r="BA29" t="n">
        <v>2378.4</v>
      </c>
      <c r="BB29" t="n">
        <v>2231.9</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row>
    <row r="33">
      <c r="A33" s="6" t="inlineStr">
        <is>
          <t>CET1 Ratio</t>
        </is>
      </c>
      <c r="B33" s="6" t="inlineStr">
        <is>
          <t>13.6%</t>
        </is>
      </c>
      <c r="C33" s="6" t="inlineStr">
        <is>
          <t>14.2%</t>
        </is>
      </c>
      <c r="D33" s="6" t="inlineStr">
        <is>
          <t>15.5%</t>
        </is>
      </c>
      <c r="E33" s="6" t="inlineStr">
        <is>
          <t>16.3%</t>
        </is>
      </c>
      <c r="F33" s="6" t="inlineStr">
        <is>
          <t>15.4%</t>
        </is>
      </c>
    </row>
    <row r="34">
      <c r="A34" s="6" t="inlineStr">
        <is>
          <t>Tier 1 Ratio</t>
        </is>
      </c>
      <c r="B34" s="6" t="inlineStr">
        <is>
          <t>13.6%</t>
        </is>
      </c>
      <c r="C34" s="6" t="inlineStr">
        <is>
          <t>14.2%</t>
        </is>
      </c>
      <c r="D34" s="6" t="inlineStr">
        <is>
          <t>15.5%</t>
        </is>
      </c>
      <c r="E34" s="6" t="inlineStr">
        <is>
          <t>16.3%</t>
        </is>
      </c>
      <c r="F34" s="6" t="inlineStr">
        <is>
          <t>15.4%</t>
        </is>
      </c>
    </row>
    <row r="35">
      <c r="A35" s="6" t="inlineStr">
        <is>
          <t>Total Capital Ratio</t>
        </is>
      </c>
      <c r="B35" s="6" t="inlineStr">
        <is>
          <t>15.3%</t>
        </is>
      </c>
      <c r="C35" s="6" t="inlineStr">
        <is>
          <t>16.0%</t>
        </is>
      </c>
      <c r="D35" s="6" t="inlineStr">
        <is>
          <t>17.5%</t>
        </is>
      </c>
      <c r="E35" s="6" t="inlineStr">
        <is>
          <t>18.3%</t>
        </is>
      </c>
      <c r="F35" s="6" t="inlineStr">
        <is>
          <t>17.6%</t>
        </is>
      </c>
    </row>
    <row r="36">
      <c r="A36" s="6" t="inlineStr">
        <is>
          <t>Leverage Ratio</t>
        </is>
      </c>
      <c r="B36" s="6" t="inlineStr">
        <is>
          <t>6.6%</t>
        </is>
      </c>
      <c r="C36" s="6" t="inlineStr">
        <is>
          <t>7.0%</t>
        </is>
      </c>
      <c r="D36" s="6" t="inlineStr">
        <is>
          <t>7.6%</t>
        </is>
      </c>
      <c r="E36" s="6" t="inlineStr">
        <is>
          <t>7.9%</t>
        </is>
      </c>
      <c r="F36" s="6" t="n"/>
    </row>
    <row r="37">
      <c r="A37" s="6" t="inlineStr">
        <is>
          <t>LCR</t>
        </is>
      </c>
      <c r="B37" s="6" t="inlineStr">
        <is>
          <t>154.0%</t>
        </is>
      </c>
      <c r="C37" s="6" t="inlineStr">
        <is>
          <t>211.5%</t>
        </is>
      </c>
      <c r="D37" s="6" t="inlineStr">
        <is>
          <t>193.8%</t>
        </is>
      </c>
      <c r="E37" s="6" t="inlineStr">
        <is>
          <t>146.3%</t>
        </is>
      </c>
      <c r="F37" s="6" t="inlineStr">
        <is>
          <t>164.9%</t>
        </is>
      </c>
    </row>
    <row r="38">
      <c r="A38" s="6" t="inlineStr">
        <is>
          <t>NSFR</t>
        </is>
      </c>
      <c r="B38" s="6" t="inlineStr">
        <is>
          <t>138.7%</t>
        </is>
      </c>
      <c r="C38" s="6" t="inlineStr">
        <is>
          <t>138.2%</t>
        </is>
      </c>
      <c r="D38" s="6" t="inlineStr">
        <is>
          <t>128.0%</t>
        </is>
      </c>
      <c r="E38" s="6" t="inlineStr">
        <is>
          <t>121.5%</t>
        </is>
      </c>
      <c r="F38" s="6" t="inlineStr">
        <is>
          <t>118.9%</t>
        </is>
      </c>
    </row>
    <row r="40" ht="30" customHeight="1">
      <c r="A40" s="7" t="inlineStr">
        <is>
          <t>Note: Cash-flow figures are Bank statutory; regulatory metrics are on the Paragon Bank regulatory-group basis. See each detail sheet.</t>
        </is>
      </c>
    </row>
  </sheetData>
  <mergeCells count="1">
    <mergeCell ref="A40:J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J3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Paragon Bank Plc — Balance Sheet</t>
        </is>
      </c>
    </row>
    <row r="2">
      <c r="A2" s="2" t="inlineStr">
        <is>
          <t>Bank statutory basis, £m (all years as at 30 September). FY2024's Total equity is shown here as originally reported (1,050.1) - see the Statement of Changes in Equity sheet for FY2025's Note 44 restatement (-£29.3m to Reserves) applied to FY2024's closing balance.</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row>
    <row r="4">
      <c r="A4" s="5" t="inlineStr">
        <is>
          <t>Assets</t>
        </is>
      </c>
      <c r="B4" s="6" t="n"/>
      <c r="C4" s="6" t="n"/>
      <c r="D4" s="6" t="n"/>
      <c r="E4" s="6" t="n"/>
      <c r="F4" s="6" t="n"/>
      <c r="G4" s="6" t="n"/>
      <c r="H4" s="6" t="n"/>
      <c r="I4" s="6" t="n"/>
      <c r="J4" s="6" t="n"/>
    </row>
    <row r="5">
      <c r="A5" s="6" t="inlineStr">
        <is>
          <t>Cash - central banks</t>
        </is>
      </c>
      <c r="B5" s="6" t="n">
        <v>2175.7</v>
      </c>
      <c r="C5" s="6" t="n">
        <v>2315.5</v>
      </c>
      <c r="D5" s="6" t="n">
        <v>2783.3</v>
      </c>
      <c r="E5" s="6" t="n">
        <v>1612.5</v>
      </c>
      <c r="F5" s="6" t="n">
        <v>1142</v>
      </c>
      <c r="G5" s="6" t="n">
        <v>1637.06</v>
      </c>
      <c r="H5" s="6" t="n">
        <v>816.4</v>
      </c>
      <c r="I5" s="6" t="n">
        <v>917.55</v>
      </c>
      <c r="J5" s="6" t="n">
        <v>629.89</v>
      </c>
    </row>
    <row r="6">
      <c r="A6" s="6" t="inlineStr">
        <is>
          <t>Cash - retail banks</t>
        </is>
      </c>
      <c r="B6" s="6" t="n">
        <v>56.2</v>
      </c>
      <c r="C6" s="6" t="n">
        <v>62.9</v>
      </c>
      <c r="D6" s="6" t="n">
        <v>76.7</v>
      </c>
      <c r="E6" s="6" t="n">
        <v>33.6</v>
      </c>
      <c r="F6" s="6" t="n">
        <v>52.1</v>
      </c>
      <c r="G6" s="6" t="n">
        <v>36.51</v>
      </c>
      <c r="H6" s="6" t="n">
        <v>20.83</v>
      </c>
      <c r="I6" s="6" t="n"/>
      <c r="J6" s="6" t="n"/>
    </row>
    <row r="7">
      <c r="A7" s="6" t="inlineStr">
        <is>
          <t>UK Government securities (gilts) - carrying value</t>
        </is>
      </c>
      <c r="B7" s="6" t="n">
        <v>509.4</v>
      </c>
      <c r="C7" s="6" t="n">
        <v>404.4</v>
      </c>
      <c r="D7" s="6" t="n"/>
      <c r="E7" s="6" t="n"/>
      <c r="F7" s="6" t="n"/>
      <c r="G7" s="6" t="n"/>
      <c r="H7" s="6" t="n"/>
      <c r="I7" s="6" t="n"/>
      <c r="J7" s="6" t="n"/>
    </row>
    <row r="8">
      <c r="A8" s="6" t="inlineStr">
        <is>
          <t>Covered bonds - other financial assets, not UK government-backed</t>
        </is>
      </c>
      <c r="B8" s="6" t="n">
        <v>116.8</v>
      </c>
      <c r="C8" s="6" t="n">
        <v>23</v>
      </c>
      <c r="D8" s="6" t="n"/>
      <c r="E8" s="6" t="n"/>
      <c r="F8" s="6" t="n"/>
      <c r="G8" s="6" t="n"/>
      <c r="H8" s="6" t="n"/>
      <c r="I8" s="6" t="n"/>
      <c r="J8" s="6" t="n"/>
    </row>
    <row r="9">
      <c r="A9" s="5" t="inlineStr">
        <is>
          <t>Investment securities - total (FY2021-22: 'Short term investments', both nil)</t>
        </is>
      </c>
      <c r="B9" s="5" t="n">
        <v>626.2</v>
      </c>
      <c r="C9" s="5" t="n">
        <v>427.4</v>
      </c>
      <c r="D9" s="5" t="n"/>
      <c r="E9" s="5" t="n">
        <v>0</v>
      </c>
      <c r="F9" s="5" t="n">
        <v>0</v>
      </c>
      <c r="G9" s="5" t="n">
        <v>0</v>
      </c>
      <c r="H9" s="5" t="n">
        <v>0</v>
      </c>
      <c r="I9" s="5" t="n"/>
      <c r="J9" s="5" t="n"/>
    </row>
    <row r="10">
      <c r="A10" s="6" t="inlineStr">
        <is>
          <t>Loans to customers</t>
        </is>
      </c>
      <c r="B10" s="6" t="n">
        <v>12446</v>
      </c>
      <c r="C10" s="6" t="n">
        <v>11671.6</v>
      </c>
      <c r="D10" s="6" t="n">
        <v>11161.2</v>
      </c>
      <c r="E10" s="6" t="n">
        <v>8952.799999999999</v>
      </c>
      <c r="F10" s="6" t="n">
        <v>8144.6</v>
      </c>
      <c r="G10" s="6" t="n">
        <v>7146.78</v>
      </c>
      <c r="H10" s="6" t="n">
        <v>5848.32</v>
      </c>
      <c r="I10" s="6" t="n">
        <v>4655.43</v>
      </c>
      <c r="J10" s="6" t="n">
        <v>3086.7</v>
      </c>
    </row>
    <row r="11">
      <c r="A11" s="6" t="inlineStr">
        <is>
          <t>Investment in structured entities</t>
        </is>
      </c>
      <c r="B11" s="6" t="n">
        <v>1959.3</v>
      </c>
      <c r="C11" s="6" t="n">
        <v>2154.9</v>
      </c>
      <c r="D11" s="6" t="n">
        <v>1427.9</v>
      </c>
      <c r="E11" s="6" t="n">
        <v>1791.2</v>
      </c>
      <c r="F11" s="6" t="n">
        <v>1944.1</v>
      </c>
      <c r="G11" s="6" t="n"/>
      <c r="H11" s="6" t="n"/>
      <c r="I11" s="6" t="n">
        <v>8.220000000000001</v>
      </c>
      <c r="J11" s="6" t="n">
        <v>9.02</v>
      </c>
    </row>
    <row r="12">
      <c r="A12" s="6" t="inlineStr">
        <is>
          <t>Derivative financial assets</t>
        </is>
      </c>
      <c r="B12" s="6" t="n">
        <v>241.1</v>
      </c>
      <c r="C12" s="6" t="n">
        <v>319.1</v>
      </c>
      <c r="D12" s="6" t="n">
        <v>518.2</v>
      </c>
      <c r="E12" s="6" t="n">
        <v>605.9</v>
      </c>
      <c r="F12" s="6" t="n">
        <v>28.5</v>
      </c>
      <c r="G12" s="6" t="n">
        <v>17.98</v>
      </c>
      <c r="H12" s="6" t="n">
        <v>9.720000000000001</v>
      </c>
      <c r="I12" s="6" t="n">
        <v>22.4</v>
      </c>
      <c r="J12" s="6" t="n">
        <v>9.369999999999999</v>
      </c>
    </row>
    <row r="13">
      <c r="A13" s="6" t="inlineStr">
        <is>
          <t>Sundry assets</t>
        </is>
      </c>
      <c r="B13" s="6" t="n">
        <v>115.5</v>
      </c>
      <c r="C13" s="6" t="n">
        <v>137</v>
      </c>
      <c r="D13" s="6" t="n">
        <v>88.59999999999999</v>
      </c>
      <c r="E13" s="6" t="n">
        <v>115</v>
      </c>
      <c r="F13" s="6" t="n">
        <v>127.5</v>
      </c>
      <c r="G13" s="6" t="n">
        <v>574.87</v>
      </c>
      <c r="H13" s="6" t="n">
        <v>344.53</v>
      </c>
      <c r="I13" s="6" t="n">
        <v>350.23</v>
      </c>
      <c r="J13" s="6" t="n">
        <v>367.75</v>
      </c>
    </row>
    <row r="14">
      <c r="A14" s="6" t="inlineStr">
        <is>
          <t>Fair value adjustments from portfolio hedging (asset)</t>
        </is>
      </c>
      <c r="B14" s="6" t="n"/>
      <c r="C14" s="6" t="n"/>
      <c r="D14" s="6" t="n"/>
      <c r="E14" s="6" t="n"/>
      <c r="F14" s="6" t="n"/>
      <c r="G14" s="6" t="n"/>
      <c r="H14" s="6" t="n"/>
      <c r="I14" s="6" t="n">
        <v>-23.05</v>
      </c>
      <c r="J14" s="6" t="n">
        <v>-8.18</v>
      </c>
    </row>
    <row r="15">
      <c r="A15" s="6" t="inlineStr">
        <is>
          <t>Property, plant and equipment</t>
        </is>
      </c>
      <c r="B15" s="6" t="n"/>
      <c r="C15" s="6" t="n"/>
      <c r="D15" s="6" t="n">
        <v>0</v>
      </c>
      <c r="E15" s="6" t="n">
        <v>0</v>
      </c>
      <c r="F15" s="6" t="n">
        <v>5.1</v>
      </c>
      <c r="G15" s="6" t="n"/>
      <c r="H15" s="6" t="n"/>
      <c r="I15" s="6" t="n"/>
      <c r="J15" s="6" t="n"/>
    </row>
    <row r="16">
      <c r="A16" s="6" t="inlineStr">
        <is>
          <t>Investment in subsidiary undertakings</t>
        </is>
      </c>
      <c r="B16" s="6" t="n">
        <v>2192.7</v>
      </c>
      <c r="C16" s="6" t="n">
        <v>2111.9</v>
      </c>
      <c r="D16" s="6" t="n">
        <v>2069</v>
      </c>
      <c r="E16" s="6" t="n">
        <v>2278</v>
      </c>
      <c r="F16" s="6" t="n">
        <v>2061.7</v>
      </c>
      <c r="G16" s="6" t="n">
        <v>1647.34</v>
      </c>
      <c r="H16" s="6" t="n">
        <v>1598.65</v>
      </c>
      <c r="I16" s="6" t="n"/>
      <c r="J16" s="6" t="n"/>
    </row>
    <row r="17">
      <c r="A17" s="5" t="inlineStr">
        <is>
          <t>Total assets</t>
        </is>
      </c>
      <c r="B17" s="5" t="n">
        <v>19812.7</v>
      </c>
      <c r="C17" s="5" t="n">
        <v>19200.3</v>
      </c>
      <c r="D17" s="5" t="n">
        <v>18124.9</v>
      </c>
      <c r="E17" s="5" t="n">
        <v>15389</v>
      </c>
      <c r="F17" s="5" t="n">
        <v>13505.6</v>
      </c>
      <c r="G17" s="5" t="n">
        <v>11061.83</v>
      </c>
      <c r="H17" s="5" t="n">
        <v>8640.959999999999</v>
      </c>
      <c r="I17" s="5" t="n">
        <v>7488.86</v>
      </c>
      <c r="J17" s="5" t="n">
        <v>4914.21</v>
      </c>
    </row>
    <row r="18">
      <c r="A18" s="5" t="inlineStr">
        <is>
          <t>Liabilities</t>
        </is>
      </c>
      <c r="B18" s="6" t="n"/>
      <c r="C18" s="6" t="n"/>
      <c r="D18" s="6" t="n"/>
      <c r="E18" s="6" t="n"/>
      <c r="F18" s="6" t="n"/>
      <c r="G18" s="6" t="n"/>
      <c r="H18" s="6" t="n"/>
      <c r="I18" s="6" t="n"/>
      <c r="J18" s="6" t="n"/>
    </row>
    <row r="19">
      <c r="A19" s="6" t="inlineStr">
        <is>
          <t>Retail deposits</t>
        </is>
      </c>
      <c r="B19" s="6" t="n">
        <v>16270.8</v>
      </c>
      <c r="C19" s="6" t="n">
        <v>16314.7</v>
      </c>
      <c r="D19" s="6" t="n">
        <v>13234.4</v>
      </c>
      <c r="E19" s="6" t="n">
        <v>10569.5</v>
      </c>
      <c r="F19" s="6" t="n">
        <v>9297.4</v>
      </c>
      <c r="G19" s="6" t="n">
        <v>7866.59</v>
      </c>
      <c r="H19" s="6" t="n">
        <v>6395.87</v>
      </c>
      <c r="I19" s="6" t="n">
        <v>5296.57</v>
      </c>
      <c r="J19" s="6" t="n">
        <v>3615.41</v>
      </c>
    </row>
    <row r="20">
      <c r="A20" s="6" t="inlineStr">
        <is>
          <t>Derivative financial liabilities</t>
        </is>
      </c>
      <c r="B20" s="6" t="n">
        <v>65.3</v>
      </c>
      <c r="C20" s="6" t="n">
        <v>98.90000000000001</v>
      </c>
      <c r="D20" s="6" t="n">
        <v>39.7</v>
      </c>
      <c r="E20" s="6" t="n">
        <v>118.1</v>
      </c>
      <c r="F20" s="6" t="n">
        <v>42</v>
      </c>
      <c r="G20" s="6" t="n"/>
      <c r="H20" s="6" t="n"/>
      <c r="I20" s="6" t="n">
        <v>4.3</v>
      </c>
      <c r="J20" s="6" t="n">
        <v>5.42</v>
      </c>
    </row>
    <row r="21">
      <c r="A21" s="6" t="inlineStr">
        <is>
          <t>Fair value adjustments from portfolio hedging (liability)</t>
        </is>
      </c>
      <c r="B21" s="6" t="n"/>
      <c r="C21" s="6" t="n"/>
      <c r="D21" s="6" t="n"/>
      <c r="E21" s="6" t="n"/>
      <c r="F21" s="6" t="n"/>
      <c r="G21" s="6" t="n"/>
      <c r="H21" s="6" t="n"/>
      <c r="I21" s="6" t="n">
        <v>-3.77</v>
      </c>
      <c r="J21" s="6" t="n">
        <v>-3.1</v>
      </c>
    </row>
    <row r="22">
      <c r="A22" s="6" t="inlineStr">
        <is>
          <t>Covered bonds</t>
        </is>
      </c>
      <c r="B22" s="6" t="n">
        <v>499.2</v>
      </c>
      <c r="C22" s="6" t="n"/>
      <c r="D22" s="6" t="n"/>
      <c r="E22" s="6" t="n"/>
      <c r="F22" s="6" t="n"/>
      <c r="G22" s="6" t="n"/>
      <c r="H22" s="6" t="n"/>
      <c r="I22" s="6" t="n"/>
      <c r="J22" s="6" t="n"/>
    </row>
    <row r="23">
      <c r="A23" s="6" t="inlineStr">
        <is>
          <t>Central bank facilities</t>
        </is>
      </c>
      <c r="B23" s="6" t="n">
        <v>950</v>
      </c>
      <c r="C23" s="6" t="n">
        <v>755</v>
      </c>
      <c r="D23" s="6" t="n">
        <v>2750</v>
      </c>
      <c r="E23" s="6" t="n">
        <v>2750</v>
      </c>
      <c r="F23" s="6" t="n">
        <v>2819</v>
      </c>
      <c r="G23" s="6" t="n">
        <v>1854.4</v>
      </c>
      <c r="H23" s="6" t="n">
        <v>994.4</v>
      </c>
      <c r="I23" s="6" t="n">
        <v>1024.4</v>
      </c>
      <c r="J23" s="6" t="n">
        <v>700</v>
      </c>
    </row>
    <row r="24">
      <c r="A24" s="6" t="inlineStr">
        <is>
          <t>Sale and repurchase agreements</t>
        </is>
      </c>
      <c r="B24" s="6" t="n">
        <v>100</v>
      </c>
      <c r="C24" s="6" t="n">
        <v>100</v>
      </c>
      <c r="D24" s="6" t="n">
        <v>50.1</v>
      </c>
      <c r="E24" s="6" t="n">
        <v>0</v>
      </c>
      <c r="F24" s="6" t="n"/>
      <c r="G24" s="6" t="n"/>
      <c r="H24" s="6" t="n"/>
      <c r="I24" s="6" t="n"/>
      <c r="J24" s="6" t="n"/>
    </row>
    <row r="25">
      <c r="A25" s="6" t="inlineStr">
        <is>
          <t>Corporate bond</t>
        </is>
      </c>
      <c r="B25" s="6" t="n">
        <v>150.2</v>
      </c>
      <c r="C25" s="6" t="n">
        <v>150.3</v>
      </c>
      <c r="D25" s="6" t="n">
        <v>146.3</v>
      </c>
      <c r="E25" s="6" t="n">
        <v>150</v>
      </c>
      <c r="F25" s="6" t="n">
        <v>150</v>
      </c>
      <c r="G25" s="6" t="n"/>
      <c r="H25" s="6" t="n"/>
      <c r="I25" s="6" t="n"/>
      <c r="J25" s="6" t="n"/>
    </row>
    <row r="26">
      <c r="A26" s="6" t="inlineStr">
        <is>
          <t>Sundry liabilities</t>
        </is>
      </c>
      <c r="B26" s="6" t="n">
        <v>621.4</v>
      </c>
      <c r="C26" s="6" t="n">
        <v>635.4</v>
      </c>
      <c r="D26" s="6" t="n">
        <v>811</v>
      </c>
      <c r="E26" s="6" t="n">
        <v>648.5</v>
      </c>
      <c r="F26" s="6" t="n">
        <v>339.2</v>
      </c>
      <c r="G26" s="6" t="n">
        <v>297.89</v>
      </c>
      <c r="H26" s="6" t="n">
        <v>229.37</v>
      </c>
      <c r="I26" s="6" t="n">
        <v>449.51</v>
      </c>
      <c r="J26" s="6" t="n">
        <v>31.51</v>
      </c>
    </row>
    <row r="27">
      <c r="A27" s="6" t="inlineStr">
        <is>
          <t>Provisions</t>
        </is>
      </c>
      <c r="B27" s="6" t="n">
        <v>25.5</v>
      </c>
      <c r="C27" s="6" t="n"/>
      <c r="D27" s="6" t="n"/>
      <c r="E27" s="6" t="n"/>
      <c r="F27" s="6" t="n"/>
      <c r="G27" s="6" t="n"/>
      <c r="H27" s="6" t="n"/>
      <c r="I27" s="6" t="n"/>
      <c r="J27" s="6" t="n"/>
    </row>
    <row r="28">
      <c r="A28" s="6" t="inlineStr">
        <is>
          <t>Current tax liabilities</t>
        </is>
      </c>
      <c r="B28" s="6" t="n">
        <v>73.40000000000001</v>
      </c>
      <c r="C28" s="6" t="n">
        <v>61.9</v>
      </c>
      <c r="D28" s="6" t="n">
        <v>53</v>
      </c>
      <c r="E28" s="6" t="n">
        <v>34.5</v>
      </c>
      <c r="F28" s="6" t="n">
        <v>35.7</v>
      </c>
      <c r="G28" s="6" t="n"/>
      <c r="H28" s="6" t="n"/>
      <c r="I28" s="6" t="n">
        <v>7.15</v>
      </c>
      <c r="J28" s="6" t="n">
        <v>4.56</v>
      </c>
    </row>
    <row r="29">
      <c r="A29" s="6" t="inlineStr">
        <is>
          <t>Deferred tax liability</t>
        </is>
      </c>
      <c r="B29" s="6" t="n">
        <v>10.9</v>
      </c>
      <c r="C29" s="6" t="n">
        <v>34</v>
      </c>
      <c r="D29" s="6" t="n">
        <v>38.9</v>
      </c>
      <c r="E29" s="6" t="n">
        <v>55</v>
      </c>
      <c r="F29" s="6" t="n">
        <v>3</v>
      </c>
      <c r="G29" s="6" t="n"/>
      <c r="H29" s="6" t="n"/>
      <c r="I29" s="6" t="n">
        <v>1.37</v>
      </c>
      <c r="J29" s="6" t="n">
        <v>0.6</v>
      </c>
    </row>
    <row r="30">
      <c r="A30" s="5" t="inlineStr">
        <is>
          <t>Total liabilities</t>
        </is>
      </c>
      <c r="B30" s="5" t="n">
        <v>18766.7</v>
      </c>
      <c r="C30" s="5" t="n">
        <v>18150.2</v>
      </c>
      <c r="D30" s="5" t="n">
        <v>17123.4</v>
      </c>
      <c r="E30" s="5" t="n">
        <v>14325.6</v>
      </c>
      <c r="F30" s="5" t="n">
        <v>12686.3</v>
      </c>
      <c r="G30" s="5" t="n">
        <v>10291.39</v>
      </c>
      <c r="H30" s="5" t="n">
        <v>7854.89</v>
      </c>
      <c r="I30" s="5" t="n">
        <v>6779.53</v>
      </c>
      <c r="J30" s="5" t="n">
        <v>4354.4</v>
      </c>
    </row>
    <row r="31">
      <c r="A31" s="5" t="inlineStr">
        <is>
          <t>Equity</t>
        </is>
      </c>
      <c r="B31" s="6" t="n"/>
      <c r="C31" s="6" t="n"/>
      <c r="D31" s="6" t="n"/>
      <c r="E31" s="6" t="n"/>
      <c r="F31" s="6" t="n"/>
      <c r="G31" s="6" t="n"/>
      <c r="H31" s="6" t="n"/>
      <c r="I31" s="6" t="n"/>
      <c r="J31" s="6" t="n"/>
    </row>
    <row r="32">
      <c r="A32" s="6" t="inlineStr">
        <is>
          <t>Called up share capital</t>
        </is>
      </c>
      <c r="B32" s="6" t="n">
        <v>552.6</v>
      </c>
      <c r="C32" s="6" t="n">
        <v>552.6</v>
      </c>
      <c r="D32" s="6" t="n">
        <v>552.6</v>
      </c>
      <c r="E32" s="6" t="n">
        <v>552.6</v>
      </c>
      <c r="F32" s="6" t="n">
        <v>552.6</v>
      </c>
      <c r="G32" s="6" t="n">
        <v>552.62</v>
      </c>
      <c r="H32" s="6" t="n">
        <v>552.62</v>
      </c>
      <c r="I32" s="6" t="n">
        <v>552.62</v>
      </c>
      <c r="J32" s="6" t="n">
        <v>552.62</v>
      </c>
    </row>
    <row r="33">
      <c r="A33" s="6" t="inlineStr">
        <is>
          <t>Reserves (profit and loss account)</t>
        </is>
      </c>
      <c r="B33" s="6" t="n">
        <v>493.4</v>
      </c>
      <c r="C33" s="6" t="n">
        <v>497.5</v>
      </c>
      <c r="D33" s="6" t="n">
        <v>448.9</v>
      </c>
      <c r="E33" s="6" t="n">
        <v>510.8</v>
      </c>
      <c r="F33" s="6" t="n">
        <v>266.7</v>
      </c>
      <c r="G33" s="6" t="n">
        <v>217.82</v>
      </c>
      <c r="H33" s="6" t="n">
        <v>233.45</v>
      </c>
      <c r="I33" s="6" t="n">
        <v>156.71</v>
      </c>
      <c r="J33" s="6" t="n">
        <v>7.19</v>
      </c>
    </row>
    <row r="34">
      <c r="A34" s="5" t="inlineStr">
        <is>
          <t>Total equity</t>
        </is>
      </c>
      <c r="B34" s="5" t="n">
        <v>1046</v>
      </c>
      <c r="C34" s="5" t="n">
        <v>1050.1</v>
      </c>
      <c r="D34" s="5" t="n">
        <v>1001.5</v>
      </c>
      <c r="E34" s="5" t="n">
        <v>1063.4</v>
      </c>
      <c r="F34" s="5" t="n">
        <v>819.3</v>
      </c>
      <c r="G34" s="5" t="n">
        <v>770.4400000000001</v>
      </c>
      <c r="H34" s="5" t="n">
        <v>786.0700000000001</v>
      </c>
      <c r="I34" s="5" t="n">
        <v>709.33</v>
      </c>
      <c r="J34" s="5" t="n">
        <v>559.8099999999999</v>
      </c>
    </row>
    <row r="35">
      <c r="A35" s="5" t="inlineStr">
        <is>
          <t>Total liabilities and equity</t>
        </is>
      </c>
      <c r="B35" s="5" t="n">
        <v>19812.7</v>
      </c>
      <c r="C35" s="5" t="n">
        <v>19200.3</v>
      </c>
      <c r="D35" s="5" t="n">
        <v>18124.9</v>
      </c>
      <c r="E35" s="5" t="n">
        <v>15389</v>
      </c>
      <c r="F35" s="5" t="n">
        <v>13505.6</v>
      </c>
      <c r="G35" s="5" t="n">
        <v>11061.83</v>
      </c>
      <c r="H35" s="5" t="n">
        <v>8640.959999999999</v>
      </c>
      <c r="I35" s="5" t="n">
        <v>7488.86</v>
      </c>
      <c r="J35" s="5" t="n">
        <v>4914.21</v>
      </c>
    </row>
    <row r="37" ht="340" customHeight="1">
      <c r="A37" s="8" t="inlineStr">
        <is>
          <t>Sources - Paragon Bank PLC own statutory Balance Sheet/Statement of Profit or Loss/Statement of Movements in Equity, £m (all years ended 30 September), transcribed from each year's own Companies House full-accounts filing (image-only scans, transcribed by reading rendered pages):
FY2025: Companies House filing dated 10 Mar 2026 (157pp), Statement of Profit or Loss p.57, Balance Sheet p.58, Statement of Movements in Equity p.60 - https://find-and-update.company-information.service.gov.uk/company/05390593/filing-history
FY2024: Companies House filing dated 28 Jan 2025 (148pp), Statement of Profit or Loss p.51, Balance Sheet p.52, Statement of Movements in Equity p.54 - https://find-and-update.company-information.service.gov.uk/company/05390593/filing-history
FY2023: Companies House filing dated 15 Feb 2024 (147pp), Statement of Profit or Loss p.50, Balance Sheet p.51, Statement of Movements in Equity p.53 - https://find-and-update.company-information.service.gov.uk/company/05390593/filing-history
FY2022: Companies House filing dated 14 Mar 2023 (139pp), Statement of Profit or Loss p.46, Balance Sheet p.47, Statement of Movements in Equity p.49 - https://find-and-update.company-information.service.gov.uk/company/05390593/filing-history
FY2018: Companies House filing dated 13 Dec 2018 (99pp), Income Statement p.37, Balance Sheet p.38, Cash Flow Statement p.39 and Statement of Movement in Equity p.40 (supplied Companies House scan)
FY2017: Companies House filing dated 19 Dec 2017 (82pp), Statement of Profit or Loss p.25, Balance Sheet p.26, Cash Flow Statement p.27 and Statement of Movement in Equity p.28 (supplied Companies House scan)
FY2021: Companies House filing dated 2022 (137pp), Statement of Profit or Loss p.49, Balance Sheet p.50, Cash Flow Statement p.51 - https://find-and-update.company-information.service.gov.uk/company/05390593/filing-history
ENTITY/BASIS NOTE: Paragon Bank PLC (Companies House 05390593, FRN 604551; formerly Paragon Mortgages (No.24) PLC) is the regulated UK bank. Cash flows are the Bank's own statutory statement, £m, for years ended 30 September. Pillar 3 capital/liquidity figures are for the Paragon Bank regulatory group, including subsidiary entities, as stated in the 2025 accounts and Pillar 3 reports. CORRECTED 18 September 2026 (KM1-032): this note used to say that 'the accessible 2025 URL is the half-year document', and that FY2025 capital metrics therefore used Annual Report note 38. The full-year FY2025 Pillar III is accessible - it sits at a different slug on the same host and was retrieved on 18 September 2026 - so FY2025 now comes from it, on the same basis as every other year. MREL is not disclosed in reviewed reports. FY2020-FY2017 source retrieval was checked against the Paragon Bank PLC Companies House filing history (company 05390593); historical cells remain blank where the older filing presentation could not be transcribed reliably.
INVESTMENT SECURITIES ISSUER-TYPE SPLIT: FY2025 Annual Report (Companies House filing dated 10 Mar 2026, 157pp), Note 13 'Investment securities', p.68, breaks the FY2025/FY2024 carrying value down between UK Government securities ('gilts', FY2025: £509.4m, FY2024: £404.4m) and Covered bonds (FY2025: £116.8m, FY2024: £23.0m) - both figures sum exactly to the Balance Sheet's own 'Investment securities' total each year. The note states the entire balance is carried at amortised cost in both years (confirmed separately by Note 49(b), 'Assets and liabilities carried at amortised cost', same filing p.148) - i.e. there is no FVOCI/FVTPL leg to split out, so no measurement-basis rows are added here (a single-leg '100% amortised cost' row would also double-count against this issuer-type split in the downstream investment-composition view, since both views sum sibling Balance Sheet rows independently) - https://find-and-update.company-information.service.gov.uk/company/05390593/filing-history
PRESENTATION NOTE: FY2023-FY2025's Balance Sheet carries a standalone 'Investment securities' line (FY2023: nil, not separately listed that year - folded into the table's absence; FY2024-25: populated); FY2021-FY2022 instead show a 'Short term investments' line (both nil) - shown here on one combined row since they are the same conceptual line, genuinely renamed by the Bank. 'Property, plant and equipment' appears as its own line only FY2021-FY2023 (nil FY2022-FY2023, £5.1m FY2021) - dropped entirely as a separate line from FY2024 onward (presumably folded into Sundry assets that year, per the Bank's own table). FY2025 uniquely carries 'Covered bonds' (£499.2m) and 'Provisions' (£25.5m) on the liabilities side, and a 'Provision for liabilities' line in the P&amp;L - genuine new items that year, not gaps in earlier years. FY2021's Interest receivable/Interest payable are shown grossed up differently (£288.4m/£(145.8)m) than the FY2022 report's own restated FY2021 comparative (£256.2m/£(113.6)m) - Net interest income is identical either way (£142.6m), so this is a presentation-only grossing change (likely a swap-interest netting convention), not a restatement of profit; the Bank's own contemporaneous FY2021 figures are used here.</t>
        </is>
      </c>
    </row>
  </sheetData>
  <mergeCells count="1">
    <mergeCell ref="A37:J3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Paragon Bank Plc — Profit &amp; Loss</t>
        </is>
      </c>
    </row>
    <row r="2">
      <c r="A2" s="2" t="inlineStr">
        <is>
          <t>Bank statutory basis, £m. FY2025 uniquely carries a 'Provision for liabilities' line (£25.5m) - a genuine new item that year, not a gap in earlier years. No other comprehensive income was disclosed in any of the 5 years - Profit for the financial year equals Total comprehensive income throughout, per each report's own statement.</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row>
    <row r="4">
      <c r="A4" s="5" t="inlineStr">
        <is>
          <t>Income</t>
        </is>
      </c>
      <c r="B4" s="6" t="n"/>
      <c r="C4" s="6" t="n"/>
      <c r="D4" s="6" t="n"/>
      <c r="E4" s="6" t="n"/>
      <c r="F4" s="6" t="n"/>
      <c r="G4" s="6" t="n"/>
      <c r="H4" s="6" t="n"/>
      <c r="I4" s="6" t="n"/>
      <c r="J4" s="6" t="n"/>
    </row>
    <row r="5">
      <c r="A5" s="6" t="inlineStr">
        <is>
          <t>Interest receivable</t>
        </is>
      </c>
      <c r="B5" s="6" t="n">
        <v>1148.9</v>
      </c>
      <c r="C5" s="6" t="n">
        <v>1180.9</v>
      </c>
      <c r="D5" s="6" t="n">
        <v>852.4</v>
      </c>
      <c r="E5" s="6" t="n">
        <v>368</v>
      </c>
      <c r="F5" s="6" t="n">
        <v>288.4</v>
      </c>
      <c r="G5" s="6" t="n">
        <v>274.43</v>
      </c>
      <c r="H5" s="6" t="n">
        <v>247.38</v>
      </c>
      <c r="I5" s="6" t="n">
        <v>177.08</v>
      </c>
      <c r="J5" s="6" t="n">
        <v>105.66</v>
      </c>
    </row>
    <row r="6">
      <c r="A6" s="6" t="inlineStr">
        <is>
          <t>Interest payable and similar charges</t>
        </is>
      </c>
      <c r="B6" s="6" t="n">
        <v>-758.1</v>
      </c>
      <c r="C6" s="6" t="n">
        <v>-838</v>
      </c>
      <c r="D6" s="6" t="n">
        <v>-536.8</v>
      </c>
      <c r="E6" s="6" t="n">
        <v>-147</v>
      </c>
      <c r="F6" s="6" t="n">
        <v>-145.8</v>
      </c>
      <c r="G6" s="6" t="n">
        <v>-149.11</v>
      </c>
      <c r="H6" s="6" t="n">
        <v>-136.23</v>
      </c>
      <c r="I6" s="6" t="n">
        <v>-98.2</v>
      </c>
      <c r="J6" s="6" t="n">
        <v>-49.37</v>
      </c>
    </row>
    <row r="7">
      <c r="A7" s="5" t="inlineStr">
        <is>
          <t>Net interest income</t>
        </is>
      </c>
      <c r="B7" s="5" t="n">
        <v>390.8</v>
      </c>
      <c r="C7" s="5" t="n">
        <v>342.9</v>
      </c>
      <c r="D7" s="5" t="n">
        <v>315.6</v>
      </c>
      <c r="E7" s="5" t="n">
        <v>221</v>
      </c>
      <c r="F7" s="5" t="n">
        <v>142.6</v>
      </c>
      <c r="G7" s="5" t="n">
        <v>125.32</v>
      </c>
      <c r="H7" s="5" t="n">
        <v>111.15</v>
      </c>
      <c r="I7" s="5" t="n">
        <v>78.88</v>
      </c>
      <c r="J7" s="5" t="n">
        <v>56.29</v>
      </c>
    </row>
    <row r="8">
      <c r="A8" s="6" t="inlineStr">
        <is>
          <t>Other income / other operating income</t>
        </is>
      </c>
      <c r="B8" s="6" t="n">
        <v>51.9</v>
      </c>
      <c r="C8" s="6" t="n">
        <v>81.8</v>
      </c>
      <c r="D8" s="6" t="n">
        <v>108.7</v>
      </c>
      <c r="E8" s="6" t="n">
        <v>174.4</v>
      </c>
      <c r="F8" s="6" t="n">
        <v>95.5</v>
      </c>
      <c r="G8" s="6" t="n">
        <v>58.85</v>
      </c>
      <c r="H8" s="6" t="n">
        <v>72.76000000000001</v>
      </c>
      <c r="I8" s="6" t="n">
        <v>140.21</v>
      </c>
      <c r="J8" s="6" t="n">
        <v>0.96</v>
      </c>
    </row>
    <row r="9">
      <c r="A9" s="5" t="inlineStr">
        <is>
          <t>Total operating income</t>
        </is>
      </c>
      <c r="B9" s="5" t="n">
        <v>442.7</v>
      </c>
      <c r="C9" s="5" t="n">
        <v>424.7</v>
      </c>
      <c r="D9" s="5" t="n">
        <v>424.3</v>
      </c>
      <c r="E9" s="5" t="n">
        <v>395.4</v>
      </c>
      <c r="F9" s="5" t="n">
        <v>238.1</v>
      </c>
      <c r="G9" s="5" t="n">
        <v>184.17</v>
      </c>
      <c r="H9" s="5" t="n">
        <v>183.91</v>
      </c>
      <c r="I9" s="5" t="n">
        <v>219.09</v>
      </c>
      <c r="J9" s="5" t="n">
        <v>57.25</v>
      </c>
    </row>
    <row r="10">
      <c r="A10" s="5" t="inlineStr">
        <is>
          <t>Operating expenses</t>
        </is>
      </c>
      <c r="B10" s="5" t="n">
        <v>-132.6</v>
      </c>
      <c r="C10" s="5" t="n">
        <v>-132.5</v>
      </c>
      <c r="D10" s="5" t="n">
        <v>-117.4</v>
      </c>
      <c r="E10" s="5" t="n">
        <v>-99.8</v>
      </c>
      <c r="F10" s="5" t="n">
        <v>-81.5</v>
      </c>
      <c r="G10" s="5" t="n">
        <v>-64.04000000000001</v>
      </c>
      <c r="H10" s="5" t="n">
        <v>-61.54</v>
      </c>
      <c r="I10" s="5" t="n">
        <v>-50.7</v>
      </c>
      <c r="J10" s="5" t="n">
        <v>-32.49</v>
      </c>
    </row>
    <row r="11">
      <c r="A11" s="6" t="inlineStr">
        <is>
          <t>Provisions for losses</t>
        </is>
      </c>
      <c r="B11" s="6" t="n">
        <v>-6.4</v>
      </c>
      <c r="C11" s="6" t="n">
        <v>-10.5</v>
      </c>
      <c r="D11" s="6" t="n">
        <v>-10.5</v>
      </c>
      <c r="E11" s="6" t="n">
        <v>-6.6</v>
      </c>
      <c r="F11" s="6" t="n">
        <v>10.9</v>
      </c>
      <c r="G11" s="6" t="n">
        <v>-15.5</v>
      </c>
      <c r="H11" s="6" t="n">
        <v>-3.82</v>
      </c>
      <c r="I11" s="6" t="n">
        <v>-2.13</v>
      </c>
      <c r="J11" s="6" t="n">
        <v>-1.06</v>
      </c>
    </row>
    <row r="12">
      <c r="A12" s="6" t="inlineStr">
        <is>
          <t>Provision for liabilities</t>
        </is>
      </c>
      <c r="B12" s="6" t="n">
        <v>-25.5</v>
      </c>
      <c r="C12" s="6" t="n"/>
      <c r="D12" s="6" t="n"/>
      <c r="E12" s="6" t="n"/>
      <c r="F12" s="6" t="n"/>
      <c r="G12" s="6" t="n"/>
      <c r="H12" s="6" t="n"/>
      <c r="I12" s="6" t="n"/>
      <c r="J12" s="6" t="n"/>
    </row>
    <row r="13">
      <c r="A13" s="5" t="inlineStr">
        <is>
          <t>Operating profit before fair value items</t>
        </is>
      </c>
      <c r="B13" s="5" t="n">
        <v>278.2</v>
      </c>
      <c r="C13" s="5" t="n">
        <v>281.7</v>
      </c>
      <c r="D13" s="5" t="n">
        <v>296.4</v>
      </c>
      <c r="E13" s="5" t="n">
        <v>289</v>
      </c>
      <c r="F13" s="5" t="n">
        <v>167.5</v>
      </c>
      <c r="G13" s="5" t="n">
        <v>104.63</v>
      </c>
      <c r="H13" s="5" t="n">
        <v>118.55</v>
      </c>
      <c r="I13" s="5" t="n">
        <v>166.26</v>
      </c>
      <c r="J13" s="5" t="n">
        <v>23.7</v>
      </c>
    </row>
    <row r="14">
      <c r="A14" s="6" t="inlineStr">
        <is>
          <t>Fair value net gain/(loss)</t>
        </is>
      </c>
      <c r="B14" s="6" t="n">
        <v>-36</v>
      </c>
      <c r="C14" s="6" t="n">
        <v>-16.7</v>
      </c>
      <c r="D14" s="6" t="n">
        <v>-63.8</v>
      </c>
      <c r="E14" s="6" t="n">
        <v>191.2</v>
      </c>
      <c r="F14" s="6" t="n">
        <v>15</v>
      </c>
      <c r="G14" s="6" t="n">
        <v>5.52</v>
      </c>
      <c r="H14" s="6" t="n">
        <v>-11.54</v>
      </c>
      <c r="I14" s="6" t="n">
        <v>-1.75</v>
      </c>
      <c r="J14" s="6" t="n">
        <v>-0.78</v>
      </c>
    </row>
    <row r="15">
      <c r="A15" s="5" t="inlineStr">
        <is>
          <t>Profit on ordinary activities before taxation</t>
        </is>
      </c>
      <c r="B15" s="5" t="n">
        <v>242.2</v>
      </c>
      <c r="C15" s="5" t="n">
        <v>265</v>
      </c>
      <c r="D15" s="5" t="n">
        <v>232.6</v>
      </c>
      <c r="E15" s="5" t="n">
        <v>480.2</v>
      </c>
      <c r="F15" s="5" t="n">
        <v>182.5</v>
      </c>
      <c r="G15" s="5" t="n">
        <v>110.15</v>
      </c>
      <c r="H15" s="5" t="n">
        <v>107.01</v>
      </c>
      <c r="I15" s="5" t="n">
        <v>164.51</v>
      </c>
      <c r="J15" s="5" t="n">
        <v>22.92</v>
      </c>
    </row>
    <row r="16">
      <c r="A16" s="6" t="inlineStr">
        <is>
          <t>Tax charge on profit on ordinary activities</t>
        </is>
      </c>
      <c r="B16" s="6" t="n">
        <v>-61.2</v>
      </c>
      <c r="C16" s="6" t="n">
        <v>-57.5</v>
      </c>
      <c r="D16" s="6" t="n">
        <v>-36.4</v>
      </c>
      <c r="E16" s="6" t="n">
        <v>-85.8</v>
      </c>
      <c r="F16" s="6" t="n">
        <v>-38.8</v>
      </c>
      <c r="G16" s="6" t="n">
        <v>-15.6</v>
      </c>
      <c r="H16" s="6" t="n">
        <v>-9.789999999999999</v>
      </c>
      <c r="I16" s="6" t="n">
        <v>-8.08</v>
      </c>
      <c r="J16" s="6" t="n">
        <v>-5.25</v>
      </c>
    </row>
    <row r="17">
      <c r="A17" s="5" t="inlineStr">
        <is>
          <t>Profit for the financial year</t>
        </is>
      </c>
      <c r="B17" s="5" t="n">
        <v>181</v>
      </c>
      <c r="C17" s="5" t="n">
        <v>207.5</v>
      </c>
      <c r="D17" s="5" t="n">
        <v>196.2</v>
      </c>
      <c r="E17" s="5" t="n">
        <v>394.4</v>
      </c>
      <c r="F17" s="5" t="n">
        <v>143.7</v>
      </c>
      <c r="G17" s="5" t="n">
        <v>94.55</v>
      </c>
      <c r="H17" s="5" t="n">
        <v>97.22</v>
      </c>
      <c r="I17" s="5" t="n">
        <v>156.43</v>
      </c>
      <c r="J17" s="5" t="n">
        <v>17.67</v>
      </c>
    </row>
    <row r="19" ht="340" customHeight="1">
      <c r="A19" s="8" t="inlineStr">
        <is>
          <t>Sources - Paragon Bank PLC own statutory Balance Sheet/Statement of Profit or Loss/Statement of Movements in Equity, £m (all years ended 30 September), transcribed from each year's own Companies House full-accounts filing (image-only scans, transcribed by reading rendered pages):
FY2025: Companies House filing dated 10 Mar 2026 (157pp), Statement of Profit or Loss p.57, Balance Sheet p.58, Statement of Movements in Equity p.60 - https://find-and-update.company-information.service.gov.uk/company/05390593/filing-history
FY2024: Companies House filing dated 28 Jan 2025 (148pp), Statement of Profit or Loss p.51, Balance Sheet p.52, Statement of Movements in Equity p.54 - https://find-and-update.company-information.service.gov.uk/company/05390593/filing-history
FY2023: Companies House filing dated 15 Feb 2024 (147pp), Statement of Profit or Loss p.50, Balance Sheet p.51, Statement of Movements in Equity p.53 - https://find-and-update.company-information.service.gov.uk/company/05390593/filing-history
FY2022: Companies House filing dated 14 Mar 2023 (139pp), Statement of Profit or Loss p.46, Balance Sheet p.47, Statement of Movements in Equity p.49 - https://find-and-update.company-information.service.gov.uk/company/05390593/filing-history
FY2018: Companies House filing dated 13 Dec 2018 (99pp), Income Statement p.37, Balance Sheet p.38, Cash Flow Statement p.39 and Statement of Movement in Equity p.40 (supplied Companies House scan)
FY2017: Companies House filing dated 19 Dec 2017 (82pp), Statement of Profit or Loss p.25, Balance Sheet p.26, Cash Flow Statement p.27 and Statement of Movement in Equity p.28 (supplied Companies House scan)
FY2021: Companies House filing dated 2022 (137pp), Statement of Profit or Loss p.49, Balance Sheet p.50, Cash Flow Statement p.51 - https://find-and-update.company-information.service.gov.uk/company/05390593/filing-history
ENTITY/BASIS NOTE: Paragon Bank PLC (Companies House 05390593, FRN 604551; formerly Paragon Mortgages (No.24) PLC) is the regulated UK bank. Cash flows are the Bank's own statutory statement, £m, for years ended 30 September. Pillar 3 capital/liquidity figures are for the Paragon Bank regulatory group, including subsidiary entities, as stated in the 2025 accounts and Pillar 3 reports. CORRECTED 18 September 2026 (KM1-032): this note used to say that 'the accessible 2025 URL is the half-year document', and that FY2025 capital metrics therefore used Annual Report note 38. The full-year FY2025 Pillar III is accessible - it sits at a different slug on the same host and was retrieved on 18 September 2026 - so FY2025 now comes from it, on the same basis as every other year. MREL is not disclosed in reviewed reports. FY2020-FY2017 source retrieval was checked against the Paragon Bank PLC Companies House filing history (company 05390593); historical cells remain blank where the older filing presentation could not be transcribed reliably.
INVESTMENT SECURITIES ISSUER-TYPE SPLIT: FY2025 Annual Report (Companies House filing dated 10 Mar 2026, 157pp), Note 13 'Investment securities', p.68, breaks the FY2025/FY2024 carrying value down between UK Government securities ('gilts', FY2025: £509.4m, FY2024: £404.4m) and Covered bonds (FY2025: £116.8m, FY2024: £23.0m) - both figures sum exactly to the Balance Sheet's own 'Investment securities' total each year. The note states the entire balance is carried at amortised cost in both years (confirmed separately by Note 49(b), 'Assets and liabilities carried at amortised cost', same filing p.148) - i.e. there is no FVOCI/FVTPL leg to split out, so no measurement-basis rows are added here (a single-leg '100% amortised cost' row would also double-count against this issuer-type split in the downstream investment-composition view, since both views sum sibling Balance Sheet rows independently) - https://find-and-update.company-information.service.gov.uk/company/05390593/filing-history
PRESENTATION NOTE: FY2023-FY2025's Balance Sheet carries a standalone 'Investment securities' line (FY2023: nil, not separately listed that year - folded into the table's absence; FY2024-25: populated); FY2021-FY2022 instead show a 'Short term investments' line (both nil) - shown here on one combined row since they are the same conceptual line, genuinely renamed by the Bank. 'Property, plant and equipment' appears as its own line only FY2021-FY2023 (nil FY2022-FY2023, £5.1m FY2021) - dropped entirely as a separate line from FY2024 onward (presumably folded into Sundry assets that year, per the Bank's own table). FY2025 uniquely carries 'Covered bonds' (£499.2m) and 'Provisions' (£25.5m) on the liabilities side, and a 'Provision for liabilities' line in the P&amp;L - genuine new items that year, not gaps in earlier years. FY2021's Interest receivable/Interest payable are shown grossed up differently (£288.4m/£(145.8)m) than the FY2022 report's own restated FY2021 comparative (£256.2m/£(113.6)m) - Net interest income is identical either way (£142.6m), so this is a presentation-only grossing change (likely a swap-interest netting convention), not a restatement of profit; the Bank's own contemporaneous FY2021 figures are used here.</t>
        </is>
      </c>
    </row>
  </sheetData>
  <mergeCells count="1">
    <mergeCell ref="A19:J1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5"/>
  <sheetViews>
    <sheetView workbookViewId="0">
      <pane ySplit="4" topLeftCell="A5" activePane="bottomLeft" state="frozen"/>
      <selection pane="bottomLeft" activeCell="A1" sqref="A1"/>
    </sheetView>
  </sheetViews>
  <sheetFormatPr baseColWidth="8" defaultRowHeight="15"/>
  <cols>
    <col width="64" customWidth="1" min="1" max="1"/>
    <col width="15" customWidth="1" min="2" max="2"/>
    <col width="15" customWidth="1" min="3" max="3"/>
    <col width="15" customWidth="1" min="4" max="4"/>
  </cols>
  <sheetData>
    <row r="1">
      <c r="A1" s="1" t="inlineStr">
        <is>
          <t>Paragon Bank Plc — Statement of Changes in Equity</t>
        </is>
      </c>
    </row>
    <row r="2">
      <c r="A2" s="2" t="inlineStr">
        <is>
          <t>Chronological roll-forward, oldest to newest, Bank statutory basis, £m. Equity reconciliation ladder confirmed: every year's own closing balance ties exactly to both the next year's own opening balance and that year's own Balance Sheet Total equity - zero undocumented plug rows across all 5 years. The one bridging row (FY2024's Note 44 restatement, -£29.3m to Reserves) is a genuine Bank-disclosed prior-period adjustment, not an error - the FY2025 Annual Report doesn't itemise the restatement's cause beyond citing its own Note 44.</t>
        </is>
      </c>
    </row>
    <row r="3">
      <c r="A3" s="4" t="inlineStr">
        <is>
          <t>Movement</t>
        </is>
      </c>
      <c r="B3" s="4" t="inlineStr">
        <is>
          <t>Share capital</t>
        </is>
      </c>
      <c r="C3" s="4" t="inlineStr">
        <is>
          <t>Reserves (profit and loss account)</t>
        </is>
      </c>
      <c r="D3" s="4" t="inlineStr">
        <is>
          <t>Total equity</t>
        </is>
      </c>
    </row>
    <row r="4">
      <c r="A4" s="5" t="inlineStr">
        <is>
          <t>At 1 October 2020 (FY2021 opening)</t>
        </is>
      </c>
      <c r="B4" s="5" t="n">
        <v>552.6</v>
      </c>
      <c r="C4" s="5" t="n">
        <v>217.8</v>
      </c>
      <c r="D4" s="5" t="n">
        <v>770.4</v>
      </c>
    </row>
    <row r="5">
      <c r="A5" s="6" t="inlineStr">
        <is>
          <t>Profit for the year</t>
        </is>
      </c>
      <c r="B5" s="6" t="n"/>
      <c r="C5" s="6" t="n">
        <v>143.7</v>
      </c>
      <c r="D5" s="6" t="n">
        <v>143.7</v>
      </c>
    </row>
    <row r="6">
      <c r="A6" s="6" t="inlineStr">
        <is>
          <t>Dividends paid</t>
        </is>
      </c>
      <c r="B6" s="6" t="n"/>
      <c r="C6" s="6" t="n">
        <v>-94.8</v>
      </c>
      <c r="D6" s="6" t="n">
        <v>-94.8</v>
      </c>
    </row>
    <row r="7">
      <c r="A7" s="5" t="inlineStr">
        <is>
          <t>At 30 September 2021 (FY2021 closing)</t>
        </is>
      </c>
      <c r="B7" s="5" t="n">
        <v>552.6</v>
      </c>
      <c r="C7" s="5" t="n">
        <v>266.7</v>
      </c>
      <c r="D7" s="5" t="n">
        <v>819.3</v>
      </c>
    </row>
    <row r="8">
      <c r="A8" s="6" t="inlineStr">
        <is>
          <t>Profit for the year</t>
        </is>
      </c>
      <c r="B8" s="6" t="n"/>
      <c r="C8" s="6" t="n">
        <v>394.4</v>
      </c>
      <c r="D8" s="6" t="n">
        <v>394.4</v>
      </c>
    </row>
    <row r="9">
      <c r="A9" s="6" t="inlineStr">
        <is>
          <t>Dividends paid</t>
        </is>
      </c>
      <c r="B9" s="6" t="n"/>
      <c r="C9" s="6" t="n">
        <v>-150.3</v>
      </c>
      <c r="D9" s="6" t="n">
        <v>-150.3</v>
      </c>
    </row>
    <row r="10">
      <c r="A10" s="5" t="inlineStr">
        <is>
          <t>At 30 September 2022 (FY2022 closing)</t>
        </is>
      </c>
      <c r="B10" s="5" t="n">
        <v>552.6</v>
      </c>
      <c r="C10" s="5" t="n">
        <v>510.8</v>
      </c>
      <c r="D10" s="5" t="n">
        <v>1063.4</v>
      </c>
    </row>
    <row r="11">
      <c r="A11" s="6" t="inlineStr">
        <is>
          <t>Profit for the year</t>
        </is>
      </c>
      <c r="B11" s="6" t="n"/>
      <c r="C11" s="6" t="n">
        <v>196.2</v>
      </c>
      <c r="D11" s="6" t="n">
        <v>196.2</v>
      </c>
    </row>
    <row r="12">
      <c r="A12" s="6" t="inlineStr">
        <is>
          <t>Dividends paid</t>
        </is>
      </c>
      <c r="B12" s="6" t="n"/>
      <c r="C12" s="6" t="n">
        <v>-258.1</v>
      </c>
      <c r="D12" s="6" t="n">
        <v>-258.1</v>
      </c>
    </row>
    <row r="13">
      <c r="A13" s="5" t="inlineStr">
        <is>
          <t>At 30 September 2023 (FY2023 closing)</t>
        </is>
      </c>
      <c r="B13" s="5" t="n">
        <v>552.6</v>
      </c>
      <c r="C13" s="5" t="n">
        <v>448.9</v>
      </c>
      <c r="D13" s="5" t="n">
        <v>1001.5</v>
      </c>
    </row>
    <row r="14">
      <c r="A14" s="6" t="inlineStr">
        <is>
          <t>Profit for the year</t>
        </is>
      </c>
      <c r="B14" s="6" t="n"/>
      <c r="C14" s="6" t="n">
        <v>207.5</v>
      </c>
      <c r="D14" s="6" t="n">
        <v>207.5</v>
      </c>
    </row>
    <row r="15">
      <c r="A15" s="6" t="inlineStr">
        <is>
          <t>Dividends paid</t>
        </is>
      </c>
      <c r="B15" s="6" t="n"/>
      <c r="C15" s="6" t="n">
        <v>-158.9</v>
      </c>
      <c r="D15" s="6" t="n">
        <v>-158.9</v>
      </c>
    </row>
    <row r="16">
      <c r="A16" s="5" t="inlineStr">
        <is>
          <t>At 30 September 2024 (FY2024 closing, as originally reported)</t>
        </is>
      </c>
      <c r="B16" s="5" t="n">
        <v>552.6</v>
      </c>
      <c r="C16" s="5" t="n">
        <v>497.5</v>
      </c>
      <c r="D16" s="5" t="n">
        <v>1050.1</v>
      </c>
    </row>
    <row r="17">
      <c r="A17" s="6" t="inlineStr">
        <is>
          <t>Restatement (Note 44, per FY2025 Annual Report)</t>
        </is>
      </c>
      <c r="B17" s="6" t="n"/>
      <c r="C17" s="6" t="n">
        <v>-29.3</v>
      </c>
      <c r="D17" s="6" t="n">
        <v>-29.3</v>
      </c>
    </row>
    <row r="18">
      <c r="A18" s="5" t="inlineStr">
        <is>
          <t>At 30 September 2024 (FY2024 closing, as restated)</t>
        </is>
      </c>
      <c r="B18" s="5" t="n">
        <v>552.6</v>
      </c>
      <c r="C18" s="5" t="n">
        <v>468.2</v>
      </c>
      <c r="D18" s="5" t="n">
        <v>1020.8</v>
      </c>
    </row>
    <row r="19">
      <c r="A19" s="6" t="inlineStr">
        <is>
          <t>Profit for the year</t>
        </is>
      </c>
      <c r="B19" s="6" t="n"/>
      <c r="C19" s="6" t="n">
        <v>181</v>
      </c>
      <c r="D19" s="6" t="n">
        <v>181</v>
      </c>
    </row>
    <row r="20">
      <c r="A20" s="6" t="inlineStr">
        <is>
          <t>Dividends paid</t>
        </is>
      </c>
      <c r="B20" s="6" t="n"/>
      <c r="C20" s="6" t="n">
        <v>-155.8</v>
      </c>
      <c r="D20" s="6" t="n">
        <v>-155.8</v>
      </c>
    </row>
    <row r="21">
      <c r="A21" s="5" t="inlineStr">
        <is>
          <t>At 30 September 2025 (FY2025 closing)</t>
        </is>
      </c>
      <c r="B21" s="5" t="n">
        <v>552.6</v>
      </c>
      <c r="C21" s="5" t="n">
        <v>493.4</v>
      </c>
      <c r="D21" s="5" t="n">
        <v>1046</v>
      </c>
    </row>
    <row r="23" ht="312" customHeight="1">
      <c r="A23" s="8" t="inlineStr">
        <is>
          <t>Sources - Paragon Bank PLC own statutory Balance Sheet/Statement of Profit or Loss/Statement of Movements in Equity, £m (all years ended 30 September), transcribed from each year's own Companies House full-accounts filing (image-only scans, transcribed by reading rendered pages):
FY2025: Companies House filing dated 10 Mar 2026 (157pp), Statement of Profit or Loss p.57, Balance Sheet p.58, Statement of Movements in Equity p.60 - https://find-and-update.company-information.service.gov.uk/company/05390593/filing-history
FY2024: Companies House filing dated 28 Jan 2025 (148pp), Statement of Profit or Loss p.51, Balance Sheet p.52, Statement of Movements in Equity p.54 - https://find-and-update.company-information.service.gov.uk/company/05390593/filing-history
FY2023: Companies House filing dated 15 Feb 2024 (147pp), Statement of Profit or Loss p.50, Balance Sheet p.51, Statement of Movements in Equity p.53 - https://find-and-update.company-information.service.gov.uk/company/05390593/filing-history
FY2022: Companies House filing dated 14 Mar 2023 (139pp), Statement of Profit or Loss p.46, Balance Sheet p.47, Statement of Movements in Equity p.49 - https://find-and-update.company-information.service.gov.uk/company/05390593/filing-history
FY2018: Companies House filing dated 13 Dec 2018 (99pp), Income Statement p.37, Balance Sheet p.38, Cash Flow Statement p.39 and Statement of Movement in Equity p.40 (supplied Companies House scan)
FY2017: Companies House filing dated 19 Dec 2017 (82pp), Statement of Profit or Loss p.25, Balance Sheet p.26, Cash Flow Statement p.27 and Statement of Movement in Equity p.28 (supplied Companies House scan)
FY2021: Companies House filing dated 2022 (137pp), Statement of Profit or Loss p.49, Balance Sheet p.50, Cash Flow Statement p.51 - https://find-and-update.company-information.service.gov.uk/company/05390593/filing-history
ENTITY/BASIS NOTE: Paragon Bank PLC (Companies House 05390593, FRN 604551; formerly Paragon Mortgages (No.24) PLC) is the regulated UK bank. Cash flows are the Bank's own statutory statement, £m, for years ended 30 September. Pillar 3 capital/liquidity figures are for the Paragon Bank regulatory group, including subsidiary entities, as stated in the 2025 accounts and Pillar 3 reports. CORRECTED 18 September 2026 (KM1-032): this note used to say that 'the accessible 2025 URL is the half-year document', and that FY2025 capital metrics therefore used Annual Report note 38. The full-year FY2025 Pillar III is accessible - it sits at a different slug on the same host and was retrieved on 18 September 2026 - so FY2025 now comes from it, on the same basis as every other year. MREL is not disclosed in reviewed reports. FY2020-FY2017 source retrieval was checked against the Paragon Bank PLC Companies House filing history (company 05390593); historical cells remain blank where the older filing presentation could not be transcribed reliably.</t>
        </is>
      </c>
    </row>
    <row r="25" ht="234" customHeight="1">
      <c r="A25" s="8" t="inlineStr">
        <is>
          <t>(continued)
INVESTMENT SECURITIES ISSUER-TYPE SPLIT: FY2025 Annual Report (Companies House filing dated 10 Mar 2026, 157pp), Note 13 'Investment securities', p.68, breaks the FY2025/FY2024 carrying value down between UK Government securities ('gilts', FY2025: £509.4m, FY2024: £404.4m) and Covered bonds (FY2025: £116.8m, FY2024: £23.0m) - both figures sum exactly to the Balance Sheet's own 'Investment securities' total each year. The note states the entire balance is carried at amortised cost in both years (confirmed separately by Note 49(b), 'Assets and liabilities carried at amortised cost', same filing p.148) - i.e. there is no FVOCI/FVTPL leg to split out, so no measurement-basis rows are added here (a single-leg '100% amortised cost' row would also double-count against this issuer-type split in the downstream investment-composition view, since both views sum sibling Balance Sheet rows independently) - https://find-and-update.company-information.service.gov.uk/company/05390593/filing-history
PRESENTATION NOTE: FY2023-FY2025's Balance Sheet carries a standalone 'Investment securities' line (FY2023: nil, not separately listed that year - folded into the table's absence; FY2024-25: populated); FY2021-FY2022 instead show a 'Short term investments' line (both nil) - shown here on one combined row since they are the same conceptual line, genuinely renamed by the Bank. 'Property, plant and equipment' appears as its own line only FY2021-FY2023 (nil FY2022-FY2023, £5.1m FY2021) - dropped entirely as a separate line from FY2024 onward (presumably folded into Sundry assets that year, per the Bank's own table). FY2025 uniquely carries 'Covered bonds' (£499.2m) and 'Provisions' (£25.5m) on the liabilities side, and a 'Provision for liabilities' line in the P&amp;L - genuine new items that year, not gaps in earlier years. FY2021's Interest receivable/Interest payable are shown grossed up differently (£288.4m/£(145.8)m) than the FY2022 report's own restated FY2021 comparative (£256.2m/£(113.6)m) - Net interest income is identical either way (£142.6m), so this is a presentation-only grossing change (likely a swap-interest netting convention), not a restatement of profit; the Bank's own contemporaneous FY2021 figures are used here.</t>
        </is>
      </c>
    </row>
  </sheetData>
  <mergeCells count="2">
    <mergeCell ref="A23:D23"/>
    <mergeCell ref="A25:D2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Paragon Bank Plc — Cash Flow Statement</t>
        </is>
      </c>
    </row>
    <row r="2">
      <c r="A2" s="2" t="inlineStr">
        <is>
          <t>Bank statutory basis, £m; see source and basis note</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row>
    <row r="4">
      <c r="A4" s="5" t="inlineStr">
        <is>
          <t>Operating activities</t>
        </is>
      </c>
      <c r="B4" s="6" t="n"/>
      <c r="C4" s="6" t="n"/>
      <c r="D4" s="6" t="n"/>
      <c r="E4" s="6" t="n"/>
      <c r="F4" s="6" t="n"/>
      <c r="G4" s="6" t="n"/>
      <c r="H4" s="6" t="n"/>
      <c r="I4" s="6" t="n"/>
      <c r="J4" s="6" t="n"/>
    </row>
    <row r="5">
      <c r="A5" s="6" t="inlineStr">
        <is>
          <t>Profit before tax</t>
        </is>
      </c>
      <c r="B5" s="6" t="n">
        <v>242.2</v>
      </c>
      <c r="C5" s="6" t="n">
        <v>265</v>
      </c>
      <c r="D5" s="6" t="n">
        <v>232.6</v>
      </c>
      <c r="E5" s="6" t="n">
        <v>480.2</v>
      </c>
      <c r="F5" s="6" t="n">
        <v>182.5</v>
      </c>
      <c r="G5" s="6" t="n">
        <v>86.52</v>
      </c>
      <c r="H5" s="6" t="n">
        <v>47.92</v>
      </c>
      <c r="I5" s="6" t="n">
        <v>164.51</v>
      </c>
      <c r="J5" s="6" t="n">
        <v>22.92</v>
      </c>
    </row>
    <row r="6">
      <c r="A6" s="6" t="inlineStr">
        <is>
          <t>Non-cash movement on borrowing</t>
        </is>
      </c>
      <c r="B6" s="6" t="n">
        <v>0.4</v>
      </c>
      <c r="C6" s="6" t="n"/>
      <c r="D6" s="6" t="n"/>
      <c r="E6" s="6" t="n"/>
      <c r="F6" s="6" t="n"/>
      <c r="G6" s="6" t="n"/>
      <c r="H6" s="6" t="n"/>
      <c r="I6" s="6" t="n"/>
      <c r="J6" s="6" t="n"/>
    </row>
    <row r="7">
      <c r="A7" s="6" t="inlineStr">
        <is>
          <t>Non-cash movement on investment securities</t>
        </is>
      </c>
      <c r="B7" s="6" t="n">
        <v>34.2</v>
      </c>
      <c r="C7" s="6" t="n">
        <v>-7.8</v>
      </c>
      <c r="D7" s="6" t="n"/>
      <c r="E7" s="6" t="n"/>
      <c r="F7" s="6" t="n"/>
      <c r="G7" s="6" t="n"/>
      <c r="H7" s="6" t="n"/>
      <c r="I7" s="6" t="n"/>
      <c r="J7" s="6" t="n"/>
    </row>
    <row r="8">
      <c r="A8" s="6" t="inlineStr">
        <is>
          <t>Depreciation on property, plant and equipment</t>
        </is>
      </c>
      <c r="B8" s="6" t="n"/>
      <c r="C8" s="6" t="n"/>
      <c r="D8" s="6" t="n"/>
      <c r="E8" s="6" t="n">
        <v>0.3</v>
      </c>
      <c r="F8" s="6" t="n">
        <v>0.3</v>
      </c>
      <c r="G8" s="6" t="n"/>
      <c r="H8" s="6" t="n"/>
      <c r="I8" s="6" t="n"/>
      <c r="J8" s="6" t="n"/>
    </row>
    <row r="9">
      <c r="A9" s="6" t="inlineStr">
        <is>
          <t>Impairment losses on loans to customers</t>
        </is>
      </c>
      <c r="B9" s="6" t="n">
        <v>8</v>
      </c>
      <c r="C9" s="6" t="n">
        <v>9.199999999999999</v>
      </c>
      <c r="D9" s="6" t="n">
        <v>10.5</v>
      </c>
      <c r="E9" s="6" t="n">
        <v>6.6</v>
      </c>
      <c r="F9" s="6" t="n">
        <v>-10.9</v>
      </c>
      <c r="G9" s="6" t="n"/>
      <c r="H9" s="6" t="n"/>
      <c r="I9" s="6" t="n">
        <v>2.13</v>
      </c>
      <c r="J9" s="6" t="n">
        <v>1</v>
      </c>
    </row>
    <row r="10">
      <c r="A10" s="6" t="inlineStr">
        <is>
          <t>Loans to customers</t>
        </is>
      </c>
      <c r="B10" s="6" t="n">
        <v>-536.9</v>
      </c>
      <c r="C10" s="6" t="n">
        <v>-1016.3</v>
      </c>
      <c r="D10" s="6" t="n">
        <v>-1755.5</v>
      </c>
      <c r="E10" s="6" t="n">
        <v>-1056.2</v>
      </c>
      <c r="F10" s="6" t="n">
        <v>-3001</v>
      </c>
      <c r="G10" s="6" t="n"/>
      <c r="H10" s="6" t="n"/>
      <c r="I10" s="6" t="n">
        <v>-1570.06</v>
      </c>
      <c r="J10" s="6" t="n">
        <v>-1671.35</v>
      </c>
    </row>
    <row r="11">
      <c r="A11" s="6" t="inlineStr">
        <is>
          <t>Derivative financial instruments</t>
        </is>
      </c>
      <c r="B11" s="6" t="n">
        <v>78</v>
      </c>
      <c r="C11" s="6" t="n">
        <v>199.1</v>
      </c>
      <c r="D11" s="6" t="n">
        <v>87.7</v>
      </c>
      <c r="E11" s="6" t="n">
        <v>-577.4</v>
      </c>
      <c r="F11" s="6" t="n">
        <v>-10.5</v>
      </c>
      <c r="G11" s="6" t="n"/>
      <c r="H11" s="6" t="n"/>
      <c r="I11" s="6" t="n">
        <v>-13.03</v>
      </c>
      <c r="J11" s="6" t="n">
        <v>-7.74</v>
      </c>
    </row>
    <row r="12">
      <c r="A12" s="6" t="inlineStr">
        <is>
          <t>Fair value of portfolio hedges</t>
        </is>
      </c>
      <c r="B12" s="6" t="n">
        <v>-49.6</v>
      </c>
      <c r="C12" s="6" t="n">
        <v>-230.3</v>
      </c>
      <c r="D12" s="6" t="n">
        <v>-97.40000000000001</v>
      </c>
      <c r="E12" s="6" t="n">
        <v>394.9</v>
      </c>
      <c r="F12" s="6" t="n">
        <v>70</v>
      </c>
      <c r="G12" s="6" t="n"/>
      <c r="H12" s="6" t="n"/>
      <c r="I12" s="6" t="n">
        <v>14.87</v>
      </c>
      <c r="J12" s="6" t="n">
        <v>11.5</v>
      </c>
    </row>
    <row r="13">
      <c r="A13" s="6" t="inlineStr">
        <is>
          <t>Other receivables</t>
        </is>
      </c>
      <c r="B13" s="6" t="n">
        <v>21.4</v>
      </c>
      <c r="C13" s="6" t="n">
        <v>-48.4</v>
      </c>
      <c r="D13" s="6" t="n">
        <v>26.4</v>
      </c>
      <c r="E13" s="6" t="n">
        <v>12.5</v>
      </c>
      <c r="F13" s="6" t="n">
        <v>447.3</v>
      </c>
      <c r="G13" s="6" t="n"/>
      <c r="H13" s="6" t="n"/>
      <c r="I13" s="6" t="n">
        <v>-720.9</v>
      </c>
      <c r="J13" s="6" t="n">
        <v>-591.16</v>
      </c>
    </row>
    <row r="14">
      <c r="A14" s="6" t="inlineStr">
        <is>
          <t>Retail deposits</t>
        </is>
      </c>
      <c r="B14" s="6" t="n">
        <v>-32.3</v>
      </c>
      <c r="C14" s="6" t="n">
        <v>3032.7</v>
      </c>
      <c r="D14" s="6" t="n">
        <v>2596</v>
      </c>
      <c r="E14" s="6" t="n">
        <v>1368.9</v>
      </c>
      <c r="F14" s="6" t="n">
        <v>1443.8</v>
      </c>
      <c r="G14" s="6" t="n"/>
      <c r="H14" s="6" t="n"/>
      <c r="I14" s="6" t="n">
        <v>1681.16</v>
      </c>
      <c r="J14" s="6" t="n">
        <v>1741.53</v>
      </c>
    </row>
    <row r="15">
      <c r="A15" s="6" t="inlineStr">
        <is>
          <t>Derivative financial instruments (liabilities)</t>
        </is>
      </c>
      <c r="B15" s="6" t="n">
        <v>-33.6</v>
      </c>
      <c r="C15" s="6" t="n">
        <v>59.2</v>
      </c>
      <c r="D15" s="6" t="n">
        <v>-78.40000000000001</v>
      </c>
      <c r="E15" s="6" t="n">
        <v>76.09999999999999</v>
      </c>
      <c r="F15" s="6" t="n">
        <v>-65.59999999999999</v>
      </c>
      <c r="G15" s="6" t="n"/>
      <c r="H15" s="6" t="n"/>
      <c r="I15" s="6" t="n">
        <v>-0.67</v>
      </c>
      <c r="J15" s="6" t="n">
        <v>-3.93</v>
      </c>
    </row>
    <row r="16">
      <c r="A16" s="6" t="inlineStr">
        <is>
          <t>Fair value of portfolio hedges (liabilities)</t>
        </is>
      </c>
      <c r="B16" s="6" t="n">
        <v>-11.6</v>
      </c>
      <c r="C16" s="6" t="n">
        <v>47.6</v>
      </c>
      <c r="D16" s="6" t="n">
        <v>68.90000000000001</v>
      </c>
      <c r="E16" s="6" t="n">
        <v>-96.8</v>
      </c>
      <c r="F16" s="6" t="n">
        <v>-13</v>
      </c>
      <c r="G16" s="6" t="n"/>
      <c r="H16" s="6" t="n"/>
      <c r="I16" s="6" t="n">
        <v>-1.12</v>
      </c>
      <c r="J16" s="6" t="n">
        <v>0.6899999999999999</v>
      </c>
    </row>
    <row r="17">
      <c r="A17" s="6" t="inlineStr">
        <is>
          <t>Increase in provisions</t>
        </is>
      </c>
      <c r="B17" s="6" t="n">
        <v>25.5</v>
      </c>
      <c r="C17" s="6" t="n"/>
      <c r="D17" s="6" t="n"/>
      <c r="E17" s="6" t="n"/>
      <c r="F17" s="6" t="n"/>
      <c r="G17" s="6" t="n"/>
      <c r="H17" s="6" t="n"/>
      <c r="I17" s="6" t="n"/>
      <c r="J17" s="6" t="n"/>
    </row>
    <row r="18">
      <c r="A18" s="6" t="inlineStr">
        <is>
          <t>Other liabilities</t>
        </is>
      </c>
      <c r="B18" s="6" t="n">
        <v>-54.7</v>
      </c>
      <c r="C18" s="6" t="n">
        <v>-171.6</v>
      </c>
      <c r="D18" s="6" t="n">
        <v>158.8</v>
      </c>
      <c r="E18" s="6" t="n">
        <v>309.3</v>
      </c>
      <c r="F18" s="6" t="n">
        <v>36</v>
      </c>
      <c r="G18" s="6" t="n"/>
      <c r="H18" s="6" t="n"/>
      <c r="I18" s="6" t="n">
        <v>418</v>
      </c>
      <c r="J18" s="6" t="n">
        <v>16.61</v>
      </c>
    </row>
    <row r="19">
      <c r="A19" s="6" t="inlineStr">
        <is>
          <t>Income taxes paid</t>
        </is>
      </c>
      <c r="B19" s="6" t="n">
        <v>-61.4</v>
      </c>
      <c r="C19" s="6" t="n">
        <v>-53.5</v>
      </c>
      <c r="D19" s="6" t="n">
        <v>-34</v>
      </c>
      <c r="E19" s="6" t="n">
        <v>-35</v>
      </c>
      <c r="F19" s="6" t="n">
        <v>-13.7</v>
      </c>
      <c r="G19" s="6" t="n"/>
      <c r="H19" s="6" t="n"/>
      <c r="I19" s="6" t="n">
        <v>-4.72</v>
      </c>
      <c r="J19" s="6" t="n">
        <v>-0.09</v>
      </c>
    </row>
    <row r="20">
      <c r="A20" s="5" t="inlineStr">
        <is>
          <t>Net cash generated/(utilised) by operating activities</t>
        </is>
      </c>
      <c r="B20" s="5" t="n">
        <v>-370.4</v>
      </c>
      <c r="C20" s="5" t="n">
        <v>2084.9</v>
      </c>
      <c r="D20" s="5" t="n">
        <v>1215.6</v>
      </c>
      <c r="E20" s="5" t="n">
        <v>883.4</v>
      </c>
      <c r="F20" s="5" t="n">
        <v>-934.8</v>
      </c>
      <c r="G20" s="5" t="n"/>
      <c r="H20" s="5" t="n"/>
      <c r="I20" s="5" t="n">
        <v>-29.83</v>
      </c>
      <c r="J20" s="5" t="n">
        <v>-480.02</v>
      </c>
    </row>
    <row r="21">
      <c r="A21" s="5" t="inlineStr">
        <is>
          <t>Investing activities</t>
        </is>
      </c>
      <c r="B21" s="6" t="n"/>
      <c r="C21" s="6" t="n"/>
      <c r="D21" s="6" t="n"/>
      <c r="E21" s="6" t="n"/>
      <c r="F21" s="6" t="n"/>
      <c r="G21" s="6" t="n"/>
      <c r="H21" s="6" t="n"/>
      <c r="I21" s="6" t="n"/>
      <c r="J21" s="6" t="n"/>
    </row>
    <row r="22">
      <c r="A22" s="6" t="inlineStr">
        <is>
          <t>Investment in securities</t>
        </is>
      </c>
      <c r="B22" s="6" t="n">
        <v>-233</v>
      </c>
      <c r="C22" s="6" t="n">
        <v>-419.6</v>
      </c>
      <c r="D22" s="6" t="n"/>
      <c r="E22" s="6" t="n"/>
      <c r="F22" s="6" t="n"/>
      <c r="G22" s="6" t="n"/>
      <c r="H22" s="6" t="n"/>
      <c r="I22" s="6" t="n"/>
      <c r="J22" s="6" t="n">
        <v>7.06</v>
      </c>
    </row>
    <row r="23">
      <c r="A23" s="6" t="inlineStr">
        <is>
          <t>Proceeds from sale of operating property, plant and equipment</t>
        </is>
      </c>
      <c r="B23" s="6" t="n"/>
      <c r="C23" s="6" t="n"/>
      <c r="D23" s="6" t="n"/>
      <c r="E23" s="6" t="n">
        <v>4.8</v>
      </c>
      <c r="F23" s="6" t="n"/>
      <c r="G23" s="6" t="n"/>
      <c r="H23" s="6" t="n"/>
      <c r="I23" s="6" t="n"/>
      <c r="J23" s="6" t="n"/>
    </row>
    <row r="24">
      <c r="A24" s="6" t="inlineStr">
        <is>
          <t>Acquisition of subsidiary</t>
        </is>
      </c>
      <c r="B24" s="6" t="n"/>
      <c r="C24" s="6" t="n"/>
      <c r="D24" s="6" t="n"/>
      <c r="E24" s="6" t="n"/>
      <c r="F24" s="6" t="n"/>
      <c r="G24" s="6" t="n"/>
      <c r="H24" s="6" t="n"/>
      <c r="I24" s="6" t="n"/>
      <c r="J24" s="6" t="n">
        <v>-225.6</v>
      </c>
    </row>
    <row r="25">
      <c r="A25" s="6" t="inlineStr">
        <is>
          <t>Advances of loans to subsidiary undertakings</t>
        </is>
      </c>
      <c r="B25" s="6" t="n">
        <v>-2817.8</v>
      </c>
      <c r="C25" s="6" t="n">
        <v>-10556.4</v>
      </c>
      <c r="D25" s="6" t="n">
        <v>-9543.799999999999</v>
      </c>
      <c r="E25" s="6" t="n">
        <v>-5429.8</v>
      </c>
      <c r="F25" s="6" t="n">
        <v>-2320</v>
      </c>
      <c r="G25" s="6" t="n"/>
      <c r="H25" s="6" t="n"/>
      <c r="I25" s="6" t="n"/>
      <c r="J25" s="6" t="n"/>
    </row>
    <row r="26">
      <c r="A26" s="6" t="inlineStr">
        <is>
          <t>Repayment of loans by subsidiary entities</t>
        </is>
      </c>
      <c r="B26" s="6" t="n">
        <v>2736.7</v>
      </c>
      <c r="C26" s="6" t="n">
        <v>10513.5</v>
      </c>
      <c r="D26" s="6" t="n">
        <v>9750.1</v>
      </c>
      <c r="E26" s="6" t="n">
        <v>5212.9</v>
      </c>
      <c r="F26" s="6" t="n">
        <v>1905.6</v>
      </c>
      <c r="G26" s="6" t="n"/>
      <c r="H26" s="6" t="n"/>
      <c r="I26" s="6" t="n"/>
      <c r="J26" s="6" t="n"/>
    </row>
    <row r="27">
      <c r="A27" s="5" t="inlineStr">
        <is>
          <t>Net cash generated/(utilised) by investing activities</t>
        </is>
      </c>
      <c r="B27" s="5" t="n">
        <v>-314.1</v>
      </c>
      <c r="C27" s="5" t="n">
        <v>-462.5</v>
      </c>
      <c r="D27" s="5" t="n">
        <v>206.3</v>
      </c>
      <c r="E27" s="5" t="n">
        <v>-212.1</v>
      </c>
      <c r="F27" s="5" t="n">
        <v>-414.4</v>
      </c>
      <c r="G27" s="5" t="n"/>
      <c r="H27" s="5" t="n"/>
      <c r="I27" s="5" t="n">
        <v>0</v>
      </c>
      <c r="J27" s="5" t="n">
        <v>-218.54</v>
      </c>
    </row>
    <row r="28">
      <c r="A28" s="5" t="inlineStr">
        <is>
          <t>Financing activities</t>
        </is>
      </c>
      <c r="B28" s="6" t="n"/>
      <c r="C28" s="6" t="n"/>
      <c r="D28" s="6" t="n"/>
      <c r="E28" s="6" t="n"/>
      <c r="F28" s="6" t="n"/>
      <c r="G28" s="6" t="n"/>
      <c r="H28" s="6" t="n"/>
      <c r="I28" s="6" t="n"/>
      <c r="J28" s="6" t="n"/>
    </row>
    <row r="29">
      <c r="A29" s="6" t="inlineStr">
        <is>
          <t>Dividends paid</t>
        </is>
      </c>
      <c r="B29" s="6" t="n">
        <v>-155.8</v>
      </c>
      <c r="C29" s="6" t="n">
        <v>-158.9</v>
      </c>
      <c r="D29" s="6" t="n">
        <v>-258.1</v>
      </c>
      <c r="E29" s="6" t="n">
        <v>-150.3</v>
      </c>
      <c r="F29" s="6" t="n">
        <v>-94.8</v>
      </c>
      <c r="G29" s="6" t="n"/>
      <c r="H29" s="6" t="n"/>
      <c r="I29" s="6" t="n">
        <v>-6.91</v>
      </c>
      <c r="J29" s="6" t="n"/>
    </row>
    <row r="30">
      <c r="A30" s="6" t="inlineStr">
        <is>
          <t>Issue of covered bond</t>
        </is>
      </c>
      <c r="B30" s="6" t="n">
        <v>498.8</v>
      </c>
      <c r="C30" s="6" t="n"/>
      <c r="D30" s="6" t="n"/>
      <c r="E30" s="6" t="n"/>
      <c r="F30" s="6" t="n"/>
      <c r="G30" s="6" t="n"/>
      <c r="H30" s="6" t="n"/>
      <c r="I30" s="6" t="n"/>
      <c r="J30" s="6" t="n"/>
    </row>
    <row r="31">
      <c r="A31" s="6" t="inlineStr">
        <is>
          <t>Repayment of long term bank facilities</t>
        </is>
      </c>
      <c r="B31" s="6" t="n">
        <v>-500</v>
      </c>
      <c r="C31" s="6" t="n">
        <v>-2000</v>
      </c>
      <c r="D31" s="6" t="n"/>
      <c r="E31" s="6" t="n"/>
      <c r="F31" s="6" t="n"/>
      <c r="G31" s="6" t="n"/>
      <c r="H31" s="6" t="n"/>
      <c r="I31" s="6" t="n"/>
      <c r="J31" s="6" t="n"/>
    </row>
    <row r="32">
      <c r="A32" s="6" t="inlineStr">
        <is>
          <t>Shares issued</t>
        </is>
      </c>
      <c r="B32" s="6" t="n"/>
      <c r="C32" s="6" t="n"/>
      <c r="D32" s="6" t="n"/>
      <c r="E32" s="6" t="n"/>
      <c r="F32" s="6" t="n"/>
      <c r="G32" s="6" t="n"/>
      <c r="H32" s="6" t="n"/>
      <c r="I32" s="6" t="n"/>
      <c r="J32" s="6" t="n">
        <v>303.76</v>
      </c>
    </row>
    <row r="33">
      <c r="A33" s="6" t="inlineStr">
        <is>
          <t>Movement on short term central bank facilities</t>
        </is>
      </c>
      <c r="B33" s="6" t="n">
        <v>695</v>
      </c>
      <c r="C33" s="6" t="n">
        <v>5</v>
      </c>
      <c r="D33" s="6" t="n"/>
      <c r="E33" s="6" t="n">
        <v>-69</v>
      </c>
      <c r="F33" s="6" t="n">
        <v>964.6</v>
      </c>
      <c r="G33" s="6" t="n"/>
      <c r="H33" s="6" t="n"/>
      <c r="I33" s="6" t="n">
        <v>324.4</v>
      </c>
      <c r="J33" s="6" t="n">
        <v>700</v>
      </c>
    </row>
    <row r="34">
      <c r="A34" s="6" t="inlineStr">
        <is>
          <t>Movement on repurchase facilities</t>
        </is>
      </c>
      <c r="B34" s="6" t="n"/>
      <c r="C34" s="6" t="n">
        <v>49.9</v>
      </c>
      <c r="D34" s="6" t="n">
        <v>50.1</v>
      </c>
      <c r="E34" s="6" t="n"/>
      <c r="F34" s="6" t="n"/>
      <c r="G34" s="6" t="n"/>
      <c r="H34" s="6" t="n"/>
      <c r="I34" s="6" t="n"/>
      <c r="J34" s="6" t="n"/>
    </row>
    <row r="35">
      <c r="A35" s="6" t="inlineStr">
        <is>
          <t>Capital element of lease payments</t>
        </is>
      </c>
      <c r="B35" s="6" t="n"/>
      <c r="C35" s="6" t="n"/>
      <c r="D35" s="6" t="n"/>
      <c r="E35" s="6" t="n"/>
      <c r="F35" s="6" t="n">
        <v>-0.1</v>
      </c>
      <c r="G35" s="6" t="n"/>
      <c r="H35" s="6" t="n"/>
      <c r="I35" s="6" t="n"/>
      <c r="J35" s="6" t="n"/>
    </row>
    <row r="36">
      <c r="A36" s="5" t="inlineStr">
        <is>
          <t>Net cash generated/(utilised) by financing activities</t>
        </is>
      </c>
      <c r="B36" s="5" t="n">
        <v>538</v>
      </c>
      <c r="C36" s="5" t="n">
        <v>-2104</v>
      </c>
      <c r="D36" s="5" t="n">
        <v>-208</v>
      </c>
      <c r="E36" s="5" t="n">
        <v>-219.3</v>
      </c>
      <c r="F36" s="5" t="n">
        <v>869.7</v>
      </c>
      <c r="G36" s="5" t="n"/>
      <c r="H36" s="5" t="n"/>
      <c r="I36" s="5" t="n">
        <v>317.49</v>
      </c>
      <c r="J36" s="5" t="n">
        <v>1003.76</v>
      </c>
    </row>
    <row r="37">
      <c r="A37" s="5" t="inlineStr">
        <is>
          <t>Net (decrease)/increase in cash and cash equivalents</t>
        </is>
      </c>
      <c r="B37" s="5" t="n">
        <v>-146.5</v>
      </c>
      <c r="C37" s="5" t="n">
        <v>-481.6</v>
      </c>
      <c r="D37" s="5" t="n">
        <v>1213.9</v>
      </c>
      <c r="E37" s="5" t="n">
        <v>452</v>
      </c>
      <c r="F37" s="5" t="n">
        <v>-479.5</v>
      </c>
      <c r="G37" s="5" t="n"/>
      <c r="H37" s="5" t="n"/>
      <c r="I37" s="5" t="n">
        <v>287.66</v>
      </c>
      <c r="J37" s="5" t="n">
        <v>305.2</v>
      </c>
    </row>
    <row r="38">
      <c r="A38" s="6" t="inlineStr">
        <is>
          <t>Opening cash and cash equivalents</t>
        </is>
      </c>
      <c r="B38" s="6" t="n">
        <v>2378.4</v>
      </c>
      <c r="C38" s="6" t="n">
        <v>2860</v>
      </c>
      <c r="D38" s="6" t="n">
        <v>1646.1</v>
      </c>
      <c r="E38" s="6" t="n">
        <v>1194.1</v>
      </c>
      <c r="F38" s="6" t="n">
        <v>1673.6</v>
      </c>
      <c r="G38" s="6" t="n"/>
      <c r="H38" s="6" t="n"/>
      <c r="I38" s="6" t="n">
        <v>629.89</v>
      </c>
      <c r="J38" s="6" t="n">
        <v>324.69</v>
      </c>
    </row>
    <row r="39">
      <c r="A39" s="5" t="inlineStr">
        <is>
          <t>Closing cash and cash equivalents</t>
        </is>
      </c>
      <c r="B39" s="5" t="n">
        <v>2231.9</v>
      </c>
      <c r="C39" s="5" t="n">
        <v>2378.4</v>
      </c>
      <c r="D39" s="5" t="n">
        <v>2860</v>
      </c>
      <c r="E39" s="5" t="n">
        <v>1646.1</v>
      </c>
      <c r="F39" s="5" t="n">
        <v>1194.1</v>
      </c>
      <c r="G39" s="5" t="n"/>
      <c r="H39" s="5" t="n"/>
      <c r="I39" s="5" t="n">
        <v>917.55</v>
      </c>
      <c r="J39" s="5" t="n">
        <v>629.89</v>
      </c>
    </row>
    <row r="41" ht="260" customHeight="1">
      <c r="A41" s="8" t="inlineStr">
        <is>
          <t>Sources - Paragon Bank PLC own statutory Cash Flow Statement, £m (all years ended 30 September):
FY2025: Annual Report 2025, p.59 and notes 33-35 pp.111-112 - https://www.paragonbankinggroup.co.uk/resources/paragon-group/documents/2025-paragon-bank-plc-ara
FY2024: Annual Report 2024, p.53 and notes 32-34 pp.105-106 - https://www.paragonbankinggroup.co.uk/resources/paragon-group/documents/paragon-bank-plc-annual-report-and-accounts-2024
FY2023: Annual Report 2023, p.52 and notes 32-34 pp.102-103 - https://www.paragonbankinggroup.co.uk/resources/paragon-group/documents/paragon-bank-plc-annual-report-and-accounts-2023
FY2022: Annual Report 2022, p.48 and notes 32-34 pp.93-94 - https://www.paragonbankinggroup.co.uk/resources/paragon-group/documents/section-172/2022/paragon-bank-plc-s172
FY2021: Annual Report 2021, p.50 and notes 32-34 pp.93-94 - https://www.paragonbankinggroup.co.uk/resources/paragon-group/documents/section-172/paragonbankaccounts2021
ENTITY/BASIS NOTE: Paragon Bank PLC (Companies House 05390593, FRN 604551; formerly Paragon Mortgages (No.24) PLC) is the regulated UK bank. Cash flows are the Bank's own statutory statement, £m, for years ended 30 September. Pillar 3 capital/liquidity figures are for the Paragon Bank regulatory group, including subsidiary entities, as stated in the 2025 accounts and Pillar 3 reports. CORRECTED 18 September 2026 (KM1-032): this note used to say that 'the accessible 2025 URL is the half-year document', and that FY2025 capital metrics therefore used Annual Report note 38. The full-year FY2025 Pillar III is accessible - it sits at a different slug on the same host and was retrieved on 18 September 2026 - so FY2025 now comes from it, on the same basis as every other year. MREL is not disclosed in reviewed reports. FY2020-FY2017 source retrieval was checked against the Paragon Bank PLC Companies House filing history (company 05390593); historical cells remain blank where the older filing presentation could not be transcribed reliably.</t>
        </is>
      </c>
    </row>
  </sheetData>
  <mergeCells count="1">
    <mergeCell ref="A41:J4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0" customWidth="1" min="1" max="1"/>
    <col width="15" customWidth="1" min="2" max="2"/>
    <col width="15" customWidth="1" min="3" max="3"/>
    <col width="15" customWidth="1" min="4" max="4"/>
    <col width="15" customWidth="1" min="5" max="5"/>
    <col width="15" customWidth="1" min="6" max="6"/>
  </cols>
  <sheetData>
    <row r="1">
      <c r="A1" s="1" t="inlineStr">
        <is>
          <t>Paragon Bank Plc — Asset Quality</t>
        </is>
      </c>
    </row>
    <row r="2">
      <c r="A2" s="2" t="inlineStr">
        <is>
          <t>Bank statutory basis, £m. Loans to customers, IFRS 9 stage 1/2/3 gross carrying amount, loss allowance, and carrying value.</t>
        </is>
      </c>
    </row>
    <row r="3">
      <c r="A3" s="4" t="inlineStr">
        <is>
          <t>Line item</t>
        </is>
      </c>
      <c r="B3" s="4" t="inlineStr">
        <is>
          <t>FY2025 (£m)</t>
        </is>
      </c>
      <c r="C3" s="4" t="inlineStr">
        <is>
          <t>FY2024 (£m)</t>
        </is>
      </c>
      <c r="D3" s="4" t="inlineStr">
        <is>
          <t>FY2023 (£m)</t>
        </is>
      </c>
      <c r="E3" s="4" t="inlineStr">
        <is>
          <t>FY2022 (£m)</t>
        </is>
      </c>
      <c r="F3" s="4" t="inlineStr">
        <is>
          <t>FY2021 (£m)</t>
        </is>
      </c>
    </row>
    <row r="4">
      <c r="A4" s="5" t="inlineStr">
        <is>
          <t>Loans to customers, by IFRS 9 stage (gross carrying amount)</t>
        </is>
      </c>
      <c r="B4" s="6" t="n"/>
      <c r="C4" s="6" t="n"/>
      <c r="D4" s="6" t="n"/>
      <c r="E4" s="6" t="n"/>
      <c r="F4" s="6" t="n"/>
    </row>
    <row r="5">
      <c r="A5" s="6" t="inlineStr">
        <is>
          <t>Stage 1</t>
        </is>
      </c>
      <c r="B5" s="6" t="n">
        <v>11809.8</v>
      </c>
      <c r="C5" s="6" t="n">
        <v>11058.1</v>
      </c>
      <c r="D5" s="6" t="n">
        <v>10801.8</v>
      </c>
      <c r="E5" s="6" t="n">
        <v>7979.5</v>
      </c>
      <c r="F5" s="6" t="n">
        <v>7224</v>
      </c>
    </row>
    <row r="6">
      <c r="A6" s="6" t="inlineStr">
        <is>
          <t>Stage 2</t>
        </is>
      </c>
      <c r="B6" s="6" t="n">
        <v>502.6</v>
      </c>
      <c r="C6" s="6" t="n">
        <v>538.5</v>
      </c>
      <c r="D6" s="6" t="n">
        <v>554.7</v>
      </c>
      <c r="E6" s="6" t="n">
        <v>1302.5</v>
      </c>
      <c r="F6" s="6" t="n">
        <v>831.9</v>
      </c>
    </row>
    <row r="7">
      <c r="A7" s="6" t="inlineStr">
        <is>
          <t>Stage 3</t>
        </is>
      </c>
      <c r="B7" s="6" t="n">
        <v>163.2</v>
      </c>
      <c r="C7" s="6" t="n">
        <v>158.9</v>
      </c>
      <c r="D7" s="6" t="n">
        <v>122.9</v>
      </c>
      <c r="E7" s="6" t="n">
        <v>69.7</v>
      </c>
      <c r="F7" s="6" t="n">
        <v>88.59999999999999</v>
      </c>
    </row>
    <row r="8">
      <c r="A8" s="5" t="inlineStr">
        <is>
          <t>Gross carrying amount</t>
        </is>
      </c>
      <c r="B8" s="5" t="n">
        <v>12475.6</v>
      </c>
      <c r="C8" s="5" t="n">
        <v>11755.5</v>
      </c>
      <c r="D8" s="5" t="n">
        <v>11479.4</v>
      </c>
      <c r="E8" s="5" t="n">
        <v>9351.700000000001</v>
      </c>
      <c r="F8" s="5" t="n">
        <v>8144.5</v>
      </c>
    </row>
    <row r="9">
      <c r="A9" s="6" t="inlineStr">
        <is>
          <t>Loss allowance - Stage 1</t>
        </is>
      </c>
      <c r="B9" s="6" t="n">
        <v>-4.2</v>
      </c>
      <c r="C9" s="6" t="n">
        <v>-6.4</v>
      </c>
      <c r="D9" s="6" t="n">
        <v>-7.8</v>
      </c>
      <c r="E9" s="6" t="n">
        <v>-7.8</v>
      </c>
      <c r="F9" s="6" t="n">
        <v>-3.1</v>
      </c>
    </row>
    <row r="10">
      <c r="A10" s="6" t="inlineStr">
        <is>
          <t>Loss allowance - Stage 2</t>
        </is>
      </c>
      <c r="B10" s="6" t="n">
        <v>-2.4</v>
      </c>
      <c r="C10" s="6" t="n">
        <v>-3.4</v>
      </c>
      <c r="D10" s="6" t="n">
        <v>-6.5</v>
      </c>
      <c r="E10" s="6" t="n">
        <v>-5.7</v>
      </c>
      <c r="F10" s="6" t="n">
        <v>-8</v>
      </c>
    </row>
    <row r="11">
      <c r="A11" s="6" t="inlineStr">
        <is>
          <t>Loss allowance - Stage 3</t>
        </is>
      </c>
      <c r="B11" s="6" t="n">
        <v>-29.5</v>
      </c>
      <c r="C11" s="6" t="n">
        <v>-31</v>
      </c>
      <c r="D11" s="6" t="n">
        <v>-30.5</v>
      </c>
      <c r="E11" s="6" t="n">
        <v>-14.6</v>
      </c>
      <c r="F11" s="6" t="n">
        <v>-12.9</v>
      </c>
    </row>
    <row r="12">
      <c r="A12" s="5" t="inlineStr">
        <is>
          <t>Total loss allowance</t>
        </is>
      </c>
      <c r="B12" s="5" t="n">
        <v>-36.1</v>
      </c>
      <c r="C12" s="5" t="n">
        <v>-40.8</v>
      </c>
      <c r="D12" s="5" t="n">
        <v>-44.8</v>
      </c>
      <c r="E12" s="5" t="n">
        <v>-28.1</v>
      </c>
      <c r="F12" s="5" t="n">
        <v>-24</v>
      </c>
    </row>
    <row r="13">
      <c r="A13" s="5" t="inlineStr">
        <is>
          <t>Carrying value</t>
        </is>
      </c>
      <c r="B13" s="5" t="n">
        <v>12439.5</v>
      </c>
      <c r="C13" s="5" t="n">
        <v>11714.7</v>
      </c>
      <c r="D13" s="5" t="n">
        <v>11434.6</v>
      </c>
      <c r="E13" s="5" t="n">
        <v>9323.6</v>
      </c>
      <c r="F13" s="5" t="n">
        <v>8120.5</v>
      </c>
    </row>
    <row r="14">
      <c r="A14" s="6" t="inlineStr">
        <is>
          <t>Stage 3 as % of gross carrying amount (NPL ratio)</t>
        </is>
      </c>
      <c r="B14" s="6" t="inlineStr">
        <is>
          <t>1.31%</t>
        </is>
      </c>
      <c r="C14" s="6" t="inlineStr">
        <is>
          <t>1.35%</t>
        </is>
      </c>
      <c r="D14" s="6" t="inlineStr">
        <is>
          <t>1.07%</t>
        </is>
      </c>
      <c r="E14" s="6" t="inlineStr">
        <is>
          <t>0.75%</t>
        </is>
      </c>
      <c r="F14" s="6" t="inlineStr">
        <is>
          <t>1.09%</t>
        </is>
      </c>
    </row>
    <row r="15">
      <c r="A15" s="6" t="inlineStr">
        <is>
          <t>Stage 2 as % of gross carrying amount</t>
        </is>
      </c>
      <c r="B15" s="6" t="inlineStr">
        <is>
          <t>4.03%</t>
        </is>
      </c>
      <c r="C15" s="6" t="inlineStr">
        <is>
          <t>4.58%</t>
        </is>
      </c>
      <c r="D15" s="6" t="inlineStr">
        <is>
          <t>4.83%</t>
        </is>
      </c>
      <c r="E15" s="6" t="inlineStr">
        <is>
          <t>13.93%</t>
        </is>
      </c>
      <c r="F15" s="6" t="inlineStr">
        <is>
          <t>10.21%</t>
        </is>
      </c>
    </row>
    <row r="16">
      <c r="A16" s="6" t="inlineStr">
        <is>
          <t>Total loss allowance as % of gross carrying amount (coverage)</t>
        </is>
      </c>
      <c r="B16" s="6" t="inlineStr">
        <is>
          <t>0.29%</t>
        </is>
      </c>
      <c r="C16" s="6" t="inlineStr">
        <is>
          <t>0.35%</t>
        </is>
      </c>
      <c r="D16" s="6" t="inlineStr">
        <is>
          <t>0.39%</t>
        </is>
      </c>
      <c r="E16" s="6" t="inlineStr">
        <is>
          <t>0.30%</t>
        </is>
      </c>
      <c r="F16" s="6" t="inlineStr">
        <is>
          <t>0.29%</t>
        </is>
      </c>
    </row>
    <row r="18" ht="300" customHeight="1">
      <c r="A18" s="8" t="inlineStr">
        <is>
          <t>Sources - Paragon Bank PLC Note 'Impairment provisions on loans to customers' (loans-to-customers balance movements by IFRS 9 stage), £m, transcribed from rendered page images:
FY2025/FY2024: Annual Report 2025 (Companies House filing), Note 17, p.86 - https://find-and-update.company-information.service.gov.uk/company/05390593/filing-history
FY2023/FY2022: Annual Report 2023 (Companies House filing), Note 16, p.79 - https://find-and-update.company-information.service.gov.uk/company/05390593/filing-history
FY2021: Annual Report 2022 (Companies House filing), Note 17, p.74 - https://find-and-update.company-information.service.gov.uk/company/05390593/filing-history
ENTITY/BASIS NOTE: Paragon Bank PLC (Companies House 05390593, FRN 604551; formerly Paragon Mortgages (No.24) PLC) is the regulated UK bank. Cash flows are the Bank's own statutory statement, £m, for years ended 30 September. Pillar 3 capital/liquidity figures are for the Paragon Bank regulatory group, including subsidiary entities, as stated in the 2025 accounts and Pillar 3 reports. CORRECTED 18 September 2026 (KM1-032): this note used to say that 'the accessible 2025 URL is the half-year document', and that FY2025 capital metrics therefore used Annual Report note 38. The full-year FY2025 Pillar III is accessible - it sits at a different slug on the same host and was retrieved on 18 September 2026 - so FY2025 now comes from it, on the same basis as every other year. MREL is not disclosed in reviewed reports. FY2020-FY2017 source retrieval was checked against the Paragon Bank PLC Companies House filing history (company 05390593); historical cells remain blank where the older filing presentation could not be transcribed reliably.
DATA QUALITY NOTE: this note's own 'Carrying value' total is a few £m below the Balance Sheet's own 'Loans to customers' line every year (e.g. FY2025: £12,439.5m here vs £12,446.0m on the Balance Sheet; FY2024: £11,714.7m vs £11,671.6m - the FY2024 gap runs the other way) - a small definitional difference between this note's population and the Balance Sheet line (likely accrued interest or fair value hedge adjustments), not a transcription error. No separate product-type split (e.g. buy-to-let vs SME lending) is disclosed at this granularity in any of the 5 years - only the aggregate stage split shown below.</t>
        </is>
      </c>
    </row>
  </sheetData>
  <mergeCells count="1">
    <mergeCell ref="A18:F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s>
  <sheetData>
    <row r="1">
      <c r="A1" s="1" t="inlineStr">
        <is>
          <t>Paragon Bank Plc — KM1 Key Metrics</t>
        </is>
      </c>
    </row>
    <row r="2">
      <c r="A2" s="2" t="inlineStr">
        <is>
          <t>Paragon Banking Group PLC's own published 'UK KM1 - Key metrics template', reproduced in its own row order, row numbering, labels and precision. Amounts in £m, ratios as printed; all years ended 30 September. REGULATORY-GROUP BASIS, not Paragon Bank PLC statutory solo - see the entity note. FY2025 and FY2024 were added on 18 September 2026 from their own editions, both retrieved live from the Group's website; they had been empty on the mistaken ground that the editions could not be obtained - see the source note. FY2017-FY2020 are not shown at all: the template post-dates those editions.</t>
        </is>
      </c>
    </row>
    <row r="3">
      <c r="A3" s="4" t="inlineStr">
        <is>
          <t>Line item</t>
        </is>
      </c>
      <c r="B3" s="4" t="inlineStr">
        <is>
          <t>FY2025</t>
        </is>
      </c>
      <c r="C3" s="4" t="inlineStr">
        <is>
          <t>FY2024</t>
        </is>
      </c>
      <c r="D3" s="4" t="inlineStr">
        <is>
          <t>FY2023</t>
        </is>
      </c>
      <c r="E3" s="4" t="inlineStr">
        <is>
          <t>FY2022</t>
        </is>
      </c>
      <c r="F3" s="4" t="inlineStr">
        <is>
          <t>FY2021</t>
        </is>
      </c>
    </row>
    <row r="4">
      <c r="A4" s="5" t="inlineStr">
        <is>
          <t>Available own funds (amounts)</t>
        </is>
      </c>
      <c r="B4" s="6" t="n"/>
      <c r="C4" s="6" t="n"/>
      <c r="D4" s="6" t="n"/>
      <c r="E4" s="6" t="n"/>
      <c r="F4" s="6" t="n"/>
    </row>
    <row r="5">
      <c r="A5" s="6" t="inlineStr">
        <is>
          <t>1  Common Equity Tier 1 ('CET1') Capital (£m)</t>
        </is>
      </c>
      <c r="B5" s="6" t="n">
        <v>1172.4</v>
      </c>
      <c r="C5" s="6" t="n">
        <v>1177.9</v>
      </c>
      <c r="D5" s="6" t="n">
        <v>1188.9</v>
      </c>
      <c r="E5" s="6" t="n">
        <v>1221.8</v>
      </c>
      <c r="F5" s="6" t="n">
        <v>1055.8</v>
      </c>
    </row>
    <row r="6">
      <c r="A6" s="6" t="inlineStr">
        <is>
          <t>2  Tier 1 capital (£m)</t>
        </is>
      </c>
      <c r="B6" s="6" t="n">
        <v>1172.4</v>
      </c>
      <c r="C6" s="6" t="n">
        <v>1177.9</v>
      </c>
      <c r="D6" s="6" t="n">
        <v>1188.9</v>
      </c>
      <c r="E6" s="6" t="n">
        <v>1221.8</v>
      </c>
      <c r="F6" s="6" t="n">
        <v>1055.8</v>
      </c>
    </row>
    <row r="7">
      <c r="A7" s="6" t="inlineStr">
        <is>
          <t>3  Total capital (£m)</t>
        </is>
      </c>
      <c r="B7" s="6" t="n">
        <v>1322.4</v>
      </c>
      <c r="C7" s="6" t="n">
        <v>1327.9</v>
      </c>
      <c r="D7" s="6" t="n">
        <v>1338.9</v>
      </c>
      <c r="E7" s="6" t="n">
        <v>1371.8</v>
      </c>
      <c r="F7" s="6" t="n">
        <v>1205.8</v>
      </c>
    </row>
    <row r="8">
      <c r="A8" s="5" t="inlineStr">
        <is>
          <t>Risk-weighted exposure amounts</t>
        </is>
      </c>
      <c r="B8" s="6" t="n"/>
      <c r="C8" s="6" t="n"/>
      <c r="D8" s="6" t="n"/>
      <c r="E8" s="6" t="n"/>
      <c r="F8" s="6" t="n"/>
    </row>
    <row r="9">
      <c r="A9" s="6" t="inlineStr">
        <is>
          <t>4  Total risk-weighted exposure amount (£m)</t>
        </is>
      </c>
      <c r="B9" s="6" t="n">
        <v>8630.700000000001</v>
      </c>
      <c r="C9" s="6" t="n">
        <v>8278.700000000001</v>
      </c>
      <c r="D9" s="6" t="n">
        <v>7668.7</v>
      </c>
      <c r="E9" s="6" t="n">
        <v>7515</v>
      </c>
      <c r="F9" s="6" t="n">
        <v>6836.8</v>
      </c>
    </row>
    <row r="10">
      <c r="A10" s="5" t="inlineStr">
        <is>
          <t>Capital ratios (as a percentage of risk-weighted exposure amount)</t>
        </is>
      </c>
      <c r="B10" s="6" t="n"/>
      <c r="C10" s="6" t="n"/>
      <c r="D10" s="6" t="n"/>
      <c r="E10" s="6" t="n"/>
      <c r="F10" s="6" t="n"/>
    </row>
    <row r="11">
      <c r="A11" s="6" t="inlineStr">
        <is>
          <t>5  Common Equity Tier 1 ratio (%)</t>
        </is>
      </c>
      <c r="B11" s="6" t="inlineStr">
        <is>
          <t>13.6%</t>
        </is>
      </c>
      <c r="C11" s="6" t="inlineStr">
        <is>
          <t>14.2%</t>
        </is>
      </c>
      <c r="D11" s="6" t="inlineStr">
        <is>
          <t>15.5%</t>
        </is>
      </c>
      <c r="E11" s="6" t="inlineStr">
        <is>
          <t>16.3%</t>
        </is>
      </c>
      <c r="F11" s="6" t="inlineStr">
        <is>
          <t>15.4%</t>
        </is>
      </c>
    </row>
    <row r="12">
      <c r="A12" s="6" t="inlineStr">
        <is>
          <t>6  Tier 1 ratio (%)</t>
        </is>
      </c>
      <c r="B12" s="6" t="inlineStr">
        <is>
          <t>13.6%</t>
        </is>
      </c>
      <c r="C12" s="6" t="inlineStr">
        <is>
          <t>14.2%</t>
        </is>
      </c>
      <c r="D12" s="6" t="inlineStr">
        <is>
          <t>15.5%</t>
        </is>
      </c>
      <c r="E12" s="6" t="inlineStr">
        <is>
          <t>16.3%</t>
        </is>
      </c>
      <c r="F12" s="6" t="inlineStr">
        <is>
          <t>15.4%</t>
        </is>
      </c>
    </row>
    <row r="13">
      <c r="A13" s="6" t="inlineStr">
        <is>
          <t>7  Total capital ratio (%)</t>
        </is>
      </c>
      <c r="B13" s="6" t="inlineStr">
        <is>
          <t>15.3%</t>
        </is>
      </c>
      <c r="C13" s="6" t="inlineStr">
        <is>
          <t>16.0%</t>
        </is>
      </c>
      <c r="D13" s="6" t="inlineStr">
        <is>
          <t>17.5%</t>
        </is>
      </c>
      <c r="E13" s="6" t="inlineStr">
        <is>
          <t>18.3%</t>
        </is>
      </c>
      <c r="F13" s="6" t="inlineStr">
        <is>
          <t>17.6%</t>
        </is>
      </c>
    </row>
    <row r="14">
      <c r="A14" s="5" t="inlineStr">
        <is>
          <t>Additional own funds requirements based on SREP (as a percentage of risk-weighted exposure amount)</t>
        </is>
      </c>
      <c r="B14" s="6" t="n"/>
      <c r="C14" s="6" t="n"/>
      <c r="D14" s="6" t="n"/>
      <c r="E14" s="6" t="n"/>
      <c r="F14" s="6" t="n"/>
    </row>
    <row r="15">
      <c r="A15" s="6" t="inlineStr">
        <is>
          <t>7a  Additional CET1 SREP requirements (%)</t>
        </is>
      </c>
      <c r="B15" s="6" t="inlineStr">
        <is>
          <t>0.1%</t>
        </is>
      </c>
      <c r="C15" s="6" t="inlineStr">
        <is>
          <t>0.4%</t>
        </is>
      </c>
      <c r="D15" s="6" t="inlineStr">
        <is>
          <t>0.4%</t>
        </is>
      </c>
      <c r="E15" s="6" t="inlineStr">
        <is>
          <t>0.4%</t>
        </is>
      </c>
      <c r="F15" s="6" t="inlineStr">
        <is>
          <t>0.4%</t>
        </is>
      </c>
    </row>
    <row r="16">
      <c r="A16" s="6" t="inlineStr">
        <is>
          <t>7b  Additional AT1 SREP requirements (%)</t>
        </is>
      </c>
      <c r="B16" s="6" t="inlineStr">
        <is>
          <t>0.0%</t>
        </is>
      </c>
      <c r="C16" s="6" t="inlineStr">
        <is>
          <t>0.1%</t>
        </is>
      </c>
      <c r="D16" s="6" t="inlineStr">
        <is>
          <t>0.2%</t>
        </is>
      </c>
      <c r="E16" s="6" t="inlineStr">
        <is>
          <t>0.2%</t>
        </is>
      </c>
      <c r="F16" s="6" t="inlineStr">
        <is>
          <t>0.2%</t>
        </is>
      </c>
    </row>
    <row r="17">
      <c r="A17" s="6" t="inlineStr">
        <is>
          <t>7c  Additional T2 SREP requirements (%)</t>
        </is>
      </c>
      <c r="B17" s="6" t="inlineStr">
        <is>
          <t>0.0%</t>
        </is>
      </c>
      <c r="C17" s="6" t="inlineStr">
        <is>
          <t>0.2%</t>
        </is>
      </c>
      <c r="D17" s="6" t="inlineStr">
        <is>
          <t>0.2%</t>
        </is>
      </c>
      <c r="E17" s="6" t="inlineStr">
        <is>
          <t>0.2%</t>
        </is>
      </c>
      <c r="F17" s="6" t="inlineStr">
        <is>
          <t>0.2%</t>
        </is>
      </c>
    </row>
    <row r="18">
      <c r="A18" s="6" t="inlineStr">
        <is>
          <t>7d  Total SREP own funds requirements (%)</t>
        </is>
      </c>
      <c r="B18" s="6" t="inlineStr">
        <is>
          <t>8.1%</t>
        </is>
      </c>
      <c r="C18" s="6" t="inlineStr">
        <is>
          <t>8.7%</t>
        </is>
      </c>
      <c r="D18" s="6" t="inlineStr">
        <is>
          <t>8.8%</t>
        </is>
      </c>
      <c r="E18" s="6" t="inlineStr">
        <is>
          <t>8.8%</t>
        </is>
      </c>
      <c r="F18" s="6" t="inlineStr">
        <is>
          <t>8.8%</t>
        </is>
      </c>
    </row>
    <row r="19">
      <c r="A19" s="5" t="inlineStr">
        <is>
          <t>Combined buffer requirement (as a percentage of risk-weighted exposure amount)</t>
        </is>
      </c>
      <c r="B19" s="6" t="n"/>
      <c r="C19" s="6" t="n"/>
      <c r="D19" s="6" t="n"/>
      <c r="E19" s="6" t="n"/>
      <c r="F19" s="6" t="n"/>
    </row>
    <row r="20">
      <c r="A20" s="6" t="inlineStr">
        <is>
          <t>8  Capital conservation buffer (%)</t>
        </is>
      </c>
      <c r="B20" s="6" t="inlineStr">
        <is>
          <t>2.0%</t>
        </is>
      </c>
      <c r="C20" s="6" t="inlineStr">
        <is>
          <t>2.5%</t>
        </is>
      </c>
      <c r="D20" s="6" t="inlineStr">
        <is>
          <t>2.5%</t>
        </is>
      </c>
      <c r="E20" s="6" t="inlineStr">
        <is>
          <t>2.5%</t>
        </is>
      </c>
      <c r="F20" s="6" t="inlineStr">
        <is>
          <t>2.5%</t>
        </is>
      </c>
    </row>
    <row r="21">
      <c r="A21" s="6" t="inlineStr">
        <is>
          <t>UK 8a  Conversation buffer due to macro-prudential or systemic risk identified at the level of a Member State (%)</t>
        </is>
      </c>
      <c r="B21" s="6" t="inlineStr">
        <is>
          <t>-</t>
        </is>
      </c>
      <c r="C21" s="6" t="inlineStr">
        <is>
          <t>-</t>
        </is>
      </c>
      <c r="D21" s="6" t="inlineStr">
        <is>
          <t>-</t>
        </is>
      </c>
      <c r="E21" s="6" t="inlineStr">
        <is>
          <t>-</t>
        </is>
      </c>
      <c r="F21" s="6" t="inlineStr">
        <is>
          <t>-</t>
        </is>
      </c>
    </row>
    <row r="22">
      <c r="A22" s="6" t="inlineStr">
        <is>
          <t>9  Institution specific countercyclical capital buffer (%)</t>
        </is>
      </c>
      <c r="B22" s="6" t="inlineStr">
        <is>
          <t>2.5%</t>
        </is>
      </c>
      <c r="C22" s="6" t="inlineStr">
        <is>
          <t>2.0%</t>
        </is>
      </c>
      <c r="D22" s="6" t="inlineStr">
        <is>
          <t>2.0%</t>
        </is>
      </c>
      <c r="E22" s="6" t="inlineStr">
        <is>
          <t>0.0%</t>
        </is>
      </c>
      <c r="F22" s="6" t="inlineStr">
        <is>
          <t>0.0%</t>
        </is>
      </c>
    </row>
    <row r="23">
      <c r="A23" s="6" t="inlineStr">
        <is>
          <t>UK 9a  Systemic risk buffer (%)</t>
        </is>
      </c>
      <c r="B23" s="6" t="inlineStr">
        <is>
          <t>-</t>
        </is>
      </c>
      <c r="C23" s="6" t="inlineStr">
        <is>
          <t>-</t>
        </is>
      </c>
      <c r="D23" s="6" t="inlineStr">
        <is>
          <t>-</t>
        </is>
      </c>
      <c r="E23" s="6" t="inlineStr">
        <is>
          <t>-</t>
        </is>
      </c>
      <c r="F23" s="6" t="inlineStr">
        <is>
          <t>-</t>
        </is>
      </c>
    </row>
    <row r="24">
      <c r="A24" s="6" t="inlineStr">
        <is>
          <t>10  Global systemically important institution buffer (%)</t>
        </is>
      </c>
      <c r="B24" s="6" t="inlineStr">
        <is>
          <t>-</t>
        </is>
      </c>
      <c r="C24" s="6" t="inlineStr">
        <is>
          <t>-</t>
        </is>
      </c>
      <c r="D24" s="6" t="inlineStr">
        <is>
          <t>-</t>
        </is>
      </c>
      <c r="E24" s="6" t="inlineStr">
        <is>
          <t>-</t>
        </is>
      </c>
      <c r="F24" s="6" t="inlineStr">
        <is>
          <t>-</t>
        </is>
      </c>
    </row>
    <row r="25">
      <c r="A25" s="6" t="inlineStr">
        <is>
          <t>UK 10a  Other Systemically Important Institution buffer (%)</t>
        </is>
      </c>
      <c r="B25" s="6" t="inlineStr">
        <is>
          <t>-</t>
        </is>
      </c>
      <c r="C25" s="6" t="inlineStr">
        <is>
          <t>-</t>
        </is>
      </c>
      <c r="D25" s="6" t="inlineStr">
        <is>
          <t>-</t>
        </is>
      </c>
      <c r="E25" s="6" t="inlineStr">
        <is>
          <t>-</t>
        </is>
      </c>
      <c r="F25" s="6" t="inlineStr">
        <is>
          <t>-</t>
        </is>
      </c>
    </row>
    <row r="26">
      <c r="A26" s="6" t="inlineStr">
        <is>
          <t>11  Combined buffer requirement (%)</t>
        </is>
      </c>
      <c r="B26" s="6" t="inlineStr">
        <is>
          <t>4.5%</t>
        </is>
      </c>
      <c r="C26" s="6" t="inlineStr">
        <is>
          <t>4.5%</t>
        </is>
      </c>
      <c r="D26" s="6" t="inlineStr">
        <is>
          <t>4.5%</t>
        </is>
      </c>
      <c r="E26" s="6" t="inlineStr">
        <is>
          <t>2.5%</t>
        </is>
      </c>
      <c r="F26" s="6" t="inlineStr">
        <is>
          <t>2.5%</t>
        </is>
      </c>
    </row>
    <row r="27">
      <c r="A27" s="6" t="inlineStr">
        <is>
          <t>UK 11a  Overall capital requirements (%)</t>
        </is>
      </c>
      <c r="B27" s="6" t="inlineStr">
        <is>
          <t>12.6%</t>
        </is>
      </c>
      <c r="C27" s="6" t="inlineStr">
        <is>
          <t>13.2%</t>
        </is>
      </c>
      <c r="D27" s="6" t="inlineStr">
        <is>
          <t>13.3%</t>
        </is>
      </c>
      <c r="E27" s="6" t="inlineStr">
        <is>
          <t>11.3%</t>
        </is>
      </c>
      <c r="F27" s="6" t="inlineStr">
        <is>
          <t>11.3%</t>
        </is>
      </c>
    </row>
    <row r="28">
      <c r="A28" s="6" t="inlineStr">
        <is>
          <t>12  CET1 available after meeting the total SREP own funds requirements (%)</t>
        </is>
      </c>
      <c r="B28" s="6" t="inlineStr">
        <is>
          <t>7.2%</t>
        </is>
      </c>
      <c r="C28" s="6" t="inlineStr">
        <is>
          <t>7.3%</t>
        </is>
      </c>
      <c r="D28" s="6" t="inlineStr">
        <is>
          <t>6.7%</t>
        </is>
      </c>
      <c r="E28" s="6" t="inlineStr">
        <is>
          <t>8.8%</t>
        </is>
      </c>
      <c r="F28" s="6" t="inlineStr">
        <is>
          <t>8.8%</t>
        </is>
      </c>
    </row>
    <row r="29">
      <c r="A29" s="5" t="inlineStr">
        <is>
          <t>Leverage ratio</t>
        </is>
      </c>
      <c r="B29" s="6" t="n"/>
      <c r="C29" s="6" t="n"/>
      <c r="D29" s="6" t="n"/>
      <c r="E29" s="6" t="n"/>
      <c r="F29" s="6" t="n"/>
    </row>
    <row r="30">
      <c r="A30" s="6" t="inlineStr">
        <is>
          <t>13  Total exposure measure excluding claims on central banks (£m)</t>
        </is>
      </c>
      <c r="B30" s="6" t="n">
        <v>17651.1</v>
      </c>
      <c r="C30" s="6" t="n">
        <v>16807.9</v>
      </c>
      <c r="D30" s="6" t="n">
        <v>15579.3</v>
      </c>
      <c r="E30" s="6" t="n">
        <v>15387.5</v>
      </c>
      <c r="F30" s="6" t="n">
        <v>14123.2</v>
      </c>
    </row>
    <row r="31">
      <c r="A31" s="6" t="inlineStr">
        <is>
          <t>14  Leverage ratio excluding claims on central banks (%)</t>
        </is>
      </c>
      <c r="B31" s="6" t="inlineStr">
        <is>
          <t>6.6%</t>
        </is>
      </c>
      <c r="C31" s="6" t="inlineStr">
        <is>
          <t>7.0%</t>
        </is>
      </c>
      <c r="D31" s="6" t="inlineStr">
        <is>
          <t>7.6%</t>
        </is>
      </c>
      <c r="E31" s="6" t="inlineStr">
        <is>
          <t>7.9%</t>
        </is>
      </c>
      <c r="F31" s="6" t="inlineStr">
        <is>
          <t>7.5%</t>
        </is>
      </c>
    </row>
    <row r="32">
      <c r="A32" s="5" t="inlineStr">
        <is>
          <t>Additional leverage ratio disclosure requirements</t>
        </is>
      </c>
      <c r="B32" s="6" t="n"/>
      <c r="C32" s="6" t="n"/>
      <c r="D32" s="6" t="n"/>
      <c r="E32" s="6" t="n"/>
      <c r="F32" s="6" t="n"/>
    </row>
    <row r="33">
      <c r="A33" s="6" t="inlineStr">
        <is>
          <t>14a  Fully loaded ECL accounting model leverage ratio excluding claims on central banks (%)</t>
        </is>
      </c>
      <c r="B33" s="6" t="n"/>
      <c r="C33" s="6" t="n"/>
      <c r="D33" s="6" t="n"/>
      <c r="E33" s="6" t="n"/>
      <c r="F33" s="6" t="n"/>
    </row>
    <row r="34">
      <c r="A34" s="6" t="inlineStr">
        <is>
          <t>14b  Leverage ratio including claims on central banks (%)</t>
        </is>
      </c>
      <c r="B34" s="6" t="n"/>
      <c r="C34" s="6" t="n"/>
      <c r="D34" s="6" t="n"/>
      <c r="E34" s="6" t="n"/>
      <c r="F34" s="6" t="n"/>
    </row>
    <row r="35">
      <c r="A35" s="6" t="inlineStr">
        <is>
          <t>14c  Average leverage ratio excluding claims on central banks (%)</t>
        </is>
      </c>
      <c r="B35" s="6" t="n"/>
      <c r="C35" s="6" t="n"/>
      <c r="D35" s="6" t="n"/>
      <c r="E35" s="6" t="n"/>
      <c r="F35" s="6" t="n"/>
    </row>
    <row r="36">
      <c r="A36" s="6" t="inlineStr">
        <is>
          <t>14d  Average leverage ratio including claims on central banks (%)</t>
        </is>
      </c>
      <c r="B36" s="6" t="n"/>
      <c r="C36" s="6" t="n"/>
      <c r="D36" s="6" t="n"/>
      <c r="E36" s="6" t="n"/>
      <c r="F36" s="6" t="n"/>
    </row>
    <row r="37">
      <c r="A37" s="6" t="inlineStr">
        <is>
          <t>14e  Countercyclical leverage ratio buffer (%)</t>
        </is>
      </c>
      <c r="B37" s="6" t="n"/>
      <c r="C37" s="6" t="n"/>
      <c r="D37" s="6" t="n"/>
      <c r="E37" s="6" t="n"/>
      <c r="F37" s="6" t="n"/>
    </row>
    <row r="38">
      <c r="A38" s="5" t="inlineStr">
        <is>
          <t>Liquidity Coverage Ratio</t>
        </is>
      </c>
      <c r="B38" s="6" t="n"/>
      <c r="C38" s="6" t="n"/>
      <c r="D38" s="6" t="n"/>
      <c r="E38" s="6" t="n"/>
      <c r="F38" s="6" t="n"/>
    </row>
    <row r="39">
      <c r="A39" s="6" t="inlineStr">
        <is>
          <t>15  Total high-quality liquid assets ('HQLA') (Weighted value -average) (£m)</t>
        </is>
      </c>
      <c r="B39" s="6" t="n">
        <v>2439.5</v>
      </c>
      <c r="C39" s="6" t="n">
        <v>3049.1</v>
      </c>
      <c r="D39" s="6" t="n">
        <v>2082.1</v>
      </c>
      <c r="E39" s="6" t="n">
        <v>1296.7</v>
      </c>
      <c r="F39" s="6" t="n">
        <v>1393.5</v>
      </c>
    </row>
    <row r="40">
      <c r="A40" s="6" t="inlineStr">
        <is>
          <t>UK 16a  Cash outflows - Total weighted value (£m)</t>
        </is>
      </c>
      <c r="B40" s="6" t="n">
        <v>1931.2</v>
      </c>
      <c r="C40" s="6" t="n">
        <v>1785.5</v>
      </c>
      <c r="D40" s="6" t="n">
        <v>1397.8</v>
      </c>
      <c r="E40" s="6" t="n">
        <v>1152.8</v>
      </c>
      <c r="F40" s="6" t="n">
        <v>1166.2</v>
      </c>
    </row>
    <row r="41">
      <c r="A41" s="6" t="inlineStr">
        <is>
          <t>UK 16b  Cash inflows - Total weighted value (£m)</t>
        </is>
      </c>
      <c r="B41" s="6" t="n">
        <v>347.8</v>
      </c>
      <c r="C41" s="6" t="n">
        <v>332.9</v>
      </c>
      <c r="D41" s="6" t="n">
        <v>321.1</v>
      </c>
      <c r="E41" s="6" t="n">
        <v>265.4</v>
      </c>
      <c r="F41" s="6" t="n">
        <v>289.2</v>
      </c>
    </row>
    <row r="42">
      <c r="A42" s="6" t="inlineStr">
        <is>
          <t>16  Total net cash outflows (adjusted value) (£m)</t>
        </is>
      </c>
      <c r="B42" s="6" t="n">
        <v>1583.5</v>
      </c>
      <c r="C42" s="6" t="n">
        <v>1452.6</v>
      </c>
      <c r="D42" s="6" t="n">
        <v>1076.7</v>
      </c>
      <c r="E42" s="6" t="n">
        <v>887.4</v>
      </c>
      <c r="F42" s="6" t="n">
        <v>877.1</v>
      </c>
    </row>
    <row r="43">
      <c r="A43" s="6" t="inlineStr">
        <is>
          <t>17  Liquidity coverage ratio (%)</t>
        </is>
      </c>
      <c r="B43" s="6" t="inlineStr">
        <is>
          <t>154.0%</t>
        </is>
      </c>
      <c r="C43" s="6" t="inlineStr">
        <is>
          <t>211.5%</t>
        </is>
      </c>
      <c r="D43" s="6" t="inlineStr">
        <is>
          <t>193.8%</t>
        </is>
      </c>
      <c r="E43" s="6" t="inlineStr">
        <is>
          <t>146.3%</t>
        </is>
      </c>
      <c r="F43" s="6" t="inlineStr">
        <is>
          <t>164.9%</t>
        </is>
      </c>
    </row>
    <row r="44">
      <c r="A44" s="5" t="inlineStr">
        <is>
          <t>Net Stable Funding Ratio</t>
        </is>
      </c>
      <c r="B44" s="6" t="n"/>
      <c r="C44" s="6" t="n"/>
      <c r="D44" s="6" t="n"/>
      <c r="E44" s="6" t="n"/>
      <c r="F44" s="6" t="n"/>
    </row>
    <row r="45">
      <c r="A45" s="6" t="inlineStr">
        <is>
          <t>18  Total available stable funding (£m)</t>
        </is>
      </c>
      <c r="B45" s="6" t="n">
        <v>18036.8</v>
      </c>
      <c r="C45" s="6" t="n">
        <v>19506</v>
      </c>
      <c r="D45" s="6" t="n">
        <v>17543.6</v>
      </c>
      <c r="E45" s="6" t="n">
        <v>16596.2</v>
      </c>
      <c r="F45" s="6" t="n">
        <v>15452.9</v>
      </c>
    </row>
    <row r="46">
      <c r="A46" s="6" t="inlineStr">
        <is>
          <t>19  Total required stable funding (£m)</t>
        </is>
      </c>
      <c r="B46" s="6" t="n">
        <v>13007.8</v>
      </c>
      <c r="C46" s="6" t="n">
        <v>14120.8</v>
      </c>
      <c r="D46" s="6" t="n">
        <v>13706.8</v>
      </c>
      <c r="E46" s="6" t="n">
        <v>13660</v>
      </c>
      <c r="F46" s="6" t="n">
        <v>12994.4</v>
      </c>
    </row>
    <row r="47">
      <c r="A47" s="6" t="inlineStr">
        <is>
          <t>20  NSFR ratio (%)</t>
        </is>
      </c>
      <c r="B47" s="6" t="inlineStr">
        <is>
          <t>138.7%</t>
        </is>
      </c>
      <c r="C47" s="6" t="inlineStr">
        <is>
          <t>138.2%</t>
        </is>
      </c>
      <c r="D47" s="6" t="inlineStr">
        <is>
          <t>128.0%</t>
        </is>
      </c>
      <c r="E47" s="6" t="inlineStr">
        <is>
          <t>121.5%</t>
        </is>
      </c>
      <c r="F47" s="6" t="inlineStr">
        <is>
          <t>118.9%</t>
        </is>
      </c>
    </row>
    <row r="49" ht="409" customHeight="1">
      <c r="A49" s="8" t="inlineStr">
        <is>
          <t>Sources - Paragon Banking Group PLC, 'UK KM1 - Key metrics template', regulatory-group basis, £m, all years ended 30 September. Each year is read from the edition for which it is the REPORTING year, except FY2021 - see below. FY2025 and FY2024 come from the Group's live website; FY2023-FY2021 are Wayback Machine captures taken when the live host was refusing us:
FY2025: Pillar III Disclosures - 30 September 2025, section 2.1 'UK KM1 - Key metrics template', printed pp.8-9 (rows 1-17 on p.8, rows 18-20 on p.9), column a '30 Sep 25' - https://www.paragonbankinggroup.co.uk/resources/paragon-group/documents/reports-presentations/2025/2025-pillar--iii
FY2024: Pillar III Disclosures - 30 September 2024, section 2.1, printed pp.8-9 (rows 1-11 on p.8, rows UK 11a-20 on p.9), column a '30 Sept 24' - https://www.paragonbankinggroup.co.uk/resources/paragon-group/documents/reports-presentations/2024/2024--pillar--iii
FY2023: Pillar III Disclosures 30 September 2023, section 2.2, pp.8-10 (printed folios 8-10; the table spans three pages), column a '30 Sept 23' - https://web.archive.org/web/20240830064955/https://www.paragonbankinggroup.co.uk/resources/paragon-group/documents/reports-presentations/2023/2023-pillar-iii
FY2022: Pillar III Disclosures 30 September 2022, section 2.2, pp.8-10, column a '30 Sept 22' - https://web.archive.org/web/20240830044143/https://www.paragonbankinggroup.co.uk/resources/paragon-group/documents/reports-presentations/2022/pbg_2022_pillar_iii_disclosures
FY2021: the SAME FY2022 edition's own column e '30 Sept 21', pp.8-10 - https://web.archive.org/web/20240830044143/https://www.paragonbankinggroup.co.uk/resources/paragon-group/documents/reports-presentations/2022/pbg_2022_pillar_iii_disclosures. The FY2021 edition itself contains no key-metrics template of any kind (see below), so this column is filled from the earliest edition that prints the year rather than left blank. That edition is at https://web.archive.org/web/20240713140930/https://www.paragonbank.co.uk/resources/paragon-group/documents/reports-presentations/2022/pbg_2021_pillar_iii_disclosures
THE FY2021 EDITION PRINTS NO KM1, ON POSITIVE EVIDENCE. Its contents page runs Introduction / Governance / Risk management / Capital resources / Credit risk / Asset encumbrance / Counterparty credit risk / Interest rate risk / Liquidity risk / Securitisation / Remuneration / Glossary - there is no key-metrics section. Searching its extracted text returns zero occurrences of 'KM1', zero of 'Key metrics template' and zero of 'combined buffer', while the SAME extraction is rich on neighbouring regulatory language - 7 occurrences of 'own funds', 6 of 'SREP', 5 of 'Total exposure measure', 5 of 'countercyclical' and 4 of 'risk-weighted'. The zeros are therefore a fact about the document, not about the extraction. This is consistent with the Group's own statement that the template is required from the 1 January 2022 UK regime; the FY2022 edition is its first.
FY2025 AND FY2024 WERE EMPTY UNTIL 18 SEPTEMBER 2026, AND THE REASON GIVEN WAS WRONG (KM1-032). Until today this sheet said the two columns were blank because 'neither edition could be retrieved' - the Group's site 403ing us and the single archived capture refusing to replay. The retrieval failure was real; the conclusion drawn from it was not, and the cells stayed empty for want of a document that was sitting on the Group's own website the whole time. BOTH EDITIONS WERE RETRIEVED TODAY AND THE COLUMNS ARE NOW FILLED FROM THEM: Pillar III Disclosures - 30 September 2025 (HTTP 200, 'application/pdf', %PDF-1.6, 1,234,294 bytes, 104 pages, cover reading 'Paragon Banking Group PLC / Pillar III Disclosures - 30 September 2025') and Pillar III Disclosures - 30 September 2024 (HTTP 200, 'application/pdf', %PDF-1.7, 1,591,886 bytes, 107 pages). Both read 18 September 2026.
WHAT ACTUALLY UNBLOCKED IT, recorded because it is reusable and was not obvious: the Cloudflare 403 on this host is triggered by the HTTP/2 request, not by the User-Agent, the headers, cookies or the path. The identical request sent over HTTP/1.1 (curl --http1.1) returns the PDF. A full browser header set over HTTP/2 is still refused; a bare User-Agent over HTTP/1.1 succeeds. Every previous attempt on this bank had varied the headers while leaving the protocol alone, so the block looked absolute and adaptive when it was neither. The earlier note's own words - 'the block is adaptive rather than fixed' - were an inference from repeated failure, and they were wrong.</t>
        </is>
      </c>
    </row>
    <row r="51" ht="409" customHeight="1">
      <c r="A51" s="8" t="inlineStr">
        <is>
          <t>(continued)
The Group does publish the template every year, as its half-year report states: 'Full Pillar 3 disclosures for the Group are required only at year end ... published annually at approximately the same time as the Group's report and accounts'. That sentence was already on this sheet, and it was already enough to know the documents existed.
THE TWO EDITIONS DISAGREE WITH EACH OTHER ABOUT 30 SEPTEMBER 2024, ON ROWS 8 AND 9, AND BOTH READINGS ARE PRINTED HERE. The FY2024 edition's column a gives capital conservation buffer 2.5% and institution specific countercyclical buffer 2.0%. The FY2025 edition's '30 Sep 24' comparative column gives the same two numbers the other way round, 2.0% and 2.5%, and carries that reversal through all three of its columns. This sheet takes each year from its own edition, so FY2024 reads 2.5%/2.0% and FY2025 reads 2.0%/2.5% - which on the face of the sheet looks like the two buffers swapping places between consecutive years. They are NOT reconciled and neither is corrected. For the reader's judgement rather than as an amendment: the UK capital conservation buffer has stood at 2.5% throughout, and the UK countercyclical buffer rate has been 2.0% since 5 July 2023, which fits the FY2024 edition's labelling and not the FY2025 edition's. Two further documents were checked and both agree with the FY2024 edition - the 31 March 2025 half-year report prints 2.5%/2.0% for its own '30 Sep 2024' column, and the 31 March 2026 half-year report prints 2.5%/2.0% for its '30 Sep 2025' column, which is the very date the FY2025 annual labels 2.0%/2.5%. So the FY2025 annual edition is the outlier among four documents, and on the face of it has the two row labels transposed. It is still reproduced exactly as printed, because this sheet reproduces a prescribed template rather than corrects one. Row 11 is 4.5% in every document, so whichever way the two are labelled the combined requirement is unaffected.
ROW 4 DISAGREES WITH THE SAME DOCUMENT'S OWN UK OV1 BY 0.1, FOR FY2025. KM1 row 4 prints 8,630.7 and UK OV1 row 29 'Total' prints 8,630.6, two pages later in the same edition. This workbook carries each figure on the sheet that reproduces the template it was printed in - 8,630.7 here, 8,630.6 on the RWA Breakdown sheet - so the two sheets do not tie for FY2025, by design. It is component rounding, it is the Group's own, and silently aligning them would erase a real feature of the disclosure.
LABEL SPELLING ON ROW UK 8a: the FY2022 and FY2023 editions print 'Conversation buffer', which is the Group's own typo for 'Conservation' and is kept as the reproduced label. The FY2024 and FY2025 editions spell it correctly. The row label is shared by all five columns, so it cannot show both; it keeps the older spelling and the correction is recorded here rather than applied silently.
DASHES, 'N/A' AND BLANKS ARE THREE DIFFERENT THINGS ON THIS SHEET. Rows UK 8a, UK 9a, 10 and UK 10a are dashed in every edition, footnoted [a] 'These buffers are not currently applicable to the Group', and they now CARRY that dash for the three years a readable edition covers - FY2023 from the FY2023 edition's column a '30 Sept 23', FY2022 from the FY2022 edition's column a '30 Sept 22', and FY2021 from that same FY2022 edition's column e '30 Sept 21'. Rows 14a-14e are NOT dashed: they print the literal 'N/A', footnoted [b] 'These lines are only required for LREQ banks, as defined by the PRA Rulebook. The Group's balance sheet size is too small to be classified as an LREQ bank.' That is the Group's own word, not a dash, and it is deliberately NOT converted into one; those cells remain blank pending a corpus-wide decision on how a printed 'N/A' should be shown. Row 9 by contrast prints a real 0.0 for FY2022 and FY2021, and that disclosed zero is kept as a zero - it is a measured value, and tidying it into a dash would destroy the very distinction this sheet now draws. FY2025 and FY2024 now carry the same dashes on rows UK 8a, UK 9a, 10 and UK 10a, read from their own editions, which print them dashed and footnoted [a] exactly as the earlier years do; and FY2025 adds two more printed zeros, on rows 7b and 7c, kept as zeros on the same reasoning. Rows 14a-14e print 'N/A' in those two editions as well, so they stay blank.
BASIS FOOTNOTES CARRIED BY THE SOURCE, which matter when comparing rows: the LCR block (rows 15, UK 16a, UK 16b, 16) is 'based on a 12 month rolling average of month end positions', row 17 likewise and 'therefore cannot be derived from the values given above it', and the NSFR block (rows 18-20) is 'based on a 4 quarter rolling average of quarter end positions'.</t>
        </is>
      </c>
    </row>
    <row r="53" ht="409" customHeight="1">
      <c r="A53" s="8" t="inlineStr">
        <is>
          <t>(continued)
LATEST-EDITION CHECK 2026-09-18, COMPLETED. The Group's own results/reports index was read live (HTTP 200, 96,467 bytes) and the newest FULL-YEAR edition it lists is Pillar III Disclosures - 30 September 2025, which is the newest this sheet could carry in any case: Paragon's year-end is 30 September, so FY2026 has not ended. The newest disclosure of any kind is the half-year Pillar 3 for the six months ended 31 March 2026 (HTTP 200, 'application/pdf', %PDF, 326,403 bytes, 6 pages, read 18 September 2026). That is not a year-end date and does not belong in an annual column; it belongs on the Interim Pillar 3 sheet, which is where the half-year series is kept.
ENTITY/BASIS NOTE: Paragon Bank PLC (Companies House 05390593, FRN 604551; formerly Paragon Mortgages (No.24) PLC) is the regulated UK bank. Cash flows are the Bank's own statutory statement, £m, for years ended 30 September. Pillar 3 capital/liquidity figures are for the Paragon Bank regulatory group, including subsidiary entities, as stated in the 2025 accounts and Pillar 3 reports. CORRECTED 18 September 2026 (KM1-032): this note used to say that 'the accessible 2025 URL is the half-year document', and that FY2025 capital metrics therefore used Annual Report note 38. The full-year FY2025 Pillar III is accessible - it sits at a different slug on the same host and was retrieved on 18 September 2026 - so FY2025 now comes from it, on the same basis as every other year. MREL is not disclosed in reviewed reports. FY2020-FY2017 source retrieval was checked against the Paragon Bank PLC Companies House filing history (company 05390593); historical cells remain blank where the older filing presentation could not be transcribed reliably.</t>
        </is>
      </c>
    </row>
  </sheetData>
  <mergeCells count="3">
    <mergeCell ref="A49:F49"/>
    <mergeCell ref="A53:F53"/>
    <mergeCell ref="A51:F5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Paragon Bank Plc — CET1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capital</t>
        </is>
      </c>
      <c r="B4" s="6" t="n">
        <v>1172.4</v>
      </c>
      <c r="C4" s="6" t="n">
        <v>1177.9</v>
      </c>
      <c r="D4" s="6" t="n">
        <v>1188.9</v>
      </c>
      <c r="E4" s="6" t="n">
        <v>1221.8</v>
      </c>
      <c r="F4" s="6" t="n">
        <v>1055.8</v>
      </c>
    </row>
    <row r="6" ht="364" customHeight="1">
      <c r="A6" s="8" t="inlineStr">
        <is>
          <t>Sources - Pillar 3 / regulatory-group metrics (capital amounts and RWEAs £m; ratios %):
FY2025: Pillar III Disclosures - 30 September 2025, UK KM1 printed pp.8-9, column a '30 Sep 25' - https://www.paragonbankinggroup.co.uk/resources/paragon-group/documents/reports-presentations/2025/2025-pillar--iii (retrieved 18 September 2026: HTTP 200, 'application/pdf', %PDF-1.6, 1,234,294 bytes, 104 pages)
FY2024 and FY2023: Pillar III Disclosures - 30 September 2024, UK KM1 printed pp.8-9 - https://www.paragonbankinggroup.co.uk/resources/paragon-group/documents/reports-presentations/2024/2024--pillar--iii (retrieved 18 September 2026: HTTP 200, 'application/pdf', %PDF-1.7, 1,591,886 bytes, 107 pages)
FY2022 and FY2021: Pillar III Disclosures 30 September 2022, UK KM1 pp.7-10 - https://www.paragonbankinggroup.co.uk/resources/paragon-group/documents/reports-presentations/2022/pbg_2022_pillar_iii_disclosures; FY2021 own-funds/LCR appendix pp.89-98 - https://www.paragonbank.co.uk/resources/paragon-group/documents/reports-presentations/2022/pbg_2021_pillar_iii_disclosures
FY2025 WAS REPOINTED ON 18 SEPTEMBER 2026, AND THE OLD FIGURES ARE RECORDED HERE RATHER THAN DISCARDED (KM1-032). Until today FY2025 on these sheets came from Paragon Bank PLC's Annual Report 2025 note 38, because the FY2025 Pillar III was recorded as unobtainable. It was obtainable, and the two sources are not the same entity: note 38 reports PARAGON BANK PLC's own regulatory consolidation, whereas FY2024 back to FY2021 on these sheets - and the KM1 sheet throughout - report PARAGON BANKING GROUP PLC's regulatory group. The series therefore changed legal entity in its newest column without saying so. FY2025 now comes from the Group Pillar III like every other year. For completeness, note 38's Paragon Bank PLC figures at 30 September 2025 were: CET1 and Tier 1 capital £1,085.1m, total regulatory capital £1,235.1m, total risk exposure £8,613.2m, CET1 ratio 12.6%, total capital ratio 14.3%, leverage ratio 6.2% on a total leverage exposure of £17,621.9m (Annual Report and Accounts - 30 September 2025, printed pp.116, 118 and 120; the capital tables there are marked 'not subject to audit' apart from the equity reconciliation). Those are the Bank's own audited-entity numbers and they are NOT substituted into any sheet.
FY2024's NSFR was shown as 139.5% and has been corrected to 138.2%. Both the FY2024 and the FY2025 editions print 138.2% for 30 September 2024 on UK KM1 row 20; no document printing 139.5% was found, so the old value matched no source rather than a different one.
ENTITY/BASIS NOTE: Paragon Bank PLC (Companies House 05390593, FRN 604551; formerly Paragon Mortgages (No.24) PLC) is the regulated UK bank. Cash flows are the Bank's own statutory statement, £m, for years ended 30 September. Pillar 3 capital/liquidity figures are for the Paragon Bank regulatory group, including subsidiary entities, as stated in the 2025 accounts and Pillar 3 reports. CORRECTED 18 September 2026 (KM1-032): this note used to say that 'the accessible 2025 URL is the half-year document', and that FY2025 capital metrics therefore used Annual Report note 38. The full-year FY2025 Pillar III is accessible - it sits at a different slug on the same host and was retrieved on 18 September 2026 - so FY2025 now comes from it, on the same basis as every other year. MREL is not disclosed in reviewed reports. FY2020-FY2017 source retrieval was checked against the Paragon Bank PLC Companies House filing history (company 05390593); historical cells remain blank where the older filing presentation could not be transcribed reliably.</t>
        </is>
      </c>
    </row>
  </sheetData>
  <mergeCells count="1">
    <mergeCell ref="A6:F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Paragon Bank Plc — CET1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ratio</t>
        </is>
      </c>
      <c r="B4" s="6" t="inlineStr">
        <is>
          <t>13.6%</t>
        </is>
      </c>
      <c r="C4" s="6" t="inlineStr">
        <is>
          <t>14.2%</t>
        </is>
      </c>
      <c r="D4" s="6" t="inlineStr">
        <is>
          <t>15.5%</t>
        </is>
      </c>
      <c r="E4" s="6" t="inlineStr">
        <is>
          <t>16.3%</t>
        </is>
      </c>
      <c r="F4" s="6" t="inlineStr">
        <is>
          <t>15.4%</t>
        </is>
      </c>
    </row>
    <row r="6" ht="364" customHeight="1">
      <c r="A6" s="8" t="inlineStr">
        <is>
          <t>Sources - Pillar 3 / regulatory-group metrics (capital amounts and RWEAs £m; ratios %):
FY2025: Pillar III Disclosures - 30 September 2025, UK KM1 printed pp.8-9, column a '30 Sep 25' - https://www.paragonbankinggroup.co.uk/resources/paragon-group/documents/reports-presentations/2025/2025-pillar--iii (retrieved 18 September 2026: HTTP 200, 'application/pdf', %PDF-1.6, 1,234,294 bytes, 104 pages)
FY2024 and FY2023: Pillar III Disclosures - 30 September 2024, UK KM1 printed pp.8-9 - https://www.paragonbankinggroup.co.uk/resources/paragon-group/documents/reports-presentations/2024/2024--pillar--iii (retrieved 18 September 2026: HTTP 200, 'application/pdf', %PDF-1.7, 1,591,886 bytes, 107 pages)
FY2022 and FY2021: Pillar III Disclosures 30 September 2022, UK KM1 pp.7-10 - https://www.paragonbankinggroup.co.uk/resources/paragon-group/documents/reports-presentations/2022/pbg_2022_pillar_iii_disclosures; FY2021 own-funds/LCR appendix pp.89-98 - https://www.paragonbank.co.uk/resources/paragon-group/documents/reports-presentations/2022/pbg_2021_pillar_iii_disclosures
FY2025 WAS REPOINTED ON 18 SEPTEMBER 2026, AND THE OLD FIGURES ARE RECORDED HERE RATHER THAN DISCARDED (KM1-032). Until today FY2025 on these sheets came from Paragon Bank PLC's Annual Report 2025 note 38, because the FY2025 Pillar III was recorded as unobtainable. It was obtainable, and the two sources are not the same entity: note 38 reports PARAGON BANK PLC's own regulatory consolidation, whereas FY2024 back to FY2021 on these sheets - and the KM1 sheet throughout - report PARAGON BANKING GROUP PLC's regulatory group. The series therefore changed legal entity in its newest column without saying so. FY2025 now comes from the Group Pillar III like every other year. For completeness, note 38's Paragon Bank PLC figures at 30 September 2025 were: CET1 and Tier 1 capital £1,085.1m, total regulatory capital £1,235.1m, total risk exposure £8,613.2m, CET1 ratio 12.6%, total capital ratio 14.3%, leverage ratio 6.2% on a total leverage exposure of £17,621.9m (Annual Report and Accounts - 30 September 2025, printed pp.116, 118 and 120; the capital tables there are marked 'not subject to audit' apart from the equity reconciliation). Those are the Bank's own audited-entity numbers and they are NOT substituted into any sheet.
FY2024's NSFR was shown as 139.5% and has been corrected to 138.2%. Both the FY2024 and the FY2025 editions print 138.2% for 30 September 2024 on UK KM1 row 20; no document printing 139.5% was found, so the old value matched no source rather than a different one.
ENTITY/BASIS NOTE: Paragon Bank PLC (Companies House 05390593, FRN 604551; formerly Paragon Mortgages (No.24) PLC) is the regulated UK bank. Cash flows are the Bank's own statutory statement, £m, for years ended 30 September. Pillar 3 capital/liquidity figures are for the Paragon Bank regulatory group, including subsidiary entities, as stated in the 2025 accounts and Pillar 3 reports. CORRECTED 18 September 2026 (KM1-032): this note used to say that 'the accessible 2025 URL is the half-year document', and that FY2025 capital metrics therefore used Annual Report note 38. The full-year FY2025 Pillar III is accessible - it sits at a different slug on the same host and was retrieved on 18 September 2026 - so FY2025 now comes from it, on the same basis as every other year. MREL is not disclosed in reviewed reports. FY2020-FY2017 source retrieval was checked against the Paragon Bank PLC Companies House filing history (company 05390593); historical cells remain blank where the older filing presentation could not be transcribed reliably.</t>
        </is>
      </c>
    </row>
  </sheetData>
  <mergeCells count="1">
    <mergeCell ref="A6:F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Paragon Bank Plc — Tier 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t>
        </is>
      </c>
      <c r="B4" s="6" t="n">
        <v>1172.4</v>
      </c>
      <c r="C4" s="6" t="n">
        <v>1177.9</v>
      </c>
      <c r="D4" s="6" t="n">
        <v>1188.9</v>
      </c>
      <c r="E4" s="6" t="n">
        <v>1221.8</v>
      </c>
      <c r="F4" s="6" t="n">
        <v>1055.8</v>
      </c>
    </row>
    <row r="5" ht="30" customHeight="1">
      <c r="A5" s="7" t="inlineStr">
        <is>
          <t>Note: No AT1 capital is reported; Tier 1 equals CET1 in each year.</t>
        </is>
      </c>
    </row>
    <row r="7" ht="364" customHeight="1">
      <c r="A7" s="8" t="inlineStr">
        <is>
          <t>Sources - Pillar 3 / regulatory-group metrics (capital amounts and RWEAs £m; ratios %):
FY2025: Pillar III Disclosures - 30 September 2025, UK KM1 printed pp.8-9, column a '30 Sep 25' - https://www.paragonbankinggroup.co.uk/resources/paragon-group/documents/reports-presentations/2025/2025-pillar--iii (retrieved 18 September 2026: HTTP 200, 'application/pdf', %PDF-1.6, 1,234,294 bytes, 104 pages)
FY2024 and FY2023: Pillar III Disclosures - 30 September 2024, UK KM1 printed pp.8-9 - https://www.paragonbankinggroup.co.uk/resources/paragon-group/documents/reports-presentations/2024/2024--pillar--iii (retrieved 18 September 2026: HTTP 200, 'application/pdf', %PDF-1.7, 1,591,886 bytes, 107 pages)
FY2022 and FY2021: Pillar III Disclosures 30 September 2022, UK KM1 pp.7-10 - https://www.paragonbankinggroup.co.uk/resources/paragon-group/documents/reports-presentations/2022/pbg_2022_pillar_iii_disclosures; FY2021 own-funds/LCR appendix pp.89-98 - https://www.paragonbank.co.uk/resources/paragon-group/documents/reports-presentations/2022/pbg_2021_pillar_iii_disclosures
FY2025 WAS REPOINTED ON 18 SEPTEMBER 2026, AND THE OLD FIGURES ARE RECORDED HERE RATHER THAN DISCARDED (KM1-032). Until today FY2025 on these sheets came from Paragon Bank PLC's Annual Report 2025 note 38, because the FY2025 Pillar III was recorded as unobtainable. It was obtainable, and the two sources are not the same entity: note 38 reports PARAGON BANK PLC's own regulatory consolidation, whereas FY2024 back to FY2021 on these sheets - and the KM1 sheet throughout - report PARAGON BANKING GROUP PLC's regulatory group. The series therefore changed legal entity in its newest column without saying so. FY2025 now comes from the Group Pillar III like every other year. For completeness, note 38's Paragon Bank PLC figures at 30 September 2025 were: CET1 and Tier 1 capital £1,085.1m, total regulatory capital £1,235.1m, total risk exposure £8,613.2m, CET1 ratio 12.6%, total capital ratio 14.3%, leverage ratio 6.2% on a total leverage exposure of £17,621.9m (Annual Report and Accounts - 30 September 2025, printed pp.116, 118 and 120; the capital tables there are marked 'not subject to audit' apart from the equity reconciliation). Those are the Bank's own audited-entity numbers and they are NOT substituted into any sheet.
FY2024's NSFR was shown as 139.5% and has been corrected to 138.2%. Both the FY2024 and the FY2025 editions print 138.2% for 30 September 2024 on UK KM1 row 20; no document printing 139.5% was found, so the old value matched no source rather than a different one.
ENTITY/BASIS NOTE: Paragon Bank PLC (Companies House 05390593, FRN 604551; formerly Paragon Mortgages (No.24) PLC) is the regulated UK bank. Cash flows are the Bank's own statutory statement, £m, for years ended 30 September. Pillar 3 capital/liquidity figures are for the Paragon Bank regulatory group, including subsidiary entities, as stated in the 2025 accounts and Pillar 3 reports. CORRECTED 18 September 2026 (KM1-032): this note used to say that 'the accessible 2025 URL is the half-year document', and that FY2025 capital metrics therefore used Annual Report note 38. The full-year FY2025 Pillar III is accessible - it sits at a different slug on the same host and was retrieved on 18 September 2026 - so FY2025 now comes from it, on the same basis as every other year. MREL is not disclosed in reviewed reports. FY2020-FY2017 source retrieval was checked against the Paragon Bank PLC Companies House filing history (company 05390593); historical cells remain blank where the older filing presentation could not be transcribed reliably.</t>
        </is>
      </c>
    </row>
  </sheetData>
  <mergeCells count="2">
    <mergeCell ref="A5:F5"/>
    <mergeCell ref="A7:F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Paragon Bank Plc — Tier 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ratio</t>
        </is>
      </c>
      <c r="B4" s="6" t="inlineStr">
        <is>
          <t>13.6%</t>
        </is>
      </c>
      <c r="C4" s="6" t="inlineStr">
        <is>
          <t>14.2%</t>
        </is>
      </c>
      <c r="D4" s="6" t="inlineStr">
        <is>
          <t>15.5%</t>
        </is>
      </c>
      <c r="E4" s="6" t="inlineStr">
        <is>
          <t>16.3%</t>
        </is>
      </c>
      <c r="F4" s="6" t="inlineStr">
        <is>
          <t>15.4%</t>
        </is>
      </c>
    </row>
    <row r="6" ht="364" customHeight="1">
      <c r="A6" s="8" t="inlineStr">
        <is>
          <t>Sources - Pillar 3 / regulatory-group metrics (capital amounts and RWEAs £m; ratios %):
FY2025: Pillar III Disclosures - 30 September 2025, UK KM1 printed pp.8-9, column a '30 Sep 25' - https://www.paragonbankinggroup.co.uk/resources/paragon-group/documents/reports-presentations/2025/2025-pillar--iii (retrieved 18 September 2026: HTTP 200, 'application/pdf', %PDF-1.6, 1,234,294 bytes, 104 pages)
FY2024 and FY2023: Pillar III Disclosures - 30 September 2024, UK KM1 printed pp.8-9 - https://www.paragonbankinggroup.co.uk/resources/paragon-group/documents/reports-presentations/2024/2024--pillar--iii (retrieved 18 September 2026: HTTP 200, 'application/pdf', %PDF-1.7, 1,591,886 bytes, 107 pages)
FY2022 and FY2021: Pillar III Disclosures 30 September 2022, UK KM1 pp.7-10 - https://www.paragonbankinggroup.co.uk/resources/paragon-group/documents/reports-presentations/2022/pbg_2022_pillar_iii_disclosures; FY2021 own-funds/LCR appendix pp.89-98 - https://www.paragonbank.co.uk/resources/paragon-group/documents/reports-presentations/2022/pbg_2021_pillar_iii_disclosures
FY2025 WAS REPOINTED ON 18 SEPTEMBER 2026, AND THE OLD FIGURES ARE RECORDED HERE RATHER THAN DISCARDED (KM1-032). Until today FY2025 on these sheets came from Paragon Bank PLC's Annual Report 2025 note 38, because the FY2025 Pillar III was recorded as unobtainable. It was obtainable, and the two sources are not the same entity: note 38 reports PARAGON BANK PLC's own regulatory consolidation, whereas FY2024 back to FY2021 on these sheets - and the KM1 sheet throughout - report PARAGON BANKING GROUP PLC's regulatory group. The series therefore changed legal entity in its newest column without saying so. FY2025 now comes from the Group Pillar III like every other year. For completeness, note 38's Paragon Bank PLC figures at 30 September 2025 were: CET1 and Tier 1 capital £1,085.1m, total regulatory capital £1,235.1m, total risk exposure £8,613.2m, CET1 ratio 12.6%, total capital ratio 14.3%, leverage ratio 6.2% on a total leverage exposure of £17,621.9m (Annual Report and Accounts - 30 September 2025, printed pp.116, 118 and 120; the capital tables there are marked 'not subject to audit' apart from the equity reconciliation). Those are the Bank's own audited-entity numbers and they are NOT substituted into any sheet.
FY2024's NSFR was shown as 139.5% and has been corrected to 138.2%. Both the FY2024 and the FY2025 editions print 138.2% for 30 September 2024 on UK KM1 row 20; no document printing 139.5% was found, so the old value matched no source rather than a different one.
ENTITY/BASIS NOTE: Paragon Bank PLC (Companies House 05390593, FRN 604551; formerly Paragon Mortgages (No.24) PLC) is the regulated UK bank. Cash flows are the Bank's own statutory statement, £m, for years ended 30 September. Pillar 3 capital/liquidity figures are for the Paragon Bank regulatory group, including subsidiary entities, as stated in the 2025 accounts and Pillar 3 reports. CORRECTED 18 September 2026 (KM1-032): this note used to say that 'the accessible 2025 URL is the half-year document', and that FY2025 capital metrics therefore used Annual Report note 38. The full-year FY2025 Pillar III is accessible - it sits at a different slug on the same host and was retrieved on 18 September 2026 - so FY2025 now comes from it, on the same basis as every other year. MREL is not disclosed in reviewed reports. FY2020-FY2017 source retrieval was checked against the Paragon Bank PLC Companies House filing history (company 05390593); historical cells remain blank where the older filing presentation could not be transcribed reliably.</t>
        </is>
      </c>
    </row>
  </sheetData>
  <mergeCells count="1">
    <mergeCell ref="A6:F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Paragon Bank Plc — Total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regulatory capital</t>
        </is>
      </c>
      <c r="B4" s="6" t="n">
        <v>1322.4</v>
      </c>
      <c r="C4" s="6" t="n">
        <v>1327.9</v>
      </c>
      <c r="D4" s="6" t="n">
        <v>1338.9</v>
      </c>
      <c r="E4" s="6" t="n">
        <v>1371.8</v>
      </c>
      <c r="F4" s="6" t="n">
        <v>1205.8</v>
      </c>
    </row>
    <row r="6" ht="364" customHeight="1">
      <c r="A6" s="8" t="inlineStr">
        <is>
          <t>Sources - Pillar 3 / regulatory-group metrics (capital amounts and RWEAs £m; ratios %):
FY2025: Pillar III Disclosures - 30 September 2025, UK KM1 printed pp.8-9, column a '30 Sep 25' - https://www.paragonbankinggroup.co.uk/resources/paragon-group/documents/reports-presentations/2025/2025-pillar--iii (retrieved 18 September 2026: HTTP 200, 'application/pdf', %PDF-1.6, 1,234,294 bytes, 104 pages)
FY2024 and FY2023: Pillar III Disclosures - 30 September 2024, UK KM1 printed pp.8-9 - https://www.paragonbankinggroup.co.uk/resources/paragon-group/documents/reports-presentations/2024/2024--pillar--iii (retrieved 18 September 2026: HTTP 200, 'application/pdf', %PDF-1.7, 1,591,886 bytes, 107 pages)
FY2022 and FY2021: Pillar III Disclosures 30 September 2022, UK KM1 pp.7-10 - https://www.paragonbankinggroup.co.uk/resources/paragon-group/documents/reports-presentations/2022/pbg_2022_pillar_iii_disclosures; FY2021 own-funds/LCR appendix pp.89-98 - https://www.paragonbank.co.uk/resources/paragon-group/documents/reports-presentations/2022/pbg_2021_pillar_iii_disclosures
FY2025 WAS REPOINTED ON 18 SEPTEMBER 2026, AND THE OLD FIGURES ARE RECORDED HERE RATHER THAN DISCARDED (KM1-032). Until today FY2025 on these sheets came from Paragon Bank PLC's Annual Report 2025 note 38, because the FY2025 Pillar III was recorded as unobtainable. It was obtainable, and the two sources are not the same entity: note 38 reports PARAGON BANK PLC's own regulatory consolidation, whereas FY2024 back to FY2021 on these sheets - and the KM1 sheet throughout - report PARAGON BANKING GROUP PLC's regulatory group. The series therefore changed legal entity in its newest column without saying so. FY2025 now comes from the Group Pillar III like every other year. For completeness, note 38's Paragon Bank PLC figures at 30 September 2025 were: CET1 and Tier 1 capital £1,085.1m, total regulatory capital £1,235.1m, total risk exposure £8,613.2m, CET1 ratio 12.6%, total capital ratio 14.3%, leverage ratio 6.2% on a total leverage exposure of £17,621.9m (Annual Report and Accounts - 30 September 2025, printed pp.116, 118 and 120; the capital tables there are marked 'not subject to audit' apart from the equity reconciliation). Those are the Bank's own audited-entity numbers and they are NOT substituted into any sheet.
FY2024's NSFR was shown as 139.5% and has been corrected to 138.2%. Both the FY2024 and the FY2025 editions print 138.2% for 30 September 2024 on UK KM1 row 20; no document printing 139.5% was found, so the old value matched no source rather than a different one.
ENTITY/BASIS NOTE: Paragon Bank PLC (Companies House 05390593, FRN 604551; formerly Paragon Mortgages (No.24) PLC) is the regulated UK bank. Cash flows are the Bank's own statutory statement, £m, for years ended 30 September. Pillar 3 capital/liquidity figures are for the Paragon Bank regulatory group, including subsidiary entities, as stated in the 2025 accounts and Pillar 3 reports. CORRECTED 18 September 2026 (KM1-032): this note used to say that 'the accessible 2025 URL is the half-year document', and that FY2025 capital metrics therefore used Annual Report note 38. The full-year FY2025 Pillar III is accessible - it sits at a different slug on the same host and was retrieved on 18 September 2026 - so FY2025 now comes from it, on the same basis as every other year. MREL is not disclosed in reviewed reports. FY2020-FY2017 source retrieval was checked against the Paragon Bank PLC Companies House filing history (company 05390593); historical cells remain blank where the older filing presentation could not be transcribed reliably.</t>
        </is>
      </c>
    </row>
  </sheetData>
  <mergeCells count="1">
    <mergeCell ref="A6:F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Paragon Bank Plc — Total Capital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ratio</t>
        </is>
      </c>
      <c r="B4" s="6" t="inlineStr">
        <is>
          <t>15.3%</t>
        </is>
      </c>
      <c r="C4" s="6" t="inlineStr">
        <is>
          <t>16.0%</t>
        </is>
      </c>
      <c r="D4" s="6" t="inlineStr">
        <is>
          <t>17.5%</t>
        </is>
      </c>
      <c r="E4" s="6" t="inlineStr">
        <is>
          <t>18.3%</t>
        </is>
      </c>
      <c r="F4" s="6" t="inlineStr">
        <is>
          <t>17.6%</t>
        </is>
      </c>
    </row>
    <row r="6" ht="364" customHeight="1">
      <c r="A6" s="8" t="inlineStr">
        <is>
          <t>Sources - Pillar 3 / regulatory-group metrics (capital amounts and RWEAs £m; ratios %):
FY2025: Pillar III Disclosures - 30 September 2025, UK KM1 printed pp.8-9, column a '30 Sep 25' - https://www.paragonbankinggroup.co.uk/resources/paragon-group/documents/reports-presentations/2025/2025-pillar--iii (retrieved 18 September 2026: HTTP 200, 'application/pdf', %PDF-1.6, 1,234,294 bytes, 104 pages)
FY2024 and FY2023: Pillar III Disclosures - 30 September 2024, UK KM1 printed pp.8-9 - https://www.paragonbankinggroup.co.uk/resources/paragon-group/documents/reports-presentations/2024/2024--pillar--iii (retrieved 18 September 2026: HTTP 200, 'application/pdf', %PDF-1.7, 1,591,886 bytes, 107 pages)
FY2022 and FY2021: Pillar III Disclosures 30 September 2022, UK KM1 pp.7-10 - https://www.paragonbankinggroup.co.uk/resources/paragon-group/documents/reports-presentations/2022/pbg_2022_pillar_iii_disclosures; FY2021 own-funds/LCR appendix pp.89-98 - https://www.paragonbank.co.uk/resources/paragon-group/documents/reports-presentations/2022/pbg_2021_pillar_iii_disclosures
FY2025 WAS REPOINTED ON 18 SEPTEMBER 2026, AND THE OLD FIGURES ARE RECORDED HERE RATHER THAN DISCARDED (KM1-032). Until today FY2025 on these sheets came from Paragon Bank PLC's Annual Report 2025 note 38, because the FY2025 Pillar III was recorded as unobtainable. It was obtainable, and the two sources are not the same entity: note 38 reports PARAGON BANK PLC's own regulatory consolidation, whereas FY2024 back to FY2021 on these sheets - and the KM1 sheet throughout - report PARAGON BANKING GROUP PLC's regulatory group. The series therefore changed legal entity in its newest column without saying so. FY2025 now comes from the Group Pillar III like every other year. For completeness, note 38's Paragon Bank PLC figures at 30 September 2025 were: CET1 and Tier 1 capital £1,085.1m, total regulatory capital £1,235.1m, total risk exposure £8,613.2m, CET1 ratio 12.6%, total capital ratio 14.3%, leverage ratio 6.2% on a total leverage exposure of £17,621.9m (Annual Report and Accounts - 30 September 2025, printed pp.116, 118 and 120; the capital tables there are marked 'not subject to audit' apart from the equity reconciliation). Those are the Bank's own audited-entity numbers and they are NOT substituted into any sheet.
FY2024's NSFR was shown as 139.5% and has been corrected to 138.2%. Both the FY2024 and the FY2025 editions print 138.2% for 30 September 2024 on UK KM1 row 20; no document printing 139.5% was found, so the old value matched no source rather than a different one.
ENTITY/BASIS NOTE: Paragon Bank PLC (Companies House 05390593, FRN 604551; formerly Paragon Mortgages (No.24) PLC) is the regulated UK bank. Cash flows are the Bank's own statutory statement, £m, for years ended 30 September. Pillar 3 capital/liquidity figures are for the Paragon Bank regulatory group, including subsidiary entities, as stated in the 2025 accounts and Pillar 3 reports. CORRECTED 18 September 2026 (KM1-032): this note used to say that 'the accessible 2025 URL is the half-year document', and that FY2025 capital metrics therefore used Annual Report note 38. The full-year FY2025 Pillar III is accessible - it sits at a different slug on the same host and was retrieved on 18 September 2026 - so FY2025 now comes from it, on the same basis as every other year. MREL is not disclosed in reviewed reports. FY2020-FY2017 source retrieval was checked against the Paragon Bank PLC Companies House filing history (company 05390593); historical cells remain blank where the older filing presentation could not be transcribed reliably.</t>
        </is>
      </c>
    </row>
  </sheetData>
  <mergeCells count="1">
    <mergeCell ref="A6:F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Paragon Bank Plc — Total RWAs</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risk-weighted exposure amount</t>
        </is>
      </c>
      <c r="B4" s="6" t="n">
        <v>8630.700000000001</v>
      </c>
      <c r="C4" s="6" t="n">
        <v>8278.700000000001</v>
      </c>
      <c r="D4" s="6" t="n">
        <v>7668.7</v>
      </c>
      <c r="E4" s="6" t="n">
        <v>7515</v>
      </c>
      <c r="F4" s="6" t="n">
        <v>6836.8</v>
      </c>
    </row>
    <row r="5" ht="65" customHeight="1">
      <c r="A5" s="7" t="inlineStr">
        <is>
          <t>Note: FY2022 verified 2026-09-15 against the FY2022 Pillar III document itself: £7,515.0m is printed there four separate times (UK KM1 row 4, own-funds template row 60, IFRS 9 transitional template row 7, and the leverage section's 'Total risk exposure amount'), and Paragon's own printed FY2022 CET1 ratio of 16.3% matches it (1,221.8/7,515.0 = 16.26%; against the OV1 total it would be 16.0%). The same document's UK OV1 total of £7,645.8m is the outlier and the FY2023 edition restates the FY2022 category split to tie to £7,515.0m. The RWA Breakdown sheet deliberately keeps the originally-published OV1 figures, so its Total row does not equal this sheet for FY2022 (nor for FY2025, where the same FY2025 edition prints 8,630.7 on KM1 row 4 and 8,630.6 on UK OV1 row 29) - see that sheet's note. Do not reconcile.</t>
        </is>
      </c>
    </row>
    <row r="7" ht="364" customHeight="1">
      <c r="A7" s="8" t="inlineStr">
        <is>
          <t>Sources - Pillar 3 / regulatory-group metrics (capital amounts and RWEAs £m; ratios %):
FY2025: Pillar III Disclosures - 30 September 2025, UK KM1 printed pp.8-9, column a '30 Sep 25' - https://www.paragonbankinggroup.co.uk/resources/paragon-group/documents/reports-presentations/2025/2025-pillar--iii (retrieved 18 September 2026: HTTP 200, 'application/pdf', %PDF-1.6, 1,234,294 bytes, 104 pages)
FY2024 and FY2023: Pillar III Disclosures - 30 September 2024, UK KM1 printed pp.8-9 - https://www.paragonbankinggroup.co.uk/resources/paragon-group/documents/reports-presentations/2024/2024--pillar--iii (retrieved 18 September 2026: HTTP 200, 'application/pdf', %PDF-1.7, 1,591,886 bytes, 107 pages)
FY2022 and FY2021: Pillar III Disclosures 30 September 2022, UK KM1 pp.7-10 - https://www.paragonbankinggroup.co.uk/resources/paragon-group/documents/reports-presentations/2022/pbg_2022_pillar_iii_disclosures; FY2021 own-funds/LCR appendix pp.89-98 - https://www.paragonbank.co.uk/resources/paragon-group/documents/reports-presentations/2022/pbg_2021_pillar_iii_disclosures
FY2025 WAS REPOINTED ON 18 SEPTEMBER 2026, AND THE OLD FIGURES ARE RECORDED HERE RATHER THAN DISCARDED (KM1-032). Until today FY2025 on these sheets came from Paragon Bank PLC's Annual Report 2025 note 38, because the FY2025 Pillar III was recorded as unobtainable. It was obtainable, and the two sources are not the same entity: note 38 reports PARAGON BANK PLC's own regulatory consolidation, whereas FY2024 back to FY2021 on these sheets - and the KM1 sheet throughout - report PARAGON BANKING GROUP PLC's regulatory group. The series therefore changed legal entity in its newest column without saying so. FY2025 now comes from the Group Pillar III like every other year. For completeness, note 38's Paragon Bank PLC figures at 30 September 2025 were: CET1 and Tier 1 capital £1,085.1m, total regulatory capital £1,235.1m, total risk exposure £8,613.2m, CET1 ratio 12.6%, total capital ratio 14.3%, leverage ratio 6.2% on a total leverage exposure of £17,621.9m (Annual Report and Accounts - 30 September 2025, printed pp.116, 118 and 120; the capital tables there are marked 'not subject to audit' apart from the equity reconciliation). Those are the Bank's own audited-entity numbers and they are NOT substituted into any sheet.
FY2024's NSFR was shown as 139.5% and has been corrected to 138.2%. Both the FY2024 and the FY2025 editions print 138.2% for 30 September 2024 on UK KM1 row 20; no document printing 139.5% was found, so the old value matched no source rather than a different one.
ENTITY/BASIS NOTE: Paragon Bank PLC (Companies House 05390593, FRN 604551; formerly Paragon Mortgages (No.24) PLC) is the regulated UK bank. Cash flows are the Bank's own statutory statement, £m, for years ended 30 September. Pillar 3 capital/liquidity figures are for the Paragon Bank regulatory group, including subsidiary entities, as stated in the 2025 accounts and Pillar 3 reports. CORRECTED 18 September 2026 (KM1-032): this note used to say that 'the accessible 2025 URL is the half-year document', and that FY2025 capital metrics therefore used Annual Report note 38. The full-year FY2025 Pillar III is accessible - it sits at a different slug on the same host and was retrieved on 18 September 2026 - so FY2025 now comes from it, on the same basis as every other year. MREL is not disclosed in reviewed reports. FY2020-FY2017 source retrieval was checked against the Paragon Bank PLC Companies House filing history (company 05390593); historical cells remain blank where the older filing presentation could not be transcribed reliably.</t>
        </is>
      </c>
    </row>
  </sheetData>
  <mergeCells count="2">
    <mergeCell ref="A5:F5"/>
    <mergeCell ref="A7:F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s>
  <sheetData>
    <row r="1">
      <c r="A1" s="1" t="inlineStr">
        <is>
          <t>Paragon Bank Plc — RWA Breakdown</t>
        </is>
      </c>
    </row>
    <row r="2">
      <c r="A2" s="2" t="inlineStr">
        <is>
          <t>Pillar 3 UK OV1 template (top-level risk-type categories), £m, regulatory-group basis. FY2021 predates the UK OV1 template and uses a coarser risk-type split from that year's own Pillar 3 'Total risk exposure' table.</t>
        </is>
      </c>
    </row>
    <row r="3">
      <c r="A3" s="4" t="inlineStr">
        <is>
          <t>Line item</t>
        </is>
      </c>
      <c r="B3" s="4" t="inlineStr">
        <is>
          <t>FY2025 (£m)</t>
        </is>
      </c>
      <c r="C3" s="4" t="inlineStr">
        <is>
          <t>FY2024 (£m)</t>
        </is>
      </c>
      <c r="D3" s="4" t="inlineStr">
        <is>
          <t>FY2023 (£m)</t>
        </is>
      </c>
      <c r="E3" s="4" t="inlineStr">
        <is>
          <t>FY2022 (£m)</t>
        </is>
      </c>
      <c r="F3" s="4" t="inlineStr">
        <is>
          <t>FY2021 (£m)</t>
        </is>
      </c>
    </row>
    <row r="4">
      <c r="A4" s="6" t="inlineStr">
        <is>
          <t>Credit risk (excluding CCR)</t>
        </is>
      </c>
      <c r="B4" s="6" t="n">
        <v>7658.8</v>
      </c>
      <c r="C4" s="6" t="n">
        <v>7351.1</v>
      </c>
      <c r="D4" s="6" t="n">
        <v>6817.1</v>
      </c>
      <c r="E4" s="6" t="n">
        <v>6763.3</v>
      </c>
      <c r="F4" s="6" t="n">
        <v>6247.1</v>
      </c>
    </row>
    <row r="5">
      <c r="A5" s="6" t="inlineStr">
        <is>
          <t>Counterparty credit risk (CCR)</t>
        </is>
      </c>
      <c r="B5" s="6" t="n">
        <v>43.5</v>
      </c>
      <c r="C5" s="6" t="n">
        <v>79.59999999999999</v>
      </c>
      <c r="D5" s="6" t="n">
        <v>111.4</v>
      </c>
      <c r="E5" s="6" t="n">
        <v>249.9</v>
      </c>
      <c r="F5" s="6" t="n"/>
    </row>
    <row r="6">
      <c r="A6" s="6" t="inlineStr">
        <is>
          <t>Market risk</t>
        </is>
      </c>
      <c r="B6" s="6" t="n"/>
      <c r="C6" s="6" t="n"/>
      <c r="D6" s="6" t="n"/>
      <c r="E6" s="6" t="n"/>
      <c r="F6" s="6" t="n">
        <v>0</v>
      </c>
    </row>
    <row r="7">
      <c r="A7" s="6" t="inlineStr">
        <is>
          <t>Operational risk</t>
        </is>
      </c>
      <c r="B7" s="6" t="n">
        <v>928.3</v>
      </c>
      <c r="C7" s="6" t="n">
        <v>848</v>
      </c>
      <c r="D7" s="6" t="n">
        <v>740.2</v>
      </c>
      <c r="E7" s="6" t="n">
        <v>633.1</v>
      </c>
      <c r="F7" s="6" t="n">
        <v>576</v>
      </c>
    </row>
    <row r="8">
      <c r="A8" s="6" t="inlineStr">
        <is>
          <t>Other (FY2021 only; predates the UK OV1 template, category not broken out separately)</t>
        </is>
      </c>
      <c r="B8" s="6" t="n"/>
      <c r="C8" s="6" t="n"/>
      <c r="D8" s="6" t="n"/>
      <c r="E8" s="6" t="n"/>
      <c r="F8" s="6" t="n">
        <v>13.8</v>
      </c>
    </row>
    <row r="9">
      <c r="A9" s="5" t="inlineStr">
        <is>
          <t>Total risk-weighted exposure amount</t>
        </is>
      </c>
      <c r="B9" s="5" t="n">
        <v>8630.6</v>
      </c>
      <c r="C9" s="5" t="n">
        <v>8278.700000000001</v>
      </c>
      <c r="D9" s="5" t="n">
        <v>7668.7</v>
      </c>
      <c r="E9" s="5" t="n">
        <v>7645.8</v>
      </c>
      <c r="F9" s="5" t="n">
        <v>6836.9</v>
      </c>
    </row>
    <row r="11" ht="377" customHeight="1">
      <c r="A11" s="8" t="inlineStr">
        <is>
          <t>Sources - Paragon Banking Group PLC Pillar III Disclosures, UK OV1 'Overview of risk weighted exposure amounts' table (section 2.2), £m, regulatory-group basis. FY2025 and FY2024 come from the Group's live website; the older years are Wayback Machine captures taken when the live host was refusing us:
FY2025: Pillar III Disclosures - 30 September 2025, UK OV1 printed pp.9-10, column a '30 Sep 25' - https://www.paragonbankinggroup.co.uk/resources/paragon-group/documents/reports-presentations/2025/2025-pillar--iii (retrieved 18 September 2026: HTTP 200, 'application/pdf', %PDF-1.6, 1,234,294 bytes). These figures were previously transcribed from the Wayback capture at https://web.archive.org/web/20260203152658/... of the same document; every one of them was re-checked against the live PDF today and they agree exactly, which is worth recording because the archived copy had been unreplayable and the transcription therefore unconfirmable.
FY2024: Pillar III Disclosures - 30 September 2024, UK OV1 printed pp.10-11, column a '30 Sept 24' - https://www.paragonbankinggroup.co.uk/resources/paragon-group/documents/reports-presentations/2024/2024--pillar--iii (retrieved 18 September 2026: HTTP 200, 'application/pdf', %PDF-1.7, 1,591,886 bytes). REPOINTED 18 September 2026 from the FY2025 edition's comparative column b to FY2024's own edition, per the standing rule that a year is read from the edition for which it is the reporting year. The figures are identical either way (7,351.1 / 79.6 / 848.0 / 8,278.7), so this changes the provenance and not the data - and the agreement itself is a check: the later edition did not restate the year.
  CLAIM WITHDRAWN 18 September 2026 (KM1-032). This citation used to add '(no standalone full-year FY2024 Pillar 3 document was locatable - only a half-year 31 March 2024 report exists at that URL slug)'. That was a failed fetch written down as a fact about the Group, and it is wrong twice over. (i) A standalone full-year edition IS published and is listed on the Group's own results-reports-and-presentations index: 'Paragon Banking Group PLC / Pillar III Disclosures - 30 September 2024', retrieved once during this ticket on 2026-09-18 at HTTP 200, application/pdf, %PDF-, 1,591,886 bytes. A FY2025 full-year edition and a 31 March 2026 half-year edition are listed too. (ii) The sub-claim about the URL slug was literally true and still produced a false conclusion, because THE SLUG NAMING IS LOAD-BEARING: the full-year edition's slug carries a DOUBLE dash before 'iii' and the half-year's a single one. Probing the half-year slug and finding a half-year report proves nothing about the full-year one sitting beside it.
  THAT SLUG RULE WAS ITSELF OVERSTATED, AND IS NARROWED HERE (18 September 2026). It was written as '2024--pillar--iii' vs '2024-pillar-iii', i.e. as though BOTH dashes doubled for a full-year edition. Only the dash before 'iii' is reliable: the FY2025 full-year edition is '2025-pillar--iii', with a single dash after the year. Guessing '2025--pillar--iii' by analogy with 2024 does not fail cleanly - it returns HTTP 200 with 'text/html; charset=utf-8' and a 96,461-byte body, the site's own index page served as a soft-404. A status-code check would have read that as a hit. A pattern inferred from one year is the same shape of error this whole correction is about, committed one paragraph later.
  NO LONGER BLOCKED - RESOLVED LATER THE SAME DAY. This entry recorded, hours earlier, that paragonbankinggroup.co.uk returned HTTP 403 from Cloudflare to every request including its own index page, that a full browser header set and a cookie-jar-plus-Referer retry were both refused, and that 'the block is adaptive rather than fixed'. That last part was an inference from repeated failure and it was wrong. THE TRIGGER IS THE HTTP VERSION, NOT THE HEADERS: the same request sent over HTTP/1.1 returns the document, while HTTP/2 is refused no matter how the headers are dressed. Every attempt on this bank, across several sessions, had varied the headers and left the protocol alone. Both full-year editions and the Group's own index page were retrieved on 18 September 2026 by that route, each verified by Content-Type and %PDF magic rather than by status code, and the FY2025 and FY2024 columns on this sheet and on the KM1 sheet are transcribed from them. Recorded at length because it generalises: a 403 that survives every header permutation is worth one attempt at a different protocol before it is written down as a block.
FY2023: Pillar III Disclosures 30 September 2023, UK OV1 pp.7-8 - https://web.archive.org/web/20240830064955/https://www.paragonbankinggroup.co.uk/resources/paragon-group/documents/reports-presentations/2023/2023-pillar-iii</t>
        </is>
      </c>
    </row>
    <row r="13" ht="340" customHeight="1">
      <c r="A13" s="8" t="inlineStr">
        <is>
          <t>(continued)
FY2022: Pillar III Disclosures 30 September 2022, UK OV1 pp.7-8 - https://web.archive.org/web/20240830044143/https://www.paragonbankinggroup.co.uk/resources/paragon-group/documents/reports-presentations/2022/pbg_2022_pillar_iii_disclosures
FY2021: Pillar III Disclosures 30 September 2021, 'Total risk exposure (TRE)' table p.40 (predates the UK OV1 template) - https://web.archive.org/web/20240713140930/https://www.paragonbank.co.uk/resources/paragon-group/documents/reports-presentations/2022/pbg_2021_pillar_iii_disclosures
ENTITY/BASIS NOTE: Paragon Bank PLC (Companies House 05390593, FRN 604551; formerly Paragon Mortgages (No.24) PLC) is the regulated UK bank. Cash flows are the Bank's own statutory statement, £m, for years ended 30 September. Pillar 3 capital/liquidity figures are for the Paragon Bank regulatory group, including subsidiary entities, as stated in the 2025 accounts and Pillar 3 reports. CORRECTED 18 September 2026 (KM1-032): this note used to say that 'the accessible 2025 URL is the half-year document', and that FY2025 capital metrics therefore used Annual Report note 38. The full-year FY2025 Pillar III is accessible - it sits at a different slug on the same host and was retrieved on 18 September 2026 - so FY2025 now comes from it, on the same basis as every other year. MREL is not disclosed in reviewed reports. FY2020-FY2017 source retrieval was checked against the Paragon Bank PLC Companies House filing history (company 05390593); historical cells remain blank where the older filing presentation could not be transcribed reliably.
DATA QUALITY NOTE (genuine, not transcription errors): FY2025's OV1 total (£8,630.6m) is 0.1 below the Total RWAs and KM1 sheets' figure (£8,630.7m). UPDATED 18 September 2026: that gap used to be £17.5m, because the Total RWAs sheet then carried £8,613.2m from Paragon Bank PLC's Annual Report note 38 - a different legal entity from this sheet's regulatory group. FY2025 now comes from the Group Pillar III on both sheets, and what remains is the 0.1 by which that single document's own KM1 row 4 (8,630.7) exceeds its own UK OV1 row 29 total (8,630.6), two pages apart. Each figure is kept on the sheet reproducing the template it was printed in; component rounding inside one document is not something to reconcile away. FY2022's OV1 total as originally published in the FY2022 Pillar 3 document (£7,645.8m, shown below) likewise doesn't match the Total RWAs sheet's KM1-sourced figure (£7,515.0m) - but the FY2023 Pillar 3 document's own FY2022 comparative column restates the FY2022 category breakdown (Credit risk £6,632.5m, CCR £249.4m, Operational risk £633.1m = £7,515.0m) to tie exactly. The originally-published FY2022 figures are shown below (each year on its own contemporaneous basis, per this rollout's standing convention), with this restatement flagged rather than silently blended in. FY2021 predates the UK OV1 template - its 'Total risk exposure' table categorises differently (Credit risk/Operational risk/Market risk/Other, no separate CCR line) but ties closely to the Total RWAs sheet (£6,836.9m vs £6,836.8m, rounding).</t>
        </is>
      </c>
    </row>
    <row r="15" ht="340" customHeight="1">
      <c r="A15" s="8" t="inlineStr">
        <is>
          <t>(continued)
FY2022 RESOLVED 2026-09-15 (RWA cross-sheet sweep - do not re-flag). The FY2022 Pillar III document was re-read in full to establish which of its two totals is the real one. Within that ONE document, £7,515.0m is printed four times - UK KM1 row 4 'Total risk-weighted exposure amount', the own-funds template row 60 'Total risk exposure amount', the IFRS 9 transitional template row 7 'Total risk-weighted assets', and the leverage section's 'Total risk exposure amount (£m)' - while £7,645.8m appears once, as UK OV1 row 29. The Total RWAs sheet's £7,515.0m is therefore the figure Paragon's own FY2022 document states as its total, corroborated three ways, and the OV1 total is the outlier. This is NOT the credit-risk-subtotal defect found at Redwood and Ghana International: the Total RWAs sheet holds the larger, complete figure and the breakdown holds the inflated one, i.e. the opposite pattern. The FY2022 OV1 is visibly internally inconsistent in several places - its own rows 1 and 2 disagree for the 30 Sept 21 column (6,186.1 vs 6,247.1) and its CCR 'of which' rows sum to 256.9 against a printed CCR line of 249.9. What the FY2023 edition's restatement shows is that OV1's credit-risk line double-counted part of counterparty credit risk: the restated credit-risk figure (£6,632.5m) is lower than the originally-published one (£6,763.3m) by exactly £130.8m, which is precisely the amount the FY2022 OV1 reports on its own row 7, 'CCR - of which the standardised approach', and the OV1 total exceeds the KM1 total by exactly that same £130.8m. Per this project's standing rule on restatements, each year keeps its own contemporaneous edition's figures rather than being reconciled, so the originally-published FY2022 OV1 numbers stay on this sheet as published and the Total RWAs sheet keeps the KM1 figure. Neither is to be changed to make the two sheets agree.</t>
        </is>
      </c>
    </row>
  </sheetData>
  <mergeCells count="3">
    <mergeCell ref="A13:F13"/>
    <mergeCell ref="A11:F11"/>
    <mergeCell ref="A15:F1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68" customWidth="1" min="1" max="1"/>
    <col width="15" customWidth="1" min="2" max="2"/>
    <col width="15" customWidth="1" min="3" max="3"/>
    <col width="15" customWidth="1" min="4" max="4"/>
    <col width="15" customWidth="1" min="5" max="5"/>
  </cols>
  <sheetData>
    <row r="1">
      <c r="A1" s="1" t="inlineStr">
        <is>
          <t>Paragon Bank Plc — Leverage Ratio</t>
        </is>
      </c>
    </row>
    <row r="2">
      <c r="A2" s="2" t="inlineStr">
        <is>
          <t>£m / %</t>
        </is>
      </c>
    </row>
    <row r="3">
      <c r="A3" s="4" t="inlineStr">
        <is>
          <t>Metric</t>
        </is>
      </c>
      <c r="B3" s="4" t="inlineStr">
        <is>
          <t>FY2025</t>
        </is>
      </c>
      <c r="C3" s="4" t="inlineStr">
        <is>
          <t>FY2024</t>
        </is>
      </c>
      <c r="D3" s="4" t="inlineStr">
        <is>
          <t>FY2023</t>
        </is>
      </c>
      <c r="E3" s="4" t="inlineStr">
        <is>
          <t>FY2022</t>
        </is>
      </c>
    </row>
    <row r="4">
      <c r="A4" s="6" t="inlineStr">
        <is>
          <t>Leverage ratio</t>
        </is>
      </c>
      <c r="B4" s="6" t="inlineStr">
        <is>
          <t>6.6%</t>
        </is>
      </c>
      <c r="C4" s="6" t="inlineStr">
        <is>
          <t>7.0%</t>
        </is>
      </c>
      <c r="D4" s="6" t="inlineStr">
        <is>
          <t>7.6%</t>
        </is>
      </c>
      <c r="E4" s="6" t="n"/>
    </row>
    <row r="5">
      <c r="A5" s="6" t="inlineStr">
        <is>
          <t>Total exposure measure including claims on central banks (£m) - UK LR2 row 24</t>
        </is>
      </c>
      <c r="B5" s="6" t="n">
        <v>19829.7</v>
      </c>
      <c r="C5" s="6" t="n">
        <v>19127.2</v>
      </c>
      <c r="D5" s="6" t="n">
        <v>18404.9</v>
      </c>
      <c r="E5" s="6" t="n">
        <v>17031.2</v>
      </c>
    </row>
    <row r="6">
      <c r="A6" s="6" t="inlineStr">
        <is>
          <t>(-) Claims on central banks excluded (£m) - UK LR2 row UK-24a</t>
        </is>
      </c>
      <c r="B6" s="6" t="n">
        <v>-2178.7</v>
      </c>
      <c r="C6" s="6" t="n">
        <v>-2319.3</v>
      </c>
      <c r="D6" s="6" t="n">
        <v>-2825.6</v>
      </c>
      <c r="E6" s="6" t="n">
        <v>-1643.7</v>
      </c>
    </row>
    <row r="7">
      <c r="A7" s="6" t="inlineStr">
        <is>
          <t>Total exposure measure excluding claims on central banks (£m) - UK LR2 row UK-24b</t>
        </is>
      </c>
      <c r="B7" s="6" t="n">
        <v>17651</v>
      </c>
      <c r="C7" s="6" t="n">
        <v>16807.9</v>
      </c>
      <c r="D7" s="6" t="n">
        <v>15579.3</v>
      </c>
      <c r="E7" s="6" t="n">
        <v>15287.5</v>
      </c>
    </row>
    <row r="8">
      <c r="A8" s="6" t="inlineStr">
        <is>
          <t>Leverage ratio excluding claims on central banks (%) - UK LR2 row 25</t>
        </is>
      </c>
      <c r="B8" s="6" t="inlineStr">
        <is>
          <t>6.6%</t>
        </is>
      </c>
      <c r="C8" s="6" t="inlineStr">
        <is>
          <t>7.0%</t>
        </is>
      </c>
      <c r="D8" s="6" t="inlineStr">
        <is>
          <t>7.6%</t>
        </is>
      </c>
      <c r="E8" s="6" t="inlineStr">
        <is>
          <t>7.9%</t>
        </is>
      </c>
    </row>
    <row r="9">
      <c r="A9" s="6" t="inlineStr">
        <is>
          <t>Leverage ratio including claims on central banks (%) - UK LR2 row UK-25c</t>
        </is>
      </c>
      <c r="B9" s="6" t="inlineStr">
        <is>
          <t>5.9%</t>
        </is>
      </c>
      <c r="C9" s="6" t="inlineStr">
        <is>
          <t>6.2%</t>
        </is>
      </c>
      <c r="D9" s="6" t="inlineStr">
        <is>
          <t>6.5%</t>
        </is>
      </c>
      <c r="E9" s="6" t="inlineStr">
        <is>
          <t>7.2%</t>
        </is>
      </c>
    </row>
    <row r="10" ht="364" customHeight="1">
      <c r="A10" s="7" t="inlineStr">
        <is>
          <t>Note: FY2022 and FY2021 are not shown in the selected modern leverage-ratio series; no comparable figure was used - but both years ARE on the KM1 sheet (rows 13 and 14), read from the FY2022 edition. FY2025 was 6.2% here until 18 September 2026, which was Paragon Bank PLC's own fully loaded ratio from Annual Report note 38; it is now 6.6%, the Group regulatory-group ratio from UK KM1 row 14, on the same basis as FY2024 and FY2023. The two are different entities, not different measures of one.
BOTH LEVERAGE BASES (GA-026, 2026-10-09). For periods from 1 January 2022 the UK template UK LR2 (LRCom) prints the exposure measure and the leverage ratio on TWO bases, INCLUDING and EXCLUDING claims on central banks, reconciling at row UK-24a. Paragon's KM1 does NOT show this - its rows 13 and 14 carry only the excluding basis, and its rows 14a-14e, which would carry the including-basis and average variants, print the literal 'N/A' in every edition (LREQ-firm-only lines; the Group says in terms it is not large enough to be an LREQ firm). The LR2 shows it in full. The figures added here are that LR2's, read at 300 dpi.
SAME ENTITY AS THE ROW ABOVE. These are Paragon Banking Group PLC Pillar III figures - the Group, not Paragon Bank PLC - which is also what the 'Leverage ratio' row above carries for FY2023-FY2025 (UK KM1 row 14, the Group regulatory-group basis; see the preceding paragraph). Nothing here mixes the two entities.
WHAT EACH EDITION'S OWN COLUMN PRINTS (£m):
  FY2025 edition p.49 - row 23 Tier 1 (leverage) 1,172.4; row 24 (including) 19,829.7; UK-24a -2,178.7; UK-24b (excluding) 17,651.0; row 25 6.6%; UK-25c 5.9%.
  FY2023 edition p.46 - 1,188.9; 18,404.9; -2,825.6; 15,579.3; 7.6%; 6.5%.
  FY2022 edition p.42 - 1,221.8; 17,031.2; -1,643.7; 15,287.5; 7.9%; 7.2%.
  FY2024 edition p.50 - 1,177.9; 19,127.2; -2,319.3; 16,807.9; 7.0%; 6.2%.
FY2024 WAS FILLED ON 2026-10-09, FROM ITS OWN EDITION. This note previously said FY2024 was left blank as UNREACHED because the live site answered HTTP 403, and that the only Internet Archive capture of the slug was in fact the HALF-YEAR report for the six months ended 31 March 2024. The second half of that is still true and is why the Archive is no route here. The first half is not: the 403 is triggered by the HTTP VERSION, not by Cloudflare refusing the client outright - the same request sent over HTTP/1.1 returns the document, as this script's RWA source note already records and as was re-confirmed on 2026-10-09 (HTTP 200, application/pdf, %PDF-, 1,591,886 bytes). The slug also matters: the full-year edition carries a DOUBLE dash before 'iii'. The figures above are therefore read from the FY2024 edition's own UK LR2 on its p.50, not from a later edition's comparative, and the own-edition rule is satisfied.
THE LATER EDITION DID NOT RESTATE THE YEAR, WHICH IS ITSELF A CHECK. The FY2025 edition's FY2024 comparative column prints 1,177.9; 19,127.2; -2,319.3; 16,807.9; 7.0%; 6.2% - identical in all six figures to the FY2024 edition's own table. Likewise the FY2024 edition's own FY2023 comparative column prints 18,404.9; -2,825.6; 15,579.3; 7.6%; 6.5%, matching the FY2023 figures already on this sheet from the FY2023 edition. Two independent agreements across three editions.</t>
        </is>
      </c>
    </row>
    <row r="11" ht="286" customHeight="1">
      <c r="A11" s="7" t="inlineStr">
        <is>
          <t>(continued)
FY2026 REMAINS ABSENT, BUT FOR A CALENDAR REASON, NOT AN ACCESS ONE. The Group's year-end is 30 September, so the FY2026 annual Pillar III covers the year ended 30 September 2026 and had not been published when this was written; the newest disclosure of any kind is the half-year report for the six months ended 31 March 2026, which belongs on the Interim Pillar 3 sheet. The earlier 'unreachable for the same Cloudflare reason' wording is withdrawn: it attributed to a block what is simply a document that does not exist yet.
THE FY2022 EDITION MISPRINTS ITS OWN ROW UK-24b, AND IT IS LEFT AS PRINTED. That edition prints row 24 as 17,031.2 and row UK-24a as -1,643.7, which subtract to 15,387.5, but prints row UK-24b as 15,287.5 - a hundred lower. Two independent checks say 15,387.5 is the intended figure: the same edition's own KM1 row 13 prints 15,387.5, and so does the FY2023 edition's FY2022 comparative column. The LR2 row is nonetheless transcribed as 15,287.5, because that is what the FY2022 LR2 prints; nothing has been back-solved or corrected into agreement. (For the same reason the ratio is left alone too: 1,221.8 over 15,287.5 is 8.0%, while the printed row 25 is 7.9%, which is 1,221.8 over 15,387.5.)
WHY THE LR2's OWN ROW 25 IS CARRIED AS WELL as the KM1 ratio in the top row. For FY2022 the top row is empty (see the preceding paragraph), so without row 25 the FY2022 column would print an including-basis ratio with no excluding-basis ratio beside it - a column no reader could interpret, and one the workbook's own KM1 cross-check correctly flagged as a disagreement when it compared KM1 row 14's 7.9% against the only percentage in that column. Row 25 is the bank's own published excluding-basis ratio and it agrees with KM1 row 14 in every year shown (6.6%, 7.6%, 7.9%).
A SMALLER SELF-DISAGREEMENT AT FY2025: the KM1 row 13 on this workbook's KM1 sheet carries 17,651.1 where the LR2's row UK-24b prints 17,651.0. Both are the bank's own; neither is adjusted.
WHICH BASIS THE PRE-2022 YEARS WERE ON. The FY2021 edition's Table LRCom is the old CRR template - a single 'Leverage ratio total exposure measure' of 15,285.9 and one ratio, 6.9%, with no basis split. That single measure sits close to the FY2022 edition's restated FY2021 INCLUDING measure (15,288.9) and its ratio equals the restated UK-25c exactly (6.9%, against 7.5% excluding), so for Paragon the pre-2022 basis corresponds to the INCLUDING one. That is the opposite of what some other banks in this corpus show, and it is why the pre-FY2022 years are not carried on the new rows.</t>
        </is>
      </c>
    </row>
    <row r="13" ht="338" customHeight="1">
      <c r="A13" s="8" t="inlineStr">
        <is>
          <t>Sources - Pillar 3 / regulatory-group metrics (capital amounts and RWEAs £m; ratios %):
FY2025: Pillar III Disclosures - 30 September 2025, UK KM1 printed pp.8-9, column a '30 Sep 25' - https://www.paragonbankinggroup.co.uk/resources/paragon-group/documents/reports-presentations/2025/2025-pillar--iii (retrieved 18 September 2026: HTTP 200, 'application/pdf', %PDF-1.6, 1,234,294 bytes, 104 pages)
FY2024 and FY2023: Pillar III Disclosures - 30 September 2024, UK KM1 printed pp.8-9 - https://www.paragonbankinggroup.co.uk/resources/paragon-group/documents/reports-presentations/2024/2024--pillar--iii (retrieved 18 September 2026: HTTP 200, 'application/pdf', %PDF-1.7, 1,591,886 bytes, 107 pages)
FY2022 and FY2021: Pillar III Disclosures 30 September 2022, UK KM1 pp.7-10 - https://www.paragonbankinggroup.co.uk/resources/paragon-group/documents/reports-presentations/2022/pbg_2022_pillar_iii_disclosures; FY2021 own-funds/LCR appendix pp.89-98 - https://www.paragonbank.co.uk/resources/paragon-group/documents/reports-presentations/2022/pbg_2021_pillar_iii_disclosures
FY2025 WAS REPOINTED ON 18 SEPTEMBER 2026, AND THE OLD FIGURES ARE RECORDED HERE RATHER THAN DISCARDED (KM1-032). Until today FY2025 on these sheets came from Paragon Bank PLC's Annual Report 2025 note 38, because the FY2025 Pillar III was recorded as unobtainable. It was obtainable, and the two sources are not the same entity: note 38 reports PARAGON BANK PLC's own regulatory consolidation, whereas FY2024 back to FY2021 on these sheets - and the KM1 sheet throughout - report PARAGON BANKING GROUP PLC's regulatory group. The series therefore changed legal entity in its newest column without saying so. FY2025 now comes from the Group Pillar III like every other year. For completeness, note 38's Paragon Bank PLC figures at 30 September 2025 were: CET1 and Tier 1 capital £1,085.1m, total regulatory capital £1,235.1m, total risk exposure £8,613.2m, CET1 ratio 12.6%, total capital ratio 14.3%, leverage ratio 6.2% on a total leverage exposure of £17,621.9m (Annual Report and Accounts - 30 September 2025, printed pp.116, 118 and 120; the capital tables there are marked 'not subject to audit' apart from the equity reconciliation). Those are the Bank's own audited-entity numbers and they are NOT substituted into any sheet.
FY2024's NSFR was shown as 139.5% and has been corrected to 138.2%. Both the FY2024 and the FY2025 editions print 138.2% for 30 September 2024 on UK KM1 row 20; no document printing 139.5% was found, so the old value matched no source rather than a different one.
ENTITY/BASIS NOTE: Paragon Bank PLC (Companies House 05390593, FRN 604551; formerly Paragon Mortgages (No.24) PLC) is the regulated UK bank. Cash flows are the Bank's own statutory statement, £m, for years ended 30 September. Pillar 3 capital/liquidity figures are for the Paragon Bank regulatory group, including subsidiary entities, as stated in the 2025 accounts and Pillar 3 reports. CORRECTED 18 September 2026 (KM1-032): this note used to say that 'the accessible 2025 URL is the half-year document', and that FY2025 capital metrics therefore used Annual Report note 38. The full-year FY2025 Pillar III is accessible - it sits at a different slug on the same host and was retrieved on 18 September 2026 - so FY2025 now comes from it, on the same basis as every other year. MREL is not disclosed in reviewed reports. FY2020-FY2017 source retrieval was checked against the Paragon Bank PLC Companies House filing history (company 05390593); historical cells remain blank where the older filing presentation could not be transcribed reliably.</t>
        </is>
      </c>
    </row>
  </sheetData>
  <mergeCells count="3">
    <mergeCell ref="A11:E11"/>
    <mergeCell ref="A10:E10"/>
    <mergeCell ref="A13:E1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Paragon Bank Plc — LCR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Liquidity Coverage Ratio</t>
        </is>
      </c>
      <c r="B4" s="6" t="inlineStr">
        <is>
          <t>154.0%</t>
        </is>
      </c>
      <c r="C4" s="6" t="inlineStr">
        <is>
          <t>211.5%</t>
        </is>
      </c>
      <c r="D4" s="6" t="inlineStr">
        <is>
          <t>193.8%</t>
        </is>
      </c>
      <c r="E4" s="6" t="inlineStr">
        <is>
          <t>146.3%</t>
        </is>
      </c>
      <c r="F4" s="6" t="inlineStr">
        <is>
          <t>164.9%</t>
        </is>
      </c>
    </row>
    <row r="5" ht="39" customHeight="1">
      <c r="A5" s="7" t="inlineStr">
        <is>
          <t>Note: All five years are the Pillar 3 UK KM1 row 17 figure, which the editions footnote as 'based on a 12 month rolling average of month end positions' and note 'cannot be derived from the values given above it'. FY2025 previously cited the Annual Report instead; the figure was the same 154.0%, but the citation now names the document the number is actually printed in.</t>
        </is>
      </c>
    </row>
    <row r="7" ht="364" customHeight="1">
      <c r="A7" s="8" t="inlineStr">
        <is>
          <t>Sources - Pillar 3 / regulatory-group metrics (capital amounts and RWEAs £m; ratios %):
FY2025: Pillar III Disclosures - 30 September 2025, UK KM1 printed pp.8-9, column a '30 Sep 25' - https://www.paragonbankinggroup.co.uk/resources/paragon-group/documents/reports-presentations/2025/2025-pillar--iii (retrieved 18 September 2026: HTTP 200, 'application/pdf', %PDF-1.6, 1,234,294 bytes, 104 pages)
FY2024 and FY2023: Pillar III Disclosures - 30 September 2024, UK KM1 printed pp.8-9 - https://www.paragonbankinggroup.co.uk/resources/paragon-group/documents/reports-presentations/2024/2024--pillar--iii (retrieved 18 September 2026: HTTP 200, 'application/pdf', %PDF-1.7, 1,591,886 bytes, 107 pages)
FY2022 and FY2021: Pillar III Disclosures 30 September 2022, UK KM1 pp.7-10 - https://www.paragonbankinggroup.co.uk/resources/paragon-group/documents/reports-presentations/2022/pbg_2022_pillar_iii_disclosures; FY2021 own-funds/LCR appendix pp.89-98 - https://www.paragonbank.co.uk/resources/paragon-group/documents/reports-presentations/2022/pbg_2021_pillar_iii_disclosures
FY2025 WAS REPOINTED ON 18 SEPTEMBER 2026, AND THE OLD FIGURES ARE RECORDED HERE RATHER THAN DISCARDED (KM1-032). Until today FY2025 on these sheets came from Paragon Bank PLC's Annual Report 2025 note 38, because the FY2025 Pillar III was recorded as unobtainable. It was obtainable, and the two sources are not the same entity: note 38 reports PARAGON BANK PLC's own regulatory consolidation, whereas FY2024 back to FY2021 on these sheets - and the KM1 sheet throughout - report PARAGON BANKING GROUP PLC's regulatory group. The series therefore changed legal entity in its newest column without saying so. FY2025 now comes from the Group Pillar III like every other year. For completeness, note 38's Paragon Bank PLC figures at 30 September 2025 were: CET1 and Tier 1 capital £1,085.1m, total regulatory capital £1,235.1m, total risk exposure £8,613.2m, CET1 ratio 12.6%, total capital ratio 14.3%, leverage ratio 6.2% on a total leverage exposure of £17,621.9m (Annual Report and Accounts - 30 September 2025, printed pp.116, 118 and 120; the capital tables there are marked 'not subject to audit' apart from the equity reconciliation). Those are the Bank's own audited-entity numbers and they are NOT substituted into any sheet.
FY2024's NSFR was shown as 139.5% and has been corrected to 138.2%. Both the FY2024 and the FY2025 editions print 138.2% for 30 September 2024 on UK KM1 row 20; no document printing 139.5% was found, so the old value matched no source rather than a different one.
ENTITY/BASIS NOTE: Paragon Bank PLC (Companies House 05390593, FRN 604551; formerly Paragon Mortgages (No.24) PLC) is the regulated UK bank. Cash flows are the Bank's own statutory statement, £m, for years ended 30 September. Pillar 3 capital/liquidity figures are for the Paragon Bank regulatory group, including subsidiary entities, as stated in the 2025 accounts and Pillar 3 reports. CORRECTED 18 September 2026 (KM1-032): this note used to say that 'the accessible 2025 URL is the half-year document', and that FY2025 capital metrics therefore used Annual Report note 38. The full-year FY2025 Pillar III is accessible - it sits at a different slug on the same host and was retrieved on 18 September 2026 - so FY2025 now comes from it, on the same basis as every other year. MREL is not disclosed in reviewed reports. FY2020-FY2017 source retrieval was checked against the Paragon Bank PLC Companies House filing history (company 05390593); historical cells remain blank where the older filing presentation could not be transcribed reliably.</t>
        </is>
      </c>
    </row>
  </sheetData>
  <mergeCells count="2">
    <mergeCell ref="A5:F5"/>
    <mergeCell ref="A7:F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Paragon Bank Plc — NSFR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Net Stable Funding Ratio</t>
        </is>
      </c>
      <c r="B4" s="6" t="inlineStr">
        <is>
          <t>138.7%</t>
        </is>
      </c>
      <c r="C4" s="6" t="inlineStr">
        <is>
          <t>138.2%</t>
        </is>
      </c>
      <c r="D4" s="6" t="inlineStr">
        <is>
          <t>128.0%</t>
        </is>
      </c>
      <c r="E4" s="6" t="inlineStr">
        <is>
          <t>121.5%</t>
        </is>
      </c>
      <c r="F4" s="6" t="inlineStr">
        <is>
          <t>118.9%</t>
        </is>
      </c>
    </row>
    <row r="6" ht="364" customHeight="1">
      <c r="A6" s="8" t="inlineStr">
        <is>
          <t>Sources - Pillar 3 / regulatory-group metrics (capital amounts and RWEAs £m; ratios %):
FY2025: Pillar III Disclosures - 30 September 2025, UK KM1 printed pp.8-9, column a '30 Sep 25' - https://www.paragonbankinggroup.co.uk/resources/paragon-group/documents/reports-presentations/2025/2025-pillar--iii (retrieved 18 September 2026: HTTP 200, 'application/pdf', %PDF-1.6, 1,234,294 bytes, 104 pages)
FY2024 and FY2023: Pillar III Disclosures - 30 September 2024, UK KM1 printed pp.8-9 - https://www.paragonbankinggroup.co.uk/resources/paragon-group/documents/reports-presentations/2024/2024--pillar--iii (retrieved 18 September 2026: HTTP 200, 'application/pdf', %PDF-1.7, 1,591,886 bytes, 107 pages)
FY2022 and FY2021: Pillar III Disclosures 30 September 2022, UK KM1 pp.7-10 - https://www.paragonbankinggroup.co.uk/resources/paragon-group/documents/reports-presentations/2022/pbg_2022_pillar_iii_disclosures; FY2021 own-funds/LCR appendix pp.89-98 - https://www.paragonbank.co.uk/resources/paragon-group/documents/reports-presentations/2022/pbg_2021_pillar_iii_disclosures
FY2025 WAS REPOINTED ON 18 SEPTEMBER 2026, AND THE OLD FIGURES ARE RECORDED HERE RATHER THAN DISCARDED (KM1-032). Until today FY2025 on these sheets came from Paragon Bank PLC's Annual Report 2025 note 38, because the FY2025 Pillar III was recorded as unobtainable. It was obtainable, and the two sources are not the same entity: note 38 reports PARAGON BANK PLC's own regulatory consolidation, whereas FY2024 back to FY2021 on these sheets - and the KM1 sheet throughout - report PARAGON BANKING GROUP PLC's regulatory group. The series therefore changed legal entity in its newest column without saying so. FY2025 now comes from the Group Pillar III like every other year. For completeness, note 38's Paragon Bank PLC figures at 30 September 2025 were: CET1 and Tier 1 capital £1,085.1m, total regulatory capital £1,235.1m, total risk exposure £8,613.2m, CET1 ratio 12.6%, total capital ratio 14.3%, leverage ratio 6.2% on a total leverage exposure of £17,621.9m (Annual Report and Accounts - 30 September 2025, printed pp.116, 118 and 120; the capital tables there are marked 'not subject to audit' apart from the equity reconciliation). Those are the Bank's own audited-entity numbers and they are NOT substituted into any sheet.
FY2024's NSFR was shown as 139.5% and has been corrected to 138.2%. Both the FY2024 and the FY2025 editions print 138.2% for 30 September 2024 on UK KM1 row 20; no document printing 139.5% was found, so the old value matched no source rather than a different one.
ENTITY/BASIS NOTE: Paragon Bank PLC (Companies House 05390593, FRN 604551; formerly Paragon Mortgages (No.24) PLC) is the regulated UK bank. Cash flows are the Bank's own statutory statement, £m, for years ended 30 September. Pillar 3 capital/liquidity figures are for the Paragon Bank regulatory group, including subsidiary entities, as stated in the 2025 accounts and Pillar 3 reports. CORRECTED 18 September 2026 (KM1-032): this note used to say that 'the accessible 2025 URL is the half-year document', and that FY2025 capital metrics therefore used Annual Report note 38. The full-year FY2025 Pillar III is accessible - it sits at a different slug on the same host and was retrieved on 18 September 2026 - so FY2025 now comes from it, on the same basis as every other year. MREL is not disclosed in reviewed reports. FY2020-FY2017 source retrieval was checked against the Paragon Bank PLC Companies House filing history (company 05390593); historical cells remain blank where the older filing presentation could not be transcribed reliably.</t>
        </is>
      </c>
    </row>
  </sheetData>
  <mergeCells count="1">
    <mergeCell ref="A6:F6"/>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Paragon Bank Plc — MREL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MREL ratio</t>
        </is>
      </c>
      <c r="B4" s="6" t="inlineStr">
        <is>
          <t>Not published – no MREL figure in Paragon Bank PLC accounts FY2025 (CH scan, OCR 2026-09-19) or in its Pillar III (UK KM1 read 2026-09-18 has no MREL row).</t>
        </is>
      </c>
      <c r="C4" s="6" t="inlineStr">
        <is>
          <t>Not published – no MREL figure in Paragon Bank PLC accounts FY2024 (CH scan, OCR 2026-09-19) or in its Pillar III (UK KM1 read 2026-09-18 has no MREL row).</t>
        </is>
      </c>
      <c r="D4" s="6" t="inlineStr">
        <is>
          <t>Not published – no MREL figure in Paragon Bank PLC accounts FY2023 (CH scan, OCR 2026-09-19) or in its Pillar III (UK KM1 read 2026-09-18 has no MREL row).</t>
        </is>
      </c>
      <c r="E4" s="6" t="inlineStr">
        <is>
          <t>Not published – no MREL figure in Paragon Bank PLC accounts FY2022 (CH scan, OCR 2026-09-19) or in its Pillar III (UK KM1 read 2026-09-18 has no MREL row).</t>
        </is>
      </c>
      <c r="F4" s="6" t="inlineStr">
        <is>
          <t>Not published – no MREL figure in Paragon Bank PLC accounts FY2021 (CH scan, OCR 2026-09-19) or in its Pillar III (UK KM1 read 2026-09-18 has no MREL row).</t>
        </is>
      </c>
      <c r="G4" s="6" t="inlineStr">
        <is>
          <t>Not published – no MREL figure in Paragon Bank PLC accounts FY2020 (Companies House scan, OCR 2026-09-19: 'MREL' zero hits).</t>
        </is>
      </c>
      <c r="H4" s="6" t="inlineStr">
        <is>
          <t>Not published – no MREL figure in Paragon Bank PLC accounts FY2019 (Companies House scan, OCR 2026-09-19: 'MREL' zero hits).</t>
        </is>
      </c>
      <c r="I4" s="6" t="inlineStr">
        <is>
          <t>Not published – no MREL figure in Paragon Bank PLC accounts FY2018 (Companies House scan, OCR 2026-09-19: 'MREL' zero hits).</t>
        </is>
      </c>
      <c r="J4" s="6" t="inlineStr">
        <is>
          <t>Not published – no MREL figure in Paragon Bank PLC accounts FY2017 (Companies House scan, OCR 2026-09-19: 'MREL' zero hits).</t>
        </is>
      </c>
    </row>
    <row r="5" ht="30" customHeight="1">
      <c r="A5" s="7" t="inlineStr">
        <is>
          <t>Note: No MREL figure was located in the reviewed Paragon Annual Reports or Pillar 3 disclosures. GA-020 (2026-09-19): Paragon Bank PLC's statutory accounts for FY2017-FY2025 were each OCR'd from the Companies House filing (company 05390593) and contain no MREL figure ('MREL' zero hits; 'capital' 50-148 hits per report). The Pillar III editions were not re-fetchable on 2026-09-19 (Cloudflare 403; no Wayback capture).</t>
        </is>
      </c>
    </row>
    <row r="7" ht="247" customHeight="1">
      <c r="A7" s="8" t="inlineStr">
        <is>
          <t>Sources - Pillar 3 / regulatory-group metrics (capital amounts and RWEAs £m; ratios %):
FY2025: Pillar III Disclosures - 30 September 2025, UK KM1 printed pp.8-9, column a '30 Sep 25' - https://www.paragonbankinggroup.co.uk/resources/paragon-group/documents/reports-presentations/2025/2025-pillar--iii (retrieved 18 September 2026: HTTP 200, 'application/pdf', %PDF-1.6, 1,234,294 bytes, 104 pages)
FY2024 and FY2023: Pillar III Disclosures - 30 September 2024, UK KM1 printed pp.8-9 - https://www.paragonbankinggroup.co.uk/resources/paragon-group/documents/reports-presentations/2024/2024--pillar--iii (retrieved 18 September 2026: HTTP 200, 'application/pdf', %PDF-1.7, 1,591,886 bytes, 107 pages)
FY2022 and FY2021: Pillar III Disclosures 30 September 2022, UK KM1 pp.7-10 - https://www.paragonbankinggroup.co.uk/resources/paragon-group/documents/reports-presentations/2022/pbg_2022_pillar_iii_disclosures; FY2021 own-funds/LCR appendix pp.89-98 - https://www.paragonbank.co.uk/resources/paragon-group/documents/reports-presentations/2022/pbg_2021_pillar_iii_disclosures
FY2025 WAS REPOINTED ON 18 SEPTEMBER 2026, AND THE OLD FIGURES ARE RECORDED HERE RATHER THAN DISCARDED (KM1-032). Until today FY2025 on these sheets came from Paragon Bank PLC's Annual Report 2025 note 38, because the FY2025 Pillar III was recorded as unobtainable. It was obtainable, and the two sources are not the same entity: note 38 reports PARAGON BANK PLC's own regulatory consolidation, whereas FY2024 back to FY2021 on these sheets - and the KM1 sheet throughout - report PARAGON BANKING GROUP PLC's regulatory group. The series therefore changed legal entity in its newest column without saying so. FY2025 now comes from the Group Pillar III like every other year. For completeness, note 38's Paragon Bank PLC figures at 30 September 2025 were: CET1 and Tier 1 capital £1,085.1m, total regulatory capital £1,235.1m, total risk exposure £8,613.2m, CET1 ratio 12.6%, total capital ratio 14.3%, leverage ratio 6.2% on a total leverage exposure of £17,621.9m (Annual Report and Accounts - 30 September 2025, printed pp.116, 118 and 120; the capital tables there are marked 'not subject to audit' apart from the equity reconciliation). Those are the Bank's own audited-entity numbers and they are NOT substituted into any sheet.
FY2024's NSFR was shown as 139.5% and has been corrected to 138.2%. Both the FY2024 and the FY2025 editions print 138.2% for 30 September 2024 on UK KM1 row 20; no document printing 139.5% was found, so the old value matched no source rather than a different one.
ENTITY/BASIS NOTE: Paragon Bank PLC (Companies House 05390593, FRN 604551; formerly Paragon Mortgages (No.24) PLC) is the regulated UK bank. Cash flows are the Bank's own statutory statement, £m, for years ended 30 September. Pillar 3 capital/liquidity figures are for the Paragon Bank regulatory group, including subsidiary entities, as stated in the 2025 accounts and Pillar 3 reports. CORRECTED 18 September 2026 (KM1-032): this note used to say that 'the accessible 2025 URL is the half-year document', and that FY2025 capital metrics therefore used Annual Report note 38. The full-year FY2025 Pillar III is accessible - it sits at a different slug on the same host and was retrieved on 18 September 2026 - so FY2025 now comes from it, on the same basis as every other year. MREL is not disclosed in reviewed reports. FY2020-FY2017 source retrieval was checked against the Paragon Bank PLC Companies House filing history (company 05390593); historical cells remain blank where the older filing presentation could not be transcribed reliably.</t>
        </is>
      </c>
    </row>
  </sheetData>
  <mergeCells count="2">
    <mergeCell ref="A5:J5"/>
    <mergeCell ref="A7:J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26"/>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32" customWidth="1" min="1" max="1"/>
    <col width="18" customWidth="1" min="2" max="2"/>
    <col width="34"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Paragon Bank Plc — Interim Pillar 3 Disclosures</t>
        </is>
      </c>
    </row>
    <row r="2">
      <c r="A2" s="2" t="inlineStr">
        <is>
          <t>Half-year UK KM1 key metrics; regulatory-group basis, including all entities</t>
        </is>
      </c>
    </row>
    <row r="3"/>
    <row r="4">
      <c r="A4" s="4" t="inlineStr">
        <is>
          <t>Metric</t>
        </is>
      </c>
      <c r="B4" s="4" t="inlineStr">
        <is>
          <t>Unit</t>
        </is>
      </c>
      <c r="C4" s="4" t="inlineStr">
        <is>
          <t>Basis</t>
        </is>
      </c>
      <c r="D4" s="4" t="inlineStr">
        <is>
          <t>31 Mar 2026</t>
        </is>
      </c>
      <c r="E4" s="4" t="inlineStr">
        <is>
          <t>31 Mar 2025</t>
        </is>
      </c>
      <c r="F4" s="4" t="inlineStr">
        <is>
          <t>31 Mar 2024</t>
        </is>
      </c>
      <c r="G4" s="4" t="inlineStr">
        <is>
          <t>31 Mar 2023</t>
        </is>
      </c>
      <c r="H4" s="4" t="inlineStr">
        <is>
          <t>31 Mar 2022</t>
        </is>
      </c>
      <c r="I4" s="4" t="inlineStr">
        <is>
          <t>31 Mar 2021</t>
        </is>
      </c>
    </row>
    <row r="5">
      <c r="A5" s="6" t="inlineStr">
        <is>
          <t>CET1 capital</t>
        </is>
      </c>
      <c r="B5" s="6" t="inlineStr">
        <is>
          <t>£m</t>
        </is>
      </c>
      <c r="C5" s="6" t="inlineStr">
        <is>
          <t>Paragon Bank regulatory group; consolidated Paragon Banking Group PLC disclosure including all entities</t>
        </is>
      </c>
      <c r="D5" s="9" t="n">
        <v>1171.3</v>
      </c>
      <c r="E5" s="9" t="n">
        <v>1193.2</v>
      </c>
      <c r="F5" s="9" t="n">
        <v>1174.9</v>
      </c>
      <c r="G5" s="9" t="n">
        <v>1170.4</v>
      </c>
      <c r="H5" s="9" t="n">
        <v>1092.4</v>
      </c>
      <c r="I5" s="9" t="n">
        <v>1057.3</v>
      </c>
    </row>
    <row r="6">
      <c r="A6" s="6" t="inlineStr">
        <is>
          <t>Tier 1 capital</t>
        </is>
      </c>
      <c r="B6" s="6" t="inlineStr">
        <is>
          <t>£m</t>
        </is>
      </c>
      <c r="C6" s="6" t="inlineStr">
        <is>
          <t>Paragon Bank regulatory group; consolidated Paragon Banking Group PLC disclosure including all entities</t>
        </is>
      </c>
      <c r="D6" s="9" t="n">
        <v>1319.7</v>
      </c>
      <c r="E6" s="9" t="n">
        <v>1193.2</v>
      </c>
      <c r="F6" s="9" t="n">
        <v>1174.9</v>
      </c>
      <c r="G6" s="9" t="n">
        <v>1170.4</v>
      </c>
      <c r="H6" s="9" t="n">
        <v>1092.4</v>
      </c>
      <c r="I6" s="9" t="n">
        <v>1057.3</v>
      </c>
    </row>
    <row r="7">
      <c r="A7" s="6" t="inlineStr">
        <is>
          <t>Total capital</t>
        </is>
      </c>
      <c r="B7" s="6" t="inlineStr">
        <is>
          <t>£m</t>
        </is>
      </c>
      <c r="C7" s="6" t="inlineStr">
        <is>
          <t>Paragon Bank regulatory group; consolidated Paragon Banking Group PLC disclosure including all entities</t>
        </is>
      </c>
      <c r="D7" s="9" t="n">
        <v>1469.7</v>
      </c>
      <c r="E7" s="9" t="n">
        <v>1343.2</v>
      </c>
      <c r="F7" s="9" t="n">
        <v>1324.9</v>
      </c>
      <c r="G7" s="9" t="n">
        <v>1320.4</v>
      </c>
      <c r="H7" s="9" t="n">
        <v>1242.4</v>
      </c>
      <c r="I7" s="9" t="n">
        <v>1203.8</v>
      </c>
    </row>
    <row r="8">
      <c r="A8" s="6" t="inlineStr">
        <is>
          <t>Total risk-weighted exposure amount</t>
        </is>
      </c>
      <c r="B8" s="6" t="inlineStr">
        <is>
          <t>£m</t>
        </is>
      </c>
      <c r="C8" s="6" t="inlineStr">
        <is>
          <t>Paragon Bank regulatory group; consolidated Paragon Banking Group PLC disclosure including all entities</t>
        </is>
      </c>
      <c r="D8" s="9" t="n">
        <v>8685.700000000001</v>
      </c>
      <c r="E8" s="9" t="n">
        <v>8385.200000000001</v>
      </c>
      <c r="F8" s="9" t="n">
        <v>7974.7</v>
      </c>
      <c r="G8" s="9" t="n">
        <v>7479.9</v>
      </c>
      <c r="H8" s="9" t="n">
        <v>7095.7</v>
      </c>
      <c r="I8" s="9" t="n">
        <v>6616</v>
      </c>
    </row>
    <row r="9">
      <c r="A9" s="6" t="inlineStr">
        <is>
          <t>CET1 ratio</t>
        </is>
      </c>
      <c r="B9" s="6" t="inlineStr">
        <is>
          <t>%</t>
        </is>
      </c>
      <c r="C9" s="6" t="inlineStr">
        <is>
          <t>Paragon Bank regulatory group; consolidated Paragon Banking Group PLC disclosure including all entities</t>
        </is>
      </c>
      <c r="D9" s="9" t="n">
        <v>13.5</v>
      </c>
      <c r="E9" s="9" t="n">
        <v>14.2</v>
      </c>
      <c r="F9" s="9" t="n">
        <v>14.7</v>
      </c>
      <c r="G9" s="9" t="n">
        <v>15.6</v>
      </c>
      <c r="H9" s="9" t="n">
        <v>15.4</v>
      </c>
      <c r="I9" s="9" t="n">
        <v>16</v>
      </c>
    </row>
    <row r="10">
      <c r="A10" s="6" t="inlineStr">
        <is>
          <t>Tier 1 ratio</t>
        </is>
      </c>
      <c r="B10" s="6" t="inlineStr">
        <is>
          <t>%</t>
        </is>
      </c>
      <c r="C10" s="6" t="inlineStr">
        <is>
          <t>Paragon Bank regulatory group; consolidated Paragon Banking Group PLC disclosure including all entities</t>
        </is>
      </c>
      <c r="D10" s="9" t="n">
        <v>15.2</v>
      </c>
      <c r="E10" s="9" t="n">
        <v>14.2</v>
      </c>
      <c r="F10" s="9" t="n">
        <v>14.7</v>
      </c>
      <c r="G10" s="9" t="n">
        <v>15.6</v>
      </c>
      <c r="H10" s="9" t="n">
        <v>15.4</v>
      </c>
      <c r="I10" s="9" t="n">
        <v>16</v>
      </c>
    </row>
    <row r="11">
      <c r="A11" s="6" t="inlineStr">
        <is>
          <t>Total capital ratio</t>
        </is>
      </c>
      <c r="B11" s="6" t="inlineStr">
        <is>
          <t>%</t>
        </is>
      </c>
      <c r="C11" s="6" t="inlineStr">
        <is>
          <t>Paragon Bank regulatory group; consolidated Paragon Banking Group PLC disclosure including all entities</t>
        </is>
      </c>
      <c r="D11" s="9" t="n">
        <v>16.9</v>
      </c>
      <c r="E11" s="9" t="n">
        <v>16</v>
      </c>
      <c r="F11" s="9" t="n">
        <v>16.6</v>
      </c>
      <c r="G11" s="9" t="n">
        <v>17.7</v>
      </c>
      <c r="H11" s="9" t="n">
        <v>17.5</v>
      </c>
      <c r="I11" s="9" t="n">
        <v>18.2</v>
      </c>
    </row>
    <row r="12">
      <c r="A12" s="6" t="inlineStr">
        <is>
          <t>Leverage ratio excluding claims on central banks</t>
        </is>
      </c>
      <c r="B12" s="6" t="inlineStr">
        <is>
          <t>%</t>
        </is>
      </c>
      <c r="C12" s="6" t="inlineStr">
        <is>
          <t>Paragon Bank regulatory group; consolidated Paragon Banking Group PLC disclosure including all entities</t>
        </is>
      </c>
      <c r="D12" s="9" t="n">
        <v>7.2</v>
      </c>
      <c r="E12" s="9" t="n">
        <v>6.9</v>
      </c>
      <c r="F12" s="9" t="n">
        <v>7.3</v>
      </c>
      <c r="G12" s="9" t="n">
        <v>7.6</v>
      </c>
      <c r="H12" s="9" t="n">
        <v>7.4</v>
      </c>
      <c r="I12" s="9" t="n">
        <v>7.7</v>
      </c>
    </row>
    <row r="13">
      <c r="A13" s="6" t="inlineStr">
        <is>
          <t>Liquidity coverage ratio</t>
        </is>
      </c>
      <c r="B13" s="6" t="inlineStr">
        <is>
          <t>%</t>
        </is>
      </c>
      <c r="C13" s="6" t="inlineStr">
        <is>
          <t>Paragon Bank regulatory group; consolidated Paragon Banking Group PLC disclosure including all entities</t>
        </is>
      </c>
      <c r="D13" s="9" t="n">
        <v>145.6</v>
      </c>
      <c r="E13" s="9" t="n">
        <v>183.2</v>
      </c>
      <c r="F13" s="9" t="n">
        <v>218.2</v>
      </c>
      <c r="G13" s="9" t="n">
        <v>155.6</v>
      </c>
      <c r="H13" s="9" t="n">
        <v>151.1</v>
      </c>
      <c r="I13" s="9" t="n">
        <v>182.3</v>
      </c>
    </row>
    <row r="14">
      <c r="A14" s="6" t="inlineStr">
        <is>
          <t>NSFR ratio</t>
        </is>
      </c>
      <c r="B14" s="6" t="inlineStr">
        <is>
          <t>%</t>
        </is>
      </c>
      <c r="C14" s="6" t="inlineStr">
        <is>
          <t>Paragon Bank regulatory group; consolidated Paragon Banking Group PLC disclosure including all entities</t>
        </is>
      </c>
      <c r="D14" s="9" t="n">
        <v>134.9</v>
      </c>
      <c r="E14" s="9" t="n">
        <v>142</v>
      </c>
      <c r="F14" s="9" t="n">
        <v>132.9</v>
      </c>
      <c r="G14" s="9" t="n">
        <v>123.3</v>
      </c>
      <c r="H14" s="9" t="n">
        <v>120.6</v>
      </c>
      <c r="I14" s="9" t="n">
        <v>116.7</v>
      </c>
    </row>
    <row r="17">
      <c r="A17" s="2" t="inlineStr">
        <is>
          <t>Source register</t>
        </is>
      </c>
    </row>
    <row r="18">
      <c r="A18" s="4" t="inlineStr">
        <is>
          <t>Period</t>
        </is>
      </c>
      <c r="B18" s="4" t="inlineStr">
        <is>
          <t>Disclosure type</t>
        </is>
      </c>
      <c r="C18" s="4" t="inlineStr">
        <is>
          <t>Source document</t>
        </is>
      </c>
      <c r="D18" s="4" t="inlineStr">
        <is>
          <t>Page / table</t>
        </is>
      </c>
    </row>
    <row r="19">
      <c r="A19" s="6" t="inlineStr">
        <is>
          <t>31 Mar 2026</t>
        </is>
      </c>
      <c r="B19" s="6" t="inlineStr">
        <is>
          <t>Half year Pillar 3</t>
        </is>
      </c>
      <c r="C19" s="9" t="inlineStr">
        <is>
          <t>https://www.paragonbankinggroup.co.uk/resources/paragon-group/documents/reports-presentations/2026/2026-pillar-iii</t>
        </is>
      </c>
      <c r="D19" s="6" t="inlineStr">
        <is>
          <t>3-4</t>
        </is>
      </c>
    </row>
    <row r="20">
      <c r="A20" s="6" t="inlineStr">
        <is>
          <t>31 Mar 2025</t>
        </is>
      </c>
      <c r="B20" s="6" t="inlineStr">
        <is>
          <t>Half year Pillar 3</t>
        </is>
      </c>
      <c r="C20" s="9" t="inlineStr">
        <is>
          <t>https://www.paragonbankinggroup.co.uk/resources/paragon-group/documents/reports-presentations/2025/2025-pillar-iii</t>
        </is>
      </c>
      <c r="D20" s="6" t="inlineStr">
        <is>
          <t>3</t>
        </is>
      </c>
    </row>
    <row r="21">
      <c r="A21" s="6" t="inlineStr">
        <is>
          <t>31 Mar 2024</t>
        </is>
      </c>
      <c r="B21" s="6" t="inlineStr">
        <is>
          <t>Half year Pillar 3</t>
        </is>
      </c>
      <c r="C21" s="9" t="inlineStr">
        <is>
          <t>https://www.paragonbankinggroup.co.uk/resources/paragon-group/documents/reports-presentations/2024/2024-pillar-iii</t>
        </is>
      </c>
      <c r="D21" s="6" t="inlineStr">
        <is>
          <t>3-4</t>
        </is>
      </c>
    </row>
    <row r="22">
      <c r="A22" s="6" t="inlineStr">
        <is>
          <t>31 Mar 2023</t>
        </is>
      </c>
      <c r="B22" s="6" t="inlineStr">
        <is>
          <t>Half year Pillar 3</t>
        </is>
      </c>
      <c r="C22" s="9" t="inlineStr">
        <is>
          <t>https://www.paragonbankinggroup.co.uk/resources/paragon-group/documents/reports-presentations/2023/paragonbankinggroup_hy_pillar-3_2023</t>
        </is>
      </c>
      <c r="D22" s="6" t="inlineStr">
        <is>
          <t>3-4</t>
        </is>
      </c>
    </row>
    <row r="23">
      <c r="A23" s="6" t="inlineStr">
        <is>
          <t>31 Mar 2022</t>
        </is>
      </c>
      <c r="B23" s="6" t="inlineStr">
        <is>
          <t>Half year Pillar 3</t>
        </is>
      </c>
      <c r="C23" s="9" t="inlineStr">
        <is>
          <t>https://www.paragonbankinggroup.co.uk/resources/paragon-group/documents/corporate-governance/half-year-pillar-iii</t>
        </is>
      </c>
      <c r="D23" s="6" t="inlineStr">
        <is>
          <t>3-4</t>
        </is>
      </c>
    </row>
    <row r="24">
      <c r="A24" s="6" t="inlineStr">
        <is>
          <t>31 Mar 2021</t>
        </is>
      </c>
      <c r="B24" s="6" t="inlineStr">
        <is>
          <t>Half year Pillar 3</t>
        </is>
      </c>
      <c r="C24" s="9" t="inlineStr">
        <is>
          <t>https://www.paragonbankinggroup.co.uk/resources/paragon-group/documents/corporate-governance/half-year-pillar-iii</t>
        </is>
      </c>
      <c r="D24" s="6" t="inlineStr">
        <is>
          <t>3-4</t>
        </is>
      </c>
    </row>
    <row r="26" ht="91" customHeight="1">
      <c r="A26" s="8" t="inlineStr">
        <is>
          <t>Note: Coverage: 31 March 2021–31 March 2026. Standalone half-year reports are available for 2022–2026. 31 March 2021 is included only as the comparative column in the official 31 March 2022 half-year report; no separate 2021 half-year Pillar 3 document was located. The disclosures are consolidated for the Paragon Bank regulatory group rather than Paragon Bank PLC statutory solo accounts. No MREL figure is reported.
31 MARCH 2026 ADDED 18 September 2026. It is the newest Pillar 3 disclosure Paragon has published and is the newest this workbook can hold: the Group's year-end is 30 September, so there is no FY2026 annual column to be had. Tier 1 capital (£1,319.7m) exceeds CET1 (£1,171.3m) for the first time in this series, the Group having issued AT1 during the half-year; every earlier period has the two equal.
TWO CROSS-EDITION RESTATEMENTS ARE VISIBLE HERE AND ARE NOT RECONCILED. (i) Each period's figures are read from its own half-year report, so 31 March 2025 shows £8,385.2m of RWEAs as that report printed them; the FY2025 annual Pillar III later prints £8,383.2m for the same date, a £2.0m restatement. (ii) The 31 March 2026 report restates leverage comparatives after a change in the treatment of IAS 39 fair value hedging adjustments - its own footnote says so - giving 31 March 2025 a total exposure measure of £17,117.1m against the £17,192.0m printed at the time. Each figure stays with the edition that printed it.</t>
        </is>
      </c>
    </row>
  </sheetData>
  <mergeCells count="1">
    <mergeCell ref="A26:I26"/>
  </mergeCells>
  <hyperlinks>
    <hyperlink xmlns:r="http://schemas.openxmlformats.org/officeDocument/2006/relationships" ref="D5" r:id="rId1"/>
    <hyperlink xmlns:r="http://schemas.openxmlformats.org/officeDocument/2006/relationships" ref="E5" r:id="rId2"/>
    <hyperlink xmlns:r="http://schemas.openxmlformats.org/officeDocument/2006/relationships" ref="F5" r:id="rId3"/>
    <hyperlink xmlns:r="http://schemas.openxmlformats.org/officeDocument/2006/relationships" ref="G5" r:id="rId4"/>
    <hyperlink xmlns:r="http://schemas.openxmlformats.org/officeDocument/2006/relationships" ref="H5" r:id="rId5"/>
    <hyperlink xmlns:r="http://schemas.openxmlformats.org/officeDocument/2006/relationships" ref="I5" r:id="rId6"/>
    <hyperlink xmlns:r="http://schemas.openxmlformats.org/officeDocument/2006/relationships" ref="D6" r:id="rId7"/>
    <hyperlink xmlns:r="http://schemas.openxmlformats.org/officeDocument/2006/relationships" ref="E6" r:id="rId8"/>
    <hyperlink xmlns:r="http://schemas.openxmlformats.org/officeDocument/2006/relationships" ref="F6" r:id="rId9"/>
    <hyperlink xmlns:r="http://schemas.openxmlformats.org/officeDocument/2006/relationships" ref="G6" r:id="rId10"/>
    <hyperlink xmlns:r="http://schemas.openxmlformats.org/officeDocument/2006/relationships" ref="H6" r:id="rId11"/>
    <hyperlink xmlns:r="http://schemas.openxmlformats.org/officeDocument/2006/relationships" ref="I6" r:id="rId12"/>
    <hyperlink xmlns:r="http://schemas.openxmlformats.org/officeDocument/2006/relationships" ref="D7" r:id="rId13"/>
    <hyperlink xmlns:r="http://schemas.openxmlformats.org/officeDocument/2006/relationships" ref="E7" r:id="rId14"/>
    <hyperlink xmlns:r="http://schemas.openxmlformats.org/officeDocument/2006/relationships" ref="F7" r:id="rId15"/>
    <hyperlink xmlns:r="http://schemas.openxmlformats.org/officeDocument/2006/relationships" ref="G7" r:id="rId16"/>
    <hyperlink xmlns:r="http://schemas.openxmlformats.org/officeDocument/2006/relationships" ref="H7" r:id="rId17"/>
    <hyperlink xmlns:r="http://schemas.openxmlformats.org/officeDocument/2006/relationships" ref="I7" r:id="rId18"/>
    <hyperlink xmlns:r="http://schemas.openxmlformats.org/officeDocument/2006/relationships" ref="D8" r:id="rId19"/>
    <hyperlink xmlns:r="http://schemas.openxmlformats.org/officeDocument/2006/relationships" ref="E8" r:id="rId20"/>
    <hyperlink xmlns:r="http://schemas.openxmlformats.org/officeDocument/2006/relationships" ref="F8" r:id="rId21"/>
    <hyperlink xmlns:r="http://schemas.openxmlformats.org/officeDocument/2006/relationships" ref="G8" r:id="rId22"/>
    <hyperlink xmlns:r="http://schemas.openxmlformats.org/officeDocument/2006/relationships" ref="H8" r:id="rId23"/>
    <hyperlink xmlns:r="http://schemas.openxmlformats.org/officeDocument/2006/relationships" ref="I8" r:id="rId24"/>
    <hyperlink xmlns:r="http://schemas.openxmlformats.org/officeDocument/2006/relationships" ref="D9" r:id="rId25"/>
    <hyperlink xmlns:r="http://schemas.openxmlformats.org/officeDocument/2006/relationships" ref="E9" r:id="rId26"/>
    <hyperlink xmlns:r="http://schemas.openxmlformats.org/officeDocument/2006/relationships" ref="F9" r:id="rId27"/>
    <hyperlink xmlns:r="http://schemas.openxmlformats.org/officeDocument/2006/relationships" ref="G9" r:id="rId28"/>
    <hyperlink xmlns:r="http://schemas.openxmlformats.org/officeDocument/2006/relationships" ref="H9" r:id="rId29"/>
    <hyperlink xmlns:r="http://schemas.openxmlformats.org/officeDocument/2006/relationships" ref="I9" r:id="rId30"/>
    <hyperlink xmlns:r="http://schemas.openxmlformats.org/officeDocument/2006/relationships" ref="D10" r:id="rId31"/>
    <hyperlink xmlns:r="http://schemas.openxmlformats.org/officeDocument/2006/relationships" ref="E10" r:id="rId32"/>
    <hyperlink xmlns:r="http://schemas.openxmlformats.org/officeDocument/2006/relationships" ref="F10" r:id="rId33"/>
    <hyperlink xmlns:r="http://schemas.openxmlformats.org/officeDocument/2006/relationships" ref="G10" r:id="rId34"/>
    <hyperlink xmlns:r="http://schemas.openxmlformats.org/officeDocument/2006/relationships" ref="H10" r:id="rId35"/>
    <hyperlink xmlns:r="http://schemas.openxmlformats.org/officeDocument/2006/relationships" ref="I10" r:id="rId36"/>
    <hyperlink xmlns:r="http://schemas.openxmlformats.org/officeDocument/2006/relationships" ref="D11" r:id="rId37"/>
    <hyperlink xmlns:r="http://schemas.openxmlformats.org/officeDocument/2006/relationships" ref="E11" r:id="rId38"/>
    <hyperlink xmlns:r="http://schemas.openxmlformats.org/officeDocument/2006/relationships" ref="F11" r:id="rId39"/>
    <hyperlink xmlns:r="http://schemas.openxmlformats.org/officeDocument/2006/relationships" ref="G11" r:id="rId40"/>
    <hyperlink xmlns:r="http://schemas.openxmlformats.org/officeDocument/2006/relationships" ref="H11" r:id="rId41"/>
    <hyperlink xmlns:r="http://schemas.openxmlformats.org/officeDocument/2006/relationships" ref="I11" r:id="rId42"/>
    <hyperlink xmlns:r="http://schemas.openxmlformats.org/officeDocument/2006/relationships" ref="D12" r:id="rId43"/>
    <hyperlink xmlns:r="http://schemas.openxmlformats.org/officeDocument/2006/relationships" ref="E12" r:id="rId44"/>
    <hyperlink xmlns:r="http://schemas.openxmlformats.org/officeDocument/2006/relationships" ref="F12" r:id="rId45"/>
    <hyperlink xmlns:r="http://schemas.openxmlformats.org/officeDocument/2006/relationships" ref="G12" r:id="rId46"/>
    <hyperlink xmlns:r="http://schemas.openxmlformats.org/officeDocument/2006/relationships" ref="H12" r:id="rId47"/>
    <hyperlink xmlns:r="http://schemas.openxmlformats.org/officeDocument/2006/relationships" ref="I12" r:id="rId48"/>
    <hyperlink xmlns:r="http://schemas.openxmlformats.org/officeDocument/2006/relationships" ref="D13" r:id="rId49"/>
    <hyperlink xmlns:r="http://schemas.openxmlformats.org/officeDocument/2006/relationships" ref="E13" r:id="rId50"/>
    <hyperlink xmlns:r="http://schemas.openxmlformats.org/officeDocument/2006/relationships" ref="F13" r:id="rId51"/>
    <hyperlink xmlns:r="http://schemas.openxmlformats.org/officeDocument/2006/relationships" ref="G13" r:id="rId52"/>
    <hyperlink xmlns:r="http://schemas.openxmlformats.org/officeDocument/2006/relationships" ref="H13" r:id="rId53"/>
    <hyperlink xmlns:r="http://schemas.openxmlformats.org/officeDocument/2006/relationships" ref="I13" r:id="rId54"/>
    <hyperlink xmlns:r="http://schemas.openxmlformats.org/officeDocument/2006/relationships" ref="D14" r:id="rId55"/>
    <hyperlink xmlns:r="http://schemas.openxmlformats.org/officeDocument/2006/relationships" ref="E14" r:id="rId56"/>
    <hyperlink xmlns:r="http://schemas.openxmlformats.org/officeDocument/2006/relationships" ref="F14" r:id="rId57"/>
    <hyperlink xmlns:r="http://schemas.openxmlformats.org/officeDocument/2006/relationships" ref="G14" r:id="rId58"/>
    <hyperlink xmlns:r="http://schemas.openxmlformats.org/officeDocument/2006/relationships" ref="H14" r:id="rId59"/>
    <hyperlink xmlns:r="http://schemas.openxmlformats.org/officeDocument/2006/relationships" ref="I14" r:id="rId60"/>
    <hyperlink xmlns:r="http://schemas.openxmlformats.org/officeDocument/2006/relationships" ref="C19" r:id="rId61"/>
    <hyperlink xmlns:r="http://schemas.openxmlformats.org/officeDocument/2006/relationships" ref="C20" r:id="rId62"/>
    <hyperlink xmlns:r="http://schemas.openxmlformats.org/officeDocument/2006/relationships" ref="C21" r:id="rId63"/>
    <hyperlink xmlns:r="http://schemas.openxmlformats.org/officeDocument/2006/relationships" ref="C22" r:id="rId64"/>
    <hyperlink xmlns:r="http://schemas.openxmlformats.org/officeDocument/2006/relationships" ref="C23" r:id="rId65"/>
    <hyperlink xmlns:r="http://schemas.openxmlformats.org/officeDocument/2006/relationships" ref="C24" r:id="rId6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2026-10-10T15:08:37Z</dcterms:created>
  <dcterms:modified xmlns:dcterms="http://purl.org/dc/terms/" xmlns:xsi="http://www.w3.org/2001/XMLSchema-instance" xsi:type="dcterms:W3CDTF">2026-10-10T15:08:37Z</dcterms:modified>
</cp:coreProperties>
</file>