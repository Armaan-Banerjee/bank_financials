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D3FD3"/>
        <bgColor rgb="005D3FD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London and The Middle East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£'000s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London and The Middle East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Bank of London and The Middle East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(£'000s)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24971</v>
      </c>
      <c r="C6" s="5" t="n">
        <v>38707</v>
      </c>
      <c r="D6" s="5" t="n">
        <v>-7362</v>
      </c>
      <c r="E6" s="5" t="n">
        <v>-3137</v>
      </c>
      <c r="F6" s="5" t="n">
        <v>-146085</v>
      </c>
      <c r="I6" t="inlineStr">
        <is>
          <t>Net cash from/(used in) operating activities</t>
        </is>
      </c>
      <c r="J6" t="n">
        <v>-146085</v>
      </c>
      <c r="K6" t="n">
        <v>-3137</v>
      </c>
      <c r="L6" t="n">
        <v>-7362</v>
      </c>
      <c r="M6" t="n">
        <v>38707</v>
      </c>
      <c r="N6" t="n">
        <v>24971</v>
      </c>
      <c r="Q6" t="inlineStr">
        <is>
          <t>CET1 Ratio</t>
        </is>
      </c>
      <c r="R6" t="n">
        <v>18.18</v>
      </c>
      <c r="S6" t="n">
        <v>16.51</v>
      </c>
      <c r="T6" t="n">
        <v>16.87</v>
      </c>
      <c r="U6" t="n">
        <v>17.8</v>
      </c>
      <c r="V6" t="n">
        <v>19.29</v>
      </c>
    </row>
    <row r="7">
      <c r="A7" s="5" t="inlineStr">
        <is>
          <t>Net cash from/(used in) investing activities</t>
        </is>
      </c>
      <c r="B7" s="5" t="n">
        <v>16028</v>
      </c>
      <c r="C7" s="5" t="n">
        <v>-23922</v>
      </c>
      <c r="D7" s="5" t="n">
        <v>-51152</v>
      </c>
      <c r="E7" s="5" t="n">
        <v>26767</v>
      </c>
      <c r="F7" s="5" t="n">
        <v>31053</v>
      </c>
      <c r="I7" t="inlineStr">
        <is>
          <t>Net cash from/(used in) investing activities</t>
        </is>
      </c>
      <c r="J7" t="n">
        <v>31053</v>
      </c>
      <c r="K7" t="n">
        <v>26767</v>
      </c>
      <c r="L7" t="n">
        <v>-51152</v>
      </c>
      <c r="M7" t="n">
        <v>-23922</v>
      </c>
      <c r="N7" t="n">
        <v>16028</v>
      </c>
      <c r="Q7" t="inlineStr">
        <is>
          <t>Tier 1 Ratio</t>
        </is>
      </c>
      <c r="R7" t="n">
        <v>18.18</v>
      </c>
      <c r="S7" t="n">
        <v>16.51</v>
      </c>
      <c r="T7" t="n">
        <v>16.87</v>
      </c>
      <c r="U7" t="n">
        <v>17.8</v>
      </c>
      <c r="V7" t="n">
        <v>19.29</v>
      </c>
    </row>
    <row r="8">
      <c r="A8" s="5" t="inlineStr">
        <is>
          <t>Net cash from/(used in) financing activities</t>
        </is>
      </c>
      <c r="B8" s="5" t="n">
        <v>-577</v>
      </c>
      <c r="C8" s="5" t="n">
        <v>-589</v>
      </c>
      <c r="D8" s="5" t="n">
        <v>-719</v>
      </c>
      <c r="E8" s="5" t="n">
        <v>-1123</v>
      </c>
      <c r="F8" s="5" t="n">
        <v>-1086</v>
      </c>
      <c r="I8" t="inlineStr">
        <is>
          <t>Net cash from/(used in) financing activities</t>
        </is>
      </c>
      <c r="J8" t="n">
        <v>-1086</v>
      </c>
      <c r="K8" t="n">
        <v>-1123</v>
      </c>
      <c r="L8" t="n">
        <v>-719</v>
      </c>
      <c r="M8" t="n">
        <v>-589</v>
      </c>
      <c r="N8" t="n">
        <v>-577</v>
      </c>
      <c r="Q8" t="inlineStr">
        <is>
          <t>Total Capital Ratio</t>
        </is>
      </c>
      <c r="R8" t="n">
        <v>18.18</v>
      </c>
      <c r="S8" t="n">
        <v>16.51</v>
      </c>
      <c r="T8" t="n">
        <v>16.87</v>
      </c>
      <c r="U8" t="n">
        <v>17.8</v>
      </c>
      <c r="V8" t="n">
        <v>19.29</v>
      </c>
    </row>
    <row r="9">
      <c r="A9" s="5" t="inlineStr">
        <is>
          <t>Cash and cash equivalents at end of period</t>
        </is>
      </c>
      <c r="B9" s="5" t="n">
        <v>130528</v>
      </c>
      <c r="C9" s="5" t="n">
        <v>90139</v>
      </c>
      <c r="D9" s="5" t="n">
        <v>76008</v>
      </c>
      <c r="E9" s="5" t="n">
        <v>135262</v>
      </c>
      <c r="F9" s="5" t="n">
        <v>112076</v>
      </c>
      <c r="I9" t="inlineStr">
        <is>
          <t>Cash and cash equivalents at end of period</t>
        </is>
      </c>
      <c r="J9" t="n">
        <v>112076</v>
      </c>
      <c r="K9" t="n">
        <v>135262</v>
      </c>
      <c r="L9" t="n">
        <v>76008</v>
      </c>
      <c r="M9" t="n">
        <v>90139</v>
      </c>
      <c r="N9" t="n">
        <v>130528</v>
      </c>
      <c r="Q9" t="inlineStr">
        <is>
          <t>Leverage Ratio</t>
        </is>
      </c>
      <c r="R9" t="n">
        <v>14.92</v>
      </c>
      <c r="S9" t="n">
        <v>14</v>
      </c>
      <c r="T9" t="n">
        <v>14.88</v>
      </c>
      <c r="U9" t="n">
        <v>14.98</v>
      </c>
      <c r="V9" t="n">
        <v>14.95</v>
      </c>
    </row>
    <row r="10">
      <c r="Q10" t="inlineStr">
        <is>
          <t>LCR</t>
        </is>
      </c>
      <c r="R10" t="n">
        <v>315</v>
      </c>
      <c r="S10" t="n">
        <v>352</v>
      </c>
      <c r="T10" t="n">
        <v>288</v>
      </c>
      <c r="U10" t="n">
        <v>310</v>
      </c>
      <c r="V10" t="n">
        <v>308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143</v>
      </c>
      <c r="T11" t="n">
        <v>144</v>
      </c>
      <c r="U11" t="n">
        <v>125</v>
      </c>
      <c r="V11" t="n">
        <v>121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19.29%</t>
        </is>
      </c>
      <c r="C13" s="6" t="inlineStr">
        <is>
          <t>17.80%</t>
        </is>
      </c>
      <c r="D13" s="6" t="inlineStr">
        <is>
          <t>16.87%</t>
        </is>
      </c>
      <c r="E13" s="6" t="inlineStr">
        <is>
          <t>16.51%</t>
        </is>
      </c>
      <c r="F13" s="6" t="inlineStr">
        <is>
          <t>18.18%</t>
        </is>
      </c>
    </row>
    <row r="14">
      <c r="A14" s="6" t="inlineStr">
        <is>
          <t>Tier 1 Ratio</t>
        </is>
      </c>
      <c r="B14" s="6" t="inlineStr">
        <is>
          <t>19.29%</t>
        </is>
      </c>
      <c r="C14" s="6" t="inlineStr">
        <is>
          <t>17.80%</t>
        </is>
      </c>
      <c r="D14" s="6" t="inlineStr">
        <is>
          <t>16.87%</t>
        </is>
      </c>
      <c r="E14" s="6" t="inlineStr">
        <is>
          <t>16.51%</t>
        </is>
      </c>
      <c r="F14" s="6" t="inlineStr">
        <is>
          <t>18.18%</t>
        </is>
      </c>
    </row>
    <row r="15">
      <c r="A15" s="6" t="inlineStr">
        <is>
          <t>Total Capital Ratio</t>
        </is>
      </c>
      <c r="B15" s="6" t="inlineStr">
        <is>
          <t>19.29%</t>
        </is>
      </c>
      <c r="C15" s="6" t="inlineStr">
        <is>
          <t>17.80%</t>
        </is>
      </c>
      <c r="D15" s="6" t="inlineStr">
        <is>
          <t>16.87%</t>
        </is>
      </c>
      <c r="E15" s="6" t="inlineStr">
        <is>
          <t>16.51%</t>
        </is>
      </c>
      <c r="F15" s="6" t="inlineStr">
        <is>
          <t>18.18%</t>
        </is>
      </c>
    </row>
    <row r="16">
      <c r="A16" s="6" t="inlineStr">
        <is>
          <t>Leverage Ratio</t>
        </is>
      </c>
      <c r="B16" s="6" t="inlineStr">
        <is>
          <t>14.95%</t>
        </is>
      </c>
      <c r="C16" s="6" t="inlineStr">
        <is>
          <t>14.98%</t>
        </is>
      </c>
      <c r="D16" s="6" t="inlineStr">
        <is>
          <t>14.88%</t>
        </is>
      </c>
      <c r="E16" s="6" t="inlineStr">
        <is>
          <t>14.00%</t>
        </is>
      </c>
      <c r="F16" s="6" t="inlineStr">
        <is>
          <t>14.92%</t>
        </is>
      </c>
    </row>
    <row r="17">
      <c r="A17" s="6" t="inlineStr">
        <is>
          <t>LCR</t>
        </is>
      </c>
      <c r="B17" s="6" t="inlineStr">
        <is>
          <t>308%</t>
        </is>
      </c>
      <c r="C17" s="6" t="inlineStr">
        <is>
          <t>310%</t>
        </is>
      </c>
      <c r="D17" s="6" t="inlineStr">
        <is>
          <t>288%</t>
        </is>
      </c>
      <c r="E17" s="6" t="inlineStr">
        <is>
          <t>352%</t>
        </is>
      </c>
      <c r="F17" s="6" t="inlineStr">
        <is>
          <t>315%</t>
        </is>
      </c>
    </row>
    <row r="18">
      <c r="A18" s="6" t="inlineStr">
        <is>
          <t>NSFR</t>
        </is>
      </c>
      <c r="B18" s="6" t="inlineStr">
        <is>
          <t>121%</t>
        </is>
      </c>
      <c r="C18" s="6" t="inlineStr">
        <is>
          <t>125%</t>
        </is>
      </c>
      <c r="D18" s="6" t="inlineStr">
        <is>
          <t>144%</t>
        </is>
      </c>
      <c r="E18" s="6" t="inlineStr">
        <is>
          <t>143%</t>
        </is>
      </c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NSFR blank for FY2021 (not yet in force). BLME plc solo basis throughout, not the wider BLME Holdings group.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Statement of Cash Flows</t>
        </is>
      </c>
    </row>
    <row r="2">
      <c r="A2" s="2" t="inlineStr">
        <is>
          <t>BLME plc, Bank-solo basis, £'000s. Full 5 years, no cash-flow exemption.</t>
        </is>
      </c>
    </row>
    <row r="3">
      <c r="A3" s="4" t="inlineStr">
        <is>
          <t>Line item</t>
        </is>
      </c>
      <c r="B3" s="4" t="inlineStr">
        <is>
          <t>FY2025 (£'000s)</t>
        </is>
      </c>
      <c r="C3" s="4" t="inlineStr">
        <is>
          <t>FY2024 (£'000s)</t>
        </is>
      </c>
      <c r="D3" s="4" t="inlineStr">
        <is>
          <t>FY2023 (£'000s)</t>
        </is>
      </c>
      <c r="E3" s="4" t="inlineStr">
        <is>
          <t>FY2022 (£'000s)</t>
        </is>
      </c>
      <c r="F3" s="4" t="inlineStr">
        <is>
          <t>FY2021 (£'000s)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1603</v>
      </c>
      <c r="C5" s="6" t="n">
        <v>7739</v>
      </c>
      <c r="D5" s="6" t="n">
        <v>7837</v>
      </c>
      <c r="E5" s="6" t="n">
        <v>-9037</v>
      </c>
      <c r="F5" s="6" t="n">
        <v>-7176</v>
      </c>
    </row>
    <row r="6">
      <c r="A6" s="6" t="inlineStr">
        <is>
          <t>Exchange differences</t>
        </is>
      </c>
      <c r="B6" s="6" t="n">
        <v>-21</v>
      </c>
      <c r="C6" s="6" t="n">
        <v>-3</v>
      </c>
      <c r="D6" s="6" t="n">
        <v>-5</v>
      </c>
      <c r="E6" s="6" t="n">
        <v>-10</v>
      </c>
      <c r="F6" s="6" t="n">
        <v>-12</v>
      </c>
    </row>
    <row r="7">
      <c r="A7" s="6" t="inlineStr">
        <is>
          <t>Fair value (gain)/loss on investment securities</t>
        </is>
      </c>
      <c r="B7" s="6" t="n"/>
      <c r="C7" s="6" t="n"/>
      <c r="D7" s="6" t="n"/>
      <c r="E7" s="6" t="n">
        <v>195</v>
      </c>
      <c r="F7" s="6" t="n">
        <v>-8</v>
      </c>
    </row>
    <row r="8">
      <c r="A8" s="6" t="inlineStr">
        <is>
          <t>Share of profit of equity-accounted investees, net of tax</t>
        </is>
      </c>
      <c r="B8" s="6" t="n">
        <v>-658</v>
      </c>
      <c r="C8" s="6" t="n">
        <v>-2921</v>
      </c>
      <c r="D8" s="6" t="n">
        <v>-81</v>
      </c>
      <c r="E8" s="6" t="n">
        <v>-97</v>
      </c>
      <c r="F8" s="6" t="n">
        <v>-100</v>
      </c>
    </row>
    <row r="9">
      <c r="A9" s="6" t="inlineStr">
        <is>
          <t>Credit impairment losses / provision for impairment</t>
        </is>
      </c>
      <c r="B9" s="6" t="n">
        <v>3938</v>
      </c>
      <c r="C9" s="6" t="n">
        <v>2897</v>
      </c>
      <c r="D9" s="6" t="n">
        <v>2879</v>
      </c>
      <c r="E9" s="6" t="n">
        <v>13398</v>
      </c>
      <c r="F9" s="6" t="n">
        <v>12451</v>
      </c>
    </row>
    <row r="10">
      <c r="A10" s="6" t="inlineStr">
        <is>
          <t>Impairment of investment in subsidiary</t>
        </is>
      </c>
      <c r="B10" s="6" t="n">
        <v>-1185</v>
      </c>
      <c r="C10" s="6" t="n"/>
      <c r="D10" s="6" t="n"/>
      <c r="E10" s="6" t="n"/>
      <c r="F10" s="6" t="n"/>
    </row>
    <row r="11">
      <c r="A11" s="6" t="inlineStr">
        <is>
          <t>Depreciation and amortisation</t>
        </is>
      </c>
      <c r="B11" s="6" t="n">
        <v>748</v>
      </c>
      <c r="C11" s="6" t="n">
        <v>343</v>
      </c>
      <c r="D11" s="6" t="n">
        <v>235</v>
      </c>
      <c r="E11" s="6" t="n">
        <v>60</v>
      </c>
      <c r="F11" s="6" t="n">
        <v>29</v>
      </c>
    </row>
    <row r="12">
      <c r="A12" s="6" t="inlineStr">
        <is>
          <t>Movements relating to profit rate swaps</t>
        </is>
      </c>
      <c r="B12" s="6" t="n"/>
      <c r="C12" s="6" t="n"/>
      <c r="D12" s="6" t="n"/>
      <c r="E12" s="6" t="n">
        <v>-112</v>
      </c>
      <c r="F12" s="6" t="n"/>
    </row>
    <row r="13">
      <c r="A13" s="6" t="inlineStr">
        <is>
          <t>IFRS 16 - depreciation and finance charges/additions</t>
        </is>
      </c>
      <c r="B13" s="6" t="n">
        <v>494</v>
      </c>
      <c r="C13" s="6" t="n">
        <v>630</v>
      </c>
      <c r="D13" s="6" t="n">
        <v>775</v>
      </c>
      <c r="E13" s="6" t="n">
        <v>2797</v>
      </c>
      <c r="F13" s="6" t="n">
        <v>878</v>
      </c>
    </row>
    <row r="14">
      <c r="A14" s="6" t="inlineStr">
        <is>
          <t>Accretion of finance charge on lease liabilities</t>
        </is>
      </c>
      <c r="B14" s="6" t="n">
        <v>65</v>
      </c>
      <c r="C14" s="6" t="n"/>
      <c r="D14" s="6" t="n"/>
      <c r="E14" s="6" t="n"/>
      <c r="F14" s="6" t="n"/>
    </row>
    <row r="15">
      <c r="A15" s="6" t="inlineStr">
        <is>
          <t>Amortisation of investment securities</t>
        </is>
      </c>
      <c r="B15" s="6" t="n">
        <v>-195</v>
      </c>
      <c r="C15" s="6" t="n">
        <v>365</v>
      </c>
      <c r="D15" s="6" t="n">
        <v>152</v>
      </c>
      <c r="E15" s="6" t="n">
        <v>239</v>
      </c>
      <c r="F15" s="6" t="n">
        <v>257</v>
      </c>
    </row>
    <row r="16">
      <c r="A16" s="6" t="inlineStr">
        <is>
          <t>Net change in fair value of investment in equity/debt at FVOCI</t>
        </is>
      </c>
      <c r="B16" s="6" t="n">
        <v>280</v>
      </c>
      <c r="C16" s="6" t="n"/>
      <c r="D16" s="6" t="n"/>
      <c r="E16" s="6" t="n"/>
      <c r="F16" s="6" t="n"/>
    </row>
    <row r="17">
      <c r="A17" s="5" t="inlineStr">
        <is>
          <t>Net cash generated before changes in operating assets and liabilities</t>
        </is>
      </c>
      <c r="B17" s="5" t="n">
        <v>5069</v>
      </c>
      <c r="C17" s="5" t="n">
        <v>9050</v>
      </c>
      <c r="D17" s="5" t="n">
        <v>11792</v>
      </c>
      <c r="E17" s="5" t="n">
        <v>7433</v>
      </c>
      <c r="F17" s="5" t="n">
        <v>6319</v>
      </c>
    </row>
    <row r="18">
      <c r="A18" s="6" t="inlineStr">
        <is>
          <t>Due from financial institutions</t>
        </is>
      </c>
      <c r="B18" s="6" t="n">
        <v>127437</v>
      </c>
      <c r="C18" s="6" t="n">
        <v>145520</v>
      </c>
      <c r="D18" s="6" t="n">
        <v>152940</v>
      </c>
      <c r="E18" s="6" t="n">
        <v>26243</v>
      </c>
      <c r="F18" s="6" t="n">
        <v>-138243</v>
      </c>
    </row>
    <row r="19">
      <c r="A19" s="6" t="inlineStr">
        <is>
          <t>Due from customers</t>
        </is>
      </c>
      <c r="B19" s="6" t="n"/>
      <c r="C19" s="6" t="n"/>
      <c r="D19" s="6" t="n"/>
      <c r="E19" s="6" t="n">
        <v>24950</v>
      </c>
      <c r="F19" s="6" t="n">
        <v>9594</v>
      </c>
    </row>
    <row r="20">
      <c r="A20" s="6" t="inlineStr">
        <is>
          <t>Financing arrangements</t>
        </is>
      </c>
      <c r="B20" s="6" t="n">
        <v>-69536</v>
      </c>
      <c r="C20" s="6" t="n">
        <v>-143580</v>
      </c>
      <c r="D20" s="6" t="n">
        <v>-97301</v>
      </c>
      <c r="E20" s="6" t="n">
        <v>-126771</v>
      </c>
      <c r="F20" s="6" t="n">
        <v>13336</v>
      </c>
    </row>
    <row r="21">
      <c r="A21" s="6" t="inlineStr">
        <is>
          <t>Finance lease receivables</t>
        </is>
      </c>
      <c r="B21" s="6" t="n">
        <v>1262</v>
      </c>
      <c r="C21" s="6" t="n">
        <v>-1367</v>
      </c>
      <c r="D21" s="6" t="n">
        <v>32645</v>
      </c>
      <c r="E21" s="6" t="n">
        <v>7214</v>
      </c>
      <c r="F21" s="6" t="n">
        <v>159360</v>
      </c>
    </row>
    <row r="22">
      <c r="A22" s="6" t="inlineStr">
        <is>
          <t>Other assets</t>
        </is>
      </c>
      <c r="B22" s="6" t="n">
        <v>7645</v>
      </c>
      <c r="C22" s="6" t="n">
        <v>-10275</v>
      </c>
      <c r="D22" s="6" t="n">
        <v>10797</v>
      </c>
      <c r="E22" s="6" t="n">
        <v>-5460</v>
      </c>
      <c r="F22" s="6" t="n">
        <v>-4206</v>
      </c>
    </row>
    <row r="23">
      <c r="A23" s="6" t="inlineStr">
        <is>
          <t>Due to financial institutions</t>
        </is>
      </c>
      <c r="B23" s="6" t="n">
        <v>15709</v>
      </c>
      <c r="C23" s="6" t="n">
        <v>26815</v>
      </c>
      <c r="D23" s="6" t="n">
        <v>-42286</v>
      </c>
      <c r="E23" s="6" t="n">
        <v>-226876</v>
      </c>
      <c r="F23" s="6" t="n">
        <v>83757</v>
      </c>
    </row>
    <row r="24">
      <c r="A24" s="6" t="inlineStr">
        <is>
          <t>Due to customers</t>
        </is>
      </c>
      <c r="B24" s="6" t="n">
        <v>-64011</v>
      </c>
      <c r="C24" s="6" t="n">
        <v>13193</v>
      </c>
      <c r="D24" s="6" t="n">
        <v>-75983</v>
      </c>
      <c r="E24" s="6" t="n">
        <v>290262</v>
      </c>
      <c r="F24" s="6" t="n">
        <v>-263860</v>
      </c>
    </row>
    <row r="25">
      <c r="A25" s="6" t="inlineStr">
        <is>
          <t>Other liabilities</t>
        </is>
      </c>
      <c r="B25" s="6" t="n">
        <v>1403</v>
      </c>
      <c r="C25" s="6" t="n">
        <v>-649</v>
      </c>
      <c r="D25" s="6" t="n">
        <v>294</v>
      </c>
      <c r="E25" s="6" t="n">
        <v>1930</v>
      </c>
      <c r="F25" s="6" t="n">
        <v>-9295</v>
      </c>
    </row>
    <row r="26">
      <c r="A26" s="6" t="inlineStr">
        <is>
          <t>Income taxes/corporation tax paid</t>
        </is>
      </c>
      <c r="B26" s="6" t="n">
        <v>-7</v>
      </c>
      <c r="C26" s="6" t="n"/>
      <c r="D26" s="6" t="n">
        <v>-260</v>
      </c>
      <c r="E26" s="6" t="n">
        <v>-2062</v>
      </c>
      <c r="F26" s="6" t="n">
        <v>-2847</v>
      </c>
    </row>
    <row r="27">
      <c r="A27" s="5" t="inlineStr">
        <is>
          <t>Net cash generated from/(used in) operating activities</t>
        </is>
      </c>
      <c r="B27" s="5" t="n">
        <v>24971</v>
      </c>
      <c r="C27" s="5" t="n">
        <v>38707</v>
      </c>
      <c r="D27" s="5" t="n">
        <v>-7362</v>
      </c>
      <c r="E27" s="5" t="n">
        <v>-3137</v>
      </c>
      <c r="F27" s="5" t="n">
        <v>-146085</v>
      </c>
    </row>
    <row r="28">
      <c r="A28" s="5" t="inlineStr">
        <is>
          <t>Investing activities</t>
        </is>
      </c>
      <c r="B28" s="6" t="n"/>
      <c r="C28" s="6" t="n"/>
      <c r="D28" s="6" t="n"/>
      <c r="E28" s="6" t="n"/>
      <c r="F28" s="6" t="n"/>
    </row>
    <row r="29">
      <c r="A29" s="6" t="inlineStr">
        <is>
          <t>Purchase/(disposal) of property and equipment</t>
        </is>
      </c>
      <c r="B29" s="6" t="n">
        <v>23</v>
      </c>
      <c r="C29" s="6" t="n">
        <v>-123</v>
      </c>
      <c r="D29" s="6" t="n">
        <v>-791</v>
      </c>
      <c r="E29" s="6" t="n">
        <v>-876</v>
      </c>
      <c r="F29" s="6" t="n">
        <v>-15</v>
      </c>
    </row>
    <row r="30">
      <c r="A30" s="6" t="inlineStr">
        <is>
          <t>Purchase of intangible assets</t>
        </is>
      </c>
      <c r="B30" s="6" t="n">
        <v>-452</v>
      </c>
      <c r="C30" s="6" t="n">
        <v>-1031</v>
      </c>
      <c r="D30" s="6" t="n">
        <v>-893</v>
      </c>
      <c r="E30" s="6" t="n">
        <v>-714</v>
      </c>
      <c r="F30" s="6" t="n"/>
    </row>
    <row r="31">
      <c r="A31" s="6" t="inlineStr">
        <is>
          <t>Purchase of investment securities</t>
        </is>
      </c>
      <c r="B31" s="6" t="n">
        <v>-7598</v>
      </c>
      <c r="C31" s="6" t="n">
        <v>-34858</v>
      </c>
      <c r="D31" s="6" t="n">
        <v>-15629</v>
      </c>
      <c r="E31" s="6" t="n">
        <v>-4873</v>
      </c>
      <c r="F31" s="6" t="n"/>
    </row>
    <row r="32">
      <c r="A32" s="6" t="inlineStr">
        <is>
          <t>Sale of investment securities</t>
        </is>
      </c>
      <c r="B32" s="6" t="n">
        <v>19615</v>
      </c>
      <c r="C32" s="6" t="n">
        <v>8006</v>
      </c>
      <c r="D32" s="6" t="n">
        <v>1741</v>
      </c>
      <c r="E32" s="6" t="n">
        <v>33130</v>
      </c>
      <c r="F32" s="6" t="n">
        <v>30483</v>
      </c>
    </row>
    <row r="33">
      <c r="A33" s="6" t="inlineStr">
        <is>
          <t>Sale of subsidiary to a fellow subsidiary</t>
        </is>
      </c>
      <c r="B33" s="6" t="n"/>
      <c r="C33" s="6" t="n"/>
      <c r="D33" s="6" t="n">
        <v>298</v>
      </c>
      <c r="E33" s="6" t="n"/>
      <c r="F33" s="6" t="n"/>
    </row>
    <row r="34">
      <c r="A34" s="6" t="inlineStr">
        <is>
          <t>Purchase of interest in assets held for sale</t>
        </is>
      </c>
      <c r="B34" s="6" t="n"/>
      <c r="C34" s="6" t="n"/>
      <c r="D34" s="6" t="n">
        <v>-35763</v>
      </c>
      <c r="E34" s="6" t="n"/>
      <c r="F34" s="6" t="n"/>
    </row>
    <row r="35">
      <c r="A35" s="6" t="inlineStr">
        <is>
          <t>Sale of interest in assets held for sale</t>
        </is>
      </c>
      <c r="B35" s="6" t="n"/>
      <c r="C35" s="6" t="n">
        <v>1800</v>
      </c>
      <c r="D35" s="6" t="n">
        <v>6000</v>
      </c>
      <c r="E35" s="6" t="n"/>
      <c r="F35" s="6" t="n">
        <v>485</v>
      </c>
    </row>
    <row r="36">
      <c r="A36" s="6" t="inlineStr">
        <is>
          <t>Purchase of interest in joint venture</t>
        </is>
      </c>
      <c r="B36" s="6" t="n"/>
      <c r="C36" s="6" t="n"/>
      <c r="D36" s="6" t="n">
        <v>-6440</v>
      </c>
      <c r="E36" s="6" t="n"/>
      <c r="F36" s="6" t="n"/>
    </row>
    <row r="37">
      <c r="A37" s="6" t="inlineStr">
        <is>
          <t>Dividend(s) received from joint venture(s)</t>
        </is>
      </c>
      <c r="B37" s="6" t="n">
        <v>2170</v>
      </c>
      <c r="C37" s="6" t="n">
        <v>2284</v>
      </c>
      <c r="D37" s="6" t="n">
        <v>325</v>
      </c>
      <c r="E37" s="6" t="n">
        <v>100</v>
      </c>
      <c r="F37" s="6" t="n">
        <v>100</v>
      </c>
    </row>
    <row r="38">
      <c r="A38" s="6" t="inlineStr">
        <is>
          <t>Sale of equity instrument at FVOCI</t>
        </is>
      </c>
      <c r="B38" s="6" t="n">
        <v>620</v>
      </c>
      <c r="C38" s="6" t="n"/>
      <c r="D38" s="6" t="n"/>
      <c r="E38" s="6" t="n"/>
      <c r="F38" s="6" t="n"/>
    </row>
    <row r="39">
      <c r="A39" s="6" t="inlineStr">
        <is>
          <t>Sale of interest in joint venture</t>
        </is>
      </c>
      <c r="B39" s="6" t="n">
        <v>1650</v>
      </c>
      <c r="C39" s="6" t="n"/>
      <c r="D39" s="6" t="n"/>
      <c r="E39" s="6" t="n"/>
      <c r="F39" s="6" t="n"/>
    </row>
    <row r="40">
      <c r="A40" s="5" t="inlineStr">
        <is>
          <t>Net cash generated from/(used in) investing activities</t>
        </is>
      </c>
      <c r="B40" s="5" t="n">
        <v>16028</v>
      </c>
      <c r="C40" s="5" t="n">
        <v>-23922</v>
      </c>
      <c r="D40" s="5" t="n">
        <v>-51152</v>
      </c>
      <c r="E40" s="5" t="n">
        <v>26767</v>
      </c>
      <c r="F40" s="5" t="n">
        <v>31053</v>
      </c>
    </row>
    <row r="41">
      <c r="A41" s="5" t="inlineStr">
        <is>
          <t>Financing activities</t>
        </is>
      </c>
      <c r="B41" s="6" t="n"/>
      <c r="C41" s="6" t="n"/>
      <c r="D41" s="6" t="n"/>
      <c r="E41" s="6" t="n"/>
      <c r="F41" s="6" t="n"/>
    </row>
    <row r="42">
      <c r="A42" s="6" t="inlineStr">
        <is>
          <t>Payment of principal portion of lease liabilities</t>
        </is>
      </c>
      <c r="B42" s="6" t="n">
        <v>-512</v>
      </c>
      <c r="C42" s="6" t="n">
        <v>-589</v>
      </c>
      <c r="D42" s="6" t="n">
        <v>-719</v>
      </c>
      <c r="E42" s="6" t="n">
        <v>-1123</v>
      </c>
      <c r="F42" s="6" t="n">
        <v>-1086</v>
      </c>
    </row>
    <row r="43">
      <c r="A43" s="6" t="inlineStr">
        <is>
          <t>Payment of finance charge on lease liabilities</t>
        </is>
      </c>
      <c r="B43" s="6" t="n">
        <v>-65</v>
      </c>
      <c r="C43" s="6" t="n"/>
      <c r="D43" s="6" t="n"/>
      <c r="E43" s="6" t="n"/>
      <c r="F43" s="6" t="n"/>
    </row>
    <row r="44">
      <c r="A44" s="5" t="inlineStr">
        <is>
          <t>Net cash generated from/(used in) financing activities</t>
        </is>
      </c>
      <c r="B44" s="5" t="n">
        <v>-577</v>
      </c>
      <c r="C44" s="5" t="n">
        <v>-589</v>
      </c>
      <c r="D44" s="5" t="n">
        <v>-719</v>
      </c>
      <c r="E44" s="5" t="n">
        <v>-1123</v>
      </c>
      <c r="F44" s="5" t="n">
        <v>-1086</v>
      </c>
    </row>
    <row r="45">
      <c r="A45" s="5" t="inlineStr">
        <is>
          <t>Net change in cash and cash equivalents</t>
        </is>
      </c>
      <c r="B45" s="5" t="n">
        <v>40422</v>
      </c>
      <c r="C45" s="5" t="n">
        <v>14196</v>
      </c>
      <c r="D45" s="5" t="n">
        <v>-59233</v>
      </c>
      <c r="E45" s="5" t="n">
        <v>22507</v>
      </c>
      <c r="F45" s="5" t="n">
        <v>-116118</v>
      </c>
    </row>
    <row r="46">
      <c r="A46" s="6" t="inlineStr">
        <is>
          <t>Exchange differences in respect of cash and cash equivalents</t>
        </is>
      </c>
      <c r="B46" s="6" t="n">
        <v>-33</v>
      </c>
      <c r="C46" s="6" t="n">
        <v>-65</v>
      </c>
      <c r="D46" s="6" t="n">
        <v>-21</v>
      </c>
      <c r="E46" s="6" t="n">
        <v>679</v>
      </c>
      <c r="F46" s="6" t="n">
        <v>-3292</v>
      </c>
    </row>
    <row r="47">
      <c r="A47" s="6" t="inlineStr">
        <is>
          <t>Cash and cash equivalents at the beginning of the period</t>
        </is>
      </c>
      <c r="B47" s="6" t="n">
        <v>90139</v>
      </c>
      <c r="C47" s="6" t="n">
        <v>76008</v>
      </c>
      <c r="D47" s="6" t="n">
        <v>135262</v>
      </c>
      <c r="E47" s="6" t="n">
        <v>112076</v>
      </c>
      <c r="F47" s="6" t="n">
        <v>231486</v>
      </c>
    </row>
    <row r="48">
      <c r="A48" s="5" t="inlineStr">
        <is>
          <t>Cash and cash equivalents at the end of the period</t>
        </is>
      </c>
      <c r="B48" s="5" t="n">
        <v>130528</v>
      </c>
      <c r="C48" s="5" t="n">
        <v>90139</v>
      </c>
      <c r="D48" s="5" t="n">
        <v>76008</v>
      </c>
      <c r="E48" s="5" t="n">
        <v>135262</v>
      </c>
      <c r="F48" s="5" t="n">
        <v>112076</v>
      </c>
    </row>
    <row r="50" ht="280" customHeight="1">
      <c r="A50" s="8" t="inlineStr">
        <is>
          <t>Sources - BLME plc's own Statement of Cash Flows, £'000s, all years, each from that year's own originally-published Financial Statements (not a later restated comparative):
FY2025: BLME plc Financial Statements 31 December 2025, p.31-32 - https://www.blme.com/media/z0jd2sah/blme-plc-financial-statements-31-december-2025.pdf
FY2024: BLME plc Financial Statements 31 December 2024, p.31 - https://www.blme.com/media/rneds5db/blme-plc-financial-statements-31-december-2024.pdf
FY2023: BLME plc Financial Statements 31 December 2023, p.32 - https://www.blme.com/media/2j5fy4tv/blme-plc-financial-statements-31-december-2023.pdf
FY2022: BLME plc Financial Statements 31 December 2022, p.32 - https://www.blme.com/media/2014/blme-plc-financial-statements-31-december-2022.pdf
FY2021: BLME plc Financial Statements 31 December 2021, p.30 - https://www.blme.com/media/1964/blme-plc-fin-stats-31-december-2021-for-website.pdf
The FY2025 report restates FY2024's comparative (a prior period adjustment of -£9,035k to retained earnings at 1 Jan 2024, per its own Note 2.3), and the FY2024 report itself already restated FY2023's comparative (-£3,964k, per its own Note 2b) - both are genuine disclosed restatements, but every column in this sheet uses each year's own originally-published figures (project convention), not a later restated version.
Presentation changed twice across the 5 years: FY2021-FY2023 include a separate 'Due from customers' line in operating assets (dropped from FY2024 onward), and FY2025 combines the 'operating assets' and 'operating liabilities' movements into a single unlabelled subtotal rather than the two separate ones FY2021-FY2024 printed - shown as blank cells where a line doesn't apply that year, not gaps. All TOTAL rows reconcile exactly to source for every year.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50:F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225.806</v>
      </c>
      <c r="C4" s="6" t="n">
        <v>227.639</v>
      </c>
      <c r="D4" s="6" t="n">
        <v>226.478</v>
      </c>
      <c r="E4" s="6" t="n">
        <v>227.212</v>
      </c>
      <c r="F4" s="6" t="n">
        <v>238.839</v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19.29%</t>
        </is>
      </c>
      <c r="C4" s="6" t="inlineStr">
        <is>
          <t>17.80%</t>
        </is>
      </c>
      <c r="D4" s="6" t="inlineStr">
        <is>
          <t>16.87%</t>
        </is>
      </c>
      <c r="E4" s="6" t="inlineStr">
        <is>
          <t>16.51%</t>
        </is>
      </c>
      <c r="F4" s="6" t="inlineStr">
        <is>
          <t>18.18%</t>
        </is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225.806</v>
      </c>
      <c r="C4" s="6" t="n">
        <v>227.639</v>
      </c>
      <c r="D4" s="6" t="n">
        <v>226.478</v>
      </c>
      <c r="E4" s="6" t="n">
        <v>227.212</v>
      </c>
      <c r="F4" s="6" t="n">
        <v>238.839</v>
      </c>
    </row>
    <row r="5" ht="60" customHeight="1">
      <c r="A5" s="7" t="inlineStr">
        <is>
          <t>Note: CET1 = Tier 1 = Total Capital every year - BLME has no Additional Tier 1 or Tier 2 instruments.</t>
        </is>
      </c>
    </row>
    <row r="7" ht="200" customHeight="1">
      <c r="A7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19.29%</t>
        </is>
      </c>
      <c r="C4" s="6" t="inlineStr">
        <is>
          <t>17.80%</t>
        </is>
      </c>
      <c r="D4" s="6" t="inlineStr">
        <is>
          <t>16.87%</t>
        </is>
      </c>
      <c r="E4" s="6" t="inlineStr">
        <is>
          <t>16.51%</t>
        </is>
      </c>
      <c r="F4" s="6" t="inlineStr">
        <is>
          <t>18.18%</t>
        </is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225.806</v>
      </c>
      <c r="C4" s="6" t="n">
        <v>227.639</v>
      </c>
      <c r="D4" s="6" t="n">
        <v>226.478</v>
      </c>
      <c r="E4" s="6" t="n">
        <v>227.212</v>
      </c>
      <c r="F4" s="6" t="n">
        <v>238.839</v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19.29%</t>
        </is>
      </c>
      <c r="C4" s="6" t="inlineStr">
        <is>
          <t>17.80%</t>
        </is>
      </c>
      <c r="D4" s="6" t="inlineStr">
        <is>
          <t>16.87%</t>
        </is>
      </c>
      <c r="E4" s="6" t="inlineStr">
        <is>
          <t>16.51%</t>
        </is>
      </c>
      <c r="F4" s="6" t="inlineStr">
        <is>
          <t>18.18%</t>
        </is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1170.428</v>
      </c>
      <c r="C4" s="6" t="n">
        <v>1279.034</v>
      </c>
      <c r="D4" s="6" t="n">
        <v>1342.418</v>
      </c>
      <c r="E4" s="6" t="n">
        <v>1376.389</v>
      </c>
      <c r="F4" s="6" t="n">
        <v>1313.776</v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(excluding claims on central banks)</t>
        </is>
      </c>
      <c r="B4" s="6" t="inlineStr">
        <is>
          <t>14.95%</t>
        </is>
      </c>
      <c r="C4" s="6" t="inlineStr">
        <is>
          <t>14.98%</t>
        </is>
      </c>
      <c r="D4" s="6" t="inlineStr">
        <is>
          <t>14.88%</t>
        </is>
      </c>
      <c r="E4" s="6" t="inlineStr">
        <is>
          <t>14.00%</t>
        </is>
      </c>
      <c r="F4" s="6" t="inlineStr">
        <is>
          <t>14.92%</t>
        </is>
      </c>
    </row>
    <row r="5" ht="60" customHeight="1">
      <c r="A5" s="7" t="inlineStr">
        <is>
          <t>Note: No basis break across the 5 years - all figures are on the 'excluding claims on central banks' basis, unlike several other banks in this project where FY2021 sits on an older methodology.</t>
        </is>
      </c>
    </row>
    <row r="7" ht="200" customHeight="1">
      <c r="A7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(12-month average)</t>
        </is>
      </c>
      <c r="B4" s="6" t="inlineStr">
        <is>
          <t>308%</t>
        </is>
      </c>
      <c r="C4" s="6" t="inlineStr">
        <is>
          <t>310%</t>
        </is>
      </c>
      <c r="D4" s="6" t="inlineStr">
        <is>
          <t>288%</t>
        </is>
      </c>
      <c r="E4" s="6" t="inlineStr">
        <is>
          <t>352%</t>
        </is>
      </c>
      <c r="F4" s="6" t="inlineStr">
        <is>
          <t>315%</t>
        </is>
      </c>
    </row>
    <row r="6" ht="200" customHeight="1">
      <c r="A6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121%</t>
        </is>
      </c>
      <c r="C4" s="6" t="inlineStr">
        <is>
          <t>125%</t>
        </is>
      </c>
      <c r="D4" s="6" t="inlineStr">
        <is>
          <t>144%</t>
        </is>
      </c>
      <c r="E4" s="6" t="inlineStr">
        <is>
          <t>143%</t>
        </is>
      </c>
      <c r="F4" s="6" t="n"/>
    </row>
    <row r="5" ht="60" customHeight="1">
      <c r="A5" s="7" t="inlineStr">
        <is>
          <t>Note: FY2021 shown as N/A in the FY2022 report's own comparative column - UK NSFR requirement not yet in force for the FY2021 reporting date.</t>
        </is>
      </c>
    </row>
    <row r="7" ht="200" customHeight="1">
      <c r="A7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London and The Middle East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is not mentioned in any of the 5 Pillar III Disclosures reviewed (searched directly, no hits any year) - consistent with a bank of this size not being its own resolution entity under the Bank of England's MREL framework.</t>
        </is>
      </c>
    </row>
    <row r="7" ht="150" customHeight="1">
      <c r="A7" s="8" t="inlineStr">
        <is>
          <t>Sources - BLME plc's own Pillar III Disclosures, £m capital amounts / % ratios, all years:
FY2025: Pillar III Disclosure - 31 December 2025, Key metrics table, p.4 - https://www.blme.com/media/jf2dbyrm/2025-pillar-iii-disclosure.pdf
FY2024: Pillar III Disclosure - 31 December 2024, Key metrics table, p.4 - https://www.blme.com/media/mhantsoh/2024-pillar-iii-disclosure.pdf
FY2023: Pillar III Disclosure - 31 December 2023, Key metrics table, p.4 - https://www.blme.com/media/fluobg0d/2023-pillar-iii-disclosure.pdf
FY2022: Pillar III Disclosure - 31 December 2022, Key metrics table, p.4 - https://www.blme.com/media/2017/2022-pillar-iii-disclosure.pdf
FY2021: sourced from the FY2022 Pillar III Disclosure's own FY2021 comparative column, Key metrics table, p.4 - https://www.blme.com/media/2017/2022-pillar-iii-disclosure.pdf (the FY2021 edition itself, https://www.blme.com/media/1997/2021-pillar-iii-disclosure.pdf, pre-dates BLME's adoption of the standardised KM1 template - it uses the older CRR own-funds/appendix format instead, so the FY2022 report's comparative column is used for consistency with every other year in this workbook).
ENTITY NOTE: Bank of London and The Middle East plc (FRN 464292, Companies House 05897786, matches Banks List 2608.xlsx exactly) is a UK-incorporated Sharia-compliant wholesale/private bank, majority-owned by Boubyan Bank (Kuwait). It publishes both wider 'BLME Holdings' group accounts and standalone 'BLME plc' (Bank-solo) accounts on its own site - this workbook uses the plc/solo figures throughout for both the cash flow statement and Pillar 3, matching the PRA-regulated entity. Terminology uses 'profit'/'financing' rather than 'interest'/'loans' (Sharia-compliant banking), consistent with ALRAYAN Bank elsewhere in this project.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2026-08-27T13:22:00Z</dcterms:created>
  <dcterms:modified xsi:type="dcterms:W3CDTF">2026-08-27T13:22:00Z</dcterms:modified>
</cp:coreProperties>
</file>