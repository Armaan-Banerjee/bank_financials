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drawings/drawing1.xml" ContentType="application/vnd.openxmlformats-officedocument.drawing+xml"/>
  <Override PartName="/xl/worksheets/sheet2.xml" ContentType="application/vnd.openxmlformats-officedocument.spreadsheetml.worksheet+xml"/>
  <Override PartName="/xl/worksheets/sheet3.xml" ContentType="application/vnd.openxmlformats-officedocument.spreadsheetml.worksheet+xml"/>
  <Override PartName="/xl/worksheets/sheet4.xml" ContentType="application/vnd.openxmlformats-officedocument.spreadsheetml.worksheet+xml"/>
  <Override PartName="/xl/worksheets/sheet5.xml" ContentType="application/vnd.openxmlformats-officedocument.spreadsheetml.worksheet+xml"/>
  <Override PartName="/xl/worksheets/sheet6.xml" ContentType="application/vnd.openxmlformats-officedocument.spreadsheetml.worksheet+xml"/>
  <Override PartName="/xl/worksheets/sheet7.xml" ContentType="application/vnd.openxmlformats-officedocument.spreadsheetml.worksheet+xml"/>
  <Override PartName="/xl/worksheets/sheet8.xml" ContentType="application/vnd.openxmlformats-officedocument.spreadsheetml.worksheet+xml"/>
  <Override PartName="/xl/worksheets/sheet9.xml" ContentType="application/vnd.openxmlformats-officedocument.spreadsheetml.worksheet+xml"/>
  <Override PartName="/xl/worksheets/sheet10.xml" ContentType="application/vnd.openxmlformats-officedocument.spreadsheetml.worksheet+xml"/>
  <Override PartName="/xl/worksheets/sheet11.xml" ContentType="application/vnd.openxmlformats-officedocument.spreadsheetml.worksheet+xml"/>
  <Override PartName="/xl/worksheets/sheet12.xml" ContentType="application/vnd.openxmlformats-officedocument.spreadsheetml.worksheet+xml"/>
  <Override PartName="/xl/worksheets/sheet13.xml" ContentType="application/vnd.openxmlformats-officedocument.spreadsheetml.worksheet+xml"/>
  <Override PartName="/xl/worksheets/sheet14.xml" ContentType="application/vnd.openxmlformats-officedocument.spreadsheetml.worksheet+xml"/>
  <Override PartName="/xl/worksheets/sheet15.xml" ContentType="application/vnd.openxmlformats-officedocument.spreadsheetml.worksheet+xml"/>
  <Override PartName="/xl/worksheets/sheet16.xml" ContentType="application/vnd.openxmlformats-officedocument.spreadsheetml.worksheet+xml"/>
  <Override PartName="/xl/worksheets/sheet17.xml" ContentType="application/vnd.openxmlformats-officedocument.spreadsheetml.worksheet+xml"/>
  <Override PartName="/xl/worksheets/sheet18.xml" ContentType="application/vnd.openxmlformats-officedocument.spreadsheetml.worksheet+xml"/>
  <Override PartName="/xl/charts/chart1.xml" ContentType="application/vnd.openxmlformats-officedocument.drawingml.chart+xml"/>
  <Override PartName="/xl/charts/chart2.xml" ContentType="application/vnd.openxmlformats-officedocument.drawingml.chart+xml"/>
  <Override PartName="/xl/charts/chart3.xml" ContentType="application/vnd.openxmlformats-officedocument.drawingml.chart+xml"/>
  <Override PartName="/xl/charts/chart4.xml" ContentType="application/vnd.openxmlformats-officedocument.drawingml.chart+xml"/>
  <Override PartName="/xl/charts/chart5.xml" ContentType="application/vnd.openxmlformats-officedocument.drawingml.char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Overview" sheetId="1" state="visible" r:id="rId1"/>
    <sheet xmlns:r="http://schemas.openxmlformats.org/officeDocument/2006/relationships" name="Balance Sheet" sheetId="2" state="visible" r:id="rId2"/>
    <sheet xmlns:r="http://schemas.openxmlformats.org/officeDocument/2006/relationships" name="Profit &amp; Loss" sheetId="3" state="visible" r:id="rId3"/>
    <sheet xmlns:r="http://schemas.openxmlformats.org/officeDocument/2006/relationships" name="Statement of Changes in Equity" sheetId="4" state="visible" r:id="rId4"/>
    <sheet xmlns:r="http://schemas.openxmlformats.org/officeDocument/2006/relationships" name="Cash Flow Statement" sheetId="5" state="visible" r:id="rId5"/>
    <sheet xmlns:r="http://schemas.openxmlformats.org/officeDocument/2006/relationships" name="Asset Quality" sheetId="6" state="visible" r:id="rId6"/>
    <sheet xmlns:r="http://schemas.openxmlformats.org/officeDocument/2006/relationships" name="CET1 Capital" sheetId="7" state="visible" r:id="rId7"/>
    <sheet xmlns:r="http://schemas.openxmlformats.org/officeDocument/2006/relationships" name="CET1 Ratio" sheetId="8" state="visible" r:id="rId8"/>
    <sheet xmlns:r="http://schemas.openxmlformats.org/officeDocument/2006/relationships" name="Tier 1 Capital" sheetId="9" state="visible" r:id="rId9"/>
    <sheet xmlns:r="http://schemas.openxmlformats.org/officeDocument/2006/relationships" name="Tier 1 Ratio" sheetId="10" state="visible" r:id="rId10"/>
    <sheet xmlns:r="http://schemas.openxmlformats.org/officeDocument/2006/relationships" name="Total Capital" sheetId="11" state="visible" r:id="rId11"/>
    <sheet xmlns:r="http://schemas.openxmlformats.org/officeDocument/2006/relationships" name="Total Capital Ratio" sheetId="12" state="visible" r:id="rId12"/>
    <sheet xmlns:r="http://schemas.openxmlformats.org/officeDocument/2006/relationships" name="Total RWAs" sheetId="13" state="visible" r:id="rId13"/>
    <sheet xmlns:r="http://schemas.openxmlformats.org/officeDocument/2006/relationships" name="RWA Breakdown" sheetId="14" state="visible" r:id="rId14"/>
    <sheet xmlns:r="http://schemas.openxmlformats.org/officeDocument/2006/relationships" name="Leverage Ratio" sheetId="15" state="visible" r:id="rId15"/>
    <sheet xmlns:r="http://schemas.openxmlformats.org/officeDocument/2006/relationships" name="LCR" sheetId="16" state="visible" r:id="rId16"/>
    <sheet xmlns:r="http://schemas.openxmlformats.org/officeDocument/2006/relationships" name="NSFR" sheetId="17" state="visible" r:id="rId17"/>
    <sheet xmlns:r="http://schemas.openxmlformats.org/officeDocument/2006/relationships" name="MREL Ratio" sheetId="18" state="visible" r:id="rId18"/>
  </sheets>
  <definedNames/>
  <calcPr calcId="124519" fullCalcOnLoad="1"/>
</workbook>
</file>

<file path=xl/styles.xml><?xml version="1.0" encoding="utf-8"?>
<styleSheet xmlns="http://schemas.openxmlformats.org/spreadsheetml/2006/main">
  <numFmts count="0"/>
  <fonts count="6">
    <font>
      <name val="Calibri"/>
      <family val="2"/>
      <color theme="1"/>
      <sz val="11"/>
      <scheme val="minor"/>
    </font>
    <font>
      <b val="1"/>
      <sz val="13"/>
    </font>
    <font>
      <i val="1"/>
      <color rgb="00666666"/>
      <sz val="9"/>
    </font>
    <font>
      <b val="1"/>
      <color rgb="00FFFFFF"/>
    </font>
    <font>
      <b val="1"/>
    </font>
    <font>
      <i val="1"/>
      <color rgb="00444444"/>
      <sz val="9"/>
    </font>
  </fonts>
  <fills count="3">
    <fill>
      <patternFill/>
    </fill>
    <fill>
      <patternFill patternType="gray125"/>
    </fill>
    <fill>
      <patternFill patternType="solid">
        <fgColor rgb="005D3FD3"/>
        <bgColor rgb="005D3FD3"/>
      </patternFill>
    </fill>
  </fills>
  <borders count="2">
    <border>
      <left/>
      <right/>
      <top/>
      <bottom/>
      <diagonal/>
    </border>
    <border>
      <left style="thin">
        <color rgb="00D9D9D9"/>
      </left>
      <right style="thin">
        <color rgb="00D9D9D9"/>
      </right>
      <top style="thin">
        <color rgb="00D9D9D9"/>
      </top>
      <bottom style="thin">
        <color rgb="00D9D9D9"/>
      </bottom>
    </border>
  </borders>
  <cellStyleXfs count="1">
    <xf numFmtId="0" fontId="0" fillId="0" borderId="0"/>
  </cellStyleXfs>
  <cellXfs count="9">
    <xf numFmtId="0" fontId="0" fillId="0" borderId="0" pivotButton="0" quotePrefix="0" xfId="0"/>
    <xf numFmtId="0" fontId="1" fillId="0" borderId="0" pivotButton="0" quotePrefix="0" xfId="0"/>
    <xf numFmtId="0" fontId="2" fillId="0" borderId="0" pivotButton="0" quotePrefix="0" xfId="0"/>
    <xf numFmtId="0" fontId="4" fillId="0" borderId="0" pivotButton="0" quotePrefix="0" xfId="0"/>
    <xf numFmtId="0" fontId="3" fillId="2" borderId="0" applyAlignment="1" pivotButton="0" quotePrefix="0" xfId="0">
      <alignment horizontal="left" vertical="center" wrapText="1"/>
    </xf>
    <xf numFmtId="0" fontId="4" fillId="0" borderId="1" pivotButton="0" quotePrefix="0" xfId="0"/>
    <xf numFmtId="0" fontId="0" fillId="0" borderId="1" pivotButton="0" quotePrefix="0" xfId="0"/>
    <xf numFmtId="0" fontId="2" fillId="0" borderId="0" applyAlignment="1" pivotButton="0" quotePrefix="0" xfId="0">
      <alignment vertical="top" wrapText="1"/>
    </xf>
    <xf numFmtId="0" fontId="5" fillId="0" borderId="0" applyAlignment="1" pivotButton="0" quotePrefix="0" xfId="0">
      <alignment horizontal="left" vertical="top"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worksheet" Target="/xl/worksheets/sheet2.xml" Id="rId2"/><Relationship Type="http://schemas.openxmlformats.org/officeDocument/2006/relationships/worksheet" Target="/xl/worksheets/sheet3.xml" Id="rId3"/><Relationship Type="http://schemas.openxmlformats.org/officeDocument/2006/relationships/worksheet" Target="/xl/worksheets/sheet4.xml" Id="rId4"/><Relationship Type="http://schemas.openxmlformats.org/officeDocument/2006/relationships/worksheet" Target="/xl/worksheets/sheet5.xml" Id="rId5"/><Relationship Type="http://schemas.openxmlformats.org/officeDocument/2006/relationships/worksheet" Target="/xl/worksheets/sheet6.xml" Id="rId6"/><Relationship Type="http://schemas.openxmlformats.org/officeDocument/2006/relationships/worksheet" Target="/xl/worksheets/sheet7.xml" Id="rId7"/><Relationship Type="http://schemas.openxmlformats.org/officeDocument/2006/relationships/worksheet" Target="/xl/worksheets/sheet8.xml" Id="rId8"/><Relationship Type="http://schemas.openxmlformats.org/officeDocument/2006/relationships/worksheet" Target="/xl/worksheets/sheet9.xml" Id="rId9"/><Relationship Type="http://schemas.openxmlformats.org/officeDocument/2006/relationships/worksheet" Target="/xl/worksheets/sheet10.xml" Id="rId10"/><Relationship Type="http://schemas.openxmlformats.org/officeDocument/2006/relationships/worksheet" Target="/xl/worksheets/sheet11.xml" Id="rId11"/><Relationship Type="http://schemas.openxmlformats.org/officeDocument/2006/relationships/worksheet" Target="/xl/worksheets/sheet12.xml" Id="rId12"/><Relationship Type="http://schemas.openxmlformats.org/officeDocument/2006/relationships/worksheet" Target="/xl/worksheets/sheet13.xml" Id="rId13"/><Relationship Type="http://schemas.openxmlformats.org/officeDocument/2006/relationships/worksheet" Target="/xl/worksheets/sheet14.xml" Id="rId14"/><Relationship Type="http://schemas.openxmlformats.org/officeDocument/2006/relationships/worksheet" Target="/xl/worksheets/sheet15.xml" Id="rId15"/><Relationship Type="http://schemas.openxmlformats.org/officeDocument/2006/relationships/worksheet" Target="/xl/worksheets/sheet16.xml" Id="rId16"/><Relationship Type="http://schemas.openxmlformats.org/officeDocument/2006/relationships/worksheet" Target="/xl/worksheets/sheet17.xml" Id="rId17"/><Relationship Type="http://schemas.openxmlformats.org/officeDocument/2006/relationships/worksheet" Target="/xl/worksheets/sheet18.xml" Id="rId18"/><Relationship Type="http://schemas.openxmlformats.org/officeDocument/2006/relationships/styles" Target="styles.xml" Id="rId19"/><Relationship Type="http://schemas.openxmlformats.org/officeDocument/2006/relationships/theme" Target="theme/theme1.xml" Id="rId20"/></Relationships>
</file>

<file path=xl/charts/chart1.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Balance Sheet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'Overview'!P6</f>
            </strRef>
          </tx>
          <spPr>
            <a:ln xmlns:a="http://schemas.openxmlformats.org/drawingml/2006/main">
              <a:prstDash val="solid"/>
            </a:ln>
          </spPr>
          <cat>
            <numRef>
              <f>'Overview'!$Q$5:$AB$5</f>
            </numRef>
          </cat>
          <val>
            <numRef>
              <f>'Overview'!$Q$6:$AB$6</f>
            </numRef>
          </val>
        </ser>
        <ser>
          <idx val="1"/>
          <order val="1"/>
          <tx>
            <strRef>
              <f>'Overview'!P7</f>
            </strRef>
          </tx>
          <spPr>
            <a:ln xmlns:a="http://schemas.openxmlformats.org/drawingml/2006/main">
              <a:prstDash val="solid"/>
            </a:ln>
          </spPr>
          <cat>
            <numRef>
              <f>'Overview'!$Q$5:$AB$5</f>
            </numRef>
          </cat>
          <val>
            <numRef>
              <f>'Overview'!$Q$7:$AB$7</f>
            </numRef>
          </val>
        </ser>
        <ser>
          <idx val="2"/>
          <order val="2"/>
          <tx>
            <strRef>
              <f>'Overview'!P8</f>
            </strRef>
          </tx>
          <spPr>
            <a:ln xmlns:a="http://schemas.openxmlformats.org/drawingml/2006/main">
              <a:prstDash val="solid"/>
            </a:ln>
          </spPr>
          <cat>
            <numRef>
              <f>'Overview'!$Q$5:$AB$5</f>
            </numRef>
          </cat>
          <val>
            <numRef>
              <f>'Overview'!$Q$8:$AB$8</f>
            </numRef>
          </val>
        </ser>
        <ser>
          <idx val="3"/>
          <order val="3"/>
          <tx>
            <strRef>
              <f>'Overview'!P9</f>
            </strRef>
          </tx>
          <spPr>
            <a:ln xmlns:a="http://schemas.openxmlformats.org/drawingml/2006/main">
              <a:prstDash val="solid"/>
            </a:ln>
          </spPr>
          <cat>
            <numRef>
              <f>'Overview'!$Q$5:$AB$5</f>
            </numRef>
          </cat>
          <val>
            <numRef>
              <f>'Overview'!$Q$9:$AB$9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2.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Profit &amp; Loss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'Overview'!AE13</f>
            </strRef>
          </tx>
          <spPr>
            <a:ln xmlns:a="http://schemas.openxmlformats.org/drawingml/2006/main">
              <a:prstDash val="solid"/>
            </a:ln>
          </spPr>
          <cat>
            <numRef>
              <f>'Overview'!$AF$12:$AQ$12</f>
            </numRef>
          </cat>
          <val>
            <numRef>
              <f>'Overview'!$AF$13:$AQ$13</f>
            </numRef>
          </val>
        </ser>
        <ser>
          <idx val="1"/>
          <order val="1"/>
          <tx>
            <strRef>
              <f>'Overview'!AE14</f>
            </strRef>
          </tx>
          <spPr>
            <a:ln xmlns:a="http://schemas.openxmlformats.org/drawingml/2006/main">
              <a:prstDash val="solid"/>
            </a:ln>
          </spPr>
          <cat>
            <numRef>
              <f>'Overview'!$AF$12:$AQ$12</f>
            </numRef>
          </cat>
          <val>
            <numRef>
              <f>'Overview'!$AF$14:$AQ$14</f>
            </numRef>
          </val>
        </ser>
        <ser>
          <idx val="2"/>
          <order val="2"/>
          <tx>
            <strRef>
              <f>'Overview'!AE15</f>
            </strRef>
          </tx>
          <spPr>
            <a:ln xmlns:a="http://schemas.openxmlformats.org/drawingml/2006/main">
              <a:prstDash val="solid"/>
            </a:ln>
          </spPr>
          <cat>
            <numRef>
              <f>'Overview'!$AF$12:$AQ$12</f>
            </numRef>
          </cat>
          <val>
            <numRef>
              <f>'Overview'!$AF$15:$AQ$15</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 (FY2014-2016 Group-consolidated, FY2017-2025 Bank-solo - see ENTITY_NOTE)</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3.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Statement of Changes in Equity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'Overview'!AT19</f>
            </strRef>
          </tx>
          <spPr>
            <a:ln xmlns:a="http://schemas.openxmlformats.org/drawingml/2006/main">
              <a:prstDash val="solid"/>
            </a:ln>
          </spPr>
          <cat>
            <numRef>
              <f>'Overview'!$AU$18:$BF$18</f>
            </numRef>
          </cat>
          <val>
            <numRef>
              <f>'Overview'!$AU$19:$BF$19</f>
            </numRef>
          </val>
        </ser>
        <ser>
          <idx val="1"/>
          <order val="1"/>
          <tx>
            <strRef>
              <f>'Overview'!AT20</f>
            </strRef>
          </tx>
          <spPr>
            <a:ln xmlns:a="http://schemas.openxmlformats.org/drawingml/2006/main">
              <a:prstDash val="solid"/>
            </a:ln>
          </spPr>
          <cat>
            <numRef>
              <f>'Overview'!$AU$18:$BF$18</f>
            </numRef>
          </cat>
          <val>
            <numRef>
              <f>'Overview'!$AU$20:$BF$20</f>
            </numRef>
          </val>
        </ser>
        <ser>
          <idx val="2"/>
          <order val="2"/>
          <tx>
            <strRef>
              <f>'Overview'!AT21</f>
            </strRef>
          </tx>
          <spPr>
            <a:ln xmlns:a="http://schemas.openxmlformats.org/drawingml/2006/main">
              <a:prstDash val="solid"/>
            </a:ln>
          </spPr>
          <cat>
            <numRef>
              <f>'Overview'!$AU$18:$BF$18</f>
            </numRef>
          </cat>
          <val>
            <numRef>
              <f>'Overview'!$AU$21:$BF$21</f>
            </numRef>
          </val>
        </ser>
        <ser>
          <idx val="3"/>
          <order val="3"/>
          <tx>
            <strRef>
              <f>'Overview'!AT22</f>
            </strRef>
          </tx>
          <spPr>
            <a:ln xmlns:a="http://schemas.openxmlformats.org/drawingml/2006/main">
              <a:prstDash val="solid"/>
            </a:ln>
          </spPr>
          <cat>
            <numRef>
              <f>'Overview'!$AU$18:$BF$18</f>
            </numRef>
          </cat>
          <val>
            <numRef>
              <f>'Overview'!$AU$22:$BF$22</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4.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Cash Flow Summary by Year</a:t>
            </a:r>
          </a:p>
        </rich>
      </tx>
    </title>
    <plotArea>
      <layout>
        <manualLayout>
          <layoutTarget val="inner"/>
          <xMode val="edge"/>
          <yMode val="edge"/>
          <wMode val="factor"/>
          <hMode val="factor"/>
          <x val="0.1"/>
          <y val="0.14"/>
          <w val="0.85"/>
          <h val="0.55"/>
        </manualLayout>
      </layout>
      <barChart>
        <barDir val="col"/>
        <grouping val="clustered"/>
        <ser>
          <idx val="0"/>
          <order val="0"/>
          <tx>
            <strRef>
              <f>'Overview'!BI26</f>
            </strRef>
          </tx>
          <spPr>
            <a:ln xmlns:a="http://schemas.openxmlformats.org/drawingml/2006/main">
              <a:prstDash val="solid"/>
            </a:ln>
          </spPr>
          <cat>
            <numRef>
              <f>'Overview'!$BJ$25:$BU$25</f>
            </numRef>
          </cat>
          <val>
            <numRef>
              <f>'Overview'!$BJ$26:$BU$26</f>
            </numRef>
          </val>
        </ser>
        <ser>
          <idx val="1"/>
          <order val="1"/>
          <tx>
            <strRef>
              <f>'Overview'!BI27</f>
            </strRef>
          </tx>
          <spPr>
            <a:ln xmlns:a="http://schemas.openxmlformats.org/drawingml/2006/main">
              <a:prstDash val="solid"/>
            </a:ln>
          </spPr>
          <cat>
            <numRef>
              <f>'Overview'!$BJ$25:$BU$25</f>
            </numRef>
          </cat>
          <val>
            <numRef>
              <f>'Overview'!$BJ$27:$BU$27</f>
            </numRef>
          </val>
        </ser>
        <ser>
          <idx val="2"/>
          <order val="2"/>
          <tx>
            <strRef>
              <f>'Overview'!BI28</f>
            </strRef>
          </tx>
          <spPr>
            <a:ln xmlns:a="http://schemas.openxmlformats.org/drawingml/2006/main">
              <a:prstDash val="solid"/>
            </a:ln>
          </spPr>
          <cat>
            <numRef>
              <f>'Overview'!$BJ$25:$BU$25</f>
            </numRef>
          </cat>
          <val>
            <numRef>
              <f>'Overview'!$BJ$28:$BU$28</f>
            </numRef>
          </val>
        </ser>
        <ser>
          <idx val="3"/>
          <order val="3"/>
          <tx>
            <strRef>
              <f>'Overview'!BI29</f>
            </strRef>
          </tx>
          <spPr>
            <a:ln xmlns:a="http://schemas.openxmlformats.org/drawingml/2006/main">
              <a:prstDash val="solid"/>
            </a:ln>
          </spPr>
          <cat>
            <numRef>
              <f>'Overview'!$BJ$25:$BU$25</f>
            </numRef>
          </cat>
          <val>
            <numRef>
              <f>'Overview'!$BJ$29:$BU$29</f>
            </numRef>
          </val>
        </ser>
        <gapWidth val="150"/>
        <axId val="10"/>
        <axId val="100"/>
      </bar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£'000s</a:t>
                </a:r>
              </a:p>
            </rich>
          </tx>
        </title>
        <majorTickMark val="out"/>
        <minorTickMark val="none"/>
        <tickLblPos val="nextTo"/>
        <crossAx val="10"/>
      </valAx>
    </plotArea>
    <legend>
      <legendPos val="b"/>
      <layout>
        <manualLayout>
          <xMode val="edge"/>
          <yMode val="edge"/>
          <wMode val="factor"/>
          <hMode val="factor"/>
          <x val="0.02"/>
          <y val="0.84"/>
          <w val="0.96"/>
          <h val="0.16"/>
        </manualLayout>
      </layout>
    </legend>
    <plotVisOnly val="0"/>
    <dispBlanksAs val="gap"/>
  </chart>
</chartSpace>
</file>

<file path=xl/charts/chart5.xml><?xml version="1.0" encoding="utf-8"?>
<chartSpace xmlns="http://schemas.openxmlformats.org/drawingml/2006/chart">
  <chart>
    <title>
      <tx>
        <rich>
          <a:bodyPr xmlns:a="http://schemas.openxmlformats.org/drawingml/2006/main"/>
          <a:p xmlns:a="http://schemas.openxmlformats.org/drawingml/2006/main">
            <a:pPr>
              <a:defRPr/>
            </a:pPr>
            <a:r>
              <a:t>Bank of London and The Middle East plc — Pillar 3 Key Metrics by Year</a:t>
            </a:r>
          </a:p>
        </rich>
      </tx>
    </title>
    <plotArea>
      <layout>
        <manualLayout>
          <layoutTarget val="inner"/>
          <xMode val="edge"/>
          <yMode val="edge"/>
          <wMode val="factor"/>
          <hMode val="factor"/>
          <x val="0.1"/>
          <y val="0.12"/>
          <w val="0.85"/>
          <h val="0.5"/>
        </manualLayout>
      </layout>
      <lineChart>
        <grouping val="standard"/>
        <ser>
          <idx val="0"/>
          <order val="0"/>
          <tx>
            <strRef>
              <f>'Overview'!BX6</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'Overview'!$BY$6:$CJ$6</f>
            </numRef>
          </val>
          <smooth val="0"/>
        </ser>
        <ser>
          <idx val="1"/>
          <order val="1"/>
          <tx>
            <strRef>
              <f>'Overview'!BX7</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'Overview'!$BY$7:$CJ$7</f>
            </numRef>
          </val>
          <smooth val="0"/>
        </ser>
        <ser>
          <idx val="2"/>
          <order val="2"/>
          <tx>
            <strRef>
              <f>'Overview'!BX8</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'Overview'!$BY$8:$CJ$8</f>
            </numRef>
          </val>
          <smooth val="0"/>
        </ser>
        <ser>
          <idx val="3"/>
          <order val="3"/>
          <tx>
            <strRef>
              <f>'Overview'!BX9</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'Overview'!$BY$9:$CJ$9</f>
            </numRef>
          </val>
          <smooth val="0"/>
        </ser>
        <ser>
          <idx val="4"/>
          <order val="4"/>
          <tx>
            <strRef>
              <f>'Overview'!BX10</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'Overview'!$BY$10:$CJ$10</f>
            </numRef>
          </val>
          <smooth val="0"/>
        </ser>
        <ser>
          <idx val="5"/>
          <order val="5"/>
          <tx>
            <strRef>
              <f>'Overview'!BX11</f>
            </strRef>
          </tx>
          <spPr>
            <a:ln xmlns:a="http://schemas.openxmlformats.org/drawingml/2006/main">
              <a:prstDash val="solid"/>
            </a:ln>
          </spPr>
          <marker>
            <symbol val="none"/>
            <spPr>
              <a:ln xmlns:a="http://schemas.openxmlformats.org/drawingml/2006/main">
                <a:prstDash val="solid"/>
              </a:ln>
            </spPr>
          </marker>
          <cat>
            <numRef>
              <f>'Overview'!$BY$5:$CJ$5</f>
            </numRef>
          </cat>
          <val>
            <numRef>
              <f>'Overview'!$BY$11:$CJ$11</f>
            </numRef>
          </val>
          <smooth val="0"/>
        </ser>
        <axId val="10"/>
        <axId val="100"/>
      </lineChart>
      <catAx>
        <axId val="10"/>
        <scaling>
          <orientation val="minMax"/>
        </scaling>
        <delete val="0"/>
        <axPos val="b"/>
        <majorTickMark val="out"/>
        <minorTickMark val="none"/>
        <tickLblPos val="nextTo"/>
        <crossAx val="100"/>
        <lblOffset val="100"/>
      </catAx>
      <valAx>
        <axId val="100"/>
        <scaling>
          <orientation val="minMax"/>
        </scaling>
        <delete val="0"/>
        <axPos val="l"/>
        <majorGridlines/>
        <title>
          <tx>
            <rich>
              <a:bodyPr xmlns:a="http://schemas.openxmlformats.org/drawingml/2006/main"/>
              <a:p xmlns:a="http://schemas.openxmlformats.org/drawingml/2006/main">
                <a:pPr>
                  <a:defRPr/>
                </a:pPr>
                <a:r>
                  <a:t>%</a:t>
                </a:r>
              </a:p>
            </rich>
          </tx>
        </title>
        <majorTickMark val="out"/>
        <minorTickMark val="none"/>
        <tickLblPos val="nextTo"/>
        <crossAx val="10"/>
      </valAx>
    </plotArea>
    <legend>
      <legendPos val="b"/>
      <layout>
        <manualLayout>
          <xMode val="edge"/>
          <yMode val="edge"/>
          <wMode val="factor"/>
          <hMode val="factor"/>
          <x val="0.02"/>
          <y val="0.78"/>
          <w val="0.96"/>
          <h val="0.22"/>
        </manualLayout>
      </layout>
    </legend>
    <plotVisOnly val="0"/>
    <dispBlanksAs val="gap"/>
  </chart>
</chartSpace>
</file>

<file path=xl/drawings/_rels/drawing1.xml.rels><Relationships xmlns="http://schemas.openxmlformats.org/package/2006/relationships"><Relationship Type="http://schemas.openxmlformats.org/officeDocument/2006/relationships/chart" Target="/xl/charts/chart1.xml" Id="rId1"/><Relationship Type="http://schemas.openxmlformats.org/officeDocument/2006/relationships/chart" Target="/xl/charts/chart2.xml" Id="rId2"/><Relationship Type="http://schemas.openxmlformats.org/officeDocument/2006/relationships/chart" Target="/xl/charts/chart3.xml" Id="rId3"/><Relationship Type="http://schemas.openxmlformats.org/officeDocument/2006/relationships/chart" Target="/xl/charts/chart4.xml" Id="rId4"/><Relationship Type="http://schemas.openxmlformats.org/officeDocument/2006/relationships/chart" Target="/xl/charts/chart5.xml" Id="rId5"/></Relationships>
</file>

<file path=xl/drawings/drawing1.xml><?xml version="1.0" encoding="utf-8"?>
<wsDr xmlns="http://schemas.openxmlformats.org/drawingml/2006/spreadsheetDrawing">
  <oneCellAnchor>
    <from>
      <col>0</col>
      <colOff>0</colOff>
      <row>42</row>
      <rowOff>0</rowOff>
    </from>
    <ext cx="8640000" cy="4680000"/>
    <graphicFrame>
      <nvGraphicFramePr>
        <cNvPr id="1" name="Chart 1"/>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1"/>
        </a:graphicData>
      </a:graphic>
    </graphicFrame>
    <clientData/>
  </oneCellAnchor>
  <oneCellAnchor>
    <from>
      <col>0</col>
      <colOff>0</colOff>
      <row>64</row>
      <rowOff>0</rowOff>
    </from>
    <ext cx="8640000" cy="4680000"/>
    <graphicFrame>
      <nvGraphicFramePr>
        <cNvPr id="2" name="Chart 2"/>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2"/>
        </a:graphicData>
      </a:graphic>
    </graphicFrame>
    <clientData/>
  </oneCellAnchor>
  <oneCellAnchor>
    <from>
      <col>0</col>
      <colOff>0</colOff>
      <row>86</row>
      <rowOff>0</rowOff>
    </from>
    <ext cx="8640000" cy="4680000"/>
    <graphicFrame>
      <nvGraphicFramePr>
        <cNvPr id="3" name="Chart 3"/>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3"/>
        </a:graphicData>
      </a:graphic>
    </graphicFrame>
    <clientData/>
  </oneCellAnchor>
  <oneCellAnchor>
    <from>
      <col>0</col>
      <colOff>0</colOff>
      <row>108</row>
      <rowOff>0</rowOff>
    </from>
    <ext cx="8640000" cy="4680000"/>
    <graphicFrame>
      <nvGraphicFramePr>
        <cNvPr id="4" name="Chart 4"/>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4"/>
        </a:graphicData>
      </a:graphic>
    </graphicFrame>
    <clientData/>
  </oneCellAnchor>
  <oneCellAnchor>
    <from>
      <col>0</col>
      <colOff>0</colOff>
      <row>130</row>
      <rowOff>0</rowOff>
    </from>
    <ext cx="8640000" cy="5760000"/>
    <graphicFrame>
      <nvGraphicFramePr>
        <cNvPr id="5" name="Chart 5"/>
        <cNvGraphicFramePr/>
      </nvGraphicFramePr>
      <xfrm/>
      <a:graphic xmlns:a="http://schemas.openxmlformats.org/drawingml/2006/main">
        <a:graphicData uri="http://schemas.openxmlformats.org/drawingml/2006/chart">
          <c:chart xmlns:c="http://schemas.openxmlformats.org/drawingml/2006/chart" xmlns:r="http://schemas.openxmlformats.org/officeDocument/2006/relationships" r:id="rId5"/>
        </a:graphicData>
      </a:graphic>
    </graphicFrame>
    <clientData/>
  </oneCellAnchor>
</wsDr>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_rels/sheet1.xml.rels><Relationships xmlns="http://schemas.openxmlformats.org/package/2006/relationships"><Relationship Type="http://schemas.openxmlformats.org/officeDocument/2006/relationships/drawing" Target="/xl/drawings/drawing1.xml" Id="rId1"/></Relationships>
</file>

<file path=xl/worksheets/sheet1.xml><?xml version="1.0" encoding="utf-8"?>
<worksheet xmlns="http://schemas.openxmlformats.org/spreadsheetml/2006/main">
  <sheetPr>
    <outlinePr summaryBelow="1" summaryRight="1"/>
    <pageSetUpPr/>
  </sheetPr>
  <dimension ref="A1:CJ40"/>
  <sheetViews>
    <sheetView workbookViewId="0">
      <selection activeCell="A1" sqref="A1"/>
    </sheetView>
  </sheetViews>
  <sheetFormatPr baseColWidth="8" defaultRowHeight="15"/>
  <cols>
    <col width="4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 hidden="1" width="13" customWidth="1" min="16" max="16"/>
    <col hidden="1" width="13" customWidth="1" min="17" max="17"/>
    <col hidden="1" width="13" customWidth="1" min="18" max="18"/>
    <col hidden="1" width="13" customWidth="1" min="19" max="19"/>
    <col hidden="1" width="13" customWidth="1" min="20" max="20"/>
    <col hidden="1" width="13" customWidth="1" min="21" max="21"/>
    <col hidden="1" width="13" customWidth="1" min="22" max="22"/>
    <col hidden="1" width="13" customWidth="1" min="23" max="23"/>
    <col hidden="1" width="13" customWidth="1" min="24" max="24"/>
    <col hidden="1" width="13" customWidth="1" min="25" max="25"/>
    <col hidden="1" width="13" customWidth="1" min="26" max="26"/>
    <col hidden="1" width="13" customWidth="1" min="27" max="27"/>
    <col hidden="1" width="13" customWidth="1" min="28" max="28"/>
    <col hidden="1" width="13" customWidth="1" min="29" max="29"/>
    <col hidden="1" width="13" customWidth="1" min="30" max="30"/>
    <col hidden="1" width="13" customWidth="1" min="31" max="31"/>
    <col hidden="1" width="13" customWidth="1" min="32" max="32"/>
    <col hidden="1" width="13" customWidth="1" min="33" max="33"/>
    <col hidden="1" width="13" customWidth="1" min="34" max="34"/>
    <col hidden="1" width="13" customWidth="1" min="35" max="35"/>
    <col hidden="1" width="13" customWidth="1" min="36" max="36"/>
    <col hidden="1" width="13" customWidth="1" min="37" max="37"/>
    <col hidden="1" width="13" customWidth="1" min="38" max="38"/>
    <col hidden="1" width="13" customWidth="1" min="39" max="39"/>
    <col hidden="1" width="13" customWidth="1" min="40" max="40"/>
    <col hidden="1" width="13" customWidth="1" min="41" max="41"/>
    <col hidden="1" width="13" customWidth="1" min="42" max="42"/>
    <col hidden="1" width="13" customWidth="1" min="43" max="43"/>
    <col hidden="1" width="13" customWidth="1" min="44" max="44"/>
    <col hidden="1" width="13" customWidth="1" min="45" max="45"/>
    <col hidden="1" width="13" customWidth="1" min="46" max="46"/>
    <col hidden="1" width="13" customWidth="1" min="47" max="47"/>
    <col hidden="1" width="13" customWidth="1" min="48" max="48"/>
    <col hidden="1" width="13" customWidth="1" min="49" max="49"/>
    <col hidden="1" width="13" customWidth="1" min="50" max="50"/>
    <col hidden="1" width="13" customWidth="1" min="51" max="51"/>
    <col hidden="1" width="13" customWidth="1" min="52" max="52"/>
    <col hidden="1" width="13" customWidth="1" min="53" max="53"/>
    <col hidden="1" width="13" customWidth="1" min="54" max="54"/>
    <col hidden="1" width="13" customWidth="1" min="55" max="55"/>
    <col hidden="1" width="13" customWidth="1" min="56" max="56"/>
    <col hidden="1" width="13" customWidth="1" min="57" max="57"/>
    <col hidden="1" width="13" customWidth="1" min="58" max="58"/>
    <col hidden="1" width="13" customWidth="1" min="59" max="59"/>
    <col hidden="1" width="13" customWidth="1" min="60" max="60"/>
    <col hidden="1" width="13" customWidth="1" min="61" max="61"/>
    <col hidden="1" width="13" customWidth="1" min="62" max="62"/>
    <col hidden="1" width="13" customWidth="1" min="63" max="63"/>
    <col hidden="1" width="13" customWidth="1" min="64" max="64"/>
    <col hidden="1" width="13" customWidth="1" min="65" max="65"/>
    <col hidden="1" width="13" customWidth="1" min="66" max="66"/>
    <col hidden="1" width="13" customWidth="1" min="67" max="67"/>
    <col hidden="1" width="13" customWidth="1" min="68" max="68"/>
    <col hidden="1" width="13" customWidth="1" min="69" max="69"/>
    <col hidden="1" width="13" customWidth="1" min="70" max="70"/>
    <col hidden="1" width="13" customWidth="1" min="71" max="71"/>
    <col hidden="1" width="13" customWidth="1" min="72" max="72"/>
    <col hidden="1" width="13" customWidth="1" min="73" max="73"/>
    <col hidden="1" width="13" customWidth="1" min="74" max="74"/>
    <col hidden="1" width="13" customWidth="1" min="75" max="75"/>
    <col hidden="1" width="13" customWidth="1" min="76" max="76"/>
    <col hidden="1" width="13" customWidth="1" min="77" max="77"/>
    <col hidden="1" width="13" customWidth="1" min="78" max="78"/>
    <col hidden="1" width="13" customWidth="1" min="79" max="79"/>
    <col hidden="1" width="13" customWidth="1" min="80" max="80"/>
    <col hidden="1" width="13" customWidth="1" min="81" max="81"/>
    <col hidden="1" width="13" customWidth="1" min="82" max="82"/>
    <col hidden="1" width="13" customWidth="1" min="83" max="83"/>
    <col hidden="1" width="13" customWidth="1" min="84" max="84"/>
    <col hidden="1" width="13" customWidth="1" min="85" max="85"/>
    <col hidden="1" width="13" customWidth="1" min="86" max="86"/>
    <col hidden="1" width="13" customWidth="1" min="87" max="87"/>
    <col hidden="1" width="13" customWidth="1" min="88" max="88"/>
  </cols>
  <sheetData>
    <row r="1">
      <c r="A1" s="1" t="inlineStr">
        <is>
          <t>Bank of London and The Middle East plc — Overview</t>
        </is>
      </c>
    </row>
    <row r="2">
      <c r="A2" s="2" t="inlineStr">
        <is>
          <t>Headline balance sheet, profit &amp; loss, cash flow and Pillar 3 figures across all years covered in this workbook - how the bank is using its money and the risk it is taking with it</t>
        </is>
      </c>
    </row>
    <row r="4">
      <c r="A4" s="3" t="inlineStr">
        <is>
          <t>Balance Sheet Summary (£'000s)</t>
        </is>
      </c>
    </row>
    <row r="5">
      <c r="A5" s="4" t="inlineStr">
        <is>
          <t>Line item</t>
        </is>
      </c>
      <c r="B5" s="4" t="inlineStr">
        <is>
          <t>FY2025</t>
        </is>
      </c>
      <c r="C5" s="4" t="inlineStr">
        <is>
          <t>FY2024</t>
        </is>
      </c>
      <c r="D5" s="4" t="inlineStr">
        <is>
          <t>FY2023</t>
        </is>
      </c>
      <c r="E5" s="4" t="inlineStr">
        <is>
          <t>FY2022</t>
        </is>
      </c>
      <c r="F5" s="4" t="inlineStr">
        <is>
          <t>FY2021</t>
        </is>
      </c>
      <c r="G5" s="4" t="inlineStr">
        <is>
          <t>FY2020</t>
        </is>
      </c>
      <c r="H5" s="4" t="inlineStr">
        <is>
          <t>FY2019</t>
        </is>
      </c>
      <c r="I5" s="4" t="inlineStr">
        <is>
          <t>FY2018</t>
        </is>
      </c>
      <c r="J5" s="4" t="inlineStr">
        <is>
          <t>FY2017</t>
        </is>
      </c>
      <c r="K5" s="4" t="inlineStr">
        <is>
          <t>FY2016</t>
        </is>
      </c>
      <c r="L5" s="4" t="inlineStr">
        <is>
          <t>FY2015</t>
        </is>
      </c>
      <c r="M5" s="4" t="inlineStr">
        <is>
          <t>FY2014</t>
        </is>
      </c>
      <c r="Q5" t="inlineStr">
        <is>
          <t>FY2014</t>
        </is>
      </c>
      <c r="R5" t="inlineStr">
        <is>
          <t>FY2015</t>
        </is>
      </c>
      <c r="S5" t="inlineStr">
        <is>
          <t>FY2016</t>
        </is>
      </c>
      <c r="T5" t="inlineStr">
        <is>
          <t>FY2017</t>
        </is>
      </c>
      <c r="U5" t="inlineStr">
        <is>
          <t>FY2018</t>
        </is>
      </c>
      <c r="V5" t="inlineStr">
        <is>
          <t>FY2019</t>
        </is>
      </c>
      <c r="W5" t="inlineStr">
        <is>
          <t>FY2020</t>
        </is>
      </c>
      <c r="X5" t="inlineStr">
        <is>
          <t>FY2021</t>
        </is>
      </c>
      <c r="Y5" t="inlineStr">
        <is>
          <t>FY2022</t>
        </is>
      </c>
      <c r="Z5" t="inlineStr">
        <is>
          <t>FY2023</t>
        </is>
      </c>
      <c r="AA5" t="inlineStr">
        <is>
          <t>FY2024</t>
        </is>
      </c>
      <c r="AB5" t="inlineStr">
        <is>
          <t>FY2025</t>
        </is>
      </c>
      <c r="BY5" t="inlineStr">
        <is>
          <t>FY2014</t>
        </is>
      </c>
      <c r="BZ5" t="inlineStr">
        <is>
          <t>FY2015</t>
        </is>
      </c>
      <c r="CA5" t="inlineStr">
        <is>
          <t>FY2016</t>
        </is>
      </c>
      <c r="CB5" t="inlineStr">
        <is>
          <t>FY2017</t>
        </is>
      </c>
      <c r="CC5" t="inlineStr">
        <is>
          <t>FY2018</t>
        </is>
      </c>
      <c r="CD5" t="inlineStr">
        <is>
          <t>FY2019</t>
        </is>
      </c>
      <c r="CE5" t="inlineStr">
        <is>
          <t>FY2020</t>
        </is>
      </c>
      <c r="CF5" t="inlineStr">
        <is>
          <t>FY2021</t>
        </is>
      </c>
      <c r="CG5" t="inlineStr">
        <is>
          <t>FY2022</t>
        </is>
      </c>
      <c r="CH5" t="inlineStr">
        <is>
          <t>FY2023</t>
        </is>
      </c>
      <c r="CI5" t="inlineStr">
        <is>
          <t>FY2024</t>
        </is>
      </c>
      <c r="CJ5" t="inlineStr">
        <is>
          <t>FY2025</t>
        </is>
      </c>
    </row>
    <row r="6">
      <c r="A6" s="5" t="inlineStr">
        <is>
          <t>Total assets</t>
        </is>
      </c>
      <c r="B6" s="5" t="n">
        <v>1484802</v>
      </c>
      <c r="C6" s="5" t="n">
        <v>1540358</v>
      </c>
      <c r="D6" s="5" t="n">
        <v>1497500</v>
      </c>
      <c r="E6" s="5" t="n">
        <v>1612376</v>
      </c>
      <c r="F6" s="5" t="n">
        <v>1548850</v>
      </c>
      <c r="G6" s="5" t="n">
        <v>1743397</v>
      </c>
      <c r="H6" s="5" t="n">
        <v>1548599</v>
      </c>
      <c r="I6" s="5" t="n">
        <v>1272946</v>
      </c>
      <c r="J6" s="5" t="n">
        <v>1025888</v>
      </c>
      <c r="K6" s="5" t="n">
        <v>1028931</v>
      </c>
      <c r="L6" s="5" t="n">
        <v>1241142</v>
      </c>
      <c r="M6" s="5" t="n">
        <v>1345983</v>
      </c>
      <c r="P6" t="inlineStr">
        <is>
          <t>Total assets</t>
        </is>
      </c>
      <c r="Q6" t="n">
        <v>1345983</v>
      </c>
      <c r="R6" t="n">
        <v>1241142</v>
      </c>
      <c r="S6" t="n">
        <v>1028931</v>
      </c>
      <c r="T6" t="n">
        <v>1025888</v>
      </c>
      <c r="U6" t="n">
        <v>1272946</v>
      </c>
      <c r="V6" t="n">
        <v>1548599</v>
      </c>
      <c r="W6" t="n">
        <v>1743397</v>
      </c>
      <c r="X6" t="n">
        <v>1548850</v>
      </c>
      <c r="Y6" t="n">
        <v>1612376</v>
      </c>
      <c r="Z6" t="n">
        <v>1497500</v>
      </c>
      <c r="AA6" t="n">
        <v>1540358</v>
      </c>
      <c r="AB6" t="n">
        <v>1484802</v>
      </c>
      <c r="BX6" t="inlineStr">
        <is>
          <t>CET1 Ratio</t>
        </is>
      </c>
      <c r="BY6" t="n">
        <v>15.26</v>
      </c>
      <c r="BZ6" t="n">
        <v>15.41</v>
      </c>
      <c r="CA6" t="n">
        <v>20.42</v>
      </c>
      <c r="CB6" t="n">
        <v>20.95</v>
      </c>
      <c r="CC6" t="n">
        <v>17.24</v>
      </c>
      <c r="CD6" t="n">
        <v>15.07</v>
      </c>
      <c r="CE6" t="n">
        <v>16.62</v>
      </c>
      <c r="CF6" t="n">
        <v>18.18</v>
      </c>
      <c r="CG6" t="n">
        <v>16.51</v>
      </c>
      <c r="CH6" t="n">
        <v>16.87</v>
      </c>
      <c r="CI6" t="n">
        <v>17.8</v>
      </c>
      <c r="CJ6" t="n">
        <v>19.29</v>
      </c>
    </row>
    <row r="7">
      <c r="A7" s="5" t="inlineStr">
        <is>
          <t>Financing arrangements</t>
        </is>
      </c>
      <c r="B7" s="5" t="n">
        <v>1218128</v>
      </c>
      <c r="C7" s="5" t="n">
        <v>1151123</v>
      </c>
      <c r="D7" s="5" t="n">
        <v>1010255</v>
      </c>
      <c r="E7" s="5" t="n">
        <v>912937</v>
      </c>
      <c r="F7" s="5" t="n">
        <v>800318</v>
      </c>
      <c r="G7" s="5" t="n">
        <v>819162</v>
      </c>
      <c r="H7" s="5" t="n">
        <v>847880</v>
      </c>
      <c r="I7" s="5" t="n">
        <v>700949</v>
      </c>
      <c r="J7" s="5" t="n">
        <v>556642</v>
      </c>
      <c r="K7" s="5" t="n">
        <v>474637</v>
      </c>
      <c r="L7" s="5" t="n">
        <v>627223</v>
      </c>
      <c r="M7" s="5" t="n">
        <v>723280</v>
      </c>
      <c r="P7" t="inlineStr">
        <is>
          <t>Financing arrangements</t>
        </is>
      </c>
      <c r="Q7" t="n">
        <v>723280</v>
      </c>
      <c r="R7" t="n">
        <v>627223</v>
      </c>
      <c r="S7" t="n">
        <v>474637</v>
      </c>
      <c r="T7" t="n">
        <v>556642</v>
      </c>
      <c r="U7" t="n">
        <v>700949</v>
      </c>
      <c r="V7" t="n">
        <v>847880</v>
      </c>
      <c r="W7" t="n">
        <v>819162</v>
      </c>
      <c r="X7" t="n">
        <v>800318</v>
      </c>
      <c r="Y7" t="n">
        <v>912937</v>
      </c>
      <c r="Z7" t="n">
        <v>1010255</v>
      </c>
      <c r="AA7" t="n">
        <v>1151123</v>
      </c>
      <c r="AB7" t="n">
        <v>1218128</v>
      </c>
      <c r="BX7" t="inlineStr">
        <is>
          <t>Tier 1 Ratio</t>
        </is>
      </c>
      <c r="BY7" t="n">
        <v>15.26</v>
      </c>
      <c r="BZ7" t="n">
        <v>15.41</v>
      </c>
      <c r="CA7" t="n">
        <v>20.42</v>
      </c>
      <c r="CB7" t="n">
        <v>20.95</v>
      </c>
      <c r="CC7" t="n">
        <v>17.24</v>
      </c>
      <c r="CD7" t="n">
        <v>15.07</v>
      </c>
      <c r="CE7" t="n">
        <v>16.62</v>
      </c>
      <c r="CF7" t="n">
        <v>18.18</v>
      </c>
      <c r="CG7" t="n">
        <v>16.51</v>
      </c>
      <c r="CH7" t="n">
        <v>16.87</v>
      </c>
      <c r="CI7" t="n">
        <v>17.8</v>
      </c>
      <c r="CJ7" t="n">
        <v>19.29</v>
      </c>
    </row>
    <row r="8">
      <c r="A8" s="5" t="inlineStr">
        <is>
          <t>Due to customers</t>
        </is>
      </c>
      <c r="B8" s="5" t="n">
        <v>1197104</v>
      </c>
      <c r="C8" s="5" t="n">
        <v>1262682</v>
      </c>
      <c r="D8" s="5" t="n">
        <v>1248979</v>
      </c>
      <c r="E8" s="5" t="n">
        <v>1323870</v>
      </c>
      <c r="F8" s="5" t="n">
        <v>1031887</v>
      </c>
      <c r="G8" s="5" t="n">
        <v>1300714</v>
      </c>
      <c r="H8" s="5" t="n">
        <v>917569</v>
      </c>
      <c r="I8" s="5" t="n">
        <v>357427</v>
      </c>
      <c r="J8" s="5" t="n">
        <v>277341</v>
      </c>
      <c r="K8" s="5" t="n">
        <v>213804</v>
      </c>
      <c r="L8" s="5" t="n">
        <v>321473</v>
      </c>
      <c r="M8" s="5" t="n">
        <v>471444</v>
      </c>
      <c r="P8" t="inlineStr">
        <is>
          <t>Due to customers</t>
        </is>
      </c>
      <c r="Q8" t="n">
        <v>471444</v>
      </c>
      <c r="R8" t="n">
        <v>321473</v>
      </c>
      <c r="S8" t="n">
        <v>213804</v>
      </c>
      <c r="T8" t="n">
        <v>277341</v>
      </c>
      <c r="U8" t="n">
        <v>357427</v>
      </c>
      <c r="V8" t="n">
        <v>917569</v>
      </c>
      <c r="W8" t="n">
        <v>1300714</v>
      </c>
      <c r="X8" t="n">
        <v>1031887</v>
      </c>
      <c r="Y8" t="n">
        <v>1323870</v>
      </c>
      <c r="Z8" t="n">
        <v>1248979</v>
      </c>
      <c r="AA8" t="n">
        <v>1262682</v>
      </c>
      <c r="AB8" t="n">
        <v>1197104</v>
      </c>
      <c r="BX8" t="inlineStr">
        <is>
          <t>Total Capital Ratio</t>
        </is>
      </c>
      <c r="BY8" t="n">
        <v>15.26</v>
      </c>
      <c r="BZ8" t="n">
        <v>15.65</v>
      </c>
      <c r="CA8" t="n">
        <v>20.81</v>
      </c>
      <c r="CB8" t="n">
        <v>21.33</v>
      </c>
      <c r="CC8" t="n">
        <v>17.24</v>
      </c>
      <c r="CD8" t="n">
        <v>15.07</v>
      </c>
      <c r="CE8" t="n">
        <v>16.62</v>
      </c>
      <c r="CF8" t="n">
        <v>18.18</v>
      </c>
      <c r="CG8" t="n">
        <v>16.51</v>
      </c>
      <c r="CH8" t="n">
        <v>16.87</v>
      </c>
      <c r="CI8" t="n">
        <v>17.8</v>
      </c>
      <c r="CJ8" t="n">
        <v>19.29</v>
      </c>
    </row>
    <row r="9">
      <c r="A9" s="5" t="inlineStr">
        <is>
          <t>Total equity</t>
        </is>
      </c>
      <c r="B9" s="5" t="n">
        <v>224068</v>
      </c>
      <c r="C9" s="5" t="n">
        <v>230834</v>
      </c>
      <c r="D9" s="5" t="n">
        <v>228232</v>
      </c>
      <c r="E9" s="5" t="n">
        <v>222915</v>
      </c>
      <c r="F9" s="5" t="n">
        <v>229717</v>
      </c>
      <c r="G9" s="5" t="n">
        <v>234261</v>
      </c>
      <c r="H9" s="5" t="n">
        <v>233478</v>
      </c>
      <c r="I9" s="5" t="n">
        <v>228126</v>
      </c>
      <c r="J9" s="5" t="n">
        <v>220521</v>
      </c>
      <c r="K9" s="5" t="n">
        <v>216796</v>
      </c>
      <c r="L9" s="5" t="n">
        <v>237772</v>
      </c>
      <c r="M9" s="5" t="n">
        <v>244052</v>
      </c>
      <c r="P9" t="inlineStr">
        <is>
          <t>Total equity</t>
        </is>
      </c>
      <c r="Q9" t="n">
        <v>244052</v>
      </c>
      <c r="R9" t="n">
        <v>237772</v>
      </c>
      <c r="S9" t="n">
        <v>216796</v>
      </c>
      <c r="T9" t="n">
        <v>220521</v>
      </c>
      <c r="U9" t="n">
        <v>228126</v>
      </c>
      <c r="V9" t="n">
        <v>233478</v>
      </c>
      <c r="W9" t="n">
        <v>234261</v>
      </c>
      <c r="X9" t="n">
        <v>229717</v>
      </c>
      <c r="Y9" t="n">
        <v>222915</v>
      </c>
      <c r="Z9" t="n">
        <v>228232</v>
      </c>
      <c r="AA9" t="n">
        <v>230834</v>
      </c>
      <c r="AB9" t="n">
        <v>224068</v>
      </c>
      <c r="BX9" t="inlineStr">
        <is>
          <t>Leverage Ratio</t>
        </is>
      </c>
      <c r="BZ9" t="n">
        <v>15.63</v>
      </c>
      <c r="CA9" t="n">
        <v>19.94</v>
      </c>
      <c r="CB9" t="n">
        <v>19.28</v>
      </c>
      <c r="CC9" t="n">
        <v>15.83</v>
      </c>
      <c r="CD9" t="n">
        <v>13.4</v>
      </c>
      <c r="CE9" t="n">
        <v>13.6</v>
      </c>
      <c r="CF9" t="n">
        <v>14.92</v>
      </c>
      <c r="CG9" t="n">
        <v>14</v>
      </c>
      <c r="CH9" t="n">
        <v>14.88</v>
      </c>
      <c r="CI9" t="n">
        <v>14.98</v>
      </c>
      <c r="CJ9" t="n">
        <v>14.95</v>
      </c>
    </row>
    <row r="10">
      <c r="BX10" t="inlineStr">
        <is>
          <t>LCR</t>
        </is>
      </c>
      <c r="CA10" t="n">
        <v>4115</v>
      </c>
      <c r="CB10" t="n">
        <v>403</v>
      </c>
      <c r="CC10" t="n">
        <v>184.86</v>
      </c>
      <c r="CD10" t="n">
        <v>261.23</v>
      </c>
      <c r="CE10" t="n">
        <v>234.15</v>
      </c>
      <c r="CF10" t="n">
        <v>315</v>
      </c>
      <c r="CG10" t="n">
        <v>352</v>
      </c>
      <c r="CH10" t="n">
        <v>288</v>
      </c>
      <c r="CI10" t="n">
        <v>310</v>
      </c>
      <c r="CJ10" t="n">
        <v>308</v>
      </c>
    </row>
    <row r="11">
      <c r="A11" s="3" t="inlineStr">
        <is>
          <t>Profit &amp; Loss Summary (£'000s (FY2014-2016 Group-consolidated, FY2017-2025 Bank-solo - see ENTITY_NOTE))</t>
        </is>
      </c>
      <c r="BX11" t="inlineStr">
        <is>
          <t>NSFR</t>
        </is>
      </c>
      <c r="CC11" t="n">
        <v>104</v>
      </c>
      <c r="CD11" t="n">
        <v>112.48</v>
      </c>
      <c r="CE11" t="n">
        <v>114.46</v>
      </c>
      <c r="CF11" t="n">
        <v>113.85</v>
      </c>
      <c r="CG11" t="n">
        <v>143</v>
      </c>
      <c r="CH11" t="n">
        <v>144</v>
      </c>
      <c r="CI11" t="n">
        <v>125</v>
      </c>
      <c r="CJ11" t="n">
        <v>121</v>
      </c>
    </row>
    <row r="12">
      <c r="A12" s="4" t="inlineStr">
        <is>
          <t>Line item</t>
        </is>
      </c>
      <c r="B12" s="4" t="inlineStr">
        <is>
          <t>FY2025</t>
        </is>
      </c>
      <c r="C12" s="4" t="inlineStr">
        <is>
          <t>FY2024</t>
        </is>
      </c>
      <c r="D12" s="4" t="inlineStr">
        <is>
          <t>FY2023</t>
        </is>
      </c>
      <c r="E12" s="4" t="inlineStr">
        <is>
          <t>FY2022</t>
        </is>
      </c>
      <c r="F12" s="4" t="inlineStr">
        <is>
          <t>FY2021</t>
        </is>
      </c>
      <c r="G12" s="4" t="inlineStr">
        <is>
          <t>FY2020</t>
        </is>
      </c>
      <c r="H12" s="4" t="inlineStr">
        <is>
          <t>FY2019</t>
        </is>
      </c>
      <c r="I12" s="4" t="inlineStr">
        <is>
          <t>FY2018</t>
        </is>
      </c>
      <c r="J12" s="4" t="inlineStr">
        <is>
          <t>FY2017</t>
        </is>
      </c>
      <c r="K12" s="4" t="inlineStr">
        <is>
          <t>FY2016</t>
        </is>
      </c>
      <c r="L12" s="4" t="inlineStr">
        <is>
          <t>FY2015</t>
        </is>
      </c>
      <c r="M12" s="4" t="inlineStr">
        <is>
          <t>FY2014</t>
        </is>
      </c>
      <c r="AF12" t="inlineStr">
        <is>
          <t>FY2014</t>
        </is>
      </c>
      <c r="AG12" t="inlineStr">
        <is>
          <t>FY2015</t>
        </is>
      </c>
      <c r="AH12" t="inlineStr">
        <is>
          <t>FY2016</t>
        </is>
      </c>
      <c r="AI12" t="inlineStr">
        <is>
          <t>FY2017</t>
        </is>
      </c>
      <c r="AJ12" t="inlineStr">
        <is>
          <t>FY2018</t>
        </is>
      </c>
      <c r="AK12" t="inlineStr">
        <is>
          <t>FY2019</t>
        </is>
      </c>
      <c r="AL12" t="inlineStr">
        <is>
          <t>FY2020</t>
        </is>
      </c>
      <c r="AM12" t="inlineStr">
        <is>
          <t>FY2021</t>
        </is>
      </c>
      <c r="AN12" t="inlineStr">
        <is>
          <t>FY2022</t>
        </is>
      </c>
      <c r="AO12" t="inlineStr">
        <is>
          <t>FY2023</t>
        </is>
      </c>
      <c r="AP12" t="inlineStr">
        <is>
          <t>FY2024</t>
        </is>
      </c>
      <c r="AQ12" t="inlineStr">
        <is>
          <t>FY2025</t>
        </is>
      </c>
    </row>
    <row r="13">
      <c r="A13" s="5" t="inlineStr">
        <is>
          <t>Net margin</t>
        </is>
      </c>
      <c r="B13" s="5" t="n">
        <v>38494</v>
      </c>
      <c r="C13" s="5" t="n">
        <v>38226</v>
      </c>
      <c r="D13" s="5" t="n">
        <v>35648</v>
      </c>
      <c r="E13" s="5" t="n">
        <v>33416</v>
      </c>
      <c r="F13" s="5" t="n">
        <v>29971</v>
      </c>
      <c r="G13" s="5" t="n">
        <v>29488</v>
      </c>
      <c r="H13" s="5" t="n">
        <v>28064</v>
      </c>
      <c r="I13" s="5" t="n">
        <v>31174</v>
      </c>
      <c r="J13" s="5" t="n">
        <v>23365</v>
      </c>
      <c r="K13" s="5" t="n">
        <v>35465</v>
      </c>
      <c r="L13" s="5" t="n">
        <v>38591</v>
      </c>
      <c r="M13" s="5" t="n">
        <v>28734</v>
      </c>
      <c r="AE13" t="inlineStr">
        <is>
          <t>Net margin</t>
        </is>
      </c>
      <c r="AF13" t="n">
        <v>28734</v>
      </c>
      <c r="AG13" t="n">
        <v>38591</v>
      </c>
      <c r="AH13" t="n">
        <v>35465</v>
      </c>
      <c r="AI13" t="n">
        <v>23365</v>
      </c>
      <c r="AJ13" t="n">
        <v>31174</v>
      </c>
      <c r="AK13" t="n">
        <v>28064</v>
      </c>
      <c r="AL13" t="n">
        <v>29488</v>
      </c>
      <c r="AM13" t="n">
        <v>29971</v>
      </c>
      <c r="AN13" t="n">
        <v>33416</v>
      </c>
      <c r="AO13" t="n">
        <v>35648</v>
      </c>
      <c r="AP13" t="n">
        <v>38226</v>
      </c>
      <c r="AQ13" t="n">
        <v>38494</v>
      </c>
    </row>
    <row r="14">
      <c r="A14" s="5" t="inlineStr">
        <is>
          <t>Total operating expenses</t>
        </is>
      </c>
      <c r="B14" s="5" t="n">
        <v>-49544</v>
      </c>
      <c r="C14" s="5" t="n">
        <v>-44048</v>
      </c>
      <c r="D14" s="5" t="n">
        <v>-40181</v>
      </c>
      <c r="E14" s="5" t="n">
        <v>-40455</v>
      </c>
      <c r="F14" s="5" t="n">
        <v>-28525</v>
      </c>
      <c r="G14" s="5" t="n">
        <v>-28785</v>
      </c>
      <c r="H14" s="5" t="n">
        <v>-33059</v>
      </c>
      <c r="I14" s="5" t="n">
        <v>-32938</v>
      </c>
      <c r="J14" s="5" t="n">
        <v>-33621</v>
      </c>
      <c r="K14" s="5" t="n">
        <v>-48181</v>
      </c>
      <c r="L14" s="5" t="n">
        <v>-51070</v>
      </c>
      <c r="M14" s="5" t="n">
        <v>-49110</v>
      </c>
      <c r="AE14" t="inlineStr">
        <is>
          <t>Total operating expenses</t>
        </is>
      </c>
      <c r="AF14" t="n">
        <v>-49110</v>
      </c>
      <c r="AG14" t="n">
        <v>-51070</v>
      </c>
      <c r="AH14" t="n">
        <v>-48181</v>
      </c>
      <c r="AI14" t="n">
        <v>-33621</v>
      </c>
      <c r="AJ14" t="n">
        <v>-32938</v>
      </c>
      <c r="AK14" t="n">
        <v>-33059</v>
      </c>
      <c r="AL14" t="n">
        <v>-28785</v>
      </c>
      <c r="AM14" t="n">
        <v>-28525</v>
      </c>
      <c r="AN14" t="n">
        <v>-40455</v>
      </c>
      <c r="AO14" t="n">
        <v>-40181</v>
      </c>
      <c r="AP14" t="n">
        <v>-44048</v>
      </c>
      <c r="AQ14" t="n">
        <v>-49544</v>
      </c>
    </row>
    <row r="15">
      <c r="A15" s="5" t="inlineStr">
        <is>
          <t>Profit/(loss) for the year</t>
        </is>
      </c>
      <c r="B15" s="5" t="n">
        <v>1419</v>
      </c>
      <c r="C15" s="5" t="n">
        <v>6850</v>
      </c>
      <c r="D15" s="5" t="n">
        <v>5322</v>
      </c>
      <c r="E15" s="5" t="n">
        <v>-6807</v>
      </c>
      <c r="F15" s="5" t="n">
        <v>-4336</v>
      </c>
      <c r="G15" s="5" t="n">
        <v>912</v>
      </c>
      <c r="H15" s="5" t="n">
        <v>8691</v>
      </c>
      <c r="I15" s="5" t="n">
        <v>10673</v>
      </c>
      <c r="J15" s="5" t="n">
        <v>3467</v>
      </c>
      <c r="K15" s="5" t="n">
        <v>-21383</v>
      </c>
      <c r="L15" s="5" t="n">
        <v>-6850</v>
      </c>
      <c r="M15" s="5" t="n">
        <v>974</v>
      </c>
      <c r="AE15" t="inlineStr">
        <is>
          <t>Profit/(loss) for the year</t>
        </is>
      </c>
      <c r="AF15" t="n">
        <v>974</v>
      </c>
      <c r="AG15" t="n">
        <v>-6850</v>
      </c>
      <c r="AH15" t="n">
        <v>-21383</v>
      </c>
      <c r="AI15" t="n">
        <v>3467</v>
      </c>
      <c r="AJ15" t="n">
        <v>10673</v>
      </c>
      <c r="AK15" t="n">
        <v>8691</v>
      </c>
      <c r="AL15" t="n">
        <v>912</v>
      </c>
      <c r="AM15" t="n">
        <v>-4336</v>
      </c>
      <c r="AN15" t="n">
        <v>-6807</v>
      </c>
      <c r="AO15" t="n">
        <v>5322</v>
      </c>
      <c r="AP15" t="n">
        <v>6850</v>
      </c>
      <c r="AQ15" t="n">
        <v>1419</v>
      </c>
    </row>
    <row r="17">
      <c r="A17" s="3" t="inlineStr">
        <is>
          <t>Statement of Changes in Equity Summary (£'000s)</t>
        </is>
      </c>
    </row>
    <row r="18">
      <c r="A18" s="4" t="inlineStr">
        <is>
          <t>Line item</t>
        </is>
      </c>
      <c r="B18" s="4" t="inlineStr">
        <is>
          <t>FY2025</t>
        </is>
      </c>
      <c r="C18" s="4" t="inlineStr">
        <is>
          <t>FY2024</t>
        </is>
      </c>
      <c r="D18" s="4" t="inlineStr">
        <is>
          <t>FY2023</t>
        </is>
      </c>
      <c r="E18" s="4" t="inlineStr">
        <is>
          <t>FY2022</t>
        </is>
      </c>
      <c r="F18" s="4" t="inlineStr">
        <is>
          <t>FY2021</t>
        </is>
      </c>
      <c r="G18" s="4" t="inlineStr">
        <is>
          <t>FY2020</t>
        </is>
      </c>
      <c r="H18" s="4" t="inlineStr">
        <is>
          <t>FY2019</t>
        </is>
      </c>
      <c r="I18" s="4" t="inlineStr">
        <is>
          <t>FY2018</t>
        </is>
      </c>
      <c r="J18" s="4" t="inlineStr">
        <is>
          <t>FY2017</t>
        </is>
      </c>
      <c r="K18" s="4" t="inlineStr">
        <is>
          <t>FY2016</t>
        </is>
      </c>
      <c r="L18" s="4" t="inlineStr">
        <is>
          <t>FY2015</t>
        </is>
      </c>
      <c r="M18" s="4" t="inlineStr">
        <is>
          <t>FY2014</t>
        </is>
      </c>
      <c r="AU18" t="inlineStr">
        <is>
          <t>FY2014</t>
        </is>
      </c>
      <c r="AV18" t="inlineStr">
        <is>
          <t>FY2015</t>
        </is>
      </c>
      <c r="AW18" t="inlineStr">
        <is>
          <t>FY2016</t>
        </is>
      </c>
      <c r="AX18" t="inlineStr">
        <is>
          <t>FY2017</t>
        </is>
      </c>
      <c r="AY18" t="inlineStr">
        <is>
          <t>FY2018</t>
        </is>
      </c>
      <c r="AZ18" t="inlineStr">
        <is>
          <t>FY2019</t>
        </is>
      </c>
      <c r="BA18" t="inlineStr">
        <is>
          <t>FY2020</t>
        </is>
      </c>
      <c r="BB18" t="inlineStr">
        <is>
          <t>FY2021</t>
        </is>
      </c>
      <c r="BC18" t="inlineStr">
        <is>
          <t>FY2022</t>
        </is>
      </c>
      <c r="BD18" t="inlineStr">
        <is>
          <t>FY2023</t>
        </is>
      </c>
      <c r="BE18" t="inlineStr">
        <is>
          <t>FY2024</t>
        </is>
      </c>
      <c r="BF18" t="inlineStr">
        <is>
          <t>FY2025</t>
        </is>
      </c>
    </row>
    <row r="19">
      <c r="A19" s="5" t="inlineStr">
        <is>
          <t>Opening equity (restated where applicable)</t>
        </is>
      </c>
      <c r="B19" s="5" t="n">
        <v>222072</v>
      </c>
      <c r="C19" s="5" t="n">
        <v>224268</v>
      </c>
      <c r="D19" s="5" t="n">
        <v>222915</v>
      </c>
      <c r="E19" s="5" t="n">
        <v>229717</v>
      </c>
      <c r="F19" s="5" t="n">
        <v>234261</v>
      </c>
      <c r="G19" s="5" t="n">
        <v>233478</v>
      </c>
      <c r="H19" s="5" t="n">
        <v>227889</v>
      </c>
      <c r="I19" s="5" t="n">
        <v>220546</v>
      </c>
      <c r="J19" s="5" t="n">
        <v>216796</v>
      </c>
      <c r="K19" s="5" t="n">
        <v>237772</v>
      </c>
      <c r="L19" s="5" t="n">
        <v>244052</v>
      </c>
      <c r="M19" s="5" t="n">
        <v>243621</v>
      </c>
      <c r="AT19" t="inlineStr">
        <is>
          <t>Opening equity (restated where applicable)</t>
        </is>
      </c>
      <c r="AU19" t="n">
        <v>243621</v>
      </c>
      <c r="AV19" t="n">
        <v>244052</v>
      </c>
      <c r="AW19" t="n">
        <v>237772</v>
      </c>
      <c r="AX19" t="n">
        <v>216796</v>
      </c>
      <c r="AY19" t="n">
        <v>220546</v>
      </c>
      <c r="AZ19" t="n">
        <v>227889</v>
      </c>
      <c r="BA19" t="n">
        <v>233478</v>
      </c>
      <c r="BB19" t="n">
        <v>234261</v>
      </c>
      <c r="BC19" t="n">
        <v>229717</v>
      </c>
      <c r="BD19" t="n">
        <v>222915</v>
      </c>
      <c r="BE19" t="n">
        <v>224268</v>
      </c>
      <c r="BF19" t="n">
        <v>222072</v>
      </c>
    </row>
    <row r="20">
      <c r="A20" s="5" t="inlineStr">
        <is>
          <t>Total comprehensive income/(loss) for the year</t>
        </is>
      </c>
      <c r="B20" s="5" t="n">
        <v>1376</v>
      </c>
      <c r="C20" s="5" t="n">
        <v>6566</v>
      </c>
      <c r="D20" s="5" t="n">
        <v>5317</v>
      </c>
      <c r="E20" s="5" t="n">
        <v>-6800</v>
      </c>
      <c r="F20" s="5" t="n">
        <v>-4544</v>
      </c>
      <c r="G20" s="5" t="n">
        <v>783</v>
      </c>
      <c r="H20" s="5" t="n">
        <v>9647</v>
      </c>
      <c r="I20" s="5" t="n">
        <v>11164</v>
      </c>
      <c r="J20" s="5" t="n">
        <v>3418</v>
      </c>
      <c r="K20" s="5" t="n">
        <v>-21160</v>
      </c>
      <c r="L20" s="5" t="n">
        <v>-6446</v>
      </c>
      <c r="M20" s="5" t="n">
        <v>1594</v>
      </c>
      <c r="AT20" t="inlineStr">
        <is>
          <t>Total comprehensive income/(loss) for the year</t>
        </is>
      </c>
      <c r="AU20" t="n">
        <v>1594</v>
      </c>
      <c r="AV20" t="n">
        <v>-6446</v>
      </c>
      <c r="AW20" t="n">
        <v>-21160</v>
      </c>
      <c r="AX20" t="n">
        <v>3418</v>
      </c>
      <c r="AY20" t="n">
        <v>11164</v>
      </c>
      <c r="AZ20" t="n">
        <v>9647</v>
      </c>
      <c r="BA20" t="n">
        <v>783</v>
      </c>
      <c r="BB20" t="n">
        <v>-4544</v>
      </c>
      <c r="BC20" t="n">
        <v>-6800</v>
      </c>
      <c r="BD20" t="n">
        <v>5317</v>
      </c>
      <c r="BE20" t="n">
        <v>6566</v>
      </c>
      <c r="BF20" t="n">
        <v>1376</v>
      </c>
    </row>
    <row r="21">
      <c r="A21" s="5" t="inlineStr">
        <is>
          <t>Other movements, net</t>
        </is>
      </c>
      <c r="B21" s="5" t="n">
        <v>620</v>
      </c>
      <c r="C21" s="5" t="n">
        <v>0</v>
      </c>
      <c r="D21" s="5" t="n">
        <v>0</v>
      </c>
      <c r="E21" s="5" t="n">
        <v>-2</v>
      </c>
      <c r="F21" s="5" t="n">
        <v>0</v>
      </c>
      <c r="G21" s="5" t="n">
        <v>0</v>
      </c>
      <c r="H21" s="5" t="n">
        <v>-4058</v>
      </c>
      <c r="I21" s="5" t="n">
        <v>-3584</v>
      </c>
      <c r="J21" s="5" t="n">
        <v>307</v>
      </c>
      <c r="K21" s="5" t="n">
        <v>184</v>
      </c>
      <c r="L21" s="5" t="n">
        <v>166</v>
      </c>
      <c r="M21" s="5" t="n">
        <v>-1163</v>
      </c>
      <c r="AT21" t="inlineStr">
        <is>
          <t>Other movements, net</t>
        </is>
      </c>
      <c r="AU21" t="n">
        <v>-1163</v>
      </c>
      <c r="AV21" t="n">
        <v>166</v>
      </c>
      <c r="AW21" t="n">
        <v>184</v>
      </c>
      <c r="AX21" t="n">
        <v>307</v>
      </c>
      <c r="AY21" t="n">
        <v>-3584</v>
      </c>
      <c r="AZ21" t="n">
        <v>-4058</v>
      </c>
      <c r="BA21" t="n">
        <v>0</v>
      </c>
      <c r="BB21" t="n">
        <v>0</v>
      </c>
      <c r="BC21" t="n">
        <v>-2</v>
      </c>
      <c r="BD21" t="n">
        <v>0</v>
      </c>
      <c r="BE21" t="n">
        <v>0</v>
      </c>
      <c r="BF21" t="n">
        <v>620</v>
      </c>
    </row>
    <row r="22">
      <c r="A22" s="5" t="inlineStr">
        <is>
          <t>Closing equity</t>
        </is>
      </c>
      <c r="B22" s="5" t="n">
        <v>224068</v>
      </c>
      <c r="C22" s="5" t="n">
        <v>230834</v>
      </c>
      <c r="D22" s="5" t="n">
        <v>228232</v>
      </c>
      <c r="E22" s="5" t="n">
        <v>222915</v>
      </c>
      <c r="F22" s="5" t="n">
        <v>229717</v>
      </c>
      <c r="G22" s="5" t="n">
        <v>234261</v>
      </c>
      <c r="H22" s="5" t="n">
        <v>233478</v>
      </c>
      <c r="I22" s="5" t="n">
        <v>228126</v>
      </c>
      <c r="J22" s="5" t="n">
        <v>220521</v>
      </c>
      <c r="K22" s="5" t="n">
        <v>216796</v>
      </c>
      <c r="L22" s="5" t="n">
        <v>237772</v>
      </c>
      <c r="M22" s="5" t="n">
        <v>244052</v>
      </c>
      <c r="AT22" t="inlineStr">
        <is>
          <t>Closing equity</t>
        </is>
      </c>
      <c r="AU22" t="n">
        <v>244052</v>
      </c>
      <c r="AV22" t="n">
        <v>237772</v>
      </c>
      <c r="AW22" t="n">
        <v>216796</v>
      </c>
      <c r="AX22" t="n">
        <v>220521</v>
      </c>
      <c r="AY22" t="n">
        <v>228126</v>
      </c>
      <c r="AZ22" t="n">
        <v>233478</v>
      </c>
      <c r="BA22" t="n">
        <v>234261</v>
      </c>
      <c r="BB22" t="n">
        <v>229717</v>
      </c>
      <c r="BC22" t="n">
        <v>222915</v>
      </c>
      <c r="BD22" t="n">
        <v>228232</v>
      </c>
      <c r="BE22" t="n">
        <v>230834</v>
      </c>
      <c r="BF22" t="n">
        <v>224068</v>
      </c>
    </row>
    <row r="24">
      <c r="A24" s="3" t="inlineStr">
        <is>
          <t>Cash Flow Summary (£'000s)</t>
        </is>
      </c>
    </row>
    <row r="25">
      <c r="A25" s="4" t="inlineStr">
        <is>
          <t>Line item</t>
        </is>
      </c>
      <c r="B25" s="4" t="inlineStr">
        <is>
          <t>FY2025</t>
        </is>
      </c>
      <c r="C25" s="4" t="inlineStr">
        <is>
          <t>FY2024</t>
        </is>
      </c>
      <c r="D25" s="4" t="inlineStr">
        <is>
          <t>FY2023</t>
        </is>
      </c>
      <c r="E25" s="4" t="inlineStr">
        <is>
          <t>FY2022</t>
        </is>
      </c>
      <c r="F25" s="4" t="inlineStr">
        <is>
          <t>FY2021</t>
        </is>
      </c>
      <c r="G25" s="4" t="inlineStr">
        <is>
          <t>FY2020</t>
        </is>
      </c>
      <c r="H25" s="4" t="inlineStr">
        <is>
          <t>FY2019</t>
        </is>
      </c>
      <c r="I25" s="4" t="inlineStr">
        <is>
          <t>FY2018</t>
        </is>
      </c>
      <c r="J25" s="4" t="inlineStr">
        <is>
          <t>FY2017</t>
        </is>
      </c>
      <c r="K25" s="4" t="inlineStr">
        <is>
          <t>FY2016</t>
        </is>
      </c>
      <c r="L25" s="4" t="inlineStr">
        <is>
          <t>FY2015</t>
        </is>
      </c>
      <c r="M25" s="4" t="inlineStr">
        <is>
          <t>FY2014</t>
        </is>
      </c>
      <c r="BJ25" t="inlineStr">
        <is>
          <t>FY2014</t>
        </is>
      </c>
      <c r="BK25" t="inlineStr">
        <is>
          <t>FY2015</t>
        </is>
      </c>
      <c r="BL25" t="inlineStr">
        <is>
          <t>FY2016</t>
        </is>
      </c>
      <c r="BM25" t="inlineStr">
        <is>
          <t>FY2017</t>
        </is>
      </c>
      <c r="BN25" t="inlineStr">
        <is>
          <t>FY2018</t>
        </is>
      </c>
      <c r="BO25" t="inlineStr">
        <is>
          <t>FY2019</t>
        </is>
      </c>
      <c r="BP25" t="inlineStr">
        <is>
          <t>FY2020</t>
        </is>
      </c>
      <c r="BQ25" t="inlineStr">
        <is>
          <t>FY2021</t>
        </is>
      </c>
      <c r="BR25" t="inlineStr">
        <is>
          <t>FY2022</t>
        </is>
      </c>
      <c r="BS25" t="inlineStr">
        <is>
          <t>FY2023</t>
        </is>
      </c>
      <c r="BT25" t="inlineStr">
        <is>
          <t>FY2024</t>
        </is>
      </c>
      <c r="BU25" t="inlineStr">
        <is>
          <t>FY2025</t>
        </is>
      </c>
    </row>
    <row r="26">
      <c r="A26" s="5" t="inlineStr">
        <is>
          <t>Net cash from/(used in) operating activities</t>
        </is>
      </c>
      <c r="B26" s="5" t="n">
        <v>24971</v>
      </c>
      <c r="C26" s="5" t="n">
        <v>38707</v>
      </c>
      <c r="D26" s="5" t="n">
        <v>-7362</v>
      </c>
      <c r="E26" s="5" t="n">
        <v>-3137</v>
      </c>
      <c r="F26" s="5" t="n">
        <v>-146085</v>
      </c>
      <c r="G26" s="5" t="n">
        <v>143887</v>
      </c>
      <c r="H26" s="5" t="n">
        <v>-47854</v>
      </c>
      <c r="I26" s="5" t="n">
        <v>18218</v>
      </c>
      <c r="J26" s="5" t="n">
        <v>50871</v>
      </c>
      <c r="K26" s="5" t="n">
        <v>-112514</v>
      </c>
      <c r="L26" s="5" t="n">
        <v>35052</v>
      </c>
      <c r="M26" s="5" t="n">
        <v>16728</v>
      </c>
      <c r="BI26" t="inlineStr">
        <is>
          <t>Net cash from/(used in) operating activities</t>
        </is>
      </c>
      <c r="BJ26" t="n">
        <v>16728</v>
      </c>
      <c r="BK26" t="n">
        <v>35052</v>
      </c>
      <c r="BL26" t="n">
        <v>-112514</v>
      </c>
      <c r="BM26" t="n">
        <v>50871</v>
      </c>
      <c r="BN26" t="n">
        <v>18218</v>
      </c>
      <c r="BO26" t="n">
        <v>-47854</v>
      </c>
      <c r="BP26" t="n">
        <v>143887</v>
      </c>
      <c r="BQ26" t="n">
        <v>-146085</v>
      </c>
      <c r="BR26" t="n">
        <v>-3137</v>
      </c>
      <c r="BS26" t="n">
        <v>-7362</v>
      </c>
      <c r="BT26" t="n">
        <v>38707</v>
      </c>
      <c r="BU26" t="n">
        <v>24971</v>
      </c>
    </row>
    <row r="27">
      <c r="A27" s="5" t="inlineStr">
        <is>
          <t>Net cash from/(used in) investing activities</t>
        </is>
      </c>
      <c r="B27" s="5" t="n">
        <v>16028</v>
      </c>
      <c r="C27" s="5" t="n">
        <v>-23922</v>
      </c>
      <c r="D27" s="5" t="n">
        <v>-51152</v>
      </c>
      <c r="E27" s="5" t="n">
        <v>26767</v>
      </c>
      <c r="F27" s="5" t="n">
        <v>31053</v>
      </c>
      <c r="G27" s="5" t="n">
        <v>22155</v>
      </c>
      <c r="H27" s="5" t="n">
        <v>16899</v>
      </c>
      <c r="I27" s="5" t="n">
        <v>-3963</v>
      </c>
      <c r="J27" s="5" t="n">
        <v>-26581</v>
      </c>
      <c r="K27" s="5" t="n">
        <v>103131</v>
      </c>
      <c r="L27" s="5" t="n">
        <v>-1054</v>
      </c>
      <c r="M27" s="5" t="n">
        <v>-41793</v>
      </c>
      <c r="BI27" t="inlineStr">
        <is>
          <t>Net cash from/(used in) investing activities</t>
        </is>
      </c>
      <c r="BJ27" t="n">
        <v>-41793</v>
      </c>
      <c r="BK27" t="n">
        <v>-1054</v>
      </c>
      <c r="BL27" t="n">
        <v>103131</v>
      </c>
      <c r="BM27" t="n">
        <v>-26581</v>
      </c>
      <c r="BN27" t="n">
        <v>-3963</v>
      </c>
      <c r="BO27" t="n">
        <v>16899</v>
      </c>
      <c r="BP27" t="n">
        <v>22155</v>
      </c>
      <c r="BQ27" t="n">
        <v>31053</v>
      </c>
      <c r="BR27" t="n">
        <v>26767</v>
      </c>
      <c r="BS27" t="n">
        <v>-51152</v>
      </c>
      <c r="BT27" t="n">
        <v>-23922</v>
      </c>
      <c r="BU27" t="n">
        <v>16028</v>
      </c>
    </row>
    <row r="28">
      <c r="A28" s="5" t="inlineStr">
        <is>
          <t>Net cash from/(used in) financing activities</t>
        </is>
      </c>
      <c r="B28" s="5" t="n">
        <v>-577</v>
      </c>
      <c r="C28" s="5" t="n">
        <v>-589</v>
      </c>
      <c r="D28" s="5" t="n">
        <v>-719</v>
      </c>
      <c r="E28" s="5" t="n">
        <v>-1123</v>
      </c>
      <c r="F28" s="5" t="n">
        <v>-1086</v>
      </c>
      <c r="G28" s="5" t="n">
        <v>-1104</v>
      </c>
      <c r="H28" s="5" t="n">
        <v>-6556</v>
      </c>
      <c r="I28" s="5" t="n">
        <v>-3750</v>
      </c>
      <c r="J28" s="5" t="n">
        <v>0</v>
      </c>
      <c r="K28" s="5" t="n">
        <v>0</v>
      </c>
      <c r="L28" s="5" t="n">
        <v>0</v>
      </c>
      <c r="M28" s="5" t="n">
        <v>0</v>
      </c>
      <c r="BI28" t="inlineStr">
        <is>
          <t>Net cash from/(used in) financing activities</t>
        </is>
      </c>
      <c r="BJ28" t="n">
        <v>0</v>
      </c>
      <c r="BK28" t="n">
        <v>0</v>
      </c>
      <c r="BL28" t="n">
        <v>0</v>
      </c>
      <c r="BM28" t="n">
        <v>0</v>
      </c>
      <c r="BN28" t="n">
        <v>-3750</v>
      </c>
      <c r="BO28" t="n">
        <v>-6556</v>
      </c>
      <c r="BP28" t="n">
        <v>-1104</v>
      </c>
      <c r="BQ28" t="n">
        <v>-1086</v>
      </c>
      <c r="BR28" t="n">
        <v>-1123</v>
      </c>
      <c r="BS28" t="n">
        <v>-719</v>
      </c>
      <c r="BT28" t="n">
        <v>-589</v>
      </c>
      <c r="BU28" t="n">
        <v>-577</v>
      </c>
    </row>
    <row r="29">
      <c r="A29" s="5" t="inlineStr">
        <is>
          <t>Cash and cash equivalents at end of period</t>
        </is>
      </c>
      <c r="B29" s="5" t="n">
        <v>130528</v>
      </c>
      <c r="C29" s="5" t="n">
        <v>90139</v>
      </c>
      <c r="D29" s="5" t="n">
        <v>76008</v>
      </c>
      <c r="E29" s="5" t="n">
        <v>135262</v>
      </c>
      <c r="F29" s="5" t="n">
        <v>112076</v>
      </c>
      <c r="G29" s="5" t="n">
        <v>231486</v>
      </c>
      <c r="H29" s="5" t="n">
        <v>66746</v>
      </c>
      <c r="I29" s="5" t="n">
        <v>103585</v>
      </c>
      <c r="J29" s="5" t="n">
        <v>94931</v>
      </c>
      <c r="K29" s="5" t="n">
        <v>68560</v>
      </c>
      <c r="L29" s="5" t="n">
        <v>72814</v>
      </c>
      <c r="M29" s="5" t="n">
        <v>38274</v>
      </c>
      <c r="BI29" t="inlineStr">
        <is>
          <t>Cash and cash equivalents at end of period</t>
        </is>
      </c>
      <c r="BJ29" t="n">
        <v>38274</v>
      </c>
      <c r="BK29" t="n">
        <v>72814</v>
      </c>
      <c r="BL29" t="n">
        <v>68560</v>
      </c>
      <c r="BM29" t="n">
        <v>94931</v>
      </c>
      <c r="BN29" t="n">
        <v>103585</v>
      </c>
      <c r="BO29" t="n">
        <v>66746</v>
      </c>
      <c r="BP29" t="n">
        <v>231486</v>
      </c>
      <c r="BQ29" t="n">
        <v>112076</v>
      </c>
      <c r="BR29" t="n">
        <v>135262</v>
      </c>
      <c r="BS29" t="n">
        <v>76008</v>
      </c>
      <c r="BT29" t="n">
        <v>90139</v>
      </c>
      <c r="BU29" t="n">
        <v>130528</v>
      </c>
    </row>
    <row r="31">
      <c r="A31" s="3" t="inlineStr">
        <is>
          <t>Pillar 3 Key Metrics</t>
        </is>
      </c>
    </row>
    <row r="32">
      <c r="A32" s="4" t="inlineStr">
        <is>
          <t>Line item</t>
        </is>
      </c>
      <c r="B32" s="4" t="inlineStr">
        <is>
          <t>FY2025</t>
        </is>
      </c>
      <c r="C32" s="4" t="inlineStr">
        <is>
          <t>FY2024</t>
        </is>
      </c>
      <c r="D32" s="4" t="inlineStr">
        <is>
          <t>FY2023</t>
        </is>
      </c>
      <c r="E32" s="4" t="inlineStr">
        <is>
          <t>FY2022</t>
        </is>
      </c>
      <c r="F32" s="4" t="inlineStr">
        <is>
          <t>FY2021</t>
        </is>
      </c>
      <c r="G32" s="4" t="inlineStr">
        <is>
          <t>FY2020</t>
        </is>
      </c>
      <c r="H32" s="4" t="inlineStr">
        <is>
          <t>FY2019</t>
        </is>
      </c>
      <c r="I32" s="4" t="inlineStr">
        <is>
          <t>FY2018</t>
        </is>
      </c>
      <c r="J32" s="4" t="inlineStr">
        <is>
          <t>FY2017</t>
        </is>
      </c>
      <c r="K32" s="4" t="inlineStr">
        <is>
          <t>FY2016</t>
        </is>
      </c>
      <c r="L32" s="4" t="inlineStr">
        <is>
          <t>FY2015</t>
        </is>
      </c>
      <c r="M32" s="4" t="inlineStr">
        <is>
          <t>FY2014</t>
        </is>
      </c>
    </row>
    <row r="33">
      <c r="A33" s="6" t="inlineStr">
        <is>
          <t>CET1 Ratio</t>
        </is>
      </c>
      <c r="B33" s="6" t="inlineStr">
        <is>
          <t>19.29%</t>
        </is>
      </c>
      <c r="C33" s="6" t="inlineStr">
        <is>
          <t>17.80%</t>
        </is>
      </c>
      <c r="D33" s="6" t="inlineStr">
        <is>
          <t>16.87%</t>
        </is>
      </c>
      <c r="E33" s="6" t="inlineStr">
        <is>
          <t>16.51%</t>
        </is>
      </c>
      <c r="F33" s="6" t="inlineStr">
        <is>
          <t>18.18%</t>
        </is>
      </c>
      <c r="G33" s="6" t="inlineStr">
        <is>
          <t>16.62%</t>
        </is>
      </c>
      <c r="H33" s="6" t="inlineStr">
        <is>
          <t>15.07%</t>
        </is>
      </c>
      <c r="I33" s="6" t="inlineStr">
        <is>
          <t>17.24%</t>
        </is>
      </c>
      <c r="J33" s="6" t="inlineStr">
        <is>
          <t>20.95%</t>
        </is>
      </c>
      <c r="K33" s="6" t="inlineStr">
        <is>
          <t>20.42%</t>
        </is>
      </c>
      <c r="L33" s="6" t="inlineStr">
        <is>
          <t>15.41%</t>
        </is>
      </c>
      <c r="M33" s="6" t="inlineStr">
        <is>
          <t>15.26%</t>
        </is>
      </c>
    </row>
    <row r="34">
      <c r="A34" s="6" t="inlineStr">
        <is>
          <t>Tier 1 Ratio</t>
        </is>
      </c>
      <c r="B34" s="6" t="inlineStr">
        <is>
          <t>19.29%</t>
        </is>
      </c>
      <c r="C34" s="6" t="inlineStr">
        <is>
          <t>17.80%</t>
        </is>
      </c>
      <c r="D34" s="6" t="inlineStr">
        <is>
          <t>16.87%</t>
        </is>
      </c>
      <c r="E34" s="6" t="inlineStr">
        <is>
          <t>16.51%</t>
        </is>
      </c>
      <c r="F34" s="6" t="inlineStr">
        <is>
          <t>18.18%</t>
        </is>
      </c>
      <c r="G34" s="6" t="inlineStr">
        <is>
          <t>16.62%</t>
        </is>
      </c>
      <c r="H34" s="6" t="inlineStr">
        <is>
          <t>15.07%</t>
        </is>
      </c>
      <c r="I34" s="6" t="inlineStr">
        <is>
          <t>17.24%</t>
        </is>
      </c>
      <c r="J34" s="6" t="inlineStr">
        <is>
          <t>20.95%</t>
        </is>
      </c>
      <c r="K34" s="6" t="inlineStr">
        <is>
          <t>20.42%</t>
        </is>
      </c>
      <c r="L34" s="6" t="inlineStr">
        <is>
          <t>15.41%</t>
        </is>
      </c>
      <c r="M34" s="6" t="inlineStr">
        <is>
          <t>15.26%</t>
        </is>
      </c>
    </row>
    <row r="35">
      <c r="A35" s="6" t="inlineStr">
        <is>
          <t>Total Capital Ratio</t>
        </is>
      </c>
      <c r="B35" s="6" t="inlineStr">
        <is>
          <t>19.29%</t>
        </is>
      </c>
      <c r="C35" s="6" t="inlineStr">
        <is>
          <t>17.80%</t>
        </is>
      </c>
      <c r="D35" s="6" t="inlineStr">
        <is>
          <t>16.87%</t>
        </is>
      </c>
      <c r="E35" s="6" t="inlineStr">
        <is>
          <t>16.51%</t>
        </is>
      </c>
      <c r="F35" s="6" t="inlineStr">
        <is>
          <t>18.18%</t>
        </is>
      </c>
      <c r="G35" s="6" t="inlineStr">
        <is>
          <t>16.62%</t>
        </is>
      </c>
      <c r="H35" s="6" t="inlineStr">
        <is>
          <t>15.07%</t>
        </is>
      </c>
      <c r="I35" s="6" t="inlineStr">
        <is>
          <t>17.24%</t>
        </is>
      </c>
      <c r="J35" s="6" t="inlineStr">
        <is>
          <t>21.33%</t>
        </is>
      </c>
      <c r="K35" s="6" t="inlineStr">
        <is>
          <t>20.81%</t>
        </is>
      </c>
      <c r="L35" s="6" t="inlineStr">
        <is>
          <t>15.65%</t>
        </is>
      </c>
      <c r="M35" s="6" t="inlineStr">
        <is>
          <t>15.26%</t>
        </is>
      </c>
    </row>
    <row r="36">
      <c r="A36" s="6" t="inlineStr">
        <is>
          <t>Leverage Ratio</t>
        </is>
      </c>
      <c r="B36" s="6" t="inlineStr">
        <is>
          <t>14.95%</t>
        </is>
      </c>
      <c r="C36" s="6" t="inlineStr">
        <is>
          <t>14.98%</t>
        </is>
      </c>
      <c r="D36" s="6" t="inlineStr">
        <is>
          <t>14.88%</t>
        </is>
      </c>
      <c r="E36" s="6" t="inlineStr">
        <is>
          <t>14.00%</t>
        </is>
      </c>
      <c r="F36" s="6" t="inlineStr">
        <is>
          <t>14.92%</t>
        </is>
      </c>
      <c r="G36" s="6" t="inlineStr">
        <is>
          <t>13.60%</t>
        </is>
      </c>
      <c r="H36" s="6" t="inlineStr">
        <is>
          <t>13.40%</t>
        </is>
      </c>
      <c r="I36" s="6" t="inlineStr">
        <is>
          <t>15.83%</t>
        </is>
      </c>
      <c r="J36" s="6" t="inlineStr">
        <is>
          <t>19.28%</t>
        </is>
      </c>
      <c r="K36" s="6" t="inlineStr">
        <is>
          <t>19.94%</t>
        </is>
      </c>
      <c r="L36" s="6" t="inlineStr">
        <is>
          <t>15.63%</t>
        </is>
      </c>
      <c r="M36" s="6" t="inlineStr">
        <is>
          <t>Not publicly disclosed</t>
        </is>
      </c>
    </row>
    <row r="37">
      <c r="A37" s="6" t="inlineStr">
        <is>
          <t>LCR</t>
        </is>
      </c>
      <c r="B37" s="6" t="inlineStr">
        <is>
          <t>308%</t>
        </is>
      </c>
      <c r="C37" s="6" t="inlineStr">
        <is>
          <t>310%</t>
        </is>
      </c>
      <c r="D37" s="6" t="inlineStr">
        <is>
          <t>288%</t>
        </is>
      </c>
      <c r="E37" s="6" t="inlineStr">
        <is>
          <t>352%</t>
        </is>
      </c>
      <c r="F37" s="6" t="inlineStr">
        <is>
          <t>315%</t>
        </is>
      </c>
      <c r="G37" s="6" t="inlineStr">
        <is>
          <t>234.15%</t>
        </is>
      </c>
      <c r="H37" s="6" t="inlineStr">
        <is>
          <t>261.23%</t>
        </is>
      </c>
      <c r="I37" s="6" t="inlineStr">
        <is>
          <t>184.86%</t>
        </is>
      </c>
      <c r="J37" s="6" t="inlineStr">
        <is>
          <t>403%</t>
        </is>
      </c>
      <c r="K37" s="6" t="inlineStr">
        <is>
          <t>4,115%</t>
        </is>
      </c>
      <c r="L37" s="6" t="inlineStr">
        <is>
          <t>Not publicly disclosed</t>
        </is>
      </c>
      <c r="M37" s="6" t="inlineStr">
        <is>
          <t>Not publicly disclosed</t>
        </is>
      </c>
    </row>
    <row r="38">
      <c r="A38" s="6" t="inlineStr">
        <is>
          <t>NSFR</t>
        </is>
      </c>
      <c r="B38" s="6" t="inlineStr">
        <is>
          <t>121%</t>
        </is>
      </c>
      <c r="C38" s="6" t="inlineStr">
        <is>
          <t>125%</t>
        </is>
      </c>
      <c r="D38" s="6" t="inlineStr">
        <is>
          <t>144%</t>
        </is>
      </c>
      <c r="E38" s="6" t="inlineStr">
        <is>
          <t>143%</t>
        </is>
      </c>
      <c r="F38" s="6" t="inlineStr">
        <is>
          <t>113.85%</t>
        </is>
      </c>
      <c r="G38" s="6" t="inlineStr">
        <is>
          <t>114.46%</t>
        </is>
      </c>
      <c r="H38" s="6" t="inlineStr">
        <is>
          <t>112.48%</t>
        </is>
      </c>
      <c r="I38" s="6" t="inlineStr">
        <is>
          <t>104%</t>
        </is>
      </c>
      <c r="J38" s="6" t="inlineStr">
        <is>
          <t>Not publicly disclosed</t>
        </is>
      </c>
      <c r="K38" s="6" t="inlineStr">
        <is>
          <t>Not publicly disclosed</t>
        </is>
      </c>
      <c r="L38" s="6" t="inlineStr">
        <is>
          <t>Not publicly disclosed</t>
        </is>
      </c>
      <c r="M38" s="6" t="inlineStr">
        <is>
          <t>Not publicly disclosed</t>
        </is>
      </c>
    </row>
    <row r="40" ht="45" customHeight="1">
      <c r="A40" s="7" t="inlineStr">
        <is>
          <t>Note: Figures are duplicated from the detail sheets for at-a-glance trend viewing; see each sheet's own source citation for the underlying document/page. NSFR not disclosed FY2014-2017 (pre-dates BLME's voluntary disclosure of it; the UK NSFR requirement itself only took effect 1 January 2022), and FY2018-FY2021 are spot ratios rather than the four-quarter average the UK KM1 template requires from FY2022 - see the NSFR sheet's own note. BLME plc solo basis throughout except the FY2014-2016 Income Statement figures, which are Group-consolidated (see ENTITY_NOTE) - not the wider BLME Holdings group in either case. FY2014 leverage ratio and FY2014-2015 LCR not publicly disclosed (pre-dates those frameworks/templates); FY2014's CET1/Tier1/Total Capital ratios and RWA are derived from the FY2014 Annual Report's own Pillar 1 capital requirement table (see Total RWAs sheet's source note).</t>
        </is>
      </c>
    </row>
  </sheetData>
  <mergeCells count="1">
    <mergeCell ref="A40:M40"/>
  </mergeCells>
  <pageMargins left="0.75" right="0.75" top="1" bottom="1" header="0.5" footer="0.5"/>
  <drawing xmlns:r="http://schemas.openxmlformats.org/officeDocument/2006/relationships" r:id="rId1"/>
</worksheet>
</file>

<file path=xl/worksheets/sheet2.xml><?xml version="1.0" encoding="utf-8"?>
<worksheet xmlns="http://schemas.openxmlformats.org/spreadsheetml/2006/main">
  <sheetPr>
    <outlinePr summaryBelow="1" summaryRight="1"/>
    <pageSetUpPr/>
  </sheetPr>
  <dimension ref="A1:M4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6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Financial Position</t>
        </is>
      </c>
    </row>
    <row r="2">
      <c r="A2" s="2" t="inlineStr">
        <is>
          <t>BLME plc, Bank-solo basis,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Assets</t>
        </is>
      </c>
      <c r="B4" s="6" t="n"/>
      <c r="C4" s="6" t="n"/>
      <c r="D4" s="6" t="n"/>
      <c r="E4" s="6" t="n"/>
      <c r="F4" s="6" t="n"/>
      <c r="G4" s="6" t="n"/>
      <c r="H4" s="6" t="n"/>
      <c r="I4" s="6" t="n"/>
      <c r="J4" s="6" t="n"/>
      <c r="K4" s="6" t="n"/>
      <c r="L4" s="6" t="n"/>
      <c r="M4" s="6" t="n"/>
    </row>
    <row r="5">
      <c r="A5" s="6" t="inlineStr">
        <is>
          <t>Cash and cash equivalents</t>
        </is>
      </c>
      <c r="B5" s="6" t="n">
        <v>130528</v>
      </c>
      <c r="C5" s="6" t="n">
        <v>90139</v>
      </c>
      <c r="D5" s="6" t="n">
        <v>76008</v>
      </c>
      <c r="E5" s="6" t="n">
        <v>135262</v>
      </c>
      <c r="F5" s="6" t="n">
        <v>112076</v>
      </c>
      <c r="G5" s="6" t="n">
        <v>231486</v>
      </c>
      <c r="H5" s="6" t="n">
        <v>66746</v>
      </c>
      <c r="I5" s="6" t="n">
        <v>103585</v>
      </c>
      <c r="J5" s="6" t="n">
        <v>94931</v>
      </c>
      <c r="K5" s="6" t="n">
        <v>68560</v>
      </c>
      <c r="L5" s="6" t="n">
        <v>72814</v>
      </c>
      <c r="M5" s="6" t="n">
        <v>38274</v>
      </c>
    </row>
    <row r="6">
      <c r="A6" s="6" t="inlineStr">
        <is>
          <t>Due from financial institutions</t>
        </is>
      </c>
      <c r="B6" s="6" t="n">
        <v>26703</v>
      </c>
      <c r="C6" s="6" t="n">
        <v>153704</v>
      </c>
      <c r="D6" s="6" t="n">
        <v>299363</v>
      </c>
      <c r="E6" s="6" t="n">
        <v>451675</v>
      </c>
      <c r="F6" s="6" t="n">
        <v>479210</v>
      </c>
      <c r="G6" s="6" t="n">
        <v>339629</v>
      </c>
      <c r="H6" s="6" t="n">
        <v>23508</v>
      </c>
      <c r="I6" s="6" t="n">
        <v>8045</v>
      </c>
      <c r="J6" s="6" t="n">
        <v>28544</v>
      </c>
      <c r="K6" s="6" t="n">
        <v>107182</v>
      </c>
      <c r="L6" s="6" t="n">
        <v>18875</v>
      </c>
      <c r="M6" s="6" t="n">
        <v>176526</v>
      </c>
    </row>
    <row r="7">
      <c r="A7" s="6" t="inlineStr">
        <is>
          <t>Due from customers</t>
        </is>
      </c>
      <c r="B7" s="6" t="n"/>
      <c r="C7" s="6" t="n"/>
      <c r="D7" s="6" t="n"/>
      <c r="E7" s="6" t="n">
        <v>0</v>
      </c>
      <c r="F7" s="6" t="n">
        <v>24993</v>
      </c>
      <c r="G7" s="6" t="n">
        <v>34465</v>
      </c>
      <c r="H7" s="6" t="n">
        <v>14081</v>
      </c>
      <c r="I7" s="6" t="n">
        <v>14612</v>
      </c>
      <c r="J7" s="6" t="n">
        <v>9027</v>
      </c>
      <c r="K7" s="6" t="n">
        <v>0</v>
      </c>
      <c r="L7" s="6" t="n">
        <v>0</v>
      </c>
      <c r="M7" s="6" t="n">
        <v>5038</v>
      </c>
    </row>
    <row r="8">
      <c r="A8" s="6" t="inlineStr">
        <is>
          <t>Total investment securities</t>
        </is>
      </c>
      <c r="B8" s="6" t="n">
        <v>29228</v>
      </c>
      <c r="C8" s="6" t="n">
        <v>44584</v>
      </c>
      <c r="D8" s="6" t="n">
        <v>44927</v>
      </c>
      <c r="E8" s="6" t="n">
        <v>35734</v>
      </c>
      <c r="F8" s="6" t="n">
        <v>59807</v>
      </c>
      <c r="G8" s="6" t="n">
        <v>90835</v>
      </c>
      <c r="H8" s="6" t="n">
        <v>111039</v>
      </c>
      <c r="I8" s="6" t="n">
        <v>135043</v>
      </c>
      <c r="J8" s="6" t="n">
        <v>126250</v>
      </c>
      <c r="K8" s="6" t="n">
        <v>112422</v>
      </c>
      <c r="L8" s="6" t="n">
        <v>191543</v>
      </c>
      <c r="M8" s="6" t="n">
        <v>197290</v>
      </c>
    </row>
    <row r="9">
      <c r="A9" s="6" t="inlineStr">
        <is>
          <t>Investment securities - Sukuk (amortised cost)</t>
        </is>
      </c>
      <c r="B9" s="6" t="n">
        <v>29228</v>
      </c>
      <c r="C9" s="6" t="n">
        <v>31515</v>
      </c>
      <c r="D9" s="6" t="n">
        <v>15774</v>
      </c>
      <c r="E9" s="6" t="n">
        <v>10005</v>
      </c>
      <c r="F9" s="6" t="n">
        <v>15045</v>
      </c>
      <c r="G9" s="6" t="n">
        <v>24264</v>
      </c>
      <c r="H9" s="6" t="n">
        <v>23502</v>
      </c>
      <c r="I9" s="6" t="n">
        <v>9637</v>
      </c>
      <c r="J9" s="6" t="n"/>
      <c r="K9" s="6" t="n"/>
      <c r="L9" s="6" t="n"/>
      <c r="M9" s="6" t="n"/>
    </row>
    <row r="10">
      <c r="A10" s="6" t="inlineStr">
        <is>
          <t>Investment securities - Sukuk (held to maturity, IAS 39)</t>
        </is>
      </c>
      <c r="B10" s="6" t="n"/>
      <c r="C10" s="6" t="n"/>
      <c r="D10" s="6" t="n"/>
      <c r="E10" s="6" t="n"/>
      <c r="F10" s="6" t="n"/>
      <c r="G10" s="6" t="n"/>
      <c r="H10" s="6" t="n"/>
      <c r="I10" s="6" t="n"/>
      <c r="J10" s="6" t="n">
        <v>9075</v>
      </c>
      <c r="K10" s="6" t="n">
        <v>18000</v>
      </c>
      <c r="L10" s="6" t="n"/>
      <c r="M10" s="6" t="n"/>
    </row>
    <row r="11">
      <c r="A11" s="6" t="inlineStr">
        <is>
          <t>Investment securities - Sukuk (FVOCI)</t>
        </is>
      </c>
      <c r="B11" s="6" t="n"/>
      <c r="C11" s="6" t="n">
        <v>12722</v>
      </c>
      <c r="D11" s="6" t="n"/>
      <c r="E11" s="6" t="n"/>
      <c r="F11" s="6" t="n">
        <v>23568</v>
      </c>
      <c r="G11" s="6" t="n">
        <v>37542</v>
      </c>
      <c r="H11" s="6" t="n">
        <v>59038</v>
      </c>
      <c r="I11" s="6" t="n">
        <v>93894</v>
      </c>
      <c r="J11" s="6" t="n"/>
      <c r="K11" s="6" t="n"/>
      <c r="L11" s="6" t="n"/>
      <c r="M11" s="6" t="n"/>
    </row>
    <row r="12">
      <c r="A12" s="6" t="inlineStr">
        <is>
          <t>Investment securities - Sukuk (available-for-sale, IAS 39)</t>
        </is>
      </c>
      <c r="B12" s="6" t="n"/>
      <c r="C12" s="6" t="n"/>
      <c r="D12" s="6" t="n"/>
      <c r="E12" s="6" t="n"/>
      <c r="F12" s="6" t="n"/>
      <c r="G12" s="6" t="n"/>
      <c r="H12" s="6" t="n"/>
      <c r="I12" s="6" t="n"/>
      <c r="J12" s="6" t="n">
        <v>104883</v>
      </c>
      <c r="K12" s="6" t="n">
        <v>90991</v>
      </c>
      <c r="L12" s="6" t="n">
        <v>125807</v>
      </c>
      <c r="M12" s="6" t="n">
        <v>136847</v>
      </c>
    </row>
    <row r="13">
      <c r="A13" s="6" t="inlineStr">
        <is>
          <t>Investment securities - Sukuk (fair value through profit and loss, IAS 39)</t>
        </is>
      </c>
      <c r="B13" s="6" t="n"/>
      <c r="C13" s="6" t="n"/>
      <c r="D13" s="6" t="n"/>
      <c r="E13" s="6" t="n"/>
      <c r="F13" s="6" t="n"/>
      <c r="G13" s="6" t="n"/>
      <c r="H13" s="6" t="n"/>
      <c r="I13" s="6" t="n"/>
      <c r="J13" s="6" t="n"/>
      <c r="K13" s="6" t="n"/>
      <c r="L13" s="6" t="n"/>
      <c r="M13" s="6" t="n">
        <v>3417</v>
      </c>
    </row>
    <row r="14">
      <c r="A14" s="6" t="inlineStr">
        <is>
          <t>Investment securities - Equity (FVOCI)</t>
        </is>
      </c>
      <c r="B14" s="6" t="n"/>
      <c r="C14" s="6" t="n">
        <v>347</v>
      </c>
      <c r="D14" s="6" t="n">
        <v>341</v>
      </c>
      <c r="E14" s="6" t="n">
        <v>659</v>
      </c>
      <c r="F14" s="6" t="n">
        <v>321</v>
      </c>
      <c r="G14" s="6" t="n">
        <v>318</v>
      </c>
      <c r="H14" s="6" t="n">
        <v>328</v>
      </c>
      <c r="I14" s="6" t="n">
        <v>341</v>
      </c>
      <c r="J14" s="6" t="n"/>
      <c r="K14" s="6" t="n"/>
      <c r="L14" s="6" t="n"/>
      <c r="M14" s="6" t="n"/>
    </row>
    <row r="15">
      <c r="A15" s="6" t="inlineStr">
        <is>
          <t>Investment securities - Equity (available-for-sale, IAS 39)</t>
        </is>
      </c>
      <c r="B15" s="6" t="n"/>
      <c r="C15" s="6" t="n"/>
      <c r="D15" s="6" t="n"/>
      <c r="E15" s="6" t="n"/>
      <c r="F15" s="6" t="n"/>
      <c r="G15" s="6" t="n"/>
      <c r="H15" s="6" t="n"/>
      <c r="I15" s="6" t="n"/>
      <c r="J15" s="6" t="n">
        <v>973</v>
      </c>
      <c r="K15" s="6" t="n">
        <v>3170</v>
      </c>
      <c r="L15" s="6" t="n">
        <v>4117</v>
      </c>
      <c r="M15" s="6" t="n">
        <v>3684</v>
      </c>
    </row>
    <row r="16">
      <c r="A16" s="6" t="inlineStr">
        <is>
          <t>Investment securities - Sharia'a compliant funds (fair value through profit and loss)</t>
        </is>
      </c>
      <c r="B16" s="6" t="n"/>
      <c r="C16" s="6" t="n"/>
      <c r="D16" s="6" t="n"/>
      <c r="E16" s="6" t="n"/>
      <c r="F16" s="6" t="n"/>
      <c r="G16" s="6" t="n"/>
      <c r="H16" s="6" t="n"/>
      <c r="I16" s="6" t="n"/>
      <c r="J16" s="6" t="n"/>
      <c r="K16" s="6" t="n">
        <v>240</v>
      </c>
      <c r="L16" s="6" t="n">
        <v>58056</v>
      </c>
      <c r="M16" s="6" t="n">
        <v>53325</v>
      </c>
    </row>
    <row r="17">
      <c r="A17" s="6" t="inlineStr">
        <is>
          <t>Investment securities - Investment in subsidiaries (at cost, bundled within this line FY2014-FY2023 only)</t>
        </is>
      </c>
      <c r="B17" s="6" t="n"/>
      <c r="C17" s="6" t="n"/>
      <c r="D17" s="6" t="n">
        <v>28812</v>
      </c>
      <c r="E17" s="6" t="n">
        <v>25070</v>
      </c>
      <c r="F17" s="6" t="n">
        <v>20873</v>
      </c>
      <c r="G17" s="6" t="n">
        <v>28711</v>
      </c>
      <c r="H17" s="6" t="n">
        <v>28171</v>
      </c>
      <c r="I17" s="6" t="n">
        <v>31171</v>
      </c>
      <c r="J17" s="6" t="n">
        <v>11319</v>
      </c>
      <c r="K17" s="6" t="n">
        <v>21</v>
      </c>
      <c r="L17" s="6" t="n">
        <v>3563</v>
      </c>
      <c r="M17" s="6" t="n">
        <v>17</v>
      </c>
    </row>
    <row r="18">
      <c r="A18" s="6" t="inlineStr">
        <is>
          <t>Investments in subsidiaries</t>
        </is>
      </c>
      <c r="B18" s="6" t="n">
        <v>21574</v>
      </c>
      <c r="C18" s="6" t="n">
        <v>29151</v>
      </c>
      <c r="D18" s="6" t="n"/>
      <c r="E18" s="6" t="n"/>
      <c r="F18" s="6" t="n"/>
      <c r="G18" s="6" t="n"/>
      <c r="H18" s="6" t="n"/>
      <c r="I18" s="6" t="n"/>
      <c r="J18" s="6" t="n"/>
      <c r="K18" s="6" t="n"/>
      <c r="L18" s="6" t="n"/>
      <c r="M18" s="6" t="n"/>
    </row>
    <row r="19">
      <c r="A19" s="6" t="inlineStr">
        <is>
          <t>Financing arrangements</t>
        </is>
      </c>
      <c r="B19" s="6" t="n">
        <v>1218128</v>
      </c>
      <c r="C19" s="6" t="n">
        <v>1151123</v>
      </c>
      <c r="D19" s="6" t="n">
        <v>1010255</v>
      </c>
      <c r="E19" s="6" t="n">
        <v>912937</v>
      </c>
      <c r="F19" s="6" t="n">
        <v>800318</v>
      </c>
      <c r="G19" s="6" t="n">
        <v>819162</v>
      </c>
      <c r="H19" s="6" t="n">
        <v>847880</v>
      </c>
      <c r="I19" s="6" t="n">
        <v>700949</v>
      </c>
      <c r="J19" s="6" t="n">
        <v>556642</v>
      </c>
      <c r="K19" s="6" t="n">
        <v>474637</v>
      </c>
      <c r="L19" s="6" t="n">
        <v>627223</v>
      </c>
      <c r="M19" s="6" t="n">
        <v>723280</v>
      </c>
    </row>
    <row r="20">
      <c r="A20" s="6" t="inlineStr">
        <is>
          <t>Finance lease receivables</t>
        </is>
      </c>
      <c r="B20" s="6" t="n">
        <v>1424</v>
      </c>
      <c r="C20" s="6" t="n">
        <v>2705</v>
      </c>
      <c r="D20" s="6" t="n">
        <v>3014</v>
      </c>
      <c r="E20" s="6" t="n">
        <v>35550</v>
      </c>
      <c r="F20" s="6" t="n">
        <v>42755</v>
      </c>
      <c r="G20" s="6" t="n">
        <v>207307</v>
      </c>
      <c r="H20" s="6" t="n">
        <v>417970</v>
      </c>
      <c r="I20" s="6" t="n">
        <v>256458</v>
      </c>
      <c r="J20" s="6" t="n">
        <v>170546</v>
      </c>
      <c r="K20" s="6" t="n">
        <v>232701</v>
      </c>
      <c r="L20" s="6" t="n">
        <v>281959</v>
      </c>
      <c r="M20" s="6" t="n">
        <v>160540</v>
      </c>
    </row>
    <row r="21">
      <c r="A21" s="6" t="inlineStr">
        <is>
          <t>Operating lease assets</t>
        </is>
      </c>
      <c r="B21" s="6" t="n"/>
      <c r="C21" s="6" t="n"/>
      <c r="D21" s="6" t="n"/>
      <c r="E21" s="6" t="n"/>
      <c r="F21" s="6" t="n"/>
      <c r="G21" s="6" t="n">
        <v>0</v>
      </c>
      <c r="H21" s="6" t="n">
        <v>39042</v>
      </c>
      <c r="I21" s="6" t="n">
        <v>43242</v>
      </c>
      <c r="J21" s="6" t="n">
        <v>34205</v>
      </c>
      <c r="K21" s="6" t="n">
        <v>21977</v>
      </c>
      <c r="L21" s="6" t="n">
        <v>29050</v>
      </c>
      <c r="M21" s="6" t="n">
        <v>36388</v>
      </c>
    </row>
    <row r="22">
      <c r="A22" s="6" t="inlineStr">
        <is>
          <t>Investment in joint ventures</t>
        </is>
      </c>
      <c r="B22" s="6" t="n">
        <v>28994</v>
      </c>
      <c r="C22" s="6" t="n">
        <v>32157</v>
      </c>
      <c r="D22" s="6" t="n">
        <v>7350</v>
      </c>
      <c r="E22" s="6" t="n">
        <v>1154</v>
      </c>
      <c r="F22" s="6" t="n">
        <v>1157</v>
      </c>
      <c r="G22" s="6" t="n">
        <v>1142</v>
      </c>
      <c r="H22" s="6" t="n">
        <v>1216</v>
      </c>
      <c r="I22" s="6" t="n"/>
      <c r="J22" s="6" t="n"/>
      <c r="K22" s="6" t="n"/>
      <c r="L22" s="6" t="n"/>
      <c r="M22" s="6" t="n"/>
    </row>
    <row r="23">
      <c r="A23" s="6" t="inlineStr">
        <is>
          <t>Profit rate swaps (asset)</t>
        </is>
      </c>
      <c r="B23" s="6" t="n"/>
      <c r="C23" s="6" t="n"/>
      <c r="D23" s="6" t="n"/>
      <c r="E23" s="6" t="n"/>
      <c r="F23" s="6" t="n"/>
      <c r="G23" s="6" t="n"/>
      <c r="H23" s="6" t="n">
        <v>0</v>
      </c>
      <c r="I23" s="6" t="n">
        <v>73</v>
      </c>
      <c r="J23" s="6" t="n"/>
      <c r="K23" s="6" t="n"/>
      <c r="L23" s="6" t="n"/>
      <c r="M23" s="6" t="n"/>
    </row>
    <row r="24">
      <c r="A24" s="6" t="inlineStr">
        <is>
          <t>Property and equipment</t>
        </is>
      </c>
      <c r="B24" s="6" t="n">
        <v>1336</v>
      </c>
      <c r="C24" s="6" t="n">
        <v>2136</v>
      </c>
      <c r="D24" s="6" t="n">
        <v>2548</v>
      </c>
      <c r="E24" s="6" t="n">
        <v>3801</v>
      </c>
      <c r="F24" s="6" t="n">
        <v>2782</v>
      </c>
      <c r="G24" s="6" t="n">
        <v>3270</v>
      </c>
      <c r="H24" s="6" t="n">
        <v>4007</v>
      </c>
      <c r="I24" s="6" t="n">
        <v>488</v>
      </c>
      <c r="J24" s="6" t="n">
        <v>986</v>
      </c>
      <c r="K24" s="6" t="n">
        <v>1521</v>
      </c>
      <c r="L24" s="6" t="n">
        <v>2069</v>
      </c>
      <c r="M24" s="6" t="n">
        <v>352</v>
      </c>
    </row>
    <row r="25">
      <c r="A25" s="6" t="inlineStr">
        <is>
          <t>Intangible assets</t>
        </is>
      </c>
      <c r="B25" s="6" t="n">
        <v>2661</v>
      </c>
      <c r="C25" s="6" t="n">
        <v>2611</v>
      </c>
      <c r="D25" s="6" t="n">
        <v>1607</v>
      </c>
      <c r="E25" s="6" t="n">
        <v>714</v>
      </c>
      <c r="F25" s="6" t="n"/>
      <c r="G25" s="6" t="n">
        <v>0</v>
      </c>
      <c r="H25" s="6" t="n">
        <v>56</v>
      </c>
      <c r="I25" s="6" t="n">
        <v>266</v>
      </c>
      <c r="J25" s="6" t="n">
        <v>837</v>
      </c>
      <c r="K25" s="6" t="n">
        <v>1693</v>
      </c>
      <c r="L25" s="6" t="n">
        <v>2262</v>
      </c>
      <c r="M25" s="6" t="n">
        <v>1633</v>
      </c>
    </row>
    <row r="26">
      <c r="A26" s="6" t="inlineStr">
        <is>
          <t>Other assets</t>
        </is>
      </c>
      <c r="B26" s="6" t="n">
        <v>8793</v>
      </c>
      <c r="C26" s="6" t="n">
        <v>16450</v>
      </c>
      <c r="D26" s="6" t="n">
        <v>6421</v>
      </c>
      <c r="E26" s="6" t="n">
        <v>17221</v>
      </c>
      <c r="F26" s="6" t="n">
        <v>11719</v>
      </c>
      <c r="G26" s="6" t="n">
        <v>7326</v>
      </c>
      <c r="H26" s="6" t="n">
        <v>15982</v>
      </c>
      <c r="I26" s="6" t="n">
        <v>6671</v>
      </c>
      <c r="J26" s="6" t="n">
        <v>3920</v>
      </c>
      <c r="K26" s="6" t="n">
        <v>8238</v>
      </c>
      <c r="L26" s="6" t="n">
        <v>11585</v>
      </c>
      <c r="M26" s="6" t="n">
        <v>4682</v>
      </c>
    </row>
    <row r="27">
      <c r="A27" s="6" t="inlineStr">
        <is>
          <t>Current tax asset</t>
        </is>
      </c>
      <c r="B27" s="6" t="n">
        <v>1015</v>
      </c>
      <c r="C27" s="6" t="n">
        <v>1998</v>
      </c>
      <c r="D27" s="6" t="n">
        <v>2243</v>
      </c>
      <c r="E27" s="6" t="n">
        <v>2587</v>
      </c>
      <c r="F27" s="6" t="n">
        <v>934</v>
      </c>
      <c r="G27" s="6" t="n">
        <v>803</v>
      </c>
      <c r="H27" s="6" t="n"/>
      <c r="I27" s="6" t="n"/>
      <c r="J27" s="6" t="n">
        <v>0</v>
      </c>
      <c r="K27" s="6" t="n">
        <v>0</v>
      </c>
      <c r="L27" s="6" t="n">
        <v>700</v>
      </c>
      <c r="M27" s="6" t="n">
        <v>500</v>
      </c>
    </row>
    <row r="28">
      <c r="A28" s="6" t="inlineStr">
        <is>
          <t>Deferred tax asset</t>
        </is>
      </c>
      <c r="B28" s="6" t="n">
        <v>14418</v>
      </c>
      <c r="C28" s="6" t="n">
        <v>13600</v>
      </c>
      <c r="D28" s="6" t="n">
        <v>13830</v>
      </c>
      <c r="E28" s="6" t="n">
        <v>15741</v>
      </c>
      <c r="F28" s="6" t="n">
        <v>13099</v>
      </c>
      <c r="G28" s="6" t="n">
        <v>7495</v>
      </c>
      <c r="H28" s="6" t="n">
        <v>4497</v>
      </c>
      <c r="I28" s="6" t="n">
        <v>3514</v>
      </c>
      <c r="J28" s="6" t="n">
        <v>0</v>
      </c>
      <c r="K28" s="6" t="n">
        <v>0</v>
      </c>
      <c r="L28" s="6" t="n">
        <v>3062</v>
      </c>
      <c r="M28" s="6" t="n">
        <v>1480</v>
      </c>
    </row>
    <row r="29">
      <c r="A29" s="6" t="inlineStr">
        <is>
          <t>Assets held for sale</t>
        </is>
      </c>
      <c r="B29" s="6" t="n"/>
      <c r="C29" s="6" t="n"/>
      <c r="D29" s="6" t="n">
        <v>29934</v>
      </c>
      <c r="E29" s="6" t="n"/>
      <c r="F29" s="6" t="n"/>
      <c r="G29" s="6" t="n">
        <v>477</v>
      </c>
      <c r="H29" s="6" t="n">
        <v>2575</v>
      </c>
      <c r="I29" s="6" t="n"/>
      <c r="J29" s="6" t="n"/>
      <c r="K29" s="6" t="n"/>
      <c r="L29" s="6" t="n"/>
      <c r="M29" s="6" t="n"/>
    </row>
    <row r="30">
      <c r="A30" s="5" t="inlineStr">
        <is>
          <t>Total assets</t>
        </is>
      </c>
      <c r="B30" s="5" t="n">
        <v>1484802</v>
      </c>
      <c r="C30" s="5" t="n">
        <v>1540358</v>
      </c>
      <c r="D30" s="5" t="n">
        <v>1497500</v>
      </c>
      <c r="E30" s="5" t="n">
        <v>1612376</v>
      </c>
      <c r="F30" s="5" t="n">
        <v>1548850</v>
      </c>
      <c r="G30" s="5" t="n">
        <v>1743397</v>
      </c>
      <c r="H30" s="5" t="n">
        <v>1548599</v>
      </c>
      <c r="I30" s="5" t="n">
        <v>1272946</v>
      </c>
      <c r="J30" s="5" t="n">
        <v>1025888</v>
      </c>
      <c r="K30" s="5" t="n">
        <v>1028931</v>
      </c>
      <c r="L30" s="5" t="n">
        <v>1241142</v>
      </c>
      <c r="M30" s="5" t="n">
        <v>1345983</v>
      </c>
    </row>
    <row r="31">
      <c r="A31" s="5" t="inlineStr">
        <is>
          <t>Liabilities</t>
        </is>
      </c>
      <c r="B31" s="6" t="n"/>
      <c r="C31" s="6" t="n"/>
      <c r="D31" s="6" t="n"/>
      <c r="E31" s="6" t="n"/>
      <c r="F31" s="6" t="n"/>
      <c r="G31" s="6" t="n"/>
      <c r="H31" s="6" t="n"/>
      <c r="I31" s="6" t="n"/>
      <c r="J31" s="6" t="n"/>
      <c r="K31" s="6" t="n"/>
      <c r="L31" s="6" t="n"/>
      <c r="M31" s="6" t="n"/>
    </row>
    <row r="32">
      <c r="A32" s="6" t="inlineStr">
        <is>
          <t>Due to financial institutions</t>
        </is>
      </c>
      <c r="B32" s="6" t="n">
        <v>49571</v>
      </c>
      <c r="C32" s="6" t="n">
        <v>33754</v>
      </c>
      <c r="D32" s="6" t="n">
        <v>6967</v>
      </c>
      <c r="E32" s="6" t="n">
        <v>51039</v>
      </c>
      <c r="F32" s="6" t="n">
        <v>272605</v>
      </c>
      <c r="G32" s="6" t="n">
        <v>185935</v>
      </c>
      <c r="H32" s="6" t="n">
        <v>375565</v>
      </c>
      <c r="I32" s="6" t="n">
        <v>672240</v>
      </c>
      <c r="J32" s="6" t="n">
        <v>514392</v>
      </c>
      <c r="K32" s="6" t="n">
        <v>586964</v>
      </c>
      <c r="L32" s="6" t="n">
        <v>669849</v>
      </c>
      <c r="M32" s="6" t="n">
        <v>614380</v>
      </c>
    </row>
    <row r="33">
      <c r="A33" s="6" t="inlineStr">
        <is>
          <t>Due to customers</t>
        </is>
      </c>
      <c r="B33" s="6" t="n">
        <v>1197104</v>
      </c>
      <c r="C33" s="6" t="n">
        <v>1262682</v>
      </c>
      <c r="D33" s="6" t="n">
        <v>1248979</v>
      </c>
      <c r="E33" s="6" t="n">
        <v>1323870</v>
      </c>
      <c r="F33" s="6" t="n">
        <v>1031887</v>
      </c>
      <c r="G33" s="6" t="n">
        <v>1300714</v>
      </c>
      <c r="H33" s="6" t="n">
        <v>917569</v>
      </c>
      <c r="I33" s="6" t="n">
        <v>357427</v>
      </c>
      <c r="J33" s="6" t="n">
        <v>277341</v>
      </c>
      <c r="K33" s="6" t="n">
        <v>213804</v>
      </c>
      <c r="L33" s="6" t="n">
        <v>321473</v>
      </c>
      <c r="M33" s="6" t="n">
        <v>471444</v>
      </c>
    </row>
    <row r="34">
      <c r="A34" s="6" t="inlineStr">
        <is>
          <t>Profit rate swaps</t>
        </is>
      </c>
      <c r="B34" s="6" t="n"/>
      <c r="C34" s="6" t="n"/>
      <c r="D34" s="6" t="n"/>
      <c r="E34" s="6" t="n"/>
      <c r="F34" s="6" t="n">
        <v>334</v>
      </c>
      <c r="G34" s="6" t="n">
        <v>760</v>
      </c>
      <c r="H34" s="6" t="n">
        <v>1196</v>
      </c>
      <c r="I34" s="6" t="n">
        <v>469</v>
      </c>
      <c r="J34" s="6" t="n">
        <v>636</v>
      </c>
      <c r="K34" s="6" t="n">
        <v>1305</v>
      </c>
      <c r="L34" s="6" t="n">
        <v>1369</v>
      </c>
      <c r="M34" s="6" t="n">
        <v>2236</v>
      </c>
    </row>
    <row r="35">
      <c r="A35" s="6" t="inlineStr">
        <is>
          <t>Current tax liability</t>
        </is>
      </c>
      <c r="B35" s="6" t="n"/>
      <c r="C35" s="6" t="n"/>
      <c r="D35" s="6" t="n"/>
      <c r="E35" s="6" t="n"/>
      <c r="F35" s="6" t="n"/>
      <c r="G35" s="6" t="n"/>
      <c r="H35" s="6" t="n">
        <v>1220</v>
      </c>
      <c r="I35" s="6" t="n">
        <v>438</v>
      </c>
      <c r="J35" s="6" t="n"/>
      <c r="K35" s="6" t="n"/>
      <c r="L35" s="6" t="n"/>
      <c r="M35" s="6" t="n"/>
    </row>
    <row r="36">
      <c r="A36" s="6" t="inlineStr">
        <is>
          <t>Other liabilities</t>
        </is>
      </c>
      <c r="B36" s="6" t="n">
        <v>14059</v>
      </c>
      <c r="C36" s="6" t="n">
        <v>13088</v>
      </c>
      <c r="D36" s="6" t="n">
        <v>13322</v>
      </c>
      <c r="E36" s="6" t="n">
        <v>14552</v>
      </c>
      <c r="F36" s="6" t="n">
        <v>14307</v>
      </c>
      <c r="G36" s="6" t="n">
        <v>21727</v>
      </c>
      <c r="H36" s="6" t="n">
        <v>19571</v>
      </c>
      <c r="I36" s="6" t="n">
        <v>14246</v>
      </c>
      <c r="J36" s="6" t="n">
        <v>12998</v>
      </c>
      <c r="K36" s="6" t="n">
        <v>10062</v>
      </c>
      <c r="L36" s="6" t="n">
        <v>10679</v>
      </c>
      <c r="M36" s="6" t="n">
        <v>13872</v>
      </c>
    </row>
    <row r="37">
      <c r="A37" s="5" t="inlineStr">
        <is>
          <t>Total liabilities</t>
        </is>
      </c>
      <c r="B37" s="5" t="n">
        <v>1260734</v>
      </c>
      <c r="C37" s="5" t="n">
        <v>1309524</v>
      </c>
      <c r="D37" s="5" t="n">
        <v>1269268</v>
      </c>
      <c r="E37" s="5" t="n">
        <v>1389461</v>
      </c>
      <c r="F37" s="5" t="n">
        <v>1319133</v>
      </c>
      <c r="G37" s="5" t="n">
        <v>1509136</v>
      </c>
      <c r="H37" s="5" t="n">
        <v>1315121</v>
      </c>
      <c r="I37" s="5" t="n">
        <v>1044820</v>
      </c>
      <c r="J37" s="5" t="n">
        <v>805367</v>
      </c>
      <c r="K37" s="5" t="n">
        <v>812135</v>
      </c>
      <c r="L37" s="5" t="n">
        <v>1003370</v>
      </c>
      <c r="M37" s="5" t="n">
        <v>1101931</v>
      </c>
    </row>
    <row r="38">
      <c r="A38" s="5" t="inlineStr">
        <is>
          <t>Equity</t>
        </is>
      </c>
      <c r="B38" s="6" t="n"/>
      <c r="C38" s="6" t="n"/>
      <c r="D38" s="6" t="n"/>
      <c r="E38" s="6" t="n"/>
      <c r="F38" s="6" t="n"/>
      <c r="G38" s="6" t="n"/>
      <c r="H38" s="6" t="n"/>
      <c r="I38" s="6" t="n"/>
      <c r="J38" s="6" t="n"/>
      <c r="K38" s="6" t="n"/>
      <c r="L38" s="6" t="n"/>
      <c r="M38" s="6" t="n"/>
    </row>
    <row r="39">
      <c r="A39" s="6" t="inlineStr">
        <is>
          <t>Share capital</t>
        </is>
      </c>
      <c r="B39" s="6" t="n">
        <v>48933</v>
      </c>
      <c r="C39" s="6" t="n">
        <v>48933</v>
      </c>
      <c r="D39" s="6" t="n">
        <v>48933</v>
      </c>
      <c r="E39" s="6" t="n">
        <v>48933</v>
      </c>
      <c r="F39" s="6" t="n">
        <v>48933</v>
      </c>
      <c r="G39" s="6" t="n">
        <v>48933</v>
      </c>
      <c r="H39" s="6" t="n">
        <v>48933</v>
      </c>
      <c r="I39" s="6" t="n">
        <v>48933</v>
      </c>
      <c r="J39" s="6" t="n">
        <v>48933</v>
      </c>
      <c r="K39" s="6" t="n">
        <v>48933</v>
      </c>
      <c r="L39" s="6" t="n">
        <v>48933</v>
      </c>
      <c r="M39" s="6" t="n">
        <v>48933</v>
      </c>
    </row>
    <row r="40">
      <c r="A40" s="6" t="inlineStr">
        <is>
          <t>Share premium</t>
        </is>
      </c>
      <c r="B40" s="6" t="n">
        <v>140623</v>
      </c>
      <c r="C40" s="6" t="n">
        <v>140623</v>
      </c>
      <c r="D40" s="6" t="n">
        <v>140623</v>
      </c>
      <c r="E40" s="6" t="n">
        <v>140623</v>
      </c>
      <c r="F40" s="6" t="n">
        <v>140623</v>
      </c>
      <c r="G40" s="6" t="n">
        <v>140623</v>
      </c>
      <c r="H40" s="6" t="n">
        <v>140623</v>
      </c>
      <c r="I40" s="6" t="n">
        <v>140623</v>
      </c>
      <c r="J40" s="6" t="n">
        <v>180623</v>
      </c>
      <c r="K40" s="6" t="n">
        <v>180623</v>
      </c>
      <c r="L40" s="6" t="n">
        <v>180623</v>
      </c>
      <c r="M40" s="6" t="n">
        <v>205623</v>
      </c>
    </row>
    <row r="41">
      <c r="A41" s="6" t="inlineStr">
        <is>
          <t>Capital contribution</t>
        </is>
      </c>
      <c r="B41" s="6" t="n">
        <v>3527</v>
      </c>
      <c r="C41" s="6" t="n">
        <v>3527</v>
      </c>
      <c r="D41" s="6" t="n">
        <v>3527</v>
      </c>
      <c r="E41" s="6" t="n">
        <v>3527</v>
      </c>
      <c r="F41" s="6" t="n">
        <v>3527</v>
      </c>
      <c r="G41" s="6" t="n">
        <v>3527</v>
      </c>
      <c r="H41" s="6" t="n">
        <v>3527</v>
      </c>
      <c r="I41" s="6" t="n">
        <v>2207</v>
      </c>
      <c r="J41" s="6" t="n">
        <v>1911</v>
      </c>
      <c r="K41" s="6" t="n">
        <v>1604</v>
      </c>
      <c r="L41" s="6" t="n">
        <v>1484</v>
      </c>
      <c r="M41" s="6" t="n">
        <v>1410</v>
      </c>
    </row>
    <row r="42">
      <c r="A42" s="6" t="inlineStr">
        <is>
          <t>Fair value reserve</t>
        </is>
      </c>
      <c r="B42" s="6" t="n">
        <v>-145</v>
      </c>
      <c r="C42" s="6" t="n">
        <v>-347</v>
      </c>
      <c r="D42" s="6" t="n">
        <v>-63</v>
      </c>
      <c r="E42" s="6" t="n">
        <v>-108</v>
      </c>
      <c r="F42" s="6" t="n">
        <v>-107</v>
      </c>
      <c r="G42" s="6" t="n">
        <v>101</v>
      </c>
      <c r="H42" s="6" t="n">
        <v>230</v>
      </c>
      <c r="I42" s="6" t="n">
        <v>-713</v>
      </c>
      <c r="J42" s="6" t="n">
        <v>-380</v>
      </c>
      <c r="K42" s="6" t="n">
        <v>-331</v>
      </c>
      <c r="L42" s="6" t="n">
        <v>537</v>
      </c>
      <c r="M42" s="6" t="n">
        <v>151</v>
      </c>
    </row>
    <row r="43">
      <c r="A43" s="6" t="inlineStr">
        <is>
          <t>Cash flow hedging reserve</t>
        </is>
      </c>
      <c r="B43" s="6" t="n"/>
      <c r="C43" s="6" t="n"/>
      <c r="D43" s="6" t="n"/>
      <c r="E43" s="6" t="n"/>
      <c r="F43" s="6" t="n"/>
      <c r="G43" s="6" t="n"/>
      <c r="H43" s="6" t="n"/>
      <c r="I43" s="6" t="n"/>
      <c r="J43" s="6" t="n"/>
      <c r="K43" s="6" t="n">
        <v>0</v>
      </c>
      <c r="L43" s="6" t="n">
        <v>-1166</v>
      </c>
      <c r="M43" s="6" t="n">
        <v>-1435</v>
      </c>
    </row>
    <row r="44">
      <c r="A44" s="6" t="inlineStr">
        <is>
          <t>Retained earnings</t>
        </is>
      </c>
      <c r="B44" s="6" t="n">
        <v>31130</v>
      </c>
      <c r="C44" s="6" t="n">
        <v>38098</v>
      </c>
      <c r="D44" s="6" t="n">
        <v>35212</v>
      </c>
      <c r="E44" s="6" t="n">
        <v>29940</v>
      </c>
      <c r="F44" s="6" t="n">
        <v>36741</v>
      </c>
      <c r="G44" s="6" t="n">
        <v>41077</v>
      </c>
      <c r="H44" s="6" t="n">
        <v>40165</v>
      </c>
      <c r="I44" s="6" t="n">
        <v>37076</v>
      </c>
      <c r="J44" s="6" t="n">
        <v>-10566</v>
      </c>
      <c r="K44" s="6" t="n">
        <v>-14033</v>
      </c>
      <c r="L44" s="6" t="n">
        <v>7361</v>
      </c>
      <c r="M44" s="6" t="n">
        <v>-10630</v>
      </c>
    </row>
    <row r="45">
      <c r="A45" s="5" t="inlineStr">
        <is>
          <t>Total equity</t>
        </is>
      </c>
      <c r="B45" s="5" t="n">
        <v>224068</v>
      </c>
      <c r="C45" s="5" t="n">
        <v>230834</v>
      </c>
      <c r="D45" s="5" t="n">
        <v>228232</v>
      </c>
      <c r="E45" s="5" t="n">
        <v>222915</v>
      </c>
      <c r="F45" s="5" t="n">
        <v>229717</v>
      </c>
      <c r="G45" s="5" t="n">
        <v>234261</v>
      </c>
      <c r="H45" s="5" t="n">
        <v>233478</v>
      </c>
      <c r="I45" s="5" t="n">
        <v>228126</v>
      </c>
      <c r="J45" s="5" t="n">
        <v>220521</v>
      </c>
      <c r="K45" s="5" t="n">
        <v>216796</v>
      </c>
      <c r="L45" s="5" t="n">
        <v>237772</v>
      </c>
      <c r="M45" s="5" t="n">
        <v>244052</v>
      </c>
    </row>
    <row r="46">
      <c r="A46" s="5" t="inlineStr">
        <is>
          <t>Total liabilities and equity</t>
        </is>
      </c>
      <c r="B46" s="5" t="n">
        <v>1484802</v>
      </c>
      <c r="C46" s="5" t="n">
        <v>1540358</v>
      </c>
      <c r="D46" s="5" t="n">
        <v>1497500</v>
      </c>
      <c r="E46" s="5" t="n">
        <v>1612376</v>
      </c>
      <c r="F46" s="5" t="n">
        <v>1548850</v>
      </c>
      <c r="G46" s="5" t="n">
        <v>1743397</v>
      </c>
      <c r="H46" s="5" t="n">
        <v>1548599</v>
      </c>
      <c r="I46" s="5" t="n">
        <v>1272946</v>
      </c>
      <c r="J46" s="5" t="n">
        <v>1025888</v>
      </c>
      <c r="K46" s="5" t="n">
        <v>1028931</v>
      </c>
      <c r="L46" s="5" t="n">
        <v>1241142</v>
      </c>
      <c r="M46" s="5" t="n">
        <v>1345983</v>
      </c>
    </row>
    <row r="48" ht="460" customHeight="1">
      <c r="A48"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
INVESTMENT SECURITIES BREAKDOWN: the 'Investment securities - ...' sub-rows below the renamed 'Total investment securities' line are transcribed from each year's own 'Investment Securities' note (Bank/BLME plc column, not Group), which splits the balance both by measurement basis (fair value through profit or loss / fair value through other comprehensive income (FVOCI) / amortised cost under IFRS 9 from FY2018 onward; fair value through profit or loss / available-for-sale / held-to-maturity under IAS 39 for FY2014-FY2017) and by instrument (Sukuk, listed equity, Sharia'a compliant funds, investment in subsidiaries):
FY2025/FY2024: Note 16 'Investment Securities and Investment in Subsidiaries', p.60 - https://www.blme.com/media/z0jd2sah/blme-plc-financial-statements-31-december-2025.pdf
FY2023/FY2022: Note 18 'Investment Securities', p.67 - https://www.blme.com/media/2j5fy4tv/blme-plc-financial-statements-31-december-2023.pdf
FY2021/FY2020: Note 18 'Investment Securities', p.68 - https://www.blme.com/media/1964/blme-plc-fin-stats-31-december-2021-for-website.pdf
FY2019/FY2018: Note 19 'Investment Securities', p.67 - https://www.blme.com/media/1852/blme-plc-financial-statements-31-december-2019.pdf
FY2017/FY2016: Note 17 'Investment Securities', p.57 - https://www.blme.com/media/1634/2017-financial-statements-blme-plc.pdf
FY2015/FY2014: Note 18 'Investment securities' (Bank column), p.76 - https://www.blme.com/media/1498/blme-plc-financial-statements-31-december-2015.pdf
Each year's sub-rows sum exactly to that year's 'Total investment securities' line (verified against the note's own IFRS 9 Stage 1/2/3 ECL and impairment-provision deductions, which are netted into the amortised cost/held-to-maturity Sukuk sub-row for that year, matching how the note itself nets them before arriving at its own total). 'Investment in subsidiaries' is bundled inside this note (and this Balance Sheet line) FY2014-FY2023 only - it moves to its own separate 'Investments in subsidiaries' Balance Sheet line FY2024-FY2025 (see PRESENTATION_NOTE above); the bundled sub-row here is zero/absent for FY2024-FY2025 to avoid double-counting. No sub-row split by issuer type (UK government/gilts/sovereign vs supranational/corporate) is disclosed anywhere in BLME's own notes for any year - Sukuk issuers are not broken out further than the single 'Sukuk' instrument line shown above.</t>
        </is>
      </c>
    </row>
  </sheetData>
  <mergeCells count="1">
    <mergeCell ref="A48:M48"/>
  </mergeCells>
  <pageMargins left="0.75" right="0.75" top="1" bottom="1" header="0.5" footer="0.5"/>
</worksheet>
</file>

<file path=xl/worksheets/sheet3.xml><?xml version="1.0" encoding="utf-8"?>
<worksheet xmlns="http://schemas.openxmlformats.org/spreadsheetml/2006/main">
  <sheetPr>
    <outlinePr summaryBelow="1" summaryRight="1"/>
    <pageSetUpPr/>
  </sheetPr>
  <dimension ref="A1:M37"/>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7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Income Statement</t>
        </is>
      </c>
    </row>
    <row r="2">
      <c r="A2" s="2" t="inlineStr">
        <is>
          <t>BLME plc, Bank-solo basis (FY2017-2025) / Group-consolidated basis (FY2014-2016 - see note), £'000s.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Income</t>
        </is>
      </c>
      <c r="B4" s="6" t="n"/>
      <c r="C4" s="6" t="n"/>
      <c r="D4" s="6" t="n"/>
      <c r="E4" s="6" t="n"/>
      <c r="F4" s="6" t="n"/>
      <c r="G4" s="6" t="n"/>
      <c r="H4" s="6" t="n"/>
      <c r="I4" s="6" t="n"/>
      <c r="J4" s="6" t="n"/>
      <c r="K4" s="6" t="n"/>
      <c r="L4" s="6" t="n"/>
      <c r="M4" s="6" t="n"/>
    </row>
    <row r="5">
      <c r="A5" s="6" t="inlineStr">
        <is>
          <t>Income from financing and investing activities</t>
        </is>
      </c>
      <c r="B5" s="6" t="n">
        <v>92246</v>
      </c>
      <c r="C5" s="6" t="n">
        <v>96103</v>
      </c>
      <c r="D5" s="6" t="n">
        <v>81198</v>
      </c>
      <c r="E5" s="6" t="n">
        <v>57261</v>
      </c>
      <c r="F5" s="6" t="n">
        <v>47649</v>
      </c>
      <c r="G5" s="6" t="n">
        <v>55718</v>
      </c>
      <c r="H5" s="6" t="n">
        <v>53846</v>
      </c>
      <c r="I5" s="6" t="n">
        <v>48725</v>
      </c>
      <c r="J5" s="6" t="n">
        <v>39650</v>
      </c>
      <c r="K5" s="6" t="n">
        <v>54995</v>
      </c>
      <c r="L5" s="6" t="n">
        <v>60099</v>
      </c>
      <c r="M5" s="6" t="n">
        <v>53157</v>
      </c>
    </row>
    <row r="6">
      <c r="A6" s="6" t="inlineStr">
        <is>
          <t>Returns to financial institutions and customers</t>
        </is>
      </c>
      <c r="B6" s="6" t="n">
        <v>-53752</v>
      </c>
      <c r="C6" s="6" t="n">
        <v>-57877</v>
      </c>
      <c r="D6" s="6" t="n">
        <v>-45550</v>
      </c>
      <c r="E6" s="6" t="n">
        <v>-23845</v>
      </c>
      <c r="F6" s="6" t="n">
        <v>-17678</v>
      </c>
      <c r="G6" s="6" t="n">
        <v>-26230</v>
      </c>
      <c r="H6" s="6" t="n">
        <v>-25782</v>
      </c>
      <c r="I6" s="6" t="n">
        <v>-17551</v>
      </c>
      <c r="J6" s="6" t="n">
        <v>-16285</v>
      </c>
      <c r="K6" s="6" t="n">
        <v>-19530</v>
      </c>
      <c r="L6" s="6" t="n">
        <v>-21508</v>
      </c>
      <c r="M6" s="6" t="n">
        <v>-24423</v>
      </c>
    </row>
    <row r="7">
      <c r="A7" s="5" t="inlineStr">
        <is>
          <t>Net margin</t>
        </is>
      </c>
      <c r="B7" s="5" t="n">
        <v>38494</v>
      </c>
      <c r="C7" s="5" t="n">
        <v>38226</v>
      </c>
      <c r="D7" s="5" t="n">
        <v>35648</v>
      </c>
      <c r="E7" s="5" t="n">
        <v>33416</v>
      </c>
      <c r="F7" s="5" t="n">
        <v>29971</v>
      </c>
      <c r="G7" s="5" t="n">
        <v>29488</v>
      </c>
      <c r="H7" s="5" t="n">
        <v>28064</v>
      </c>
      <c r="I7" s="5" t="n">
        <v>31174</v>
      </c>
      <c r="J7" s="5" t="n">
        <v>23365</v>
      </c>
      <c r="K7" s="5" t="n">
        <v>35465</v>
      </c>
      <c r="L7" s="5" t="n">
        <v>38591</v>
      </c>
      <c r="M7" s="5" t="n">
        <v>28734</v>
      </c>
    </row>
    <row r="8">
      <c r="A8" s="6" t="inlineStr">
        <is>
          <t>Fee and commission income</t>
        </is>
      </c>
      <c r="B8" s="6" t="n">
        <v>2274</v>
      </c>
      <c r="C8" s="6" t="n">
        <v>2232</v>
      </c>
      <c r="D8" s="6" t="n">
        <v>1764</v>
      </c>
      <c r="E8" s="6" t="n">
        <v>364</v>
      </c>
      <c r="F8" s="6" t="n">
        <v>665</v>
      </c>
      <c r="G8" s="6" t="n">
        <v>1778</v>
      </c>
      <c r="H8" s="6" t="n">
        <v>2613</v>
      </c>
      <c r="I8" s="6" t="n">
        <v>2360</v>
      </c>
      <c r="J8" s="6" t="n">
        <v>1816</v>
      </c>
      <c r="K8" s="6" t="n">
        <v>2687</v>
      </c>
      <c r="L8" s="6" t="n">
        <v>2551</v>
      </c>
      <c r="M8" s="6" t="n">
        <v>4109</v>
      </c>
    </row>
    <row r="9">
      <c r="A9" s="6" t="inlineStr">
        <is>
          <t>Fee and commission expense</t>
        </is>
      </c>
      <c r="B9" s="6" t="n">
        <v>-5321</v>
      </c>
      <c r="C9" s="6" t="n">
        <v>-2135</v>
      </c>
      <c r="D9" s="6" t="n">
        <v>-1381</v>
      </c>
      <c r="E9" s="6" t="n">
        <v>-964</v>
      </c>
      <c r="F9" s="6" t="n">
        <v>-2417</v>
      </c>
      <c r="G9" s="6" t="n">
        <v>-5175</v>
      </c>
      <c r="H9" s="6" t="n">
        <v>-2230</v>
      </c>
      <c r="I9" s="6" t="n">
        <v>-417</v>
      </c>
      <c r="J9" s="6" t="n">
        <v>-494</v>
      </c>
      <c r="K9" s="6" t="n">
        <v>-520</v>
      </c>
      <c r="L9" s="6" t="n">
        <v>-651</v>
      </c>
      <c r="M9" s="6" t="n">
        <v>-266</v>
      </c>
    </row>
    <row r="10">
      <c r="A10" s="5" t="inlineStr">
        <is>
          <t>Net fee and commission income</t>
        </is>
      </c>
      <c r="B10" s="5" t="n">
        <v>-3047</v>
      </c>
      <c r="C10" s="5" t="n">
        <v>97</v>
      </c>
      <c r="D10" s="5" t="n">
        <v>383</v>
      </c>
      <c r="E10" s="5" t="n">
        <v>-600</v>
      </c>
      <c r="F10" s="5" t="n">
        <v>-1752</v>
      </c>
      <c r="G10" s="5" t="n">
        <v>-3397</v>
      </c>
      <c r="H10" s="5" t="n">
        <v>383</v>
      </c>
      <c r="I10" s="5" t="n">
        <v>1943</v>
      </c>
      <c r="J10" s="5" t="n">
        <v>1322</v>
      </c>
      <c r="K10" s="5" t="n">
        <v>2167</v>
      </c>
      <c r="L10" s="5" t="n">
        <v>1900</v>
      </c>
      <c r="M10" s="5" t="n">
        <v>3843</v>
      </c>
    </row>
    <row r="11">
      <c r="A11" s="6" t="inlineStr">
        <is>
          <t>Net investment gains/(losses)</t>
        </is>
      </c>
      <c r="B11" s="6" t="n"/>
      <c r="C11" s="6" t="n"/>
      <c r="D11" s="6" t="n">
        <v>0</v>
      </c>
      <c r="E11" s="6" t="n">
        <v>629</v>
      </c>
      <c r="F11" s="6" t="n">
        <v>763</v>
      </c>
      <c r="G11" s="6" t="n">
        <v>443</v>
      </c>
      <c r="H11" s="6" t="n">
        <v>112</v>
      </c>
      <c r="I11" s="6" t="n">
        <v>-256</v>
      </c>
      <c r="J11" s="6" t="n">
        <v>-2330</v>
      </c>
      <c r="K11" s="6" t="n">
        <v>-3117</v>
      </c>
      <c r="L11" s="6" t="n">
        <v>-1922</v>
      </c>
      <c r="M11" s="6" t="n">
        <v>-529</v>
      </c>
    </row>
    <row r="12">
      <c r="A12" s="6" t="inlineStr">
        <is>
          <t>Net fair value gains on investment properties</t>
        </is>
      </c>
      <c r="B12" s="6" t="n"/>
      <c r="C12" s="6" t="n"/>
      <c r="D12" s="6" t="n"/>
      <c r="E12" s="6" t="n"/>
      <c r="F12" s="6" t="n"/>
      <c r="G12" s="6" t="n"/>
      <c r="H12" s="6" t="n"/>
      <c r="I12" s="6" t="n"/>
      <c r="J12" s="6" t="n"/>
      <c r="K12" s="6" t="n">
        <v>-40</v>
      </c>
      <c r="L12" s="6" t="n">
        <v>4707</v>
      </c>
      <c r="M12" s="6" t="n">
        <v>2667</v>
      </c>
    </row>
    <row r="13">
      <c r="A13" s="6" t="inlineStr">
        <is>
          <t>Operating lease income</t>
        </is>
      </c>
      <c r="B13" s="6" t="n"/>
      <c r="C13" s="6" t="n"/>
      <c r="D13" s="6" t="n"/>
      <c r="E13" s="6" t="n"/>
      <c r="F13" s="6" t="n"/>
      <c r="G13" s="6" t="n">
        <v>6123</v>
      </c>
      <c r="H13" s="6" t="n">
        <v>8751</v>
      </c>
      <c r="I13" s="6" t="n">
        <v>7733</v>
      </c>
      <c r="J13" s="6" t="n">
        <v>5312</v>
      </c>
      <c r="K13" s="6" t="n">
        <v>8703</v>
      </c>
      <c r="L13" s="6" t="n">
        <v>15131</v>
      </c>
      <c r="M13" s="6" t="n">
        <v>21027</v>
      </c>
    </row>
    <row r="14">
      <c r="A14" s="6" t="inlineStr">
        <is>
          <t>Credit impairment (losses)/gains</t>
        </is>
      </c>
      <c r="B14" s="6" t="n">
        <v>-3938</v>
      </c>
      <c r="C14" s="6" t="n">
        <v>-3236</v>
      </c>
      <c r="D14" s="6" t="n">
        <v>555</v>
      </c>
      <c r="E14" s="6" t="n">
        <v>-13398</v>
      </c>
      <c r="F14" s="6" t="n">
        <v>-12451</v>
      </c>
      <c r="G14" s="6" t="n">
        <v>-7455</v>
      </c>
      <c r="H14" s="6" t="n">
        <v>-1699</v>
      </c>
      <c r="I14" s="6" t="n">
        <v>-2030</v>
      </c>
      <c r="J14" s="6" t="n"/>
      <c r="K14" s="6" t="n"/>
      <c r="L14" s="6" t="n"/>
      <c r="M14" s="6" t="n"/>
    </row>
    <row r="15">
      <c r="A15" s="6" t="inlineStr">
        <is>
          <t>Impairment of investment in subsidiary</t>
        </is>
      </c>
      <c r="B15" s="6" t="n">
        <v>1185</v>
      </c>
      <c r="C15" s="6" t="n">
        <v>339</v>
      </c>
      <c r="D15" s="6" t="n">
        <v>-3434</v>
      </c>
      <c r="E15" s="6" t="n"/>
      <c r="F15" s="6" t="n"/>
      <c r="G15" s="6" t="n"/>
      <c r="H15" s="6" t="n"/>
      <c r="I15" s="6" t="n"/>
      <c r="J15" s="6" t="n"/>
      <c r="K15" s="6" t="n"/>
      <c r="L15" s="6" t="n"/>
      <c r="M15" s="6" t="n"/>
    </row>
    <row r="16">
      <c r="A16" s="6" t="inlineStr">
        <is>
          <t>Other operating income</t>
        </is>
      </c>
      <c r="B16" s="6" t="n">
        <v>17795</v>
      </c>
      <c r="C16" s="6" t="n">
        <v>13440</v>
      </c>
      <c r="D16" s="6" t="n">
        <v>14785</v>
      </c>
      <c r="E16" s="6" t="n">
        <v>11274</v>
      </c>
      <c r="F16" s="6" t="n">
        <v>4720</v>
      </c>
      <c r="G16" s="6" t="n">
        <v>4088</v>
      </c>
      <c r="H16" s="6" t="n">
        <v>7195</v>
      </c>
      <c r="I16" s="6" t="n">
        <v>2093</v>
      </c>
      <c r="J16" s="6" t="n">
        <v>6580</v>
      </c>
      <c r="K16" s="6" t="n">
        <v>3682</v>
      </c>
      <c r="L16" s="6" t="n">
        <v>4925</v>
      </c>
      <c r="M16" s="6" t="n">
        <v>5958</v>
      </c>
    </row>
    <row r="17">
      <c r="A17" s="6" t="inlineStr">
        <is>
          <t>Share of profit/(loss) of equity-accounted investees, net of tax</t>
        </is>
      </c>
      <c r="B17" s="6" t="n">
        <v>658</v>
      </c>
      <c r="C17" s="6" t="n">
        <v>2921</v>
      </c>
      <c r="D17" s="6" t="n">
        <v>81</v>
      </c>
      <c r="E17" s="6" t="n">
        <v>97</v>
      </c>
      <c r="F17" s="6" t="n">
        <v>98</v>
      </c>
      <c r="G17" s="6" t="n">
        <v>25</v>
      </c>
      <c r="H17" s="6" t="n">
        <v>9</v>
      </c>
      <c r="I17" s="6" t="n"/>
      <c r="J17" s="6" t="n"/>
      <c r="K17" s="6" t="n"/>
      <c r="L17" s="6" t="n"/>
      <c r="M17" s="6" t="n"/>
    </row>
    <row r="18">
      <c r="A18" s="5" t="inlineStr">
        <is>
          <t>Net operating income / Total operating income</t>
        </is>
      </c>
      <c r="B18" s="5" t="n">
        <v>51147</v>
      </c>
      <c r="C18" s="5" t="n">
        <v>51787</v>
      </c>
      <c r="D18" s="5" t="n">
        <v>48018</v>
      </c>
      <c r="E18" s="5" t="n">
        <v>31418</v>
      </c>
      <c r="F18" s="5" t="n">
        <v>21349</v>
      </c>
      <c r="G18" s="5" t="n">
        <v>29315</v>
      </c>
      <c r="H18" s="5" t="n">
        <v>42815</v>
      </c>
      <c r="I18" s="5" t="n">
        <v>40657</v>
      </c>
      <c r="J18" s="5" t="n">
        <v>34249</v>
      </c>
      <c r="K18" s="5" t="n">
        <v>46860</v>
      </c>
      <c r="L18" s="5" t="n">
        <v>63332</v>
      </c>
      <c r="M18" s="5" t="n">
        <v>61701</v>
      </c>
    </row>
    <row r="19">
      <c r="A19" s="5" t="inlineStr">
        <is>
          <t>Expenses</t>
        </is>
      </c>
      <c r="B19" s="6" t="n"/>
      <c r="C19" s="6" t="n"/>
      <c r="D19" s="6" t="n"/>
      <c r="E19" s="6" t="n"/>
      <c r="F19" s="6" t="n"/>
      <c r="G19" s="6" t="n"/>
      <c r="H19" s="6" t="n"/>
      <c r="I19" s="6" t="n"/>
      <c r="J19" s="6" t="n"/>
      <c r="K19" s="6" t="n"/>
      <c r="L19" s="6" t="n"/>
      <c r="M19" s="6" t="n"/>
    </row>
    <row r="20">
      <c r="A20" s="6" t="inlineStr">
        <is>
          <t>Personnel/staff costs</t>
        </is>
      </c>
      <c r="B20" s="6" t="n">
        <v>-28090</v>
      </c>
      <c r="C20" s="6" t="n">
        <v>-27850</v>
      </c>
      <c r="D20" s="6" t="n">
        <v>-23624</v>
      </c>
      <c r="E20" s="6" t="n">
        <v>-20134</v>
      </c>
      <c r="F20" s="6" t="n">
        <v>-14090</v>
      </c>
      <c r="G20" s="6" t="n">
        <v>-12908</v>
      </c>
      <c r="H20" s="6" t="n">
        <v>-13957</v>
      </c>
      <c r="I20" s="6" t="n">
        <v>-15827</v>
      </c>
      <c r="J20" s="6" t="n">
        <v>-15239</v>
      </c>
      <c r="K20" s="6" t="n">
        <v>-15628</v>
      </c>
      <c r="L20" s="6" t="n">
        <v>-16518</v>
      </c>
      <c r="M20" s="6" t="n">
        <v>-16644</v>
      </c>
    </row>
    <row r="21">
      <c r="A21" s="6" t="inlineStr">
        <is>
          <t>Operating lease depreciation</t>
        </is>
      </c>
      <c r="B21" s="6" t="n"/>
      <c r="C21" s="6" t="n"/>
      <c r="D21" s="6" t="n"/>
      <c r="E21" s="6" t="n"/>
      <c r="F21" s="6" t="n"/>
      <c r="G21" s="6" t="n">
        <v>-5128</v>
      </c>
      <c r="H21" s="6" t="n">
        <v>-7197</v>
      </c>
      <c r="I21" s="6" t="n">
        <v>-6027</v>
      </c>
      <c r="J21" s="6" t="n">
        <v>-4318</v>
      </c>
      <c r="K21" s="6" t="n">
        <v>-6366</v>
      </c>
      <c r="L21" s="6" t="n">
        <v>-12025</v>
      </c>
      <c r="M21" s="6" t="n">
        <v>-16286</v>
      </c>
    </row>
    <row r="22">
      <c r="A22" s="6" t="inlineStr">
        <is>
          <t>Other operating expenses</t>
        </is>
      </c>
      <c r="B22" s="6" t="n">
        <v>-20212</v>
      </c>
      <c r="C22" s="6" t="n">
        <v>-15301</v>
      </c>
      <c r="D22" s="6" t="n">
        <v>-15547</v>
      </c>
      <c r="E22" s="6" t="n">
        <v>-19364</v>
      </c>
      <c r="F22" s="6" t="n">
        <v>-13631</v>
      </c>
      <c r="G22" s="6" t="n">
        <v>-9883</v>
      </c>
      <c r="H22" s="6" t="n">
        <v>-7386</v>
      </c>
      <c r="I22" s="6" t="n">
        <v>-10015</v>
      </c>
      <c r="J22" s="6" t="n">
        <v>-12549</v>
      </c>
      <c r="K22" s="6" t="n">
        <v>-24620</v>
      </c>
      <c r="L22" s="6" t="n">
        <v>-20067</v>
      </c>
      <c r="M22" s="6" t="n">
        <v>-14545</v>
      </c>
    </row>
    <row r="23">
      <c r="A23" s="6" t="inlineStr">
        <is>
          <t>Other depreciation and amortisation</t>
        </is>
      </c>
      <c r="B23" s="6" t="n">
        <v>-1242</v>
      </c>
      <c r="C23" s="6" t="n">
        <v>-897</v>
      </c>
      <c r="D23" s="6" t="n">
        <v>-1010</v>
      </c>
      <c r="E23" s="6" t="n">
        <v>-957</v>
      </c>
      <c r="F23" s="6" t="n">
        <v>-804</v>
      </c>
      <c r="G23" s="6" t="n">
        <v>-866</v>
      </c>
      <c r="H23" s="6" t="n">
        <v>-1518</v>
      </c>
      <c r="I23" s="6" t="n">
        <v>-1069</v>
      </c>
      <c r="J23" s="6" t="n">
        <v>-1515</v>
      </c>
      <c r="K23" s="6" t="n">
        <v>-1522</v>
      </c>
      <c r="L23" s="6" t="n">
        <v>-787</v>
      </c>
      <c r="M23" s="6" t="n">
        <v>-436</v>
      </c>
    </row>
    <row r="24">
      <c r="A24" s="6" t="inlineStr">
        <is>
          <t>Exceptional costs - Offer</t>
        </is>
      </c>
      <c r="B24" s="6" t="n"/>
      <c r="C24" s="6" t="n"/>
      <c r="D24" s="6" t="n"/>
      <c r="E24" s="6" t="n"/>
      <c r="F24" s="6" t="n"/>
      <c r="G24" s="6" t="n"/>
      <c r="H24" s="6" t="n">
        <v>-2851</v>
      </c>
      <c r="I24" s="6" t="n"/>
      <c r="J24" s="6" t="n"/>
      <c r="K24" s="6" t="n"/>
      <c r="L24" s="6" t="n"/>
      <c r="M24" s="6" t="n"/>
    </row>
    <row r="25">
      <c r="A25" s="6" t="inlineStr">
        <is>
          <t>Change in third party interest in consolidated funds (Group, FY2014-2016 only)</t>
        </is>
      </c>
      <c r="B25" s="6" t="n"/>
      <c r="C25" s="6" t="n"/>
      <c r="D25" s="6" t="n"/>
      <c r="E25" s="6" t="n"/>
      <c r="F25" s="6" t="n"/>
      <c r="G25" s="6" t="n"/>
      <c r="H25" s="6" t="n"/>
      <c r="I25" s="6" t="n"/>
      <c r="J25" s="6" t="n"/>
      <c r="K25" s="6" t="n">
        <v>-45</v>
      </c>
      <c r="L25" s="6" t="n">
        <v>-1673</v>
      </c>
      <c r="M25" s="6" t="n">
        <v>-1199</v>
      </c>
    </row>
    <row r="26">
      <c r="A26" s="5" t="inlineStr">
        <is>
          <t>Total operating expenses</t>
        </is>
      </c>
      <c r="B26" s="5" t="n">
        <v>-49544</v>
      </c>
      <c r="C26" s="5" t="n">
        <v>-44048</v>
      </c>
      <c r="D26" s="5" t="n">
        <v>-40181</v>
      </c>
      <c r="E26" s="5" t="n">
        <v>-40455</v>
      </c>
      <c r="F26" s="5" t="n">
        <v>-28525</v>
      </c>
      <c r="G26" s="5" t="n">
        <v>-28785</v>
      </c>
      <c r="H26" s="5" t="n">
        <v>-32909</v>
      </c>
      <c r="I26" s="5" t="n">
        <v>-32938</v>
      </c>
      <c r="J26" s="5" t="n">
        <v>-33621</v>
      </c>
      <c r="K26" s="5" t="n">
        <v>-48181</v>
      </c>
      <c r="L26" s="5" t="n">
        <v>-51070</v>
      </c>
      <c r="M26" s="5" t="n">
        <v>-49110</v>
      </c>
    </row>
    <row r="27">
      <c r="A27" s="6" t="inlineStr">
        <is>
          <t>Operating profit/(loss) before impairment charges (FY2014-2017 subtotal only)</t>
        </is>
      </c>
      <c r="B27" s="6" t="n"/>
      <c r="C27" s="6" t="n"/>
      <c r="D27" s="6" t="n"/>
      <c r="E27" s="6" t="n"/>
      <c r="F27" s="6" t="n"/>
      <c r="G27" s="6" t="n"/>
      <c r="H27" s="6" t="n"/>
      <c r="I27" s="6" t="n"/>
      <c r="J27" s="6" t="n">
        <v>628</v>
      </c>
      <c r="K27" s="6" t="n">
        <v>-1321</v>
      </c>
      <c r="L27" s="6" t="n">
        <v>12262</v>
      </c>
      <c r="M27" s="6" t="n">
        <v>12591</v>
      </c>
    </row>
    <row r="28">
      <c r="A28" s="6" t="inlineStr">
        <is>
          <t>Net impairment credit/(charge) on financial assets and operating leases (FY2014-2017, Group/Bank, IAS 39 - post-opex placement that year, unlike the pre-opex 'Credit impairment' row used FY2018 onward)</t>
        </is>
      </c>
      <c r="B28" s="6" t="n"/>
      <c r="C28" s="6" t="n"/>
      <c r="D28" s="6" t="n"/>
      <c r="E28" s="6" t="n"/>
      <c r="F28" s="6" t="n"/>
      <c r="G28" s="6" t="n"/>
      <c r="H28" s="6" t="n"/>
      <c r="I28" s="6" t="n"/>
      <c r="J28" s="6" t="n">
        <v>2734</v>
      </c>
      <c r="K28" s="6" t="n">
        <v>-15843</v>
      </c>
      <c r="L28" s="6" t="n">
        <v>-20659</v>
      </c>
      <c r="M28" s="6" t="n">
        <v>-11602</v>
      </c>
    </row>
    <row r="29">
      <c r="A29" s="6" t="inlineStr">
        <is>
          <t>Loss on disposal of group company (FY2016 only)</t>
        </is>
      </c>
      <c r="B29" s="6" t="n"/>
      <c r="C29" s="6" t="n"/>
      <c r="D29" s="6" t="n"/>
      <c r="E29" s="6" t="n"/>
      <c r="F29" s="6" t="n"/>
      <c r="G29" s="6" t="n"/>
      <c r="H29" s="6" t="n"/>
      <c r="I29" s="6" t="n"/>
      <c r="J29" s="6" t="n"/>
      <c r="K29" s="6" t="n">
        <v>-1720</v>
      </c>
      <c r="L29" s="6" t="n"/>
      <c r="M29" s="6" t="n"/>
    </row>
    <row r="30">
      <c r="A30" s="5" t="inlineStr">
        <is>
          <t>Profit/(loss) before tax</t>
        </is>
      </c>
      <c r="B30" s="5" t="n">
        <v>1603</v>
      </c>
      <c r="C30" s="5" t="n">
        <v>7739</v>
      </c>
      <c r="D30" s="5" t="n">
        <v>7837</v>
      </c>
      <c r="E30" s="5" t="n">
        <v>-9037</v>
      </c>
      <c r="F30" s="5" t="n">
        <v>-7176</v>
      </c>
      <c r="G30" s="5" t="n">
        <v>530</v>
      </c>
      <c r="H30" s="5" t="n">
        <v>9906</v>
      </c>
      <c r="I30" s="5" t="n">
        <v>7719</v>
      </c>
      <c r="J30" s="5" t="n">
        <v>3362</v>
      </c>
      <c r="K30" s="5" t="n">
        <v>-18884</v>
      </c>
      <c r="L30" s="5" t="n">
        <v>-8397</v>
      </c>
      <c r="M30" s="5" t="n">
        <v>990</v>
      </c>
    </row>
    <row r="31">
      <c r="A31" s="6" t="inlineStr">
        <is>
          <t>Tax charge/credit</t>
        </is>
      </c>
      <c r="B31" s="6" t="n">
        <v>-184</v>
      </c>
      <c r="C31" s="6" t="n">
        <v>-889</v>
      </c>
      <c r="D31" s="6" t="n">
        <v>-2515</v>
      </c>
      <c r="E31" s="6" t="n">
        <v>2230</v>
      </c>
      <c r="F31" s="6" t="n">
        <v>2840</v>
      </c>
      <c r="G31" s="6" t="n">
        <v>382</v>
      </c>
      <c r="H31" s="6" t="n">
        <v>-1215</v>
      </c>
      <c r="I31" s="6" t="n">
        <v>2954</v>
      </c>
      <c r="J31" s="6" t="n">
        <v>105</v>
      </c>
      <c r="K31" s="6" t="n">
        <v>-2499</v>
      </c>
      <c r="L31" s="6" t="n">
        <v>1547</v>
      </c>
      <c r="M31" s="6" t="n">
        <v>-15</v>
      </c>
    </row>
    <row r="32">
      <c r="A32" s="5" t="inlineStr">
        <is>
          <t>Profit/(loss) for the year</t>
        </is>
      </c>
      <c r="B32" s="5" t="n">
        <v>1419</v>
      </c>
      <c r="C32" s="5" t="n">
        <v>6850</v>
      </c>
      <c r="D32" s="5" t="n">
        <v>5322</v>
      </c>
      <c r="E32" s="5" t="n">
        <v>-6807</v>
      </c>
      <c r="F32" s="5" t="n">
        <v>-4336</v>
      </c>
      <c r="G32" s="5" t="n">
        <v>912</v>
      </c>
      <c r="H32" s="5" t="n">
        <v>8691</v>
      </c>
      <c r="I32" s="5" t="n">
        <v>10673</v>
      </c>
      <c r="J32" s="5" t="n">
        <v>3467</v>
      </c>
      <c r="K32" s="5" t="n">
        <v>-21383</v>
      </c>
      <c r="L32" s="5" t="n">
        <v>-6850</v>
      </c>
      <c r="M32" s="5" t="n">
        <v>974</v>
      </c>
    </row>
    <row r="33">
      <c r="A33" s="5" t="inlineStr">
        <is>
          <t>Other comprehensive income</t>
        </is>
      </c>
      <c r="B33" s="6" t="n"/>
      <c r="C33" s="6" t="n"/>
      <c r="D33" s="6" t="n"/>
      <c r="E33" s="6" t="n"/>
      <c r="F33" s="6" t="n"/>
      <c r="G33" s="6" t="n"/>
      <c r="H33" s="6" t="n"/>
      <c r="I33" s="6" t="n"/>
      <c r="J33" s="6" t="n"/>
      <c r="K33" s="6" t="n"/>
      <c r="L33" s="6" t="n"/>
      <c r="M33" s="6" t="n"/>
    </row>
    <row r="34">
      <c r="A34" s="6" t="inlineStr">
        <is>
          <t>Other comprehensive income/(expense), net of tax</t>
        </is>
      </c>
      <c r="B34" s="6" t="n">
        <v>-43</v>
      </c>
      <c r="C34" s="6" t="n">
        <v>-284</v>
      </c>
      <c r="D34" s="6" t="n">
        <v>-5</v>
      </c>
      <c r="E34" s="6" t="n">
        <v>7</v>
      </c>
      <c r="F34" s="6" t="n">
        <v>-208</v>
      </c>
      <c r="G34" s="6" t="n">
        <v>-129</v>
      </c>
      <c r="H34" s="6" t="n">
        <v>956</v>
      </c>
      <c r="I34" s="6" t="n">
        <v>491</v>
      </c>
      <c r="J34" s="6" t="n">
        <v>-49</v>
      </c>
      <c r="K34" s="6" t="n">
        <v>539</v>
      </c>
      <c r="L34" s="6" t="n">
        <v>685</v>
      </c>
      <c r="M34" s="6" t="n">
        <v>1171</v>
      </c>
    </row>
    <row r="35">
      <c r="A35" s="5" t="inlineStr">
        <is>
          <t>Total comprehensive income/(loss) for the year</t>
        </is>
      </c>
      <c r="B35" s="5" t="n">
        <v>1376</v>
      </c>
      <c r="C35" s="5" t="n">
        <v>6566</v>
      </c>
      <c r="D35" s="5" t="n">
        <v>5317</v>
      </c>
      <c r="E35" s="5" t="n">
        <v>-6800</v>
      </c>
      <c r="F35" s="5" t="n">
        <v>-4544</v>
      </c>
      <c r="G35" s="5" t="n">
        <v>783</v>
      </c>
      <c r="H35" s="5" t="n">
        <v>9647</v>
      </c>
      <c r="I35" s="5" t="n">
        <v>11164</v>
      </c>
      <c r="J35" s="5" t="n">
        <v>3418</v>
      </c>
      <c r="K35" s="5" t="n">
        <v>-20844</v>
      </c>
      <c r="L35" s="5" t="n">
        <v>-6165</v>
      </c>
      <c r="M35" s="5" t="n">
        <v>2146</v>
      </c>
    </row>
    <row r="37" ht="460" customHeight="1">
      <c r="A37"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37:M37"/>
  </mergeCells>
  <pageMargins left="0.75" right="0.75" top="1" bottom="1" header="0.5" footer="0.5"/>
</worksheet>
</file>

<file path=xl/worksheets/sheet4.xml><?xml version="1.0" encoding="utf-8"?>
<worksheet xmlns="http://schemas.openxmlformats.org/spreadsheetml/2006/main">
  <sheetPr>
    <outlinePr summaryBelow="1" summaryRight="1"/>
    <pageSetUpPr/>
  </sheetPr>
  <dimension ref="A1:I59"/>
  <sheetViews>
    <sheetView workbookViewId="0">
      <pane ySplit="4" topLeftCell="A5" activePane="bottomLeft" state="frozen"/>
      <selection pane="bottomLef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s>
  <sheetData>
    <row r="1">
      <c r="A1" s="1" t="inlineStr">
        <is>
          <t>Bank of London and The Middle East plc — Statement of Changes in Equity</t>
        </is>
      </c>
    </row>
    <row r="2">
      <c r="A2" s="2" t="inlineStr">
        <is>
          <t>BLME plc, Bank-solo basis, £'000s. Chronological roll-forward, oldest to newest, FY2013 opening to FY2025 closing.</t>
        </is>
      </c>
    </row>
    <row r="3">
      <c r="A3" s="4" t="inlineStr">
        <is>
          <t>Movement</t>
        </is>
      </c>
      <c r="B3" s="4" t="inlineStr">
        <is>
          <t>Share capital</t>
        </is>
      </c>
      <c r="C3" s="4" t="inlineStr">
        <is>
          <t>Share premium</t>
        </is>
      </c>
      <c r="D3" s="4" t="inlineStr">
        <is>
          <t>Capital contribution</t>
        </is>
      </c>
      <c r="E3" s="4" t="inlineStr">
        <is>
          <t>Fair value reserve</t>
        </is>
      </c>
      <c r="F3" s="4" t="inlineStr">
        <is>
          <t>Cash flow hedging reserve</t>
        </is>
      </c>
      <c r="G3" s="4" t="inlineStr">
        <is>
          <t>Retained earnings</t>
        </is>
      </c>
      <c r="H3" s="4" t="inlineStr">
        <is>
          <t>Foreign currency translation reserve</t>
        </is>
      </c>
      <c r="I3" s="4" t="inlineStr">
        <is>
          <t>Total</t>
        </is>
      </c>
    </row>
    <row r="4">
      <c r="A4" s="5" t="inlineStr">
        <is>
          <t>At 31 December 2013</t>
        </is>
      </c>
      <c r="B4" s="5" t="n">
        <v>48933</v>
      </c>
      <c r="C4" s="5" t="n">
        <v>205623</v>
      </c>
      <c r="D4" s="5" t="n">
        <v>3210</v>
      </c>
      <c r="E4" s="5" t="n">
        <v>-524</v>
      </c>
      <c r="F4" s="5" t="n">
        <v>-2122</v>
      </c>
      <c r="G4" s="5" t="n">
        <v>-12272</v>
      </c>
      <c r="H4" s="5" t="n">
        <v>-66</v>
      </c>
      <c r="I4" s="5" t="n">
        <v>243621</v>
      </c>
    </row>
    <row r="5">
      <c r="A5" s="6" t="inlineStr">
        <is>
          <t>Profit for the year (FY2014)</t>
        </is>
      </c>
      <c r="B5" s="6" t="n"/>
      <c r="C5" s="6" t="n"/>
      <c r="D5" s="6" t="n"/>
      <c r="E5" s="6" t="n"/>
      <c r="F5" s="6" t="n"/>
      <c r="G5" s="6" t="n">
        <v>498</v>
      </c>
      <c r="H5" s="6" t="n"/>
      <c r="I5" s="6" t="n">
        <v>498</v>
      </c>
    </row>
    <row r="6">
      <c r="A6" s="6" t="inlineStr">
        <is>
          <t>Other comprehensive income (FY2014)</t>
        </is>
      </c>
      <c r="B6" s="6" t="n"/>
      <c r="C6" s="6" t="n"/>
      <c r="D6" s="6" t="n"/>
      <c r="E6" s="6" t="n">
        <v>675</v>
      </c>
      <c r="F6" s="6" t="n">
        <v>193</v>
      </c>
      <c r="G6" s="6" t="n"/>
      <c r="H6" s="6" t="n"/>
      <c r="I6" s="6" t="n">
        <v>868</v>
      </c>
    </row>
    <row r="7">
      <c r="A7" s="6" t="inlineStr">
        <is>
          <t>Transactions with owners, net (FY2014)</t>
        </is>
      </c>
      <c r="B7" s="6" t="n"/>
      <c r="C7" s="6" t="n"/>
      <c r="D7" s="6" t="n">
        <v>-1801</v>
      </c>
      <c r="E7" s="6" t="n"/>
      <c r="F7" s="6" t="n"/>
      <c r="G7" s="6" t="n">
        <v>639</v>
      </c>
      <c r="H7" s="6" t="n"/>
      <c r="I7" s="6" t="n">
        <v>-1162</v>
      </c>
    </row>
    <row r="8">
      <c r="A8" s="5" t="inlineStr">
        <is>
          <t>At 31 December 2014</t>
        </is>
      </c>
      <c r="B8" s="5" t="n">
        <v>48933</v>
      </c>
      <c r="C8" s="5" t="n">
        <v>205623</v>
      </c>
      <c r="D8" s="5" t="n">
        <v>1410</v>
      </c>
      <c r="E8" s="5" t="n">
        <v>151</v>
      </c>
      <c r="F8" s="5" t="n">
        <v>-1435</v>
      </c>
      <c r="G8" s="5" t="n">
        <v>-10630</v>
      </c>
      <c r="H8" s="5" t="n"/>
      <c r="I8" s="5" t="n">
        <v>244052</v>
      </c>
    </row>
    <row r="9">
      <c r="A9" s="6" t="inlineStr">
        <is>
          <t>Loss for the year (FY2015)</t>
        </is>
      </c>
      <c r="B9" s="6" t="n"/>
      <c r="C9" s="6" t="n"/>
      <c r="D9" s="6" t="n"/>
      <c r="E9" s="6" t="n"/>
      <c r="F9" s="6" t="n"/>
      <c r="G9" s="6" t="n">
        <v>-7101</v>
      </c>
      <c r="H9" s="6" t="n"/>
      <c r="I9" s="6" t="n">
        <v>-7101</v>
      </c>
    </row>
    <row r="10">
      <c r="A10" s="6" t="inlineStr">
        <is>
          <t>Other comprehensive income (FY2015)</t>
        </is>
      </c>
      <c r="B10" s="6" t="n"/>
      <c r="C10" s="6" t="n"/>
      <c r="D10" s="6" t="n"/>
      <c r="E10" s="6" t="n">
        <v>386</v>
      </c>
      <c r="F10" s="6" t="n">
        <v>269</v>
      </c>
      <c r="G10" s="6" t="n"/>
      <c r="H10" s="6" t="n"/>
      <c r="I10" s="6" t="n">
        <v>655</v>
      </c>
    </row>
    <row r="11">
      <c r="A11" s="6" t="inlineStr">
        <is>
          <t>Transactions with owners, net (FY2015)</t>
        </is>
      </c>
      <c r="B11" s="6" t="n"/>
      <c r="C11" s="6" t="n">
        <v>-25000</v>
      </c>
      <c r="D11" s="6" t="n">
        <v>74</v>
      </c>
      <c r="E11" s="6" t="n"/>
      <c r="F11" s="6" t="n"/>
      <c r="G11" s="6" t="n">
        <v>25092</v>
      </c>
      <c r="H11" s="6" t="n"/>
      <c r="I11" s="6" t="n">
        <v>166</v>
      </c>
    </row>
    <row r="12">
      <c r="A12" s="5" t="inlineStr">
        <is>
          <t>At 31 December 2015</t>
        </is>
      </c>
      <c r="B12" s="5" t="n">
        <v>48933</v>
      </c>
      <c r="C12" s="5" t="n">
        <v>180623</v>
      </c>
      <c r="D12" s="5" t="n">
        <v>1484</v>
      </c>
      <c r="E12" s="5" t="n">
        <v>537</v>
      </c>
      <c r="F12" s="5" t="n">
        <v>-1166</v>
      </c>
      <c r="G12" s="5" t="n">
        <v>7361</v>
      </c>
      <c r="H12" s="5" t="n"/>
      <c r="I12" s="5" t="n">
        <v>237772</v>
      </c>
    </row>
    <row r="13">
      <c r="A13" s="6" t="inlineStr">
        <is>
          <t>Loss for the year (FY2016)</t>
        </is>
      </c>
      <c r="B13" s="6" t="n"/>
      <c r="C13" s="6" t="n"/>
      <c r="D13" s="6" t="n"/>
      <c r="E13" s="6" t="n"/>
      <c r="F13" s="6" t="n"/>
      <c r="G13" s="6" t="n">
        <v>-21458</v>
      </c>
      <c r="H13" s="6" t="n"/>
      <c r="I13" s="6" t="n">
        <v>-21458</v>
      </c>
    </row>
    <row r="14">
      <c r="A14" s="6" t="inlineStr">
        <is>
          <t>Other comprehensive income (FY2016)</t>
        </is>
      </c>
      <c r="B14" s="6" t="n"/>
      <c r="C14" s="6" t="n"/>
      <c r="D14" s="6" t="n"/>
      <c r="E14" s="6" t="n">
        <v>-868</v>
      </c>
      <c r="F14" s="6" t="n">
        <v>1166</v>
      </c>
      <c r="G14" s="6" t="n"/>
      <c r="H14" s="6" t="n"/>
      <c r="I14" s="6" t="n">
        <v>298</v>
      </c>
    </row>
    <row r="15">
      <c r="A15" s="6" t="inlineStr">
        <is>
          <t>Transactions with owners, net (FY2016)</t>
        </is>
      </c>
      <c r="B15" s="6" t="n"/>
      <c r="C15" s="6" t="n"/>
      <c r="D15" s="6" t="n">
        <v>120</v>
      </c>
      <c r="E15" s="6" t="n"/>
      <c r="F15" s="6" t="n"/>
      <c r="G15" s="6" t="n">
        <v>64</v>
      </c>
      <c r="H15" s="6" t="n"/>
      <c r="I15" s="6" t="n">
        <v>184</v>
      </c>
    </row>
    <row r="16">
      <c r="A16" s="5" t="inlineStr">
        <is>
          <t>At 31 December 2016</t>
        </is>
      </c>
      <c r="B16" s="5" t="n">
        <v>48933</v>
      </c>
      <c r="C16" s="5" t="n">
        <v>180623</v>
      </c>
      <c r="D16" s="5" t="n">
        <v>1604</v>
      </c>
      <c r="E16" s="5" t="n">
        <v>-331</v>
      </c>
      <c r="F16" s="5" t="n">
        <v>0</v>
      </c>
      <c r="G16" s="5" t="n">
        <v>-14033</v>
      </c>
      <c r="H16" s="5" t="n"/>
      <c r="I16" s="5" t="n">
        <v>216796</v>
      </c>
    </row>
    <row r="17">
      <c r="A17" s="6" t="inlineStr">
        <is>
          <t>Profit for the year (FY2017)</t>
        </is>
      </c>
      <c r="B17" s="6" t="n"/>
      <c r="C17" s="6" t="n"/>
      <c r="D17" s="6" t="n"/>
      <c r="E17" s="6" t="n"/>
      <c r="F17" s="6" t="n"/>
      <c r="G17" s="6" t="n">
        <v>3467</v>
      </c>
      <c r="H17" s="6" t="n"/>
      <c r="I17" s="6" t="n">
        <v>3467</v>
      </c>
    </row>
    <row r="18">
      <c r="A18" s="6" t="inlineStr">
        <is>
          <t>Other comprehensive expense (FY2017)</t>
        </is>
      </c>
      <c r="B18" s="6" t="n"/>
      <c r="C18" s="6" t="n"/>
      <c r="D18" s="6" t="n"/>
      <c r="E18" s="6" t="n">
        <v>-49</v>
      </c>
      <c r="F18" s="6" t="n"/>
      <c r="G18" s="6" t="n"/>
      <c r="H18" s="6" t="n"/>
      <c r="I18" s="6" t="n">
        <v>-49</v>
      </c>
    </row>
    <row r="19">
      <c r="A19" s="6" t="inlineStr">
        <is>
          <t>Transactions with owners, net (FY2017)</t>
        </is>
      </c>
      <c r="B19" s="6" t="n"/>
      <c r="C19" s="6" t="n"/>
      <c r="D19" s="6" t="n">
        <v>307</v>
      </c>
      <c r="E19" s="6" t="n"/>
      <c r="F19" s="6" t="n"/>
      <c r="G19" s="6" t="n"/>
      <c r="H19" s="6" t="n"/>
      <c r="I19" s="6" t="n">
        <v>307</v>
      </c>
    </row>
    <row r="20">
      <c r="A20" s="5" t="inlineStr">
        <is>
          <t>At 31 December 2017</t>
        </is>
      </c>
      <c r="B20" s="5" t="n">
        <v>48933</v>
      </c>
      <c r="C20" s="5" t="n">
        <v>180623</v>
      </c>
      <c r="D20" s="5" t="n">
        <v>1911</v>
      </c>
      <c r="E20" s="5" t="n">
        <v>-380</v>
      </c>
      <c r="F20" s="5" t="n"/>
      <c r="G20" s="5" t="n">
        <v>-10566</v>
      </c>
      <c r="H20" s="5" t="n"/>
      <c r="I20" s="5" t="n">
        <v>220521</v>
      </c>
    </row>
    <row r="21">
      <c r="A21" s="6" t="inlineStr">
        <is>
          <t>Changes on initial application of IFRS 9 (1 Jan 2018)</t>
        </is>
      </c>
      <c r="B21" s="6" t="n"/>
      <c r="C21" s="6" t="n"/>
      <c r="D21" s="6" t="n"/>
      <c r="E21" s="6" t="n"/>
      <c r="F21" s="6" t="n"/>
      <c r="G21" s="6" t="n">
        <v>25</v>
      </c>
      <c r="H21" s="6" t="n"/>
      <c r="I21" s="6" t="n">
        <v>25</v>
      </c>
    </row>
    <row r="22">
      <c r="A22" s="5" t="inlineStr">
        <is>
          <t>At 1 January 2018 (as restated)</t>
        </is>
      </c>
      <c r="B22" s="5" t="n">
        <v>48933</v>
      </c>
      <c r="C22" s="5" t="n">
        <v>180623</v>
      </c>
      <c r="D22" s="5" t="n">
        <v>1911</v>
      </c>
      <c r="E22" s="5" t="n">
        <v>-380</v>
      </c>
      <c r="F22" s="5" t="n"/>
      <c r="G22" s="5" t="n">
        <v>-10541</v>
      </c>
      <c r="H22" s="5" t="n"/>
      <c r="I22" s="5" t="n">
        <v>220546</v>
      </c>
    </row>
    <row r="23">
      <c r="A23" s="6" t="inlineStr">
        <is>
          <t>Profit for the year (FY2018)</t>
        </is>
      </c>
      <c r="B23" s="6" t="n"/>
      <c r="C23" s="6" t="n"/>
      <c r="D23" s="6" t="n"/>
      <c r="E23" s="6" t="n"/>
      <c r="F23" s="6" t="n"/>
      <c r="G23" s="6" t="n">
        <v>10673</v>
      </c>
      <c r="H23" s="6" t="n"/>
      <c r="I23" s="6" t="n">
        <v>10673</v>
      </c>
    </row>
    <row r="24">
      <c r="A24" s="6" t="inlineStr">
        <is>
          <t>Other comprehensive income (FY2018)</t>
        </is>
      </c>
      <c r="B24" s="6" t="n"/>
      <c r="C24" s="6" t="n"/>
      <c r="D24" s="6" t="n"/>
      <c r="E24" s="6" t="n">
        <v>491</v>
      </c>
      <c r="F24" s="6" t="n"/>
      <c r="G24" s="6" t="n"/>
      <c r="H24" s="6" t="n"/>
      <c r="I24" s="6" t="n">
        <v>491</v>
      </c>
    </row>
    <row r="25">
      <c r="A25" s="6" t="inlineStr">
        <is>
          <t>Transactions with owners, net (FY2018)</t>
        </is>
      </c>
      <c r="B25" s="6" t="n"/>
      <c r="C25" s="6" t="n">
        <v>-40000</v>
      </c>
      <c r="D25" s="6" t="n">
        <v>296</v>
      </c>
      <c r="E25" s="6" t="n">
        <v>-824</v>
      </c>
      <c r="F25" s="6" t="n"/>
      <c r="G25" s="6" t="n">
        <v>36944</v>
      </c>
      <c r="H25" s="6" t="n"/>
      <c r="I25" s="6" t="n">
        <v>-3584</v>
      </c>
    </row>
    <row r="26">
      <c r="A26" s="5" t="inlineStr">
        <is>
          <t>At 31 December 2018</t>
        </is>
      </c>
      <c r="B26" s="5" t="n">
        <v>48933</v>
      </c>
      <c r="C26" s="5" t="n">
        <v>140623</v>
      </c>
      <c r="D26" s="5" t="n">
        <v>2207</v>
      </c>
      <c r="E26" s="5" t="n">
        <v>-713</v>
      </c>
      <c r="F26" s="5" t="n"/>
      <c r="G26" s="5" t="n">
        <v>37076</v>
      </c>
      <c r="H26" s="5" t="n"/>
      <c r="I26" s="5" t="n">
        <v>228126</v>
      </c>
    </row>
    <row r="27">
      <c r="A27" s="6" t="inlineStr">
        <is>
          <t>Changes on initial application of IFRS 16 (1 Jan 2019)</t>
        </is>
      </c>
      <c r="B27" s="6" t="n"/>
      <c r="C27" s="6" t="n"/>
      <c r="D27" s="6" t="n"/>
      <c r="E27" s="6" t="n"/>
      <c r="F27" s="6" t="n"/>
      <c r="G27" s="6" t="n">
        <v>-237</v>
      </c>
      <c r="H27" s="6" t="n"/>
      <c r="I27" s="6" t="n">
        <v>-237</v>
      </c>
    </row>
    <row r="28">
      <c r="A28" s="5" t="inlineStr">
        <is>
          <t>At 1 January 2019 (as restated)</t>
        </is>
      </c>
      <c r="B28" s="5" t="n">
        <v>48933</v>
      </c>
      <c r="C28" s="5" t="n">
        <v>140623</v>
      </c>
      <c r="D28" s="5" t="n">
        <v>2207</v>
      </c>
      <c r="E28" s="5" t="n">
        <v>-713</v>
      </c>
      <c r="F28" s="5" t="n"/>
      <c r="G28" s="5" t="n">
        <v>36839</v>
      </c>
      <c r="H28" s="5" t="n"/>
      <c r="I28" s="5" t="n">
        <v>227889</v>
      </c>
    </row>
    <row r="29">
      <c r="A29" s="6" t="inlineStr">
        <is>
          <t>Profit for the year (FY2019)</t>
        </is>
      </c>
      <c r="B29" s="6" t="n"/>
      <c r="C29" s="6" t="n"/>
      <c r="D29" s="6" t="n"/>
      <c r="E29" s="6" t="n"/>
      <c r="F29" s="6" t="n"/>
      <c r="G29" s="6" t="n">
        <v>8691</v>
      </c>
      <c r="H29" s="6" t="n"/>
      <c r="I29" s="6" t="n">
        <v>8691</v>
      </c>
    </row>
    <row r="30">
      <c r="A30" s="6" t="inlineStr">
        <is>
          <t>Other comprehensive income (FY2019)</t>
        </is>
      </c>
      <c r="B30" s="6" t="n"/>
      <c r="C30" s="6" t="n"/>
      <c r="D30" s="6" t="n"/>
      <c r="E30" s="6" t="n">
        <v>956</v>
      </c>
      <c r="F30" s="6" t="n"/>
      <c r="G30" s="6" t="n"/>
      <c r="H30" s="6" t="n"/>
      <c r="I30" s="6" t="n">
        <v>956</v>
      </c>
    </row>
    <row r="31">
      <c r="A31" s="6" t="inlineStr">
        <is>
          <t>Transactions with owners, net (FY2019)</t>
        </is>
      </c>
      <c r="B31" s="6" t="n"/>
      <c r="C31" s="6" t="n"/>
      <c r="D31" s="6" t="n">
        <v>1320</v>
      </c>
      <c r="E31" s="6" t="n">
        <v>-13</v>
      </c>
      <c r="F31" s="6" t="n"/>
      <c r="G31" s="6" t="n">
        <v>-5365</v>
      </c>
      <c r="H31" s="6" t="n"/>
      <c r="I31" s="6" t="n">
        <v>-4058</v>
      </c>
    </row>
    <row r="32">
      <c r="A32" s="5" t="inlineStr">
        <is>
          <t>At 31 December 2019</t>
        </is>
      </c>
      <c r="B32" s="5" t="n">
        <v>48933</v>
      </c>
      <c r="C32" s="5" t="n">
        <v>140623</v>
      </c>
      <c r="D32" s="5" t="n">
        <v>3527</v>
      </c>
      <c r="E32" s="5" t="n">
        <v>230</v>
      </c>
      <c r="F32" s="5" t="n"/>
      <c r="G32" s="5" t="n">
        <v>40165</v>
      </c>
      <c r="H32" s="5" t="n"/>
      <c r="I32" s="5" t="n">
        <v>233478</v>
      </c>
    </row>
    <row r="33">
      <c r="A33" s="6" t="inlineStr">
        <is>
          <t>Profit for the year (FY2020)</t>
        </is>
      </c>
      <c r="B33" s="6" t="n"/>
      <c r="C33" s="6" t="n"/>
      <c r="D33" s="6" t="n"/>
      <c r="E33" s="6" t="n"/>
      <c r="F33" s="6" t="n"/>
      <c r="G33" s="6" t="n">
        <v>912</v>
      </c>
      <c r="H33" s="6" t="n"/>
      <c r="I33" s="6" t="n">
        <v>912</v>
      </c>
    </row>
    <row r="34">
      <c r="A34" s="6" t="inlineStr">
        <is>
          <t>Other comprehensive expense (FY2020)</t>
        </is>
      </c>
      <c r="B34" s="6" t="n"/>
      <c r="C34" s="6" t="n"/>
      <c r="D34" s="6" t="n"/>
      <c r="E34" s="6" t="n">
        <v>-129</v>
      </c>
      <c r="F34" s="6" t="n"/>
      <c r="G34" s="6" t="n"/>
      <c r="H34" s="6" t="n"/>
      <c r="I34" s="6" t="n">
        <v>-129</v>
      </c>
    </row>
    <row r="35">
      <c r="A35" s="5" t="inlineStr">
        <is>
          <t>At 31 December 2020</t>
        </is>
      </c>
      <c r="B35" s="5" t="n">
        <v>48933</v>
      </c>
      <c r="C35" s="5" t="n">
        <v>140623</v>
      </c>
      <c r="D35" s="5" t="n">
        <v>3527</v>
      </c>
      <c r="E35" s="5" t="n">
        <v>101</v>
      </c>
      <c r="F35" s="5" t="n"/>
      <c r="G35" s="5" t="n">
        <v>41077</v>
      </c>
      <c r="H35" s="5" t="n"/>
      <c r="I35" s="5" t="n">
        <v>234261</v>
      </c>
    </row>
    <row r="36">
      <c r="A36" s="6" t="inlineStr">
        <is>
          <t>Loss for the year (FY2021)</t>
        </is>
      </c>
      <c r="B36" s="6" t="n"/>
      <c r="C36" s="6" t="n"/>
      <c r="D36" s="6" t="n"/>
      <c r="E36" s="6" t="n"/>
      <c r="F36" s="6" t="n"/>
      <c r="G36" s="6" t="n">
        <v>-4336</v>
      </c>
      <c r="H36" s="6" t="n"/>
      <c r="I36" s="6" t="n">
        <v>-4336</v>
      </c>
    </row>
    <row r="37">
      <c r="A37" s="6" t="inlineStr">
        <is>
          <t>Other comprehensive expense (FY2021)</t>
        </is>
      </c>
      <c r="B37" s="6" t="n"/>
      <c r="C37" s="6" t="n"/>
      <c r="D37" s="6" t="n"/>
      <c r="E37" s="6" t="n">
        <v>-208</v>
      </c>
      <c r="F37" s="6" t="n"/>
      <c r="G37" s="6" t="n"/>
      <c r="H37" s="6" t="n"/>
      <c r="I37" s="6" t="n">
        <v>-208</v>
      </c>
    </row>
    <row r="38">
      <c r="A38" s="5" t="inlineStr">
        <is>
          <t>At 31 December 2021</t>
        </is>
      </c>
      <c r="B38" s="5" t="n">
        <v>48933</v>
      </c>
      <c r="C38" s="5" t="n">
        <v>140623</v>
      </c>
      <c r="D38" s="5" t="n">
        <v>3527</v>
      </c>
      <c r="E38" s="5" t="n">
        <v>-107</v>
      </c>
      <c r="F38" s="5" t="n"/>
      <c r="G38" s="5" t="n">
        <v>36741</v>
      </c>
      <c r="H38" s="5" t="n"/>
      <c r="I38" s="5" t="n">
        <v>229717</v>
      </c>
    </row>
    <row r="39">
      <c r="A39" s="6" t="inlineStr">
        <is>
          <t>Loss for the year (FY2022)</t>
        </is>
      </c>
      <c r="B39" s="6" t="n"/>
      <c r="C39" s="6" t="n"/>
      <c r="D39" s="6" t="n"/>
      <c r="E39" s="6" t="n"/>
      <c r="F39" s="6" t="n"/>
      <c r="G39" s="6" t="n">
        <v>-6807</v>
      </c>
      <c r="H39" s="6" t="n"/>
      <c r="I39" s="6" t="n">
        <v>-6807</v>
      </c>
    </row>
    <row r="40">
      <c r="A40" s="6" t="inlineStr">
        <is>
          <t>Other comprehensive income (FY2022)</t>
        </is>
      </c>
      <c r="B40" s="6" t="n"/>
      <c r="C40" s="6" t="n"/>
      <c r="D40" s="6" t="n"/>
      <c r="E40" s="6" t="n">
        <v>7</v>
      </c>
      <c r="F40" s="6" t="n"/>
      <c r="G40" s="6" t="n"/>
      <c r="H40" s="6" t="n"/>
      <c r="I40" s="6" t="n">
        <v>7</v>
      </c>
    </row>
    <row r="41">
      <c r="A41" s="6" t="inlineStr">
        <is>
          <t>Transactions with owners, net (FY2022)</t>
        </is>
      </c>
      <c r="B41" s="6" t="n"/>
      <c r="C41" s="6" t="n"/>
      <c r="D41" s="6" t="n"/>
      <c r="E41" s="6" t="n">
        <v>-8</v>
      </c>
      <c r="F41" s="6" t="n"/>
      <c r="G41" s="6" t="n">
        <v>6</v>
      </c>
      <c r="H41" s="6" t="n"/>
      <c r="I41" s="6" t="n">
        <v>-2</v>
      </c>
    </row>
    <row r="42">
      <c r="A42" s="5" t="inlineStr">
        <is>
          <t>At 31 December 2022</t>
        </is>
      </c>
      <c r="B42" s="5" t="n">
        <v>48933</v>
      </c>
      <c r="C42" s="5" t="n">
        <v>140623</v>
      </c>
      <c r="D42" s="5" t="n">
        <v>3527</v>
      </c>
      <c r="E42" s="5" t="n">
        <v>-108</v>
      </c>
      <c r="F42" s="5" t="n"/>
      <c r="G42" s="5" t="n">
        <v>29940</v>
      </c>
      <c r="H42" s="5" t="n"/>
      <c r="I42" s="5" t="n">
        <v>222915</v>
      </c>
    </row>
    <row r="43">
      <c r="A43" s="6" t="inlineStr">
        <is>
          <t>Profit for the year (FY2023)</t>
        </is>
      </c>
      <c r="B43" s="6" t="n"/>
      <c r="C43" s="6" t="n"/>
      <c r="D43" s="6" t="n"/>
      <c r="E43" s="6" t="n"/>
      <c r="F43" s="6" t="n"/>
      <c r="G43" s="6" t="n">
        <v>5322</v>
      </c>
      <c r="H43" s="6" t="n"/>
      <c r="I43" s="6" t="n">
        <v>5322</v>
      </c>
    </row>
    <row r="44">
      <c r="A44" s="6" t="inlineStr">
        <is>
          <t>Other comprehensive expense (FY2023)</t>
        </is>
      </c>
      <c r="B44" s="6" t="n"/>
      <c r="C44" s="6" t="n"/>
      <c r="D44" s="6" t="n"/>
      <c r="E44" s="6" t="n">
        <v>-5</v>
      </c>
      <c r="F44" s="6" t="n"/>
      <c r="G44" s="6" t="n"/>
      <c r="H44" s="6" t="n"/>
      <c r="I44" s="6" t="n">
        <v>-5</v>
      </c>
    </row>
    <row r="45">
      <c r="A45" s="6" t="inlineStr">
        <is>
          <t>Transactions with owners, net (FY2023)</t>
        </is>
      </c>
      <c r="B45" s="6" t="n"/>
      <c r="C45" s="6" t="n"/>
      <c r="D45" s="6" t="n"/>
      <c r="E45" s="6" t="n">
        <v>50</v>
      </c>
      <c r="F45" s="6" t="n"/>
      <c r="G45" s="6" t="n">
        <v>-50</v>
      </c>
      <c r="H45" s="6" t="n"/>
      <c r="I45" s="6" t="n">
        <v>0</v>
      </c>
    </row>
    <row r="46">
      <c r="A46" s="5" t="inlineStr">
        <is>
          <t>At 31 December 2023</t>
        </is>
      </c>
      <c r="B46" s="5" t="n">
        <v>48933</v>
      </c>
      <c r="C46" s="5" t="n">
        <v>140623</v>
      </c>
      <c r="D46" s="5" t="n">
        <v>3527</v>
      </c>
      <c r="E46" s="5" t="n">
        <v>-63</v>
      </c>
      <c r="F46" s="5" t="n"/>
      <c r="G46" s="5" t="n">
        <v>35212</v>
      </c>
      <c r="H46" s="5" t="n"/>
      <c r="I46" s="5" t="n">
        <v>228232</v>
      </c>
    </row>
    <row r="47">
      <c r="A47" s="6" t="inlineStr">
        <is>
          <t>Prior period adjustment (FY2024 Annual Report Note 2b)</t>
        </is>
      </c>
      <c r="B47" s="6" t="n"/>
      <c r="C47" s="6" t="n"/>
      <c r="D47" s="6" t="n"/>
      <c r="E47" s="6" t="n"/>
      <c r="F47" s="6" t="n"/>
      <c r="G47" s="6" t="n">
        <v>-3964</v>
      </c>
      <c r="H47" s="6" t="n"/>
      <c r="I47" s="6" t="n">
        <v>-3964</v>
      </c>
    </row>
    <row r="48">
      <c r="A48" s="5" t="inlineStr">
        <is>
          <t>At 1 January 2024 (as restated)</t>
        </is>
      </c>
      <c r="B48" s="5" t="n">
        <v>48933</v>
      </c>
      <c r="C48" s="5" t="n">
        <v>140623</v>
      </c>
      <c r="D48" s="5" t="n">
        <v>3527</v>
      </c>
      <c r="E48" s="5" t="n">
        <v>-63</v>
      </c>
      <c r="F48" s="5" t="n"/>
      <c r="G48" s="5" t="n">
        <v>31248</v>
      </c>
      <c r="H48" s="5" t="n"/>
      <c r="I48" s="5" t="n">
        <v>224268</v>
      </c>
    </row>
    <row r="49">
      <c r="A49" s="6" t="inlineStr">
        <is>
          <t>Profit for the year (FY2024)</t>
        </is>
      </c>
      <c r="B49" s="6" t="n"/>
      <c r="C49" s="6" t="n"/>
      <c r="D49" s="6" t="n"/>
      <c r="E49" s="6" t="n"/>
      <c r="F49" s="6" t="n"/>
      <c r="G49" s="6" t="n">
        <v>6850</v>
      </c>
      <c r="H49" s="6" t="n"/>
      <c r="I49" s="6" t="n">
        <v>6850</v>
      </c>
    </row>
    <row r="50">
      <c r="A50" s="6" t="inlineStr">
        <is>
          <t>Other comprehensive expense (FY2024)</t>
        </is>
      </c>
      <c r="B50" s="6" t="n"/>
      <c r="C50" s="6" t="n"/>
      <c r="D50" s="6" t="n"/>
      <c r="E50" s="6" t="n">
        <v>-284</v>
      </c>
      <c r="F50" s="6" t="n"/>
      <c r="G50" s="6" t="n"/>
      <c r="H50" s="6" t="n"/>
      <c r="I50" s="6" t="n">
        <v>-284</v>
      </c>
    </row>
    <row r="51">
      <c r="A51" s="5" t="inlineStr">
        <is>
          <t>At 31 December 2024</t>
        </is>
      </c>
      <c r="B51" s="5" t="n">
        <v>48933</v>
      </c>
      <c r="C51" s="5" t="n">
        <v>140623</v>
      </c>
      <c r="D51" s="5" t="n">
        <v>3527</v>
      </c>
      <c r="E51" s="5" t="n">
        <v>-347</v>
      </c>
      <c r="F51" s="5" t="n"/>
      <c r="G51" s="5" t="n">
        <v>38098</v>
      </c>
      <c r="H51" s="5" t="n"/>
      <c r="I51" s="5" t="n">
        <v>230834</v>
      </c>
    </row>
    <row r="52">
      <c r="A52" s="6" t="inlineStr">
        <is>
          <t>Prior period adjustment (FY2025 Annual Report Note 2.3)</t>
        </is>
      </c>
      <c r="B52" s="6" t="n"/>
      <c r="C52" s="6" t="n"/>
      <c r="D52" s="6" t="n"/>
      <c r="E52" s="6" t="n"/>
      <c r="F52" s="6" t="n"/>
      <c r="G52" s="6" t="n">
        <v>-8762</v>
      </c>
      <c r="H52" s="6" t="n"/>
      <c r="I52" s="6" t="n">
        <v>-8762</v>
      </c>
    </row>
    <row r="53">
      <c r="A53" s="5" t="inlineStr">
        <is>
          <t>At 1 January 2025 (as restated)</t>
        </is>
      </c>
      <c r="B53" s="5" t="n">
        <v>48933</v>
      </c>
      <c r="C53" s="5" t="n">
        <v>140623</v>
      </c>
      <c r="D53" s="5" t="n">
        <v>3527</v>
      </c>
      <c r="E53" s="5" t="n">
        <v>-347</v>
      </c>
      <c r="F53" s="5" t="n"/>
      <c r="G53" s="5" t="n">
        <v>29336</v>
      </c>
      <c r="H53" s="5" t="n"/>
      <c r="I53" s="5" t="n">
        <v>222072</v>
      </c>
    </row>
    <row r="54">
      <c r="A54" s="6" t="inlineStr">
        <is>
          <t>Profit for the year (FY2025)</t>
        </is>
      </c>
      <c r="B54" s="6" t="n"/>
      <c r="C54" s="6" t="n"/>
      <c r="D54" s="6" t="n"/>
      <c r="E54" s="6" t="n"/>
      <c r="F54" s="6" t="n"/>
      <c r="G54" s="6" t="n">
        <v>1419</v>
      </c>
      <c r="H54" s="6" t="n"/>
      <c r="I54" s="6" t="n">
        <v>1419</v>
      </c>
    </row>
    <row r="55">
      <c r="A55" s="6" t="inlineStr">
        <is>
          <t>Other comprehensive income/(expense) (FY2025)</t>
        </is>
      </c>
      <c r="B55" s="6" t="n"/>
      <c r="C55" s="6" t="n"/>
      <c r="D55" s="6" t="n"/>
      <c r="E55" s="6" t="n">
        <v>202</v>
      </c>
      <c r="F55" s="6" t="n"/>
      <c r="G55" s="6" t="n">
        <v>-245</v>
      </c>
      <c r="H55" s="6" t="n"/>
      <c r="I55" s="6" t="n">
        <v>-43</v>
      </c>
    </row>
    <row r="56">
      <c r="A56" s="6" t="inlineStr">
        <is>
          <t>Sale of equity instrument at FVOCI (FY2025)</t>
        </is>
      </c>
      <c r="B56" s="6" t="n"/>
      <c r="C56" s="6" t="n"/>
      <c r="D56" s="6" t="n"/>
      <c r="E56" s="6" t="n"/>
      <c r="F56" s="6" t="n"/>
      <c r="G56" s="6" t="n">
        <v>620</v>
      </c>
      <c r="H56" s="6" t="n"/>
      <c r="I56" s="6" t="n">
        <v>620</v>
      </c>
    </row>
    <row r="57">
      <c r="A57" s="5" t="inlineStr">
        <is>
          <t>At 31 December 2025</t>
        </is>
      </c>
      <c r="B57" s="5" t="n">
        <v>48933</v>
      </c>
      <c r="C57" s="5" t="n">
        <v>140623</v>
      </c>
      <c r="D57" s="5" t="n">
        <v>3527</v>
      </c>
      <c r="E57" s="5" t="n">
        <v>-145</v>
      </c>
      <c r="F57" s="5" t="n"/>
      <c r="G57" s="5" t="n">
        <v>31130</v>
      </c>
      <c r="H57" s="5" t="n"/>
      <c r="I57" s="5" t="n">
        <v>224068</v>
      </c>
    </row>
    <row r="59" ht="460" customHeight="1">
      <c r="A59" s="8" t="inlineStr">
        <is>
          <t>Sources - BLME plc's own Income Statement / Statement of Financial Position / Statement of Changes in Equity, £'000s, each from that year's own originally-published Financial Statements:
FY2025: BLME plc Financial Statements 31 December 2025, pp.26,28-29 - https://www.blme.com/media/z0jd2sah/blme-plc-financial-statements-31-december-2025.pdf
FY2024: BLME plc Financial Statements 31 December 2024, pp.28,30,32 - https://www.blme.com/media/rneds5db/blme-plc-financial-statements-31-december-2024.pdf
FY2023: BLME plc Financial Statements 31 December 2023, pp.29,31,33 - https://www.blme.com/media/2j5fy4tv/blme-plc-financial-statements-31-december-2023.pdf
FY2022: BLME plc Financial Statements 31 December 2022, pp.29,31,33 - https://www.blme.com/media/2014/blme-plc-financial-statements-31-december-2022.pdf
FY2021: BLME plc Financial Statements 31 December 2021, pp.27,29,31 - https://www.blme.com/media/1964/blme-plc-fin-stats-31-december-2021-for-website.pdf
FY2020: BLME plc Financial Statements 31 December 2020, pp.25,27,29 - https://www.blme.com/media/1911/2020-financial-statements-blme-plc.pdf
FY2019: BLME plc Financial Statements 31 December 2019, pp.23,25,27 - https://www.blme.com/media/1852/blme-plc-financial-statements-31-december-2019.pdf
FY2018: BLME plc Financial Statements 31 December 2018, pp.19,21,23 - https://www.blme.com/media/1722/2018-financial-statements-blme-plc.pdf
FY2017: Bank of London and The Middle East plc Annual Report and Financial Statements 2017, 'Income Statement'/'Statement of Financial Position'/'Bank Statement of Changes in Equity', pp.23,25,27 - https://www.blme.com/media/1634/2017-financial-statements-blme-plc.pdf
FY2016: Bank of London and The Middle East plc Annual Report and Accounts 2016, 'Consolidated income statement' (P&amp;L only - see ENTITY_NOTE), 'Bank statement of financial position', 'Bank statement of changes in equity', pp.28,31,35 - https://www.blme.com/media/1539/2016-financial-statements-blme-plc.pdf
FY2015: Bank of London and The Middle East plc Annual Report and Accounts 2015, 'Consolidated income statement' (P&amp;L only - see ENTITY_NOTE), 'Bank statement of financial position', 'Bank statement of changes in equity', pp.28,31,35 - https://www.blme.com/media/1498/blme-plc-financial-statements-31-december-2015.pdf
FY2014: Bank of London and The Middle East plc Annual Report and Accounts - Revised 2014, 'Consolidated income statement' (P&amp;L only - see ENTITY_NOTE), 'Bank statement of financial position', 'Bank statement of changes in equity', pp.30,33,37 (originally reported in whole £, converted to £'000s here) - https://www.blme.com/media/1630/2014-financial-statements-blme-plc.pdf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
PRESENTATION NOTE: the FY2024 report restated FY2023's comparative (Note 2b, -£3,964k to retained earnings at 1 Jan 2023) and the FY2025 report restated FY2024's comparative (Note 2.3, -£8,762k to retained earnings at 1 Jan 2024) - both genuine disclosed restatements. Every P&amp;L/Balance Sheet column here uses each year's own originally-published figures (project convention, matching the Cash Flow Statement sheet), and the Statement of Changes in Equity shows both restatements as explicit 'Prior period adjustment' rows (as disclosed) rather than silently bridging FY2023-&gt;FY2024 or FY2024-&gt;FY2025. 'Investments in subsidiaries' only appears as its own Balance Sheet line FY2024-25 (FY2021-23's own reports don't show it separately); 'Due from customers' only appears FY2014-22 (nil/absent thereafter); 'Profit rate swaps' liability only appears FY2018-2021 (nil/absent thereafter); 'Assets held for sale' appears FY2019-20 and FY2023 only. FY2025's own equity statement renames the 'Fair value reserve' column 'Other reserves' - shown here under the FY2021-24 label for column consistency; the underlying balance is the same reserve. 'Operating lease assets' (FY2014-2020) and 'Cash flow hedging reserve' (FY2014-2016) both wound down to nil and were dropped from the Bank's own statements thereafter - see ENTITY_NOTE for the FY2018/2019 IFRS 9/IFRS 16 transition adjustments shown as explicit rows on the Equity Changes sheet.</t>
        </is>
      </c>
    </row>
  </sheetData>
  <mergeCells count="1">
    <mergeCell ref="A59:I59"/>
  </mergeCells>
  <pageMargins left="0.75" right="0.75" top="1" bottom="1" header="0.5" footer="0.5"/>
</worksheet>
</file>

<file path=xl/worksheets/sheet5.xml><?xml version="1.0" encoding="utf-8"?>
<worksheet xmlns="http://schemas.openxmlformats.org/spreadsheetml/2006/main">
  <sheetPr>
    <outlinePr summaryBelow="1" summaryRight="1"/>
    <pageSetUpPr/>
  </sheetPr>
  <dimension ref="A1:M61"/>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4"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Statement of Cash Flows</t>
        </is>
      </c>
    </row>
    <row r="2">
      <c r="A2" s="2" t="inlineStr">
        <is>
          <t>BLME plc, Bank-solo basis, £'000s. Full 12 years, no cash-flow exemption.</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Operating activities</t>
        </is>
      </c>
      <c r="B4" s="6" t="n"/>
      <c r="C4" s="6" t="n"/>
      <c r="D4" s="6" t="n"/>
      <c r="E4" s="6" t="n"/>
      <c r="F4" s="6" t="n"/>
      <c r="G4" s="6" t="n"/>
      <c r="H4" s="6" t="n"/>
      <c r="I4" s="6" t="n"/>
      <c r="J4" s="6" t="n"/>
      <c r="K4" s="6" t="n"/>
      <c r="L4" s="6" t="n"/>
      <c r="M4" s="6" t="n"/>
    </row>
    <row r="5">
      <c r="A5" s="6" t="inlineStr">
        <is>
          <t>Profit/(loss) before tax</t>
        </is>
      </c>
      <c r="B5" s="6" t="n">
        <v>1603</v>
      </c>
      <c r="C5" s="6" t="n">
        <v>7739</v>
      </c>
      <c r="D5" s="6" t="n">
        <v>7837</v>
      </c>
      <c r="E5" s="6" t="n">
        <v>-9037</v>
      </c>
      <c r="F5" s="6" t="n">
        <v>-7176</v>
      </c>
      <c r="G5" s="6" t="n">
        <v>530</v>
      </c>
      <c r="H5" s="6" t="n">
        <v>9906</v>
      </c>
      <c r="I5" s="6" t="n">
        <v>7719</v>
      </c>
      <c r="J5" s="6" t="n">
        <v>3362</v>
      </c>
      <c r="K5" s="6" t="n">
        <v>-19023</v>
      </c>
      <c r="L5" s="6" t="n">
        <v>-7101</v>
      </c>
      <c r="M5" s="6" t="n">
        <v>498</v>
      </c>
    </row>
    <row r="6">
      <c r="A6" s="6" t="inlineStr">
        <is>
          <t>Exchange differences</t>
        </is>
      </c>
      <c r="B6" s="6" t="n">
        <v>-21</v>
      </c>
      <c r="C6" s="6" t="n">
        <v>-3</v>
      </c>
      <c r="D6" s="6" t="n">
        <v>-5</v>
      </c>
      <c r="E6" s="6" t="n">
        <v>-10</v>
      </c>
      <c r="F6" s="6" t="n">
        <v>-12</v>
      </c>
      <c r="G6" s="6" t="n">
        <v>332</v>
      </c>
      <c r="H6" s="6" t="n">
        <v>-394</v>
      </c>
      <c r="I6" s="6" t="n">
        <v>-173</v>
      </c>
      <c r="J6" s="6" t="n">
        <v>-1745</v>
      </c>
      <c r="K6" s="6" t="n">
        <v>722</v>
      </c>
      <c r="L6" s="6" t="n">
        <v>-529</v>
      </c>
      <c r="M6" s="6" t="n">
        <v>24</v>
      </c>
    </row>
    <row r="7">
      <c r="A7" s="6" t="inlineStr">
        <is>
          <t>Fair value (gain)/loss on investment securities</t>
        </is>
      </c>
      <c r="B7" s="6" t="n"/>
      <c r="C7" s="6" t="n"/>
      <c r="D7" s="6" t="n"/>
      <c r="E7" s="6" t="n">
        <v>195</v>
      </c>
      <c r="F7" s="6" t="n">
        <v>-8</v>
      </c>
      <c r="G7" s="6" t="n">
        <v>-232</v>
      </c>
      <c r="H7" s="6" t="n">
        <v>-318</v>
      </c>
      <c r="I7" s="6" t="n">
        <v>252</v>
      </c>
      <c r="J7" s="6" t="n">
        <v>2359</v>
      </c>
      <c r="K7" s="6" t="n">
        <v>202</v>
      </c>
      <c r="L7" s="6" t="n">
        <v>-2049</v>
      </c>
      <c r="M7" s="6" t="n">
        <v>-1492</v>
      </c>
    </row>
    <row r="8">
      <c r="A8" s="6" t="inlineStr">
        <is>
          <t>Share of profit of equity-accounted investees, net of tax</t>
        </is>
      </c>
      <c r="B8" s="6" t="n">
        <v>-658</v>
      </c>
      <c r="C8" s="6" t="n">
        <v>-2921</v>
      </c>
      <c r="D8" s="6" t="n">
        <v>-81</v>
      </c>
      <c r="E8" s="6" t="n">
        <v>-97</v>
      </c>
      <c r="F8" s="6" t="n">
        <v>-100</v>
      </c>
      <c r="G8" s="6" t="n">
        <v>-25</v>
      </c>
      <c r="H8" s="6" t="n">
        <v>-9</v>
      </c>
      <c r="I8" s="6" t="n"/>
      <c r="J8" s="6" t="n"/>
      <c r="K8" s="6" t="n"/>
      <c r="L8" s="6" t="n"/>
      <c r="M8" s="6" t="n"/>
    </row>
    <row r="9">
      <c r="A9" s="6" t="inlineStr">
        <is>
          <t>Credit impairment losses / provision for impairment</t>
        </is>
      </c>
      <c r="B9" s="6" t="n">
        <v>3938</v>
      </c>
      <c r="C9" s="6" t="n">
        <v>2897</v>
      </c>
      <c r="D9" s="6" t="n">
        <v>2879</v>
      </c>
      <c r="E9" s="6" t="n">
        <v>13398</v>
      </c>
      <c r="F9" s="6" t="n">
        <v>12451</v>
      </c>
      <c r="G9" s="6" t="n">
        <v>7455</v>
      </c>
      <c r="H9" s="6" t="n">
        <v>1806</v>
      </c>
      <c r="I9" s="6" t="n">
        <v>2030</v>
      </c>
      <c r="J9" s="6" t="n">
        <v>-2734</v>
      </c>
      <c r="K9" s="6" t="n">
        <v>15791</v>
      </c>
      <c r="L9" s="6" t="n">
        <v>20591</v>
      </c>
      <c r="M9" s="6" t="n">
        <v>11602</v>
      </c>
    </row>
    <row r="10">
      <c r="A10" s="6" t="inlineStr">
        <is>
          <t>Impairment of investment in subsidiary</t>
        </is>
      </c>
      <c r="B10" s="6" t="n">
        <v>-1185</v>
      </c>
      <c r="C10" s="6" t="n"/>
      <c r="D10" s="6" t="n"/>
      <c r="E10" s="6" t="n"/>
      <c r="F10" s="6" t="n"/>
      <c r="G10" s="6" t="n"/>
      <c r="H10" s="6" t="n"/>
      <c r="I10" s="6" t="n"/>
      <c r="J10" s="6" t="n"/>
      <c r="K10" s="6" t="n"/>
      <c r="L10" s="6" t="n"/>
      <c r="M10" s="6" t="n"/>
    </row>
    <row r="11">
      <c r="A11" s="6" t="inlineStr">
        <is>
          <t>Depreciation and amortisation</t>
        </is>
      </c>
      <c r="B11" s="6" t="n">
        <v>748</v>
      </c>
      <c r="C11" s="6" t="n">
        <v>343</v>
      </c>
      <c r="D11" s="6" t="n">
        <v>235</v>
      </c>
      <c r="E11" s="6" t="n">
        <v>60</v>
      </c>
      <c r="F11" s="6" t="n">
        <v>29</v>
      </c>
      <c r="G11" s="6" t="n">
        <v>5199</v>
      </c>
      <c r="H11" s="6" t="n">
        <v>7886</v>
      </c>
      <c r="I11" s="6" t="n">
        <v>7097</v>
      </c>
      <c r="J11" s="6" t="n">
        <v>5833</v>
      </c>
      <c r="K11" s="6" t="n">
        <v>5199</v>
      </c>
      <c r="L11" s="6" t="n">
        <v>7128</v>
      </c>
      <c r="M11" s="6" t="n">
        <v>9962</v>
      </c>
    </row>
    <row r="12">
      <c r="A12" s="6" t="inlineStr">
        <is>
          <t>Gain on sale of property and equipment / intangibles</t>
        </is>
      </c>
      <c r="B12" s="6" t="n"/>
      <c r="C12" s="6" t="n"/>
      <c r="D12" s="6" t="n"/>
      <c r="E12" s="6" t="n"/>
      <c r="F12" s="6" t="n"/>
      <c r="G12" s="6" t="n"/>
      <c r="H12" s="6" t="n"/>
      <c r="I12" s="6" t="n"/>
      <c r="J12" s="6" t="n"/>
      <c r="K12" s="6" t="n"/>
      <c r="L12" s="6" t="n">
        <v>-929</v>
      </c>
      <c r="M12" s="6" t="n">
        <v>299</v>
      </c>
    </row>
    <row r="13">
      <c r="A13" s="6" t="inlineStr">
        <is>
          <t>Share-based payment awards</t>
        </is>
      </c>
      <c r="B13" s="6" t="n"/>
      <c r="C13" s="6" t="n"/>
      <c r="D13" s="6" t="n"/>
      <c r="E13" s="6" t="n"/>
      <c r="F13" s="6" t="n"/>
      <c r="G13" s="6" t="n">
        <v>0</v>
      </c>
      <c r="H13" s="6" t="n">
        <v>392</v>
      </c>
      <c r="I13" s="6" t="n">
        <v>293</v>
      </c>
      <c r="J13" s="6" t="n">
        <v>307</v>
      </c>
      <c r="K13" s="6" t="n">
        <v>171</v>
      </c>
      <c r="L13" s="6" t="n">
        <v>166</v>
      </c>
      <c r="M13" s="6" t="n">
        <v>54</v>
      </c>
    </row>
    <row r="14">
      <c r="A14" s="6" t="inlineStr">
        <is>
          <t>Adjustments to cash flow hedge reserve</t>
        </is>
      </c>
      <c r="B14" s="6" t="n"/>
      <c r="C14" s="6" t="n"/>
      <c r="D14" s="6" t="n"/>
      <c r="E14" s="6" t="n"/>
      <c r="F14" s="6" t="n"/>
      <c r="G14" s="6" t="n"/>
      <c r="H14" s="6" t="n"/>
      <c r="I14" s="6" t="n"/>
      <c r="J14" s="6" t="n"/>
      <c r="K14" s="6" t="n">
        <v>2053</v>
      </c>
      <c r="L14" s="6" t="n"/>
      <c r="M14" s="6" t="n"/>
    </row>
    <row r="15">
      <c r="A15" s="6" t="inlineStr">
        <is>
          <t>Accretion of instruments held under financing arrangements</t>
        </is>
      </c>
      <c r="B15" s="6" t="n"/>
      <c r="C15" s="6" t="n"/>
      <c r="D15" s="6" t="n"/>
      <c r="E15" s="6" t="n"/>
      <c r="F15" s="6" t="n"/>
      <c r="G15" s="6" t="n"/>
      <c r="H15" s="6" t="n"/>
      <c r="I15" s="6" t="n"/>
      <c r="J15" s="6" t="n"/>
      <c r="K15" s="6" t="n"/>
      <c r="L15" s="6" t="n"/>
      <c r="M15" s="6" t="n">
        <v>-13</v>
      </c>
    </row>
    <row r="16">
      <c r="A16" s="6" t="inlineStr">
        <is>
          <t>Movements relating to profit rate swaps</t>
        </is>
      </c>
      <c r="B16" s="6" t="n"/>
      <c r="C16" s="6" t="n"/>
      <c r="D16" s="6" t="n"/>
      <c r="E16" s="6" t="n">
        <v>-112</v>
      </c>
      <c r="F16" s="6" t="n"/>
      <c r="G16" s="6" t="n">
        <v>-854</v>
      </c>
      <c r="H16" s="6" t="n">
        <v>327</v>
      </c>
      <c r="I16" s="6" t="n">
        <v>363</v>
      </c>
      <c r="J16" s="6" t="n">
        <v>114</v>
      </c>
      <c r="K16" s="6" t="n">
        <v>-250</v>
      </c>
      <c r="L16" s="6" t="n">
        <v>1667</v>
      </c>
      <c r="M16" s="6" t="n">
        <v>44</v>
      </c>
    </row>
    <row r="17">
      <c r="A17" s="6" t="inlineStr">
        <is>
          <t>IFRS 16 - depreciation and finance charges/additions</t>
        </is>
      </c>
      <c r="B17" s="6" t="n">
        <v>494</v>
      </c>
      <c r="C17" s="6" t="n">
        <v>630</v>
      </c>
      <c r="D17" s="6" t="n">
        <v>775</v>
      </c>
      <c r="E17" s="6" t="n">
        <v>2797</v>
      </c>
      <c r="F17" s="6" t="n">
        <v>878</v>
      </c>
      <c r="G17" s="6" t="n">
        <v>933</v>
      </c>
      <c r="H17" s="6" t="n">
        <v>995</v>
      </c>
      <c r="I17" s="6" t="n"/>
      <c r="J17" s="6" t="n"/>
      <c r="K17" s="6" t="n"/>
      <c r="L17" s="6" t="n"/>
      <c r="M17" s="6" t="n"/>
    </row>
    <row r="18">
      <c r="A18" s="6" t="inlineStr">
        <is>
          <t>Accretion of finance charge on lease liabilities</t>
        </is>
      </c>
      <c r="B18" s="6" t="n">
        <v>65</v>
      </c>
      <c r="C18" s="6" t="n"/>
      <c r="D18" s="6" t="n"/>
      <c r="E18" s="6" t="n"/>
      <c r="F18" s="6" t="n"/>
      <c r="G18" s="6" t="n"/>
      <c r="H18" s="6" t="n"/>
      <c r="I18" s="6" t="n"/>
      <c r="J18" s="6" t="n"/>
      <c r="K18" s="6" t="n"/>
      <c r="L18" s="6" t="n"/>
      <c r="M18" s="6" t="n"/>
    </row>
    <row r="19">
      <c r="A19" s="6" t="inlineStr">
        <is>
          <t>Amortisation of investment securities / future swap present value</t>
        </is>
      </c>
      <c r="B19" s="6" t="n">
        <v>-195</v>
      </c>
      <c r="C19" s="6" t="n">
        <v>365</v>
      </c>
      <c r="D19" s="6" t="n">
        <v>152</v>
      </c>
      <c r="E19" s="6" t="n">
        <v>239</v>
      </c>
      <c r="F19" s="6" t="n">
        <v>257</v>
      </c>
      <c r="G19" s="6" t="n">
        <v>233</v>
      </c>
      <c r="H19" s="6" t="n">
        <v>26</v>
      </c>
      <c r="I19" s="6" t="n"/>
      <c r="J19" s="6" t="n">
        <v>26</v>
      </c>
      <c r="K19" s="6" t="n"/>
      <c r="L19" s="6" t="n">
        <v>-75</v>
      </c>
      <c r="M19" s="6" t="n">
        <v>-111</v>
      </c>
    </row>
    <row r="20">
      <c r="A20" s="6" t="inlineStr">
        <is>
          <t>Net change in fair value of investment in equity/debt at FVOCI</t>
        </is>
      </c>
      <c r="B20" s="6" t="n">
        <v>280</v>
      </c>
      <c r="C20" s="6" t="n"/>
      <c r="D20" s="6" t="n"/>
      <c r="E20" s="6" t="n"/>
      <c r="F20" s="6" t="n"/>
      <c r="G20" s="6" t="n"/>
      <c r="H20" s="6" t="n"/>
      <c r="I20" s="6" t="n"/>
      <c r="J20" s="6" t="n"/>
      <c r="K20" s="6" t="n"/>
      <c r="L20" s="6" t="n"/>
      <c r="M20" s="6" t="n"/>
    </row>
    <row r="21">
      <c r="A21" s="6" t="inlineStr">
        <is>
          <t>Gain on other asset</t>
        </is>
      </c>
      <c r="B21" s="6" t="n"/>
      <c r="C21" s="6" t="n"/>
      <c r="D21" s="6" t="n"/>
      <c r="E21" s="6" t="n"/>
      <c r="F21" s="6" t="n"/>
      <c r="G21" s="6" t="n"/>
      <c r="H21" s="6" t="n"/>
      <c r="I21" s="6" t="n"/>
      <c r="J21" s="6" t="n"/>
      <c r="K21" s="6" t="n"/>
      <c r="L21" s="6" t="n">
        <v>-608</v>
      </c>
      <c r="M21" s="6" t="n">
        <v>-745</v>
      </c>
    </row>
    <row r="22">
      <c r="A22" s="6" t="inlineStr">
        <is>
          <t>Tax (credit)/expense</t>
        </is>
      </c>
      <c r="B22" s="6" t="n"/>
      <c r="C22" s="6" t="n"/>
      <c r="D22" s="6" t="n"/>
      <c r="E22" s="6" t="n"/>
      <c r="F22" s="6" t="n"/>
      <c r="G22" s="6" t="n"/>
      <c r="H22" s="6" t="n"/>
      <c r="I22" s="6" t="n"/>
      <c r="J22" s="6" t="n"/>
      <c r="K22" s="6" t="n"/>
      <c r="L22" s="6" t="n">
        <v>-1630</v>
      </c>
      <c r="M22" s="6" t="n">
        <v>-140</v>
      </c>
    </row>
    <row r="23">
      <c r="A23" s="6" t="inlineStr">
        <is>
          <t>Loss on disposal of investment</t>
        </is>
      </c>
      <c r="B23" s="6" t="n"/>
      <c r="C23" s="6" t="n"/>
      <c r="D23" s="6" t="n"/>
      <c r="E23" s="6" t="n"/>
      <c r="F23" s="6" t="n"/>
      <c r="G23" s="6" t="n"/>
      <c r="H23" s="6" t="n"/>
      <c r="I23" s="6" t="n"/>
      <c r="J23" s="6" t="n"/>
      <c r="K23" s="6" t="n">
        <v>1353</v>
      </c>
      <c r="L23" s="6" t="n"/>
      <c r="M23" s="6" t="n"/>
    </row>
    <row r="24">
      <c r="A24" s="5" t="inlineStr">
        <is>
          <t>Net cash generated before changes in operating assets and liabilities</t>
        </is>
      </c>
      <c r="B24" s="5" t="n">
        <v>5069</v>
      </c>
      <c r="C24" s="5" t="n">
        <v>9050</v>
      </c>
      <c r="D24" s="5" t="n">
        <v>11792</v>
      </c>
      <c r="E24" s="5" t="n">
        <v>7433</v>
      </c>
      <c r="F24" s="5" t="n">
        <v>6319</v>
      </c>
      <c r="G24" s="5" t="n">
        <v>13571</v>
      </c>
      <c r="H24" s="5" t="n">
        <v>20617</v>
      </c>
      <c r="I24" s="5" t="n">
        <v>17581</v>
      </c>
      <c r="J24" s="5" t="n">
        <v>7522</v>
      </c>
      <c r="K24" s="5" t="n">
        <v>6218</v>
      </c>
      <c r="L24" s="5" t="n">
        <v>16631</v>
      </c>
      <c r="M24" s="5" t="n">
        <v>19982</v>
      </c>
    </row>
    <row r="25">
      <c r="A25" s="6" t="inlineStr">
        <is>
          <t>Due from financial institutions</t>
        </is>
      </c>
      <c r="B25" s="6" t="n">
        <v>127437</v>
      </c>
      <c r="C25" s="6" t="n">
        <v>145520</v>
      </c>
      <c r="D25" s="6" t="n">
        <v>152940</v>
      </c>
      <c r="E25" s="6" t="n">
        <v>26243</v>
      </c>
      <c r="F25" s="6" t="n">
        <v>-138243</v>
      </c>
      <c r="G25" s="6" t="n">
        <v>-311592</v>
      </c>
      <c r="H25" s="6" t="n">
        <v>-15441</v>
      </c>
      <c r="I25" s="6" t="n">
        <v>21288</v>
      </c>
      <c r="J25" s="6" t="n">
        <v>77139</v>
      </c>
      <c r="K25" s="6" t="n">
        <v>-81752</v>
      </c>
      <c r="L25" s="6" t="n">
        <v>153357</v>
      </c>
      <c r="M25" s="6" t="n">
        <v>-52750</v>
      </c>
    </row>
    <row r="26">
      <c r="A26" s="6" t="inlineStr">
        <is>
          <t>Due from customers</t>
        </is>
      </c>
      <c r="B26" s="6" t="n"/>
      <c r="C26" s="6" t="n"/>
      <c r="D26" s="6" t="n"/>
      <c r="E26" s="6" t="n">
        <v>24950</v>
      </c>
      <c r="F26" s="6" t="n">
        <v>9594</v>
      </c>
      <c r="G26" s="6" t="n">
        <v>-20306</v>
      </c>
      <c r="H26" s="6" t="n">
        <v>551</v>
      </c>
      <c r="I26" s="6" t="n">
        <v>-5585</v>
      </c>
      <c r="J26" s="6" t="n">
        <v>-9027</v>
      </c>
      <c r="K26" s="6" t="n">
        <v>0</v>
      </c>
      <c r="L26" s="6" t="n">
        <v>5038</v>
      </c>
      <c r="M26" s="6" t="n">
        <v>-5038</v>
      </c>
    </row>
    <row r="27">
      <c r="A27" s="6" t="inlineStr">
        <is>
          <t>Financing arrangements</t>
        </is>
      </c>
      <c r="B27" s="6" t="n">
        <v>-69536</v>
      </c>
      <c r="C27" s="6" t="n">
        <v>-143580</v>
      </c>
      <c r="D27" s="6" t="n">
        <v>-97301</v>
      </c>
      <c r="E27" s="6" t="n">
        <v>-126771</v>
      </c>
      <c r="F27" s="6" t="n">
        <v>13336</v>
      </c>
      <c r="G27" s="6" t="n">
        <v>14520</v>
      </c>
      <c r="H27" s="6" t="n">
        <v>-149067</v>
      </c>
      <c r="I27" s="6" t="n">
        <v>-150426</v>
      </c>
      <c r="J27" s="6" t="n">
        <v>-75068</v>
      </c>
      <c r="K27" s="6" t="n">
        <v>137129</v>
      </c>
      <c r="L27" s="6" t="n">
        <v>77548</v>
      </c>
      <c r="M27" s="6" t="n">
        <v>-101620</v>
      </c>
    </row>
    <row r="28">
      <c r="A28" s="6" t="inlineStr">
        <is>
          <t>Finance lease receivables</t>
        </is>
      </c>
      <c r="B28" s="6" t="n">
        <v>1262</v>
      </c>
      <c r="C28" s="6" t="n">
        <v>-1367</v>
      </c>
      <c r="D28" s="6" t="n">
        <v>32645</v>
      </c>
      <c r="E28" s="6" t="n">
        <v>7214</v>
      </c>
      <c r="F28" s="6" t="n">
        <v>159360</v>
      </c>
      <c r="G28" s="6" t="n">
        <v>210667</v>
      </c>
      <c r="H28" s="6" t="n">
        <v>-160487</v>
      </c>
      <c r="I28" s="6" t="n">
        <v>-86255</v>
      </c>
      <c r="J28" s="6" t="n">
        <v>65383</v>
      </c>
      <c r="K28" s="6" t="n">
        <v>41956</v>
      </c>
      <c r="L28" s="6" t="n">
        <v>-127948</v>
      </c>
      <c r="M28" s="6" t="n">
        <v>28822</v>
      </c>
    </row>
    <row r="29">
      <c r="A29" s="6" t="inlineStr">
        <is>
          <t>Operating lease assets</t>
        </is>
      </c>
      <c r="B29" s="6" t="n"/>
      <c r="C29" s="6" t="n"/>
      <c r="D29" s="6" t="n"/>
      <c r="E29" s="6" t="n"/>
      <c r="F29" s="6" t="n"/>
      <c r="G29" s="6" t="n">
        <v>33914</v>
      </c>
      <c r="H29" s="6" t="n">
        <v>-2997</v>
      </c>
      <c r="I29" s="6" t="n">
        <v>-15065</v>
      </c>
      <c r="J29" s="6" t="n">
        <v>-16439</v>
      </c>
      <c r="K29" s="6" t="n">
        <v>3045</v>
      </c>
      <c r="L29" s="6" t="n">
        <v>986</v>
      </c>
      <c r="M29" s="6" t="n">
        <v>3875</v>
      </c>
    </row>
    <row r="30">
      <c r="A30" s="6" t="inlineStr">
        <is>
          <t>Other assets</t>
        </is>
      </c>
      <c r="B30" s="6" t="n">
        <v>7645</v>
      </c>
      <c r="C30" s="6" t="n">
        <v>-10275</v>
      </c>
      <c r="D30" s="6" t="n">
        <v>10797</v>
      </c>
      <c r="E30" s="6" t="n">
        <v>-5460</v>
      </c>
      <c r="F30" s="6" t="n">
        <v>-4206</v>
      </c>
      <c r="G30" s="6" t="n">
        <v>8560</v>
      </c>
      <c r="H30" s="6" t="n">
        <v>-10880</v>
      </c>
      <c r="I30" s="6" t="n">
        <v>-2746</v>
      </c>
      <c r="J30" s="6" t="n">
        <v>4138</v>
      </c>
      <c r="K30" s="6" t="n">
        <v>3022</v>
      </c>
      <c r="L30" s="6" t="n">
        <v>-6325</v>
      </c>
      <c r="M30" s="6" t="n">
        <v>-641</v>
      </c>
    </row>
    <row r="31">
      <c r="A31" s="6" t="inlineStr">
        <is>
          <t>Due to financial institutions</t>
        </is>
      </c>
      <c r="B31" s="6" t="n">
        <v>15709</v>
      </c>
      <c r="C31" s="6" t="n">
        <v>26815</v>
      </c>
      <c r="D31" s="6" t="n">
        <v>-42286</v>
      </c>
      <c r="E31" s="6" t="n">
        <v>-226876</v>
      </c>
      <c r="F31" s="6" t="n">
        <v>83757</v>
      </c>
      <c r="G31" s="6" t="n">
        <v>-201668</v>
      </c>
      <c r="H31" s="6" t="n">
        <v>-285387</v>
      </c>
      <c r="I31" s="6" t="n">
        <v>152563</v>
      </c>
      <c r="J31" s="6" t="n">
        <v>-67650</v>
      </c>
      <c r="K31" s="6" t="n">
        <v>-122778</v>
      </c>
      <c r="L31" s="6" t="n">
        <v>76263</v>
      </c>
      <c r="M31" s="6" t="n">
        <v>-40753</v>
      </c>
    </row>
    <row r="32">
      <c r="A32" s="6" t="inlineStr">
        <is>
          <t>Due to customers</t>
        </is>
      </c>
      <c r="B32" s="6" t="n">
        <v>-64011</v>
      </c>
      <c r="C32" s="6" t="n">
        <v>13193</v>
      </c>
      <c r="D32" s="6" t="n">
        <v>-75983</v>
      </c>
      <c r="E32" s="6" t="n">
        <v>290262</v>
      </c>
      <c r="F32" s="6" t="n">
        <v>-263860</v>
      </c>
      <c r="G32" s="6" t="n">
        <v>386573</v>
      </c>
      <c r="H32" s="6" t="n">
        <v>561491</v>
      </c>
      <c r="I32" s="6" t="n">
        <v>80168</v>
      </c>
      <c r="J32" s="6" t="n">
        <v>63683</v>
      </c>
      <c r="K32" s="6" t="n">
        <v>-108712</v>
      </c>
      <c r="L32" s="6" t="n">
        <v>-149866</v>
      </c>
      <c r="M32" s="6" t="n">
        <v>162942</v>
      </c>
    </row>
    <row r="33">
      <c r="A33" s="6" t="inlineStr">
        <is>
          <t>Cash settlement of share-based payment awards</t>
        </is>
      </c>
      <c r="B33" s="6" t="n"/>
      <c r="C33" s="6" t="n"/>
      <c r="D33" s="6" t="n"/>
      <c r="E33" s="6" t="n"/>
      <c r="F33" s="6" t="n"/>
      <c r="G33" s="6" t="n"/>
      <c r="H33" s="6" t="n"/>
      <c r="I33" s="6" t="n"/>
      <c r="J33" s="6" t="n"/>
      <c r="K33" s="6" t="n"/>
      <c r="L33" s="6" t="n">
        <v>0</v>
      </c>
      <c r="M33" s="6" t="n">
        <v>-841</v>
      </c>
    </row>
    <row r="34">
      <c r="A34" s="6" t="inlineStr">
        <is>
          <t>Other liabilities</t>
        </is>
      </c>
      <c r="B34" s="6" t="n">
        <v>1403</v>
      </c>
      <c r="C34" s="6" t="n">
        <v>-649</v>
      </c>
      <c r="D34" s="6" t="n">
        <v>294</v>
      </c>
      <c r="E34" s="6" t="n">
        <v>1930</v>
      </c>
      <c r="F34" s="6" t="n">
        <v>-9295</v>
      </c>
      <c r="G34" s="6" t="n">
        <v>14255</v>
      </c>
      <c r="H34" s="6" t="n">
        <v>-5557</v>
      </c>
      <c r="I34" s="6" t="n">
        <v>6808</v>
      </c>
      <c r="J34" s="6" t="n">
        <v>1190</v>
      </c>
      <c r="K34" s="6" t="n">
        <v>8658</v>
      </c>
      <c r="L34" s="6" t="n">
        <v>-10432</v>
      </c>
      <c r="M34" s="6" t="n">
        <v>3250</v>
      </c>
    </row>
    <row r="35">
      <c r="A35" s="6" t="inlineStr">
        <is>
          <t>Corporation tax paid</t>
        </is>
      </c>
      <c r="B35" s="6" t="n">
        <v>-7</v>
      </c>
      <c r="C35" s="6" t="n"/>
      <c r="D35" s="6" t="n">
        <v>-260</v>
      </c>
      <c r="E35" s="6" t="n">
        <v>-2062</v>
      </c>
      <c r="F35" s="6" t="n">
        <v>-2847</v>
      </c>
      <c r="G35" s="6" t="n">
        <v>-4607</v>
      </c>
      <c r="H35" s="6" t="n">
        <v>-697</v>
      </c>
      <c r="I35" s="6" t="n">
        <v>-113</v>
      </c>
      <c r="J35" s="6" t="n"/>
      <c r="K35" s="6" t="n">
        <v>700</v>
      </c>
      <c r="L35" s="6" t="n">
        <v>-200</v>
      </c>
      <c r="M35" s="6" t="n">
        <v>-500</v>
      </c>
    </row>
    <row r="36">
      <c r="A36" s="5" t="inlineStr">
        <is>
          <t>Net cash generated from/(used in) operating activities</t>
        </is>
      </c>
      <c r="B36" s="5" t="n">
        <v>24971</v>
      </c>
      <c r="C36" s="5" t="n">
        <v>38707</v>
      </c>
      <c r="D36" s="5" t="n">
        <v>-7362</v>
      </c>
      <c r="E36" s="5" t="n">
        <v>-3137</v>
      </c>
      <c r="F36" s="5" t="n">
        <v>-146085</v>
      </c>
      <c r="G36" s="5" t="n">
        <v>143887</v>
      </c>
      <c r="H36" s="5" t="n">
        <v>-47854</v>
      </c>
      <c r="I36" s="5" t="n">
        <v>18218</v>
      </c>
      <c r="J36" s="5" t="n">
        <v>50871</v>
      </c>
      <c r="K36" s="5" t="n">
        <v>-112514</v>
      </c>
      <c r="L36" s="5" t="n">
        <v>35052</v>
      </c>
      <c r="M36" s="5" t="n">
        <v>16728</v>
      </c>
    </row>
    <row r="37">
      <c r="A37" s="5" t="inlineStr">
        <is>
          <t>Investing activities</t>
        </is>
      </c>
      <c r="B37" s="6" t="n"/>
      <c r="C37" s="6" t="n"/>
      <c r="D37" s="6" t="n"/>
      <c r="E37" s="6" t="n"/>
      <c r="F37" s="6" t="n"/>
      <c r="G37" s="6" t="n"/>
      <c r="H37" s="6" t="n"/>
      <c r="I37" s="6" t="n"/>
      <c r="J37" s="6" t="n"/>
      <c r="K37" s="6" t="n"/>
      <c r="L37" s="6" t="n"/>
      <c r="M37" s="6" t="n"/>
    </row>
    <row r="38">
      <c r="A38" s="6" t="inlineStr">
        <is>
          <t>Purchase/(disposal) of property and equipment</t>
        </is>
      </c>
      <c r="B38" s="6" t="n">
        <v>23</v>
      </c>
      <c r="C38" s="6" t="n">
        <v>-123</v>
      </c>
      <c r="D38" s="6" t="n">
        <v>-791</v>
      </c>
      <c r="E38" s="6" t="n">
        <v>-876</v>
      </c>
      <c r="F38" s="6" t="n">
        <v>-15</v>
      </c>
      <c r="G38" s="6" t="n">
        <v>-71</v>
      </c>
      <c r="H38" s="6" t="n"/>
      <c r="I38" s="6" t="n">
        <v>0</v>
      </c>
      <c r="J38" s="6" t="n">
        <v>-7</v>
      </c>
      <c r="K38" s="6" t="n">
        <v>-25</v>
      </c>
      <c r="L38" s="6" t="n">
        <v>-964</v>
      </c>
      <c r="M38" s="6" t="n">
        <v>-89</v>
      </c>
    </row>
    <row r="39">
      <c r="A39" s="6" t="inlineStr">
        <is>
          <t>Purchase of intangible assets</t>
        </is>
      </c>
      <c r="B39" s="6" t="n">
        <v>-452</v>
      </c>
      <c r="C39" s="6" t="n">
        <v>-1031</v>
      </c>
      <c r="D39" s="6" t="n">
        <v>-893</v>
      </c>
      <c r="E39" s="6" t="n">
        <v>-714</v>
      </c>
      <c r="F39" s="6" t="n"/>
      <c r="G39" s="6" t="n"/>
      <c r="H39" s="6" t="n"/>
      <c r="I39" s="6" t="n">
        <v>0</v>
      </c>
      <c r="J39" s="6" t="n">
        <v>-118</v>
      </c>
      <c r="K39" s="6" t="n">
        <v>-372</v>
      </c>
      <c r="L39" s="6" t="n">
        <v>-1229</v>
      </c>
      <c r="M39" s="6" t="n">
        <v>-715</v>
      </c>
    </row>
    <row r="40">
      <c r="A40" s="6" t="inlineStr">
        <is>
          <t>Purchase of investment securities</t>
        </is>
      </c>
      <c r="B40" s="6" t="n">
        <v>-7598</v>
      </c>
      <c r="C40" s="6" t="n">
        <v>-34858</v>
      </c>
      <c r="D40" s="6" t="n">
        <v>-15629</v>
      </c>
      <c r="E40" s="6" t="n">
        <v>-4873</v>
      </c>
      <c r="F40" s="6" t="n"/>
      <c r="G40" s="6" t="n">
        <v>-37036</v>
      </c>
      <c r="H40" s="6" t="n">
        <v>-63316</v>
      </c>
      <c r="I40" s="6" t="n">
        <v>-33753</v>
      </c>
      <c r="J40" s="6" t="n">
        <v>-89021</v>
      </c>
      <c r="K40" s="6" t="n">
        <v>-54919</v>
      </c>
      <c r="L40" s="6" t="n">
        <v>-149328</v>
      </c>
      <c r="M40" s="6" t="n">
        <v>-204325</v>
      </c>
    </row>
    <row r="41">
      <c r="A41" s="6" t="inlineStr">
        <is>
          <t>Sale of investment securities</t>
        </is>
      </c>
      <c r="B41" s="6" t="n">
        <v>19615</v>
      </c>
      <c r="C41" s="6" t="n">
        <v>8006</v>
      </c>
      <c r="D41" s="6" t="n">
        <v>1741</v>
      </c>
      <c r="E41" s="6" t="n">
        <v>33130</v>
      </c>
      <c r="F41" s="6" t="n">
        <v>30483</v>
      </c>
      <c r="G41" s="6" t="n">
        <v>57604</v>
      </c>
      <c r="H41" s="6" t="n">
        <v>84038</v>
      </c>
      <c r="I41" s="6" t="n">
        <v>29790</v>
      </c>
      <c r="J41" s="6" t="n">
        <v>62565</v>
      </c>
      <c r="K41" s="6" t="n">
        <v>158447</v>
      </c>
      <c r="L41" s="6" t="n">
        <v>150467</v>
      </c>
      <c r="M41" s="6" t="n">
        <v>163336</v>
      </c>
    </row>
    <row r="42">
      <c r="A42" s="6" t="inlineStr">
        <is>
          <t>Sale of subsidiary to a fellow subsidiary</t>
        </is>
      </c>
      <c r="B42" s="6" t="n"/>
      <c r="C42" s="6" t="n"/>
      <c r="D42" s="6" t="n">
        <v>298</v>
      </c>
      <c r="E42" s="6" t="n"/>
      <c r="F42" s="6" t="n"/>
      <c r="G42" s="6" t="n"/>
      <c r="H42" s="6" t="n"/>
      <c r="I42" s="6" t="n"/>
      <c r="J42" s="6" t="n"/>
      <c r="K42" s="6" t="n"/>
      <c r="L42" s="6" t="n"/>
      <c r="M42" s="6" t="n"/>
    </row>
    <row r="43">
      <c r="A43" s="6" t="inlineStr">
        <is>
          <t>Purchase of interest in assets held for sale</t>
        </is>
      </c>
      <c r="B43" s="6" t="n"/>
      <c r="C43" s="6" t="n"/>
      <c r="D43" s="6" t="n">
        <v>-35763</v>
      </c>
      <c r="E43" s="6" t="n"/>
      <c r="F43" s="6" t="n"/>
      <c r="G43" s="6" t="n">
        <v>-541</v>
      </c>
      <c r="H43" s="6" t="n">
        <v>-11116</v>
      </c>
      <c r="I43" s="6" t="n"/>
      <c r="J43" s="6" t="n"/>
      <c r="K43" s="6" t="n"/>
      <c r="L43" s="6" t="n"/>
      <c r="M43" s="6" t="n"/>
    </row>
    <row r="44">
      <c r="A44" s="6" t="inlineStr">
        <is>
          <t>Sale of interest in assets held for sale</t>
        </is>
      </c>
      <c r="B44" s="6" t="n"/>
      <c r="C44" s="6" t="n">
        <v>1800</v>
      </c>
      <c r="D44" s="6" t="n">
        <v>6000</v>
      </c>
      <c r="E44" s="6" t="n"/>
      <c r="F44" s="6" t="n">
        <v>485</v>
      </c>
      <c r="G44" s="6" t="n">
        <v>2100</v>
      </c>
      <c r="H44" s="6" t="n">
        <v>8500</v>
      </c>
      <c r="I44" s="6" t="n"/>
      <c r="J44" s="6" t="n"/>
      <c r="K44" s="6" t="n"/>
      <c r="L44" s="6" t="n"/>
      <c r="M44" s="6" t="n"/>
    </row>
    <row r="45">
      <c r="A45" s="6" t="inlineStr">
        <is>
          <t>Purchase of interest in joint venture</t>
        </is>
      </c>
      <c r="B45" s="6" t="n"/>
      <c r="C45" s="6" t="n"/>
      <c r="D45" s="6" t="n">
        <v>-6440</v>
      </c>
      <c r="E45" s="6" t="n"/>
      <c r="F45" s="6" t="n"/>
      <c r="G45" s="6" t="n"/>
      <c r="H45" s="6" t="n">
        <v>-1235</v>
      </c>
      <c r="I45" s="6" t="n"/>
      <c r="J45" s="6" t="n"/>
      <c r="K45" s="6" t="n"/>
      <c r="L45" s="6" t="n"/>
      <c r="M45" s="6" t="n"/>
    </row>
    <row r="46">
      <c r="A46" s="6" t="inlineStr">
        <is>
          <t>Dividend(s) received from joint venture(s)</t>
        </is>
      </c>
      <c r="B46" s="6" t="n">
        <v>2170</v>
      </c>
      <c r="C46" s="6" t="n">
        <v>2284</v>
      </c>
      <c r="D46" s="6" t="n">
        <v>325</v>
      </c>
      <c r="E46" s="6" t="n">
        <v>100</v>
      </c>
      <c r="F46" s="6" t="n">
        <v>100</v>
      </c>
      <c r="G46" s="6" t="n">
        <v>99</v>
      </c>
      <c r="H46" s="6" t="n">
        <v>28</v>
      </c>
      <c r="I46" s="6" t="n"/>
      <c r="J46" s="6" t="n"/>
      <c r="K46" s="6" t="n"/>
      <c r="L46" s="6" t="n"/>
      <c r="M46" s="6" t="n"/>
    </row>
    <row r="47">
      <c r="A47" s="6" t="inlineStr">
        <is>
          <t>Sale of equity instrument at FVOCI</t>
        </is>
      </c>
      <c r="B47" s="6" t="n">
        <v>620</v>
      </c>
      <c r="C47" s="6" t="n"/>
      <c r="D47" s="6" t="n"/>
      <c r="E47" s="6" t="n"/>
      <c r="F47" s="6" t="n"/>
      <c r="G47" s="6" t="n"/>
      <c r="H47" s="6" t="n"/>
      <c r="I47" s="6" t="n"/>
      <c r="J47" s="6" t="n"/>
      <c r="K47" s="6" t="n"/>
      <c r="L47" s="6" t="n"/>
      <c r="M47" s="6" t="n"/>
    </row>
    <row r="48">
      <c r="A48" s="6" t="inlineStr">
        <is>
          <t>Sale of interest in joint venture</t>
        </is>
      </c>
      <c r="B48" s="6" t="n">
        <v>1650</v>
      </c>
      <c r="C48" s="6" t="n"/>
      <c r="D48" s="6" t="n"/>
      <c r="E48" s="6" t="n"/>
      <c r="F48" s="6" t="n"/>
      <c r="G48" s="6" t="n"/>
      <c r="H48" s="6" t="n"/>
      <c r="I48" s="6" t="n"/>
      <c r="J48" s="6" t="n"/>
      <c r="K48" s="6" t="n"/>
      <c r="L48" s="6" t="n"/>
      <c r="M48" s="6" t="n"/>
    </row>
    <row r="49">
      <c r="A49" s="5" t="inlineStr">
        <is>
          <t>Net cash generated from/(used in) investing activities</t>
        </is>
      </c>
      <c r="B49" s="5" t="n">
        <v>16028</v>
      </c>
      <c r="C49" s="5" t="n">
        <v>-23922</v>
      </c>
      <c r="D49" s="5" t="n">
        <v>-51152</v>
      </c>
      <c r="E49" s="5" t="n">
        <v>26767</v>
      </c>
      <c r="F49" s="5" t="n">
        <v>31053</v>
      </c>
      <c r="G49" s="5" t="n">
        <v>22155</v>
      </c>
      <c r="H49" s="5" t="n">
        <v>16899</v>
      </c>
      <c r="I49" s="5" t="n">
        <v>-3963</v>
      </c>
      <c r="J49" s="5" t="n">
        <v>-26581</v>
      </c>
      <c r="K49" s="5" t="n">
        <v>103131</v>
      </c>
      <c r="L49" s="5" t="n">
        <v>-1054</v>
      </c>
      <c r="M49" s="5" t="n">
        <v>-41793</v>
      </c>
    </row>
    <row r="50">
      <c r="A50" s="5" t="inlineStr">
        <is>
          <t>Financing activities</t>
        </is>
      </c>
      <c r="B50" s="6" t="n"/>
      <c r="C50" s="6" t="n"/>
      <c r="D50" s="6" t="n"/>
      <c r="E50" s="6" t="n"/>
      <c r="F50" s="6" t="n"/>
      <c r="G50" s="6" t="n"/>
      <c r="H50" s="6" t="n"/>
      <c r="I50" s="6" t="n"/>
      <c r="J50" s="6" t="n"/>
      <c r="K50" s="6" t="n"/>
      <c r="L50" s="6" t="n"/>
      <c r="M50" s="6" t="n"/>
    </row>
    <row r="51">
      <c r="A51" s="6" t="inlineStr">
        <is>
          <t>Payment of principal portion of lease liabilities</t>
        </is>
      </c>
      <c r="B51" s="6" t="n">
        <v>-512</v>
      </c>
      <c r="C51" s="6" t="n">
        <v>-589</v>
      </c>
      <c r="D51" s="6" t="n">
        <v>-719</v>
      </c>
      <c r="E51" s="6" t="n">
        <v>-1123</v>
      </c>
      <c r="F51" s="6" t="n">
        <v>-1086</v>
      </c>
      <c r="G51" s="6" t="n">
        <v>-1104</v>
      </c>
      <c r="H51" s="6" t="n">
        <v>-1156</v>
      </c>
      <c r="I51" s="6" t="n"/>
      <c r="J51" s="6" t="n"/>
      <c r="K51" s="6" t="n"/>
      <c r="L51" s="6" t="n"/>
      <c r="M51" s="6" t="n"/>
    </row>
    <row r="52">
      <c r="A52" s="6" t="inlineStr">
        <is>
          <t>Payment of finance charge on lease liabilities</t>
        </is>
      </c>
      <c r="B52" s="6" t="n">
        <v>-65</v>
      </c>
      <c r="C52" s="6" t="n"/>
      <c r="D52" s="6" t="n"/>
      <c r="E52" s="6" t="n"/>
      <c r="F52" s="6" t="n"/>
      <c r="G52" s="6" t="n"/>
      <c r="H52" s="6" t="n"/>
      <c r="I52" s="6" t="n"/>
      <c r="J52" s="6" t="n"/>
      <c r="K52" s="6" t="n"/>
      <c r="L52" s="6" t="n"/>
      <c r="M52" s="6" t="n"/>
    </row>
    <row r="53">
      <c r="A53" s="6" t="inlineStr">
        <is>
          <t>Dividend paid to BLME Holdings plc</t>
        </is>
      </c>
      <c r="B53" s="6" t="n"/>
      <c r="C53" s="6" t="n"/>
      <c r="D53" s="6" t="n"/>
      <c r="E53" s="6" t="n"/>
      <c r="F53" s="6" t="n"/>
      <c r="G53" s="6" t="n">
        <v>0</v>
      </c>
      <c r="H53" s="6" t="n">
        <v>-5400</v>
      </c>
      <c r="I53" s="6" t="n">
        <v>-3750</v>
      </c>
      <c r="J53" s="6" t="n"/>
      <c r="K53" s="6" t="n"/>
      <c r="L53" s="6" t="n"/>
      <c r="M53" s="6" t="n"/>
    </row>
    <row r="54">
      <c r="A54" s="6" t="inlineStr">
        <is>
          <t>Expenses of BLME Scheme of Arrangement</t>
        </is>
      </c>
      <c r="B54" s="6" t="n"/>
      <c r="C54" s="6" t="n"/>
      <c r="D54" s="6" t="n"/>
      <c r="E54" s="6" t="n"/>
      <c r="F54" s="6" t="n"/>
      <c r="G54" s="6" t="n"/>
      <c r="H54" s="6" t="n"/>
      <c r="I54" s="6" t="n"/>
      <c r="J54" s="6" t="n"/>
      <c r="K54" s="6" t="n"/>
      <c r="L54" s="6" t="n"/>
      <c r="M54" s="6" t="n">
        <v>0</v>
      </c>
    </row>
    <row r="55">
      <c r="A55" s="5" t="inlineStr">
        <is>
          <t>Net cash generated from/(used in) financing activities</t>
        </is>
      </c>
      <c r="B55" s="5" t="n">
        <v>-577</v>
      </c>
      <c r="C55" s="5" t="n">
        <v>-589</v>
      </c>
      <c r="D55" s="5" t="n">
        <v>-719</v>
      </c>
      <c r="E55" s="5" t="n">
        <v>-1123</v>
      </c>
      <c r="F55" s="5" t="n">
        <v>-1086</v>
      </c>
      <c r="G55" s="5" t="n">
        <v>-1104</v>
      </c>
      <c r="H55" s="5" t="n">
        <v>-6556</v>
      </c>
      <c r="I55" s="5" t="n">
        <v>-3750</v>
      </c>
      <c r="J55" s="5" t="n"/>
      <c r="K55" s="5" t="n"/>
      <c r="L55" s="5" t="n"/>
      <c r="M55" s="5" t="n">
        <v>0</v>
      </c>
    </row>
    <row r="56">
      <c r="A56" s="5" t="inlineStr">
        <is>
          <t>Net change in cash and cash equivalents</t>
        </is>
      </c>
      <c r="B56" s="5" t="n">
        <v>40422</v>
      </c>
      <c r="C56" s="5" t="n">
        <v>14196</v>
      </c>
      <c r="D56" s="5" t="n">
        <v>-59233</v>
      </c>
      <c r="E56" s="5" t="n">
        <v>22507</v>
      </c>
      <c r="F56" s="5" t="n">
        <v>-116118</v>
      </c>
      <c r="G56" s="5" t="n">
        <v>164938</v>
      </c>
      <c r="H56" s="5" t="n">
        <v>-37511</v>
      </c>
      <c r="I56" s="5" t="n">
        <v>10505</v>
      </c>
      <c r="J56" s="5" t="n">
        <v>24290</v>
      </c>
      <c r="K56" s="5" t="n">
        <v>-9383</v>
      </c>
      <c r="L56" s="5" t="n">
        <v>33998</v>
      </c>
      <c r="M56" s="5" t="n">
        <v>-25065</v>
      </c>
    </row>
    <row r="57">
      <c r="A57" s="6" t="inlineStr">
        <is>
          <t>Exchange differences in respect of cash and cash equivalents</t>
        </is>
      </c>
      <c r="B57" s="6" t="n">
        <v>-33</v>
      </c>
      <c r="C57" s="6" t="n">
        <v>-65</v>
      </c>
      <c r="D57" s="6" t="n">
        <v>-21</v>
      </c>
      <c r="E57" s="6" t="n">
        <v>679</v>
      </c>
      <c r="F57" s="6" t="n">
        <v>-3292</v>
      </c>
      <c r="G57" s="6" t="n">
        <v>-198</v>
      </c>
      <c r="H57" s="6" t="n">
        <v>672</v>
      </c>
      <c r="I57" s="6" t="n">
        <v>-1851</v>
      </c>
      <c r="J57" s="6" t="n">
        <v>2081</v>
      </c>
      <c r="K57" s="6" t="n">
        <v>5129</v>
      </c>
      <c r="L57" s="6" t="n">
        <v>542</v>
      </c>
      <c r="M57" s="6" t="n">
        <v>2586</v>
      </c>
    </row>
    <row r="58">
      <c r="A58" s="6" t="inlineStr">
        <is>
          <t>Cash and cash equivalents at the beginning of the period</t>
        </is>
      </c>
      <c r="B58" s="6" t="n">
        <v>90139</v>
      </c>
      <c r="C58" s="6" t="n">
        <v>76008</v>
      </c>
      <c r="D58" s="6" t="n">
        <v>135262</v>
      </c>
      <c r="E58" s="6" t="n">
        <v>112076</v>
      </c>
      <c r="F58" s="6" t="n">
        <v>231486</v>
      </c>
      <c r="G58" s="6" t="n">
        <v>66746</v>
      </c>
      <c r="H58" s="6" t="n">
        <v>103585</v>
      </c>
      <c r="I58" s="6" t="n">
        <v>94931</v>
      </c>
      <c r="J58" s="6" t="n">
        <v>68560</v>
      </c>
      <c r="K58" s="6" t="n">
        <v>72814</v>
      </c>
      <c r="L58" s="6" t="n">
        <v>38274</v>
      </c>
      <c r="M58" s="6" t="n">
        <v>60753</v>
      </c>
    </row>
    <row r="59">
      <c r="A59" s="5" t="inlineStr">
        <is>
          <t>Cash and cash equivalents at the end of the period</t>
        </is>
      </c>
      <c r="B59" s="5" t="n">
        <v>130528</v>
      </c>
      <c r="C59" s="5" t="n">
        <v>90139</v>
      </c>
      <c r="D59" s="5" t="n">
        <v>76008</v>
      </c>
      <c r="E59" s="5" t="n">
        <v>135262</v>
      </c>
      <c r="F59" s="5" t="n">
        <v>112076</v>
      </c>
      <c r="G59" s="5" t="n">
        <v>231486</v>
      </c>
      <c r="H59" s="5" t="n">
        <v>66746</v>
      </c>
      <c r="I59" s="5" t="n">
        <v>103585</v>
      </c>
      <c r="J59" s="5" t="n">
        <v>94931</v>
      </c>
      <c r="K59" s="5" t="n">
        <v>68560</v>
      </c>
      <c r="L59" s="5" t="n">
        <v>72814</v>
      </c>
      <c r="M59" s="5" t="n">
        <v>38274</v>
      </c>
    </row>
    <row r="61" ht="340" customHeight="1">
      <c r="A61" s="8" t="inlineStr">
        <is>
          <t>Sources - BLME plc's own Statement of Cash Flows, £'000s, all years, each from that year's own originally-published Financial Statements (not a later restated comparative):
FY2025: BLME plc Financial Statements 31 December 2025, p.31-32 - https://www.blme.com/media/z0jd2sah/blme-plc-financial-statements-31-december-2025.pdf
FY2024: BLME plc Financial Statements 31 December 2024, p.31 - https://www.blme.com/media/rneds5db/blme-plc-financial-statements-31-december-2024.pdf
FY2023: BLME plc Financial Statements 31 December 2023, p.32 - https://www.blme.com/media/2j5fy4tv/blme-plc-financial-statements-31-december-2023.pdf
FY2022: BLME plc Financial Statements 31 December 2022, p.32 - https://www.blme.com/media/2014/blme-plc-financial-statements-31-december-2022.pdf
FY2021: BLME plc Financial Statements 31 December 2021, p.30 - https://www.blme.com/media/1964/blme-plc-fin-stats-31-december-2021-for-website.pdf
FY2020: BLME plc Financial Statements 31 December 2020, p.28 - https://www.blme.com/media/1911/2020-financial-statements-blme-plc.pdf
FY2019: BLME plc Financial Statements 31 December 2019, p.26 - https://www.blme.com/media/1852/blme-plc-financial-statements-31-december-2019.pdf
FY2018: BLME plc Financial Statements 31 December 2018, p.22 - https://www.blme.com/media/1722/2018-financial-statements-blme-plc.pdf
FY2017: Bank of London and The Middle East plc Annual Report and Financial Statements 2017, 'Statement of Cash Flows', p.26 - https://www.blme.com/media/1634/2017-financial-statements-blme-plc.pdf
FY2016: Bank of London and The Middle East plc Annual Report and Accounts 2016, 'Bank statement of cash flows', p.32 - https://www.blme.com/media/1539/2016-financial-statements-blme-plc.pdf
FY2015: Bank of London and The Middle East plc Annual Report and Accounts 2015, 'Bank statement of cash flows', p.32 - https://www.blme.com/media/1498/blme-plc-financial-statements-31-december-2015.pdf
FY2014: Bank of London and The Middle East plc Annual Report and Accounts - Revised 2014, 'Bank statement of cash flows', p.35 (originally reported in whole £, converted to £'000s here for consistency with every other column) - https://www.blme.com/media/1630/2014-financial-statements-blme-plc.pdf
The FY2025 report restates FY2024's comparative (a prior period adjustment of -£9,035k to retained earnings at 1 Jan 2024, per its own Note 2.3), and the FY2024 report itself already restated FY2023's comparative (-£3,964k, per its own Note 2b) - both are genuine disclosed restatements, but every column in this sheet uses each year's own originally-published figures (project convention), not a later restated version.
Presentation changed several times across the 12 years: FY2021-FY2023 include a separate 'Due from customers' line in operating assets (dropped FY2024 onward, reappearing FY2014-2020); FY2025 combines the 'operating assets' and 'operating liabilities' movements into a single unlabelled subtotal; FY2014-2020 include 'Operating lease assets' movements (wound down to nil by FY2021, dropped thereafter) - shown as blank cells where a line doesn't apply that year, not gaps. All TOTAL rows reconcile exactly to source for every year.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1:M61"/>
  </mergeCells>
  <pageMargins left="0.75" right="0.75" top="1" bottom="1" header="0.5" footer="0.5"/>
</worksheet>
</file>

<file path=xl/worksheets/sheet6.xml><?xml version="1.0" encoding="utf-8"?>
<worksheet xmlns="http://schemas.openxmlformats.org/spreadsheetml/2006/main">
  <sheetPr>
    <outlinePr summaryBelow="1" summaryRight="1"/>
    <pageSetUpPr/>
  </sheetPr>
  <dimension ref="A1:M28"/>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8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Asset Quality / Credit Risk Disclosures</t>
        </is>
      </c>
    </row>
    <row r="2">
      <c r="A2" s="2" t="inlineStr">
        <is>
          <t>IFRS 9 combined exposure by stage (FY2018-2025) / IAS 39 Financing-arrangements-only credit quality (FY2014-2017), £'000s. BLME plc, Bank-solo basis.</t>
        </is>
      </c>
    </row>
    <row r="3">
      <c r="A3" s="4" t="inlineStr">
        <is>
          <t>Line item</t>
        </is>
      </c>
      <c r="B3" s="4" t="inlineStr">
        <is>
          <t>FY2025 (£'000s)</t>
        </is>
      </c>
      <c r="C3" s="4" t="inlineStr">
        <is>
          <t>FY2024 (£'000s)</t>
        </is>
      </c>
      <c r="D3" s="4" t="inlineStr">
        <is>
          <t>FY2023 (£'000s)</t>
        </is>
      </c>
      <c r="E3" s="4" t="inlineStr">
        <is>
          <t>FY2022 (£'000s)</t>
        </is>
      </c>
      <c r="F3" s="4" t="inlineStr">
        <is>
          <t>FY2021 (£'000s)</t>
        </is>
      </c>
      <c r="G3" s="4" t="inlineStr">
        <is>
          <t>FY2020 (£'000s)</t>
        </is>
      </c>
      <c r="H3" s="4" t="inlineStr">
        <is>
          <t>FY2019 (£'000s)</t>
        </is>
      </c>
      <c r="I3" s="4" t="inlineStr">
        <is>
          <t>FY2018 (£'000s)</t>
        </is>
      </c>
      <c r="J3" s="4" t="inlineStr">
        <is>
          <t>FY2017 (£'000s)</t>
        </is>
      </c>
      <c r="K3" s="4" t="inlineStr">
        <is>
          <t>FY2016 (£'000s)</t>
        </is>
      </c>
      <c r="L3" s="4" t="inlineStr">
        <is>
          <t>FY2015 (£'000s)</t>
        </is>
      </c>
      <c r="M3" s="4" t="inlineStr">
        <is>
          <t>FY2014 (£'000s)</t>
        </is>
      </c>
    </row>
    <row r="4">
      <c r="A4" s="5" t="inlineStr">
        <is>
          <t>IFRS 9 era (FY2018-2025): combined exposure by stage, incl. undrawn commitments</t>
        </is>
      </c>
      <c r="B4" s="6" t="n"/>
      <c r="C4" s="6" t="n"/>
      <c r="D4" s="6" t="n"/>
      <c r="E4" s="6" t="n"/>
      <c r="F4" s="6" t="n"/>
      <c r="G4" s="6" t="n"/>
      <c r="H4" s="6" t="n"/>
      <c r="I4" s="6" t="n"/>
      <c r="J4" s="6" t="n"/>
      <c r="K4" s="6" t="n"/>
      <c r="L4" s="6" t="n"/>
      <c r="M4" s="6" t="n"/>
    </row>
    <row r="5">
      <c r="A5" s="6" t="inlineStr">
        <is>
          <t>Stage 1 (12-month ECL)</t>
        </is>
      </c>
      <c r="B5" s="6" t="n">
        <v>1091948</v>
      </c>
      <c r="C5" s="6" t="n">
        <v>1194794</v>
      </c>
      <c r="D5" s="6" t="n">
        <v>1105472</v>
      </c>
      <c r="E5" s="6" t="n">
        <v>1379874</v>
      </c>
      <c r="F5" s="6" t="n">
        <v>1444155</v>
      </c>
      <c r="G5" s="6" t="n">
        <v>1585063</v>
      </c>
      <c r="H5" s="6" t="n">
        <v>1476469</v>
      </c>
      <c r="I5" s="6" t="n">
        <v>1215991</v>
      </c>
      <c r="J5" s="6" t="n"/>
      <c r="K5" s="6" t="n"/>
      <c r="L5" s="6" t="n"/>
      <c r="M5" s="6" t="n"/>
    </row>
    <row r="6">
      <c r="A6" s="6" t="inlineStr">
        <is>
          <t>Stage 2 (lifetime ECL, not credit-impaired)</t>
        </is>
      </c>
      <c r="B6" s="6" t="n">
        <v>330284</v>
      </c>
      <c r="C6" s="6" t="n">
        <v>226768</v>
      </c>
      <c r="D6" s="6" t="n">
        <v>331650</v>
      </c>
      <c r="E6" s="6" t="n">
        <v>195379</v>
      </c>
      <c r="F6" s="6" t="n">
        <v>99784</v>
      </c>
      <c r="G6" s="6" t="n">
        <v>138414</v>
      </c>
      <c r="H6" s="6" t="n">
        <v>142975</v>
      </c>
      <c r="I6" s="6" t="n">
        <v>196034</v>
      </c>
      <c r="J6" s="6" t="n"/>
      <c r="K6" s="6" t="n"/>
      <c r="L6" s="6" t="n"/>
      <c r="M6" s="6" t="n"/>
    </row>
    <row r="7">
      <c r="A7" s="6" t="inlineStr">
        <is>
          <t>Stage 3 (lifetime ECL, credit-impaired)</t>
        </is>
      </c>
      <c r="B7" s="6" t="n">
        <v>62168</v>
      </c>
      <c r="C7" s="6" t="n">
        <v>62031</v>
      </c>
      <c r="D7" s="6" t="n">
        <v>64893</v>
      </c>
      <c r="E7" s="6" t="n">
        <v>78708</v>
      </c>
      <c r="F7" s="6" t="n">
        <v>43059</v>
      </c>
      <c r="G7" s="6" t="n">
        <v>39003</v>
      </c>
      <c r="H7" s="6" t="n">
        <v>19369</v>
      </c>
      <c r="I7" s="6" t="n">
        <v>21472</v>
      </c>
      <c r="J7" s="6" t="n"/>
      <c r="K7" s="6" t="n"/>
      <c r="L7" s="6" t="n"/>
      <c r="M7" s="6" t="n"/>
    </row>
    <row r="8">
      <c r="A8" s="5" t="inlineStr">
        <is>
          <t>Total gross exposure</t>
        </is>
      </c>
      <c r="B8" s="5" t="n">
        <v>1484400</v>
      </c>
      <c r="C8" s="5" t="n">
        <v>1483593</v>
      </c>
      <c r="D8" s="5" t="n">
        <v>1502015</v>
      </c>
      <c r="E8" s="5" t="n">
        <v>1653961</v>
      </c>
      <c r="F8" s="5" t="n">
        <v>1586998</v>
      </c>
      <c r="G8" s="5" t="n">
        <v>1762480</v>
      </c>
      <c r="H8" s="5" t="n">
        <v>1638813</v>
      </c>
      <c r="I8" s="5" t="n">
        <v>1433497</v>
      </c>
      <c r="J8" s="5" t="n"/>
      <c r="K8" s="5" t="n"/>
      <c r="L8" s="5" t="n"/>
      <c r="M8" s="5" t="n"/>
    </row>
    <row r="9">
      <c r="A9" s="5" t="inlineStr">
        <is>
          <t>Expected credit loss (ECL) allowance, by stage</t>
        </is>
      </c>
      <c r="B9" s="6" t="n"/>
      <c r="C9" s="6" t="n"/>
      <c r="D9" s="6" t="n"/>
      <c r="E9" s="6" t="n"/>
      <c r="F9" s="6" t="n"/>
      <c r="G9" s="6" t="n"/>
      <c r="H9" s="6" t="n"/>
      <c r="I9" s="6" t="n"/>
      <c r="J9" s="6" t="n"/>
      <c r="K9" s="6" t="n"/>
      <c r="L9" s="6" t="n"/>
      <c r="M9" s="6" t="n"/>
    </row>
    <row r="10">
      <c r="A10" s="6" t="inlineStr">
        <is>
          <t>Stage 1 allowance</t>
        </is>
      </c>
      <c r="B10" s="6" t="n">
        <v>-998</v>
      </c>
      <c r="C10" s="6" t="n">
        <v>-534</v>
      </c>
      <c r="D10" s="6" t="n">
        <v>-504</v>
      </c>
      <c r="E10" s="6" t="n">
        <v>-577</v>
      </c>
      <c r="F10" s="6" t="n">
        <v>-559</v>
      </c>
      <c r="G10" s="6" t="n">
        <v>-1338</v>
      </c>
      <c r="H10" s="6" t="n">
        <v>-2139</v>
      </c>
      <c r="I10" s="6" t="n">
        <v>-1305</v>
      </c>
      <c r="J10" s="6" t="n"/>
      <c r="K10" s="6" t="n"/>
      <c r="L10" s="6" t="n"/>
      <c r="M10" s="6" t="n"/>
    </row>
    <row r="11">
      <c r="A11" s="6" t="inlineStr">
        <is>
          <t>Stage 2 allowance</t>
        </is>
      </c>
      <c r="B11" s="6" t="n">
        <v>-1230</v>
      </c>
      <c r="C11" s="6" t="n">
        <v>-797</v>
      </c>
      <c r="D11" s="6" t="n">
        <v>-749</v>
      </c>
      <c r="E11" s="6" t="n">
        <v>-2151</v>
      </c>
      <c r="F11" s="6" t="n">
        <v>-1455</v>
      </c>
      <c r="G11" s="6" t="n">
        <v>-2734</v>
      </c>
      <c r="H11" s="6" t="n">
        <v>-1685</v>
      </c>
      <c r="I11" s="6" t="n">
        <v>-4425</v>
      </c>
      <c r="J11" s="6" t="n"/>
      <c r="K11" s="6" t="n"/>
      <c r="L11" s="6" t="n"/>
      <c r="M11" s="6" t="n"/>
    </row>
    <row r="12">
      <c r="A12" s="6" t="inlineStr">
        <is>
          <t>Stage 3 allowance</t>
        </is>
      </c>
      <c r="B12" s="6" t="n">
        <v>-4851</v>
      </c>
      <c r="C12" s="6" t="n">
        <v>-12554</v>
      </c>
      <c r="D12" s="6" t="n">
        <v>-7647</v>
      </c>
      <c r="E12" s="6" t="n">
        <v>-11236</v>
      </c>
      <c r="F12" s="6" t="n">
        <v>-13275</v>
      </c>
      <c r="G12" s="6" t="n">
        <v>-12594</v>
      </c>
      <c r="H12" s="6" t="n">
        <v>-6551</v>
      </c>
      <c r="I12" s="6" t="n">
        <v>-9018</v>
      </c>
      <c r="J12" s="6" t="n"/>
      <c r="K12" s="6" t="n"/>
      <c r="L12" s="6" t="n"/>
      <c r="M12" s="6" t="n"/>
    </row>
    <row r="13">
      <c r="A13" s="5" t="inlineStr">
        <is>
          <t>Total ECL allowance</t>
        </is>
      </c>
      <c r="B13" s="5" t="n">
        <v>-7079</v>
      </c>
      <c r="C13" s="5" t="n">
        <v>-13885</v>
      </c>
      <c r="D13" s="5" t="n">
        <v>-8900</v>
      </c>
      <c r="E13" s="5" t="n">
        <v>-13964</v>
      </c>
      <c r="F13" s="5" t="n">
        <v>-15289</v>
      </c>
      <c r="G13" s="5" t="n">
        <v>-16666</v>
      </c>
      <c r="H13" s="5" t="n">
        <v>-10375</v>
      </c>
      <c r="I13" s="5" t="n">
        <v>-14748</v>
      </c>
      <c r="J13" s="5" t="n"/>
      <c r="K13" s="5" t="n"/>
      <c r="L13" s="5" t="n"/>
      <c r="M13" s="5" t="n"/>
    </row>
    <row r="14">
      <c r="A14" s="5" t="inlineStr">
        <is>
          <t>Net exposure (IFRS 9 basis)</t>
        </is>
      </c>
      <c r="B14" s="5" t="n">
        <v>1477321</v>
      </c>
      <c r="C14" s="5" t="n">
        <v>1469708</v>
      </c>
      <c r="D14" s="5" t="n">
        <v>1493115</v>
      </c>
      <c r="E14" s="5" t="n">
        <v>1639997</v>
      </c>
      <c r="F14" s="5" t="n">
        <v>1571709</v>
      </c>
      <c r="G14" s="5" t="n">
        <v>1745814</v>
      </c>
      <c r="H14" s="5" t="n">
        <v>1628438</v>
      </c>
      <c r="I14" s="5" t="n">
        <v>1418749</v>
      </c>
      <c r="J14" s="5" t="n"/>
      <c r="K14" s="5" t="n"/>
      <c r="L14" s="5" t="n"/>
      <c r="M14" s="5" t="n"/>
    </row>
    <row r="15">
      <c r="A15" s="5" t="inlineStr">
        <is>
          <t>IAS 39 era (FY2014-2017): Financing arrangements only - not comparable in scope to the IFRS 9 rows above</t>
        </is>
      </c>
      <c r="B15" s="6" t="n"/>
      <c r="C15" s="6" t="n"/>
      <c r="D15" s="6" t="n"/>
      <c r="E15" s="6" t="n"/>
      <c r="F15" s="6" t="n"/>
      <c r="G15" s="6" t="n"/>
      <c r="H15" s="6" t="n"/>
      <c r="I15" s="6" t="n"/>
      <c r="J15" s="6" t="n"/>
      <c r="K15" s="6" t="n"/>
      <c r="L15" s="6" t="n"/>
      <c r="M15" s="6" t="n"/>
    </row>
    <row r="16">
      <c r="A16" s="6" t="inlineStr">
        <is>
          <t>Neither past due nor impaired</t>
        </is>
      </c>
      <c r="B16" s="6" t="n"/>
      <c r="C16" s="6" t="n"/>
      <c r="D16" s="6" t="n"/>
      <c r="E16" s="6" t="n"/>
      <c r="F16" s="6" t="n"/>
      <c r="G16" s="6" t="n"/>
      <c r="H16" s="6" t="n"/>
      <c r="I16" s="6" t="n"/>
      <c r="J16" s="6" t="n">
        <v>501318</v>
      </c>
      <c r="K16" s="6" t="n">
        <v>421474</v>
      </c>
      <c r="L16" s="6" t="n">
        <v>573289</v>
      </c>
      <c r="M16" s="6" t="n">
        <v>682881</v>
      </c>
    </row>
    <row r="17">
      <c r="A17" s="6" t="inlineStr">
        <is>
          <t>Past due but not impaired</t>
        </is>
      </c>
      <c r="B17" s="6" t="n"/>
      <c r="C17" s="6" t="n"/>
      <c r="D17" s="6" t="n"/>
      <c r="E17" s="6" t="n"/>
      <c r="F17" s="6" t="n"/>
      <c r="G17" s="6" t="n"/>
      <c r="H17" s="6" t="n"/>
      <c r="I17" s="6" t="n"/>
      <c r="J17" s="6" t="n">
        <v>40255</v>
      </c>
      <c r="K17" s="6" t="n">
        <v>23758</v>
      </c>
      <c r="L17" s="6" t="n">
        <v>33257</v>
      </c>
      <c r="M17" s="6" t="n">
        <v>17602</v>
      </c>
    </row>
    <row r="18">
      <c r="A18" s="6" t="inlineStr">
        <is>
          <t>Gross exposure associated with impairment provision (individually impaired)</t>
        </is>
      </c>
      <c r="B18" s="6" t="n"/>
      <c r="C18" s="6" t="n"/>
      <c r="D18" s="6" t="n"/>
      <c r="E18" s="6" t="n"/>
      <c r="F18" s="6" t="n"/>
      <c r="G18" s="6" t="n"/>
      <c r="H18" s="6" t="n"/>
      <c r="I18" s="6" t="n"/>
      <c r="J18" s="6" t="n">
        <v>24627</v>
      </c>
      <c r="K18" s="6" t="n">
        <v>45232</v>
      </c>
      <c r="L18" s="6" t="n">
        <v>53838</v>
      </c>
      <c r="M18" s="6" t="n">
        <v>56267</v>
      </c>
    </row>
    <row r="19">
      <c r="A19" s="6" t="inlineStr">
        <is>
          <t>Less: allowance for impairments</t>
        </is>
      </c>
      <c r="B19" s="6" t="n"/>
      <c r="C19" s="6" t="n"/>
      <c r="D19" s="6" t="n"/>
      <c r="E19" s="6" t="n"/>
      <c r="F19" s="6" t="n"/>
      <c r="G19" s="6" t="n"/>
      <c r="H19" s="6" t="n"/>
      <c r="I19" s="6" t="n"/>
      <c r="J19" s="6" t="n">
        <v>-9558</v>
      </c>
      <c r="K19" s="6" t="n">
        <v>-15827</v>
      </c>
      <c r="L19" s="6" t="n">
        <v>-33161</v>
      </c>
      <c r="M19" s="6" t="n">
        <v>-33470</v>
      </c>
    </row>
    <row r="20">
      <c r="A20" s="5" t="inlineStr">
        <is>
          <t>Total Financing arrangements (IAS 39 basis)</t>
        </is>
      </c>
      <c r="B20" s="5" t="n"/>
      <c r="C20" s="5" t="n"/>
      <c r="D20" s="5" t="n"/>
      <c r="E20" s="5" t="n"/>
      <c r="F20" s="5" t="n"/>
      <c r="G20" s="5" t="n"/>
      <c r="H20" s="5" t="n"/>
      <c r="I20" s="5" t="n"/>
      <c r="J20" s="5" t="n">
        <v>556642</v>
      </c>
      <c r="K20" s="5" t="n">
        <v>474637</v>
      </c>
      <c r="L20" s="5" t="n">
        <v>627223</v>
      </c>
      <c r="M20" s="5" t="n">
        <v>723280</v>
      </c>
    </row>
    <row r="21">
      <c r="A21" s="5" t="inlineStr">
        <is>
          <t>Ratios</t>
        </is>
      </c>
      <c r="B21" s="6" t="n"/>
      <c r="C21" s="6" t="n"/>
      <c r="D21" s="6" t="n"/>
      <c r="E21" s="6" t="n"/>
      <c r="F21" s="6" t="n"/>
      <c r="G21" s="6" t="n"/>
      <c r="H21" s="6" t="n"/>
      <c r="I21" s="6" t="n"/>
      <c r="J21" s="6" t="n"/>
      <c r="K21" s="6" t="n"/>
      <c r="L21" s="6" t="n"/>
      <c r="M21" s="6" t="n"/>
    </row>
    <row r="22">
      <c r="A22" s="6" t="inlineStr">
        <is>
          <t>Stage 3 exposure ratio (Stage 3 / total gross exposure) [IFRS 9, FY2018-2025]</t>
        </is>
      </c>
      <c r="B22" s="6" t="inlineStr">
        <is>
          <t>4.2%</t>
        </is>
      </c>
      <c r="C22" s="6" t="inlineStr">
        <is>
          <t>4.2%</t>
        </is>
      </c>
      <c r="D22" s="6" t="inlineStr">
        <is>
          <t>4.3%</t>
        </is>
      </c>
      <c r="E22" s="6" t="inlineStr">
        <is>
          <t>4.8%</t>
        </is>
      </c>
      <c r="F22" s="6" t="inlineStr">
        <is>
          <t>2.7%</t>
        </is>
      </c>
      <c r="G22" s="6" t="inlineStr">
        <is>
          <t>2.2%</t>
        </is>
      </c>
      <c r="H22" s="6" t="inlineStr">
        <is>
          <t>1.2%</t>
        </is>
      </c>
      <c r="I22" s="6" t="inlineStr">
        <is>
          <t>1.5%</t>
        </is>
      </c>
      <c r="J22" s="6" t="n"/>
      <c r="K22" s="6" t="n"/>
      <c r="L22" s="6" t="n"/>
      <c r="M22" s="6" t="n"/>
    </row>
    <row r="23">
      <c r="A23" s="6" t="inlineStr">
        <is>
          <t>Stage 3 coverage ratio (Stage 3 allowance / Stage 3 exposure) [IFRS 9, FY2018-2025]</t>
        </is>
      </c>
      <c r="B23" s="6" t="inlineStr">
        <is>
          <t>7.8%</t>
        </is>
      </c>
      <c r="C23" s="6" t="inlineStr">
        <is>
          <t>20.2%</t>
        </is>
      </c>
      <c r="D23" s="6" t="inlineStr">
        <is>
          <t>11.8%</t>
        </is>
      </c>
      <c r="E23" s="6" t="inlineStr">
        <is>
          <t>14.3%</t>
        </is>
      </c>
      <c r="F23" s="6" t="inlineStr">
        <is>
          <t>30.8%</t>
        </is>
      </c>
      <c r="G23" s="6" t="inlineStr">
        <is>
          <t>32.3%</t>
        </is>
      </c>
      <c r="H23" s="6" t="inlineStr">
        <is>
          <t>33.8%</t>
        </is>
      </c>
      <c r="I23" s="6" t="inlineStr">
        <is>
          <t>42.0%</t>
        </is>
      </c>
      <c r="J23" s="6" t="n"/>
      <c r="K23" s="6" t="n"/>
      <c r="L23" s="6" t="n"/>
      <c r="M23" s="6" t="n"/>
    </row>
    <row r="24">
      <c r="A24" s="6" t="inlineStr">
        <is>
          <t>Overall coverage ratio (total allowance / total gross exposure) [IFRS 9, FY2018-2025]</t>
        </is>
      </c>
      <c r="B24" s="6" t="inlineStr">
        <is>
          <t>0.48%</t>
        </is>
      </c>
      <c r="C24" s="6" t="inlineStr">
        <is>
          <t>0.94%</t>
        </is>
      </c>
      <c r="D24" s="6" t="inlineStr">
        <is>
          <t>0.59%</t>
        </is>
      </c>
      <c r="E24" s="6" t="inlineStr">
        <is>
          <t>0.84%</t>
        </is>
      </c>
      <c r="F24" s="6" t="inlineStr">
        <is>
          <t>0.96%</t>
        </is>
      </c>
      <c r="G24" s="6" t="inlineStr">
        <is>
          <t>0.95%</t>
        </is>
      </c>
      <c r="H24" s="6" t="inlineStr">
        <is>
          <t>0.63%</t>
        </is>
      </c>
      <c r="I24" s="6" t="inlineStr">
        <is>
          <t>1.03%</t>
        </is>
      </c>
      <c r="J24" s="6" t="n"/>
      <c r="K24" s="6" t="n"/>
      <c r="L24" s="6" t="n"/>
      <c r="M24" s="6" t="n"/>
    </row>
    <row r="25">
      <c r="A25" s="6" t="inlineStr">
        <is>
          <t>Impaired exposure ratio (impaired / total Financing arrangements) [IAS 39, FY2014-2017]</t>
        </is>
      </c>
      <c r="B25" s="6" t="n"/>
      <c r="C25" s="6" t="n"/>
      <c r="D25" s="6" t="n"/>
      <c r="E25" s="6" t="n"/>
      <c r="F25" s="6" t="n"/>
      <c r="G25" s="6" t="n"/>
      <c r="H25" s="6" t="n"/>
      <c r="I25" s="6" t="n"/>
      <c r="J25" s="6" t="inlineStr">
        <is>
          <t>4.3%</t>
        </is>
      </c>
      <c r="K25" s="6" t="inlineStr">
        <is>
          <t>9.2%</t>
        </is>
      </c>
      <c r="L25" s="6" t="inlineStr">
        <is>
          <t>8.2%</t>
        </is>
      </c>
      <c r="M25" s="6" t="inlineStr">
        <is>
          <t>7.4%</t>
        </is>
      </c>
    </row>
    <row r="26">
      <c r="A26" s="6" t="inlineStr">
        <is>
          <t>Impairment coverage ratio (allowance / impaired exposure) [IAS 39, FY2014-2017]</t>
        </is>
      </c>
      <c r="B26" s="6" t="n"/>
      <c r="C26" s="6" t="n"/>
      <c r="D26" s="6" t="n"/>
      <c r="E26" s="6" t="n"/>
      <c r="F26" s="6" t="n"/>
      <c r="G26" s="6" t="n"/>
      <c r="H26" s="6" t="n"/>
      <c r="I26" s="6" t="n"/>
      <c r="J26" s="6" t="inlineStr">
        <is>
          <t>38.8%</t>
        </is>
      </c>
      <c r="K26" s="6" t="inlineStr">
        <is>
          <t>35.0%</t>
        </is>
      </c>
      <c r="L26" s="6" t="inlineStr">
        <is>
          <t>61.6%</t>
        </is>
      </c>
      <c r="M26" s="6" t="inlineStr">
        <is>
          <t>59.5%</t>
        </is>
      </c>
    </row>
    <row r="28" ht="440" customHeight="1">
      <c r="A28" s="8" t="inlineStr">
        <is>
          <t>Sources - BLME plc's own 'Exposure by Stage'/'ECL by Stage' (Note 15, IFRS 9, FY2018-2025) and 'Analysis of past due amounts and impairments' (IAS 39, FY2014-2017) notes, Bank column, £'000s:
FY2025/FY2024: BLME plc Financial Statements 31 December 2025, pp.51,53 - https://www.blme.com/media/z0jd2sah/blme-plc-financial-statements-31-december-2025.pdf
FY2023/FY2022: BLME plc Financial Statements 31 December 2023, pp.59,61 - https://www.blme.com/media/2j5fy4tv/blme-plc-financial-statements-31-december-2023.pdf
FY2021: BLME plc Financial Statements 31 December 2021, p.59 - https://www.blme.com/media/1964/blme-plc-fin-stats-31-december-2021-for-website.pdf
FY2020/FY2019: BLME plc Financial Statements 31 December 2020, pp.61-63 - https://www.blme.com/media/1911/2020-financial-statements-blme-plc.pdf
FY2018: BLME plc Financial Statements 31 December 2019, Note 15 pp.59-60 (FY2018 shown as that report's own 1 January 2019 comparative opening balance) - https://www.blme.com/media/1852/blme-plc-financial-statements-31-december-2019.pdf; ECL by Stage FY2018 closing cross-checked directly against the FY2018 report's own Note 14, p.54 - https://www.blme.com/media/1722/2018-financial-statements-blme-plc.pdf
FY2017: Bank of London and The Middle East plc Annual Report and Financial Statements 2017, 'Analysis of past due amounts and impairments', Bank column, p.75 - https://www.blme.com/media/1634/2017-financial-statements-blme-plc.pdf
FY2016: same 2017 Annual Report, Bank column FY2016 comparative, p.75 - https://www.blme.com/media/1634/2017-financial-statements-blme-plc.pdf
FY2015: Bank of London and The Middle East plc Annual Report and Accounts 2015, 'Analysis of past due amounts and impairments', Bank column, p.102 - https://www.blme.com/media/1498/blme-plc-financial-statements-31-december-2015.pdf
FY2014: Bank of London and The Middle East plc Annual Report and Accounts - Revised 2014, 'Analysis of past due amounts and impairments', Bank column, p.97 (originally reported in whole £, converted to £'000s here) - https://www.blme.com/media/1630/2014-financial-statements-blme-plc.pdf
Note: Stage 3 coverage fell sharply from 30.8% (FY2021) to 7.8% (FY2025) - genuine, driven by write-offs of specifically-provisioned exposures each year (e.g. £13.8m written off in FY2025 alone, per Note 12) reducing the Stage 3 allowance balance faster than the Stage 3 gross exposure balance - flagged here, not smoothed. 'Total gross exposure' figures (IFRS 9 rows) are higher than the Balance Sheet's own Financing arrangements carrying value because they include undrawn credit facilities, off-balance-sheet commitments, and several other asset classes besides Financing arrangements (per the Bank's own note) - not a reconciliation error, and not directly comparable to the narrower IAS 39-era Financing-arrangements-only rows for FY2014-2017. See ENTITY_NOTE point (4) for the full methodology break.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28:M28"/>
  </mergeCells>
  <pageMargins left="0.75" right="0.75" top="1" bottom="1" header="0.5" footer="0.5"/>
</worksheet>
</file>

<file path=xl/worksheets/sheet7.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Common Equity Tier 1 (CET1)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8.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CET1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CET1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9.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capital</t>
        </is>
      </c>
      <c r="B4" s="6" t="n">
        <v>225.806</v>
      </c>
      <c r="C4" s="6" t="n">
        <v>227.639</v>
      </c>
      <c r="D4" s="6" t="n">
        <v>226.478</v>
      </c>
      <c r="E4" s="6" t="n">
        <v>227.212</v>
      </c>
      <c r="F4" s="6" t="n">
        <v>238.839</v>
      </c>
      <c r="G4" s="6" t="n">
        <v>245</v>
      </c>
      <c r="H4" s="6" t="n">
        <v>221</v>
      </c>
      <c r="I4" s="6" t="n">
        <v>215</v>
      </c>
      <c r="J4" s="6" t="n">
        <v>216</v>
      </c>
      <c r="K4" s="6" t="n">
        <v>216</v>
      </c>
      <c r="L4" s="6" t="n">
        <v>201</v>
      </c>
      <c r="M4" s="6" t="n">
        <v>189.18</v>
      </c>
    </row>
    <row r="5" ht="60" customHeight="1">
      <c r="A5" s="7" t="inlineStr">
        <is>
          <t>Note: CET1 = Tier 1 = Total Capital every year from FY2017 onward - BLME has no Additional Tier 1 or Tier 2 instruments in that period. FY2015-2016 held non-zero Tier 2 capital (the collective impairment provision, per CRR transitional rules), so Total Capital exceeds CET1/Tier 1 slightly those two years only (FY2015: Tier1 £201m vs Total £204m; FY2016: Tier1 £216m vs Total £220m) - see ENTITY_NOTE point (3).</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0.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Tier 1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Tier 1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20.95%</t>
        </is>
      </c>
      <c r="K4" s="6" t="inlineStr">
        <is>
          <t>20.42%</t>
        </is>
      </c>
      <c r="L4" s="6" t="inlineStr">
        <is>
          <t>15.41%</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1.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t>
        </is>
      </c>
      <c r="B4" s="6" t="n">
        <v>225.806</v>
      </c>
      <c r="C4" s="6" t="n">
        <v>227.639</v>
      </c>
      <c r="D4" s="6" t="n">
        <v>226.478</v>
      </c>
      <c r="E4" s="6" t="n">
        <v>227.212</v>
      </c>
      <c r="F4" s="6" t="n">
        <v>238.839</v>
      </c>
      <c r="G4" s="6" t="n">
        <v>245</v>
      </c>
      <c r="H4" s="6" t="n">
        <v>221</v>
      </c>
      <c r="I4" s="6" t="n">
        <v>215</v>
      </c>
      <c r="J4" s="6" t="n">
        <v>220</v>
      </c>
      <c r="K4" s="6" t="n">
        <v>220</v>
      </c>
      <c r="L4" s="6" t="n">
        <v>204</v>
      </c>
      <c r="M4" s="6" t="n">
        <v>189.18</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2.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Capital Ratio</t>
        </is>
      </c>
    </row>
    <row r="2">
      <c r="A2" s="2" t="inlineStr">
        <is>
          <t>% of RWA</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capital ratio</t>
        </is>
      </c>
      <c r="B4" s="6" t="inlineStr">
        <is>
          <t>19.29%</t>
        </is>
      </c>
      <c r="C4" s="6" t="inlineStr">
        <is>
          <t>17.80%</t>
        </is>
      </c>
      <c r="D4" s="6" t="inlineStr">
        <is>
          <t>16.87%</t>
        </is>
      </c>
      <c r="E4" s="6" t="inlineStr">
        <is>
          <t>16.51%</t>
        </is>
      </c>
      <c r="F4" s="6" t="inlineStr">
        <is>
          <t>18.18%</t>
        </is>
      </c>
      <c r="G4" s="6" t="inlineStr">
        <is>
          <t>16.62%</t>
        </is>
      </c>
      <c r="H4" s="6" t="inlineStr">
        <is>
          <t>15.07%</t>
        </is>
      </c>
      <c r="I4" s="6" t="inlineStr">
        <is>
          <t>17.24%</t>
        </is>
      </c>
      <c r="J4" s="6" t="inlineStr">
        <is>
          <t>21.33%</t>
        </is>
      </c>
      <c r="K4" s="6" t="inlineStr">
        <is>
          <t>20.81%</t>
        </is>
      </c>
      <c r="L4" s="6" t="inlineStr">
        <is>
          <t>15.65%</t>
        </is>
      </c>
      <c r="M4" s="6" t="inlineStr">
        <is>
          <t>15.26%</t>
        </is>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3.xml><?xml version="1.0" encoding="utf-8"?>
<worksheet xmlns="http://schemas.openxmlformats.org/spreadsheetml/2006/main">
  <sheetPr>
    <outlinePr summaryBelow="1" summaryRight="1"/>
    <pageSetUpPr/>
  </sheetPr>
  <dimension ref="A1:M6"/>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Total RWAs</t>
        </is>
      </c>
    </row>
    <row r="2">
      <c r="A2" s="2" t="inlineStr">
        <is>
          <t>£m</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Total risk-weighted exposure amount</t>
        </is>
      </c>
      <c r="B4" s="6" t="n">
        <v>1170.428</v>
      </c>
      <c r="C4" s="6" t="n">
        <v>1279.034</v>
      </c>
      <c r="D4" s="6" t="n">
        <v>1342.418</v>
      </c>
      <c r="E4" s="6" t="n">
        <v>1376.389</v>
      </c>
      <c r="F4" s="6" t="n">
        <v>1313.776</v>
      </c>
      <c r="G4" s="6" t="n">
        <v>1472.268</v>
      </c>
      <c r="H4" s="6" t="n">
        <v>1466.255</v>
      </c>
      <c r="I4" s="6" t="n">
        <v>1245.086</v>
      </c>
      <c r="J4" s="6" t="n">
        <v>1032</v>
      </c>
      <c r="K4" s="6" t="n">
        <v>1055</v>
      </c>
      <c r="L4" s="6" t="n">
        <v>1305</v>
      </c>
      <c r="M4" s="6" t="n">
        <v>1239.55</v>
      </c>
    </row>
    <row r="6" ht="200" customHeight="1">
      <c r="A6"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FY2014 RWA is derived, not directly disclosed - see the FY2014 line above.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6:M6"/>
  </mergeCells>
  <pageMargins left="0.75" right="0.75" top="1" bottom="1" header="0.5" footer="0.5"/>
</worksheet>
</file>

<file path=xl/worksheets/sheet14.xml><?xml version="1.0" encoding="utf-8"?>
<worksheet xmlns="http://schemas.openxmlformats.org/spreadsheetml/2006/main">
  <sheetPr>
    <outlinePr summaryBelow="1" summaryRight="1"/>
    <pageSetUpPr/>
  </sheetPr>
  <dimension ref="A1:M12"/>
  <sheetViews>
    <sheetView workbookViewId="0">
      <pane xSplit="1" ySplit="3" topLeftCell="B4" activePane="bottomRight" state="frozen"/>
      <selection pane="topRight"/>
      <selection pane="bottomLeft"/>
      <selection pane="bottomRight" activeCell="A1" sqref="A1"/>
    </sheetView>
  </sheetViews>
  <sheetFormatPr baseColWidth="8" defaultRowHeight="15"/>
  <cols>
    <col width="58"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RWA Breakdown</t>
        </is>
      </c>
    </row>
    <row r="2">
      <c r="A2" s="2" t="inlineStr">
        <is>
          <t>FY2014-FY2021 (UK OV1-equivalent category split) - not disclosed at this granularity FY2022-25, see note below.</t>
        </is>
      </c>
    </row>
    <row r="3">
      <c r="A3" s="4" t="inlineStr">
        <is>
          <t>Line item</t>
        </is>
      </c>
      <c r="B3" s="4" t="inlineStr">
        <is>
          <t>FY2025 (£m)</t>
        </is>
      </c>
      <c r="C3" s="4" t="inlineStr">
        <is>
          <t>FY2024 (£m)</t>
        </is>
      </c>
      <c r="D3" s="4" t="inlineStr">
        <is>
          <t>FY2023 (£m)</t>
        </is>
      </c>
      <c r="E3" s="4" t="inlineStr">
        <is>
          <t>FY2022 (£m)</t>
        </is>
      </c>
      <c r="F3" s="4" t="inlineStr">
        <is>
          <t>FY2021 (£m)</t>
        </is>
      </c>
      <c r="G3" s="4" t="inlineStr">
        <is>
          <t>FY2020 (£m)</t>
        </is>
      </c>
      <c r="H3" s="4" t="inlineStr">
        <is>
          <t>FY2019 (£m)</t>
        </is>
      </c>
      <c r="I3" s="4" t="inlineStr">
        <is>
          <t>FY2018 (£m)</t>
        </is>
      </c>
      <c r="J3" s="4" t="inlineStr">
        <is>
          <t>FY2017 (£m)</t>
        </is>
      </c>
      <c r="K3" s="4" t="inlineStr">
        <is>
          <t>FY2016 (£m)</t>
        </is>
      </c>
      <c r="L3" s="4" t="inlineStr">
        <is>
          <t>FY2015 (£m)</t>
        </is>
      </c>
      <c r="M3" s="4" t="inlineStr">
        <is>
          <t>FY2014 (£m)</t>
        </is>
      </c>
    </row>
    <row r="4">
      <c r="A4" s="5" t="inlineStr">
        <is>
          <t>RWA by risk category (£m)</t>
        </is>
      </c>
      <c r="B4" s="6" t="n"/>
      <c r="C4" s="6" t="n"/>
      <c r="D4" s="6" t="n"/>
      <c r="E4" s="6" t="n"/>
      <c r="F4" s="6" t="n"/>
      <c r="G4" s="6" t="n"/>
      <c r="H4" s="6" t="n"/>
      <c r="I4" s="6" t="n"/>
      <c r="J4" s="6" t="n"/>
      <c r="K4" s="6" t="n"/>
      <c r="L4" s="6" t="n"/>
      <c r="M4" s="6" t="n"/>
    </row>
    <row r="5">
      <c r="A5" s="6" t="inlineStr">
        <is>
          <t>Credit risk (excluding counterparty credit risk)</t>
        </is>
      </c>
      <c r="B5" s="6" t="inlineStr">
        <is>
          <t>Not publicly disclosed</t>
        </is>
      </c>
      <c r="C5" s="6" t="inlineStr">
        <is>
          <t>Not publicly disclosed</t>
        </is>
      </c>
      <c r="D5" s="6" t="inlineStr">
        <is>
          <t>Not publicly disclosed</t>
        </is>
      </c>
      <c r="E5" s="6" t="inlineStr">
        <is>
          <t>Not publicly disclosed</t>
        </is>
      </c>
      <c r="F5" s="6" t="n">
        <v>1244.608</v>
      </c>
      <c r="G5" s="6" t="n">
        <v>1392.593</v>
      </c>
      <c r="H5" s="6" t="n">
        <v>1389.033</v>
      </c>
      <c r="I5" s="6" t="n">
        <v>1162.669</v>
      </c>
      <c r="J5" s="6" t="n">
        <v>943</v>
      </c>
      <c r="K5" s="6" t="n">
        <v>960</v>
      </c>
      <c r="L5" s="6" t="n">
        <v>1220</v>
      </c>
      <c r="M5" s="6" t="n">
        <v>1165.875</v>
      </c>
    </row>
    <row r="6">
      <c r="A6" s="6" t="inlineStr">
        <is>
          <t>Counterparty credit risk</t>
        </is>
      </c>
      <c r="B6" s="6" t="n"/>
      <c r="C6" s="6" t="n"/>
      <c r="D6" s="6" t="n"/>
      <c r="E6" s="6" t="n"/>
      <c r="F6" s="6" t="n">
        <v>0.509</v>
      </c>
      <c r="G6" s="6" t="n">
        <v>0.899</v>
      </c>
      <c r="H6" s="6" t="n">
        <v>2.104</v>
      </c>
      <c r="I6" s="6" t="n">
        <v>0</v>
      </c>
      <c r="J6" s="6" t="n">
        <v>0</v>
      </c>
      <c r="K6" s="6" t="n"/>
      <c r="L6" s="6" t="n"/>
      <c r="M6" s="6" t="n">
        <v>3.15</v>
      </c>
    </row>
    <row r="7">
      <c r="A7" s="6" t="inlineStr">
        <is>
          <t>Market risk</t>
        </is>
      </c>
      <c r="B7" s="6" t="n"/>
      <c r="C7" s="6" t="n"/>
      <c r="D7" s="6" t="n"/>
      <c r="E7" s="6" t="n"/>
      <c r="F7" s="6" t="n">
        <v>1.397</v>
      </c>
      <c r="G7" s="6" t="n">
        <v>5.201</v>
      </c>
      <c r="H7" s="6" t="n">
        <v>3.993</v>
      </c>
      <c r="I7" s="6" t="n">
        <v>4</v>
      </c>
      <c r="J7" s="6" t="n">
        <v>1</v>
      </c>
      <c r="K7" s="6" t="n">
        <v>7</v>
      </c>
      <c r="L7" s="6" t="n">
        <v>3</v>
      </c>
      <c r="M7" s="6" t="n">
        <v>2.988</v>
      </c>
    </row>
    <row r="8">
      <c r="A8" s="6" t="inlineStr">
        <is>
          <t>Operational risk</t>
        </is>
      </c>
      <c r="B8" s="6" t="n"/>
      <c r="C8" s="6" t="n"/>
      <c r="D8" s="6" t="n"/>
      <c r="E8" s="6" t="n"/>
      <c r="F8" s="6" t="n">
        <v>67.26300000000001</v>
      </c>
      <c r="G8" s="6" t="n">
        <v>73.575</v>
      </c>
      <c r="H8" s="6" t="n">
        <v>77.76300000000001</v>
      </c>
      <c r="I8" s="6" t="n">
        <v>78</v>
      </c>
      <c r="J8" s="6" t="n">
        <v>88</v>
      </c>
      <c r="K8" s="6" t="n">
        <v>87</v>
      </c>
      <c r="L8" s="6" t="n">
        <v>81</v>
      </c>
      <c r="M8" s="6" t="n">
        <v>67.538</v>
      </c>
    </row>
    <row r="9">
      <c r="A9" s="6" t="inlineStr">
        <is>
          <t>Credit valuation adjustment</t>
        </is>
      </c>
      <c r="B9" s="6" t="n"/>
      <c r="C9" s="6" t="n"/>
      <c r="D9" s="6" t="n"/>
      <c r="E9" s="6" t="n"/>
      <c r="F9" s="6" t="n"/>
      <c r="G9" s="6" t="n"/>
      <c r="H9" s="6" t="n"/>
      <c r="I9" s="6" t="n"/>
      <c r="J9" s="6" t="n"/>
      <c r="K9" s="6" t="n">
        <v>1</v>
      </c>
      <c r="L9" s="6" t="n">
        <v>1</v>
      </c>
      <c r="M9" s="6" t="n"/>
    </row>
    <row r="10">
      <c r="A10" s="5" t="inlineStr">
        <is>
          <t>Total RWAs</t>
        </is>
      </c>
      <c r="B10" s="5" t="inlineStr">
        <is>
          <t>Not publicly disclosed</t>
        </is>
      </c>
      <c r="C10" s="5" t="inlineStr">
        <is>
          <t>Not publicly disclosed</t>
        </is>
      </c>
      <c r="D10" s="5" t="inlineStr">
        <is>
          <t>Not publicly disclosed</t>
        </is>
      </c>
      <c r="E10" s="5" t="inlineStr">
        <is>
          <t>Not publicly disclosed</t>
        </is>
      </c>
      <c r="F10" s="5" t="n">
        <v>1313.777</v>
      </c>
      <c r="G10" s="5" t="n">
        <v>1472.268</v>
      </c>
      <c r="H10" s="5" t="n">
        <v>1466.255</v>
      </c>
      <c r="I10" s="5" t="n">
        <v>1245.086</v>
      </c>
      <c r="J10" s="5" t="n">
        <v>1032</v>
      </c>
      <c r="K10" s="5" t="n">
        <v>1055</v>
      </c>
      <c r="L10" s="5" t="n">
        <v>1305</v>
      </c>
      <c r="M10" s="5" t="n">
        <v>1239.55</v>
      </c>
    </row>
    <row r="12" ht="340" customHeight="1">
      <c r="A12" s="8" t="inlineStr">
        <is>
          <t>Sources - BLME plc's own Pillar III Disclosures:
FY2021: Pillar III Disclosure - 31 December 2021, Table 8 'Overview of Risk Weighted Assets', p.15 - https://www.blme.com/media/1997/2021-pillar-iii-disclosure.pdf
FY2020: Pillar III Disclosure - 31 December 2020, Table 8, p.15 - https://www.blme.com/media/1921/pillar-3-disclosure-2020.pdf
FY2019: Pillar III Disclosure - 31 December 2019, Table 8, p.15 - https://www.blme.com/media/1858/2019-pillar-iii-disclosure.pdf
FY2018: Pillar III Disclosure - 31 December 2018, Table 8, p.14 - https://www.blme.com/media/1728/2018-pillar-iii-disclosure.pdf
FY2017: Pillar III Disclosure - 31 December 2017, Table 8, p.15 - https://www.blme.com/media/1649/2017-pillar-3-disclosure.pdf
FY2016: Pillar III Disclosures 2016, Table 3 'Regulatory capital composition', p.13 - https://www.blme.com/media/1547/pillar-iii-2016-disclosures-blme-plc.pdf
FY2015: sourced from the FY2016 Pillar III Disclosures' own FY2015 comparative column, Table 3, p.13 - https://www.blme.com/media/1547/pillar-iii-2016-disclosures-blme-plc.pdf (same precedent as the FY2015 capital/ratio figures elsewhere in this workbook).
FY2014: DERIVED from the FY2014 Annual Report's own 'Pillar 1 capital requirements' table (Credit risk £93.270m, Market risk £0.239m, Counterparty risk £0.252m, Operational risk £5.403m), p.115 - https://www.blme.com/media/1630/2014-financial-statements-blme-plc.pdf - using the 8%-of-RWA identity (each category's RWA = that category's capital requirement / 0.08).
FY2022-FY2025: Pillar III Disclosures for those years (https://www.blme.com/media/2017/2022-pillar-iii-disclosure.pdf, https://www.blme.com/media/fluobg0d/2023-pillar-iii-disclosure.pdf, https://www.blme.com/media/mhantsoh/2024-pillar-iii-disclosure.pdf, https://www.blme.com/media/jf2dbyrm/2025-pillar-iii-disclosure.pdf) each checked in full (4-5 pages each) - none contains an RWA-by-category breakdown, only the single Key metrics 'Total risk-weighted exposure amount' figure (already shown on the Total RWAs sheet). Independently RE-VERIFIED 2026-09-12: all 4 PDFs re-downloaded and re-read directly (not just re-checked against this note) - each is confirmed still 5 pages, KM1-template-only, no category split. A Wayback Machine CDX search of blme.com's full media archive confirms no '-appendices.pdf' companion document (the format that carried the FY2019-FY2021 OV1-style category breakdown) was ever published alongside the FY2022-FY2025 disclosures - this is a genuine, continuing change in the Bank's own disclosure format, not a missed document.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1">
    <mergeCell ref="A12:M12"/>
  </mergeCells>
  <pageMargins left="0.75" right="0.75" top="1" bottom="1" header="0.5" footer="0.5"/>
</worksheet>
</file>

<file path=xl/worksheets/sheet15.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Leverage Ratio</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Leverage ratio (excluding claims on central banks)</t>
        </is>
      </c>
      <c r="B4" s="6" t="inlineStr">
        <is>
          <t>14.95%</t>
        </is>
      </c>
      <c r="C4" s="6" t="inlineStr">
        <is>
          <t>14.98%</t>
        </is>
      </c>
      <c r="D4" s="6" t="inlineStr">
        <is>
          <t>14.88%</t>
        </is>
      </c>
      <c r="E4" s="6" t="inlineStr">
        <is>
          <t>14.00%</t>
        </is>
      </c>
      <c r="F4" s="6" t="inlineStr">
        <is>
          <t>14.92%</t>
        </is>
      </c>
      <c r="G4" s="6" t="inlineStr">
        <is>
          <t>13.60%</t>
        </is>
      </c>
      <c r="H4" s="6" t="inlineStr">
        <is>
          <t>13.40%</t>
        </is>
      </c>
      <c r="I4" s="6" t="inlineStr">
        <is>
          <t>15.83%</t>
        </is>
      </c>
      <c r="J4" s="6" t="inlineStr">
        <is>
          <t>19.28%</t>
        </is>
      </c>
      <c r="K4" s="6" t="inlineStr">
        <is>
          <t>19.94%</t>
        </is>
      </c>
      <c r="L4" s="6" t="inlineStr">
        <is>
          <t>15.63%</t>
        </is>
      </c>
      <c r="M4" s="6" t="inlineStr">
        <is>
          <t>Not publicly disclosed</t>
        </is>
      </c>
    </row>
    <row r="5" ht="60" customHeight="1">
      <c r="A5" s="7" t="inlineStr">
        <is>
          <t>Note: FY2014 leverage ratio not publicly disclosed - the UK leverage ratio framework was not yet a binding PRA reporting requirement at that date (per the FY2014 Annual Report's own text: 'the ratio was reported to the PRA in 2014 and becomes effective in 2018'). No basis break across FY2015-2025 - all figures are on the 'excluding claims on central banks' basis, unlike several other banks in this project where FY2021 sits on an older methodology.</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6.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LCR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Liquidity Coverage Ratio (12-month average)</t>
        </is>
      </c>
      <c r="B4" s="6" t="inlineStr">
        <is>
          <t>308%</t>
        </is>
      </c>
      <c r="C4" s="6" t="inlineStr">
        <is>
          <t>310%</t>
        </is>
      </c>
      <c r="D4" s="6" t="inlineStr">
        <is>
          <t>288%</t>
        </is>
      </c>
      <c r="E4" s="6" t="inlineStr">
        <is>
          <t>352%</t>
        </is>
      </c>
      <c r="F4" s="6" t="inlineStr">
        <is>
          <t>315%</t>
        </is>
      </c>
      <c r="G4" s="6" t="inlineStr">
        <is>
          <t>234.15%</t>
        </is>
      </c>
      <c r="H4" s="6" t="inlineStr">
        <is>
          <t>261.23%</t>
        </is>
      </c>
      <c r="I4" s="6" t="inlineStr">
        <is>
          <t>184.86%</t>
        </is>
      </c>
      <c r="J4" s="6" t="inlineStr">
        <is>
          <t>403%</t>
        </is>
      </c>
      <c r="K4" s="6" t="inlineStr">
        <is>
          <t>4,115%</t>
        </is>
      </c>
      <c r="L4" s="6" t="inlineStr">
        <is>
          <t>Not publicly disclosed</t>
        </is>
      </c>
      <c r="M4" s="6" t="inlineStr">
        <is>
          <t>Not publicly disclosed</t>
        </is>
      </c>
    </row>
    <row r="5" ht="60" customHeight="1">
      <c r="A5" s="7" t="inlineStr">
        <is>
          <t>Note: FY2016 sourced from the FY2017 Pillar III Disclosure's own FY2016 comparative column (Table 2, p.5) since FY2016's own Pillar III Disclosure does not include an LCR figure at all - the 4,115% figure is transcribed exactly as printed in that source; it is an outlier against every other year in this series and is flagged here rather than silently corrected or omitted. FY2014-2015 not publicly disclosed - LCR reporting pre-dates BLME's Pillar 3 disclosure of it.</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7.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52"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NSFR</t>
        </is>
      </c>
    </row>
    <row r="2">
      <c r="A2" s="2" t="inlineStr">
        <is>
          <t>%</t>
        </is>
      </c>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Net Stable Funding Ratio</t>
        </is>
      </c>
      <c r="B4" s="6" t="inlineStr">
        <is>
          <t>121%</t>
        </is>
      </c>
      <c r="C4" s="6" t="inlineStr">
        <is>
          <t>125%</t>
        </is>
      </c>
      <c r="D4" s="6" t="inlineStr">
        <is>
          <t>144%</t>
        </is>
      </c>
      <c r="E4" s="6" t="inlineStr">
        <is>
          <t>143%</t>
        </is>
      </c>
      <c r="F4" s="6" t="inlineStr">
        <is>
          <t>113.85%</t>
        </is>
      </c>
      <c r="G4" s="6" t="inlineStr">
        <is>
          <t>114.46%</t>
        </is>
      </c>
      <c r="H4" s="6" t="inlineStr">
        <is>
          <t>112.48%</t>
        </is>
      </c>
      <c r="I4" s="6" t="inlineStr">
        <is>
          <t>104%</t>
        </is>
      </c>
      <c r="J4" s="6" t="inlineStr">
        <is>
          <t>Not publicly disclosed</t>
        </is>
      </c>
      <c r="K4" s="6" t="inlineStr">
        <is>
          <t>Not publicly disclosed</t>
        </is>
      </c>
      <c r="L4" s="6" t="inlineStr">
        <is>
          <t>Not publicly disclosed</t>
        </is>
      </c>
      <c r="M4" s="6" t="inlineStr">
        <is>
          <t>Not publicly disclosed</t>
        </is>
      </c>
    </row>
    <row r="5" ht="60" customHeight="1">
      <c r="A5" s="7" t="inlineStr">
        <is>
          <t>Note: FY2018-FY2021 NSFR was voluntarily disclosed by BLME in Table 2 'Key ratios' of its own Pillar III Disclosure, ahead of the UK's binding NSFR requirement (PRA PS17/21 and PS22/21, in force 1 January 2022); FY2014-2017 pre-date this voluntary disclosure entirely. BASIS NOTE: FY2018-FY2021 are therefore spot ratios at the reporting date, whereas FY2022 onward are the UK KM1 measure, which PS17/21 requires to be an average of four quarter-ends - the two are not strictly like-for-like. The FY2022 report's own FY2021 comparative column shows 'N/A' on that KM1 basis.</t>
        </is>
      </c>
    </row>
    <row r="7" ht="20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FY2021 NSFR ONLY: Pillar III Disclosure - 31 December 2021, section 1.3 Table 2 'Key ratios', p.7 - https://www.blme.com/media/1997/2021-pillar-iii-disclosure.pdf. The FY2022 report's FY2021 comparative column (used for every other FY2021 metric here) prints 'N/A' for NSFR rows 18-20, so the FY2021 edition's own Table 2 is the only source for it.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xl/worksheets/sheet18.xml><?xml version="1.0" encoding="utf-8"?>
<worksheet xmlns="http://schemas.openxmlformats.org/spreadsheetml/2006/main">
  <sheetPr>
    <outlinePr summaryBelow="1" summaryRight="1"/>
    <pageSetUpPr/>
  </sheetPr>
  <dimension ref="A1:M7"/>
  <sheetViews>
    <sheetView workbookViewId="0">
      <selection activeCell="A1" sqref="A1"/>
    </sheetView>
  </sheetViews>
  <sheetFormatPr baseColWidth="8" defaultRowHeight="15"/>
  <cols>
    <col width="46" customWidth="1" min="1" max="1"/>
    <col width="15" customWidth="1" min="2" max="2"/>
    <col width="15" customWidth="1" min="3" max="3"/>
    <col width="15" customWidth="1" min="4" max="4"/>
    <col width="15" customWidth="1" min="5" max="5"/>
    <col width="15" customWidth="1" min="6" max="6"/>
    <col width="15" customWidth="1" min="7" max="7"/>
    <col width="15" customWidth="1" min="8" max="8"/>
    <col width="15" customWidth="1" min="9" max="9"/>
    <col width="15" customWidth="1" min="10" max="10"/>
    <col width="15" customWidth="1" min="11" max="11"/>
    <col width="15" customWidth="1" min="12" max="12"/>
    <col width="15" customWidth="1" min="13" max="13"/>
  </cols>
  <sheetData>
    <row r="1">
      <c r="A1" s="1" t="inlineStr">
        <is>
          <t>Bank of London and The Middle East plc — MREL Ratio</t>
        </is>
      </c>
    </row>
    <row r="2">
      <c r="A2" s="2" t="inlineStr"/>
    </row>
    <row r="3">
      <c r="A3" s="4" t="inlineStr">
        <is>
          <t>Metric</t>
        </is>
      </c>
      <c r="B3" s="4" t="inlineStr">
        <is>
          <t>FY2025</t>
        </is>
      </c>
      <c r="C3" s="4" t="inlineStr">
        <is>
          <t>FY2024</t>
        </is>
      </c>
      <c r="D3" s="4" t="inlineStr">
        <is>
          <t>FY2023</t>
        </is>
      </c>
      <c r="E3" s="4" t="inlineStr">
        <is>
          <t>FY2022</t>
        </is>
      </c>
      <c r="F3" s="4" t="inlineStr">
        <is>
          <t>FY2021</t>
        </is>
      </c>
      <c r="G3" s="4" t="inlineStr">
        <is>
          <t>FY2020</t>
        </is>
      </c>
      <c r="H3" s="4" t="inlineStr">
        <is>
          <t>FY2019</t>
        </is>
      </c>
      <c r="I3" s="4" t="inlineStr">
        <is>
          <t>FY2018</t>
        </is>
      </c>
      <c r="J3" s="4" t="inlineStr">
        <is>
          <t>FY2017</t>
        </is>
      </c>
      <c r="K3" s="4" t="inlineStr">
        <is>
          <t>FY2016</t>
        </is>
      </c>
      <c r="L3" s="4" t="inlineStr">
        <is>
          <t>FY2015</t>
        </is>
      </c>
      <c r="M3" s="4" t="inlineStr">
        <is>
          <t>FY2014</t>
        </is>
      </c>
    </row>
    <row r="4">
      <c r="A4" s="6" t="inlineStr">
        <is>
          <t>MREL Ratio</t>
        </is>
      </c>
      <c r="B4" s="6" t="inlineStr">
        <is>
          <t>Not publicly disclosed</t>
        </is>
      </c>
      <c r="C4" s="6" t="inlineStr">
        <is>
          <t>Not publicly disclosed</t>
        </is>
      </c>
      <c r="D4" s="6" t="inlineStr">
        <is>
          <t>Not publicly disclosed</t>
        </is>
      </c>
      <c r="E4" s="6" t="inlineStr">
        <is>
          <t>Not publicly disclosed</t>
        </is>
      </c>
      <c r="F4" s="6" t="inlineStr">
        <is>
          <t>Not publicly disclosed</t>
        </is>
      </c>
      <c r="G4" s="6" t="inlineStr">
        <is>
          <t>Not publicly disclosed</t>
        </is>
      </c>
      <c r="H4" s="6" t="inlineStr">
        <is>
          <t>Not publicly disclosed</t>
        </is>
      </c>
      <c r="I4" s="6" t="inlineStr">
        <is>
          <t>Not publicly disclosed</t>
        </is>
      </c>
      <c r="J4" s="6" t="inlineStr">
        <is>
          <t>Not publicly disclosed</t>
        </is>
      </c>
      <c r="K4" s="6" t="inlineStr">
        <is>
          <t>Not publicly disclosed</t>
        </is>
      </c>
      <c r="L4" s="6" t="inlineStr">
        <is>
          <t>Not publicly disclosed</t>
        </is>
      </c>
      <c r="M4" s="6" t="inlineStr">
        <is>
          <t>Not publicly disclosed</t>
        </is>
      </c>
    </row>
    <row r="5" ht="60" customHeight="1">
      <c r="A5" s="7" t="inlineStr">
        <is>
          <t>Note: MREL is not mentioned in the FY2021-2025 Pillar III Disclosures reviewed (searched directly, no hits any year); the FY2018-2020 disclosures mention MREL only to state that 'the PRA does not require BLME to hold a MREL recapitalisation reserve' (no ratio given); FY2014-2017 disclosures don't mention MREL at all (it wasn't yet a framework) - consistent with a bank of this size not being its own resolution entity under the Bank of England's MREL framework throughout the full FY2014-2025 window.</t>
        </is>
      </c>
    </row>
    <row r="7" ht="150" customHeight="1">
      <c r="A7" s="8" t="inlineStr">
        <is>
          <t>Sources - BLME plc's own Pillar III Disclosures, £m capital amounts / % ratios, all years:
FY2025: Pillar III Disclosure - 31 December 2025, Key metrics table, p.4 - https://www.blme.com/media/jf2dbyrm/2025-pillar-iii-disclosure.pdf
FY2024: Pillar III Disclosure - 31 December 2024, Key metrics table, p.4 - https://www.blme.com/media/mhantsoh/2024-pillar-iii-disclosure.pdf
FY2023: Pillar III Disclosure - 31 December 2023, Key metrics table, p.4 - https://www.blme.com/media/fluobg0d/2023-pillar-iii-disclosure.pdf
FY2022: Pillar III Disclosure - 31 December 2022, Key metrics table, p.4 - https://www.blme.com/media/2017/2022-pillar-iii-disclosure.pdf
FY2021: sourced from the FY2022 Pillar III Disclosure's own FY2021 comparative column, Key metrics table, p.4 - https://www.blme.com/media/2017/2022-pillar-iii-disclosure.pdf (the FY2021 edition itself, https://www.blme.com/media/1997/2021-pillar-iii-disclosure.pdf, pre-dates BLME's adoption of the standardised KM1 template - it uses the older CRR own-funds/appendix format instead, so the FY2022 report's comparative column is used for consistency with every other year in this workbook).
FY2020: Pillar III Disclosure - 31 December 2020, Table 2 'Key ratios', p.6 - https://www.blme.com/media/1921/pillar-3-disclosure-2020.pdf
FY2019: Pillar III Disclosure - 31 December 2019, Table 2 'Key ratios', p.6 - https://www.blme.com/media/1858/2019-pillar-iii-disclosure.pdf
FY2018: Pillar III Disclosure - 31 December 2018, Table 2 'Key ratios', p.6 - https://www.blme.com/media/1728/2018-pillar-iii-disclosure.pdf
FY2017: Pillar III Disclosure - 31 December 2017, Table 2 'Key ratios', p.5 - https://www.blme.com/media/1649/2017-pillar-3-disclosure.pdf
FY2016: Pillar III Disclosures 2016, Table 3 'Regulatory capital composition' / Table 7 'Leverage ratio', pp.13,16 - https://www.blme.com/media/1547/pillar-iii-2016-disclosures-blme-plc.pdf
FY2015: sourced from the FY2016 Pillar III Disclosures' own FY2015 comparative column (Table 3/Table 7, pp.13,16) - https://www.blme.com/media/1547/pillar-iii-2016-disclosures-blme-plc.pdf (the FY2015 edition itself, https://www.blme.com/media/1454/2015-pillar-iii-disclosures-blme-plc.pdf, pre-dates CRD IV's standardised template and discloses only absolute Tier 1/Tier 2 capital resource amounts - no RWA and no ratio at all - so the FY2016 report's comparative column is used, same precedent as FY2021 above).
FY2014: DERIVED from the FY2014 Annual Report and Accounts - Revised's own 'Capital adequacy' note (Total regulatory capital £189,179,557; Total Pillar 1 capital requirement £99,164,000), p.115 - https://www.blme.com/media/1630/2014-financial-statements-blme-plc.pdf - using the standard CRR identity that the Pillar 1 minimum capital requirement equals 8% of RWA (RWA = £99,164,000 / 0.08 = £1,239.55m); the FY2014 Pillar III Disclosure itself, https://www.blme.com/media/1356/2014-pillar-iii-disclosures.pdf, discloses only absolute Tier 1 capital resource amounts, no RWA and no ratio of any kind.
ENTITY NOTE: Bank of London and The Middle East plc (FRN 464292, Companies House 05897786, matches Banks List 2608.xlsx exactly) is a UK-incorporated Sharia-compliant wholesale/private bank, majority-owned by Boubyan Bank (Kuwait). It publishes both wider 'BLME Holdings' group accounts and standalone 'BLME plc' (Bank-solo) accounts on its own site - this workbook uses the plc/solo figures throughout for both the cash flow statement and Pillar 3, matching the PRA-regulated entity. Terminology uses 'profit'/'financing' rather than 'interest'/'loans' (Sharia-compliant banking), consistent with ALRAYAN Bank elsewhere in this project.
HD-018 EXTENSION CAVEATS (FY2014-FY2020, all verified against the actual PDFs, not assumed from the earlier domain scan alone):
(1) FY2014-2016 Annual Reports publish only a CONSOLIDATED (Group) Income Statement - no separate Bank-only P&amp;L breakdown exists for those years. This sheet's P&amp;L for FY2014-2016 uses the Group figures (clearly labelled), while every other sheet (Balance Sheet, Cash Flow, Equity Changes, Asset Quality) uses the Bank-solo figures as normal - both are disclosed in the same reports. Bank-solo profit/(loss), for reference, was FY2014 +£498k, FY2015 -£7,101k, FY2016 -£21,458k (vs Group FY2014 +£974k, FY2015 -£6,850k, FY2016 -£21,383k).
(2) FY2014-2015 Pillar III disclosures pre-date CRD IV's standardised Pillar 3 template - they disclose absolute capital resource amounts but NOT risk-weighted assets or any capital/leverage RATIO, and disclose no LCR/NSFR at all. FY2014's RWA and ratios are DERIVED (not directly disclosed) from the FY2014 Annual Report's own 'Pillar 1 capital requirements' table, using the standard CRR identity that the Pillar 1 minimum capital requirement equals 8% of RWA - flagged wherever used. FY2015's RWA/ratios are sourced from the FY2016 Pillar III Disclosure's own FY2015 comparative column (same precedent as this workbook already used for FY2021, whose own edition pre-dates the KM1 template).
(3) FY2015-2016 held non-zero Tier 2 capital (the collective impairment provision, per CRR transitional rules) - CET1/Tier1 ratios differ slightly from the Total Capital ratio those two years only, unlike every other year in this workbook where CET1 = Tier1 = Total Capital exactly (no AT1/T2 instruments from FY2017 onward).
(4) Asset Quality: IFRS 9 (with its Stage 1/2/3 model) only took effect 1 January 2018. FY2014-2017 use the prior IAS 39 credit-quality classification (Neither past due nor impaired / Past due but not impaired / Individually impaired) - a genuinely different regime, not a gap; shown in separate rows on that sheet, scoped to Financing arrangements only (the IAS 39-era note's own scope), whereas the FY2018-2025 IFRS 9 'Exposure by Stage' rows are scoped more broadly (financing arrangements, finance leases, due from financial institutions/customers and investment securities combined, per the Bank's own note) - the two blocks are not directly comparable in scope and are not chain-linked.</t>
        </is>
      </c>
    </row>
  </sheetData>
  <mergeCells count="2">
    <mergeCell ref="A5:M5"/>
    <mergeCell ref="A7:M7"/>
  </mergeCells>
  <pageMargins left="0.75" right="0.75" top="1" bottom="1" header="0.5" footer="0.5"/>
</worksheet>
</file>

<file path=docProps/app.xml><?xml version="1.0" encoding="utf-8"?>
<Properties xmlns="http://schemas.openxmlformats.org/officeDocument/2006/extended-properties">
  <Application>Microsoft Excel Compatible / Openpyxl 3.1.5</Application>
  <AppVersion>3.1</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2026-09-15T09:25:58Z</dcterms:created>
  <dcterms:modified xmlns:dcterms="http://purl.org/dc/terms/" xmlns:xsi="http://www.w3.org/2001/XMLSchema-instance" xsi:type="dcterms:W3CDTF">2026-09-15T09:25:58Z</dcterms:modified>
</cp:coreProperties>
</file>