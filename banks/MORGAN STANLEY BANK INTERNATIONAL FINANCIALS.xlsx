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Morgan Stanley Bank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'Overview'!$BJ$6:$BU$6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'Overview'!$BJ$7:$BU$7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'Overview'!$BJ$8:$BU$8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'Overview'!$BJ$9:$BU$9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'Overview'!$BJ$5:$BU$5</f>
            </numRef>
          </cat>
          <val>
            <numRef>
              <f>'Overview'!$BJ$10:$BU$10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36</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58</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80</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102</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U34"/>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s>
  <sheetData>
    <row r="1">
      <c r="A1" s="1" t="inlineStr">
        <is>
          <t>Morgan Stanley Bank International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J5" t="inlineStr">
        <is>
          <t>FY2014</t>
        </is>
      </c>
      <c r="BK5" t="inlineStr">
        <is>
          <t>FY2015</t>
        </is>
      </c>
      <c r="BL5" t="inlineStr">
        <is>
          <t>FY2016</t>
        </is>
      </c>
      <c r="BM5" t="inlineStr">
        <is>
          <t>FY2017</t>
        </is>
      </c>
      <c r="BN5" t="inlineStr">
        <is>
          <t>FY2018</t>
        </is>
      </c>
      <c r="BO5" t="inlineStr">
        <is>
          <t>FY2019</t>
        </is>
      </c>
      <c r="BP5" t="inlineStr">
        <is>
          <t>FY2020</t>
        </is>
      </c>
      <c r="BQ5" t="inlineStr">
        <is>
          <t>FY2021</t>
        </is>
      </c>
      <c r="BR5" t="inlineStr">
        <is>
          <t>FY2022</t>
        </is>
      </c>
      <c r="BS5" t="inlineStr">
        <is>
          <t>FY2023</t>
        </is>
      </c>
      <c r="BT5" t="inlineStr">
        <is>
          <t>FY2024</t>
        </is>
      </c>
      <c r="BU5" t="inlineStr">
        <is>
          <t>FY2025</t>
        </is>
      </c>
    </row>
    <row r="6">
      <c r="A6" s="5" t="inlineStr">
        <is>
          <t>Total assets</t>
        </is>
      </c>
      <c r="B6" s="5" t="n">
        <v>4474701</v>
      </c>
      <c r="C6" s="5" t="n">
        <v>5943082</v>
      </c>
      <c r="D6" s="5" t="n">
        <v>5761181</v>
      </c>
      <c r="E6" s="5" t="n">
        <v>7691434</v>
      </c>
      <c r="F6" s="5" t="n">
        <v>5166317</v>
      </c>
      <c r="G6" s="5" t="n">
        <v>6191205</v>
      </c>
      <c r="H6" s="5" t="n">
        <v>5497256</v>
      </c>
      <c r="I6" s="5" t="n">
        <v>5178705</v>
      </c>
      <c r="J6" s="5" t="n">
        <v>5321350</v>
      </c>
      <c r="K6" s="5" t="n">
        <v>5742066</v>
      </c>
      <c r="L6" s="5" t="n">
        <v>4691096</v>
      </c>
      <c r="M6" s="5" t="n">
        <v>4974936</v>
      </c>
      <c r="P6" t="inlineStr">
        <is>
          <t>Total assets</t>
        </is>
      </c>
      <c r="Q6" t="n">
        <v>4974936</v>
      </c>
      <c r="R6" t="n">
        <v>4691096</v>
      </c>
      <c r="S6" t="n">
        <v>5742066</v>
      </c>
      <c r="T6" t="n">
        <v>5321350</v>
      </c>
      <c r="U6" t="n">
        <v>5178705</v>
      </c>
      <c r="V6" t="n">
        <v>5497256</v>
      </c>
      <c r="W6" t="n">
        <v>6191205</v>
      </c>
      <c r="X6" t="n">
        <v>5166317</v>
      </c>
      <c r="Y6" t="n">
        <v>7691434</v>
      </c>
      <c r="Z6" t="n">
        <v>5761181</v>
      </c>
      <c r="AA6" t="n">
        <v>5943082</v>
      </c>
      <c r="AB6" t="n">
        <v>4474701</v>
      </c>
      <c r="BI6" t="inlineStr">
        <is>
          <t>CET1 Ratio</t>
        </is>
      </c>
      <c r="BK6" t="n">
        <v>17.1</v>
      </c>
      <c r="BL6" t="n">
        <v>18.4</v>
      </c>
      <c r="BM6" t="n">
        <v>19</v>
      </c>
      <c r="BN6" t="n">
        <v>17.3</v>
      </c>
      <c r="BO6" t="n">
        <v>20.9</v>
      </c>
      <c r="BP6" t="n">
        <v>23.3</v>
      </c>
      <c r="BQ6" t="n">
        <v>34.4</v>
      </c>
      <c r="BR6" t="n">
        <v>34</v>
      </c>
      <c r="BS6" t="n">
        <v>31.7</v>
      </c>
      <c r="BT6" t="n">
        <v>46.7</v>
      </c>
      <c r="BU6" t="n">
        <v>42.6</v>
      </c>
    </row>
    <row r="7">
      <c r="A7" s="5" t="inlineStr">
        <is>
          <t>Loans and advances to customers</t>
        </is>
      </c>
      <c r="B7" s="5" t="n">
        <v>422190</v>
      </c>
      <c r="C7" s="5" t="n">
        <v>775727</v>
      </c>
      <c r="D7" s="5" t="n">
        <v>760186</v>
      </c>
      <c r="E7" s="5" t="n">
        <v>1227715</v>
      </c>
      <c r="F7" s="5" t="n">
        <v>380124</v>
      </c>
      <c r="G7" s="5" t="n">
        <v>24573</v>
      </c>
      <c r="H7" s="5" t="n">
        <v>180250</v>
      </c>
      <c r="I7" s="5" t="n">
        <v>363113</v>
      </c>
      <c r="J7" s="5" t="n">
        <v>354177</v>
      </c>
      <c r="K7" s="5" t="n">
        <v>385052</v>
      </c>
      <c r="L7" s="5" t="n">
        <v>155311</v>
      </c>
      <c r="M7" s="5" t="n">
        <v>617659</v>
      </c>
      <c r="P7" t="inlineStr">
        <is>
          <t>Loans and advances to customers</t>
        </is>
      </c>
      <c r="Q7" t="n">
        <v>617659</v>
      </c>
      <c r="R7" t="n">
        <v>155311</v>
      </c>
      <c r="S7" t="n">
        <v>385052</v>
      </c>
      <c r="T7" t="n">
        <v>354177</v>
      </c>
      <c r="U7" t="n">
        <v>363113</v>
      </c>
      <c r="V7" t="n">
        <v>180250</v>
      </c>
      <c r="W7" t="n">
        <v>24573</v>
      </c>
      <c r="X7" t="n">
        <v>380124</v>
      </c>
      <c r="Y7" t="n">
        <v>1227715</v>
      </c>
      <c r="Z7" t="n">
        <v>760186</v>
      </c>
      <c r="AA7" t="n">
        <v>775727</v>
      </c>
      <c r="AB7" t="n">
        <v>422190</v>
      </c>
      <c r="BI7" t="inlineStr">
        <is>
          <t>Total Capital Ratio</t>
        </is>
      </c>
      <c r="BO7" t="n">
        <v>29.7</v>
      </c>
      <c r="BP7" t="n">
        <v>33.5</v>
      </c>
      <c r="BQ7" t="n">
        <v>44</v>
      </c>
      <c r="BR7" t="n">
        <v>48.5</v>
      </c>
      <c r="BS7" t="n">
        <v>43.3</v>
      </c>
      <c r="BT7" t="n">
        <v>59.8</v>
      </c>
      <c r="BU7" t="n">
        <v>58.9</v>
      </c>
    </row>
    <row r="8">
      <c r="A8" s="5" t="inlineStr">
        <is>
          <t>Customer accounts</t>
        </is>
      </c>
      <c r="B8" s="5" t="n">
        <v>632759</v>
      </c>
      <c r="C8" s="5" t="n">
        <v>783693</v>
      </c>
      <c r="D8" s="5" t="n">
        <v>1246212</v>
      </c>
      <c r="E8" s="5" t="n">
        <v>1814583</v>
      </c>
      <c r="F8" s="5" t="n">
        <v>1502764</v>
      </c>
      <c r="G8" s="5" t="n">
        <v>1647638</v>
      </c>
      <c r="H8" s="5" t="n">
        <v>1331496</v>
      </c>
      <c r="I8" s="5" t="n">
        <v>1072143</v>
      </c>
      <c r="J8" s="5" t="n">
        <v>875555</v>
      </c>
      <c r="K8" s="5" t="n">
        <v>747831</v>
      </c>
      <c r="L8" s="5" t="n">
        <v>719706</v>
      </c>
      <c r="M8" s="5" t="n">
        <v>1092621</v>
      </c>
      <c r="P8" t="inlineStr">
        <is>
          <t>Customer accounts</t>
        </is>
      </c>
      <c r="Q8" t="n">
        <v>1092621</v>
      </c>
      <c r="R8" t="n">
        <v>719706</v>
      </c>
      <c r="S8" t="n">
        <v>747831</v>
      </c>
      <c r="T8" t="n">
        <v>875555</v>
      </c>
      <c r="U8" t="n">
        <v>1072143</v>
      </c>
      <c r="V8" t="n">
        <v>1331496</v>
      </c>
      <c r="W8" t="n">
        <v>1647638</v>
      </c>
      <c r="X8" t="n">
        <v>1502764</v>
      </c>
      <c r="Y8" t="n">
        <v>1814583</v>
      </c>
      <c r="Z8" t="n">
        <v>1246212</v>
      </c>
      <c r="AA8" t="n">
        <v>783693</v>
      </c>
      <c r="AB8" t="n">
        <v>632759</v>
      </c>
      <c r="BI8" t="inlineStr">
        <is>
          <t>Leverage Ratio</t>
        </is>
      </c>
      <c r="BK8" t="n">
        <v>14.7</v>
      </c>
      <c r="BL8" t="n">
        <v>13.7</v>
      </c>
      <c r="BM8" t="n">
        <v>16</v>
      </c>
      <c r="BN8" t="n">
        <v>18</v>
      </c>
      <c r="BO8" t="n">
        <v>16.3</v>
      </c>
      <c r="BP8" t="n">
        <v>19.8</v>
      </c>
      <c r="BQ8" t="n">
        <v>30.1</v>
      </c>
      <c r="BR8" t="n">
        <v>18.5</v>
      </c>
      <c r="BS8" t="n">
        <v>23.9</v>
      </c>
      <c r="BT8" t="n">
        <v>29.1</v>
      </c>
      <c r="BU8" t="n">
        <v>30.3</v>
      </c>
    </row>
    <row r="9">
      <c r="A9" s="5" t="inlineStr">
        <is>
          <t>Total equity</t>
        </is>
      </c>
      <c r="B9" s="5" t="n">
        <v>747901</v>
      </c>
      <c r="C9" s="5" t="n">
        <v>810485</v>
      </c>
      <c r="D9" s="5" t="n">
        <v>765983</v>
      </c>
      <c r="E9" s="5" t="n">
        <v>766224</v>
      </c>
      <c r="F9" s="5" t="n">
        <v>821983</v>
      </c>
      <c r="G9" s="5" t="n">
        <v>812361</v>
      </c>
      <c r="H9" s="5" t="n">
        <v>712969</v>
      </c>
      <c r="I9" s="5" t="n">
        <v>674193</v>
      </c>
      <c r="J9" s="5" t="n">
        <v>654676</v>
      </c>
      <c r="K9" s="5" t="n">
        <v>599209</v>
      </c>
      <c r="L9" s="5" t="n">
        <v>547779</v>
      </c>
      <c r="M9" s="5" t="n">
        <v>535307</v>
      </c>
      <c r="P9" t="inlineStr">
        <is>
          <t>Total equity</t>
        </is>
      </c>
      <c r="Q9" t="n">
        <v>535307</v>
      </c>
      <c r="R9" t="n">
        <v>547779</v>
      </c>
      <c r="S9" t="n">
        <v>599209</v>
      </c>
      <c r="T9" t="n">
        <v>654676</v>
      </c>
      <c r="U9" t="n">
        <v>674193</v>
      </c>
      <c r="V9" t="n">
        <v>712969</v>
      </c>
      <c r="W9" t="n">
        <v>812361</v>
      </c>
      <c r="X9" t="n">
        <v>821983</v>
      </c>
      <c r="Y9" t="n">
        <v>766224</v>
      </c>
      <c r="Z9" t="n">
        <v>765983</v>
      </c>
      <c r="AA9" t="n">
        <v>810485</v>
      </c>
      <c r="AB9" t="n">
        <v>747901</v>
      </c>
      <c r="BI9" t="inlineStr">
        <is>
          <t>LCR</t>
        </is>
      </c>
      <c r="BO9" t="n">
        <v>210</v>
      </c>
      <c r="BP9" t="n">
        <v>219</v>
      </c>
      <c r="BQ9" t="n">
        <v>226</v>
      </c>
      <c r="BR9" t="n">
        <v>191</v>
      </c>
      <c r="BS9" t="n">
        <v>250</v>
      </c>
      <c r="BT9" t="n">
        <v>417</v>
      </c>
      <c r="BU9" t="n">
        <v>412</v>
      </c>
    </row>
    <row r="10">
      <c r="BI10" t="inlineStr">
        <is>
          <t>NSFR</t>
        </is>
      </c>
      <c r="BR10" t="n">
        <v>165</v>
      </c>
      <c r="BS10" t="n">
        <v>163</v>
      </c>
      <c r="BT10" t="n">
        <v>223</v>
      </c>
      <c r="BU10" t="n">
        <v>263</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interest income</t>
        </is>
      </c>
      <c r="B13" s="5" t="n">
        <v>43615</v>
      </c>
      <c r="C13" s="5" t="n">
        <v>57062</v>
      </c>
      <c r="D13" s="5" t="n">
        <v>52288</v>
      </c>
      <c r="E13" s="5" t="n">
        <v>20340</v>
      </c>
      <c r="F13" s="5" t="n">
        <v>14628</v>
      </c>
      <c r="G13" s="5" t="n">
        <v>33154</v>
      </c>
      <c r="H13" s="5" t="n">
        <v>11958</v>
      </c>
      <c r="I13" s="5" t="n">
        <v>1096</v>
      </c>
      <c r="J13" s="5" t="n">
        <v>13484</v>
      </c>
      <c r="K13" s="5" t="n">
        <v>5549</v>
      </c>
      <c r="L13" s="5" t="n">
        <v>19156</v>
      </c>
      <c r="M13" s="5" t="n">
        <v>14084</v>
      </c>
      <c r="AE13" t="inlineStr">
        <is>
          <t>Net interest income</t>
        </is>
      </c>
      <c r="AF13" t="n">
        <v>14084</v>
      </c>
      <c r="AG13" t="n">
        <v>19156</v>
      </c>
      <c r="AH13" t="n">
        <v>5549</v>
      </c>
      <c r="AI13" t="n">
        <v>13484</v>
      </c>
      <c r="AJ13" t="n">
        <v>1096</v>
      </c>
      <c r="AK13" t="n">
        <v>11958</v>
      </c>
      <c r="AL13" t="n">
        <v>33154</v>
      </c>
      <c r="AM13" t="n">
        <v>14628</v>
      </c>
      <c r="AN13" t="n">
        <v>20340</v>
      </c>
      <c r="AO13" t="n">
        <v>52288</v>
      </c>
      <c r="AP13" t="n">
        <v>57062</v>
      </c>
      <c r="AQ13" t="n">
        <v>43615</v>
      </c>
    </row>
    <row r="14">
      <c r="A14" s="5" t="inlineStr">
        <is>
          <t>Administrative expenses</t>
        </is>
      </c>
      <c r="B14" s="5" t="n">
        <v>-21070</v>
      </c>
      <c r="C14" s="5" t="n">
        <v>-27722</v>
      </c>
      <c r="D14" s="5" t="n">
        <v>-34895</v>
      </c>
      <c r="E14" s="5" t="n">
        <v>-32647</v>
      </c>
      <c r="F14" s="5" t="n">
        <v>-48725</v>
      </c>
      <c r="G14" s="5" t="n">
        <v>-76126</v>
      </c>
      <c r="H14" s="5" t="n">
        <v>-81870</v>
      </c>
      <c r="I14" s="5" t="n">
        <v>-82152</v>
      </c>
      <c r="J14" s="5" t="n">
        <v>-75348</v>
      </c>
      <c r="K14" s="5" t="n">
        <v>-41791</v>
      </c>
      <c r="L14" s="5" t="n">
        <v>-44792</v>
      </c>
      <c r="M14" s="5" t="n">
        <v>-57487</v>
      </c>
      <c r="AE14" t="inlineStr">
        <is>
          <t>Administrative expenses</t>
        </is>
      </c>
      <c r="AF14" t="n">
        <v>-57487</v>
      </c>
      <c r="AG14" t="n">
        <v>-44792</v>
      </c>
      <c r="AH14" t="n">
        <v>-41791</v>
      </c>
      <c r="AI14" t="n">
        <v>-75348</v>
      </c>
      <c r="AJ14" t="n">
        <v>-82152</v>
      </c>
      <c r="AK14" t="n">
        <v>-81870</v>
      </c>
      <c r="AL14" t="n">
        <v>-76126</v>
      </c>
      <c r="AM14" t="n">
        <v>-48725</v>
      </c>
      <c r="AN14" t="n">
        <v>-32647</v>
      </c>
      <c r="AO14" t="n">
        <v>-34895</v>
      </c>
      <c r="AP14" t="n">
        <v>-27722</v>
      </c>
      <c r="AQ14" t="n">
        <v>-21070</v>
      </c>
    </row>
    <row r="15">
      <c r="A15" s="5" t="inlineStr">
        <is>
          <t>Profit for the year</t>
        </is>
      </c>
      <c r="B15" s="5" t="n">
        <v>37579</v>
      </c>
      <c r="C15" s="5" t="n">
        <v>45781</v>
      </c>
      <c r="D15" s="5" t="n">
        <v>314</v>
      </c>
      <c r="E15" s="5" t="n">
        <v>94153</v>
      </c>
      <c r="F15" s="5" t="n">
        <v>9877</v>
      </c>
      <c r="G15" s="5" t="n">
        <v>94430</v>
      </c>
      <c r="H15" s="5" t="n">
        <v>38122</v>
      </c>
      <c r="I15" s="5" t="n">
        <v>27693</v>
      </c>
      <c r="J15" s="5" t="n">
        <v>49705</v>
      </c>
      <c r="K15" s="5" t="n">
        <v>27988</v>
      </c>
      <c r="L15" s="5" t="n">
        <v>18134</v>
      </c>
      <c r="M15" s="5" t="n">
        <v>30766</v>
      </c>
      <c r="AE15" t="inlineStr">
        <is>
          <t>Profit for the year</t>
        </is>
      </c>
      <c r="AF15" t="n">
        <v>30766</v>
      </c>
      <c r="AG15" t="n">
        <v>18134</v>
      </c>
      <c r="AH15" t="n">
        <v>27988</v>
      </c>
      <c r="AI15" t="n">
        <v>49705</v>
      </c>
      <c r="AJ15" t="n">
        <v>27693</v>
      </c>
      <c r="AK15" t="n">
        <v>38122</v>
      </c>
      <c r="AL15" t="n">
        <v>94430</v>
      </c>
      <c r="AM15" t="n">
        <v>9877</v>
      </c>
      <c r="AN15" t="n">
        <v>94153</v>
      </c>
      <c r="AO15" t="n">
        <v>314</v>
      </c>
      <c r="AP15" t="n">
        <v>45781</v>
      </c>
      <c r="AQ15" t="n">
        <v>37579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810485</v>
      </c>
      <c r="C19" s="5" t="n">
        <v>765983</v>
      </c>
      <c r="D19" s="5" t="n">
        <v>766224</v>
      </c>
      <c r="E19" s="5" t="n">
        <v>821983</v>
      </c>
      <c r="F19" s="5" t="n">
        <v>812361</v>
      </c>
      <c r="G19" s="5" t="n">
        <v>712969</v>
      </c>
      <c r="H19" s="5" t="n">
        <v>674193</v>
      </c>
      <c r="I19" s="5" t="n">
        <v>654676</v>
      </c>
      <c r="J19" s="5" t="n">
        <v>599209</v>
      </c>
      <c r="K19" s="5" t="n">
        <v>547779</v>
      </c>
      <c r="L19" s="5" t="n">
        <v>531729</v>
      </c>
      <c r="M19" s="5" t="n">
        <v>500804</v>
      </c>
      <c r="AT19" t="inlineStr">
        <is>
          <t>Opening equity</t>
        </is>
      </c>
      <c r="AU19" t="n">
        <v>500804</v>
      </c>
      <c r="AV19" t="n">
        <v>531729</v>
      </c>
      <c r="AW19" t="n">
        <v>547779</v>
      </c>
      <c r="AX19" t="n">
        <v>599209</v>
      </c>
      <c r="AY19" t="n">
        <v>654676</v>
      </c>
      <c r="AZ19" t="n">
        <v>674193</v>
      </c>
      <c r="BA19" t="n">
        <v>712969</v>
      </c>
      <c r="BB19" t="n">
        <v>812361</v>
      </c>
      <c r="BC19" t="n">
        <v>821983</v>
      </c>
      <c r="BD19" t="n">
        <v>766224</v>
      </c>
      <c r="BE19" t="n">
        <v>765983</v>
      </c>
      <c r="BF19" t="n">
        <v>810485</v>
      </c>
    </row>
    <row r="20">
      <c r="A20" s="5" t="inlineStr">
        <is>
          <t>Total comprehensive income for the year</t>
        </is>
      </c>
      <c r="B20" s="5" t="n">
        <v>37416</v>
      </c>
      <c r="C20" s="5" t="n">
        <v>44502</v>
      </c>
      <c r="D20" s="5" t="n">
        <v>-241</v>
      </c>
      <c r="E20" s="5" t="n">
        <v>94241</v>
      </c>
      <c r="F20" s="5" t="n">
        <v>9622</v>
      </c>
      <c r="G20" s="5" t="n">
        <v>95113</v>
      </c>
      <c r="H20" s="5" t="n">
        <v>38776</v>
      </c>
      <c r="I20" s="5" t="n">
        <v>20377</v>
      </c>
      <c r="J20" s="5" t="n">
        <v>55467</v>
      </c>
      <c r="K20" s="5" t="n">
        <v>51430</v>
      </c>
      <c r="L20" s="5" t="n">
        <v>16050</v>
      </c>
      <c r="M20" s="5" t="n">
        <v>32444</v>
      </c>
      <c r="AT20" t="inlineStr">
        <is>
          <t>Total comprehensive income for the year</t>
        </is>
      </c>
      <c r="AU20" t="n">
        <v>32444</v>
      </c>
      <c r="AV20" t="n">
        <v>16050</v>
      </c>
      <c r="AW20" t="n">
        <v>51430</v>
      </c>
      <c r="AX20" t="n">
        <v>55467</v>
      </c>
      <c r="AY20" t="n">
        <v>20377</v>
      </c>
      <c r="AZ20" t="n">
        <v>38776</v>
      </c>
      <c r="BA20" t="n">
        <v>95113</v>
      </c>
      <c r="BB20" t="n">
        <v>9622</v>
      </c>
      <c r="BC20" t="n">
        <v>94241</v>
      </c>
      <c r="BD20" t="n">
        <v>-241</v>
      </c>
      <c r="BE20" t="n">
        <v>44502</v>
      </c>
      <c r="BF20" t="n">
        <v>37416</v>
      </c>
    </row>
    <row r="21">
      <c r="A21" s="5" t="inlineStr">
        <is>
          <t>Other equity movements, net</t>
        </is>
      </c>
      <c r="B21" s="5" t="n">
        <v>-100000</v>
      </c>
      <c r="C21" s="5" t="n">
        <v>0</v>
      </c>
      <c r="D21" s="5" t="n">
        <v>0</v>
      </c>
      <c r="E21" s="5" t="n">
        <v>-150000</v>
      </c>
      <c r="F21" s="5" t="n">
        <v>0</v>
      </c>
      <c r="G21" s="5" t="n">
        <v>4279</v>
      </c>
      <c r="H21" s="5" t="n">
        <v>0</v>
      </c>
      <c r="I21" s="5" t="n">
        <v>-860</v>
      </c>
      <c r="J21" s="5" t="n">
        <v>0</v>
      </c>
      <c r="K21" s="5" t="n">
        <v>0</v>
      </c>
      <c r="L21" s="5" t="n">
        <v>0</v>
      </c>
      <c r="M21" s="5" t="n">
        <v>2059</v>
      </c>
      <c r="AT21" t="inlineStr">
        <is>
          <t>Other equity movements, net</t>
        </is>
      </c>
      <c r="AU21" t="n">
        <v>2059</v>
      </c>
      <c r="AV21" t="n">
        <v>0</v>
      </c>
      <c r="AW21" t="n">
        <v>0</v>
      </c>
      <c r="AX21" t="n">
        <v>0</v>
      </c>
      <c r="AY21" t="n">
        <v>-860</v>
      </c>
      <c r="AZ21" t="n">
        <v>0</v>
      </c>
      <c r="BA21" t="n">
        <v>4279</v>
      </c>
      <c r="BB21" t="n">
        <v>0</v>
      </c>
      <c r="BC21" t="n">
        <v>-150000</v>
      </c>
      <c r="BD21" t="n">
        <v>0</v>
      </c>
      <c r="BE21" t="n">
        <v>0</v>
      </c>
      <c r="BF21" t="n">
        <v>-100000</v>
      </c>
    </row>
    <row r="22">
      <c r="A22" s="5" t="inlineStr">
        <is>
          <t>Closing equity</t>
        </is>
      </c>
      <c r="B22" s="5" t="n">
        <v>747901</v>
      </c>
      <c r="C22" s="5" t="n">
        <v>810485</v>
      </c>
      <c r="D22" s="5" t="n">
        <v>765983</v>
      </c>
      <c r="E22" s="5" t="n">
        <v>766224</v>
      </c>
      <c r="F22" s="5" t="n">
        <v>821983</v>
      </c>
      <c r="G22" s="5" t="n">
        <v>812361</v>
      </c>
      <c r="H22" s="5" t="n">
        <v>712969</v>
      </c>
      <c r="I22" s="5" t="n">
        <v>674193</v>
      </c>
      <c r="J22" s="5" t="n">
        <v>654676</v>
      </c>
      <c r="K22" s="5" t="n">
        <v>599209</v>
      </c>
      <c r="L22" s="5" t="n">
        <v>547779</v>
      </c>
      <c r="M22" s="5" t="n">
        <v>535307</v>
      </c>
      <c r="AT22" t="inlineStr">
        <is>
          <t>Closing equity</t>
        </is>
      </c>
      <c r="AU22" t="n">
        <v>535307</v>
      </c>
      <c r="AV22" t="n">
        <v>547779</v>
      </c>
      <c r="AW22" t="n">
        <v>599209</v>
      </c>
      <c r="AX22" t="n">
        <v>654676</v>
      </c>
      <c r="AY22" t="n">
        <v>674193</v>
      </c>
      <c r="AZ22" t="n">
        <v>712969</v>
      </c>
      <c r="BA22" t="n">
        <v>812361</v>
      </c>
      <c r="BB22" t="n">
        <v>821983</v>
      </c>
      <c r="BC22" t="n">
        <v>766224</v>
      </c>
      <c r="BD22" t="n">
        <v>765983</v>
      </c>
      <c r="BE22" t="n">
        <v>810485</v>
      </c>
      <c r="BF22" t="n">
        <v>747901</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row>
    <row r="28">
      <c r="A28" s="6" t="inlineStr">
        <is>
          <t>CET1 Ratio</t>
        </is>
      </c>
      <c r="B28" s="6" t="inlineStr">
        <is>
          <t>42.6%</t>
        </is>
      </c>
      <c r="C28" s="6" t="inlineStr">
        <is>
          <t>46.7%</t>
        </is>
      </c>
      <c r="D28" s="6" t="inlineStr">
        <is>
          <t>31.7%</t>
        </is>
      </c>
      <c r="E28" s="6" t="inlineStr">
        <is>
          <t>34.0%</t>
        </is>
      </c>
      <c r="F28" s="6" t="inlineStr">
        <is>
          <t>34.4%</t>
        </is>
      </c>
      <c r="G28" s="6" t="inlineStr">
        <is>
          <t>23.3%</t>
        </is>
      </c>
      <c r="H28" s="6" t="inlineStr">
        <is>
          <t>20.9%</t>
        </is>
      </c>
      <c r="I28" s="6" t="inlineStr">
        <is>
          <t>17.3%</t>
        </is>
      </c>
      <c r="J28" s="6" t="inlineStr">
        <is>
          <t>19.0%</t>
        </is>
      </c>
      <c r="K28" s="6" t="inlineStr">
        <is>
          <t>18.4%</t>
        </is>
      </c>
      <c r="L28" s="6" t="inlineStr">
        <is>
          <t>17.1%</t>
        </is>
      </c>
      <c r="M28" s="6" t="n"/>
    </row>
    <row r="29">
      <c r="A29" s="6" t="inlineStr">
        <is>
          <t>Total Capital Ratio</t>
        </is>
      </c>
      <c r="B29" s="6" t="inlineStr">
        <is>
          <t>58.9%</t>
        </is>
      </c>
      <c r="C29" s="6" t="inlineStr">
        <is>
          <t>59.8%</t>
        </is>
      </c>
      <c r="D29" s="6" t="inlineStr">
        <is>
          <t>43.3%</t>
        </is>
      </c>
      <c r="E29" s="6" t="inlineStr">
        <is>
          <t>48.5%</t>
        </is>
      </c>
      <c r="F29" s="6" t="inlineStr">
        <is>
          <t>44.0%</t>
        </is>
      </c>
      <c r="G29" s="6" t="inlineStr">
        <is>
          <t>33.5%</t>
        </is>
      </c>
      <c r="H29" s="6" t="inlineStr">
        <is>
          <t>29.7%</t>
        </is>
      </c>
      <c r="I29" s="6" t="n"/>
      <c r="J29" s="6" t="n"/>
      <c r="K29" s="6" t="n"/>
      <c r="L29" s="6" t="n"/>
      <c r="M29" s="6" t="n"/>
    </row>
    <row r="30">
      <c r="A30" s="6" t="inlineStr">
        <is>
          <t>Leverage Ratio</t>
        </is>
      </c>
      <c r="B30" s="6" t="inlineStr">
        <is>
          <t>30.3%</t>
        </is>
      </c>
      <c r="C30" s="6" t="inlineStr">
        <is>
          <t>29.1%</t>
        </is>
      </c>
      <c r="D30" s="6" t="inlineStr">
        <is>
          <t>23.9%</t>
        </is>
      </c>
      <c r="E30" s="6" t="inlineStr">
        <is>
          <t>18.5%</t>
        </is>
      </c>
      <c r="F30" s="6" t="inlineStr">
        <is>
          <t>30.1%</t>
        </is>
      </c>
      <c r="G30" s="6" t="inlineStr">
        <is>
          <t>19.8%</t>
        </is>
      </c>
      <c r="H30" s="6" t="inlineStr">
        <is>
          <t>16.3%</t>
        </is>
      </c>
      <c r="I30" s="6" t="inlineStr">
        <is>
          <t>18.0%</t>
        </is>
      </c>
      <c r="J30" s="6" t="inlineStr">
        <is>
          <t>16.0%</t>
        </is>
      </c>
      <c r="K30" s="6" t="inlineStr">
        <is>
          <t>13.7%</t>
        </is>
      </c>
      <c r="L30" s="6" t="inlineStr">
        <is>
          <t>14.7%</t>
        </is>
      </c>
      <c r="M30" s="6" t="n"/>
    </row>
    <row r="31">
      <c r="A31" s="6" t="inlineStr">
        <is>
          <t>LCR</t>
        </is>
      </c>
      <c r="B31" s="6" t="inlineStr">
        <is>
          <t>412%</t>
        </is>
      </c>
      <c r="C31" s="6" t="inlineStr">
        <is>
          <t>417%</t>
        </is>
      </c>
      <c r="D31" s="6" t="inlineStr">
        <is>
          <t>250%</t>
        </is>
      </c>
      <c r="E31" s="6" t="inlineStr">
        <is>
          <t>191%</t>
        </is>
      </c>
      <c r="F31" s="6" t="inlineStr">
        <is>
          <t>226%</t>
        </is>
      </c>
      <c r="G31" s="6" t="inlineStr">
        <is>
          <t>219%</t>
        </is>
      </c>
      <c r="H31" s="6" t="inlineStr">
        <is>
          <t>210%</t>
        </is>
      </c>
      <c r="I31" s="6" t="n"/>
      <c r="J31" s="6" t="n"/>
      <c r="K31" s="6" t="n"/>
      <c r="L31" s="6" t="n"/>
      <c r="M31" s="6" t="n"/>
    </row>
    <row r="32">
      <c r="A32" s="6" t="inlineStr">
        <is>
          <t>NSFR</t>
        </is>
      </c>
      <c r="B32" s="6" t="inlineStr">
        <is>
          <t>263%</t>
        </is>
      </c>
      <c r="C32" s="6" t="inlineStr">
        <is>
          <t>223%</t>
        </is>
      </c>
      <c r="D32" s="6" t="inlineStr">
        <is>
          <t>163%</t>
        </is>
      </c>
      <c r="E32" s="6" t="inlineStr">
        <is>
          <t>165%</t>
        </is>
      </c>
      <c r="F32" s="6" t="inlineStr">
        <is>
          <t>Not disclosed</t>
        </is>
      </c>
      <c r="G32" s="6" t="n"/>
      <c r="H32" s="6" t="n"/>
      <c r="I32" s="6" t="n"/>
      <c r="J32" s="6" t="n"/>
      <c r="K32" s="6" t="n"/>
      <c r="L32" s="6" t="n"/>
      <c r="M32" s="6" t="n"/>
    </row>
    <row r="34" ht="45" customHeight="1">
      <c r="A34" s="7" t="inlineStr">
        <is>
          <t>Note: The Company takes the FRS 101 exemption from presenting a cash-flow statement. Interim Morgan Stanley International Pillar 3 reports are group-level and do not provide defensible standalone MSBIL interim data. FY2014-FY2018: CET1 Ratio uses the disclosed Tier 1 ratio (CET1 = Tier 1 capital in every year checked); Total Capital Ratio, LCR and NSFR are blank where not disclosed (see the RWA/Total Capital/LCR/NSFR sheets for detail); FY2014 additionally has no Leverage Ratio (first required from FY2015) and no capital ratio of any kind besides what appears here.</t>
        </is>
      </c>
    </row>
  </sheetData>
  <mergeCells count="1">
    <mergeCell ref="A34:M3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Balance Sheet</t>
        </is>
      </c>
    </row>
    <row r="2">
      <c r="A2" s="2" t="inlineStr">
        <is>
          <t>Standalone Company basis (FRS 101). £'000. FY2021 uniquely shows an 'Investment in subsidiary undertaking' line (£105,374k) - disposed of during FY2022, generating that year's £93,978k 'Gain on disposal of subsidiary' on the Profit &amp; Loss sheet and dropping to £nil from FY2022 onward. 'Deferred tax liabilities' only appears as its own line from FY2024 (shown as '–'/nil that year, £1,079k in FY2025); FY2021-FY2023 disclose no such line at all (shown blank, not zero).</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Assets</t>
        </is>
      </c>
      <c r="B4" s="6" t="n"/>
      <c r="C4" s="6" t="n"/>
      <c r="D4" s="6" t="n"/>
      <c r="E4" s="6" t="n"/>
      <c r="F4" s="6" t="n"/>
      <c r="G4" s="6" t="n"/>
      <c r="H4" s="6" t="n"/>
      <c r="I4" s="6" t="n"/>
      <c r="J4" s="6" t="n"/>
      <c r="K4" s="6" t="n"/>
      <c r="L4" s="6" t="n"/>
      <c r="M4" s="6" t="n"/>
    </row>
    <row r="5">
      <c r="A5" s="6" t="inlineStr">
        <is>
          <t>Cash and balances at central banks</t>
        </is>
      </c>
      <c r="B5" s="6" t="n">
        <v>24687</v>
      </c>
      <c r="C5" s="6" t="n">
        <v>17404</v>
      </c>
      <c r="D5" s="6" t="n">
        <v>6870</v>
      </c>
      <c r="E5" s="6" t="n">
        <v>47133</v>
      </c>
      <c r="F5" s="6" t="n">
        <v>20144</v>
      </c>
      <c r="G5" s="6" t="n">
        <v>14613</v>
      </c>
      <c r="H5" s="6" t="n">
        <v>122601</v>
      </c>
      <c r="I5" s="6" t="n">
        <v>15</v>
      </c>
      <c r="J5" s="6" t="n">
        <v>52687</v>
      </c>
      <c r="K5" s="6" t="n">
        <v>63784</v>
      </c>
      <c r="L5" s="6" t="n">
        <v>30279</v>
      </c>
      <c r="M5" s="6" t="n">
        <v>3308</v>
      </c>
    </row>
    <row r="6">
      <c r="A6" s="6" t="inlineStr">
        <is>
          <t>Secured financing</t>
        </is>
      </c>
      <c r="B6" s="6" t="n">
        <v>836854</v>
      </c>
      <c r="C6" s="6" t="n">
        <v>1163336</v>
      </c>
      <c r="D6" s="6" t="n">
        <v>1150162</v>
      </c>
      <c r="E6" s="6" t="n">
        <v>1330363</v>
      </c>
      <c r="F6" s="6" t="n">
        <v>1139856</v>
      </c>
      <c r="G6" s="6" t="n">
        <v>1501101</v>
      </c>
      <c r="H6" s="6" t="n">
        <v>1480900</v>
      </c>
      <c r="I6" s="6" t="n">
        <v>1280633</v>
      </c>
      <c r="J6" s="6" t="n">
        <v>1039793</v>
      </c>
      <c r="K6" s="6" t="n">
        <v>879913</v>
      </c>
      <c r="L6" s="6" t="n">
        <v>921954</v>
      </c>
      <c r="M6" s="6" t="n">
        <v>825761</v>
      </c>
    </row>
    <row r="7">
      <c r="A7" s="6" t="inlineStr">
        <is>
          <t>Loans and advances to banks</t>
        </is>
      </c>
      <c r="B7" s="6" t="n">
        <v>140542</v>
      </c>
      <c r="C7" s="6" t="n">
        <v>212774</v>
      </c>
      <c r="D7" s="6" t="n">
        <v>187090</v>
      </c>
      <c r="E7" s="6" t="n">
        <v>175841</v>
      </c>
      <c r="F7" s="6" t="n">
        <v>129608</v>
      </c>
      <c r="G7" s="6" t="n">
        <v>337581</v>
      </c>
      <c r="H7" s="6" t="n">
        <v>131940</v>
      </c>
      <c r="I7" s="6" t="n">
        <v>107412</v>
      </c>
      <c r="J7" s="6" t="n">
        <v>147815</v>
      </c>
      <c r="K7" s="6" t="n">
        <v>157136</v>
      </c>
      <c r="L7" s="6" t="n">
        <v>89547</v>
      </c>
      <c r="M7" s="6" t="n">
        <v>152123</v>
      </c>
    </row>
    <row r="8">
      <c r="A8" s="6" t="inlineStr">
        <is>
          <t>Loans and advances to customers</t>
        </is>
      </c>
      <c r="B8" s="6" t="n">
        <v>422190</v>
      </c>
      <c r="C8" s="6" t="n">
        <v>775727</v>
      </c>
      <c r="D8" s="6" t="n">
        <v>760186</v>
      </c>
      <c r="E8" s="6" t="n">
        <v>1227715</v>
      </c>
      <c r="F8" s="6" t="n">
        <v>380124</v>
      </c>
      <c r="G8" s="6" t="n">
        <v>24573</v>
      </c>
      <c r="H8" s="6" t="n">
        <v>180250</v>
      </c>
      <c r="I8" s="6" t="n">
        <v>363113</v>
      </c>
      <c r="J8" s="6" t="n">
        <v>354177</v>
      </c>
      <c r="K8" s="6" t="n">
        <v>385052</v>
      </c>
      <c r="L8" s="6" t="n">
        <v>155311</v>
      </c>
      <c r="M8" s="6" t="n">
        <v>617659</v>
      </c>
    </row>
    <row r="9">
      <c r="A9" s="6" t="inlineStr">
        <is>
          <t>Trading financial assets</t>
        </is>
      </c>
      <c r="B9" s="6" t="n">
        <v>3022186</v>
      </c>
      <c r="C9" s="6" t="n">
        <v>3746151</v>
      </c>
      <c r="D9" s="6" t="n">
        <v>3613350</v>
      </c>
      <c r="E9" s="6" t="n">
        <v>4868282</v>
      </c>
      <c r="F9" s="6" t="n">
        <v>3358044</v>
      </c>
      <c r="G9" s="6" t="n">
        <v>4184122</v>
      </c>
      <c r="H9" s="6" t="n">
        <v>3446503</v>
      </c>
      <c r="I9" s="6" t="n">
        <v>3290194</v>
      </c>
      <c r="J9" s="6" t="n">
        <v>3572024</v>
      </c>
      <c r="K9" s="6" t="n">
        <v>4123722</v>
      </c>
      <c r="L9" s="6" t="n">
        <v>3358901</v>
      </c>
      <c r="M9" s="6" t="n">
        <v>3247108</v>
      </c>
    </row>
    <row r="10">
      <c r="A10" s="6" t="inlineStr">
        <is>
          <t>Investment securities</t>
        </is>
      </c>
      <c r="B10" s="6" t="n">
        <v>23</v>
      </c>
      <c r="C10" s="6" t="n">
        <v>472</v>
      </c>
      <c r="D10" s="6" t="n">
        <v>463</v>
      </c>
      <c r="E10" s="6" t="n">
        <v>23</v>
      </c>
      <c r="F10" s="6" t="n">
        <v>679</v>
      </c>
      <c r="G10" s="6" t="n">
        <v>4828</v>
      </c>
      <c r="H10" s="6" t="n">
        <v>6557</v>
      </c>
      <c r="I10" s="6" t="n"/>
      <c r="J10" s="6" t="n"/>
      <c r="K10" s="6" t="n"/>
      <c r="L10" s="6" t="n"/>
      <c r="M10" s="6" t="n"/>
    </row>
    <row r="11">
      <c r="A11" s="6" t="inlineStr">
        <is>
          <t>Financial assets designated at fair value through profit or loss</t>
        </is>
      </c>
      <c r="B11" s="6" t="n"/>
      <c r="C11" s="6" t="n"/>
      <c r="D11" s="6" t="n"/>
      <c r="E11" s="6" t="n"/>
      <c r="F11" s="6" t="n"/>
      <c r="G11" s="6" t="n"/>
      <c r="H11" s="6" t="n"/>
      <c r="I11" s="6" t="n"/>
      <c r="J11" s="6" t="n"/>
      <c r="K11" s="6" t="n"/>
      <c r="L11" s="6" t="n"/>
      <c r="M11" s="6" t="n">
        <v>0</v>
      </c>
    </row>
    <row r="12">
      <c r="A12" s="6" t="inlineStr">
        <is>
          <t>Investment in subsidiary undertaking</t>
        </is>
      </c>
      <c r="B12" s="6" t="n"/>
      <c r="C12" s="6" t="n"/>
      <c r="D12" s="6" t="n"/>
      <c r="E12" s="6" t="n"/>
      <c r="F12" s="6" t="n">
        <v>105374</v>
      </c>
      <c r="G12" s="6" t="n">
        <v>105374</v>
      </c>
      <c r="H12" s="6" t="n">
        <v>105374</v>
      </c>
      <c r="I12" s="6" t="n">
        <v>105374</v>
      </c>
      <c r="J12" s="6" t="n">
        <v>105374</v>
      </c>
      <c r="K12" s="6" t="n">
        <v>105374</v>
      </c>
      <c r="L12" s="6" t="n">
        <v>105374</v>
      </c>
      <c r="M12" s="6" t="n">
        <v>105374</v>
      </c>
    </row>
    <row r="13">
      <c r="A13" s="6" t="inlineStr">
        <is>
          <t>Tangible fixed assets</t>
        </is>
      </c>
      <c r="B13" s="6" t="n">
        <v>681</v>
      </c>
      <c r="C13" s="6" t="n">
        <v>926</v>
      </c>
      <c r="D13" s="6" t="n">
        <v>1093</v>
      </c>
      <c r="E13" s="6" t="n">
        <v>1382</v>
      </c>
      <c r="F13" s="6" t="n">
        <v>567</v>
      </c>
      <c r="G13" s="6" t="n">
        <v>749</v>
      </c>
      <c r="H13" s="6" t="n">
        <v>3618</v>
      </c>
      <c r="I13" s="6" t="n">
        <v>898</v>
      </c>
      <c r="J13" s="6" t="n">
        <v>848</v>
      </c>
      <c r="K13" s="6" t="n">
        <v>1065</v>
      </c>
      <c r="L13" s="6" t="n">
        <v>1022</v>
      </c>
      <c r="M13" s="6" t="n">
        <v>437</v>
      </c>
    </row>
    <row r="14">
      <c r="A14" s="6" t="inlineStr">
        <is>
          <t>Other receivables</t>
        </is>
      </c>
      <c r="B14" s="6" t="n">
        <v>26119</v>
      </c>
      <c r="C14" s="6" t="n">
        <v>23892</v>
      </c>
      <c r="D14" s="6" t="n">
        <v>34100</v>
      </c>
      <c r="E14" s="6" t="n">
        <v>30374</v>
      </c>
      <c r="F14" s="6" t="n">
        <v>22811</v>
      </c>
      <c r="G14" s="6" t="n">
        <v>13774</v>
      </c>
      <c r="H14" s="6" t="n">
        <v>10013</v>
      </c>
      <c r="I14" s="6" t="n">
        <v>16071</v>
      </c>
      <c r="J14" s="6" t="n">
        <v>29716</v>
      </c>
      <c r="K14" s="6" t="n">
        <v>11526</v>
      </c>
      <c r="L14" s="6" t="n">
        <v>19736</v>
      </c>
      <c r="M14" s="6" t="n">
        <v>23098</v>
      </c>
    </row>
    <row r="15">
      <c r="A15" s="6" t="inlineStr">
        <is>
          <t>Current tax assets</t>
        </is>
      </c>
      <c r="B15" s="6" t="n">
        <v>1218</v>
      </c>
      <c r="C15" s="6" t="n">
        <v>282</v>
      </c>
      <c r="D15" s="6" t="n">
        <v>296</v>
      </c>
      <c r="E15" s="6" t="n">
        <v>2451</v>
      </c>
      <c r="F15" s="6" t="n">
        <v>287</v>
      </c>
      <c r="G15" s="6" t="n">
        <v>2010</v>
      </c>
      <c r="H15" s="6" t="n">
        <v>3654</v>
      </c>
      <c r="I15" s="6" t="n">
        <v>5844</v>
      </c>
      <c r="J15" s="6" t="n">
        <v>5310</v>
      </c>
      <c r="K15" s="6" t="n">
        <v>4088</v>
      </c>
      <c r="L15" s="6" t="n">
        <v>5623</v>
      </c>
      <c r="M15" s="6" t="n"/>
    </row>
    <row r="16">
      <c r="A16" s="6" t="inlineStr">
        <is>
          <t>Deferred tax assets</t>
        </is>
      </c>
      <c r="B16" s="6" t="n">
        <v>75</v>
      </c>
      <c r="C16" s="6" t="n">
        <v>1961</v>
      </c>
      <c r="D16" s="6" t="n">
        <v>7415</v>
      </c>
      <c r="E16" s="6" t="n">
        <v>7698</v>
      </c>
      <c r="F16" s="6" t="n">
        <v>8696</v>
      </c>
      <c r="G16" s="6" t="n">
        <v>2350</v>
      </c>
      <c r="H16" s="6" t="n">
        <v>5401</v>
      </c>
      <c r="I16" s="6" t="n">
        <v>8596</v>
      </c>
      <c r="J16" s="6" t="n">
        <v>13102</v>
      </c>
      <c r="K16" s="6" t="n">
        <v>10381</v>
      </c>
      <c r="L16" s="6" t="n">
        <v>3311</v>
      </c>
      <c r="M16" s="6" t="n"/>
    </row>
    <row r="17">
      <c r="A17" s="6" t="inlineStr">
        <is>
          <t>Prepayments and accrued income</t>
        </is>
      </c>
      <c r="B17" s="6" t="n">
        <v>126</v>
      </c>
      <c r="C17" s="6" t="n">
        <v>157</v>
      </c>
      <c r="D17" s="6" t="n">
        <v>156</v>
      </c>
      <c r="E17" s="6" t="n">
        <v>172</v>
      </c>
      <c r="F17" s="6" t="n">
        <v>127</v>
      </c>
      <c r="G17" s="6" t="n">
        <v>130</v>
      </c>
      <c r="H17" s="6" t="n">
        <v>445</v>
      </c>
      <c r="I17" s="6" t="n">
        <v>555</v>
      </c>
      <c r="J17" s="6" t="n">
        <v>504</v>
      </c>
      <c r="K17" s="6" t="n">
        <v>25</v>
      </c>
      <c r="L17" s="6" t="n">
        <v>38</v>
      </c>
      <c r="M17" s="6" t="n">
        <v>68</v>
      </c>
    </row>
    <row r="18">
      <c r="A18" s="5" t="inlineStr">
        <is>
          <t>Total assets</t>
        </is>
      </c>
      <c r="B18" s="5" t="n">
        <v>4474701</v>
      </c>
      <c r="C18" s="5" t="n">
        <v>5943082</v>
      </c>
      <c r="D18" s="5" t="n">
        <v>5761181</v>
      </c>
      <c r="E18" s="5" t="n">
        <v>7691434</v>
      </c>
      <c r="F18" s="5" t="n">
        <v>5166317</v>
      </c>
      <c r="G18" s="5" t="n">
        <v>6191205</v>
      </c>
      <c r="H18" s="5" t="n">
        <v>5497256</v>
      </c>
      <c r="I18" s="5" t="n">
        <v>5178705</v>
      </c>
      <c r="J18" s="5" t="n">
        <v>5321350</v>
      </c>
      <c r="K18" s="5" t="n">
        <v>5742066</v>
      </c>
      <c r="L18" s="5" t="n">
        <v>4691096</v>
      </c>
      <c r="M18" s="5" t="n">
        <v>4974936</v>
      </c>
    </row>
    <row r="19">
      <c r="A19" s="5" t="inlineStr">
        <is>
          <t>Liabilities</t>
        </is>
      </c>
      <c r="B19" s="6" t="n"/>
      <c r="C19" s="6" t="n"/>
      <c r="D19" s="6" t="n"/>
      <c r="E19" s="6" t="n"/>
      <c r="F19" s="6" t="n"/>
      <c r="G19" s="6" t="n"/>
      <c r="H19" s="6" t="n"/>
      <c r="I19" s="6" t="n"/>
      <c r="J19" s="6" t="n"/>
      <c r="K19" s="6" t="n"/>
      <c r="L19" s="6" t="n"/>
      <c r="M19" s="6" t="n"/>
    </row>
    <row r="20">
      <c r="A20" s="6" t="inlineStr">
        <is>
          <t>Deposits by banks</t>
        </is>
      </c>
      <c r="B20" s="6" t="n">
        <v>279651</v>
      </c>
      <c r="C20" s="6" t="n">
        <v>462429</v>
      </c>
      <c r="D20" s="6" t="n">
        <v>251784</v>
      </c>
      <c r="E20" s="6" t="n">
        <v>440764</v>
      </c>
      <c r="F20" s="6" t="n">
        <v>153851</v>
      </c>
      <c r="G20" s="6" t="n">
        <v>124229</v>
      </c>
      <c r="H20" s="6" t="n">
        <v>135962</v>
      </c>
      <c r="I20" s="6" t="n">
        <v>323778</v>
      </c>
      <c r="J20" s="6" t="n">
        <v>226045</v>
      </c>
      <c r="K20" s="6" t="n">
        <v>230883</v>
      </c>
      <c r="L20" s="6" t="n">
        <v>110708</v>
      </c>
      <c r="M20" s="6" t="n">
        <v>101036</v>
      </c>
    </row>
    <row r="21">
      <c r="A21" s="6" t="inlineStr">
        <is>
          <t>Customer accounts</t>
        </is>
      </c>
      <c r="B21" s="6" t="n">
        <v>632759</v>
      </c>
      <c r="C21" s="6" t="n">
        <v>783693</v>
      </c>
      <c r="D21" s="6" t="n">
        <v>1246212</v>
      </c>
      <c r="E21" s="6" t="n">
        <v>1814583</v>
      </c>
      <c r="F21" s="6" t="n">
        <v>1502764</v>
      </c>
      <c r="G21" s="6" t="n">
        <v>1647638</v>
      </c>
      <c r="H21" s="6" t="n">
        <v>1331496</v>
      </c>
      <c r="I21" s="6" t="n">
        <v>1072143</v>
      </c>
      <c r="J21" s="6" t="n">
        <v>875555</v>
      </c>
      <c r="K21" s="6" t="n">
        <v>747831</v>
      </c>
      <c r="L21" s="6" t="n">
        <v>719706</v>
      </c>
      <c r="M21" s="6" t="n">
        <v>1092621</v>
      </c>
    </row>
    <row r="22">
      <c r="A22" s="6" t="inlineStr">
        <is>
          <t>Secured borrowing</t>
        </is>
      </c>
      <c r="B22" s="6" t="n">
        <v>103105</v>
      </c>
      <c r="C22" s="6" t="n">
        <v>123656</v>
      </c>
      <c r="D22" s="6" t="n">
        <v>86502</v>
      </c>
      <c r="E22" s="6" t="n">
        <v>128224</v>
      </c>
      <c r="F22" s="6" t="n">
        <v>85181</v>
      </c>
      <c r="G22" s="6" t="n">
        <v>60718</v>
      </c>
      <c r="H22" s="6" t="n">
        <v>273663</v>
      </c>
      <c r="I22" s="6" t="n">
        <v>258331</v>
      </c>
      <c r="J22" s="6" t="n">
        <v>363057</v>
      </c>
      <c r="K22" s="6" t="n">
        <v>478743</v>
      </c>
      <c r="L22" s="6" t="n">
        <v>499063</v>
      </c>
      <c r="M22" s="6" t="n">
        <v>542723</v>
      </c>
    </row>
    <row r="23">
      <c r="A23" s="6" t="inlineStr">
        <is>
          <t>Trading financial liabilities</t>
        </is>
      </c>
      <c r="B23" s="6" t="n">
        <v>2409008</v>
      </c>
      <c r="C23" s="6" t="n">
        <v>3311515</v>
      </c>
      <c r="D23" s="6" t="n">
        <v>2957832</v>
      </c>
      <c r="E23" s="6" t="n">
        <v>4081489</v>
      </c>
      <c r="F23" s="6" t="n">
        <v>2270962</v>
      </c>
      <c r="G23" s="6" t="n">
        <v>3206555</v>
      </c>
      <c r="H23" s="6" t="n">
        <v>2762477</v>
      </c>
      <c r="I23" s="6" t="n">
        <v>2528574</v>
      </c>
      <c r="J23" s="6" t="n">
        <v>2893498</v>
      </c>
      <c r="K23" s="6" t="n">
        <v>3373992</v>
      </c>
      <c r="L23" s="6" t="n">
        <v>2511905</v>
      </c>
      <c r="M23" s="6" t="n">
        <v>2409122</v>
      </c>
    </row>
    <row r="24">
      <c r="A24" s="6" t="inlineStr">
        <is>
          <t>Financial liabilities designated at fair value through profit or loss</t>
        </is>
      </c>
      <c r="B24" s="6" t="n"/>
      <c r="C24" s="6" t="n"/>
      <c r="D24" s="6" t="n"/>
      <c r="E24" s="6" t="n"/>
      <c r="F24" s="6" t="n"/>
      <c r="G24" s="6" t="n"/>
      <c r="H24" s="6" t="n"/>
      <c r="I24" s="6" t="n"/>
      <c r="J24" s="6" t="n"/>
      <c r="K24" s="6" t="n"/>
      <c r="L24" s="6" t="n"/>
      <c r="M24" s="6" t="n">
        <v>0</v>
      </c>
    </row>
    <row r="25">
      <c r="A25" s="6" t="inlineStr">
        <is>
          <t>Other payables</t>
        </is>
      </c>
      <c r="B25" s="6" t="n">
        <v>18473</v>
      </c>
      <c r="C25" s="6" t="n">
        <v>20906</v>
      </c>
      <c r="D25" s="6" t="n">
        <v>27230</v>
      </c>
      <c r="E25" s="6" t="n">
        <v>45937</v>
      </c>
      <c r="F25" s="6" t="n">
        <v>41460</v>
      </c>
      <c r="G25" s="6" t="n">
        <v>55647</v>
      </c>
      <c r="H25" s="6" t="n">
        <v>13919</v>
      </c>
      <c r="I25" s="6" t="n">
        <v>42337</v>
      </c>
      <c r="J25" s="6" t="n">
        <v>23819</v>
      </c>
      <c r="K25" s="6" t="n">
        <v>19090</v>
      </c>
      <c r="L25" s="6" t="n">
        <v>16116</v>
      </c>
      <c r="M25" s="6" t="n">
        <v>14042</v>
      </c>
    </row>
    <row r="26">
      <c r="A26" s="6" t="inlineStr">
        <is>
          <t>Accruals and deferred income</t>
        </is>
      </c>
      <c r="B26" s="6" t="n">
        <v>4080</v>
      </c>
      <c r="C26" s="6" t="n">
        <v>9391</v>
      </c>
      <c r="D26" s="6" t="n">
        <v>2059</v>
      </c>
      <c r="E26" s="6" t="n">
        <v>1497</v>
      </c>
      <c r="F26" s="6" t="n">
        <v>2290</v>
      </c>
      <c r="G26" s="6" t="n">
        <v>5317</v>
      </c>
      <c r="H26" s="6" t="n">
        <v>11790</v>
      </c>
      <c r="I26" s="6" t="n">
        <v>14202</v>
      </c>
      <c r="J26" s="6" t="n">
        <v>9514</v>
      </c>
      <c r="K26" s="6" t="n">
        <v>17150</v>
      </c>
      <c r="L26" s="6" t="n">
        <v>25874</v>
      </c>
      <c r="M26" s="6" t="n">
        <v>29563</v>
      </c>
    </row>
    <row r="27">
      <c r="A27" s="6" t="inlineStr">
        <is>
          <t>Current tax liabilities</t>
        </is>
      </c>
      <c r="B27" s="6" t="n">
        <v>19853</v>
      </c>
      <c r="C27" s="6" t="n">
        <v>11677</v>
      </c>
      <c r="D27" s="6" t="n">
        <v>13754</v>
      </c>
      <c r="E27" s="6" t="n">
        <v>10758</v>
      </c>
      <c r="F27" s="6" t="n">
        <v>37356</v>
      </c>
      <c r="G27" s="6" t="n">
        <v>28260</v>
      </c>
      <c r="H27" s="6" t="n">
        <v>4047</v>
      </c>
      <c r="I27" s="6" t="n">
        <v>14560</v>
      </c>
      <c r="J27" s="6" t="n">
        <v>24501</v>
      </c>
      <c r="K27" s="6" t="n">
        <v>24655</v>
      </c>
      <c r="L27" s="6" t="n">
        <v>5945</v>
      </c>
      <c r="M27" s="6" t="n"/>
    </row>
    <row r="28">
      <c r="A28" s="6" t="inlineStr">
        <is>
          <t>Deferred tax liabilities</t>
        </is>
      </c>
      <c r="B28" s="6" t="n">
        <v>1079</v>
      </c>
      <c r="C28" s="6" t="n">
        <v>0</v>
      </c>
      <c r="D28" s="6" t="n"/>
      <c r="E28" s="6" t="n"/>
      <c r="F28" s="6" t="n"/>
      <c r="G28" s="6" t="n"/>
      <c r="H28" s="6" t="n"/>
      <c r="I28" s="6" t="n"/>
      <c r="J28" s="6" t="n"/>
      <c r="K28" s="6" t="n">
        <v>0</v>
      </c>
      <c r="L28" s="6" t="n">
        <v>3567</v>
      </c>
      <c r="M28" s="6" t="n"/>
    </row>
    <row r="29">
      <c r="A29" s="6" t="inlineStr">
        <is>
          <t>Retirement benefit liability</t>
        </is>
      </c>
      <c r="B29" s="6" t="n">
        <v>394</v>
      </c>
      <c r="C29" s="6" t="n">
        <v>424</v>
      </c>
      <c r="D29" s="6" t="n">
        <v>126</v>
      </c>
      <c r="E29" s="6" t="n">
        <v>111</v>
      </c>
      <c r="F29" s="6" t="n">
        <v>287</v>
      </c>
      <c r="G29" s="6" t="n">
        <v>244</v>
      </c>
      <c r="H29" s="6" t="n">
        <v>557</v>
      </c>
      <c r="I29" s="6" t="n">
        <v>429</v>
      </c>
      <c r="J29" s="6" t="n">
        <v>685</v>
      </c>
      <c r="K29" s="6" t="n">
        <v>513</v>
      </c>
      <c r="L29" s="6" t="n">
        <v>433</v>
      </c>
      <c r="M29" s="6" t="n">
        <v>522</v>
      </c>
    </row>
    <row r="30">
      <c r="A30" s="6" t="inlineStr">
        <is>
          <t>Provisions for liabilities and charges</t>
        </is>
      </c>
      <c r="B30" s="6" t="n">
        <v>178</v>
      </c>
      <c r="C30" s="6" t="n">
        <v>179</v>
      </c>
      <c r="D30" s="6" t="n">
        <v>193</v>
      </c>
      <c r="E30" s="6" t="n">
        <v>203</v>
      </c>
      <c r="F30" s="6" t="n">
        <v>183</v>
      </c>
      <c r="G30" s="6" t="n">
        <v>236</v>
      </c>
      <c r="H30" s="6" t="n">
        <v>376</v>
      </c>
      <c r="I30" s="6" t="n">
        <v>158</v>
      </c>
      <c r="J30" s="6" t="n"/>
      <c r="K30" s="6" t="n"/>
      <c r="L30" s="6" t="n"/>
      <c r="M30" s="6" t="n">
        <v>0</v>
      </c>
    </row>
    <row r="31">
      <c r="A31" s="6" t="inlineStr">
        <is>
          <t>Subordinated debt</t>
        </is>
      </c>
      <c r="B31" s="6" t="n">
        <v>258220</v>
      </c>
      <c r="C31" s="6" t="n">
        <v>408727</v>
      </c>
      <c r="D31" s="6" t="n">
        <v>409506</v>
      </c>
      <c r="E31" s="6" t="n">
        <v>401644</v>
      </c>
      <c r="F31" s="6" t="n">
        <v>250000</v>
      </c>
      <c r="G31" s="6" t="n">
        <v>250000</v>
      </c>
      <c r="H31" s="6" t="n">
        <v>250000</v>
      </c>
      <c r="I31" s="6" t="n">
        <v>250000</v>
      </c>
      <c r="J31" s="6" t="n">
        <v>250000</v>
      </c>
      <c r="K31" s="6" t="n">
        <v>250000</v>
      </c>
      <c r="L31" s="6" t="n">
        <v>250000</v>
      </c>
      <c r="M31" s="6" t="n">
        <v>250000</v>
      </c>
    </row>
    <row r="32">
      <c r="A32" s="5" t="inlineStr">
        <is>
          <t>Total liabilities</t>
        </is>
      </c>
      <c r="B32" s="5" t="n">
        <v>3726800</v>
      </c>
      <c r="C32" s="5" t="n">
        <v>5132597</v>
      </c>
      <c r="D32" s="5" t="n">
        <v>4995198</v>
      </c>
      <c r="E32" s="5" t="n">
        <v>6925210</v>
      </c>
      <c r="F32" s="5" t="n">
        <v>4344334</v>
      </c>
      <c r="G32" s="5" t="n">
        <v>5378844</v>
      </c>
      <c r="H32" s="5" t="n">
        <v>4784287</v>
      </c>
      <c r="I32" s="5" t="n">
        <v>4504512</v>
      </c>
      <c r="J32" s="5" t="n">
        <v>4666674</v>
      </c>
      <c r="K32" s="5" t="n">
        <v>5142857</v>
      </c>
      <c r="L32" s="5" t="n">
        <v>4143317</v>
      </c>
      <c r="M32" s="5" t="n">
        <v>4439629</v>
      </c>
    </row>
    <row r="33">
      <c r="A33" s="5" t="inlineStr">
        <is>
          <t>Equity</t>
        </is>
      </c>
      <c r="B33" s="6" t="n"/>
      <c r="C33" s="6" t="n"/>
      <c r="D33" s="6" t="n"/>
      <c r="E33" s="6" t="n"/>
      <c r="F33" s="6" t="n"/>
      <c r="G33" s="6" t="n"/>
      <c r="H33" s="6" t="n"/>
      <c r="I33" s="6" t="n"/>
      <c r="J33" s="6" t="n"/>
      <c r="K33" s="6" t="n"/>
      <c r="L33" s="6" t="n"/>
      <c r="M33" s="6" t="n"/>
    </row>
    <row r="34">
      <c r="A34" s="6" t="inlineStr">
        <is>
          <t>Called up share capital</t>
        </is>
      </c>
      <c r="B34" s="6" t="n">
        <v>340000</v>
      </c>
      <c r="C34" s="6" t="n">
        <v>340000</v>
      </c>
      <c r="D34" s="6" t="n">
        <v>340000</v>
      </c>
      <c r="E34" s="6" t="n">
        <v>340000</v>
      </c>
      <c r="F34" s="6" t="n">
        <v>340000</v>
      </c>
      <c r="G34" s="6" t="n">
        <v>340000</v>
      </c>
      <c r="H34" s="6" t="n">
        <v>340000</v>
      </c>
      <c r="I34" s="6" t="n">
        <v>340000</v>
      </c>
      <c r="J34" s="6" t="n">
        <v>340000</v>
      </c>
      <c r="K34" s="6" t="n">
        <v>340000</v>
      </c>
      <c r="L34" s="6" t="n">
        <v>340000</v>
      </c>
      <c r="M34" s="6" t="n">
        <v>340000</v>
      </c>
    </row>
    <row r="35">
      <c r="A35" s="6" t="inlineStr">
        <is>
          <t>Capital contribution reserve</t>
        </is>
      </c>
      <c r="B35" s="6" t="n">
        <v>89654</v>
      </c>
      <c r="C35" s="6" t="n">
        <v>89654</v>
      </c>
      <c r="D35" s="6" t="n">
        <v>89654</v>
      </c>
      <c r="E35" s="6" t="n">
        <v>89654</v>
      </c>
      <c r="F35" s="6" t="n">
        <v>89654</v>
      </c>
      <c r="G35" s="6" t="n">
        <v>89654</v>
      </c>
      <c r="H35" s="6" t="n">
        <v>89654</v>
      </c>
      <c r="I35" s="6" t="n">
        <v>89654</v>
      </c>
      <c r="J35" s="6" t="n">
        <v>89654</v>
      </c>
      <c r="K35" s="6" t="n">
        <v>89654</v>
      </c>
      <c r="L35" s="6" t="n">
        <v>89654</v>
      </c>
      <c r="M35" s="6" t="n">
        <v>89654</v>
      </c>
    </row>
    <row r="36">
      <c r="A36" s="6" t="inlineStr">
        <is>
          <t>Foreign currency revaluation reserve</t>
        </is>
      </c>
      <c r="B36" s="6" t="n">
        <v>35165</v>
      </c>
      <c r="C36" s="6" t="n">
        <v>35368</v>
      </c>
      <c r="D36" s="6" t="n">
        <v>36668</v>
      </c>
      <c r="E36" s="6" t="n">
        <v>37201</v>
      </c>
      <c r="F36" s="6" t="n">
        <v>37213</v>
      </c>
      <c r="G36" s="6" t="n">
        <v>37546</v>
      </c>
      <c r="H36" s="6" t="n">
        <v>36629</v>
      </c>
      <c r="I36" s="6" t="n">
        <v>35801</v>
      </c>
      <c r="J36" s="6" t="n">
        <v>43119</v>
      </c>
      <c r="K36" s="6" t="n">
        <v>37348</v>
      </c>
      <c r="L36" s="6" t="n">
        <v>13889</v>
      </c>
      <c r="M36" s="6" t="n">
        <v>16168</v>
      </c>
    </row>
    <row r="37">
      <c r="A37" s="6" t="inlineStr">
        <is>
          <t>Profit and loss account</t>
        </is>
      </c>
      <c r="B37" s="6" t="n">
        <v>283082</v>
      </c>
      <c r="C37" s="6" t="n">
        <v>345463</v>
      </c>
      <c r="D37" s="6" t="n">
        <v>299661</v>
      </c>
      <c r="E37" s="6" t="n">
        <v>299369</v>
      </c>
      <c r="F37" s="6" t="n">
        <v>355116</v>
      </c>
      <c r="G37" s="6" t="n">
        <v>345161</v>
      </c>
      <c r="H37" s="6" t="n">
        <v>246686</v>
      </c>
      <c r="I37" s="6" t="n">
        <v>208738</v>
      </c>
      <c r="J37" s="6" t="n">
        <v>181903</v>
      </c>
      <c r="K37" s="6" t="n">
        <v>132207</v>
      </c>
      <c r="L37" s="6" t="n">
        <v>104236</v>
      </c>
      <c r="M37" s="6" t="n">
        <v>89485</v>
      </c>
    </row>
    <row r="38">
      <c r="A38" s="5" t="inlineStr">
        <is>
          <t>Equity shareholders' funds</t>
        </is>
      </c>
      <c r="B38" s="5" t="n">
        <v>747901</v>
      </c>
      <c r="C38" s="5" t="n">
        <v>810485</v>
      </c>
      <c r="D38" s="5" t="n">
        <v>765983</v>
      </c>
      <c r="E38" s="5" t="n">
        <v>766224</v>
      </c>
      <c r="F38" s="5" t="n">
        <v>821983</v>
      </c>
      <c r="G38" s="5" t="n">
        <v>812361</v>
      </c>
      <c r="H38" s="5" t="n">
        <v>712969</v>
      </c>
      <c r="I38" s="5" t="n">
        <v>674193</v>
      </c>
      <c r="J38" s="5" t="n">
        <v>654676</v>
      </c>
      <c r="K38" s="5" t="n">
        <v>599209</v>
      </c>
      <c r="L38" s="5" t="n">
        <v>547779</v>
      </c>
      <c r="M38" s="5" t="n">
        <v>535307</v>
      </c>
    </row>
    <row r="39">
      <c r="A39" s="5" t="inlineStr">
        <is>
          <t>Total liabilities and equity</t>
        </is>
      </c>
      <c r="B39" s="5" t="n">
        <v>4474701</v>
      </c>
      <c r="C39" s="5" t="n">
        <v>5943082</v>
      </c>
      <c r="D39" s="5" t="n">
        <v>5761181</v>
      </c>
      <c r="E39" s="5" t="n">
        <v>7691434</v>
      </c>
      <c r="F39" s="5" t="n">
        <v>5166317</v>
      </c>
      <c r="G39" s="5" t="n">
        <v>6191205</v>
      </c>
      <c r="H39" s="5" t="n">
        <v>5497256</v>
      </c>
      <c r="I39" s="5" t="n">
        <v>5178705</v>
      </c>
      <c r="J39" s="5" t="n">
        <v>5321350</v>
      </c>
      <c r="K39" s="5" t="n">
        <v>5742066</v>
      </c>
      <c r="L39" s="5" t="n">
        <v>4691096</v>
      </c>
      <c r="M39" s="5" t="n">
        <v>4974936</v>
      </c>
    </row>
    <row r="41" ht="260" customHeight="1">
      <c r="A41"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t>
        </is>
      </c>
    </row>
  </sheetData>
  <mergeCells count="1">
    <mergeCell ref="A41:M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Profit &amp; Loss</t>
        </is>
      </c>
    </row>
    <row r="2">
      <c r="A2" s="2" t="inlineStr">
        <is>
          <t>Standalone Company basis (FRS 101). £'000. FY2022's 'Gain on disposal of subsidiary' (£93,978k) is the disposal of the subsidiary undertaking held on the FY2021 Balance Sheet. FY2021/FY2022 disclose a 'Net reversal of impairment loss on financial instruments' line not shown FY2023-FY2025 (genuinely £nil/not disclosed those years, not omitted).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Income</t>
        </is>
      </c>
      <c r="B4" s="6" t="n"/>
      <c r="C4" s="6" t="n"/>
      <c r="D4" s="6" t="n"/>
      <c r="E4" s="6" t="n"/>
      <c r="F4" s="6" t="n"/>
      <c r="G4" s="6" t="n"/>
      <c r="H4" s="6" t="n"/>
      <c r="I4" s="6" t="n"/>
      <c r="J4" s="6" t="n"/>
      <c r="K4" s="6" t="n"/>
      <c r="L4" s="6" t="n"/>
      <c r="M4" s="6" t="n"/>
    </row>
    <row r="5">
      <c r="A5" s="6" t="inlineStr">
        <is>
          <t>Interest receivable and similar income</t>
        </is>
      </c>
      <c r="B5" s="6" t="n">
        <v>111211</v>
      </c>
      <c r="C5" s="6" t="n">
        <v>150183</v>
      </c>
      <c r="D5" s="6" t="n">
        <v>176532</v>
      </c>
      <c r="E5" s="6" t="n">
        <v>67078</v>
      </c>
      <c r="F5" s="6" t="n">
        <v>17558</v>
      </c>
      <c r="G5" s="6" t="n">
        <v>47242</v>
      </c>
      <c r="H5" s="6" t="n">
        <v>46585</v>
      </c>
      <c r="I5" s="6" t="n">
        <v>34101</v>
      </c>
      <c r="J5" s="6" t="n">
        <v>33340</v>
      </c>
      <c r="K5" s="6" t="n">
        <v>28414</v>
      </c>
      <c r="L5" s="6" t="n">
        <v>42958</v>
      </c>
      <c r="M5" s="6" t="n">
        <v>42225</v>
      </c>
    </row>
    <row r="6">
      <c r="A6" s="6" t="inlineStr">
        <is>
          <t>Interest payable and similar charges</t>
        </is>
      </c>
      <c r="B6" s="6" t="n">
        <v>-67596</v>
      </c>
      <c r="C6" s="6" t="n">
        <v>-93121</v>
      </c>
      <c r="D6" s="6" t="n">
        <v>-124244</v>
      </c>
      <c r="E6" s="6" t="n">
        <v>-46738</v>
      </c>
      <c r="F6" s="6" t="n">
        <v>-2930</v>
      </c>
      <c r="G6" s="6" t="n">
        <v>-14088</v>
      </c>
      <c r="H6" s="6" t="n">
        <v>-34627</v>
      </c>
      <c r="I6" s="6" t="n">
        <v>-33005</v>
      </c>
      <c r="J6" s="6" t="n">
        <v>-19856</v>
      </c>
      <c r="K6" s="6" t="n">
        <v>-22865</v>
      </c>
      <c r="L6" s="6" t="n">
        <v>-23802</v>
      </c>
      <c r="M6" s="6" t="n">
        <v>-28141</v>
      </c>
    </row>
    <row r="7">
      <c r="A7" s="5" t="inlineStr">
        <is>
          <t>Net interest income</t>
        </is>
      </c>
      <c r="B7" s="5" t="n">
        <v>43615</v>
      </c>
      <c r="C7" s="5" t="n">
        <v>57062</v>
      </c>
      <c r="D7" s="5" t="n">
        <v>52288</v>
      </c>
      <c r="E7" s="5" t="n">
        <v>20340</v>
      </c>
      <c r="F7" s="5" t="n">
        <v>14628</v>
      </c>
      <c r="G7" s="5" t="n">
        <v>33154</v>
      </c>
      <c r="H7" s="5" t="n">
        <v>11958</v>
      </c>
      <c r="I7" s="5" t="n">
        <v>1096</v>
      </c>
      <c r="J7" s="5" t="n">
        <v>13484</v>
      </c>
      <c r="K7" s="5" t="n">
        <v>5549</v>
      </c>
      <c r="L7" s="5" t="n">
        <v>19156</v>
      </c>
      <c r="M7" s="5" t="n">
        <v>14084</v>
      </c>
    </row>
    <row r="8">
      <c r="A8" s="6" t="inlineStr">
        <is>
          <t>Fee and commission income</t>
        </is>
      </c>
      <c r="B8" s="6" t="n">
        <v>9777</v>
      </c>
      <c r="C8" s="6" t="n">
        <v>10790</v>
      </c>
      <c r="D8" s="6" t="n">
        <v>9348</v>
      </c>
      <c r="E8" s="6" t="n">
        <v>2326</v>
      </c>
      <c r="F8" s="6" t="n">
        <v>21255</v>
      </c>
      <c r="G8" s="6" t="n">
        <v>85890</v>
      </c>
      <c r="H8" s="6" t="n">
        <v>69862</v>
      </c>
      <c r="I8" s="6" t="n">
        <v>81612</v>
      </c>
      <c r="J8" s="6" t="n">
        <v>77076</v>
      </c>
      <c r="K8" s="6" t="n">
        <v>65328</v>
      </c>
      <c r="L8" s="6" t="n">
        <v>59469</v>
      </c>
      <c r="M8" s="6" t="n">
        <v>73950</v>
      </c>
    </row>
    <row r="9">
      <c r="A9" s="6" t="inlineStr">
        <is>
          <t>Fee and commission expense</t>
        </is>
      </c>
      <c r="B9" s="6" t="n">
        <v>-5676</v>
      </c>
      <c r="C9" s="6" t="n">
        <v>-6506</v>
      </c>
      <c r="D9" s="6" t="n">
        <v>-16211</v>
      </c>
      <c r="E9" s="6" t="n">
        <v>-14348</v>
      </c>
      <c r="F9" s="6" t="n">
        <v>-12916</v>
      </c>
      <c r="G9" s="6" t="n">
        <v>-9760</v>
      </c>
      <c r="H9" s="6" t="n">
        <v>-10179</v>
      </c>
      <c r="I9" s="6" t="n">
        <v>-8658</v>
      </c>
      <c r="J9" s="6" t="n">
        <v>-3149</v>
      </c>
      <c r="K9" s="6" t="n">
        <v>-7299</v>
      </c>
      <c r="L9" s="6" t="n">
        <v>-12727</v>
      </c>
      <c r="M9" s="6" t="n">
        <v>-17742</v>
      </c>
    </row>
    <row r="10">
      <c r="A10" s="6" t="inlineStr">
        <is>
          <t>Net gain from financial instruments at fair value through profit or loss</t>
        </is>
      </c>
      <c r="B10" s="6" t="n">
        <v>23982</v>
      </c>
      <c r="C10" s="6" t="n">
        <v>30718</v>
      </c>
      <c r="D10" s="6" t="n">
        <v>21129</v>
      </c>
      <c r="E10" s="6" t="n">
        <v>36542</v>
      </c>
      <c r="F10" s="6" t="n">
        <v>42393</v>
      </c>
      <c r="G10" s="6" t="n"/>
      <c r="H10" s="6" t="n"/>
      <c r="I10" s="6" t="n"/>
      <c r="J10" s="6" t="n"/>
      <c r="K10" s="6" t="n"/>
      <c r="L10" s="6" t="n"/>
      <c r="M10" s="6" t="n"/>
    </row>
    <row r="11">
      <c r="A11" s="6" t="inlineStr">
        <is>
          <t>Net trading income / net gains on financial instruments classified as held for trading</t>
        </is>
      </c>
      <c r="B11" s="6" t="n"/>
      <c r="C11" s="6" t="n"/>
      <c r="D11" s="6" t="n"/>
      <c r="E11" s="6" t="n"/>
      <c r="F11" s="6" t="n"/>
      <c r="G11" s="6" t="n">
        <v>98050</v>
      </c>
      <c r="H11" s="6" t="n">
        <v>56209</v>
      </c>
      <c r="I11" s="6" t="n">
        <v>46548</v>
      </c>
      <c r="J11" s="6" t="n">
        <v>44951</v>
      </c>
      <c r="K11" s="6" t="n">
        <v>20426</v>
      </c>
      <c r="L11" s="6" t="n">
        <v>29719</v>
      </c>
      <c r="M11" s="6" t="n">
        <v>26609</v>
      </c>
    </row>
    <row r="12">
      <c r="A12" s="6" t="inlineStr">
        <is>
          <t>Net (loss)/income from other financial instruments held at fair value</t>
        </is>
      </c>
      <c r="B12" s="6" t="n"/>
      <c r="C12" s="6" t="n"/>
      <c r="D12" s="6" t="n"/>
      <c r="E12" s="6" t="n"/>
      <c r="F12" s="6" t="n"/>
      <c r="G12" s="6" t="n">
        <v>-6193</v>
      </c>
      <c r="H12" s="6" t="n">
        <v>432</v>
      </c>
      <c r="I12" s="6" t="n">
        <v>-1049</v>
      </c>
      <c r="J12" s="6" t="n"/>
      <c r="K12" s="6" t="n"/>
      <c r="L12" s="6" t="n"/>
      <c r="M12" s="6" t="n"/>
    </row>
    <row r="13">
      <c r="A13" s="6" t="inlineStr">
        <is>
          <t>Net gains/(losses) on loans and receivables (pre-IFRS 9; FY2017 per the Company's own FY2017 report - the FY2018 report's restated FY2017 comparative instead splits this into a -389 derecognition loss and a +1,733 impairment reversal, net identical)</t>
        </is>
      </c>
      <c r="B13" s="6" t="n"/>
      <c r="C13" s="6" t="n"/>
      <c r="D13" s="6" t="n"/>
      <c r="E13" s="6" t="n"/>
      <c r="F13" s="6" t="n"/>
      <c r="G13" s="6" t="n"/>
      <c r="H13" s="6" t="n"/>
      <c r="I13" s="6" t="n"/>
      <c r="J13" s="6" t="n">
        <v>1344</v>
      </c>
      <c r="K13" s="6" t="n">
        <v>563</v>
      </c>
      <c r="L13" s="6" t="n">
        <v>-21812</v>
      </c>
      <c r="M13" s="6" t="n">
        <v>-6678</v>
      </c>
    </row>
    <row r="14">
      <c r="A14" s="6" t="inlineStr">
        <is>
          <t>Net reversal of impairment loss on financial instruments</t>
        </is>
      </c>
      <c r="B14" s="6" t="n"/>
      <c r="C14" s="6" t="n"/>
      <c r="D14" s="6" t="n"/>
      <c r="E14" s="6" t="n">
        <v>0</v>
      </c>
      <c r="F14" s="6" t="n">
        <v>416</v>
      </c>
      <c r="G14" s="6" t="n">
        <v>-406</v>
      </c>
      <c r="H14" s="6" t="n">
        <v>20</v>
      </c>
      <c r="I14" s="6" t="n">
        <v>160</v>
      </c>
      <c r="J14" s="6" t="n"/>
      <c r="K14" s="6" t="n"/>
      <c r="L14" s="6" t="n"/>
      <c r="M14" s="6" t="n"/>
    </row>
    <row r="15">
      <c r="A15" s="6" t="inlineStr">
        <is>
          <t>Gain on disposal of subsidiary</t>
        </is>
      </c>
      <c r="B15" s="6" t="n"/>
      <c r="C15" s="6" t="n"/>
      <c r="D15" s="6" t="n"/>
      <c r="E15" s="6" t="n">
        <v>93978</v>
      </c>
      <c r="F15" s="6" t="n"/>
      <c r="G15" s="6" t="n"/>
      <c r="H15" s="6" t="n"/>
      <c r="I15" s="6" t="n"/>
      <c r="J15" s="6" t="n"/>
      <c r="K15" s="6" t="n"/>
      <c r="L15" s="6" t="n"/>
      <c r="M15" s="6" t="n"/>
    </row>
    <row r="16">
      <c r="A16" s="6" t="inlineStr">
        <is>
          <t>Gain on disposal of discontinued operations</t>
        </is>
      </c>
      <c r="B16" s="6" t="n"/>
      <c r="C16" s="6" t="n"/>
      <c r="D16" s="6" t="n"/>
      <c r="E16" s="6" t="n"/>
      <c r="F16" s="6" t="n"/>
      <c r="G16" s="6" t="n"/>
      <c r="H16" s="6" t="n"/>
      <c r="I16" s="6" t="n"/>
      <c r="J16" s="6" t="n"/>
      <c r="K16" s="6" t="n"/>
      <c r="L16" s="6" t="n"/>
      <c r="M16" s="6" t="n">
        <v>665</v>
      </c>
    </row>
    <row r="17">
      <c r="A17" s="6" t="inlineStr">
        <is>
          <t>Administrative expenses</t>
        </is>
      </c>
      <c r="B17" s="6" t="n">
        <v>-21070</v>
      </c>
      <c r="C17" s="6" t="n">
        <v>-27722</v>
      </c>
      <c r="D17" s="6" t="n">
        <v>-34895</v>
      </c>
      <c r="E17" s="6" t="n">
        <v>-32647</v>
      </c>
      <c r="F17" s="6" t="n">
        <v>-48725</v>
      </c>
      <c r="G17" s="6" t="n">
        <v>-76126</v>
      </c>
      <c r="H17" s="6" t="n">
        <v>-81870</v>
      </c>
      <c r="I17" s="6" t="n">
        <v>-82152</v>
      </c>
      <c r="J17" s="6" t="n">
        <v>-75348</v>
      </c>
      <c r="K17" s="6" t="n">
        <v>-41791</v>
      </c>
      <c r="L17" s="6" t="n">
        <v>-44792</v>
      </c>
      <c r="M17" s="6" t="n">
        <v>-57487</v>
      </c>
    </row>
    <row r="18">
      <c r="A18" s="6" t="inlineStr">
        <is>
          <t>Depreciation of tangible fixed assets</t>
        </is>
      </c>
      <c r="B18" s="6" t="n">
        <v>-239</v>
      </c>
      <c r="C18" s="6" t="n">
        <v>-229</v>
      </c>
      <c r="D18" s="6" t="n">
        <v>-267</v>
      </c>
      <c r="E18" s="6" t="n">
        <v>-270</v>
      </c>
      <c r="F18" s="6" t="n">
        <v>-215</v>
      </c>
      <c r="G18" s="6" t="n">
        <v>-1058</v>
      </c>
      <c r="H18" s="6" t="n">
        <v>-1310</v>
      </c>
      <c r="I18" s="6" t="n">
        <v>-482</v>
      </c>
      <c r="J18" s="6" t="n">
        <v>-418</v>
      </c>
      <c r="K18" s="6" t="n">
        <v>-362</v>
      </c>
      <c r="L18" s="6" t="n">
        <v>-236</v>
      </c>
      <c r="M18" s="6" t="n">
        <v>-180</v>
      </c>
    </row>
    <row r="19">
      <c r="A19" s="5" t="inlineStr">
        <is>
          <t>Profit before tax</t>
        </is>
      </c>
      <c r="B19" s="5" t="n">
        <v>50389</v>
      </c>
      <c r="C19" s="5" t="n">
        <v>64113</v>
      </c>
      <c r="D19" s="5" t="n">
        <v>31392</v>
      </c>
      <c r="E19" s="5" t="n">
        <v>105921</v>
      </c>
      <c r="F19" s="5" t="n">
        <v>16836</v>
      </c>
      <c r="G19" s="5" t="n">
        <v>123551</v>
      </c>
      <c r="H19" s="5" t="n">
        <v>45122</v>
      </c>
      <c r="I19" s="5" t="n">
        <v>37075</v>
      </c>
      <c r="J19" s="5" t="n">
        <v>57940</v>
      </c>
      <c r="K19" s="5" t="n">
        <v>42414</v>
      </c>
      <c r="L19" s="5" t="n">
        <v>28777</v>
      </c>
      <c r="M19" s="5" t="n">
        <v>33221</v>
      </c>
    </row>
    <row r="20">
      <c r="A20" s="6" t="inlineStr">
        <is>
          <t>Income tax expense</t>
        </is>
      </c>
      <c r="B20" s="6" t="n">
        <v>-12810</v>
      </c>
      <c r="C20" s="6" t="n">
        <v>-18332</v>
      </c>
      <c r="D20" s="6" t="n">
        <v>-31078</v>
      </c>
      <c r="E20" s="6" t="n">
        <v>-11768</v>
      </c>
      <c r="F20" s="6" t="n">
        <v>-6959</v>
      </c>
      <c r="G20" s="6" t="n">
        <v>-29121</v>
      </c>
      <c r="H20" s="6" t="n">
        <v>-7000</v>
      </c>
      <c r="I20" s="6" t="n">
        <v>-9382</v>
      </c>
      <c r="J20" s="6" t="n">
        <v>-8235</v>
      </c>
      <c r="K20" s="6" t="n">
        <v>-14426</v>
      </c>
      <c r="L20" s="6" t="n">
        <v>-10643</v>
      </c>
      <c r="M20" s="6" t="n">
        <v>-2455</v>
      </c>
    </row>
    <row r="21">
      <c r="A21" s="5" t="inlineStr">
        <is>
          <t>Profit for the year</t>
        </is>
      </c>
      <c r="B21" s="5" t="n">
        <v>37579</v>
      </c>
      <c r="C21" s="5" t="n">
        <v>45781</v>
      </c>
      <c r="D21" s="5" t="n">
        <v>314</v>
      </c>
      <c r="E21" s="5" t="n">
        <v>94153</v>
      </c>
      <c r="F21" s="5" t="n">
        <v>9877</v>
      </c>
      <c r="G21" s="5" t="n">
        <v>94430</v>
      </c>
      <c r="H21" s="5" t="n">
        <v>38122</v>
      </c>
      <c r="I21" s="5" t="n">
        <v>27693</v>
      </c>
      <c r="J21" s="5" t="n">
        <v>49705</v>
      </c>
      <c r="K21" s="5" t="n">
        <v>27988</v>
      </c>
      <c r="L21" s="5" t="n">
        <v>18134</v>
      </c>
      <c r="M21" s="5" t="n">
        <v>30766</v>
      </c>
    </row>
    <row r="22">
      <c r="A22" s="5" t="inlineStr">
        <is>
          <t>Other comprehensive income/(loss), net of tax</t>
        </is>
      </c>
      <c r="B22" s="6" t="n"/>
      <c r="C22" s="6" t="n"/>
      <c r="D22" s="6" t="n"/>
      <c r="E22" s="6" t="n"/>
      <c r="F22" s="6" t="n"/>
      <c r="G22" s="6" t="n"/>
      <c r="H22" s="6" t="n"/>
      <c r="I22" s="6" t="n"/>
      <c r="J22" s="6" t="n"/>
      <c r="K22" s="6" t="n"/>
      <c r="L22" s="6" t="n"/>
      <c r="M22" s="6" t="n"/>
    </row>
    <row r="23">
      <c r="A23" s="6" t="inlineStr">
        <is>
          <t>Remeasurement of net defined benefit liability</t>
        </is>
      </c>
      <c r="B23" s="6" t="n">
        <v>40</v>
      </c>
      <c r="C23" s="6" t="n">
        <v>21</v>
      </c>
      <c r="D23" s="6" t="n">
        <v>-22</v>
      </c>
      <c r="E23" s="6" t="n">
        <v>100</v>
      </c>
      <c r="F23" s="6" t="n">
        <v>78</v>
      </c>
      <c r="G23" s="6" t="n">
        <v>-234</v>
      </c>
      <c r="H23" s="6" t="n">
        <v>-174</v>
      </c>
      <c r="I23" s="6" t="n">
        <v>2</v>
      </c>
      <c r="J23" s="6" t="n">
        <v>-9</v>
      </c>
      <c r="K23" s="6" t="n">
        <v>-17</v>
      </c>
      <c r="L23" s="6" t="n">
        <v>195</v>
      </c>
      <c r="M23" s="6" t="n">
        <v>-124</v>
      </c>
    </row>
    <row r="24">
      <c r="A24" s="6" t="inlineStr">
        <is>
          <t>Foreign currency translation differences arising on foreign operations</t>
        </is>
      </c>
      <c r="B24" s="6" t="n">
        <v>-8951</v>
      </c>
      <c r="C24" s="6" t="n">
        <v>-19706</v>
      </c>
      <c r="D24" s="6" t="n">
        <v>-15179</v>
      </c>
      <c r="E24" s="6" t="n">
        <v>10400</v>
      </c>
      <c r="F24" s="6" t="n">
        <v>-14755</v>
      </c>
      <c r="G24" s="6" t="n">
        <v>6114</v>
      </c>
      <c r="H24" s="6" t="n">
        <v>-12707</v>
      </c>
      <c r="I24" s="6" t="n">
        <v>2752</v>
      </c>
      <c r="J24" s="6" t="n">
        <v>5771</v>
      </c>
      <c r="K24" s="6" t="n">
        <v>23459</v>
      </c>
      <c r="L24" s="6" t="n">
        <v>-2279</v>
      </c>
      <c r="M24" s="6" t="n">
        <v>1802</v>
      </c>
    </row>
    <row r="25">
      <c r="A25" s="6" t="inlineStr">
        <is>
          <t>Gain/(loss) arising on hedging instruments designated in net investment hedges</t>
        </is>
      </c>
      <c r="B25" s="6" t="n">
        <v>8748</v>
      </c>
      <c r="C25" s="6" t="n">
        <v>18406</v>
      </c>
      <c r="D25" s="6" t="n">
        <v>14646</v>
      </c>
      <c r="E25" s="6" t="n">
        <v>-10412</v>
      </c>
      <c r="F25" s="6" t="n">
        <v>14422</v>
      </c>
      <c r="G25" s="6" t="n">
        <v>-5197</v>
      </c>
      <c r="H25" s="6" t="n">
        <v>13535</v>
      </c>
      <c r="I25" s="6" t="n">
        <v>-10070</v>
      </c>
      <c r="J25" s="6" t="n"/>
      <c r="K25" s="6" t="n"/>
      <c r="L25" s="6" t="n"/>
      <c r="M25" s="6" t="n"/>
    </row>
    <row r="26">
      <c r="A26" s="5" t="inlineStr">
        <is>
          <t>Other comprehensive income/(loss) after income tax</t>
        </is>
      </c>
      <c r="B26" s="5" t="n">
        <v>-163</v>
      </c>
      <c r="C26" s="5" t="n">
        <v>-1279</v>
      </c>
      <c r="D26" s="5" t="n">
        <v>-555</v>
      </c>
      <c r="E26" s="5" t="n">
        <v>88</v>
      </c>
      <c r="F26" s="5" t="n">
        <v>-255</v>
      </c>
      <c r="G26" s="5" t="n">
        <v>683</v>
      </c>
      <c r="H26" s="5" t="n">
        <v>654</v>
      </c>
      <c r="I26" s="5" t="n">
        <v>-7316</v>
      </c>
      <c r="J26" s="5" t="n">
        <v>5762</v>
      </c>
      <c r="K26" s="5" t="n">
        <v>23442</v>
      </c>
      <c r="L26" s="5" t="n">
        <v>-2084</v>
      </c>
      <c r="M26" s="5" t="n">
        <v>1678</v>
      </c>
    </row>
    <row r="27">
      <c r="A27" s="5" t="inlineStr">
        <is>
          <t>Total comprehensive income for the year</t>
        </is>
      </c>
      <c r="B27" s="5" t="n">
        <v>37416</v>
      </c>
      <c r="C27" s="5" t="n">
        <v>44502</v>
      </c>
      <c r="D27" s="5" t="n">
        <v>-241</v>
      </c>
      <c r="E27" s="5" t="n">
        <v>94241</v>
      </c>
      <c r="F27" s="5" t="n">
        <v>9622</v>
      </c>
      <c r="G27" s="5" t="n">
        <v>95113</v>
      </c>
      <c r="H27" s="5" t="n">
        <v>38776</v>
      </c>
      <c r="I27" s="5" t="n">
        <v>20377</v>
      </c>
      <c r="J27" s="5" t="n">
        <v>55467</v>
      </c>
      <c r="K27" s="5" t="n">
        <v>51430</v>
      </c>
      <c r="L27" s="5" t="n">
        <v>16050</v>
      </c>
      <c r="M27" s="5" t="n">
        <v>32444</v>
      </c>
    </row>
    <row r="29" ht="260" customHeight="1">
      <c r="A29"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t>
        </is>
      </c>
    </row>
  </sheetData>
  <mergeCells count="1">
    <mergeCell ref="A29:M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2"/>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Morgan Stanley Bank International Limited — Statement of Changes in Equity</t>
        </is>
      </c>
    </row>
    <row r="2">
      <c r="A2" s="2" t="inlineStr">
        <is>
          <t>Chronological roll-forward, oldest to newest, standalone Company basis (FRS 101/UK GAAP for FY2014). £'000. Every year's own closing balance ties exactly to both the next year's own opening balance and that year's own Balance Sheet Total equity for FY2015-FY2025, with zero plug rows needed. FY2014 is the one exception: the Company's own FY2014 Annual Report closing P&amp;L account balance (£89,485k) does not match the £85,907k opening comparative shown in the FY2015/FY2016 Annual Reports - a £3,578k downward restatement not itemised in any source reviewed (plausibly a FRS 101 transition adjustment), shown here as an explicit 'Restatement' row rather than silently plugged. The FY2014 row itself also carries a smaller £780k residual (per Note 26's own reconciliation, not separately itemised) after the disclosed profit, OCI and Investment Management business-transfer consideration are applied - both gaps are documented, not absorbed into other lines. FY2021 opening balance ties exactly to the Company's own FY2020 Annual Report closing balance.</t>
        </is>
      </c>
    </row>
    <row r="3">
      <c r="A3" s="4" t="inlineStr">
        <is>
          <t>Movement</t>
        </is>
      </c>
      <c r="B3" s="4" t="inlineStr">
        <is>
          <t>Called up share capital</t>
        </is>
      </c>
      <c r="C3" s="4" t="inlineStr">
        <is>
          <t>Capital contribution reserve</t>
        </is>
      </c>
      <c r="D3" s="4" t="inlineStr">
        <is>
          <t>Foreign currency revaluation reserve</t>
        </is>
      </c>
      <c r="E3" s="4" t="inlineStr">
        <is>
          <t>Profit and loss account</t>
        </is>
      </c>
      <c r="F3" s="4" t="inlineStr">
        <is>
          <t>Total equity</t>
        </is>
      </c>
    </row>
    <row r="4">
      <c r="A4" s="5" t="inlineStr">
        <is>
          <t>At 1 January 2014 (FY2014 opening, per FY2014 Annual Report's own 2013 comparative)</t>
        </is>
      </c>
      <c r="B4" s="5" t="n">
        <v>340000</v>
      </c>
      <c r="C4" s="5" t="n">
        <v>89654</v>
      </c>
      <c r="D4" s="5" t="n">
        <v>14366</v>
      </c>
      <c r="E4" s="5" t="n">
        <v>56784</v>
      </c>
      <c r="F4" s="5" t="n">
        <v>500804</v>
      </c>
    </row>
    <row r="5">
      <c r="A5" s="6" t="inlineStr">
        <is>
          <t>Profit for the year</t>
        </is>
      </c>
      <c r="B5" s="6" t="n"/>
      <c r="C5" s="6" t="n"/>
      <c r="D5" s="6" t="n"/>
      <c r="E5" s="6" t="n">
        <v>30766</v>
      </c>
      <c r="F5" s="6" t="n">
        <v>30766</v>
      </c>
    </row>
    <row r="6">
      <c r="A6" s="6" t="inlineStr">
        <is>
          <t>Foreign currency translation differences arising during the year</t>
        </is>
      </c>
      <c r="B6" s="6" t="n"/>
      <c r="C6" s="6" t="n"/>
      <c r="D6" s="6" t="n">
        <v>1802</v>
      </c>
      <c r="E6" s="6" t="n"/>
      <c r="F6" s="6" t="n">
        <v>1802</v>
      </c>
    </row>
    <row r="7">
      <c r="A7" s="6" t="inlineStr">
        <is>
          <t>Actuarial loss on defined benefit scheme, net of deferred tax</t>
        </is>
      </c>
      <c r="B7" s="6" t="n"/>
      <c r="C7" s="6" t="n"/>
      <c r="D7" s="6" t="n"/>
      <c r="E7" s="6" t="n">
        <v>-124</v>
      </c>
      <c r="F7" s="6" t="n">
        <v>-124</v>
      </c>
    </row>
    <row r="8">
      <c r="A8" s="6" t="inlineStr">
        <is>
          <t>Consideration received on transfer of Investment Management business (Note 10)</t>
        </is>
      </c>
      <c r="B8" s="6" t="n"/>
      <c r="C8" s="6" t="n"/>
      <c r="D8" s="6" t="n"/>
      <c r="E8" s="6" t="n">
        <v>2839</v>
      </c>
      <c r="F8" s="6" t="n">
        <v>2839</v>
      </c>
    </row>
    <row r="9">
      <c r="A9" s="6" t="inlineStr">
        <is>
          <t>Other equity movements (per Note 26; residual not separately itemised in the source reviewed)</t>
        </is>
      </c>
      <c r="B9" s="6" t="n"/>
      <c r="C9" s="6" t="n"/>
      <c r="D9" s="6" t="n"/>
      <c r="E9" s="6" t="n">
        <v>-780</v>
      </c>
      <c r="F9" s="6" t="n">
        <v>-780</v>
      </c>
    </row>
    <row r="10">
      <c r="A10" s="5" t="inlineStr">
        <is>
          <t>At 31 December 2014 (FY2014 closing, per the Company's own FY2014 Annual Report)</t>
        </is>
      </c>
      <c r="B10" s="5" t="n">
        <v>340000</v>
      </c>
      <c r="C10" s="5" t="n">
        <v>89654</v>
      </c>
      <c r="D10" s="5" t="n">
        <v>16168</v>
      </c>
      <c r="E10" s="5" t="n">
        <v>89485</v>
      </c>
      <c r="F10" s="5" t="n">
        <v>535307</v>
      </c>
    </row>
    <row r="11">
      <c r="A11" s="6" t="inlineStr">
        <is>
          <t>Restatement of opening P&amp;L account balance (per the FY2015/FY2016 Annual Reports' own FY2015 opening comparative; the £3,578k difference is not itemised in any source reviewed)</t>
        </is>
      </c>
      <c r="B11" s="6" t="n"/>
      <c r="C11" s="6" t="n"/>
      <c r="D11" s="6" t="n"/>
      <c r="E11" s="6" t="n">
        <v>-3578</v>
      </c>
      <c r="F11" s="6" t="n">
        <v>-3578</v>
      </c>
    </row>
    <row r="12">
      <c r="A12" s="5" t="inlineStr">
        <is>
          <t>At 1 January 2015 (FY2015 opening, restated)</t>
        </is>
      </c>
      <c r="B12" s="5" t="n">
        <v>340000</v>
      </c>
      <c r="C12" s="5" t="n">
        <v>89654</v>
      </c>
      <c r="D12" s="5" t="n">
        <v>16168</v>
      </c>
      <c r="E12" s="5" t="n">
        <v>85907</v>
      </c>
      <c r="F12" s="5" t="n">
        <v>531729</v>
      </c>
    </row>
    <row r="13">
      <c r="A13" s="6" t="inlineStr">
        <is>
          <t>Profit for the year</t>
        </is>
      </c>
      <c r="B13" s="6" t="n"/>
      <c r="C13" s="6" t="n"/>
      <c r="D13" s="6" t="n"/>
      <c r="E13" s="6" t="n">
        <v>18134</v>
      </c>
      <c r="F13" s="6" t="n">
        <v>18134</v>
      </c>
    </row>
    <row r="14">
      <c r="A14" s="6" t="inlineStr">
        <is>
          <t>Foreign currency translation differences arising during the year</t>
        </is>
      </c>
      <c r="B14" s="6" t="n"/>
      <c r="C14" s="6" t="n"/>
      <c r="D14" s="6" t="n">
        <v>-2279</v>
      </c>
      <c r="E14" s="6" t="n"/>
      <c r="F14" s="6" t="n">
        <v>-2279</v>
      </c>
    </row>
    <row r="15">
      <c r="A15" s="6" t="inlineStr">
        <is>
          <t>Remeasurement gain on net defined benefit liability</t>
        </is>
      </c>
      <c r="B15" s="6" t="n"/>
      <c r="C15" s="6" t="n"/>
      <c r="D15" s="6" t="n"/>
      <c r="E15" s="6" t="n">
        <v>195</v>
      </c>
      <c r="F15" s="6" t="n">
        <v>195</v>
      </c>
    </row>
    <row r="16">
      <c r="A16" s="5" t="inlineStr">
        <is>
          <t>At 31 December 2015 (FY2015 closing)</t>
        </is>
      </c>
      <c r="B16" s="5" t="n">
        <v>340000</v>
      </c>
      <c r="C16" s="5" t="n">
        <v>89654</v>
      </c>
      <c r="D16" s="5" t="n">
        <v>13889</v>
      </c>
      <c r="E16" s="5" t="n">
        <v>104236</v>
      </c>
      <c r="F16" s="5" t="n">
        <v>547779</v>
      </c>
    </row>
    <row r="17">
      <c r="A17" s="6" t="inlineStr">
        <is>
          <t>Profit for the year</t>
        </is>
      </c>
      <c r="B17" s="6" t="n"/>
      <c r="C17" s="6" t="n"/>
      <c r="D17" s="6" t="n"/>
      <c r="E17" s="6" t="n">
        <v>27988</v>
      </c>
      <c r="F17" s="6" t="n">
        <v>27988</v>
      </c>
    </row>
    <row r="18">
      <c r="A18" s="6" t="inlineStr">
        <is>
          <t>Foreign currency translation differences arising during the year</t>
        </is>
      </c>
      <c r="B18" s="6" t="n"/>
      <c r="C18" s="6" t="n"/>
      <c r="D18" s="6" t="n">
        <v>23459</v>
      </c>
      <c r="E18" s="6" t="n"/>
      <c r="F18" s="6" t="n">
        <v>23459</v>
      </c>
    </row>
    <row r="19">
      <c r="A19" s="6" t="inlineStr">
        <is>
          <t>Remeasurement loss on net defined benefit liability</t>
        </is>
      </c>
      <c r="B19" s="6" t="n"/>
      <c r="C19" s="6" t="n"/>
      <c r="D19" s="6" t="n"/>
      <c r="E19" s="6" t="n">
        <v>-17</v>
      </c>
      <c r="F19" s="6" t="n">
        <v>-17</v>
      </c>
    </row>
    <row r="20">
      <c r="A20" s="5" t="inlineStr">
        <is>
          <t>At 31 December 2016 (FY2016 closing)</t>
        </is>
      </c>
      <c r="B20" s="5" t="n">
        <v>340000</v>
      </c>
      <c r="C20" s="5" t="n">
        <v>89654</v>
      </c>
      <c r="D20" s="5" t="n">
        <v>37348</v>
      </c>
      <c r="E20" s="5" t="n">
        <v>132207</v>
      </c>
      <c r="F20" s="5" t="n">
        <v>599209</v>
      </c>
    </row>
    <row r="21">
      <c r="A21" s="6" t="inlineStr">
        <is>
          <t>Profit for the year</t>
        </is>
      </c>
      <c r="B21" s="6" t="n"/>
      <c r="C21" s="6" t="n"/>
      <c r="D21" s="6" t="n"/>
      <c r="E21" s="6" t="n">
        <v>49705</v>
      </c>
      <c r="F21" s="6" t="n">
        <v>49705</v>
      </c>
    </row>
    <row r="22">
      <c r="A22" s="6" t="inlineStr">
        <is>
          <t>Foreign currency translation differences arising during the year</t>
        </is>
      </c>
      <c r="B22" s="6" t="n"/>
      <c r="C22" s="6" t="n"/>
      <c r="D22" s="6" t="n">
        <v>5771</v>
      </c>
      <c r="E22" s="6" t="n"/>
      <c r="F22" s="6" t="n">
        <v>5771</v>
      </c>
    </row>
    <row r="23">
      <c r="A23" s="6" t="inlineStr">
        <is>
          <t>Remeasurement loss on net defined benefit liability</t>
        </is>
      </c>
      <c r="B23" s="6" t="n"/>
      <c r="C23" s="6" t="n"/>
      <c r="D23" s="6" t="n"/>
      <c r="E23" s="6" t="n">
        <v>-9</v>
      </c>
      <c r="F23" s="6" t="n">
        <v>-9</v>
      </c>
    </row>
    <row r="24">
      <c r="A24" s="5" t="inlineStr">
        <is>
          <t>At 31 December 2017 (FY2017 closing)</t>
        </is>
      </c>
      <c r="B24" s="5" t="n">
        <v>340000</v>
      </c>
      <c r="C24" s="5" t="n">
        <v>89654</v>
      </c>
      <c r="D24" s="5" t="n">
        <v>43119</v>
      </c>
      <c r="E24" s="5" t="n">
        <v>181903</v>
      </c>
      <c r="F24" s="5" t="n">
        <v>654676</v>
      </c>
    </row>
    <row r="25">
      <c r="A25" s="6" t="inlineStr">
        <is>
          <t>Impact of adoption of new accounting standards (IFRS 9)</t>
        </is>
      </c>
      <c r="B25" s="6" t="n"/>
      <c r="C25" s="6" t="n"/>
      <c r="D25" s="6" t="n"/>
      <c r="E25" s="6" t="n">
        <v>-860</v>
      </c>
      <c r="F25" s="6" t="n">
        <v>-860</v>
      </c>
    </row>
    <row r="26">
      <c r="A26" s="6" t="inlineStr">
        <is>
          <t>Profit for the year</t>
        </is>
      </c>
      <c r="B26" s="6" t="n"/>
      <c r="C26" s="6" t="n"/>
      <c r="D26" s="6" t="n"/>
      <c r="E26" s="6" t="n">
        <v>27693</v>
      </c>
      <c r="F26" s="6" t="n">
        <v>27693</v>
      </c>
    </row>
    <row r="27">
      <c r="A27" s="6" t="inlineStr">
        <is>
          <t>Remeasurement gain on net defined benefit liability</t>
        </is>
      </c>
      <c r="B27" s="6" t="n"/>
      <c r="C27" s="6" t="n"/>
      <c r="D27" s="6" t="n"/>
      <c r="E27" s="6" t="n">
        <v>2</v>
      </c>
      <c r="F27" s="6" t="n">
        <v>2</v>
      </c>
    </row>
    <row r="28">
      <c r="A28" s="6" t="inlineStr">
        <is>
          <t>Foreign currency translation differences arising on foreign operations</t>
        </is>
      </c>
      <c r="B28" s="6" t="n"/>
      <c r="C28" s="6" t="n"/>
      <c r="D28" s="6" t="n">
        <v>2752</v>
      </c>
      <c r="E28" s="6" t="n"/>
      <c r="F28" s="6" t="n">
        <v>2752</v>
      </c>
    </row>
    <row r="29">
      <c r="A29" s="6" t="inlineStr">
        <is>
          <t>Loss arising on hedging instruments designated in net investment hedges</t>
        </is>
      </c>
      <c r="B29" s="6" t="n"/>
      <c r="C29" s="6" t="n"/>
      <c r="D29" s="6" t="n">
        <v>-10070</v>
      </c>
      <c r="E29" s="6" t="n"/>
      <c r="F29" s="6" t="n">
        <v>-10070</v>
      </c>
    </row>
    <row r="30">
      <c r="A30" s="5" t="inlineStr">
        <is>
          <t>At 31 December 2018 (FY2018 closing)</t>
        </is>
      </c>
      <c r="B30" s="5" t="n">
        <v>340000</v>
      </c>
      <c r="C30" s="5" t="n">
        <v>89654</v>
      </c>
      <c r="D30" s="5" t="n">
        <v>35801</v>
      </c>
      <c r="E30" s="5" t="n">
        <v>208738</v>
      </c>
      <c r="F30" s="5" t="n">
        <v>674193</v>
      </c>
    </row>
    <row r="31">
      <c r="A31" s="6" t="inlineStr">
        <is>
          <t>Impact of adoption of new accounting standards</t>
        </is>
      </c>
      <c r="B31" s="6" t="n"/>
      <c r="C31" s="6" t="n"/>
      <c r="D31" s="6" t="n"/>
      <c r="E31" s="6" t="n">
        <v>-174</v>
      </c>
      <c r="F31" s="6" t="n">
        <v>-174</v>
      </c>
    </row>
    <row r="32">
      <c r="A32" s="6" t="inlineStr">
        <is>
          <t>Profit for the year</t>
        </is>
      </c>
      <c r="B32" s="6" t="n"/>
      <c r="C32" s="6" t="n"/>
      <c r="D32" s="6" t="n"/>
      <c r="E32" s="6" t="n">
        <v>38122</v>
      </c>
      <c r="F32" s="6" t="n">
        <v>38122</v>
      </c>
    </row>
    <row r="33">
      <c r="A33" s="6" t="inlineStr">
        <is>
          <t>Other comprehensive income (FY2019: not split into components in the Statement of Changes in Equity itself)</t>
        </is>
      </c>
      <c r="B33" s="6" t="n"/>
      <c r="C33" s="6" t="n"/>
      <c r="D33" s="6" t="n">
        <v>828</v>
      </c>
      <c r="E33" s="6" t="n"/>
      <c r="F33" s="6" t="n">
        <v>828</v>
      </c>
    </row>
    <row r="34">
      <c r="A34" s="5" t="inlineStr">
        <is>
          <t>At 31 December 2019 (FY2019 closing)</t>
        </is>
      </c>
      <c r="B34" s="5" t="n">
        <v>340000</v>
      </c>
      <c r="C34" s="5" t="n">
        <v>89654</v>
      </c>
      <c r="D34" s="5" t="n">
        <v>36629</v>
      </c>
      <c r="E34" s="5" t="n">
        <v>246686</v>
      </c>
      <c r="F34" s="5" t="n">
        <v>712969</v>
      </c>
    </row>
    <row r="35">
      <c r="A35" s="6" t="inlineStr">
        <is>
          <t>Profit for the year</t>
        </is>
      </c>
      <c r="B35" s="6" t="n"/>
      <c r="C35" s="6" t="n"/>
      <c r="D35" s="6" t="n"/>
      <c r="E35" s="6" t="n">
        <v>94430</v>
      </c>
      <c r="F35" s="6" t="n">
        <v>94430</v>
      </c>
    </row>
    <row r="36">
      <c r="A36" s="6" t="inlineStr">
        <is>
          <t>Remeasurement loss on net defined benefit liability</t>
        </is>
      </c>
      <c r="B36" s="6" t="n"/>
      <c r="C36" s="6" t="n"/>
      <c r="D36" s="6" t="n"/>
      <c r="E36" s="6" t="n">
        <v>-234</v>
      </c>
      <c r="F36" s="6" t="n">
        <v>-234</v>
      </c>
    </row>
    <row r="37">
      <c r="A37" s="6" t="inlineStr">
        <is>
          <t>Foreign currency translation differences arising on foreign operations</t>
        </is>
      </c>
      <c r="B37" s="6" t="n"/>
      <c r="C37" s="6" t="n"/>
      <c r="D37" s="6" t="n">
        <v>6114</v>
      </c>
      <c r="E37" s="6" t="n"/>
      <c r="F37" s="6" t="n">
        <v>6114</v>
      </c>
    </row>
    <row r="38">
      <c r="A38" s="6" t="inlineStr">
        <is>
          <t>Loss arising on hedging instruments designated in net investment hedges</t>
        </is>
      </c>
      <c r="B38" s="6" t="n"/>
      <c r="C38" s="6" t="n"/>
      <c r="D38" s="6" t="n">
        <v>-5197</v>
      </c>
      <c r="E38" s="6" t="n"/>
      <c r="F38" s="6" t="n">
        <v>-5197</v>
      </c>
    </row>
    <row r="39">
      <c r="A39" s="6" t="inlineStr">
        <is>
          <t>Gain on business transfer (UK withdrawal from the EU restructuring, Note 4)</t>
        </is>
      </c>
      <c r="B39" s="6" t="n"/>
      <c r="C39" s="6" t="n"/>
      <c r="D39" s="6" t="n"/>
      <c r="E39" s="6" t="n">
        <v>5603</v>
      </c>
      <c r="F39" s="6" t="n">
        <v>5603</v>
      </c>
    </row>
    <row r="40">
      <c r="A40" s="6" t="inlineStr">
        <is>
          <t>Current tax charge on business transfer</t>
        </is>
      </c>
      <c r="B40" s="6" t="n"/>
      <c r="C40" s="6" t="n"/>
      <c r="D40" s="6" t="n"/>
      <c r="E40" s="6" t="n">
        <v>-1520</v>
      </c>
      <c r="F40" s="6" t="n">
        <v>-1520</v>
      </c>
    </row>
    <row r="41">
      <c r="A41" s="6" t="inlineStr">
        <is>
          <t>Remeasurement gain on net defined benefit liability</t>
        </is>
      </c>
      <c r="B41" s="6" t="n"/>
      <c r="C41" s="6" t="n"/>
      <c r="D41" s="6" t="n"/>
      <c r="E41" s="6" t="n">
        <v>196</v>
      </c>
      <c r="F41" s="6" t="n">
        <v>196</v>
      </c>
    </row>
    <row r="42">
      <c r="A42" s="5" t="inlineStr">
        <is>
          <t>At 31 December 2020 (FY2020 closing)</t>
        </is>
      </c>
      <c r="B42" s="5" t="n">
        <v>340000</v>
      </c>
      <c r="C42" s="5" t="n">
        <v>89654</v>
      </c>
      <c r="D42" s="5" t="n">
        <v>37546</v>
      </c>
      <c r="E42" s="5" t="n">
        <v>345161</v>
      </c>
      <c r="F42" s="5" t="n">
        <v>812361</v>
      </c>
    </row>
    <row r="43">
      <c r="A43" s="5" t="inlineStr">
        <is>
          <t>At 1 January 2021 (FY2021 opening)</t>
        </is>
      </c>
      <c r="B43" s="5" t="n">
        <v>340000</v>
      </c>
      <c r="C43" s="5" t="n">
        <v>89654</v>
      </c>
      <c r="D43" s="5" t="n">
        <v>37546</v>
      </c>
      <c r="E43" s="5" t="n">
        <v>345161</v>
      </c>
      <c r="F43" s="5" t="n">
        <v>812361</v>
      </c>
    </row>
    <row r="44">
      <c r="A44" s="6" t="inlineStr">
        <is>
          <t>Profit for the year</t>
        </is>
      </c>
      <c r="B44" s="6" t="n"/>
      <c r="C44" s="6" t="n"/>
      <c r="D44" s="6" t="n"/>
      <c r="E44" s="6" t="n">
        <v>9877</v>
      </c>
      <c r="F44" s="6" t="n">
        <v>9877</v>
      </c>
    </row>
    <row r="45">
      <c r="A45" s="6" t="inlineStr">
        <is>
          <t>Remeasurement gain on net defined benefit liability</t>
        </is>
      </c>
      <c r="B45" s="6" t="n"/>
      <c r="C45" s="6" t="n"/>
      <c r="D45" s="6" t="n"/>
      <c r="E45" s="6" t="n">
        <v>78</v>
      </c>
      <c r="F45" s="6" t="n">
        <v>78</v>
      </c>
    </row>
    <row r="46">
      <c r="A46" s="6" t="inlineStr">
        <is>
          <t>Foreign currency translation differences arising during the year</t>
        </is>
      </c>
      <c r="B46" s="6" t="n"/>
      <c r="C46" s="6" t="n"/>
      <c r="D46" s="6" t="n">
        <v>-14755</v>
      </c>
      <c r="E46" s="6" t="n"/>
      <c r="F46" s="6" t="n">
        <v>-14755</v>
      </c>
    </row>
    <row r="47">
      <c r="A47" s="6" t="inlineStr">
        <is>
          <t>Gain arising on hedging instruments designated in net investment hedges</t>
        </is>
      </c>
      <c r="B47" s="6" t="n"/>
      <c r="C47" s="6" t="n"/>
      <c r="D47" s="6" t="n">
        <v>14422</v>
      </c>
      <c r="E47" s="6" t="n"/>
      <c r="F47" s="6" t="n">
        <v>14422</v>
      </c>
    </row>
    <row r="48">
      <c r="A48" s="5" t="inlineStr">
        <is>
          <t>At 31 December 2021 (FY2021 closing)</t>
        </is>
      </c>
      <c r="B48" s="5" t="n">
        <v>340000</v>
      </c>
      <c r="C48" s="5" t="n">
        <v>89654</v>
      </c>
      <c r="D48" s="5" t="n">
        <v>37213</v>
      </c>
      <c r="E48" s="5" t="n">
        <v>355116</v>
      </c>
      <c r="F48" s="5" t="n">
        <v>821983</v>
      </c>
    </row>
    <row r="49">
      <c r="A49" s="6" t="inlineStr">
        <is>
          <t>Profit for the year</t>
        </is>
      </c>
      <c r="B49" s="6" t="n"/>
      <c r="C49" s="6" t="n"/>
      <c r="D49" s="6" t="n"/>
      <c r="E49" s="6" t="n">
        <v>94153</v>
      </c>
      <c r="F49" s="6" t="n">
        <v>94153</v>
      </c>
    </row>
    <row r="50">
      <c r="A50" s="6" t="inlineStr">
        <is>
          <t>Remeasurement gain on net defined benefit liability</t>
        </is>
      </c>
      <c r="B50" s="6" t="n"/>
      <c r="C50" s="6" t="n"/>
      <c r="D50" s="6" t="n"/>
      <c r="E50" s="6" t="n">
        <v>100</v>
      </c>
      <c r="F50" s="6" t="n">
        <v>100</v>
      </c>
    </row>
    <row r="51">
      <c r="A51" s="6" t="inlineStr">
        <is>
          <t>Foreign currency translation differences arising during the year</t>
        </is>
      </c>
      <c r="B51" s="6" t="n"/>
      <c r="C51" s="6" t="n"/>
      <c r="D51" s="6" t="n">
        <v>10400</v>
      </c>
      <c r="E51" s="6" t="n"/>
      <c r="F51" s="6" t="n">
        <v>10400</v>
      </c>
    </row>
    <row r="52">
      <c r="A52" s="6" t="inlineStr">
        <is>
          <t>(Loss) arising on hedging instruments designated in net investment hedges</t>
        </is>
      </c>
      <c r="B52" s="6" t="n"/>
      <c r="C52" s="6" t="n"/>
      <c r="D52" s="6" t="n">
        <v>-10412</v>
      </c>
      <c r="E52" s="6" t="n"/>
      <c r="F52" s="6" t="n">
        <v>-10412</v>
      </c>
    </row>
    <row r="53">
      <c r="A53" s="6" t="inlineStr">
        <is>
          <t>Dividend</t>
        </is>
      </c>
      <c r="B53" s="6" t="n"/>
      <c r="C53" s="6" t="n"/>
      <c r="D53" s="6" t="n"/>
      <c r="E53" s="6" t="n">
        <v>-150000</v>
      </c>
      <c r="F53" s="6" t="n">
        <v>-150000</v>
      </c>
    </row>
    <row r="54">
      <c r="A54" s="5" t="inlineStr">
        <is>
          <t>At 31 December 2022 (FY2022 closing)</t>
        </is>
      </c>
      <c r="B54" s="5" t="n">
        <v>340000</v>
      </c>
      <c r="C54" s="5" t="n">
        <v>89654</v>
      </c>
      <c r="D54" s="5" t="n">
        <v>37201</v>
      </c>
      <c r="E54" s="5" t="n">
        <v>299369</v>
      </c>
      <c r="F54" s="5" t="n">
        <v>766224</v>
      </c>
    </row>
    <row r="55">
      <c r="A55" s="6" t="inlineStr">
        <is>
          <t>Profit for the year</t>
        </is>
      </c>
      <c r="B55" s="6" t="n"/>
      <c r="C55" s="6" t="n"/>
      <c r="D55" s="6" t="n"/>
      <c r="E55" s="6" t="n">
        <v>314</v>
      </c>
      <c r="F55" s="6" t="n">
        <v>314</v>
      </c>
    </row>
    <row r="56">
      <c r="A56" s="6" t="inlineStr">
        <is>
          <t>Remeasurement loss on net defined benefit liability</t>
        </is>
      </c>
      <c r="B56" s="6" t="n"/>
      <c r="C56" s="6" t="n"/>
      <c r="D56" s="6" t="n"/>
      <c r="E56" s="6" t="n">
        <v>-22</v>
      </c>
      <c r="F56" s="6" t="n">
        <v>-22</v>
      </c>
    </row>
    <row r="57">
      <c r="A57" s="6" t="inlineStr">
        <is>
          <t>Foreign currency translation differences arising during the year</t>
        </is>
      </c>
      <c r="B57" s="6" t="n"/>
      <c r="C57" s="6" t="n"/>
      <c r="D57" s="6" t="n">
        <v>-15179</v>
      </c>
      <c r="E57" s="6" t="n"/>
      <c r="F57" s="6" t="n">
        <v>-15179</v>
      </c>
    </row>
    <row r="58">
      <c r="A58" s="6" t="inlineStr">
        <is>
          <t>Gain arising on hedging instruments designated in net investment hedges</t>
        </is>
      </c>
      <c r="B58" s="6" t="n"/>
      <c r="C58" s="6" t="n"/>
      <c r="D58" s="6" t="n">
        <v>14646</v>
      </c>
      <c r="E58" s="6" t="n"/>
      <c r="F58" s="6" t="n">
        <v>14646</v>
      </c>
    </row>
    <row r="59">
      <c r="A59" s="5" t="inlineStr">
        <is>
          <t>At 31 December 2023 (FY2023 closing)</t>
        </is>
      </c>
      <c r="B59" s="5" t="n">
        <v>340000</v>
      </c>
      <c r="C59" s="5" t="n">
        <v>89654</v>
      </c>
      <c r="D59" s="5" t="n">
        <v>36668</v>
      </c>
      <c r="E59" s="5" t="n">
        <v>299661</v>
      </c>
      <c r="F59" s="5" t="n">
        <v>765983</v>
      </c>
    </row>
    <row r="60">
      <c r="A60" s="6" t="inlineStr">
        <is>
          <t>Profit for the year</t>
        </is>
      </c>
      <c r="B60" s="6" t="n"/>
      <c r="C60" s="6" t="n"/>
      <c r="D60" s="6" t="n"/>
      <c r="E60" s="6" t="n">
        <v>45781</v>
      </c>
      <c r="F60" s="6" t="n">
        <v>45781</v>
      </c>
    </row>
    <row r="61">
      <c r="A61" s="6" t="inlineStr">
        <is>
          <t>Remeasurement gain on net defined benefit liability</t>
        </is>
      </c>
      <c r="B61" s="6" t="n"/>
      <c r="C61" s="6" t="n"/>
      <c r="D61" s="6" t="n"/>
      <c r="E61" s="6" t="n">
        <v>21</v>
      </c>
      <c r="F61" s="6" t="n">
        <v>21</v>
      </c>
    </row>
    <row r="62">
      <c r="A62" s="6" t="inlineStr">
        <is>
          <t>Foreign currency translation differences arising during the year</t>
        </is>
      </c>
      <c r="B62" s="6" t="n"/>
      <c r="C62" s="6" t="n"/>
      <c r="D62" s="6" t="n">
        <v>-19706</v>
      </c>
      <c r="E62" s="6" t="n"/>
      <c r="F62" s="6" t="n">
        <v>-19706</v>
      </c>
    </row>
    <row r="63">
      <c r="A63" s="6" t="inlineStr">
        <is>
          <t>Gain arising on hedging instruments designated in net investment hedges</t>
        </is>
      </c>
      <c r="B63" s="6" t="n"/>
      <c r="C63" s="6" t="n"/>
      <c r="D63" s="6" t="n">
        <v>18406</v>
      </c>
      <c r="E63" s="6" t="n"/>
      <c r="F63" s="6" t="n">
        <v>18406</v>
      </c>
    </row>
    <row r="64">
      <c r="A64" s="5" t="inlineStr">
        <is>
          <t>At 31 December 2024 (FY2024 closing)</t>
        </is>
      </c>
      <c r="B64" s="5" t="n">
        <v>340000</v>
      </c>
      <c r="C64" s="5" t="n">
        <v>89654</v>
      </c>
      <c r="D64" s="5" t="n">
        <v>35368</v>
      </c>
      <c r="E64" s="5" t="n">
        <v>345463</v>
      </c>
      <c r="F64" s="5" t="n">
        <v>810485</v>
      </c>
    </row>
    <row r="65">
      <c r="A65" s="6" t="inlineStr">
        <is>
          <t>Profit for the year</t>
        </is>
      </c>
      <c r="B65" s="6" t="n"/>
      <c r="C65" s="6" t="n"/>
      <c r="D65" s="6" t="n"/>
      <c r="E65" s="6" t="n">
        <v>37579</v>
      </c>
      <c r="F65" s="6" t="n">
        <v>37579</v>
      </c>
    </row>
    <row r="66">
      <c r="A66" s="6" t="inlineStr">
        <is>
          <t>Remeasurement gain on net defined benefit liability</t>
        </is>
      </c>
      <c r="B66" s="6" t="n"/>
      <c r="C66" s="6" t="n"/>
      <c r="D66" s="6" t="n"/>
      <c r="E66" s="6" t="n">
        <v>40</v>
      </c>
      <c r="F66" s="6" t="n">
        <v>40</v>
      </c>
    </row>
    <row r="67">
      <c r="A67" s="6" t="inlineStr">
        <is>
          <t>Foreign currency translation differences arising during the year</t>
        </is>
      </c>
      <c r="B67" s="6" t="n"/>
      <c r="C67" s="6" t="n"/>
      <c r="D67" s="6" t="n">
        <v>-8951</v>
      </c>
      <c r="E67" s="6" t="n"/>
      <c r="F67" s="6" t="n">
        <v>-8951</v>
      </c>
    </row>
    <row r="68">
      <c r="A68" s="6" t="inlineStr">
        <is>
          <t>Gain arising on hedging instruments designated in net investment hedges</t>
        </is>
      </c>
      <c r="B68" s="6" t="n"/>
      <c r="C68" s="6" t="n"/>
      <c r="D68" s="6" t="n">
        <v>8748</v>
      </c>
      <c r="E68" s="6" t="n"/>
      <c r="F68" s="6" t="n">
        <v>8748</v>
      </c>
    </row>
    <row r="69">
      <c r="A69" s="6" t="inlineStr">
        <is>
          <t>Dividends</t>
        </is>
      </c>
      <c r="B69" s="6" t="n"/>
      <c r="C69" s="6" t="n"/>
      <c r="D69" s="6" t="n"/>
      <c r="E69" s="6" t="n">
        <v>-100000</v>
      </c>
      <c r="F69" s="6" t="n">
        <v>-100000</v>
      </c>
    </row>
    <row r="70">
      <c r="A70" s="5" t="inlineStr">
        <is>
          <t>At 31 December 2025 (FY2025 closing)</t>
        </is>
      </c>
      <c r="B70" s="5" t="n">
        <v>340000</v>
      </c>
      <c r="C70" s="5" t="n">
        <v>89654</v>
      </c>
      <c r="D70" s="5" t="n">
        <v>35165</v>
      </c>
      <c r="E70" s="5" t="n">
        <v>283082</v>
      </c>
      <c r="F70" s="5" t="n">
        <v>747901</v>
      </c>
    </row>
    <row r="72" ht="150" customHeight="1">
      <c r="A72"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t>
        </is>
      </c>
    </row>
  </sheetData>
  <mergeCells count="1">
    <mergeCell ref="A72:F7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Statement of Cash Flows</t>
        </is>
      </c>
    </row>
    <row r="2">
      <c r="A2" s="2" t="inlineStr">
        <is>
          <t>Standalone Company basis; cash-flow statement not presented under the FRS 101 reduced-disclosure exemption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6" t="inlineStr">
        <is>
          <t>Cash-flow statement not separately disclosed under FRS 101</t>
        </is>
      </c>
      <c r="B4" s="6" t="n"/>
      <c r="C4" s="6" t="n"/>
      <c r="D4" s="6" t="n"/>
      <c r="E4" s="6" t="n"/>
      <c r="F4" s="6" t="n"/>
      <c r="G4" s="6" t="n"/>
      <c r="H4" s="6" t="n"/>
      <c r="I4" s="6" t="n"/>
      <c r="J4" s="6" t="n"/>
      <c r="K4" s="6" t="n"/>
      <c r="L4" s="6" t="n"/>
      <c r="M4" s="6" t="n"/>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M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Asset Quality</t>
        </is>
      </c>
    </row>
    <row r="2">
      <c r="A2" s="2" t="inlineStr">
        <is>
          <t>Exposure to credit risk by class, external counterparties only. £'000. Morgan Stanley Group undertaking exposures (Secured financing, and large portions of Loans and advances to banks/customers) are separately disclosed each year but are fully covered by intercompany collateral or the Morgan Stanley parent guarantee, leaving £nil net exposure — excluded here as not third-party credit risk. All exposures subject to ECL are internally rated Stage 1 in every IFRS 9-era year reviewed (£nil Stage 3/default; FY2020 carried a small ~£3.0m Stage 2 loan commitment balance, immaterial to the total) — a wholesale/broker-dealer credit profile, not a retail loan book. FY2014-FY2017 predate IFRS 9 (adopted 1 January 2018) and used the incurred-loss 'individually impaired' concept instead of ECL staging; those years' Stage 1/Stage 3 cells are left blank (the concept did not exist yet) and a separate row reports the actual pre-IFRS 9 impaired balance. FY2014 is a genuine, material outlier: one borrower's entry into administration in March 2014 drove an £83,173k impairment loss (gross exposure £111,239k, net carrying £28,066k) — over 800x the impaired balances seen in FY2015-FY2017 (£1,674k/£126k/£131k) — a real credit event in the source documents, not a transcription error.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Exposure to credit risk by class, subject to ECL / gross credit exposure (external counterparties only)</t>
        </is>
      </c>
      <c r="B4" s="6" t="n"/>
      <c r="C4" s="6" t="n"/>
      <c r="D4" s="6" t="n"/>
      <c r="E4" s="6" t="n"/>
      <c r="F4" s="6" t="n"/>
      <c r="G4" s="6" t="n"/>
      <c r="H4" s="6" t="n"/>
      <c r="I4" s="6" t="n"/>
      <c r="J4" s="6" t="n"/>
      <c r="K4" s="6" t="n"/>
      <c r="L4" s="6" t="n"/>
      <c r="M4" s="6" t="n"/>
    </row>
    <row r="5">
      <c r="A5" s="6" t="inlineStr">
        <is>
          <t>Cash and balances at central banks</t>
        </is>
      </c>
      <c r="B5" s="6" t="n">
        <v>24687</v>
      </c>
      <c r="C5" s="6" t="n">
        <v>17404</v>
      </c>
      <c r="D5" s="6" t="n">
        <v>6870</v>
      </c>
      <c r="E5" s="6" t="n">
        <v>47133</v>
      </c>
      <c r="F5" s="6" t="n">
        <v>20144</v>
      </c>
      <c r="G5" s="6" t="n">
        <v>14613</v>
      </c>
      <c r="H5" s="6" t="n">
        <v>122601</v>
      </c>
      <c r="I5" s="6" t="n">
        <v>15</v>
      </c>
      <c r="J5" s="6" t="n">
        <v>52687</v>
      </c>
      <c r="K5" s="6" t="n">
        <v>63784</v>
      </c>
      <c r="L5" s="6" t="n">
        <v>30279</v>
      </c>
      <c r="M5" s="6" t="n">
        <v>3308</v>
      </c>
    </row>
    <row r="6">
      <c r="A6" s="6" t="inlineStr">
        <is>
          <t>Loans and advances to banks — external counterparties</t>
        </is>
      </c>
      <c r="B6" s="6" t="n">
        <v>133463</v>
      </c>
      <c r="C6" s="6" t="n">
        <v>205239</v>
      </c>
      <c r="D6" s="6" t="n">
        <v>181342</v>
      </c>
      <c r="E6" s="6" t="n">
        <v>169755</v>
      </c>
      <c r="F6" s="6" t="n">
        <v>124091</v>
      </c>
      <c r="G6" s="6" t="n">
        <v>330642</v>
      </c>
      <c r="H6" s="6" t="n">
        <v>131145</v>
      </c>
      <c r="I6" s="6" t="n">
        <v>106124</v>
      </c>
      <c r="J6" s="6" t="n">
        <v>144462</v>
      </c>
      <c r="K6" s="6" t="n">
        <v>154943</v>
      </c>
      <c r="L6" s="6" t="n">
        <v>89402</v>
      </c>
      <c r="M6" s="6" t="n">
        <v>150932</v>
      </c>
    </row>
    <row r="7">
      <c r="A7" s="6" t="inlineStr">
        <is>
          <t>Loans and advances to customers — external counterparties</t>
        </is>
      </c>
      <c r="B7" s="6" t="n">
        <v>156</v>
      </c>
      <c r="C7" s="6" t="n">
        <v>40747</v>
      </c>
      <c r="D7" s="6" t="n">
        <v>226</v>
      </c>
      <c r="E7" s="6" t="n">
        <v>285</v>
      </c>
      <c r="F7" s="6" t="n">
        <v>0</v>
      </c>
      <c r="G7" s="6" t="n">
        <v>7206</v>
      </c>
      <c r="H7" s="6" t="n">
        <v>28437</v>
      </c>
      <c r="I7" s="6" t="n">
        <v>31845</v>
      </c>
      <c r="J7" s="6" t="n">
        <v>95640</v>
      </c>
      <c r="K7" s="6" t="n">
        <v>82865</v>
      </c>
      <c r="L7" s="6" t="n">
        <v>81932</v>
      </c>
      <c r="M7" s="6" t="n">
        <v>431190</v>
      </c>
    </row>
    <row r="8">
      <c r="A8" s="6" t="inlineStr">
        <is>
          <t>Other receivables</t>
        </is>
      </c>
      <c r="B8" s="6" t="n">
        <v>16304</v>
      </c>
      <c r="C8" s="6" t="n">
        <v>20082</v>
      </c>
      <c r="D8" s="6" t="n">
        <v>34100</v>
      </c>
      <c r="E8" s="6" t="n">
        <v>30374</v>
      </c>
      <c r="F8" s="6" t="n">
        <v>22811</v>
      </c>
      <c r="G8" s="6" t="n">
        <v>13774</v>
      </c>
      <c r="H8" s="6" t="n">
        <v>10013</v>
      </c>
      <c r="I8" s="6" t="n">
        <v>16071</v>
      </c>
      <c r="J8" s="6" t="n">
        <v>29716</v>
      </c>
      <c r="K8" s="6" t="n">
        <v>11526</v>
      </c>
      <c r="L8" s="6" t="n">
        <v>19736</v>
      </c>
      <c r="M8" s="6" t="n">
        <v>23098</v>
      </c>
    </row>
    <row r="9">
      <c r="A9" s="5" t="inlineStr">
        <is>
          <t>Total gross credit exposure (external)</t>
        </is>
      </c>
      <c r="B9" s="5" t="n">
        <v>174610</v>
      </c>
      <c r="C9" s="5" t="n">
        <v>283472</v>
      </c>
      <c r="D9" s="5" t="n">
        <v>222538</v>
      </c>
      <c r="E9" s="5" t="n">
        <v>247547</v>
      </c>
      <c r="F9" s="5" t="n">
        <v>167046</v>
      </c>
      <c r="G9" s="5" t="n">
        <v>366235</v>
      </c>
      <c r="H9" s="5" t="n">
        <v>292196</v>
      </c>
      <c r="I9" s="5" t="n">
        <v>154055</v>
      </c>
      <c r="J9" s="5" t="n">
        <v>322505</v>
      </c>
      <c r="K9" s="5" t="n">
        <v>313118</v>
      </c>
      <c r="L9" s="5" t="n">
        <v>221349</v>
      </c>
      <c r="M9" s="5" t="n">
        <v>608528</v>
      </c>
    </row>
    <row r="10">
      <c r="A10" s="6" t="inlineStr">
        <is>
          <t>Of which: Stage 1 (IFRS 9, FY2018 onward)</t>
        </is>
      </c>
      <c r="B10" s="6" t="inlineStr">
        <is>
          <t>100%</t>
        </is>
      </c>
      <c r="C10" s="6" t="inlineStr">
        <is>
          <t>100%</t>
        </is>
      </c>
      <c r="D10" s="6" t="inlineStr">
        <is>
          <t>100%</t>
        </is>
      </c>
      <c r="E10" s="6" t="inlineStr">
        <is>
          <t>100%</t>
        </is>
      </c>
      <c r="F10" s="6" t="inlineStr">
        <is>
          <t>100%</t>
        </is>
      </c>
      <c r="G10" s="6" t="inlineStr">
        <is>
          <t>~99%</t>
        </is>
      </c>
      <c r="H10" s="6" t="inlineStr">
        <is>
          <t>100%</t>
        </is>
      </c>
      <c r="I10" s="6" t="inlineStr">
        <is>
          <t>100%</t>
        </is>
      </c>
      <c r="J10" s="6" t="n"/>
      <c r="K10" s="6" t="n"/>
      <c r="L10" s="6" t="n"/>
      <c r="M10" s="6" t="n"/>
    </row>
    <row r="11">
      <c r="A11" s="6" t="inlineStr">
        <is>
          <t>Of which: Stage 3 / default (NPL ratio, IFRS 9, FY2018 onward)</t>
        </is>
      </c>
      <c r="B11" s="6" t="inlineStr">
        <is>
          <t>0.0%</t>
        </is>
      </c>
      <c r="C11" s="6" t="inlineStr">
        <is>
          <t>0.0%</t>
        </is>
      </c>
      <c r="D11" s="6" t="inlineStr">
        <is>
          <t>0.0%</t>
        </is>
      </c>
      <c r="E11" s="6" t="inlineStr">
        <is>
          <t>0.0%</t>
        </is>
      </c>
      <c r="F11" s="6" t="inlineStr">
        <is>
          <t>0.0%</t>
        </is>
      </c>
      <c r="G11" s="6" t="inlineStr">
        <is>
          <t>0.0%</t>
        </is>
      </c>
      <c r="H11" s="6" t="inlineStr">
        <is>
          <t>0.0%</t>
        </is>
      </c>
      <c r="I11" s="6" t="inlineStr">
        <is>
          <t>0.0%</t>
        </is>
      </c>
      <c r="J11" s="6" t="n"/>
      <c r="K11" s="6" t="n"/>
      <c r="L11" s="6" t="n"/>
      <c r="M11" s="6" t="n"/>
    </row>
    <row r="12">
      <c r="A12" s="6" t="inlineStr">
        <is>
          <t>Individually impaired loans and advances to customers, gross (pre-IFRS 9, FY2014-FY2017)</t>
        </is>
      </c>
      <c r="B12" s="6" t="n"/>
      <c r="C12" s="6" t="n"/>
      <c r="D12" s="6" t="n"/>
      <c r="E12" s="6" t="n"/>
      <c r="F12" s="6" t="n"/>
      <c r="G12" s="6" t="n"/>
      <c r="H12" s="6" t="n"/>
      <c r="I12" s="6" t="n"/>
      <c r="J12" s="6" t="n">
        <v>131</v>
      </c>
      <c r="K12" s="6" t="n">
        <v>126</v>
      </c>
      <c r="L12" s="6" t="n">
        <v>1674</v>
      </c>
      <c r="M12" s="6" t="n">
        <v>111239</v>
      </c>
    </row>
    <row r="14" ht="280" customHeight="1">
      <c r="A14"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(Income Statement, Statement of Comprehensive Income, Statement of Financial Position, Statement of Changes in Equity, and Note 28 credit risk disclosures):
FY2025: Annual Report and Financial Statements for year ended 31 December 2025, pp.43-46, 76-77 — https://find-and-update.company-information.service.gov.uk/company/03722571/filing-history/MzUxNTMzMjAyMmFkaXF6a2N4/document?format=pdf&amp;download=0
FY2024: Annual Report and Financial Statements for year ended 31 December 2024, pp.42-45, 74-75 — https://find-and-update.company-information.service.gov.uk/company/03722571/filing-history/MzQ2MjkyNzg4N2FkaXF6a2N4/document?format=pdf&amp;download=0
FY2023: Annual Report and Financial Statements for year ended 31 December 2023 (via FY2024 report's own FY2023 comparative columns, pp.42-45, 74-75) — https://find-and-update.company-information.service.gov.uk/company/03722571/filing-history/MzQ2MjkyNzg4N2FkaXF6a2N4/document?format=pdf&amp;download=0
FY2022: Annual Report and Financial Statements for year ended 31 December 2022, pp.39-43, 71-72 — https://find-and-update.company-information.service.gov.uk/company/03722571/filing-history/MzM3ODM5NTg1NmFkaXF6a2N4/document?format=pdf&amp;download=0
FY2021: Annual Report and Financial Statements for year ended 31 December 2021 (via FY2022 report's own FY2021 comparative columns, pp.39-43, 71-72) — https://find-and-update.company-information.service.gov.uk/company/03722571/filing-history/MzM3ODM5NTg1NmFkaXF6a2N4/document?format=pdf&amp;download=0
FY2020: Annual Report and Financial Statements for year ended 31 December 2020, pp.53-56, 90-94 (Income Statement, Statement of Comprehensive Income, Statement of Changes in Equity, Statement of Financial Position, Note 35 credit risk) — https://find-and-update.company-information.service.gov.uk/company/03722571/filing-history/MzMwMTE4OTc0MWFkaXF6a2N4/document?format=pdf&amp;download=0
FY2019: via the FY2020 report's own FY2019 comparative columns, pp.53-56, 90-94 — https://find-and-update.company-information.service.gov.uk/company/03722571/filing-history/MzMwMTE4OTc0MWFkaXF6a2N4/document?format=pdf&amp;download=0
FY2018: Annual Report and Financial Statements for year ended 31 December 2018, pp.29-32, 74-76 (Income Statement, Statement of Comprehensive Income, Statement of Changes in Equity, Statement of Financial Position, Note 32 credit risk) — https://find-and-update.company-information.service.gov.uk/company/03722571/filing-history/MzIzMzQ0NTc3NWFkaXF6a2N4/document?format=pdf&amp;download=0
FY2017: via the FY2018 report's own FY2017 comparative columns (pp.29-32, 76) and the Company's own FY2017 Annual Report, pp.27-30, 64 (Note 28 credit risk) — https://find-and-update.company-information.service.gov.uk/company/03722571/filing-history/MzIzMzQ0NTc3NWFkaXF6a2N4/document?format=pdf&amp;download=0 / https://find-and-update.company-information.service.gov.uk/company/03722571/filing-history/MzIwNDA4MDg1M2FkaXF6a2N4/document?format=pdf&amp;download=0
FY2016: via the FY2017 report's own FY2016 comparative columns (pp.27-30, 64) and the Company's own FY2016 Annual Report, pp.16-19, 51 (Note 28 credit risk) — https://find-and-update.company-information.service.gov.uk/company/03722571/filing-history/MzIwNDA4MDg1M2FkaXF6a2N4/document?format=pdf&amp;download=0 / https://find-and-update.company-information.service.gov.uk/company/03722571/filing-history/MzE3NTI3MTY1OWFkaXF6a2N4/document?format=pdf&amp;download=0
FY2015: via the FY2016 report's own FY2015 comparative columns, pp.16-19, 51-52 — https://find-and-update.company-information.service.gov.uk/company/03722571/filing-history/MzE3NTI3MTY1OWFkaXF6a2N4/document?format=pdf&amp;download=0
FY2014: Annual Report and Financial Statements for year ended 31 December 2014, pp.15-17, 51 (Profit and Loss Account, Statement of Total Recognised Gains and Losses, Balance Sheet, Note 29 credit risk) — https://find-and-update.company-information.service.gov.uk/company/03722571/filing-history/MzEyMjM5NTcyOWFkaXF6a2N4/document?format=pdf&amp;download=0. This is the earliest UK GAAP/FRS 101-era filing before this entity switched to the Income Statement/Statement of Comprehensive Income/Statement of Changes in Equity naming used from FY2015 onward; FY2014 also uniquely presents a continuing/discontinued-operations split (the Company's Investment Management and Wealth Management segments were both transferred out or closed during FY2014) - the Profit &amp; Loss sheet uses the FY2014 report's own Total columns (continuing + discontinued combined).
The Company takes the FRS 101 reduced-disclosure exemption from presenting a cash-flow statement. Blank or non-disclosed entries are not estimates or zeros. FY2014-FY2017 predate IFRS 9 (adopted 1 January 2018): those years' credit-risk note uses the incurred-loss 'individually impaired' concept rather than ECL staging, and the Asset Quality sheet reflects this distinction explicitly rather than forcing a Stage 1/Stage 3 label onto pre-IFRS 9 disclosures. A genuine, material FY2014 finding: one borrower's entry into administration in March 2014 drove an £83,173k impairment loss on loans and advances to customers that year (gross £111,239k, net carrying £28,066k) - materially larger than the de minimis impaired balances (£1,674k FY2015, £126k FY2016, £131k FY2017) seen in every other year reviewed.
FY2025: Note 28.2.3 'Exposure to credit risk by class' p.76, Note 28.2.4 'Exposure to Credit Risk by Internal Rating Grades' p.77. FY2024/FY2023: Note 27.2.3, p.75. FY2022/FY2021: Note 28.2.4 'Exposure to Credit Risk' p.72. FY2020: Note 35 'Exposure to credit risk by class' / 'by internal rating grades', pp.91-94 — https://find-and-update.company-information.service.gov.uk/company/03722571/filing-history/MzMwMTE4OTc0MWFkaXF6a2N4/document?format=pdf&amp;download=0. FY2019: via the FY2020 report's own FY2019 comparative, same pages. FY2018: Note 32 'Exposure to credit risk by class' p.75 and 'by internal rating grades' pp.77-80 — https://find-and-update.company-information.service.gov.uk/company/03722571/filing-history/MzIzMzQ0NTc3NWFkaXF6a2N4/document?format=pdf&amp;download=0. FY2017: Note 28 'Exposure to credit risk by class' p.64 and 'Maximum exposure to credit risk by credit rating' p.65 (individually impaired balance) — https://find-and-update.company-information.service.gov.uk/company/03722571/filing-history/MzIwNDA4MDg1M2FkaXF6a2N4/document?format=pdf&amp;download=0. FY2016: Note 28 'Exposure to credit risk by class' p.51 and 'Financial assets individually impaired' p.52 — https://find-and-update.company-information.service.gov.uk/company/03722571/filing-history/MzE3NTI3MTY1OWFkaXF6a2N4/document?format=pdf&amp;download=0. FY2015: via the FY2016 report's own FY2015 comparative, same pages. FY2014: Note 29 'Exposure to credit risk by class' p.51 and 'Financial assets individually impaired' p.52 — https://find-and-update.company-information.service.gov.uk/company/03722571/filing-history/MzEyMjM5NTcyOWFkaXF6a2N4/document?format=pdf&amp;download=0.</t>
        </is>
      </c>
    </row>
  </sheetData>
  <mergeCells count="1">
    <mergeCell ref="A14:M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676229</v>
      </c>
      <c r="C4" s="6" t="n">
        <v>709078</v>
      </c>
      <c r="D4" s="6" t="n">
        <v>685522</v>
      </c>
      <c r="E4" s="6" t="n">
        <v>702944</v>
      </c>
      <c r="F4" s="6" t="n">
        <v>717693</v>
      </c>
      <c r="G4" s="6" t="n">
        <v>574718</v>
      </c>
      <c r="H4" s="6" t="n">
        <v>593318</v>
      </c>
      <c r="I4" s="6" t="n">
        <v>578569</v>
      </c>
      <c r="J4" s="6" t="n">
        <v>543786</v>
      </c>
      <c r="K4" s="6" t="n">
        <v>517117</v>
      </c>
      <c r="L4" s="6" t="n">
        <v>472587</v>
      </c>
      <c r="M4" s="6" t="n"/>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capital ratio</t>
        </is>
      </c>
      <c r="B4" s="6" t="inlineStr">
        <is>
          <t>42.6%</t>
        </is>
      </c>
      <c r="C4" s="6" t="inlineStr">
        <is>
          <t>46.7%</t>
        </is>
      </c>
      <c r="D4" s="6" t="inlineStr">
        <is>
          <t>31.7%</t>
        </is>
      </c>
      <c r="E4" s="6" t="inlineStr">
        <is>
          <t>34.0%</t>
        </is>
      </c>
      <c r="F4" s="6" t="inlineStr">
        <is>
          <t>34.4%</t>
        </is>
      </c>
      <c r="G4" s="6" t="inlineStr">
        <is>
          <t>23.3%</t>
        </is>
      </c>
      <c r="H4" s="6" t="inlineStr">
        <is>
          <t>20.9%</t>
        </is>
      </c>
      <c r="I4" s="6" t="inlineStr">
        <is>
          <t>17.3%</t>
        </is>
      </c>
      <c r="J4" s="6" t="inlineStr">
        <is>
          <t>19.0%</t>
        </is>
      </c>
      <c r="K4" s="6" t="inlineStr">
        <is>
          <t>18.4%</t>
        </is>
      </c>
      <c r="L4" s="6" t="inlineStr">
        <is>
          <t>17.1%</t>
        </is>
      </c>
      <c r="M4" s="6" t="n"/>
    </row>
    <row r="5" ht="60" customHeight="1">
      <c r="A5" s="7" t="inlineStr">
        <is>
          <t>Note: FY2015-FY2018: the annual reports disclose only 'Tier 1 capital' and 'Tier 1 capital ratio', not a separately-labelled CET1 figure. The FY2019/FY2020 reports' own Own Funds tables confirm CET1 = Tier 1 capital exactly in both years (no Additional Tier 1 instruments), so the disclosed Tier 1 figures are used here on that structural basis. FY2014: no capital ratio of any kind was disclosed (see Total RWAs sheet note).</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676229</v>
      </c>
      <c r="C4" s="6" t="n">
        <v>709078</v>
      </c>
      <c r="D4" s="6" t="n">
        <v>685522</v>
      </c>
      <c r="E4" s="6" t="n">
        <v>702944</v>
      </c>
      <c r="F4" s="6" t="n">
        <v>717693</v>
      </c>
      <c r="G4" s="6" t="n">
        <v>574718</v>
      </c>
      <c r="H4" s="6" t="n">
        <v>593318</v>
      </c>
      <c r="I4" s="6" t="n">
        <v>578569</v>
      </c>
      <c r="J4" s="6" t="n">
        <v>543786</v>
      </c>
      <c r="K4" s="6" t="n">
        <v>517117</v>
      </c>
      <c r="L4" s="6" t="n">
        <v>472587</v>
      </c>
      <c r="M4" s="6" t="n"/>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 ratio</t>
        </is>
      </c>
      <c r="B4" s="6" t="inlineStr">
        <is>
          <t>42.6%</t>
        </is>
      </c>
      <c r="C4" s="6" t="inlineStr">
        <is>
          <t>46.7%</t>
        </is>
      </c>
      <c r="D4" s="6" t="inlineStr">
        <is>
          <t>31.7%</t>
        </is>
      </c>
      <c r="E4" s="6" t="inlineStr">
        <is>
          <t>34.0%</t>
        </is>
      </c>
      <c r="F4" s="6" t="inlineStr">
        <is>
          <t>34.4%</t>
        </is>
      </c>
      <c r="G4" s="6" t="inlineStr">
        <is>
          <t>23.3%</t>
        </is>
      </c>
      <c r="H4" s="6" t="inlineStr">
        <is>
          <t>20.9%</t>
        </is>
      </c>
      <c r="I4" s="6" t="inlineStr">
        <is>
          <t>17.3%</t>
        </is>
      </c>
      <c r="J4" s="6" t="inlineStr">
        <is>
          <t>19.0%</t>
        </is>
      </c>
      <c r="K4" s="6" t="inlineStr">
        <is>
          <t>18.4%</t>
        </is>
      </c>
      <c r="L4" s="6" t="inlineStr">
        <is>
          <t>17.1%</t>
        </is>
      </c>
      <c r="M4" s="6" t="n"/>
    </row>
    <row r="6" ht="22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resources</t>
        </is>
      </c>
      <c r="B4" s="6" t="n">
        <v>934449</v>
      </c>
      <c r="C4" s="6" t="n">
        <v>908739</v>
      </c>
      <c r="D4" s="6" t="n">
        <v>935655</v>
      </c>
      <c r="E4" s="6" t="n">
        <v>1003410</v>
      </c>
      <c r="F4" s="6" t="n">
        <v>916488</v>
      </c>
      <c r="G4" s="6" t="n">
        <v>824718</v>
      </c>
      <c r="H4" s="6" t="n">
        <v>843318</v>
      </c>
      <c r="I4" s="6" t="n"/>
      <c r="J4" s="6" t="n"/>
      <c r="K4" s="6" t="n"/>
      <c r="L4" s="6" t="n"/>
      <c r="M4" s="6" t="n"/>
    </row>
    <row r="5" ht="60" customHeight="1">
      <c r="A5" s="7" t="inlineStr">
        <is>
          <t>Note: FY2014-FY2018: Total Capital / Total Own Funds was not disclosed - only Tier 1 capital, Tier 1 ratio and leverage ratio appear in those years' annual reports.</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58.9%</t>
        </is>
      </c>
      <c r="C4" s="6" t="inlineStr">
        <is>
          <t>59.8%</t>
        </is>
      </c>
      <c r="D4" s="6" t="inlineStr">
        <is>
          <t>43.3%</t>
        </is>
      </c>
      <c r="E4" s="6" t="inlineStr">
        <is>
          <t>48.5%</t>
        </is>
      </c>
      <c r="F4" s="6" t="inlineStr">
        <is>
          <t>44.0%</t>
        </is>
      </c>
      <c r="G4" s="6" t="inlineStr">
        <is>
          <t>33.5%</t>
        </is>
      </c>
      <c r="H4" s="6" t="inlineStr">
        <is>
          <t>29.7%</t>
        </is>
      </c>
      <c r="I4" s="6" t="n"/>
      <c r="J4" s="6" t="n"/>
      <c r="K4" s="6" t="n"/>
      <c r="L4" s="6" t="n"/>
      <c r="M4" s="6" t="n"/>
    </row>
    <row r="5" ht="60" customHeight="1">
      <c r="A5" s="7" t="inlineStr">
        <is>
          <t>Note: FY2014-FY2018: not disclosed (see Total Capital sheet note).</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t>
        </is>
      </c>
      <c r="B4" s="6" t="n">
        <v>1586014</v>
      </c>
      <c r="C4" s="6" t="n">
        <v>1519269</v>
      </c>
      <c r="D4" s="6" t="n">
        <v>2161713</v>
      </c>
      <c r="E4" s="6" t="n">
        <v>2068356</v>
      </c>
      <c r="F4" s="6" t="n">
        <v>2081783</v>
      </c>
      <c r="G4" s="6" t="n">
        <v>2462638</v>
      </c>
      <c r="H4" s="6" t="n">
        <v>2836626</v>
      </c>
      <c r="I4" s="6" t="n"/>
      <c r="J4" s="6" t="n"/>
      <c r="K4" s="6" t="n"/>
      <c r="L4" s="6" t="n"/>
      <c r="M4" s="6" t="n"/>
    </row>
    <row r="5" ht="60" customHeight="1">
      <c r="A5" s="7" t="inlineStr">
        <is>
          <t>Note: FY2014-FY2018: Total RWAs were not disclosed as a standalone figure in those years' annual reports (only Tier 1 capital and Tier 1 ratio, from which RWAs could be back-calculated, but that would be an estimate rather than a disclosed figure, so is left blank per this project's convention). FY2014: no capital metric of any kind (CET1/Tier 1/Total Capital/RWA/leverage/LCR/NSFR) was disclosed anywhere in the FY2014 Annual Report, nor as a comparative in any later report - the KPI section first appears in the FY2016 report and reaches back only to FY2015. This is a genuine disclosure gap, not an omission by this project.</t>
        </is>
      </c>
    </row>
    <row r="7" ht="220" customHeight="1">
      <c r="A7"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RWA Breakdown</t>
        </is>
      </c>
    </row>
    <row r="2">
      <c r="A2" s="2" t="inlineStr">
        <is>
          <t>Company's own 'RWAs' table (Strategic Report), by risk category. £'000. Ties exactly to the Total RWAs sheet in every year FY2021-FY2025. FY2014-FY2020: not disclosed - those years' annual reports give only a single Total RWAs figure (and only from FY2019 onward; see the Total RWAs sheet), with no credit/market/operational risk category split found anywhere in the Strategic Report or notes reviewed.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6" t="inlineStr">
        <is>
          <t>Credit RWAs</t>
        </is>
      </c>
      <c r="B4" s="6" t="n">
        <v>438035</v>
      </c>
      <c r="C4" s="6" t="n">
        <v>427744</v>
      </c>
      <c r="D4" s="6" t="n">
        <v>513578</v>
      </c>
      <c r="E4" s="6" t="n">
        <v>619276</v>
      </c>
      <c r="F4" s="6" t="n">
        <v>736089</v>
      </c>
      <c r="G4" s="6" t="n"/>
      <c r="H4" s="6" t="n"/>
      <c r="I4" s="6" t="n"/>
      <c r="J4" s="6" t="n"/>
      <c r="K4" s="6" t="n"/>
      <c r="L4" s="6" t="n"/>
      <c r="M4" s="6" t="n"/>
    </row>
    <row r="5">
      <c r="A5" s="6" t="inlineStr">
        <is>
          <t>Market RWAs</t>
        </is>
      </c>
      <c r="B5" s="6" t="n">
        <v>1004032</v>
      </c>
      <c r="C5" s="6" t="n">
        <v>964352</v>
      </c>
      <c r="D5" s="6" t="n">
        <v>1537651</v>
      </c>
      <c r="E5" s="6" t="n">
        <v>1254480</v>
      </c>
      <c r="F5" s="6" t="n">
        <v>1098855</v>
      </c>
      <c r="G5" s="6" t="n"/>
      <c r="H5" s="6" t="n"/>
      <c r="I5" s="6" t="n"/>
      <c r="J5" s="6" t="n"/>
      <c r="K5" s="6" t="n"/>
      <c r="L5" s="6" t="n"/>
      <c r="M5" s="6" t="n"/>
    </row>
    <row r="6">
      <c r="A6" s="6" t="inlineStr">
        <is>
          <t>Operational risk RWAs</t>
        </is>
      </c>
      <c r="B6" s="6" t="n">
        <v>143947</v>
      </c>
      <c r="C6" s="6" t="n">
        <v>127173</v>
      </c>
      <c r="D6" s="6" t="n">
        <v>110484</v>
      </c>
      <c r="E6" s="6" t="n">
        <v>194600</v>
      </c>
      <c r="F6" s="6" t="n">
        <v>246839</v>
      </c>
      <c r="G6" s="6" t="n"/>
      <c r="H6" s="6" t="n"/>
      <c r="I6" s="6" t="n"/>
      <c r="J6" s="6" t="n"/>
      <c r="K6" s="6" t="n"/>
      <c r="L6" s="6" t="n"/>
      <c r="M6" s="6" t="n"/>
    </row>
    <row r="7">
      <c r="A7" s="5" t="inlineStr">
        <is>
          <t>Total RWAs</t>
        </is>
      </c>
      <c r="B7" s="5" t="n">
        <v>1586014</v>
      </c>
      <c r="C7" s="5" t="n">
        <v>1519269</v>
      </c>
      <c r="D7" s="5" t="n">
        <v>2161713</v>
      </c>
      <c r="E7" s="5" t="n">
        <v>2068356</v>
      </c>
      <c r="F7" s="5" t="n">
        <v>2081783</v>
      </c>
      <c r="G7" s="5" t="n"/>
      <c r="H7" s="5" t="n"/>
      <c r="I7" s="5" t="n"/>
      <c r="J7" s="5" t="n"/>
      <c r="K7" s="5" t="n"/>
      <c r="L7" s="5" t="n"/>
      <c r="M7" s="5" t="n"/>
    </row>
    <row r="9" ht="220" customHeight="1">
      <c r="A9"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1">
    <mergeCell ref="A9:M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exposure</t>
        </is>
      </c>
      <c r="B4" s="6" t="n">
        <v>2233488</v>
      </c>
      <c r="C4" s="6" t="n">
        <v>2436257</v>
      </c>
      <c r="D4" s="6" t="n">
        <v>2874295</v>
      </c>
      <c r="E4" s="6" t="n">
        <v>3795132</v>
      </c>
      <c r="F4" s="6" t="n">
        <v>2384965</v>
      </c>
      <c r="G4" s="6" t="n">
        <v>2900986</v>
      </c>
      <c r="H4" s="6" t="n">
        <v>3635898</v>
      </c>
      <c r="I4" s="6" t="n"/>
      <c r="J4" s="6" t="n"/>
      <c r="K4" s="6" t="n"/>
      <c r="L4" s="6" t="n"/>
      <c r="M4" s="6" t="n"/>
    </row>
    <row r="5">
      <c r="A5" s="6" t="inlineStr">
        <is>
          <t>Leverage ratio</t>
        </is>
      </c>
      <c r="B5" s="6" t="inlineStr">
        <is>
          <t>30.3%</t>
        </is>
      </c>
      <c r="C5" s="6" t="inlineStr">
        <is>
          <t>29.1%</t>
        </is>
      </c>
      <c r="D5" s="6" t="inlineStr">
        <is>
          <t>23.9%</t>
        </is>
      </c>
      <c r="E5" s="6" t="inlineStr">
        <is>
          <t>18.5%</t>
        </is>
      </c>
      <c r="F5" s="6" t="inlineStr">
        <is>
          <t>30.1%</t>
        </is>
      </c>
      <c r="G5" s="6" t="inlineStr">
        <is>
          <t>19.8%</t>
        </is>
      </c>
      <c r="H5" s="6" t="inlineStr">
        <is>
          <t>16.3%</t>
        </is>
      </c>
      <c r="I5" s="6" t="inlineStr">
        <is>
          <t>18.0%</t>
        </is>
      </c>
      <c r="J5" s="6" t="inlineStr">
        <is>
          <t>16.0%</t>
        </is>
      </c>
      <c r="K5" s="6" t="inlineStr">
        <is>
          <t>13.7%</t>
        </is>
      </c>
      <c r="L5" s="6" t="inlineStr">
        <is>
          <t>14.7%</t>
        </is>
      </c>
      <c r="M5" s="6" t="n"/>
    </row>
    <row r="6" ht="60" customHeight="1">
      <c r="A6" s="7" t="inlineStr">
        <is>
          <t>Note: FY2014-FY2018: Leverage exposure (the £'000 figure) was not disclosed, only the leverage ratio itself. FY2014 has no leverage ratio at all - public disclosure requirements for this ratio only became effective for reporting periods from 1 January 2015, per the Company's own FY2016 Annual Report.</t>
        </is>
      </c>
    </row>
    <row r="8" ht="220" customHeight="1">
      <c r="A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buffer — HQLA</t>
        </is>
      </c>
      <c r="B4" s="6" t="n">
        <v>1110032</v>
      </c>
      <c r="C4" s="6" t="n">
        <v>1825386</v>
      </c>
      <c r="D4" s="6" t="n">
        <v>1190200</v>
      </c>
      <c r="E4" s="6" t="n">
        <v>1230539</v>
      </c>
      <c r="F4" s="6" t="n">
        <v>1240953</v>
      </c>
      <c r="G4" s="6" t="n">
        <v>1594671</v>
      </c>
      <c r="H4" s="6" t="n">
        <v>1220056</v>
      </c>
      <c r="I4" s="6" t="n"/>
      <c r="J4" s="6" t="n"/>
      <c r="K4" s="6" t="n"/>
      <c r="L4" s="6" t="n"/>
      <c r="M4" s="6" t="n"/>
    </row>
    <row r="5">
      <c r="A5" s="6" t="inlineStr">
        <is>
          <t>Liquidity coverage ratio</t>
        </is>
      </c>
      <c r="B5" s="6" t="inlineStr">
        <is>
          <t>412%</t>
        </is>
      </c>
      <c r="C5" s="6" t="inlineStr">
        <is>
          <t>417%</t>
        </is>
      </c>
      <c r="D5" s="6" t="inlineStr">
        <is>
          <t>250%</t>
        </is>
      </c>
      <c r="E5" s="6" t="inlineStr">
        <is>
          <t>191%</t>
        </is>
      </c>
      <c r="F5" s="6" t="inlineStr">
        <is>
          <t>226%</t>
        </is>
      </c>
      <c r="G5" s="6" t="inlineStr">
        <is>
          <t>219%</t>
        </is>
      </c>
      <c r="H5" s="6" t="inlineStr">
        <is>
          <t>210%</t>
        </is>
      </c>
      <c r="I5" s="6" t="n"/>
      <c r="J5" s="6" t="n"/>
      <c r="K5" s="6" t="n"/>
      <c r="L5" s="6" t="n"/>
      <c r="M5" s="6" t="n"/>
    </row>
    <row r="6" ht="60" customHeight="1">
      <c r="A6" s="7" t="inlineStr">
        <is>
          <t>Note: The reports state that the HQLA amounts are reported to the regulator in USD and converted to GBP using an average annual exchange rate; the ratios are calculated using the preceding twelve months. FY2014-FY2018: no LCR/HQLA figure was disclosed anywhere in those years' annual reports (confirmed by direct review of each year's liquidity risk note).</t>
        </is>
      </c>
    </row>
    <row r="8" ht="220" customHeight="1">
      <c r="A8"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8:M8"/>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Available stable funding</t>
        </is>
      </c>
      <c r="B4" s="6" t="n">
        <v>1485790</v>
      </c>
      <c r="C4" s="6" t="n">
        <v>1597110</v>
      </c>
      <c r="D4" s="6" t="n">
        <v>2191000</v>
      </c>
      <c r="E4" s="6" t="n">
        <v>2344000</v>
      </c>
      <c r="F4" s="6" t="inlineStr">
        <is>
          <t>Not disclosed</t>
        </is>
      </c>
      <c r="G4" s="6" t="n"/>
      <c r="H4" s="6" t="n"/>
      <c r="I4" s="6" t="n"/>
      <c r="J4" s="6" t="n"/>
      <c r="K4" s="6" t="n"/>
      <c r="L4" s="6" t="n"/>
      <c r="M4" s="6" t="n"/>
    </row>
    <row r="5">
      <c r="A5" s="6" t="inlineStr">
        <is>
          <t>Required stable funding</t>
        </is>
      </c>
      <c r="B5" s="6" t="n">
        <v>574724</v>
      </c>
      <c r="C5" s="6" t="n">
        <v>716541</v>
      </c>
      <c r="D5" s="6" t="n">
        <v>1346000</v>
      </c>
      <c r="E5" s="6" t="n">
        <v>1417000</v>
      </c>
      <c r="F5" s="6" t="inlineStr">
        <is>
          <t>Not disclosed</t>
        </is>
      </c>
      <c r="G5" s="6" t="n"/>
      <c r="H5" s="6" t="n"/>
      <c r="I5" s="6" t="n"/>
      <c r="J5" s="6" t="n"/>
      <c r="K5" s="6" t="n"/>
      <c r="L5" s="6" t="n"/>
      <c r="M5" s="6" t="n"/>
    </row>
    <row r="6">
      <c r="A6" s="6" t="inlineStr">
        <is>
          <t>Net Stable Funding Ratio</t>
        </is>
      </c>
      <c r="B6" s="6" t="inlineStr">
        <is>
          <t>263%</t>
        </is>
      </c>
      <c r="C6" s="6" t="inlineStr">
        <is>
          <t>223%</t>
        </is>
      </c>
      <c r="D6" s="6" t="inlineStr">
        <is>
          <t>163%</t>
        </is>
      </c>
      <c r="E6" s="6" t="inlineStr">
        <is>
          <t>165%</t>
        </is>
      </c>
      <c r="F6" s="6" t="inlineStr">
        <is>
          <t>Not disclosed</t>
        </is>
      </c>
      <c r="G6" s="6" t="n"/>
      <c r="H6" s="6" t="n"/>
      <c r="I6" s="6" t="n"/>
      <c r="J6" s="6" t="n"/>
      <c r="K6" s="6" t="n"/>
      <c r="L6" s="6" t="n"/>
      <c r="M6" s="6" t="n"/>
    </row>
    <row r="7" ht="60" customHeight="1">
      <c r="A7" s="7" t="inlineStr">
        <is>
          <t>Note: The Company states that NSFR became a PRA requirement from 1 January 2022; no NSFR was disclosed for FY2014-FY2021.</t>
        </is>
      </c>
    </row>
    <row r="9" ht="220" customHeight="1">
      <c r="A9"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Morgan Stanley Bank International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6" ht="150" customHeight="1">
      <c r="A6" s="8" t="inlineStr">
        <is>
          <t>ENTITY NOTE: Morgan Stanley Bank International Limited (company 03722571, FRN 195430) is the legal entity listed in Banks List 2608.xlsx. Companies House confirms the active UK private limited company, incorporated 23 February 1999, with registered office at 25 Cabot Square, London E14 4QA. The figures below are standalone Company figures from the entity's own annual reports, not Morgan Stanley International group figures.
Sources — Morgan Stanley Bank International Limited Annual Reports and Financial Statements, Strategic Report capital/liquidity tables and financial statements:
FY2025: Annual Report and Financial Statements for year ended 31 December 2025, pp.5, 8-10, 47 — https://find-and-update.company-information.service.gov.uk/company/03722571/filing-history/MzUxNTMzMjAyMmFkaXF6a2N4/document?format=pdf&amp;download=0
FY2024: Annual Report and Financial Statements for year ended 31 December 2024, pp.5, 8-10 — https://find-and-update.company-information.service.gov.uk/company/03722571/filing-history/MzQ2MjkyNzg4N2FkaXF6a2N4/document?format=pdf&amp;download=0
FY2023: Annual Report and Financial Statements for year ended 31 December 2023, pp.5, 8-10 — https://find-and-update.company-information.service.gov.uk/company/03722571/filing-history/MzQyMDQ2MzQxOGFkaXF6a2N4/document?format=pdf&amp;download=0
FY2022: Annual Report and Financial Statements for year ended 31 December 2022, pp.5, 8-10 — https://find-and-update.company-information.service.gov.uk/company/03722571/filing-history/MzM3ODM5NTg1NmFkaXF6a2N4/document?format=pdf&amp;download=0
FY2021: Annual Report and Financial Statements for year ended 31 December 2021, pp.6, 9-10 — https://find-and-update.company-information.service.gov.uk/company/03722571/filing-history/MzMzODIzODA1MmFkaXF6a2N4/document?format=pdf&amp;download=0
FY2020: Annual Report and Financial Statements for year ended 31 December 2020, pp.5, 12-13 (Key performance indicators / Own Funds / Leverage ratio) — https://find-and-update.company-information.service.gov.uk/company/03722571/filing-history/MzMwMTE4OTc0MWFkaXF6a2N4/document?format=pdf&amp;download=0
FY2019: Annual Report and Financial Statements for year ended 31 December 2020's own FY2019 comparative columns, pp.5, 12-13 — https://find-and-update.company-information.service.gov.uk/company/03722571/filing-history/MzMwMTE4OTc0MWFkaXF6a2N4/document?format=pdf&amp;download=0
FY2018: Annual Report and Financial Statements for year ended 31 December 2018, p.3 (Key performance indicators - Tier 1 capital, Tier 1 ratio, leverage ratio only; no CET1/Total Capital/RWA/LCR/NSFR disclosed) — https://find-and-update.company-information.service.gov.uk/company/03722571/filing-history/MzIzMzQ0NTc3NWFkaXF6a2N4/document?format=pdf&amp;download=0
FY2017: Annual Report and Financial Statements for year ended 31 December 2017, p.3 (same limited KPI disclosure as FY2018) — https://find-and-update.company-information.service.gov.uk/company/03722571/filing-history/MzIwNDA4MDg1M2FkaXF6a2N4/document?format=pdf&amp;download=0
FY2016: Annual Report and Financial Statements for year ended 31 December 2016, p.3 (same limited KPI disclosure) — https://find-and-update.company-information.service.gov.uk/company/03722571/filing-history/MzE3NTI3MTY1OWFkaXF6a2N4/document?format=pdf&amp;download=0
FY2015: Annual Report and Financial Statements for year ended 31 December 2016's own FY2015 comparative column, p.3 (Tier 1 capital/ratio and leverage ratio; the Company's own FY2015 Annual Report carried no capital KPI section at all) — https://find-and-update.company-information.service.gov.uk/company/03722571/filing-history/MzE3NTI3MTY1OWFkaXF6a2N4/document?format=pdf&amp;download=0
FY2014: Annual Report and Financial Statements for year ended 31 December 2014, p.3 — https://find-and-update.company-information.service.gov.uk/company/03722571/filing-history/MzEyMjM5NTcyOWFkaXF6a2N4/document?format=pdf&amp;download=0. No Tier 1 capital, CET1, Total Capital, RWA, leverage or LCR/NSFR figures are disclosed anywhere in the FY2014 report itself or in any later year's comparative (the KPI section first appears in the FY2016 report, reaching back only to FY2015) — genuinely undisclosed, not merely unsourced by us.
The annual reports state that the Company takes the FRS 101 reduced-disclosure exemption from presenting a cash-flow statement. Blank or non-disclosed entries are not estimates or zeros. FY2014-FY2018 annual reports disclose materially less capital/liquidity detail than FY2019 onward: only Tier 1 capital, Tier 1 ratio and leverage ratio are given (no separately-stated CET1, Total Capital, Total RWAs, LCR or NSFR). Because the Company's Own Funds tables in the FY2019/FY2020 reports confirm CET1 = Tier 1 capital exactly in every year reviewed (no Additional Tier 1 instruments), CET1 Capital/CET1 Ratio for FY2015-FY2018 are populated with the same disclosed Tier 1 figures on that structural basis, clearly noted; Total Capital, Total Capital Ratio, Total RWAs, Leverage Exposure, LCR, NSFR and the RWA Breakdown are left blank for FY2014-FY2018 (FY2014-FY2020 for RWA Breakdown, and FY2014-FY2018 for LCR/NSFR) as genuinely not disclosed, rather than estimated.
No standalone MREL ratio was numerically disclosed in any of the twelve annual reports reviewed (FY2014-FY2025); group-level resolution disclosures were not substituted.</t>
        </is>
      </c>
    </row>
  </sheetData>
  <mergeCells count="1">
    <mergeCell ref="A6:M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2026-09-06T00:14:26Z</dcterms:created>
  <dcterms:modified xmlns:dcterms="http://purl.org/dc/terms/" xmlns:xsi="http://www.w3.org/2001/XMLSchema-instance" xsi:type="dcterms:W3CDTF">2026-09-06T00:14:26Z</dcterms:modified>
</cp:coreProperties>
</file>