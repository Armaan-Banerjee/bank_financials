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Morgan Stanley Bank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4474701</v>
      </c>
      <c r="C6" s="5" t="n">
        <v>5943082</v>
      </c>
      <c r="D6" s="5" t="n">
        <v>5761181</v>
      </c>
      <c r="E6" s="5" t="n">
        <v>7691434</v>
      </c>
      <c r="F6" s="5" t="n">
        <v>5166317</v>
      </c>
      <c r="I6" t="inlineStr">
        <is>
          <t>Total assets</t>
        </is>
      </c>
      <c r="J6" t="n">
        <v>5166317</v>
      </c>
      <c r="K6" t="n">
        <v>7691434</v>
      </c>
      <c r="L6" t="n">
        <v>5761181</v>
      </c>
      <c r="M6" t="n">
        <v>5943082</v>
      </c>
      <c r="N6" t="n">
        <v>4474701</v>
      </c>
      <c r="AG6" t="inlineStr">
        <is>
          <t>CET1 Ratio</t>
        </is>
      </c>
      <c r="AH6" t="n">
        <v>34.4</v>
      </c>
      <c r="AI6" t="n">
        <v>34</v>
      </c>
      <c r="AJ6" t="n">
        <v>31.7</v>
      </c>
      <c r="AK6" t="n">
        <v>46.7</v>
      </c>
      <c r="AL6" t="n">
        <v>42.6</v>
      </c>
    </row>
    <row r="7">
      <c r="A7" s="5" t="inlineStr">
        <is>
          <t>Loans and advances to customers</t>
        </is>
      </c>
      <c r="B7" s="5" t="n">
        <v>422190</v>
      </c>
      <c r="C7" s="5" t="n">
        <v>775727</v>
      </c>
      <c r="D7" s="5" t="n">
        <v>760186</v>
      </c>
      <c r="E7" s="5" t="n">
        <v>1227715</v>
      </c>
      <c r="F7" s="5" t="n">
        <v>380124</v>
      </c>
      <c r="I7" t="inlineStr">
        <is>
          <t>Loans and advances to customers</t>
        </is>
      </c>
      <c r="J7" t="n">
        <v>380124</v>
      </c>
      <c r="K7" t="n">
        <v>1227715</v>
      </c>
      <c r="L7" t="n">
        <v>760186</v>
      </c>
      <c r="M7" t="n">
        <v>775727</v>
      </c>
      <c r="N7" t="n">
        <v>422190</v>
      </c>
      <c r="AG7" t="inlineStr">
        <is>
          <t>Total Capital Ratio</t>
        </is>
      </c>
      <c r="AH7" t="n">
        <v>44</v>
      </c>
      <c r="AI7" t="n">
        <v>48.5</v>
      </c>
      <c r="AJ7" t="n">
        <v>43.3</v>
      </c>
      <c r="AK7" t="n">
        <v>59.8</v>
      </c>
      <c r="AL7" t="n">
        <v>58.9</v>
      </c>
    </row>
    <row r="8">
      <c r="A8" s="5" t="inlineStr">
        <is>
          <t>Customer accounts</t>
        </is>
      </c>
      <c r="B8" s="5" t="n">
        <v>632759</v>
      </c>
      <c r="C8" s="5" t="n">
        <v>783693</v>
      </c>
      <c r="D8" s="5" t="n">
        <v>1246212</v>
      </c>
      <c r="E8" s="5" t="n">
        <v>1814583</v>
      </c>
      <c r="F8" s="5" t="n">
        <v>1502764</v>
      </c>
      <c r="I8" t="inlineStr">
        <is>
          <t>Customer accounts</t>
        </is>
      </c>
      <c r="J8" t="n">
        <v>1502764</v>
      </c>
      <c r="K8" t="n">
        <v>1814583</v>
      </c>
      <c r="L8" t="n">
        <v>1246212</v>
      </c>
      <c r="M8" t="n">
        <v>783693</v>
      </c>
      <c r="N8" t="n">
        <v>632759</v>
      </c>
      <c r="AG8" t="inlineStr">
        <is>
          <t>Leverage Ratio</t>
        </is>
      </c>
      <c r="AH8" t="n">
        <v>30.1</v>
      </c>
      <c r="AI8" t="n">
        <v>18.5</v>
      </c>
      <c r="AJ8" t="n">
        <v>23.9</v>
      </c>
      <c r="AK8" t="n">
        <v>29.1</v>
      </c>
      <c r="AL8" t="n">
        <v>30.3</v>
      </c>
    </row>
    <row r="9">
      <c r="A9" s="5" t="inlineStr">
        <is>
          <t>Total equity</t>
        </is>
      </c>
      <c r="B9" s="5" t="n">
        <v>747901</v>
      </c>
      <c r="C9" s="5" t="n">
        <v>810485</v>
      </c>
      <c r="D9" s="5" t="n">
        <v>765983</v>
      </c>
      <c r="E9" s="5" t="n">
        <v>766224</v>
      </c>
      <c r="F9" s="5" t="n">
        <v>821983</v>
      </c>
      <c r="I9" t="inlineStr">
        <is>
          <t>Total equity</t>
        </is>
      </c>
      <c r="J9" t="n">
        <v>821983</v>
      </c>
      <c r="K9" t="n">
        <v>766224</v>
      </c>
      <c r="L9" t="n">
        <v>765983</v>
      </c>
      <c r="M9" t="n">
        <v>810485</v>
      </c>
      <c r="N9" t="n">
        <v>747901</v>
      </c>
      <c r="AG9" t="inlineStr">
        <is>
          <t>LCR</t>
        </is>
      </c>
      <c r="AH9" t="n">
        <v>226</v>
      </c>
      <c r="AI9" t="n">
        <v>191</v>
      </c>
      <c r="AJ9" t="n">
        <v>250</v>
      </c>
      <c r="AK9" t="n">
        <v>417</v>
      </c>
      <c r="AL9" t="n">
        <v>412</v>
      </c>
    </row>
    <row r="10">
      <c r="AG10" t="inlineStr">
        <is>
          <t>NSFR</t>
        </is>
      </c>
      <c r="AI10" t="n">
        <v>165</v>
      </c>
      <c r="AJ10" t="n">
        <v>163</v>
      </c>
      <c r="AK10" t="n">
        <v>223</v>
      </c>
      <c r="AL10" t="n">
        <v>263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43615</v>
      </c>
      <c r="C13" s="5" t="n">
        <v>57062</v>
      </c>
      <c r="D13" s="5" t="n">
        <v>52288</v>
      </c>
      <c r="E13" s="5" t="n">
        <v>20340</v>
      </c>
      <c r="F13" s="5" t="n">
        <v>14628</v>
      </c>
      <c r="Q13" t="inlineStr">
        <is>
          <t>Net interest income</t>
        </is>
      </c>
      <c r="R13" t="n">
        <v>14628</v>
      </c>
      <c r="S13" t="n">
        <v>20340</v>
      </c>
      <c r="T13" t="n">
        <v>52288</v>
      </c>
      <c r="U13" t="n">
        <v>57062</v>
      </c>
      <c r="V13" t="n">
        <v>43615</v>
      </c>
    </row>
    <row r="14">
      <c r="A14" s="5" t="inlineStr">
        <is>
          <t>Administrative expenses</t>
        </is>
      </c>
      <c r="B14" s="5" t="n">
        <v>-21070</v>
      </c>
      <c r="C14" s="5" t="n">
        <v>-27722</v>
      </c>
      <c r="D14" s="5" t="n">
        <v>-34895</v>
      </c>
      <c r="E14" s="5" t="n">
        <v>-32647</v>
      </c>
      <c r="F14" s="5" t="n">
        <v>-48725</v>
      </c>
      <c r="Q14" t="inlineStr">
        <is>
          <t>Administrative expenses</t>
        </is>
      </c>
      <c r="R14" t="n">
        <v>-48725</v>
      </c>
      <c r="S14" t="n">
        <v>-32647</v>
      </c>
      <c r="T14" t="n">
        <v>-34895</v>
      </c>
      <c r="U14" t="n">
        <v>-27722</v>
      </c>
      <c r="V14" t="n">
        <v>-21070</v>
      </c>
    </row>
    <row r="15">
      <c r="A15" s="5" t="inlineStr">
        <is>
          <t>Profit for the year</t>
        </is>
      </c>
      <c r="B15" s="5" t="n">
        <v>37579</v>
      </c>
      <c r="C15" s="5" t="n">
        <v>45781</v>
      </c>
      <c r="D15" s="5" t="n">
        <v>314</v>
      </c>
      <c r="E15" s="5" t="n">
        <v>94153</v>
      </c>
      <c r="F15" s="5" t="n">
        <v>9877</v>
      </c>
      <c r="Q15" t="inlineStr">
        <is>
          <t>Profit for the year</t>
        </is>
      </c>
      <c r="R15" t="n">
        <v>9877</v>
      </c>
      <c r="S15" t="n">
        <v>94153</v>
      </c>
      <c r="T15" t="n">
        <v>314</v>
      </c>
      <c r="U15" t="n">
        <v>45781</v>
      </c>
      <c r="V15" t="n">
        <v>37579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810485</v>
      </c>
      <c r="C19" s="5" t="n">
        <v>765983</v>
      </c>
      <c r="D19" s="5" t="n">
        <v>766224</v>
      </c>
      <c r="E19" s="5" t="n">
        <v>821983</v>
      </c>
      <c r="F19" s="5" t="n">
        <v>812361</v>
      </c>
      <c r="Y19" t="inlineStr">
        <is>
          <t>Opening equity</t>
        </is>
      </c>
      <c r="Z19" t="n">
        <v>812361</v>
      </c>
      <c r="AA19" t="n">
        <v>821983</v>
      </c>
      <c r="AB19" t="n">
        <v>766224</v>
      </c>
      <c r="AC19" t="n">
        <v>765983</v>
      </c>
      <c r="AD19" t="n">
        <v>810485</v>
      </c>
    </row>
    <row r="20">
      <c r="A20" s="5" t="inlineStr">
        <is>
          <t>Total comprehensive income for the year</t>
        </is>
      </c>
      <c r="B20" s="5" t="n">
        <v>37416</v>
      </c>
      <c r="C20" s="5" t="n">
        <v>44502</v>
      </c>
      <c r="D20" s="5" t="n">
        <v>-241</v>
      </c>
      <c r="E20" s="5" t="n">
        <v>94241</v>
      </c>
      <c r="F20" s="5" t="n">
        <v>9622</v>
      </c>
      <c r="Y20" t="inlineStr">
        <is>
          <t>Total comprehensive income for the year</t>
        </is>
      </c>
      <c r="Z20" t="n">
        <v>9622</v>
      </c>
      <c r="AA20" t="n">
        <v>94241</v>
      </c>
      <c r="AB20" t="n">
        <v>-241</v>
      </c>
      <c r="AC20" t="n">
        <v>44502</v>
      </c>
      <c r="AD20" t="n">
        <v>37416</v>
      </c>
    </row>
    <row r="21">
      <c r="A21" s="5" t="inlineStr">
        <is>
          <t>Other equity movements, net</t>
        </is>
      </c>
      <c r="B21" s="5" t="n">
        <v>-100000</v>
      </c>
      <c r="C21" s="5" t="n">
        <v>0</v>
      </c>
      <c r="D21" s="5" t="n">
        <v>0</v>
      </c>
      <c r="E21" s="5" t="n">
        <v>-150000</v>
      </c>
      <c r="F21" s="5" t="n">
        <v>0</v>
      </c>
      <c r="Y21" t="inlineStr">
        <is>
          <t>Other equity movements, net</t>
        </is>
      </c>
      <c r="Z21" t="n">
        <v>0</v>
      </c>
      <c r="AA21" t="n">
        <v>-150000</v>
      </c>
      <c r="AB21" t="n">
        <v>0</v>
      </c>
      <c r="AC21" t="n">
        <v>0</v>
      </c>
      <c r="AD21" t="n">
        <v>-100000</v>
      </c>
    </row>
    <row r="22">
      <c r="A22" s="5" t="inlineStr">
        <is>
          <t>Closing equity</t>
        </is>
      </c>
      <c r="B22" s="5" t="n">
        <v>747901</v>
      </c>
      <c r="C22" s="5" t="n">
        <v>810485</v>
      </c>
      <c r="D22" s="5" t="n">
        <v>765983</v>
      </c>
      <c r="E22" s="5" t="n">
        <v>766224</v>
      </c>
      <c r="F22" s="5" t="n">
        <v>821983</v>
      </c>
      <c r="Y22" t="inlineStr">
        <is>
          <t>Closing equity</t>
        </is>
      </c>
      <c r="Z22" t="n">
        <v>821983</v>
      </c>
      <c r="AA22" t="n">
        <v>766224</v>
      </c>
      <c r="AB22" t="n">
        <v>765983</v>
      </c>
      <c r="AC22" t="n">
        <v>810485</v>
      </c>
      <c r="AD22" t="n">
        <v>747901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Ratio</t>
        </is>
      </c>
      <c r="B28" s="6" t="inlineStr">
        <is>
          <t>42.6%</t>
        </is>
      </c>
      <c r="C28" s="6" t="inlineStr">
        <is>
          <t>46.7%</t>
        </is>
      </c>
      <c r="D28" s="6" t="inlineStr">
        <is>
          <t>31.7%</t>
        </is>
      </c>
      <c r="E28" s="6" t="inlineStr">
        <is>
          <t>34.0%</t>
        </is>
      </c>
      <c r="F28" s="6" t="inlineStr">
        <is>
          <t>34.4%</t>
        </is>
      </c>
    </row>
    <row r="29">
      <c r="A29" s="6" t="inlineStr">
        <is>
          <t>Total Capital Ratio</t>
        </is>
      </c>
      <c r="B29" s="6" t="inlineStr">
        <is>
          <t>58.9%</t>
        </is>
      </c>
      <c r="C29" s="6" t="inlineStr">
        <is>
          <t>59.8%</t>
        </is>
      </c>
      <c r="D29" s="6" t="inlineStr">
        <is>
          <t>43.3%</t>
        </is>
      </c>
      <c r="E29" s="6" t="inlineStr">
        <is>
          <t>48.5%</t>
        </is>
      </c>
      <c r="F29" s="6" t="inlineStr">
        <is>
          <t>44.0%</t>
        </is>
      </c>
    </row>
    <row r="30">
      <c r="A30" s="6" t="inlineStr">
        <is>
          <t>Leverage Ratio</t>
        </is>
      </c>
      <c r="B30" s="6" t="inlineStr">
        <is>
          <t>30.3%</t>
        </is>
      </c>
      <c r="C30" s="6" t="inlineStr">
        <is>
          <t>29.1%</t>
        </is>
      </c>
      <c r="D30" s="6" t="inlineStr">
        <is>
          <t>23.9%</t>
        </is>
      </c>
      <c r="E30" s="6" t="inlineStr">
        <is>
          <t>18.5%</t>
        </is>
      </c>
      <c r="F30" s="6" t="inlineStr">
        <is>
          <t>30.1%</t>
        </is>
      </c>
    </row>
    <row r="31">
      <c r="A31" s="6" t="inlineStr">
        <is>
          <t>LCR</t>
        </is>
      </c>
      <c r="B31" s="6" t="inlineStr">
        <is>
          <t>412%</t>
        </is>
      </c>
      <c r="C31" s="6" t="inlineStr">
        <is>
          <t>417%</t>
        </is>
      </c>
      <c r="D31" s="6" t="inlineStr">
        <is>
          <t>250%</t>
        </is>
      </c>
      <c r="E31" s="6" t="inlineStr">
        <is>
          <t>191%</t>
        </is>
      </c>
      <c r="F31" s="6" t="inlineStr">
        <is>
          <t>226%</t>
        </is>
      </c>
    </row>
    <row r="32">
      <c r="A32" s="6" t="inlineStr">
        <is>
          <t>NSFR</t>
        </is>
      </c>
      <c r="B32" s="6" t="inlineStr">
        <is>
          <t>263%</t>
        </is>
      </c>
      <c r="C32" s="6" t="inlineStr">
        <is>
          <t>223%</t>
        </is>
      </c>
      <c r="D32" s="6" t="inlineStr">
        <is>
          <t>163%</t>
        </is>
      </c>
      <c r="E32" s="6" t="inlineStr">
        <is>
          <t>165%</t>
        </is>
      </c>
      <c r="F32" s="6" t="inlineStr">
        <is>
          <t>Not disclosed</t>
        </is>
      </c>
    </row>
    <row r="34" ht="45" customHeight="1">
      <c r="A34" s="7" t="inlineStr">
        <is>
          <t>Note: The Company takes the FRS 101 exemption from presenting a cash-flow statement. Interim Morgan Stanley International Pillar 3 reports are group-level and do not provide defensible standalone MSBIL interim data.</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Balance Sheet</t>
        </is>
      </c>
    </row>
    <row r="2">
      <c r="A2" s="2" t="inlineStr">
        <is>
          <t>Standalone Company basis (FRS 101). £'000. FY2021 uniquely shows an 'Investment in subsidiary undertaking' line (£105,374k) - disposed of during FY2022, generating that year's £93,978k 'Gain on disposal of subsidiary' on the Profit &amp; Loss sheet and dropping to £nil from FY2022 onward. 'Deferred tax liabilities' only appears as its own line from FY2024 (shown as '–'/nil that year, £1,079k in FY2025); FY2021-FY2023 disclose no such line at all (shown blank, not zero).</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24687</v>
      </c>
      <c r="C5" s="6" t="n">
        <v>17404</v>
      </c>
      <c r="D5" s="6" t="n">
        <v>6870</v>
      </c>
      <c r="E5" s="6" t="n">
        <v>47133</v>
      </c>
      <c r="F5" s="6" t="n">
        <v>20144</v>
      </c>
    </row>
    <row r="6">
      <c r="A6" s="6" t="inlineStr">
        <is>
          <t>Secured financing</t>
        </is>
      </c>
      <c r="B6" s="6" t="n">
        <v>836854</v>
      </c>
      <c r="C6" s="6" t="n">
        <v>1163336</v>
      </c>
      <c r="D6" s="6" t="n">
        <v>1150162</v>
      </c>
      <c r="E6" s="6" t="n">
        <v>1330363</v>
      </c>
      <c r="F6" s="6" t="n">
        <v>1139856</v>
      </c>
    </row>
    <row r="7">
      <c r="A7" s="6" t="inlineStr">
        <is>
          <t>Loans and advances to banks</t>
        </is>
      </c>
      <c r="B7" s="6" t="n">
        <v>140542</v>
      </c>
      <c r="C7" s="6" t="n">
        <v>212774</v>
      </c>
      <c r="D7" s="6" t="n">
        <v>187090</v>
      </c>
      <c r="E7" s="6" t="n">
        <v>175841</v>
      </c>
      <c r="F7" s="6" t="n">
        <v>129608</v>
      </c>
    </row>
    <row r="8">
      <c r="A8" s="6" t="inlineStr">
        <is>
          <t>Loans and advances to customers</t>
        </is>
      </c>
      <c r="B8" s="6" t="n">
        <v>422190</v>
      </c>
      <c r="C8" s="6" t="n">
        <v>775727</v>
      </c>
      <c r="D8" s="6" t="n">
        <v>760186</v>
      </c>
      <c r="E8" s="6" t="n">
        <v>1227715</v>
      </c>
      <c r="F8" s="6" t="n">
        <v>380124</v>
      </c>
    </row>
    <row r="9">
      <c r="A9" s="6" t="inlineStr">
        <is>
          <t>Trading financial assets</t>
        </is>
      </c>
      <c r="B9" s="6" t="n">
        <v>3022186</v>
      </c>
      <c r="C9" s="6" t="n">
        <v>3746151</v>
      </c>
      <c r="D9" s="6" t="n">
        <v>3613350</v>
      </c>
      <c r="E9" s="6" t="n">
        <v>4868282</v>
      </c>
      <c r="F9" s="6" t="n">
        <v>3358044</v>
      </c>
    </row>
    <row r="10">
      <c r="A10" s="6" t="inlineStr">
        <is>
          <t>Investment securities</t>
        </is>
      </c>
      <c r="B10" s="6" t="n">
        <v>23</v>
      </c>
      <c r="C10" s="6" t="n">
        <v>472</v>
      </c>
      <c r="D10" s="6" t="n">
        <v>463</v>
      </c>
      <c r="E10" s="6" t="n">
        <v>23</v>
      </c>
      <c r="F10" s="6" t="n">
        <v>679</v>
      </c>
    </row>
    <row r="11">
      <c r="A11" s="6" t="inlineStr">
        <is>
          <t>Investment in subsidiary undertaking</t>
        </is>
      </c>
      <c r="B11" s="6" t="n"/>
      <c r="C11" s="6" t="n"/>
      <c r="D11" s="6" t="n"/>
      <c r="E11" s="6" t="n"/>
      <c r="F11" s="6" t="n">
        <v>105374</v>
      </c>
    </row>
    <row r="12">
      <c r="A12" s="6" t="inlineStr">
        <is>
          <t>Tangible fixed assets</t>
        </is>
      </c>
      <c r="B12" s="6" t="n">
        <v>681</v>
      </c>
      <c r="C12" s="6" t="n">
        <v>926</v>
      </c>
      <c r="D12" s="6" t="n">
        <v>1093</v>
      </c>
      <c r="E12" s="6" t="n">
        <v>1382</v>
      </c>
      <c r="F12" s="6" t="n">
        <v>567</v>
      </c>
    </row>
    <row r="13">
      <c r="A13" s="6" t="inlineStr">
        <is>
          <t>Other receivables</t>
        </is>
      </c>
      <c r="B13" s="6" t="n">
        <v>26119</v>
      </c>
      <c r="C13" s="6" t="n">
        <v>23892</v>
      </c>
      <c r="D13" s="6" t="n">
        <v>34100</v>
      </c>
      <c r="E13" s="6" t="n">
        <v>30374</v>
      </c>
      <c r="F13" s="6" t="n">
        <v>22811</v>
      </c>
    </row>
    <row r="14">
      <c r="A14" s="6" t="inlineStr">
        <is>
          <t>Current tax assets</t>
        </is>
      </c>
      <c r="B14" s="6" t="n">
        <v>1218</v>
      </c>
      <c r="C14" s="6" t="n">
        <v>282</v>
      </c>
      <c r="D14" s="6" t="n">
        <v>296</v>
      </c>
      <c r="E14" s="6" t="n">
        <v>2451</v>
      </c>
      <c r="F14" s="6" t="n">
        <v>287</v>
      </c>
    </row>
    <row r="15">
      <c r="A15" s="6" t="inlineStr">
        <is>
          <t>Deferred tax assets</t>
        </is>
      </c>
      <c r="B15" s="6" t="n">
        <v>75</v>
      </c>
      <c r="C15" s="6" t="n">
        <v>1961</v>
      </c>
      <c r="D15" s="6" t="n">
        <v>7415</v>
      </c>
      <c r="E15" s="6" t="n">
        <v>7698</v>
      </c>
      <c r="F15" s="6" t="n">
        <v>8696</v>
      </c>
    </row>
    <row r="16">
      <c r="A16" s="6" t="inlineStr">
        <is>
          <t>Prepayments and accrued income</t>
        </is>
      </c>
      <c r="B16" s="6" t="n">
        <v>126</v>
      </c>
      <c r="C16" s="6" t="n">
        <v>157</v>
      </c>
      <c r="D16" s="6" t="n">
        <v>156</v>
      </c>
      <c r="E16" s="6" t="n">
        <v>172</v>
      </c>
      <c r="F16" s="6" t="n">
        <v>127</v>
      </c>
    </row>
    <row r="17">
      <c r="A17" s="5" t="inlineStr">
        <is>
          <t>Total assets</t>
        </is>
      </c>
      <c r="B17" s="5" t="n">
        <v>4474701</v>
      </c>
      <c r="C17" s="5" t="n">
        <v>5943082</v>
      </c>
      <c r="D17" s="5" t="n">
        <v>5761181</v>
      </c>
      <c r="E17" s="5" t="n">
        <v>7691434</v>
      </c>
      <c r="F17" s="5" t="n">
        <v>5166317</v>
      </c>
    </row>
    <row r="18">
      <c r="A18" s="5" t="inlineStr">
        <is>
          <t>Liabilities</t>
        </is>
      </c>
      <c r="B18" s="6" t="n"/>
      <c r="C18" s="6" t="n"/>
      <c r="D18" s="6" t="n"/>
      <c r="E18" s="6" t="n"/>
      <c r="F18" s="6" t="n"/>
    </row>
    <row r="19">
      <c r="A19" s="6" t="inlineStr">
        <is>
          <t>Deposits by banks</t>
        </is>
      </c>
      <c r="B19" s="6" t="n">
        <v>279651</v>
      </c>
      <c r="C19" s="6" t="n">
        <v>462429</v>
      </c>
      <c r="D19" s="6" t="n">
        <v>251784</v>
      </c>
      <c r="E19" s="6" t="n">
        <v>440764</v>
      </c>
      <c r="F19" s="6" t="n">
        <v>153851</v>
      </c>
    </row>
    <row r="20">
      <c r="A20" s="6" t="inlineStr">
        <is>
          <t>Customer accounts</t>
        </is>
      </c>
      <c r="B20" s="6" t="n">
        <v>632759</v>
      </c>
      <c r="C20" s="6" t="n">
        <v>783693</v>
      </c>
      <c r="D20" s="6" t="n">
        <v>1246212</v>
      </c>
      <c r="E20" s="6" t="n">
        <v>1814583</v>
      </c>
      <c r="F20" s="6" t="n">
        <v>1502764</v>
      </c>
    </row>
    <row r="21">
      <c r="A21" s="6" t="inlineStr">
        <is>
          <t>Secured borrowing</t>
        </is>
      </c>
      <c r="B21" s="6" t="n">
        <v>103105</v>
      </c>
      <c r="C21" s="6" t="n">
        <v>123656</v>
      </c>
      <c r="D21" s="6" t="n">
        <v>86502</v>
      </c>
      <c r="E21" s="6" t="n">
        <v>128224</v>
      </c>
      <c r="F21" s="6" t="n">
        <v>85181</v>
      </c>
    </row>
    <row r="22">
      <c r="A22" s="6" t="inlineStr">
        <is>
          <t>Trading financial liabilities</t>
        </is>
      </c>
      <c r="B22" s="6" t="n">
        <v>2409008</v>
      </c>
      <c r="C22" s="6" t="n">
        <v>3311515</v>
      </c>
      <c r="D22" s="6" t="n">
        <v>2957832</v>
      </c>
      <c r="E22" s="6" t="n">
        <v>4081489</v>
      </c>
      <c r="F22" s="6" t="n">
        <v>2270962</v>
      </c>
    </row>
    <row r="23">
      <c r="A23" s="6" t="inlineStr">
        <is>
          <t>Other payables</t>
        </is>
      </c>
      <c r="B23" s="6" t="n">
        <v>18473</v>
      </c>
      <c r="C23" s="6" t="n">
        <v>20906</v>
      </c>
      <c r="D23" s="6" t="n">
        <v>27230</v>
      </c>
      <c r="E23" s="6" t="n">
        <v>45937</v>
      </c>
      <c r="F23" s="6" t="n">
        <v>41460</v>
      </c>
    </row>
    <row r="24">
      <c r="A24" s="6" t="inlineStr">
        <is>
          <t>Accruals and deferred income</t>
        </is>
      </c>
      <c r="B24" s="6" t="n">
        <v>4080</v>
      </c>
      <c r="C24" s="6" t="n">
        <v>9391</v>
      </c>
      <c r="D24" s="6" t="n">
        <v>2059</v>
      </c>
      <c r="E24" s="6" t="n">
        <v>1497</v>
      </c>
      <c r="F24" s="6" t="n">
        <v>2290</v>
      </c>
    </row>
    <row r="25">
      <c r="A25" s="6" t="inlineStr">
        <is>
          <t>Current tax liabilities</t>
        </is>
      </c>
      <c r="B25" s="6" t="n">
        <v>19853</v>
      </c>
      <c r="C25" s="6" t="n">
        <v>11677</v>
      </c>
      <c r="D25" s="6" t="n">
        <v>13754</v>
      </c>
      <c r="E25" s="6" t="n">
        <v>10758</v>
      </c>
      <c r="F25" s="6" t="n">
        <v>37356</v>
      </c>
    </row>
    <row r="26">
      <c r="A26" s="6" t="inlineStr">
        <is>
          <t>Deferred tax liabilities</t>
        </is>
      </c>
      <c r="B26" s="6" t="n">
        <v>1079</v>
      </c>
      <c r="C26" s="6" t="n">
        <v>0</v>
      </c>
      <c r="D26" s="6" t="n"/>
      <c r="E26" s="6" t="n"/>
      <c r="F26" s="6" t="n"/>
    </row>
    <row r="27">
      <c r="A27" s="6" t="inlineStr">
        <is>
          <t>Retirement benefit liability</t>
        </is>
      </c>
      <c r="B27" s="6" t="n">
        <v>394</v>
      </c>
      <c r="C27" s="6" t="n">
        <v>424</v>
      </c>
      <c r="D27" s="6" t="n">
        <v>126</v>
      </c>
      <c r="E27" s="6" t="n">
        <v>111</v>
      </c>
      <c r="F27" s="6" t="n">
        <v>287</v>
      </c>
    </row>
    <row r="28">
      <c r="A28" s="6" t="inlineStr">
        <is>
          <t>Provisions for liabilities and charges</t>
        </is>
      </c>
      <c r="B28" s="6" t="n">
        <v>178</v>
      </c>
      <c r="C28" s="6" t="n">
        <v>179</v>
      </c>
      <c r="D28" s="6" t="n">
        <v>193</v>
      </c>
      <c r="E28" s="6" t="n">
        <v>203</v>
      </c>
      <c r="F28" s="6" t="n">
        <v>183</v>
      </c>
    </row>
    <row r="29">
      <c r="A29" s="6" t="inlineStr">
        <is>
          <t>Subordinated debt</t>
        </is>
      </c>
      <c r="B29" s="6" t="n">
        <v>258220</v>
      </c>
      <c r="C29" s="6" t="n">
        <v>408727</v>
      </c>
      <c r="D29" s="6" t="n">
        <v>409506</v>
      </c>
      <c r="E29" s="6" t="n">
        <v>401644</v>
      </c>
      <c r="F29" s="6" t="n">
        <v>250000</v>
      </c>
    </row>
    <row r="30">
      <c r="A30" s="5" t="inlineStr">
        <is>
          <t>Total liabilities</t>
        </is>
      </c>
      <c r="B30" s="5" t="n">
        <v>3726800</v>
      </c>
      <c r="C30" s="5" t="n">
        <v>5132597</v>
      </c>
      <c r="D30" s="5" t="n">
        <v>4995198</v>
      </c>
      <c r="E30" s="5" t="n">
        <v>6925210</v>
      </c>
      <c r="F30" s="5" t="n">
        <v>4344334</v>
      </c>
    </row>
    <row r="31">
      <c r="A31" s="5" t="inlineStr">
        <is>
          <t>Equity</t>
        </is>
      </c>
      <c r="B31" s="6" t="n"/>
      <c r="C31" s="6" t="n"/>
      <c r="D31" s="6" t="n"/>
      <c r="E31" s="6" t="n"/>
      <c r="F31" s="6" t="n"/>
    </row>
    <row r="32">
      <c r="A32" s="6" t="inlineStr">
        <is>
          <t>Called up share capital</t>
        </is>
      </c>
      <c r="B32" s="6" t="n">
        <v>340000</v>
      </c>
      <c r="C32" s="6" t="n">
        <v>340000</v>
      </c>
      <c r="D32" s="6" t="n">
        <v>340000</v>
      </c>
      <c r="E32" s="6" t="n">
        <v>340000</v>
      </c>
      <c r="F32" s="6" t="n">
        <v>340000</v>
      </c>
    </row>
    <row r="33">
      <c r="A33" s="6" t="inlineStr">
        <is>
          <t>Capital contribution reserve</t>
        </is>
      </c>
      <c r="B33" s="6" t="n">
        <v>89654</v>
      </c>
      <c r="C33" s="6" t="n">
        <v>89654</v>
      </c>
      <c r="D33" s="6" t="n">
        <v>89654</v>
      </c>
      <c r="E33" s="6" t="n">
        <v>89654</v>
      </c>
      <c r="F33" s="6" t="n">
        <v>89654</v>
      </c>
    </row>
    <row r="34">
      <c r="A34" s="6" t="inlineStr">
        <is>
          <t>Foreign currency revaluation reserve</t>
        </is>
      </c>
      <c r="B34" s="6" t="n">
        <v>35165</v>
      </c>
      <c r="C34" s="6" t="n">
        <v>35368</v>
      </c>
      <c r="D34" s="6" t="n">
        <v>36668</v>
      </c>
      <c r="E34" s="6" t="n">
        <v>37201</v>
      </c>
      <c r="F34" s="6" t="n">
        <v>37213</v>
      </c>
    </row>
    <row r="35">
      <c r="A35" s="6" t="inlineStr">
        <is>
          <t>Profit and loss account</t>
        </is>
      </c>
      <c r="B35" s="6" t="n">
        <v>283082</v>
      </c>
      <c r="C35" s="6" t="n">
        <v>345463</v>
      </c>
      <c r="D35" s="6" t="n">
        <v>299661</v>
      </c>
      <c r="E35" s="6" t="n">
        <v>299369</v>
      </c>
      <c r="F35" s="6" t="n">
        <v>355116</v>
      </c>
    </row>
    <row r="36">
      <c r="A36" s="5" t="inlineStr">
        <is>
          <t>Equity shareholders' funds</t>
        </is>
      </c>
      <c r="B36" s="5" t="n">
        <v>747901</v>
      </c>
      <c r="C36" s="5" t="n">
        <v>810485</v>
      </c>
      <c r="D36" s="5" t="n">
        <v>765983</v>
      </c>
      <c r="E36" s="5" t="n">
        <v>766224</v>
      </c>
      <c r="F36" s="5" t="n">
        <v>821983</v>
      </c>
    </row>
    <row r="37">
      <c r="A37" s="5" t="inlineStr">
        <is>
          <t>Total liabilities and equity</t>
        </is>
      </c>
      <c r="B37" s="5" t="n">
        <v>4474701</v>
      </c>
      <c r="C37" s="5" t="n">
        <v>5943082</v>
      </c>
      <c r="D37" s="5" t="n">
        <v>5761181</v>
      </c>
      <c r="E37" s="5" t="n">
        <v>7691434</v>
      </c>
      <c r="F37" s="5" t="n">
        <v>5166317</v>
      </c>
    </row>
    <row r="39" ht="260" customHeight="1">
      <c r="A3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The Company takes the FRS 101 reduced-disclosure exemption from presenting a cash-flow statement. Blank or non-disclosed entries are not estimates or zeros.</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Profit &amp; Loss</t>
        </is>
      </c>
    </row>
    <row r="2">
      <c r="A2" s="2" t="inlineStr">
        <is>
          <t>Standalone Company basis (FRS 101). £'000. FY2022's 'Gain on disposal of subsidiary' (£93,978k) is the disposal of the subsidiary undertaking held on the FY2021 Balance Sheet. FY2021/FY2022 disclose a 'Net reversal of impairment loss on financial instruments' line not shown FY2023-FY2025 (genuinely £nil/not disclosed those years, not omitted).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 and similar income</t>
        </is>
      </c>
      <c r="B5" s="6" t="n">
        <v>111211</v>
      </c>
      <c r="C5" s="6" t="n">
        <v>150183</v>
      </c>
      <c r="D5" s="6" t="n">
        <v>176532</v>
      </c>
      <c r="E5" s="6" t="n">
        <v>67078</v>
      </c>
      <c r="F5" s="6" t="n">
        <v>17558</v>
      </c>
    </row>
    <row r="6">
      <c r="A6" s="6" t="inlineStr">
        <is>
          <t>Interest payable and similar charges</t>
        </is>
      </c>
      <c r="B6" s="6" t="n">
        <v>-67596</v>
      </c>
      <c r="C6" s="6" t="n">
        <v>-93121</v>
      </c>
      <c r="D6" s="6" t="n">
        <v>-124244</v>
      </c>
      <c r="E6" s="6" t="n">
        <v>-46738</v>
      </c>
      <c r="F6" s="6" t="n">
        <v>-2930</v>
      </c>
    </row>
    <row r="7">
      <c r="A7" s="5" t="inlineStr">
        <is>
          <t>Net interest income</t>
        </is>
      </c>
      <c r="B7" s="5" t="n">
        <v>43615</v>
      </c>
      <c r="C7" s="5" t="n">
        <v>57062</v>
      </c>
      <c r="D7" s="5" t="n">
        <v>52288</v>
      </c>
      <c r="E7" s="5" t="n">
        <v>20340</v>
      </c>
      <c r="F7" s="5" t="n">
        <v>14628</v>
      </c>
    </row>
    <row r="8">
      <c r="A8" s="6" t="inlineStr">
        <is>
          <t>Fee and commission income</t>
        </is>
      </c>
      <c r="B8" s="6" t="n">
        <v>9777</v>
      </c>
      <c r="C8" s="6" t="n">
        <v>10790</v>
      </c>
      <c r="D8" s="6" t="n">
        <v>9348</v>
      </c>
      <c r="E8" s="6" t="n">
        <v>2326</v>
      </c>
      <c r="F8" s="6" t="n">
        <v>21255</v>
      </c>
    </row>
    <row r="9">
      <c r="A9" s="6" t="inlineStr">
        <is>
          <t>Fee and commission expense</t>
        </is>
      </c>
      <c r="B9" s="6" t="n">
        <v>-5676</v>
      </c>
      <c r="C9" s="6" t="n">
        <v>-6506</v>
      </c>
      <c r="D9" s="6" t="n">
        <v>-16211</v>
      </c>
      <c r="E9" s="6" t="n">
        <v>-14348</v>
      </c>
      <c r="F9" s="6" t="n">
        <v>-12916</v>
      </c>
    </row>
    <row r="10">
      <c r="A10" s="6" t="inlineStr">
        <is>
          <t>Net gain from financial instruments at fair value through profit or loss</t>
        </is>
      </c>
      <c r="B10" s="6" t="n">
        <v>23982</v>
      </c>
      <c r="C10" s="6" t="n">
        <v>30718</v>
      </c>
      <c r="D10" s="6" t="n">
        <v>21129</v>
      </c>
      <c r="E10" s="6" t="n">
        <v>36542</v>
      </c>
      <c r="F10" s="6" t="n">
        <v>42393</v>
      </c>
    </row>
    <row r="11">
      <c r="A11" s="6" t="inlineStr">
        <is>
          <t>Net reversal of impairment loss on financial instruments</t>
        </is>
      </c>
      <c r="B11" s="6" t="n"/>
      <c r="C11" s="6" t="n"/>
      <c r="D11" s="6" t="n"/>
      <c r="E11" s="6" t="n">
        <v>0</v>
      </c>
      <c r="F11" s="6" t="n">
        <v>416</v>
      </c>
    </row>
    <row r="12">
      <c r="A12" s="6" t="inlineStr">
        <is>
          <t>Gain on disposal of subsidiary</t>
        </is>
      </c>
      <c r="B12" s="6" t="n"/>
      <c r="C12" s="6" t="n"/>
      <c r="D12" s="6" t="n"/>
      <c r="E12" s="6" t="n">
        <v>93978</v>
      </c>
      <c r="F12" s="6" t="n"/>
    </row>
    <row r="13">
      <c r="A13" s="6" t="inlineStr">
        <is>
          <t>Administrative expenses</t>
        </is>
      </c>
      <c r="B13" s="6" t="n">
        <v>-21070</v>
      </c>
      <c r="C13" s="6" t="n">
        <v>-27722</v>
      </c>
      <c r="D13" s="6" t="n">
        <v>-34895</v>
      </c>
      <c r="E13" s="6" t="n">
        <v>-32647</v>
      </c>
      <c r="F13" s="6" t="n">
        <v>-48725</v>
      </c>
    </row>
    <row r="14">
      <c r="A14" s="6" t="inlineStr">
        <is>
          <t>Depreciation of tangible fixed assets</t>
        </is>
      </c>
      <c r="B14" s="6" t="n">
        <v>-239</v>
      </c>
      <c r="C14" s="6" t="n">
        <v>-229</v>
      </c>
      <c r="D14" s="6" t="n">
        <v>-267</v>
      </c>
      <c r="E14" s="6" t="n">
        <v>-270</v>
      </c>
      <c r="F14" s="6" t="n">
        <v>-215</v>
      </c>
    </row>
    <row r="15">
      <c r="A15" s="5" t="inlineStr">
        <is>
          <t>Profit before tax</t>
        </is>
      </c>
      <c r="B15" s="5" t="n">
        <v>50389</v>
      </c>
      <c r="C15" s="5" t="n">
        <v>64113</v>
      </c>
      <c r="D15" s="5" t="n">
        <v>31392</v>
      </c>
      <c r="E15" s="5" t="n">
        <v>105921</v>
      </c>
      <c r="F15" s="5" t="n">
        <v>16836</v>
      </c>
    </row>
    <row r="16">
      <c r="A16" s="6" t="inlineStr">
        <is>
          <t>Income tax expense</t>
        </is>
      </c>
      <c r="B16" s="6" t="n">
        <v>-12810</v>
      </c>
      <c r="C16" s="6" t="n">
        <v>-18332</v>
      </c>
      <c r="D16" s="6" t="n">
        <v>-31078</v>
      </c>
      <c r="E16" s="6" t="n">
        <v>-11768</v>
      </c>
      <c r="F16" s="6" t="n">
        <v>-6959</v>
      </c>
    </row>
    <row r="17">
      <c r="A17" s="5" t="inlineStr">
        <is>
          <t>Profit for the year</t>
        </is>
      </c>
      <c r="B17" s="5" t="n">
        <v>37579</v>
      </c>
      <c r="C17" s="5" t="n">
        <v>45781</v>
      </c>
      <c r="D17" s="5" t="n">
        <v>314</v>
      </c>
      <c r="E17" s="5" t="n">
        <v>94153</v>
      </c>
      <c r="F17" s="5" t="n">
        <v>9877</v>
      </c>
    </row>
    <row r="18">
      <c r="A18" s="5" t="inlineStr">
        <is>
          <t>Other comprehensive income/(loss), net of tax</t>
        </is>
      </c>
      <c r="B18" s="6" t="n"/>
      <c r="C18" s="6" t="n"/>
      <c r="D18" s="6" t="n"/>
      <c r="E18" s="6" t="n"/>
      <c r="F18" s="6" t="n"/>
    </row>
    <row r="19">
      <c r="A19" s="6" t="inlineStr">
        <is>
          <t>Remeasurement of net defined benefit liability</t>
        </is>
      </c>
      <c r="B19" s="6" t="n">
        <v>40</v>
      </c>
      <c r="C19" s="6" t="n">
        <v>21</v>
      </c>
      <c r="D19" s="6" t="n">
        <v>-22</v>
      </c>
      <c r="E19" s="6" t="n">
        <v>100</v>
      </c>
      <c r="F19" s="6" t="n">
        <v>78</v>
      </c>
    </row>
    <row r="20">
      <c r="A20" s="6" t="inlineStr">
        <is>
          <t>Foreign currency translation differences arising on foreign operations</t>
        </is>
      </c>
      <c r="B20" s="6" t="n">
        <v>-8951</v>
      </c>
      <c r="C20" s="6" t="n">
        <v>-19706</v>
      </c>
      <c r="D20" s="6" t="n">
        <v>-15179</v>
      </c>
      <c r="E20" s="6" t="n">
        <v>10400</v>
      </c>
      <c r="F20" s="6" t="n">
        <v>-14755</v>
      </c>
    </row>
    <row r="21">
      <c r="A21" s="6" t="inlineStr">
        <is>
          <t>Gain/(loss) arising on hedging instruments designated in net investment hedges</t>
        </is>
      </c>
      <c r="B21" s="6" t="n">
        <v>8748</v>
      </c>
      <c r="C21" s="6" t="n">
        <v>18406</v>
      </c>
      <c r="D21" s="6" t="n">
        <v>14646</v>
      </c>
      <c r="E21" s="6" t="n">
        <v>-10412</v>
      </c>
      <c r="F21" s="6" t="n">
        <v>14422</v>
      </c>
    </row>
    <row r="22">
      <c r="A22" s="5" t="inlineStr">
        <is>
          <t>Other comprehensive income/(loss) after income tax</t>
        </is>
      </c>
      <c r="B22" s="5" t="n">
        <v>-163</v>
      </c>
      <c r="C22" s="5" t="n">
        <v>-1279</v>
      </c>
      <c r="D22" s="5" t="n">
        <v>-555</v>
      </c>
      <c r="E22" s="5" t="n">
        <v>88</v>
      </c>
      <c r="F22" s="5" t="n">
        <v>-255</v>
      </c>
    </row>
    <row r="23">
      <c r="A23" s="5" t="inlineStr">
        <is>
          <t>Total comprehensive income for the year</t>
        </is>
      </c>
      <c r="B23" s="5" t="n">
        <v>37416</v>
      </c>
      <c r="C23" s="5" t="n">
        <v>44502</v>
      </c>
      <c r="D23" s="5" t="n">
        <v>-241</v>
      </c>
      <c r="E23" s="5" t="n">
        <v>94241</v>
      </c>
      <c r="F23" s="5" t="n">
        <v>9622</v>
      </c>
    </row>
    <row r="25" ht="260" customHeight="1">
      <c r="A25"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The Company takes the FRS 101 reduced-disclosure exemption from presenting a cash-flow statement. Blank or non-disclosed entries are not estimates or zeros.</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Statement of Changes in Equity</t>
        </is>
      </c>
    </row>
    <row r="2">
      <c r="A2" s="2" t="inlineStr">
        <is>
          <t>Chronological roll-forward, oldest to newest, standalone Company basis (FRS 101). £'000. Equity reconciliation ladder confirmed: every year's own closing balance ties exactly to both the next year's own opening balance and that year's own Balance Sheet Total equity - zero plug rows needed anywhere across all 5 years. FY2021 opening balance sourced from the FY2022 Annual Report's own 'at 1 January 2021' comparative column.</t>
        </is>
      </c>
    </row>
    <row r="3">
      <c r="A3" s="4" t="inlineStr">
        <is>
          <t>Movement</t>
        </is>
      </c>
      <c r="B3" s="4" t="inlineStr">
        <is>
          <t>Called up share capital</t>
        </is>
      </c>
      <c r="C3" s="4" t="inlineStr">
        <is>
          <t>Capital contribution reserve</t>
        </is>
      </c>
      <c r="D3" s="4" t="inlineStr">
        <is>
          <t>Foreign currency revaluation reserve</t>
        </is>
      </c>
      <c r="E3" s="4" t="inlineStr">
        <is>
          <t>Profit and loss account</t>
        </is>
      </c>
      <c r="F3" s="4" t="inlineStr">
        <is>
          <t>Total equity</t>
        </is>
      </c>
    </row>
    <row r="4">
      <c r="A4" s="5" t="inlineStr">
        <is>
          <t>At 1 January 2021 (FY2021 opening)</t>
        </is>
      </c>
      <c r="B4" s="5" t="n">
        <v>340000</v>
      </c>
      <c r="C4" s="5" t="n">
        <v>89654</v>
      </c>
      <c r="D4" s="5" t="n">
        <v>37546</v>
      </c>
      <c r="E4" s="5" t="n">
        <v>345161</v>
      </c>
      <c r="F4" s="5" t="n">
        <v>812361</v>
      </c>
    </row>
    <row r="5">
      <c r="A5" s="6" t="inlineStr">
        <is>
          <t>Profit for the year</t>
        </is>
      </c>
      <c r="B5" s="6" t="n"/>
      <c r="C5" s="6" t="n"/>
      <c r="D5" s="6" t="n"/>
      <c r="E5" s="6" t="n">
        <v>9877</v>
      </c>
      <c r="F5" s="6" t="n">
        <v>9877</v>
      </c>
    </row>
    <row r="6">
      <c r="A6" s="6" t="inlineStr">
        <is>
          <t>Remeasurement gain on net defined benefit liability</t>
        </is>
      </c>
      <c r="B6" s="6" t="n"/>
      <c r="C6" s="6" t="n"/>
      <c r="D6" s="6" t="n"/>
      <c r="E6" s="6" t="n">
        <v>78</v>
      </c>
      <c r="F6" s="6" t="n">
        <v>78</v>
      </c>
    </row>
    <row r="7">
      <c r="A7" s="6" t="inlineStr">
        <is>
          <t>Foreign currency translation differences arising during the year</t>
        </is>
      </c>
      <c r="B7" s="6" t="n"/>
      <c r="C7" s="6" t="n"/>
      <c r="D7" s="6" t="n">
        <v>-14755</v>
      </c>
      <c r="E7" s="6" t="n"/>
      <c r="F7" s="6" t="n">
        <v>-14755</v>
      </c>
    </row>
    <row r="8">
      <c r="A8" s="6" t="inlineStr">
        <is>
          <t>Gain arising on hedging instruments designated in net investment hedges</t>
        </is>
      </c>
      <c r="B8" s="6" t="n"/>
      <c r="C8" s="6" t="n"/>
      <c r="D8" s="6" t="n">
        <v>14422</v>
      </c>
      <c r="E8" s="6" t="n"/>
      <c r="F8" s="6" t="n">
        <v>14422</v>
      </c>
    </row>
    <row r="9">
      <c r="A9" s="5" t="inlineStr">
        <is>
          <t>At 31 December 2021 (FY2021 closing)</t>
        </is>
      </c>
      <c r="B9" s="5" t="n">
        <v>340000</v>
      </c>
      <c r="C9" s="5" t="n">
        <v>89654</v>
      </c>
      <c r="D9" s="5" t="n">
        <v>37213</v>
      </c>
      <c r="E9" s="5" t="n">
        <v>355116</v>
      </c>
      <c r="F9" s="5" t="n">
        <v>821983</v>
      </c>
    </row>
    <row r="10">
      <c r="A10" s="6" t="inlineStr">
        <is>
          <t>Profit for the year</t>
        </is>
      </c>
      <c r="B10" s="6" t="n"/>
      <c r="C10" s="6" t="n"/>
      <c r="D10" s="6" t="n"/>
      <c r="E10" s="6" t="n">
        <v>94153</v>
      </c>
      <c r="F10" s="6" t="n">
        <v>94153</v>
      </c>
    </row>
    <row r="11">
      <c r="A11" s="6" t="inlineStr">
        <is>
          <t>Remeasurement gain on net defined benefit liability</t>
        </is>
      </c>
      <c r="B11" s="6" t="n"/>
      <c r="C11" s="6" t="n"/>
      <c r="D11" s="6" t="n"/>
      <c r="E11" s="6" t="n">
        <v>100</v>
      </c>
      <c r="F11" s="6" t="n">
        <v>100</v>
      </c>
    </row>
    <row r="12">
      <c r="A12" s="6" t="inlineStr">
        <is>
          <t>Foreign currency translation differences arising during the year</t>
        </is>
      </c>
      <c r="B12" s="6" t="n"/>
      <c r="C12" s="6" t="n"/>
      <c r="D12" s="6" t="n">
        <v>10400</v>
      </c>
      <c r="E12" s="6" t="n"/>
      <c r="F12" s="6" t="n">
        <v>10400</v>
      </c>
    </row>
    <row r="13">
      <c r="A13" s="6" t="inlineStr">
        <is>
          <t>(Loss) arising on hedging instruments designated in net investment hedges</t>
        </is>
      </c>
      <c r="B13" s="6" t="n"/>
      <c r="C13" s="6" t="n"/>
      <c r="D13" s="6" t="n">
        <v>-10412</v>
      </c>
      <c r="E13" s="6" t="n"/>
      <c r="F13" s="6" t="n">
        <v>-10412</v>
      </c>
    </row>
    <row r="14">
      <c r="A14" s="6" t="inlineStr">
        <is>
          <t>Dividend</t>
        </is>
      </c>
      <c r="B14" s="6" t="n"/>
      <c r="C14" s="6" t="n"/>
      <c r="D14" s="6" t="n"/>
      <c r="E14" s="6" t="n">
        <v>-150000</v>
      </c>
      <c r="F14" s="6" t="n">
        <v>-150000</v>
      </c>
    </row>
    <row r="15">
      <c r="A15" s="5" t="inlineStr">
        <is>
          <t>At 31 December 2022 (FY2022 closing)</t>
        </is>
      </c>
      <c r="B15" s="5" t="n">
        <v>340000</v>
      </c>
      <c r="C15" s="5" t="n">
        <v>89654</v>
      </c>
      <c r="D15" s="5" t="n">
        <v>37201</v>
      </c>
      <c r="E15" s="5" t="n">
        <v>299369</v>
      </c>
      <c r="F15" s="5" t="n">
        <v>766224</v>
      </c>
    </row>
    <row r="16">
      <c r="A16" s="6" t="inlineStr">
        <is>
          <t>Profit for the year</t>
        </is>
      </c>
      <c r="B16" s="6" t="n"/>
      <c r="C16" s="6" t="n"/>
      <c r="D16" s="6" t="n"/>
      <c r="E16" s="6" t="n">
        <v>314</v>
      </c>
      <c r="F16" s="6" t="n">
        <v>314</v>
      </c>
    </row>
    <row r="17">
      <c r="A17" s="6" t="inlineStr">
        <is>
          <t>Remeasurement loss on net defined benefit liability</t>
        </is>
      </c>
      <c r="B17" s="6" t="n"/>
      <c r="C17" s="6" t="n"/>
      <c r="D17" s="6" t="n"/>
      <c r="E17" s="6" t="n">
        <v>-22</v>
      </c>
      <c r="F17" s="6" t="n">
        <v>-22</v>
      </c>
    </row>
    <row r="18">
      <c r="A18" s="6" t="inlineStr">
        <is>
          <t>Foreign currency translation differences arising during the year</t>
        </is>
      </c>
      <c r="B18" s="6" t="n"/>
      <c r="C18" s="6" t="n"/>
      <c r="D18" s="6" t="n">
        <v>-15179</v>
      </c>
      <c r="E18" s="6" t="n"/>
      <c r="F18" s="6" t="n">
        <v>-15179</v>
      </c>
    </row>
    <row r="19">
      <c r="A19" s="6" t="inlineStr">
        <is>
          <t>Gain arising on hedging instruments designated in net investment hedges</t>
        </is>
      </c>
      <c r="B19" s="6" t="n"/>
      <c r="C19" s="6" t="n"/>
      <c r="D19" s="6" t="n">
        <v>14646</v>
      </c>
      <c r="E19" s="6" t="n"/>
      <c r="F19" s="6" t="n">
        <v>14646</v>
      </c>
    </row>
    <row r="20">
      <c r="A20" s="5" t="inlineStr">
        <is>
          <t>At 31 December 2023 (FY2023 closing)</t>
        </is>
      </c>
      <c r="B20" s="5" t="n">
        <v>340000</v>
      </c>
      <c r="C20" s="5" t="n">
        <v>89654</v>
      </c>
      <c r="D20" s="5" t="n">
        <v>36668</v>
      </c>
      <c r="E20" s="5" t="n">
        <v>299661</v>
      </c>
      <c r="F20" s="5" t="n">
        <v>765983</v>
      </c>
    </row>
    <row r="21">
      <c r="A21" s="6" t="inlineStr">
        <is>
          <t>Profit for the year</t>
        </is>
      </c>
      <c r="B21" s="6" t="n"/>
      <c r="C21" s="6" t="n"/>
      <c r="D21" s="6" t="n"/>
      <c r="E21" s="6" t="n">
        <v>45781</v>
      </c>
      <c r="F21" s="6" t="n">
        <v>45781</v>
      </c>
    </row>
    <row r="22">
      <c r="A22" s="6" t="inlineStr">
        <is>
          <t>Remeasurement gain on net defined benefit liability</t>
        </is>
      </c>
      <c r="B22" s="6" t="n"/>
      <c r="C22" s="6" t="n"/>
      <c r="D22" s="6" t="n"/>
      <c r="E22" s="6" t="n">
        <v>21</v>
      </c>
      <c r="F22" s="6" t="n">
        <v>21</v>
      </c>
    </row>
    <row r="23">
      <c r="A23" s="6" t="inlineStr">
        <is>
          <t>Foreign currency translation differences arising during the year</t>
        </is>
      </c>
      <c r="B23" s="6" t="n"/>
      <c r="C23" s="6" t="n"/>
      <c r="D23" s="6" t="n">
        <v>-19706</v>
      </c>
      <c r="E23" s="6" t="n"/>
      <c r="F23" s="6" t="n">
        <v>-19706</v>
      </c>
    </row>
    <row r="24">
      <c r="A24" s="6" t="inlineStr">
        <is>
          <t>Gain arising on hedging instruments designated in net investment hedges</t>
        </is>
      </c>
      <c r="B24" s="6" t="n"/>
      <c r="C24" s="6" t="n"/>
      <c r="D24" s="6" t="n">
        <v>18406</v>
      </c>
      <c r="E24" s="6" t="n"/>
      <c r="F24" s="6" t="n">
        <v>18406</v>
      </c>
    </row>
    <row r="25">
      <c r="A25" s="5" t="inlineStr">
        <is>
          <t>At 31 December 2024 (FY2024 closing)</t>
        </is>
      </c>
      <c r="B25" s="5" t="n">
        <v>340000</v>
      </c>
      <c r="C25" s="5" t="n">
        <v>89654</v>
      </c>
      <c r="D25" s="5" t="n">
        <v>35368</v>
      </c>
      <c r="E25" s="5" t="n">
        <v>345463</v>
      </c>
      <c r="F25" s="5" t="n">
        <v>810485</v>
      </c>
    </row>
    <row r="26">
      <c r="A26" s="6" t="inlineStr">
        <is>
          <t>Profit for the year</t>
        </is>
      </c>
      <c r="B26" s="6" t="n"/>
      <c r="C26" s="6" t="n"/>
      <c r="D26" s="6" t="n"/>
      <c r="E26" s="6" t="n">
        <v>37579</v>
      </c>
      <c r="F26" s="6" t="n">
        <v>37579</v>
      </c>
    </row>
    <row r="27">
      <c r="A27" s="6" t="inlineStr">
        <is>
          <t>Remeasurement gain on net defined benefit liability</t>
        </is>
      </c>
      <c r="B27" s="6" t="n"/>
      <c r="C27" s="6" t="n"/>
      <c r="D27" s="6" t="n"/>
      <c r="E27" s="6" t="n">
        <v>40</v>
      </c>
      <c r="F27" s="6" t="n">
        <v>40</v>
      </c>
    </row>
    <row r="28">
      <c r="A28" s="6" t="inlineStr">
        <is>
          <t>Foreign currency translation differences arising during the year</t>
        </is>
      </c>
      <c r="B28" s="6" t="n"/>
      <c r="C28" s="6" t="n"/>
      <c r="D28" s="6" t="n">
        <v>-8951</v>
      </c>
      <c r="E28" s="6" t="n"/>
      <c r="F28" s="6" t="n">
        <v>-8951</v>
      </c>
    </row>
    <row r="29">
      <c r="A29" s="6" t="inlineStr">
        <is>
          <t>Gain arising on hedging instruments designated in net investment hedges</t>
        </is>
      </c>
      <c r="B29" s="6" t="n"/>
      <c r="C29" s="6" t="n"/>
      <c r="D29" s="6" t="n">
        <v>8748</v>
      </c>
      <c r="E29" s="6" t="n"/>
      <c r="F29" s="6" t="n">
        <v>8748</v>
      </c>
    </row>
    <row r="30">
      <c r="A30" s="6" t="inlineStr">
        <is>
          <t>Dividends</t>
        </is>
      </c>
      <c r="B30" s="6" t="n"/>
      <c r="C30" s="6" t="n"/>
      <c r="D30" s="6" t="n"/>
      <c r="E30" s="6" t="n">
        <v>-100000</v>
      </c>
      <c r="F30" s="6" t="n">
        <v>-100000</v>
      </c>
    </row>
    <row r="31">
      <c r="A31" s="5" t="inlineStr">
        <is>
          <t>At 31 December 2025 (FY2025 closing)</t>
        </is>
      </c>
      <c r="B31" s="5" t="n">
        <v>340000</v>
      </c>
      <c r="C31" s="5" t="n">
        <v>89654</v>
      </c>
      <c r="D31" s="5" t="n">
        <v>35165</v>
      </c>
      <c r="E31" s="5" t="n">
        <v>283082</v>
      </c>
      <c r="F31" s="5" t="n">
        <v>747901</v>
      </c>
    </row>
    <row r="33" ht="150" customHeight="1">
      <c r="A33"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The Company takes the FRS 101 reduced-disclosure exemption from presenting a cash-flow statement. Blank or non-disclosed entries are not estimates or zeros.</t>
        </is>
      </c>
    </row>
  </sheetData>
  <mergeCells count="1">
    <mergeCell ref="A33:F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Statement of Cash Flows</t>
        </is>
      </c>
    </row>
    <row r="2">
      <c r="A2" s="2" t="inlineStr">
        <is>
          <t>Standalone Company basis; cash-flow statement not presented under the FRS 101 reduced-disclosure exemption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Cash-flow statement not separately disclosed under FRS 101</t>
        </is>
      </c>
      <c r="B4" s="6" t="n"/>
      <c r="C4" s="6" t="n"/>
      <c r="D4" s="6" t="n"/>
      <c r="E4" s="6" t="n"/>
      <c r="F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Asset Quality</t>
        </is>
      </c>
    </row>
    <row r="2">
      <c r="A2" s="2" t="inlineStr">
        <is>
          <t>Exposure to credit risk by class, external counterparties only. £'000. Morgan Stanley Group undertaking exposures (Secured financing, and large portions of Loans and advances to banks/customers) are separately disclosed each year but are fully covered by intercompany collateral or the Morgan Stanley parent guarantee, leaving £nil net exposure — excluded here as not third-party credit risk. All exposures subject to ECL are internally rated Stage 1 in every year reviewed (£nil Stage 3/default, per the Company's own Note 28.2.4 disclosure) — a wholesale/broker-dealer credit profile, not a retail loan book.</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Exposure to credit risk by class, subject to ECL (external counterparties only)</t>
        </is>
      </c>
      <c r="B4" s="6" t="n"/>
      <c r="C4" s="6" t="n"/>
      <c r="D4" s="6" t="n"/>
      <c r="E4" s="6" t="n"/>
      <c r="F4" s="6" t="n"/>
    </row>
    <row r="5">
      <c r="A5" s="6" t="inlineStr">
        <is>
          <t>Cash and balances at central banks</t>
        </is>
      </c>
      <c r="B5" s="6" t="n">
        <v>24687</v>
      </c>
      <c r="C5" s="6" t="n">
        <v>17404</v>
      </c>
      <c r="D5" s="6" t="n">
        <v>6870</v>
      </c>
      <c r="E5" s="6" t="n">
        <v>47133</v>
      </c>
      <c r="F5" s="6" t="n">
        <v>20144</v>
      </c>
    </row>
    <row r="6">
      <c r="A6" s="6" t="inlineStr">
        <is>
          <t>Loans and advances to banks — external counterparties</t>
        </is>
      </c>
      <c r="B6" s="6" t="n">
        <v>133463</v>
      </c>
      <c r="C6" s="6" t="n">
        <v>205239</v>
      </c>
      <c r="D6" s="6" t="n">
        <v>181342</v>
      </c>
      <c r="E6" s="6" t="n">
        <v>169755</v>
      </c>
      <c r="F6" s="6" t="n">
        <v>124091</v>
      </c>
    </row>
    <row r="7">
      <c r="A7" s="6" t="inlineStr">
        <is>
          <t>Loans and advances to customers — external counterparties</t>
        </is>
      </c>
      <c r="B7" s="6" t="n">
        <v>156</v>
      </c>
      <c r="C7" s="6" t="n">
        <v>40747</v>
      </c>
      <c r="D7" s="6" t="n">
        <v>226</v>
      </c>
      <c r="E7" s="6" t="n">
        <v>285</v>
      </c>
      <c r="F7" s="6" t="n">
        <v>0</v>
      </c>
    </row>
    <row r="8">
      <c r="A8" s="6" t="inlineStr">
        <is>
          <t>Other receivables</t>
        </is>
      </c>
      <c r="B8" s="6" t="n">
        <v>16304</v>
      </c>
      <c r="C8" s="6" t="n">
        <v>20082</v>
      </c>
      <c r="D8" s="6" t="n">
        <v>34100</v>
      </c>
      <c r="E8" s="6" t="n">
        <v>30374</v>
      </c>
      <c r="F8" s="6" t="n">
        <v>22811</v>
      </c>
    </row>
    <row r="9">
      <c r="A9" s="5" t="inlineStr">
        <is>
          <t>Total gross credit exposure subject to ECL (external)</t>
        </is>
      </c>
      <c r="B9" s="5" t="n">
        <v>174610</v>
      </c>
      <c r="C9" s="5" t="n">
        <v>283472</v>
      </c>
      <c r="D9" s="5" t="n">
        <v>222538</v>
      </c>
      <c r="E9" s="5" t="n">
        <v>247547</v>
      </c>
      <c r="F9" s="5" t="n">
        <v>167046</v>
      </c>
    </row>
    <row r="10">
      <c r="A10" s="6" t="inlineStr">
        <is>
          <t>Of which: Stage 1</t>
        </is>
      </c>
      <c r="B10" s="6" t="inlineStr">
        <is>
          <t>100%</t>
        </is>
      </c>
      <c r="C10" s="6" t="inlineStr">
        <is>
          <t>100%</t>
        </is>
      </c>
      <c r="D10" s="6" t="inlineStr">
        <is>
          <t>100%</t>
        </is>
      </c>
      <c r="E10" s="6" t="inlineStr">
        <is>
          <t>100%</t>
        </is>
      </c>
      <c r="F10" s="6" t="inlineStr">
        <is>
          <t>100%</t>
        </is>
      </c>
    </row>
    <row r="11">
      <c r="A11" s="6" t="inlineStr">
        <is>
          <t>Of which: Stage 3 / default (NPL ratio)</t>
        </is>
      </c>
      <c r="B11" s="6" t="inlineStr">
        <is>
          <t>0.0%</t>
        </is>
      </c>
      <c r="C11" s="6" t="inlineStr">
        <is>
          <t>0.0%</t>
        </is>
      </c>
      <c r="D11" s="6" t="inlineStr">
        <is>
          <t>0.0%</t>
        </is>
      </c>
      <c r="E11" s="6" t="inlineStr">
        <is>
          <t>0.0%</t>
        </is>
      </c>
      <c r="F11" s="6" t="inlineStr">
        <is>
          <t>0.0%</t>
        </is>
      </c>
    </row>
    <row r="13" ht="280" customHeight="1">
      <c r="A13"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The Company takes the FRS 101 reduced-disclosure exemption from presenting a cash-flow statement. Blank or non-disclosed entries are not estimates or zeros.
FY2025: Note 28.2.3 'Exposure to credit risk by class' p.76, Note 28.2.4 'Exposure to Credit Risk by Internal Rating Grades' p.77. FY2024/FY2023: Note 27.2.3, p.75. FY2022/FY2021: Note 28.2.4 'Exposure to Credit Risk' p.72.</t>
        </is>
      </c>
    </row>
  </sheetData>
  <mergeCells count="1">
    <mergeCell ref="A13:F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676229</v>
      </c>
      <c r="C4" s="6" t="n">
        <v>709078</v>
      </c>
      <c r="D4" s="6" t="n">
        <v>685522</v>
      </c>
      <c r="E4" s="6" t="n">
        <v>702944</v>
      </c>
      <c r="F4" s="6" t="n">
        <v>717693</v>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42.6%</t>
        </is>
      </c>
      <c r="C4" s="6" t="inlineStr">
        <is>
          <t>46.7%</t>
        </is>
      </c>
      <c r="D4" s="6" t="inlineStr">
        <is>
          <t>31.7%</t>
        </is>
      </c>
      <c r="E4" s="6" t="inlineStr">
        <is>
          <t>34.0%</t>
        </is>
      </c>
      <c r="F4" s="6" t="inlineStr">
        <is>
          <t>34.4%</t>
        </is>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676229</v>
      </c>
      <c r="C4" s="6" t="n">
        <v>709078</v>
      </c>
      <c r="D4" s="6" t="n">
        <v>685522</v>
      </c>
      <c r="E4" s="6" t="n">
        <v>702944</v>
      </c>
      <c r="F4" s="6" t="n">
        <v>717693</v>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42.6%</t>
        </is>
      </c>
      <c r="C4" s="6" t="inlineStr">
        <is>
          <t>46.7%</t>
        </is>
      </c>
      <c r="D4" s="6" t="inlineStr">
        <is>
          <t>31.7%</t>
        </is>
      </c>
      <c r="E4" s="6" t="inlineStr">
        <is>
          <t>34.0%</t>
        </is>
      </c>
      <c r="F4" s="6" t="inlineStr">
        <is>
          <t>34.4%</t>
        </is>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934449</v>
      </c>
      <c r="C4" s="6" t="n">
        <v>908739</v>
      </c>
      <c r="D4" s="6" t="n">
        <v>935655</v>
      </c>
      <c r="E4" s="6" t="n">
        <v>1003410</v>
      </c>
      <c r="F4" s="6" t="n">
        <v>916488</v>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58.9%</t>
        </is>
      </c>
      <c r="C4" s="6" t="inlineStr">
        <is>
          <t>59.8%</t>
        </is>
      </c>
      <c r="D4" s="6" t="inlineStr">
        <is>
          <t>43.3%</t>
        </is>
      </c>
      <c r="E4" s="6" t="inlineStr">
        <is>
          <t>48.5%</t>
        </is>
      </c>
      <c r="F4" s="6" t="inlineStr">
        <is>
          <t>44.0%</t>
        </is>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1586014</v>
      </c>
      <c r="C4" s="6" t="n">
        <v>1519269</v>
      </c>
      <c r="D4" s="6" t="n">
        <v>2161713</v>
      </c>
      <c r="E4" s="6" t="n">
        <v>2068356</v>
      </c>
      <c r="F4" s="6" t="n">
        <v>2081783</v>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RWA Breakdown</t>
        </is>
      </c>
    </row>
    <row r="2">
      <c r="A2" s="2" t="inlineStr">
        <is>
          <t>Company's own 'RWAs' table (Strategic Report), by risk category. £'000. Ties exactly to the Total RWAs sheet in every year.</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RWAs</t>
        </is>
      </c>
      <c r="B4" s="6" t="n">
        <v>438035</v>
      </c>
      <c r="C4" s="6" t="n">
        <v>427744</v>
      </c>
      <c r="D4" s="6" t="n">
        <v>513578</v>
      </c>
      <c r="E4" s="6" t="n">
        <v>619276</v>
      </c>
      <c r="F4" s="6" t="n">
        <v>736089</v>
      </c>
    </row>
    <row r="5">
      <c r="A5" s="6" t="inlineStr">
        <is>
          <t>Market RWAs</t>
        </is>
      </c>
      <c r="B5" s="6" t="n">
        <v>1004032</v>
      </c>
      <c r="C5" s="6" t="n">
        <v>964352</v>
      </c>
      <c r="D5" s="6" t="n">
        <v>1537651</v>
      </c>
      <c r="E5" s="6" t="n">
        <v>1254480</v>
      </c>
      <c r="F5" s="6" t="n">
        <v>1098855</v>
      </c>
    </row>
    <row r="6">
      <c r="A6" s="6" t="inlineStr">
        <is>
          <t>Operational risk RWAs</t>
        </is>
      </c>
      <c r="B6" s="6" t="n">
        <v>143947</v>
      </c>
      <c r="C6" s="6" t="n">
        <v>127173</v>
      </c>
      <c r="D6" s="6" t="n">
        <v>110484</v>
      </c>
      <c r="E6" s="6" t="n">
        <v>194600</v>
      </c>
      <c r="F6" s="6" t="n">
        <v>246839</v>
      </c>
    </row>
    <row r="7">
      <c r="A7" s="5" t="inlineStr">
        <is>
          <t>Total RWAs</t>
        </is>
      </c>
      <c r="B7" s="5" t="n">
        <v>1586014</v>
      </c>
      <c r="C7" s="5" t="n">
        <v>1519269</v>
      </c>
      <c r="D7" s="5" t="n">
        <v>2161713</v>
      </c>
      <c r="E7" s="5" t="n">
        <v>2068356</v>
      </c>
      <c r="F7" s="5" t="n">
        <v>2081783</v>
      </c>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t>
        </is>
      </c>
      <c r="B4" s="6" t="n">
        <v>2233488</v>
      </c>
      <c r="C4" s="6" t="n">
        <v>2436257</v>
      </c>
      <c r="D4" s="6" t="n">
        <v>2874295</v>
      </c>
      <c r="E4" s="6" t="n">
        <v>3795132</v>
      </c>
      <c r="F4" s="6" t="n">
        <v>2384965</v>
      </c>
    </row>
    <row r="5">
      <c r="A5" s="6" t="inlineStr">
        <is>
          <t>Leverage ratio</t>
        </is>
      </c>
      <c r="B5" s="6" t="inlineStr">
        <is>
          <t>30.3%</t>
        </is>
      </c>
      <c r="C5" s="6" t="inlineStr">
        <is>
          <t>29.1%</t>
        </is>
      </c>
      <c r="D5" s="6" t="inlineStr">
        <is>
          <t>23.9%</t>
        </is>
      </c>
      <c r="E5" s="6" t="inlineStr">
        <is>
          <t>18.5%</t>
        </is>
      </c>
      <c r="F5" s="6" t="inlineStr">
        <is>
          <t>30.1%</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buffer — HQLA</t>
        </is>
      </c>
      <c r="B4" s="6" t="n">
        <v>1110032</v>
      </c>
      <c r="C4" s="6" t="n">
        <v>1825386</v>
      </c>
      <c r="D4" s="6" t="n">
        <v>1190200</v>
      </c>
      <c r="E4" s="6" t="n">
        <v>1230539</v>
      </c>
      <c r="F4" s="6" t="n">
        <v>1240953</v>
      </c>
    </row>
    <row r="5">
      <c r="A5" s="6" t="inlineStr">
        <is>
          <t>Liquidity coverage ratio</t>
        </is>
      </c>
      <c r="B5" s="6" t="inlineStr">
        <is>
          <t>412%</t>
        </is>
      </c>
      <c r="C5" s="6" t="inlineStr">
        <is>
          <t>417%</t>
        </is>
      </c>
      <c r="D5" s="6" t="inlineStr">
        <is>
          <t>250%</t>
        </is>
      </c>
      <c r="E5" s="6" t="inlineStr">
        <is>
          <t>191%</t>
        </is>
      </c>
      <c r="F5" s="6" t="inlineStr">
        <is>
          <t>226%</t>
        </is>
      </c>
    </row>
    <row r="6" ht="60" customHeight="1">
      <c r="A6" s="7" t="inlineStr">
        <is>
          <t>Note: The reports state that the HQLA amounts are reported to the regulator in USD and converted to GBP using an average annual exchange rate; the ratios are calculated using the preceding twelve months.</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Available stable funding</t>
        </is>
      </c>
      <c r="B4" s="6" t="n">
        <v>1485790</v>
      </c>
      <c r="C4" s="6" t="n">
        <v>1597110</v>
      </c>
      <c r="D4" s="6" t="n">
        <v>2191000</v>
      </c>
      <c r="E4" s="6" t="n">
        <v>2344000</v>
      </c>
      <c r="F4" s="6" t="inlineStr">
        <is>
          <t>Not disclosed</t>
        </is>
      </c>
    </row>
    <row r="5">
      <c r="A5" s="6" t="inlineStr">
        <is>
          <t>Required stable funding</t>
        </is>
      </c>
      <c r="B5" s="6" t="n">
        <v>574724</v>
      </c>
      <c r="C5" s="6" t="n">
        <v>716541</v>
      </c>
      <c r="D5" s="6" t="n">
        <v>1346000</v>
      </c>
      <c r="E5" s="6" t="n">
        <v>1417000</v>
      </c>
      <c r="F5" s="6" t="inlineStr">
        <is>
          <t>Not disclosed</t>
        </is>
      </c>
    </row>
    <row r="6">
      <c r="A6" s="6" t="inlineStr">
        <is>
          <t>Net Stable Funding Ratio</t>
        </is>
      </c>
      <c r="B6" s="6" t="inlineStr">
        <is>
          <t>263%</t>
        </is>
      </c>
      <c r="C6" s="6" t="inlineStr">
        <is>
          <t>223%</t>
        </is>
      </c>
      <c r="D6" s="6" t="inlineStr">
        <is>
          <t>163%</t>
        </is>
      </c>
      <c r="E6" s="6" t="inlineStr">
        <is>
          <t>165%</t>
        </is>
      </c>
      <c r="F6" s="6" t="inlineStr">
        <is>
          <t>Not disclosed</t>
        </is>
      </c>
    </row>
    <row r="7" ht="60" customHeight="1">
      <c r="A7" s="7" t="inlineStr">
        <is>
          <t>Note: The Company states that NSFR became a PRA requirement from 1 January 2022; no FY2021 NSFR was disclosed.</t>
        </is>
      </c>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5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
No standalone MREL ratio was numerically disclosed in the five annual reports reviewed; group-level resolution disclosures were not substituted.</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2026-09-03T19:10:58Z</dcterms:created>
  <dcterms:modified xmlns:dcterms="http://purl.org/dc/terms/" xmlns:xsi="http://www.w3.org/2001/XMLSchema-instance" xsi:type="dcterms:W3CDTF">2026-09-03T19:10:58Z</dcterms:modified>
</cp:coreProperties>
</file>