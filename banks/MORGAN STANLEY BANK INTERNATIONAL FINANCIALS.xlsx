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N6" s="5" t="n"/>
      <c r="O6" s="5" t="n"/>
      <c r="P6" s="5" t="n"/>
      <c r="Q6" s="5" t="n"/>
      <c r="R6" s="5" t="n"/>
      <c r="U6" t="inlineStr">
        <is>
          <t>Total assets</t>
        </is>
      </c>
      <c r="AA6" t="n">
        <v>4974936</v>
      </c>
      <c r="AB6" t="n">
        <v>4691096</v>
      </c>
      <c r="AC6" t="n">
        <v>5742066</v>
      </c>
      <c r="AD6" t="n">
        <v>5321350</v>
      </c>
      <c r="AE6" t="n">
        <v>5178705</v>
      </c>
      <c r="AF6" t="n">
        <v>5497256</v>
      </c>
      <c r="AG6" t="n">
        <v>6191205</v>
      </c>
      <c r="AH6" t="n">
        <v>5166317</v>
      </c>
      <c r="AI6" t="n">
        <v>7691434</v>
      </c>
      <c r="AJ6" t="n">
        <v>5761181</v>
      </c>
      <c r="AK6" t="n">
        <v>5943082</v>
      </c>
      <c r="AL6" t="n">
        <v>4474701</v>
      </c>
      <c r="CC6" t="inlineStr">
        <is>
          <t>CET1 Ratio</t>
        </is>
      </c>
      <c r="CJ6" t="n">
        <v>17.1</v>
      </c>
      <c r="CK6" t="n">
        <v>18.4</v>
      </c>
      <c r="CL6" t="n">
        <v>19</v>
      </c>
      <c r="CM6" t="n">
        <v>17.3</v>
      </c>
      <c r="CN6" t="n">
        <v>20.9</v>
      </c>
      <c r="CO6" t="n">
        <v>23.3</v>
      </c>
      <c r="CP6" t="n">
        <v>34.4</v>
      </c>
      <c r="CQ6" t="n">
        <v>34</v>
      </c>
      <c r="CR6" t="n">
        <v>31.7</v>
      </c>
      <c r="CS6" t="n">
        <v>46.7</v>
      </c>
      <c r="CT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N7" s="5" t="n"/>
      <c r="O7" s="5" t="n"/>
      <c r="P7" s="5" t="n"/>
      <c r="Q7" s="5" t="n"/>
      <c r="R7" s="5" t="n"/>
      <c r="U7" t="inlineStr">
        <is>
          <t>Loans and advances to customers</t>
        </is>
      </c>
      <c r="AA7" t="n">
        <v>617659</v>
      </c>
      <c r="AB7" t="n">
        <v>155311</v>
      </c>
      <c r="AC7" t="n">
        <v>385052</v>
      </c>
      <c r="AD7" t="n">
        <v>354177</v>
      </c>
      <c r="AE7" t="n">
        <v>363113</v>
      </c>
      <c r="AF7" t="n">
        <v>180250</v>
      </c>
      <c r="AG7" t="n">
        <v>24573</v>
      </c>
      <c r="AH7" t="n">
        <v>380124</v>
      </c>
      <c r="AI7" t="n">
        <v>1227715</v>
      </c>
      <c r="AJ7" t="n">
        <v>760186</v>
      </c>
      <c r="AK7" t="n">
        <v>775727</v>
      </c>
      <c r="AL7" t="n">
        <v>422190</v>
      </c>
      <c r="CC7" t="inlineStr">
        <is>
          <t>Total Capital Ratio</t>
        </is>
      </c>
      <c r="CN7" t="n">
        <v>29.7</v>
      </c>
      <c r="CO7" t="n">
        <v>33.5</v>
      </c>
      <c r="CP7" t="n">
        <v>44</v>
      </c>
      <c r="CQ7" t="n">
        <v>48.5</v>
      </c>
      <c r="CR7" t="n">
        <v>43.3</v>
      </c>
      <c r="CS7" t="n">
        <v>59.8</v>
      </c>
      <c r="CT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N8" s="5" t="n"/>
      <c r="O8" s="5" t="n"/>
      <c r="P8" s="5" t="n"/>
      <c r="Q8" s="5" t="n"/>
      <c r="R8" s="5" t="n"/>
      <c r="U8" t="inlineStr">
        <is>
          <t>Customer accounts</t>
        </is>
      </c>
      <c r="AA8" t="n">
        <v>1092621</v>
      </c>
      <c r="AB8" t="n">
        <v>719706</v>
      </c>
      <c r="AC8" t="n">
        <v>747831</v>
      </c>
      <c r="AD8" t="n">
        <v>875555</v>
      </c>
      <c r="AE8" t="n">
        <v>1072143</v>
      </c>
      <c r="AF8" t="n">
        <v>1331496</v>
      </c>
      <c r="AG8" t="n">
        <v>1647638</v>
      </c>
      <c r="AH8" t="n">
        <v>1502764</v>
      </c>
      <c r="AI8" t="n">
        <v>1814583</v>
      </c>
      <c r="AJ8" t="n">
        <v>1246212</v>
      </c>
      <c r="AK8" t="n">
        <v>783693</v>
      </c>
      <c r="AL8" t="n">
        <v>632759</v>
      </c>
      <c r="CC8" t="inlineStr">
        <is>
          <t>Leverage Ratio</t>
        </is>
      </c>
      <c r="CJ8" t="n">
        <v>14.7</v>
      </c>
      <c r="CK8" t="n">
        <v>13.7</v>
      </c>
      <c r="CL8" t="n">
        <v>16</v>
      </c>
      <c r="CM8" t="n">
        <v>18</v>
      </c>
      <c r="CN8" t="n">
        <v>16.3</v>
      </c>
      <c r="CO8" t="n">
        <v>19.8</v>
      </c>
      <c r="CP8" t="n">
        <v>30.1</v>
      </c>
      <c r="CQ8" t="n">
        <v>18.5</v>
      </c>
      <c r="CR8" t="n">
        <v>23.9</v>
      </c>
      <c r="CS8" t="n">
        <v>29.1</v>
      </c>
      <c r="CT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N9" s="5" t="n"/>
      <c r="O9" s="5" t="n"/>
      <c r="P9" s="5" t="n"/>
      <c r="Q9" s="5" t="n"/>
      <c r="R9" s="5" t="n"/>
      <c r="U9" t="inlineStr">
        <is>
          <t>Total equity</t>
        </is>
      </c>
      <c r="AA9" t="n">
        <v>535307</v>
      </c>
      <c r="AB9" t="n">
        <v>547779</v>
      </c>
      <c r="AC9" t="n">
        <v>599209</v>
      </c>
      <c r="AD9" t="n">
        <v>654676</v>
      </c>
      <c r="AE9" t="n">
        <v>674193</v>
      </c>
      <c r="AF9" t="n">
        <v>712969</v>
      </c>
      <c r="AG9" t="n">
        <v>812361</v>
      </c>
      <c r="AH9" t="n">
        <v>821983</v>
      </c>
      <c r="AI9" t="n">
        <v>766224</v>
      </c>
      <c r="AJ9" t="n">
        <v>765983</v>
      </c>
      <c r="AK9" t="n">
        <v>810485</v>
      </c>
      <c r="AL9" t="n">
        <v>747901</v>
      </c>
      <c r="CC9" t="inlineStr">
        <is>
          <t>LCR</t>
        </is>
      </c>
      <c r="CN9" t="n">
        <v>210</v>
      </c>
      <c r="CO9" t="n">
        <v>219</v>
      </c>
      <c r="CP9" t="n">
        <v>226</v>
      </c>
      <c r="CQ9" t="n">
        <v>191</v>
      </c>
      <c r="CR9" t="n">
        <v>250</v>
      </c>
      <c r="CS9" t="n">
        <v>417</v>
      </c>
      <c r="CT9" t="n">
        <v>412</v>
      </c>
    </row>
    <row r="10">
      <c r="CC10" t="inlineStr">
        <is>
          <t>NSFR</t>
        </is>
      </c>
      <c r="CQ10" t="n">
        <v>165</v>
      </c>
      <c r="CR10" t="n">
        <v>163</v>
      </c>
      <c r="CS10" t="n">
        <v>223</v>
      </c>
      <c r="CT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N13" s="5" t="n"/>
      <c r="O13" s="5" t="n"/>
      <c r="P13" s="5" t="n"/>
      <c r="Q13" s="5" t="n"/>
      <c r="R13" s="5" t="n"/>
      <c r="AO13" t="inlineStr">
        <is>
          <t>Net interest income</t>
        </is>
      </c>
      <c r="AU13" t="n">
        <v>14084</v>
      </c>
      <c r="AV13" t="n">
        <v>19156</v>
      </c>
      <c r="AW13" t="n">
        <v>5549</v>
      </c>
      <c r="AX13" t="n">
        <v>13484</v>
      </c>
      <c r="AY13" t="n">
        <v>1096</v>
      </c>
      <c r="AZ13" t="n">
        <v>11958</v>
      </c>
      <c r="BA13" t="n">
        <v>33154</v>
      </c>
      <c r="BB13" t="n">
        <v>14628</v>
      </c>
      <c r="BC13" t="n">
        <v>20340</v>
      </c>
      <c r="BD13" t="n">
        <v>52288</v>
      </c>
      <c r="BE13" t="n">
        <v>57062</v>
      </c>
      <c r="BF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N14" s="5" t="n"/>
      <c r="O14" s="5" t="n"/>
      <c r="P14" s="5" t="n"/>
      <c r="Q14" s="5" t="n"/>
      <c r="R14" s="5" t="n"/>
      <c r="AO14" t="inlineStr">
        <is>
          <t>Administrative expenses</t>
        </is>
      </c>
      <c r="AU14" t="n">
        <v>-57487</v>
      </c>
      <c r="AV14" t="n">
        <v>-44792</v>
      </c>
      <c r="AW14" t="n">
        <v>-41791</v>
      </c>
      <c r="AX14" t="n">
        <v>-75348</v>
      </c>
      <c r="AY14" t="n">
        <v>-82152</v>
      </c>
      <c r="AZ14" t="n">
        <v>-81870</v>
      </c>
      <c r="BA14" t="n">
        <v>-76126</v>
      </c>
      <c r="BB14" t="n">
        <v>-48725</v>
      </c>
      <c r="BC14" t="n">
        <v>-32647</v>
      </c>
      <c r="BD14" t="n">
        <v>-34895</v>
      </c>
      <c r="BE14" t="n">
        <v>-27722</v>
      </c>
      <c r="BF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N15" s="5" t="n"/>
      <c r="O15" s="5" t="n"/>
      <c r="P15" s="5" t="n"/>
      <c r="Q15" s="5" t="n"/>
      <c r="R15" s="5" t="n"/>
      <c r="AO15" t="inlineStr">
        <is>
          <t>Profit for the year</t>
        </is>
      </c>
      <c r="AU15" t="n">
        <v>30766</v>
      </c>
      <c r="AV15" t="n">
        <v>18134</v>
      </c>
      <c r="AW15" t="n">
        <v>27988</v>
      </c>
      <c r="AX15" t="n">
        <v>49705</v>
      </c>
      <c r="AY15" t="n">
        <v>27693</v>
      </c>
      <c r="AZ15" t="n">
        <v>38122</v>
      </c>
      <c r="BA15" t="n">
        <v>94430</v>
      </c>
      <c r="BB15" t="n">
        <v>9877</v>
      </c>
      <c r="BC15" t="n">
        <v>94153</v>
      </c>
      <c r="BD15" t="n">
        <v>314</v>
      </c>
      <c r="BE15" t="n">
        <v>45781</v>
      </c>
      <c r="BF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N19" s="5" t="n"/>
      <c r="O19" s="5" t="n"/>
      <c r="P19" s="5" t="n"/>
      <c r="Q19" s="5" t="n"/>
      <c r="R19" s="5" t="n"/>
      <c r="BI19" t="inlineStr">
        <is>
          <t>Opening equity</t>
        </is>
      </c>
      <c r="BO19" t="n">
        <v>500804</v>
      </c>
      <c r="BP19" t="n">
        <v>531729</v>
      </c>
      <c r="BQ19" t="n">
        <v>547779</v>
      </c>
      <c r="BR19" t="n">
        <v>599209</v>
      </c>
      <c r="BS19" t="n">
        <v>654676</v>
      </c>
      <c r="BT19" t="n">
        <v>674193</v>
      </c>
      <c r="BU19" t="n">
        <v>712969</v>
      </c>
      <c r="BV19" t="n">
        <v>812361</v>
      </c>
      <c r="BW19" t="n">
        <v>821983</v>
      </c>
      <c r="BX19" t="n">
        <v>766224</v>
      </c>
      <c r="BY19" t="n">
        <v>765983</v>
      </c>
      <c r="BZ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N20" s="5" t="n"/>
      <c r="O20" s="5" t="n"/>
      <c r="P20" s="5" t="n"/>
      <c r="Q20" s="5" t="n"/>
      <c r="R20" s="5" t="n"/>
      <c r="BI20" t="inlineStr">
        <is>
          <t>Total comprehensive income for the year</t>
        </is>
      </c>
      <c r="BO20" t="n">
        <v>32444</v>
      </c>
      <c r="BP20" t="n">
        <v>16050</v>
      </c>
      <c r="BQ20" t="n">
        <v>51430</v>
      </c>
      <c r="BR20" t="n">
        <v>55467</v>
      </c>
      <c r="BS20" t="n">
        <v>20377</v>
      </c>
      <c r="BT20" t="n">
        <v>38776</v>
      </c>
      <c r="BU20" t="n">
        <v>95113</v>
      </c>
      <c r="BV20" t="n">
        <v>9622</v>
      </c>
      <c r="BW20" t="n">
        <v>94241</v>
      </c>
      <c r="BX20" t="n">
        <v>-241</v>
      </c>
      <c r="BY20" t="n">
        <v>44502</v>
      </c>
      <c r="BZ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N21" s="5" t="n"/>
      <c r="O21" s="5" t="n"/>
      <c r="P21" s="5" t="n"/>
      <c r="Q21" s="5" t="n"/>
      <c r="R21" s="5" t="n"/>
      <c r="BI21" t="inlineStr">
        <is>
          <t>Other equity movements, net</t>
        </is>
      </c>
      <c r="BO21" t="n">
        <v>2059</v>
      </c>
      <c r="BP21" t="n">
        <v>0</v>
      </c>
      <c r="BQ21" t="n">
        <v>0</v>
      </c>
      <c r="BR21" t="n">
        <v>0</v>
      </c>
      <c r="BS21" t="n">
        <v>-860</v>
      </c>
      <c r="BT21" t="n">
        <v>0</v>
      </c>
      <c r="BU21" t="n">
        <v>4279</v>
      </c>
      <c r="BV21" t="n">
        <v>0</v>
      </c>
      <c r="BW21" t="n">
        <v>-150000</v>
      </c>
      <c r="BX21" t="n">
        <v>0</v>
      </c>
      <c r="BY21" t="n">
        <v>0</v>
      </c>
      <c r="BZ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N22" s="5" t="n"/>
      <c r="O22" s="5" t="n"/>
      <c r="P22" s="5" t="n"/>
      <c r="Q22" s="5" t="n"/>
      <c r="R22" s="5" t="n"/>
      <c r="BI22" t="inlineStr">
        <is>
          <t>Closing equity</t>
        </is>
      </c>
      <c r="BO22" t="n">
        <v>535307</v>
      </c>
      <c r="BP22" t="n">
        <v>547779</v>
      </c>
      <c r="BQ22" t="n">
        <v>599209</v>
      </c>
      <c r="BR22" t="n">
        <v>654676</v>
      </c>
      <c r="BS22" t="n">
        <v>674193</v>
      </c>
      <c r="BT22" t="n">
        <v>712969</v>
      </c>
      <c r="BU22" t="n">
        <v>812361</v>
      </c>
      <c r="BV22" t="n">
        <v>821983</v>
      </c>
      <c r="BW22" t="n">
        <v>766224</v>
      </c>
      <c r="BX22" t="n">
        <v>765983</v>
      </c>
      <c r="BY22" t="n">
        <v>810485</v>
      </c>
      <c r="BZ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c r="N28" s="6" t="n"/>
      <c r="O28" s="6" t="n"/>
      <c r="P28" s="6" t="n"/>
      <c r="Q28" s="6" t="n"/>
      <c r="R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c r="N29" s="6" t="n"/>
      <c r="O29" s="6" t="n"/>
      <c r="P29" s="6" t="n"/>
      <c r="Q29" s="6" t="n"/>
      <c r="R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c r="N30" s="6" t="n"/>
      <c r="O30" s="6" t="n"/>
      <c r="P30" s="6" t="n"/>
      <c r="Q30" s="6" t="n"/>
      <c r="R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c r="N31" s="6" t="n"/>
      <c r="O31" s="6" t="n"/>
      <c r="P31" s="6" t="n"/>
      <c r="Q31" s="6" t="n"/>
      <c r="R31" s="6" t="n"/>
    </row>
    <row r="32">
      <c r="A32" s="6" t="inlineStr">
        <is>
          <t>NSFR</t>
        </is>
      </c>
      <c r="B32" s="6" t="inlineStr">
        <is>
          <t>263%</t>
        </is>
      </c>
      <c r="C32" s="6" t="inlineStr">
        <is>
          <t>223%</t>
        </is>
      </c>
      <c r="D32" s="6" t="inlineStr">
        <is>
          <t>163%</t>
        </is>
      </c>
      <c r="E32" s="6" t="inlineStr">
        <is>
          <t>165%</t>
        </is>
      </c>
      <c r="F32" s="6" t="inlineStr">
        <is>
          <t>Not disclosed</t>
        </is>
      </c>
      <c r="G32" s="6" t="n"/>
      <c r="H32" s="6" t="n"/>
      <c r="I32" s="6" t="n"/>
      <c r="J32" s="6" t="n"/>
      <c r="K32" s="6" t="n"/>
      <c r="L32" s="6" t="n"/>
      <c r="M32" s="6" t="n"/>
      <c r="N32" s="6" t="n"/>
      <c r="O32" s="6" t="n"/>
      <c r="P32" s="6" t="n"/>
      <c r="Q32" s="6" t="n"/>
      <c r="R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R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c r="N5" s="6" t="n">
        <v>28138</v>
      </c>
      <c r="O5" s="6" t="n">
        <v>31428</v>
      </c>
      <c r="P5" s="6" t="n">
        <v>13459</v>
      </c>
      <c r="Q5" s="6" t="n">
        <v>29719</v>
      </c>
      <c r="R5" s="6" t="n">
        <v>16153</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c r="N6" s="6" t="n"/>
      <c r="O6" s="6" t="n"/>
      <c r="P6" s="6" t="n"/>
      <c r="Q6" s="6" t="n"/>
      <c r="R6" s="6" t="n"/>
    </row>
    <row r="7">
      <c r="A7" s="6" t="inlineStr">
        <is>
          <t>Reverse repurchase agreements (FY2010-FY2013 label; not separately disclosed FY2009)</t>
        </is>
      </c>
      <c r="B7" s="6" t="n"/>
      <c r="C7" s="6" t="n"/>
      <c r="D7" s="6" t="n"/>
      <c r="E7" s="6" t="n"/>
      <c r="F7" s="6" t="n"/>
      <c r="G7" s="6" t="n"/>
      <c r="H7" s="6" t="n"/>
      <c r="I7" s="6" t="n"/>
      <c r="J7" s="6" t="n"/>
      <c r="K7" s="6" t="n"/>
      <c r="L7" s="6" t="n"/>
      <c r="M7" s="6" t="n"/>
      <c r="N7" s="6" t="n">
        <v>2807459</v>
      </c>
      <c r="O7" s="6" t="n">
        <v>2194621</v>
      </c>
      <c r="P7" s="6" t="n">
        <v>1952073</v>
      </c>
      <c r="Q7" s="6" t="n">
        <v>1456466</v>
      </c>
      <c r="R7" s="6" t="n"/>
    </row>
    <row r="8">
      <c r="A8" s="6" t="inlineStr">
        <is>
          <t>Loans and advances to banks</t>
        </is>
      </c>
      <c r="B8" s="6" t="n">
        <v>140542</v>
      </c>
      <c r="C8" s="6" t="n">
        <v>212774</v>
      </c>
      <c r="D8" s="6" t="n">
        <v>187090</v>
      </c>
      <c r="E8" s="6" t="n">
        <v>175841</v>
      </c>
      <c r="F8" s="6" t="n">
        <v>129608</v>
      </c>
      <c r="G8" s="6" t="n">
        <v>337581</v>
      </c>
      <c r="H8" s="6" t="n">
        <v>131940</v>
      </c>
      <c r="I8" s="6" t="n">
        <v>107412</v>
      </c>
      <c r="J8" s="6" t="n">
        <v>147815</v>
      </c>
      <c r="K8" s="6" t="n">
        <v>157136</v>
      </c>
      <c r="L8" s="6" t="n">
        <v>89547</v>
      </c>
      <c r="M8" s="6" t="n">
        <v>152123</v>
      </c>
      <c r="N8" s="6" t="n">
        <v>172848</v>
      </c>
      <c r="O8" s="6" t="n">
        <v>270996</v>
      </c>
      <c r="P8" s="6" t="n">
        <v>624248</v>
      </c>
      <c r="Q8" s="6" t="n">
        <v>352185</v>
      </c>
      <c r="R8" s="6" t="n">
        <v>187133</v>
      </c>
    </row>
    <row r="9">
      <c r="A9" s="6" t="inlineStr">
        <is>
          <t>Loans and advances to customers</t>
        </is>
      </c>
      <c r="B9" s="6" t="n">
        <v>422190</v>
      </c>
      <c r="C9" s="6" t="n">
        <v>775727</v>
      </c>
      <c r="D9" s="6" t="n">
        <v>760186</v>
      </c>
      <c r="E9" s="6" t="n">
        <v>1227715</v>
      </c>
      <c r="F9" s="6" t="n">
        <v>380124</v>
      </c>
      <c r="G9" s="6" t="n">
        <v>24573</v>
      </c>
      <c r="H9" s="6" t="n">
        <v>180250</v>
      </c>
      <c r="I9" s="6" t="n">
        <v>363113</v>
      </c>
      <c r="J9" s="6" t="n">
        <v>354177</v>
      </c>
      <c r="K9" s="6" t="n">
        <v>385052</v>
      </c>
      <c r="L9" s="6" t="n">
        <v>155311</v>
      </c>
      <c r="M9" s="6" t="n">
        <v>617659</v>
      </c>
      <c r="N9" s="6" t="n">
        <v>965499</v>
      </c>
      <c r="O9" s="6" t="n">
        <v>756208</v>
      </c>
      <c r="P9" s="6" t="n">
        <v>748579</v>
      </c>
      <c r="Q9" s="6" t="n">
        <v>2499609</v>
      </c>
      <c r="R9" s="6" t="n">
        <v>1499221</v>
      </c>
    </row>
    <row r="10">
      <c r="A10" s="6" t="inlineStr">
        <is>
          <t>Trading financial assets</t>
        </is>
      </c>
      <c r="B10" s="6" t="n">
        <v>3022186</v>
      </c>
      <c r="C10" s="6" t="n">
        <v>3746151</v>
      </c>
      <c r="D10" s="6" t="n">
        <v>3613350</v>
      </c>
      <c r="E10" s="6" t="n">
        <v>4868282</v>
      </c>
      <c r="F10" s="6" t="n">
        <v>3358044</v>
      </c>
      <c r="G10" s="6" t="n">
        <v>4184122</v>
      </c>
      <c r="H10" s="6" t="n">
        <v>3446503</v>
      </c>
      <c r="I10" s="6" t="n">
        <v>3290194</v>
      </c>
      <c r="J10" s="6" t="n">
        <v>3572024</v>
      </c>
      <c r="K10" s="6" t="n">
        <v>4123722</v>
      </c>
      <c r="L10" s="6" t="n">
        <v>3358901</v>
      </c>
      <c r="M10" s="6" t="n">
        <v>3247108</v>
      </c>
      <c r="N10" s="6" t="n">
        <v>2646987</v>
      </c>
      <c r="O10" s="6" t="n">
        <v>3161175</v>
      </c>
      <c r="P10" s="6" t="n">
        <v>3503456</v>
      </c>
      <c r="Q10" s="6" t="n">
        <v>3477185</v>
      </c>
      <c r="R10" s="6" t="n">
        <v>3930918</v>
      </c>
    </row>
    <row r="11">
      <c r="A11" s="6" t="inlineStr">
        <is>
          <t>Investment securities</t>
        </is>
      </c>
      <c r="B11" s="6" t="n">
        <v>23</v>
      </c>
      <c r="C11" s="6" t="n">
        <v>472</v>
      </c>
      <c r="D11" s="6" t="n">
        <v>463</v>
      </c>
      <c r="E11" s="6" t="n">
        <v>23</v>
      </c>
      <c r="F11" s="6" t="n">
        <v>679</v>
      </c>
      <c r="G11" s="6" t="n">
        <v>4828</v>
      </c>
      <c r="H11" s="6" t="n">
        <v>6557</v>
      </c>
      <c r="I11" s="6" t="n"/>
      <c r="J11" s="6" t="n"/>
      <c r="K11" s="6" t="n"/>
      <c r="L11" s="6" t="n"/>
      <c r="M11" s="6" t="n"/>
      <c r="N11" s="6" t="n"/>
      <c r="O11" s="6" t="n"/>
      <c r="P11" s="6" t="n"/>
      <c r="Q11" s="6" t="n"/>
      <c r="R11" s="6" t="n"/>
    </row>
    <row r="12">
      <c r="A12" s="6" t="inlineStr">
        <is>
          <t>Financial assets designated at fair value through profit or loss</t>
        </is>
      </c>
      <c r="B12" s="6" t="n"/>
      <c r="C12" s="6" t="n"/>
      <c r="D12" s="6" t="n"/>
      <c r="E12" s="6" t="n"/>
      <c r="F12" s="6" t="n"/>
      <c r="G12" s="6" t="n"/>
      <c r="H12" s="6" t="n"/>
      <c r="I12" s="6" t="n"/>
      <c r="J12" s="6" t="n"/>
      <c r="K12" s="6" t="n"/>
      <c r="L12" s="6" t="n"/>
      <c r="M12" s="6" t="n">
        <v>0</v>
      </c>
      <c r="N12" s="6" t="n">
        <v>44842</v>
      </c>
      <c r="O12" s="6" t="n">
        <v>46916</v>
      </c>
      <c r="P12" s="6" t="n">
        <v>41704</v>
      </c>
      <c r="Q12" s="6" t="n">
        <v>0</v>
      </c>
      <c r="R12" s="6" t="n">
        <v>3117</v>
      </c>
    </row>
    <row r="13">
      <c r="A13" s="6" t="inlineStr">
        <is>
          <t>Investment in subsidiary undertaking</t>
        </is>
      </c>
      <c r="B13" s="6" t="n"/>
      <c r="C13" s="6" t="n"/>
      <c r="D13" s="6" t="n"/>
      <c r="E13" s="6" t="n"/>
      <c r="F13" s="6" t="n">
        <v>105374</v>
      </c>
      <c r="G13" s="6" t="n">
        <v>105374</v>
      </c>
      <c r="H13" s="6" t="n">
        <v>105374</v>
      </c>
      <c r="I13" s="6" t="n">
        <v>105374</v>
      </c>
      <c r="J13" s="6" t="n">
        <v>105374</v>
      </c>
      <c r="K13" s="6" t="n">
        <v>105374</v>
      </c>
      <c r="L13" s="6" t="n">
        <v>105374</v>
      </c>
      <c r="M13" s="6" t="n">
        <v>105374</v>
      </c>
      <c r="N13" s="6" t="n">
        <v>105374</v>
      </c>
      <c r="O13" s="6" t="n">
        <v>105374</v>
      </c>
      <c r="P13" s="6" t="n">
        <v>105374</v>
      </c>
      <c r="Q13" s="6" t="n">
        <v>105374</v>
      </c>
      <c r="R13" s="6" t="n">
        <v>105374</v>
      </c>
    </row>
    <row r="14">
      <c r="A14" s="6" t="inlineStr">
        <is>
          <t>Tangible fixed assets</t>
        </is>
      </c>
      <c r="B14" s="6" t="n">
        <v>681</v>
      </c>
      <c r="C14" s="6" t="n">
        <v>926</v>
      </c>
      <c r="D14" s="6" t="n">
        <v>1093</v>
      </c>
      <c r="E14" s="6" t="n">
        <v>1382</v>
      </c>
      <c r="F14" s="6" t="n">
        <v>567</v>
      </c>
      <c r="G14" s="6" t="n">
        <v>749</v>
      </c>
      <c r="H14" s="6" t="n">
        <v>3618</v>
      </c>
      <c r="I14" s="6" t="n">
        <v>898</v>
      </c>
      <c r="J14" s="6" t="n">
        <v>848</v>
      </c>
      <c r="K14" s="6" t="n">
        <v>1065</v>
      </c>
      <c r="L14" s="6" t="n">
        <v>1022</v>
      </c>
      <c r="M14" s="6" t="n">
        <v>437</v>
      </c>
      <c r="N14" s="6" t="n">
        <v>570</v>
      </c>
      <c r="O14" s="6" t="n">
        <v>780</v>
      </c>
      <c r="P14" s="6" t="n">
        <v>984</v>
      </c>
      <c r="Q14" s="6" t="n">
        <v>1447</v>
      </c>
      <c r="R14" s="6" t="n">
        <v>1761</v>
      </c>
    </row>
    <row r="15">
      <c r="A15" s="6" t="inlineStr">
        <is>
          <t>Other receivables</t>
        </is>
      </c>
      <c r="B15" s="6" t="n">
        <v>26119</v>
      </c>
      <c r="C15" s="6" t="n">
        <v>23892</v>
      </c>
      <c r="D15" s="6" t="n">
        <v>34100</v>
      </c>
      <c r="E15" s="6" t="n">
        <v>30374</v>
      </c>
      <c r="F15" s="6" t="n">
        <v>22811</v>
      </c>
      <c r="G15" s="6" t="n">
        <v>13774</v>
      </c>
      <c r="H15" s="6" t="n">
        <v>10013</v>
      </c>
      <c r="I15" s="6" t="n">
        <v>16071</v>
      </c>
      <c r="J15" s="6" t="n">
        <v>29716</v>
      </c>
      <c r="K15" s="6" t="n">
        <v>11526</v>
      </c>
      <c r="L15" s="6" t="n">
        <v>19736</v>
      </c>
      <c r="M15" s="6" t="n">
        <v>23098</v>
      </c>
      <c r="N15" s="6" t="n"/>
      <c r="O15" s="6" t="n"/>
      <c r="P15" s="6" t="n"/>
      <c r="Q15" s="6" t="n"/>
      <c r="R15" s="6" t="n"/>
    </row>
    <row r="16">
      <c r="A16" s="6" t="inlineStr">
        <is>
          <t>Other assets (FY2009-FY2013 label - a broader concept than 'Other receivables' above, see sourcing note)</t>
        </is>
      </c>
      <c r="B16" s="6" t="n"/>
      <c r="C16" s="6" t="n"/>
      <c r="D16" s="6" t="n"/>
      <c r="E16" s="6" t="n"/>
      <c r="F16" s="6" t="n"/>
      <c r="G16" s="6" t="n"/>
      <c r="H16" s="6" t="n"/>
      <c r="I16" s="6" t="n"/>
      <c r="J16" s="6" t="n"/>
      <c r="K16" s="6" t="n"/>
      <c r="L16" s="6" t="n"/>
      <c r="M16" s="6" t="n"/>
      <c r="N16" s="6" t="n">
        <v>36385</v>
      </c>
      <c r="O16" s="6" t="n">
        <v>33861</v>
      </c>
      <c r="P16" s="6" t="n">
        <v>34290</v>
      </c>
      <c r="Q16" s="6" t="n">
        <v>288012</v>
      </c>
      <c r="R16" s="6" t="n">
        <v>271942</v>
      </c>
    </row>
    <row r="17">
      <c r="A17" s="6" t="inlineStr">
        <is>
          <t>Current tax assets</t>
        </is>
      </c>
      <c r="B17" s="6" t="n">
        <v>1218</v>
      </c>
      <c r="C17" s="6" t="n">
        <v>282</v>
      </c>
      <c r="D17" s="6" t="n">
        <v>296</v>
      </c>
      <c r="E17" s="6" t="n">
        <v>2451</v>
      </c>
      <c r="F17" s="6" t="n">
        <v>287</v>
      </c>
      <c r="G17" s="6" t="n">
        <v>2010</v>
      </c>
      <c r="H17" s="6" t="n">
        <v>3654</v>
      </c>
      <c r="I17" s="6" t="n">
        <v>5844</v>
      </c>
      <c r="J17" s="6" t="n">
        <v>5310</v>
      </c>
      <c r="K17" s="6" t="n">
        <v>4088</v>
      </c>
      <c r="L17" s="6" t="n">
        <v>5623</v>
      </c>
      <c r="M17" s="6" t="n"/>
      <c r="N17" s="6" t="n"/>
      <c r="O17" s="6" t="n"/>
      <c r="P17" s="6" t="n"/>
      <c r="Q17" s="6" t="n"/>
      <c r="R17" s="6" t="n"/>
    </row>
    <row r="18">
      <c r="A18" s="6" t="inlineStr">
        <is>
          <t>Deferred tax assets</t>
        </is>
      </c>
      <c r="B18" s="6" t="n">
        <v>75</v>
      </c>
      <c r="C18" s="6" t="n">
        <v>1961</v>
      </c>
      <c r="D18" s="6" t="n">
        <v>7415</v>
      </c>
      <c r="E18" s="6" t="n">
        <v>7698</v>
      </c>
      <c r="F18" s="6" t="n">
        <v>8696</v>
      </c>
      <c r="G18" s="6" t="n">
        <v>2350</v>
      </c>
      <c r="H18" s="6" t="n">
        <v>5401</v>
      </c>
      <c r="I18" s="6" t="n">
        <v>8596</v>
      </c>
      <c r="J18" s="6" t="n">
        <v>13102</v>
      </c>
      <c r="K18" s="6" t="n">
        <v>10381</v>
      </c>
      <c r="L18" s="6" t="n">
        <v>3311</v>
      </c>
      <c r="M18" s="6" t="n"/>
      <c r="N18" s="6" t="n"/>
      <c r="O18" s="6" t="n"/>
      <c r="P18" s="6" t="n"/>
      <c r="Q18" s="6" t="n"/>
      <c r="R18" s="6" t="n"/>
    </row>
    <row r="19">
      <c r="A19" s="6" t="inlineStr">
        <is>
          <t>Prepayments and accrued income</t>
        </is>
      </c>
      <c r="B19" s="6" t="n">
        <v>126</v>
      </c>
      <c r="C19" s="6" t="n">
        <v>157</v>
      </c>
      <c r="D19" s="6" t="n">
        <v>156</v>
      </c>
      <c r="E19" s="6" t="n">
        <v>172</v>
      </c>
      <c r="F19" s="6" t="n">
        <v>127</v>
      </c>
      <c r="G19" s="6" t="n">
        <v>130</v>
      </c>
      <c r="H19" s="6" t="n">
        <v>445</v>
      </c>
      <c r="I19" s="6" t="n">
        <v>555</v>
      </c>
      <c r="J19" s="6" t="n">
        <v>504</v>
      </c>
      <c r="K19" s="6" t="n">
        <v>25</v>
      </c>
      <c r="L19" s="6" t="n">
        <v>38</v>
      </c>
      <c r="M19" s="6" t="n">
        <v>68</v>
      </c>
      <c r="N19" s="6" t="n">
        <v>70</v>
      </c>
      <c r="O19" s="6" t="n">
        <v>122</v>
      </c>
      <c r="P19" s="6" t="n">
        <v>95</v>
      </c>
      <c r="Q19" s="6" t="n">
        <v>2217</v>
      </c>
      <c r="R19" s="6" t="n">
        <v>188</v>
      </c>
    </row>
    <row r="20">
      <c r="A20" s="5" t="inlineStr">
        <is>
          <t>Total assets</t>
        </is>
      </c>
      <c r="B20" s="5" t="n">
        <v>4474701</v>
      </c>
      <c r="C20" s="5" t="n">
        <v>5943082</v>
      </c>
      <c r="D20" s="5" t="n">
        <v>5761181</v>
      </c>
      <c r="E20" s="5" t="n">
        <v>7691434</v>
      </c>
      <c r="F20" s="5" t="n">
        <v>5166317</v>
      </c>
      <c r="G20" s="5" t="n">
        <v>6191205</v>
      </c>
      <c r="H20" s="5" t="n">
        <v>5497256</v>
      </c>
      <c r="I20" s="5" t="n">
        <v>5178705</v>
      </c>
      <c r="J20" s="5" t="n">
        <v>5321350</v>
      </c>
      <c r="K20" s="5" t="n">
        <v>5742066</v>
      </c>
      <c r="L20" s="5" t="n">
        <v>4691096</v>
      </c>
      <c r="M20" s="5" t="n">
        <v>4974936</v>
      </c>
      <c r="N20" s="5" t="n">
        <v>6808172</v>
      </c>
      <c r="O20" s="5" t="n">
        <v>6601481</v>
      </c>
      <c r="P20" s="5" t="n">
        <v>7024262</v>
      </c>
      <c r="Q20" s="5" t="n">
        <v>8212214</v>
      </c>
      <c r="R20" s="5" t="n">
        <v>6015807</v>
      </c>
    </row>
    <row r="21">
      <c r="A21" s="5" t="inlineStr">
        <is>
          <t>Liabilities</t>
        </is>
      </c>
      <c r="B21" s="6" t="n"/>
      <c r="C21" s="6" t="n"/>
      <c r="D21" s="6" t="n"/>
      <c r="E21" s="6" t="n"/>
      <c r="F21" s="6" t="n"/>
      <c r="G21" s="6" t="n"/>
      <c r="H21" s="6" t="n"/>
      <c r="I21" s="6" t="n"/>
      <c r="J21" s="6" t="n"/>
      <c r="K21" s="6" t="n"/>
      <c r="L21" s="6" t="n"/>
      <c r="M21" s="6" t="n"/>
      <c r="N21" s="6" t="n"/>
      <c r="O21" s="6" t="n"/>
      <c r="P21" s="6" t="n"/>
      <c r="Q21" s="6" t="n"/>
      <c r="R21" s="6" t="n"/>
    </row>
    <row r="22">
      <c r="A22" s="6" t="inlineStr">
        <is>
          <t>Deposits by banks</t>
        </is>
      </c>
      <c r="B22" s="6" t="n">
        <v>279651</v>
      </c>
      <c r="C22" s="6" t="n">
        <v>462429</v>
      </c>
      <c r="D22" s="6" t="n">
        <v>251784</v>
      </c>
      <c r="E22" s="6" t="n">
        <v>440764</v>
      </c>
      <c r="F22" s="6" t="n">
        <v>153851</v>
      </c>
      <c r="G22" s="6" t="n">
        <v>124229</v>
      </c>
      <c r="H22" s="6" t="n">
        <v>135962</v>
      </c>
      <c r="I22" s="6" t="n">
        <v>323778</v>
      </c>
      <c r="J22" s="6" t="n">
        <v>226045</v>
      </c>
      <c r="K22" s="6" t="n">
        <v>230883</v>
      </c>
      <c r="L22" s="6" t="n">
        <v>110708</v>
      </c>
      <c r="M22" s="6" t="n">
        <v>101036</v>
      </c>
      <c r="N22" s="6" t="n">
        <v>137581</v>
      </c>
      <c r="O22" s="6" t="n">
        <v>202366</v>
      </c>
      <c r="P22" s="6" t="n">
        <v>212465</v>
      </c>
      <c r="Q22" s="6" t="n">
        <v>233641</v>
      </c>
      <c r="R22" s="6" t="n">
        <v>268609</v>
      </c>
    </row>
    <row r="23">
      <c r="A23" s="6" t="inlineStr">
        <is>
          <t>Customer accounts</t>
        </is>
      </c>
      <c r="B23" s="6" t="n">
        <v>632759</v>
      </c>
      <c r="C23" s="6" t="n">
        <v>783693</v>
      </c>
      <c r="D23" s="6" t="n">
        <v>1246212</v>
      </c>
      <c r="E23" s="6" t="n">
        <v>1814583</v>
      </c>
      <c r="F23" s="6" t="n">
        <v>1502764</v>
      </c>
      <c r="G23" s="6" t="n">
        <v>1647638</v>
      </c>
      <c r="H23" s="6" t="n">
        <v>1331496</v>
      </c>
      <c r="I23" s="6" t="n">
        <v>1072143</v>
      </c>
      <c r="J23" s="6" t="n">
        <v>875555</v>
      </c>
      <c r="K23" s="6" t="n">
        <v>747831</v>
      </c>
      <c r="L23" s="6" t="n">
        <v>719706</v>
      </c>
      <c r="M23" s="6" t="n">
        <v>1092621</v>
      </c>
      <c r="N23" s="6" t="n">
        <v>860388</v>
      </c>
      <c r="O23" s="6" t="n">
        <v>919422</v>
      </c>
      <c r="P23" s="6" t="n">
        <v>2657109</v>
      </c>
      <c r="Q23" s="6" t="n">
        <v>4184133</v>
      </c>
      <c r="R23" s="6" t="n">
        <v>1665107</v>
      </c>
    </row>
    <row r="24">
      <c r="A24" s="6" t="inlineStr">
        <is>
          <t>Secured borrowing</t>
        </is>
      </c>
      <c r="B24" s="6" t="n">
        <v>103105</v>
      </c>
      <c r="C24" s="6" t="n">
        <v>123656</v>
      </c>
      <c r="D24" s="6" t="n">
        <v>86502</v>
      </c>
      <c r="E24" s="6" t="n">
        <v>128224</v>
      </c>
      <c r="F24" s="6" t="n">
        <v>85181</v>
      </c>
      <c r="G24" s="6" t="n">
        <v>60718</v>
      </c>
      <c r="H24" s="6" t="n">
        <v>273663</v>
      </c>
      <c r="I24" s="6" t="n">
        <v>258331</v>
      </c>
      <c r="J24" s="6" t="n">
        <v>363057</v>
      </c>
      <c r="K24" s="6" t="n">
        <v>478743</v>
      </c>
      <c r="L24" s="6" t="n">
        <v>499063</v>
      </c>
      <c r="M24" s="6" t="n">
        <v>542723</v>
      </c>
      <c r="N24" s="6" t="n"/>
      <c r="O24" s="6" t="n"/>
      <c r="P24" s="6" t="n"/>
      <c r="Q24" s="6" t="n"/>
      <c r="R24" s="6" t="n"/>
    </row>
    <row r="25">
      <c r="A25" s="6" t="inlineStr">
        <is>
          <t>Repurchase agreements / securities sold under agreements to repurchase (FY2009-FY2013 label)</t>
        </is>
      </c>
      <c r="B25" s="6" t="n"/>
      <c r="C25" s="6" t="n"/>
      <c r="D25" s="6" t="n"/>
      <c r="E25" s="6" t="n"/>
      <c r="F25" s="6" t="n"/>
      <c r="G25" s="6" t="n"/>
      <c r="H25" s="6" t="n"/>
      <c r="I25" s="6" t="n"/>
      <c r="J25" s="6" t="n"/>
      <c r="K25" s="6" t="n"/>
      <c r="L25" s="6" t="n"/>
      <c r="M25" s="6" t="n"/>
      <c r="N25" s="6" t="n">
        <v>3122575</v>
      </c>
      <c r="O25" s="6" t="n">
        <v>2002150</v>
      </c>
      <c r="P25" s="6" t="n">
        <v>698476</v>
      </c>
      <c r="Q25" s="6" t="n">
        <v>585076</v>
      </c>
      <c r="R25" s="6" t="n">
        <v>1032682</v>
      </c>
    </row>
    <row r="26">
      <c r="A26" s="6" t="inlineStr">
        <is>
          <t>Trading financial liabilities</t>
        </is>
      </c>
      <c r="B26" s="6" t="n">
        <v>2409008</v>
      </c>
      <c r="C26" s="6" t="n">
        <v>3311515</v>
      </c>
      <c r="D26" s="6" t="n">
        <v>2957832</v>
      </c>
      <c r="E26" s="6" t="n">
        <v>4081489</v>
      </c>
      <c r="F26" s="6" t="n">
        <v>2270962</v>
      </c>
      <c r="G26" s="6" t="n">
        <v>3206555</v>
      </c>
      <c r="H26" s="6" t="n">
        <v>2762477</v>
      </c>
      <c r="I26" s="6" t="n">
        <v>2528574</v>
      </c>
      <c r="J26" s="6" t="n">
        <v>2893498</v>
      </c>
      <c r="K26" s="6" t="n">
        <v>3373992</v>
      </c>
      <c r="L26" s="6" t="n">
        <v>2511905</v>
      </c>
      <c r="M26" s="6" t="n">
        <v>2409122</v>
      </c>
      <c r="N26" s="6" t="n">
        <v>1824899</v>
      </c>
      <c r="O26" s="6" t="n">
        <v>2194711</v>
      </c>
      <c r="P26" s="6" t="n">
        <v>2175345</v>
      </c>
      <c r="Q26" s="6" t="n">
        <v>1905986</v>
      </c>
      <c r="R26" s="6" t="n">
        <v>1783226</v>
      </c>
    </row>
    <row r="27">
      <c r="A27" s="6" t="inlineStr">
        <is>
          <t>Financial liabilities designated at fair value through profit or loss</t>
        </is>
      </c>
      <c r="B27" s="6" t="n"/>
      <c r="C27" s="6" t="n"/>
      <c r="D27" s="6" t="n"/>
      <c r="E27" s="6" t="n"/>
      <c r="F27" s="6" t="n"/>
      <c r="G27" s="6" t="n"/>
      <c r="H27" s="6" t="n"/>
      <c r="I27" s="6" t="n"/>
      <c r="J27" s="6" t="n"/>
      <c r="K27" s="6" t="n"/>
      <c r="L27" s="6" t="n"/>
      <c r="M27" s="6" t="n">
        <v>0</v>
      </c>
      <c r="N27" s="6" t="n">
        <v>44842</v>
      </c>
      <c r="O27" s="6" t="n">
        <v>18465</v>
      </c>
      <c r="P27" s="6" t="n">
        <v>18357</v>
      </c>
      <c r="Q27" s="6" t="n">
        <v>0</v>
      </c>
      <c r="R27" s="6" t="n">
        <v>3117</v>
      </c>
    </row>
    <row r="28">
      <c r="A28" s="6" t="inlineStr">
        <is>
          <t>Other payables</t>
        </is>
      </c>
      <c r="B28" s="6" t="n">
        <v>18473</v>
      </c>
      <c r="C28" s="6" t="n">
        <v>20906</v>
      </c>
      <c r="D28" s="6" t="n">
        <v>27230</v>
      </c>
      <c r="E28" s="6" t="n">
        <v>45937</v>
      </c>
      <c r="F28" s="6" t="n">
        <v>41460</v>
      </c>
      <c r="G28" s="6" t="n">
        <v>55647</v>
      </c>
      <c r="H28" s="6" t="n">
        <v>13919</v>
      </c>
      <c r="I28" s="6" t="n">
        <v>42337</v>
      </c>
      <c r="J28" s="6" t="n">
        <v>23819</v>
      </c>
      <c r="K28" s="6" t="n">
        <v>19090</v>
      </c>
      <c r="L28" s="6" t="n">
        <v>16116</v>
      </c>
      <c r="M28" s="6" t="n">
        <v>14042</v>
      </c>
      <c r="N28" s="6" t="n">
        <v>13735</v>
      </c>
      <c r="O28" s="6" t="n">
        <v>31088</v>
      </c>
      <c r="P28" s="6" t="n">
        <v>29918</v>
      </c>
      <c r="Q28" s="6" t="n">
        <v>147590</v>
      </c>
      <c r="R28" s="6" t="n">
        <v>142885</v>
      </c>
    </row>
    <row r="29">
      <c r="A29" s="6" t="inlineStr">
        <is>
          <t>Accruals and deferred income</t>
        </is>
      </c>
      <c r="B29" s="6" t="n">
        <v>4080</v>
      </c>
      <c r="C29" s="6" t="n">
        <v>9391</v>
      </c>
      <c r="D29" s="6" t="n">
        <v>2059</v>
      </c>
      <c r="E29" s="6" t="n">
        <v>1497</v>
      </c>
      <c r="F29" s="6" t="n">
        <v>2290</v>
      </c>
      <c r="G29" s="6" t="n">
        <v>5317</v>
      </c>
      <c r="H29" s="6" t="n">
        <v>11790</v>
      </c>
      <c r="I29" s="6" t="n">
        <v>14202</v>
      </c>
      <c r="J29" s="6" t="n">
        <v>9514</v>
      </c>
      <c r="K29" s="6" t="n">
        <v>17150</v>
      </c>
      <c r="L29" s="6" t="n">
        <v>25874</v>
      </c>
      <c r="M29" s="6" t="n">
        <v>29563</v>
      </c>
      <c r="N29" s="6" t="n">
        <v>43724</v>
      </c>
      <c r="O29" s="6" t="n">
        <v>40199</v>
      </c>
      <c r="P29" s="6" t="n">
        <v>37914</v>
      </c>
      <c r="Q29" s="6" t="n">
        <v>21257</v>
      </c>
      <c r="R29" s="6" t="n">
        <v>24969</v>
      </c>
    </row>
    <row r="30">
      <c r="A30" s="6" t="inlineStr">
        <is>
          <t>Current tax liabilities</t>
        </is>
      </c>
      <c r="B30" s="6" t="n">
        <v>19853</v>
      </c>
      <c r="C30" s="6" t="n">
        <v>11677</v>
      </c>
      <c r="D30" s="6" t="n">
        <v>13754</v>
      </c>
      <c r="E30" s="6" t="n">
        <v>10758</v>
      </c>
      <c r="F30" s="6" t="n">
        <v>37356</v>
      </c>
      <c r="G30" s="6" t="n">
        <v>28260</v>
      </c>
      <c r="H30" s="6" t="n">
        <v>4047</v>
      </c>
      <c r="I30" s="6" t="n">
        <v>14560</v>
      </c>
      <c r="J30" s="6" t="n">
        <v>24501</v>
      </c>
      <c r="K30" s="6" t="n">
        <v>24655</v>
      </c>
      <c r="L30" s="6" t="n">
        <v>5945</v>
      </c>
      <c r="M30" s="6" t="n"/>
      <c r="N30" s="6" t="n"/>
      <c r="O30" s="6" t="n"/>
      <c r="P30" s="6" t="n"/>
      <c r="Q30" s="6" t="n"/>
      <c r="R30" s="6" t="n"/>
    </row>
    <row r="31">
      <c r="A31" s="6" t="inlineStr">
        <is>
          <t>Deferred tax liabilities</t>
        </is>
      </c>
      <c r="B31" s="6" t="n">
        <v>1079</v>
      </c>
      <c r="C31" s="6" t="n">
        <v>0</v>
      </c>
      <c r="D31" s="6" t="n"/>
      <c r="E31" s="6" t="n"/>
      <c r="F31" s="6" t="n"/>
      <c r="G31" s="6" t="n"/>
      <c r="H31" s="6" t="n"/>
      <c r="I31" s="6" t="n"/>
      <c r="J31" s="6" t="n"/>
      <c r="K31" s="6" t="n">
        <v>0</v>
      </c>
      <c r="L31" s="6" t="n">
        <v>3567</v>
      </c>
      <c r="M31" s="6" t="n"/>
      <c r="N31" s="6" t="n"/>
      <c r="O31" s="6" t="n"/>
      <c r="P31" s="6" t="n"/>
      <c r="Q31" s="6" t="n"/>
      <c r="R31" s="6" t="n"/>
    </row>
    <row r="32">
      <c r="A32" s="6" t="inlineStr">
        <is>
          <t>Retirement benefit liability</t>
        </is>
      </c>
      <c r="B32" s="6" t="n">
        <v>394</v>
      </c>
      <c r="C32" s="6" t="n">
        <v>424</v>
      </c>
      <c r="D32" s="6" t="n">
        <v>126</v>
      </c>
      <c r="E32" s="6" t="n">
        <v>111</v>
      </c>
      <c r="F32" s="6" t="n">
        <v>287</v>
      </c>
      <c r="G32" s="6" t="n">
        <v>244</v>
      </c>
      <c r="H32" s="6" t="n">
        <v>557</v>
      </c>
      <c r="I32" s="6" t="n">
        <v>429</v>
      </c>
      <c r="J32" s="6" t="n">
        <v>685</v>
      </c>
      <c r="K32" s="6" t="n">
        <v>513</v>
      </c>
      <c r="L32" s="6" t="n">
        <v>433</v>
      </c>
      <c r="M32" s="6" t="n">
        <v>522</v>
      </c>
      <c r="N32" s="6" t="n">
        <v>474</v>
      </c>
      <c r="O32" s="6" t="n">
        <v>623</v>
      </c>
      <c r="P32" s="6" t="n">
        <v>1970</v>
      </c>
      <c r="Q32" s="6" t="n">
        <v>1895</v>
      </c>
      <c r="R32" s="6" t="n">
        <v>2383</v>
      </c>
    </row>
    <row r="33">
      <c r="A33" s="6" t="inlineStr">
        <is>
          <t>Provisions for liabilities and charges</t>
        </is>
      </c>
      <c r="B33" s="6" t="n">
        <v>178</v>
      </c>
      <c r="C33" s="6" t="n">
        <v>179</v>
      </c>
      <c r="D33" s="6" t="n">
        <v>193</v>
      </c>
      <c r="E33" s="6" t="n">
        <v>203</v>
      </c>
      <c r="F33" s="6" t="n">
        <v>183</v>
      </c>
      <c r="G33" s="6" t="n">
        <v>236</v>
      </c>
      <c r="H33" s="6" t="n">
        <v>376</v>
      </c>
      <c r="I33" s="6" t="n">
        <v>158</v>
      </c>
      <c r="J33" s="6" t="n"/>
      <c r="K33" s="6" t="n"/>
      <c r="L33" s="6" t="n"/>
      <c r="M33" s="6" t="n">
        <v>0</v>
      </c>
      <c r="N33" s="6" t="n">
        <v>9150</v>
      </c>
      <c r="O33" s="6" t="n">
        <v>0</v>
      </c>
      <c r="P33" s="6" t="n">
        <v>0</v>
      </c>
      <c r="Q33" s="6" t="n">
        <v>891</v>
      </c>
      <c r="R33" s="6" t="n">
        <v>923</v>
      </c>
    </row>
    <row r="34">
      <c r="A34" s="6" t="inlineStr">
        <is>
          <t>Subordinated debt</t>
        </is>
      </c>
      <c r="B34" s="6" t="n">
        <v>258220</v>
      </c>
      <c r="C34" s="6" t="n">
        <v>408727</v>
      </c>
      <c r="D34" s="6" t="n">
        <v>409506</v>
      </c>
      <c r="E34" s="6" t="n">
        <v>401644</v>
      </c>
      <c r="F34" s="6" t="n">
        <v>250000</v>
      </c>
      <c r="G34" s="6" t="n">
        <v>250000</v>
      </c>
      <c r="H34" s="6" t="n">
        <v>250000</v>
      </c>
      <c r="I34" s="6" t="n">
        <v>250000</v>
      </c>
      <c r="J34" s="6" t="n">
        <v>250000</v>
      </c>
      <c r="K34" s="6" t="n">
        <v>250000</v>
      </c>
      <c r="L34" s="6" t="n">
        <v>250000</v>
      </c>
      <c r="M34" s="6" t="n">
        <v>250000</v>
      </c>
      <c r="N34" s="6" t="n">
        <v>250000</v>
      </c>
      <c r="O34" s="6" t="n">
        <v>250000</v>
      </c>
      <c r="P34" s="6" t="n">
        <v>250000</v>
      </c>
      <c r="Q34" s="6" t="n">
        <v>250000</v>
      </c>
      <c r="R34" s="6" t="n">
        <v>250000</v>
      </c>
    </row>
    <row r="35">
      <c r="A35" s="5" t="inlineStr">
        <is>
          <t>Total liabilities</t>
        </is>
      </c>
      <c r="B35" s="5" t="n">
        <v>3726800</v>
      </c>
      <c r="C35" s="5" t="n">
        <v>5132597</v>
      </c>
      <c r="D35" s="5" t="n">
        <v>4995198</v>
      </c>
      <c r="E35" s="5" t="n">
        <v>6925210</v>
      </c>
      <c r="F35" s="5" t="n">
        <v>4344334</v>
      </c>
      <c r="G35" s="5" t="n">
        <v>5378844</v>
      </c>
      <c r="H35" s="5" t="n">
        <v>4784287</v>
      </c>
      <c r="I35" s="5" t="n">
        <v>4504512</v>
      </c>
      <c r="J35" s="5" t="n">
        <v>4666674</v>
      </c>
      <c r="K35" s="5" t="n">
        <v>5142857</v>
      </c>
      <c r="L35" s="5" t="n">
        <v>4143317</v>
      </c>
      <c r="M35" s="5" t="n">
        <v>4439629</v>
      </c>
      <c r="N35" s="5" t="n">
        <v>6307368</v>
      </c>
      <c r="O35" s="5" t="n">
        <v>5659024</v>
      </c>
      <c r="P35" s="5" t="n">
        <v>6081554</v>
      </c>
      <c r="Q35" s="5" t="n">
        <v>7330469</v>
      </c>
      <c r="R35" s="5" t="n">
        <v>5173901</v>
      </c>
    </row>
    <row r="36">
      <c r="A36" s="5" t="inlineStr">
        <is>
          <t>Equity</t>
        </is>
      </c>
      <c r="B36" s="6" t="n"/>
      <c r="C36" s="6" t="n"/>
      <c r="D36" s="6" t="n"/>
      <c r="E36" s="6" t="n"/>
      <c r="F36" s="6" t="n"/>
      <c r="G36" s="6" t="n"/>
      <c r="H36" s="6" t="n"/>
      <c r="I36" s="6" t="n"/>
      <c r="J36" s="6" t="n"/>
      <c r="K36" s="6" t="n"/>
      <c r="L36" s="6" t="n"/>
      <c r="M36" s="6" t="n"/>
      <c r="N36" s="6" t="n"/>
      <c r="O36" s="6" t="n"/>
      <c r="P36" s="6" t="n"/>
      <c r="Q36" s="6" t="n"/>
      <c r="R36" s="6" t="n"/>
    </row>
    <row r="37">
      <c r="A37" s="6" t="inlineStr">
        <is>
          <t>Called up share capital</t>
        </is>
      </c>
      <c r="B37" s="6" t="n">
        <v>340000</v>
      </c>
      <c r="C37" s="6" t="n">
        <v>340000</v>
      </c>
      <c r="D37" s="6" t="n">
        <v>340000</v>
      </c>
      <c r="E37" s="6" t="n">
        <v>340000</v>
      </c>
      <c r="F37" s="6" t="n">
        <v>340000</v>
      </c>
      <c r="G37" s="6" t="n">
        <v>340000</v>
      </c>
      <c r="H37" s="6" t="n">
        <v>340000</v>
      </c>
      <c r="I37" s="6" t="n">
        <v>340000</v>
      </c>
      <c r="J37" s="6" t="n">
        <v>340000</v>
      </c>
      <c r="K37" s="6" t="n">
        <v>340000</v>
      </c>
      <c r="L37" s="6" t="n">
        <v>340000</v>
      </c>
      <c r="M37" s="6" t="n">
        <v>340000</v>
      </c>
      <c r="N37" s="6" t="n">
        <v>340000</v>
      </c>
      <c r="O37" s="6" t="n">
        <v>790000</v>
      </c>
      <c r="P37" s="6" t="n">
        <v>790000</v>
      </c>
      <c r="Q37" s="6" t="n">
        <v>790000</v>
      </c>
      <c r="R37" s="6" t="n">
        <v>790000</v>
      </c>
    </row>
    <row r="38">
      <c r="A38" s="6" t="inlineStr">
        <is>
          <t>Capital contribution reserve</t>
        </is>
      </c>
      <c r="B38" s="6" t="n">
        <v>89654</v>
      </c>
      <c r="C38" s="6" t="n">
        <v>89654</v>
      </c>
      <c r="D38" s="6" t="n">
        <v>89654</v>
      </c>
      <c r="E38" s="6" t="n">
        <v>89654</v>
      </c>
      <c r="F38" s="6" t="n">
        <v>89654</v>
      </c>
      <c r="G38" s="6" t="n">
        <v>89654</v>
      </c>
      <c r="H38" s="6" t="n">
        <v>89654</v>
      </c>
      <c r="I38" s="6" t="n">
        <v>89654</v>
      </c>
      <c r="J38" s="6" t="n">
        <v>89654</v>
      </c>
      <c r="K38" s="6" t="n">
        <v>89654</v>
      </c>
      <c r="L38" s="6" t="n">
        <v>89654</v>
      </c>
      <c r="M38" s="6" t="n">
        <v>89654</v>
      </c>
      <c r="N38" s="6" t="n">
        <v>89654</v>
      </c>
      <c r="O38" s="6" t="n">
        <v>89654</v>
      </c>
      <c r="P38" s="6" t="n">
        <v>89654</v>
      </c>
      <c r="Q38" s="6" t="n">
        <v>89654</v>
      </c>
      <c r="R38" s="6" t="n">
        <v>89654</v>
      </c>
    </row>
    <row r="39">
      <c r="A39" s="6" t="inlineStr">
        <is>
          <t>Foreign currency revaluation reserve</t>
        </is>
      </c>
      <c r="B39" s="6" t="n">
        <v>35165</v>
      </c>
      <c r="C39" s="6" t="n">
        <v>35368</v>
      </c>
      <c r="D39" s="6" t="n">
        <v>36668</v>
      </c>
      <c r="E39" s="6" t="n">
        <v>37201</v>
      </c>
      <c r="F39" s="6" t="n">
        <v>37213</v>
      </c>
      <c r="G39" s="6" t="n">
        <v>37546</v>
      </c>
      <c r="H39" s="6" t="n">
        <v>36629</v>
      </c>
      <c r="I39" s="6" t="n">
        <v>35801</v>
      </c>
      <c r="J39" s="6" t="n">
        <v>43119</v>
      </c>
      <c r="K39" s="6" t="n">
        <v>37348</v>
      </c>
      <c r="L39" s="6" t="n">
        <v>13889</v>
      </c>
      <c r="M39" s="6" t="n">
        <v>16168</v>
      </c>
      <c r="N39" s="6" t="n">
        <v>14366</v>
      </c>
      <c r="O39" s="6" t="n">
        <v>13172</v>
      </c>
      <c r="P39" s="6" t="n">
        <v>8904</v>
      </c>
      <c r="Q39" s="6" t="n">
        <v>10228</v>
      </c>
      <c r="R39" s="6" t="n">
        <v>4615</v>
      </c>
    </row>
    <row r="40">
      <c r="A40" s="6" t="inlineStr">
        <is>
          <t>Pension reserve (FY2009 only - folded into Profit and loss account from FY2010 onward, see sourcing note)</t>
        </is>
      </c>
      <c r="B40" s="6" t="n"/>
      <c r="C40" s="6" t="n"/>
      <c r="D40" s="6" t="n"/>
      <c r="E40" s="6" t="n"/>
      <c r="F40" s="6" t="n"/>
      <c r="G40" s="6" t="n"/>
      <c r="H40" s="6" t="n"/>
      <c r="I40" s="6" t="n"/>
      <c r="J40" s="6" t="n"/>
      <c r="K40" s="6" t="n"/>
      <c r="L40" s="6" t="n"/>
      <c r="M40" s="6" t="n"/>
      <c r="N40" s="6" t="n"/>
      <c r="O40" s="6" t="n"/>
      <c r="P40" s="6" t="n"/>
      <c r="Q40" s="6" t="n"/>
      <c r="R40" s="6" t="n">
        <v>252</v>
      </c>
    </row>
    <row r="41">
      <c r="A41" s="6" t="inlineStr">
        <is>
          <t>Profit and loss account</t>
        </is>
      </c>
      <c r="B41" s="6" t="n">
        <v>283082</v>
      </c>
      <c r="C41" s="6" t="n">
        <v>345463</v>
      </c>
      <c r="D41" s="6" t="n">
        <v>299661</v>
      </c>
      <c r="E41" s="6" t="n">
        <v>299369</v>
      </c>
      <c r="F41" s="6" t="n">
        <v>355116</v>
      </c>
      <c r="G41" s="6" t="n">
        <v>345161</v>
      </c>
      <c r="H41" s="6" t="n">
        <v>246686</v>
      </c>
      <c r="I41" s="6" t="n">
        <v>208738</v>
      </c>
      <c r="J41" s="6" t="n">
        <v>181903</v>
      </c>
      <c r="K41" s="6" t="n">
        <v>132207</v>
      </c>
      <c r="L41" s="6" t="n">
        <v>104236</v>
      </c>
      <c r="M41" s="6" t="n">
        <v>89485</v>
      </c>
      <c r="N41" s="6" t="n">
        <v>56784</v>
      </c>
      <c r="O41" s="6" t="n">
        <v>49631</v>
      </c>
      <c r="P41" s="6" t="n">
        <v>54150</v>
      </c>
      <c r="Q41" s="6" t="n">
        <v>-8137</v>
      </c>
      <c r="R41" s="6" t="n">
        <v>-42615</v>
      </c>
    </row>
    <row r="42">
      <c r="A42" s="5" t="inlineStr">
        <is>
          <t>Equity shareholders' funds</t>
        </is>
      </c>
      <c r="B42" s="5" t="n">
        <v>747901</v>
      </c>
      <c r="C42" s="5" t="n">
        <v>810485</v>
      </c>
      <c r="D42" s="5" t="n">
        <v>765983</v>
      </c>
      <c r="E42" s="5" t="n">
        <v>766224</v>
      </c>
      <c r="F42" s="5" t="n">
        <v>821983</v>
      </c>
      <c r="G42" s="5" t="n">
        <v>812361</v>
      </c>
      <c r="H42" s="5" t="n">
        <v>712969</v>
      </c>
      <c r="I42" s="5" t="n">
        <v>674193</v>
      </c>
      <c r="J42" s="5" t="n">
        <v>654676</v>
      </c>
      <c r="K42" s="5" t="n">
        <v>599209</v>
      </c>
      <c r="L42" s="5" t="n">
        <v>547779</v>
      </c>
      <c r="M42" s="5" t="n">
        <v>535307</v>
      </c>
      <c r="N42" s="5" t="n">
        <v>500804</v>
      </c>
      <c r="O42" s="5" t="n">
        <v>942457</v>
      </c>
      <c r="P42" s="5" t="n">
        <v>942708</v>
      </c>
      <c r="Q42" s="5" t="n">
        <v>881745</v>
      </c>
      <c r="R42" s="5" t="n">
        <v>841906</v>
      </c>
    </row>
    <row r="43">
      <c r="A43" s="5" t="inlineStr">
        <is>
          <t>Total liabilities and equity</t>
        </is>
      </c>
      <c r="B43" s="5" t="n">
        <v>4474701</v>
      </c>
      <c r="C43" s="5" t="n">
        <v>5943082</v>
      </c>
      <c r="D43" s="5" t="n">
        <v>5761181</v>
      </c>
      <c r="E43" s="5" t="n">
        <v>7691434</v>
      </c>
      <c r="F43" s="5" t="n">
        <v>5166317</v>
      </c>
      <c r="G43" s="5" t="n">
        <v>6191205</v>
      </c>
      <c r="H43" s="5" t="n">
        <v>5497256</v>
      </c>
      <c r="I43" s="5" t="n">
        <v>5178705</v>
      </c>
      <c r="J43" s="5" t="n">
        <v>5321350</v>
      </c>
      <c r="K43" s="5" t="n">
        <v>5742066</v>
      </c>
      <c r="L43" s="5" t="n">
        <v>4691096</v>
      </c>
      <c r="M43" s="5" t="n">
        <v>4974936</v>
      </c>
      <c r="N43" s="5" t="n">
        <v>6808172</v>
      </c>
      <c r="O43" s="5" t="n">
        <v>6601481</v>
      </c>
      <c r="P43" s="5" t="n">
        <v>7024262</v>
      </c>
      <c r="Q43" s="5" t="n">
        <v>8212214</v>
      </c>
      <c r="R43" s="5" t="n">
        <v>6015807</v>
      </c>
    </row>
    <row r="45" ht="260" customHeight="1">
      <c r="A45"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45:R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c r="N5" s="6" t="n">
        <v>46892</v>
      </c>
      <c r="O5" s="6" t="n">
        <v>87747</v>
      </c>
      <c r="P5" s="6" t="n">
        <v>149909</v>
      </c>
      <c r="Q5" s="6" t="n">
        <v>155163</v>
      </c>
      <c r="R5" s="6" t="n">
        <v>174453</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c r="N6" s="6" t="n">
        <v>-23086</v>
      </c>
      <c r="O6" s="6" t="n">
        <v>-73353</v>
      </c>
      <c r="P6" s="6" t="n">
        <v>-97833</v>
      </c>
      <c r="Q6" s="6" t="n">
        <v>-84753</v>
      </c>
      <c r="R6" s="6" t="n">
        <v>-93442</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c r="N7" s="5" t="n">
        <v>23806</v>
      </c>
      <c r="O7" s="5" t="n">
        <v>14394</v>
      </c>
      <c r="P7" s="5" t="n">
        <v>52076</v>
      </c>
      <c r="Q7" s="5" t="n">
        <v>70410</v>
      </c>
      <c r="R7" s="5" t="n">
        <v>81011</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c r="N8" s="6" t="n">
        <v>89400</v>
      </c>
      <c r="O8" s="6" t="n">
        <v>97048</v>
      </c>
      <c r="P8" s="6" t="n">
        <v>124883</v>
      </c>
      <c r="Q8" s="6" t="n">
        <v>84491</v>
      </c>
      <c r="R8" s="6" t="n">
        <v>79946</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c r="N9" s="6" t="n">
        <v>-6979</v>
      </c>
      <c r="O9" s="6" t="n">
        <v>-7200</v>
      </c>
      <c r="P9" s="6" t="n">
        <v>-9511</v>
      </c>
      <c r="Q9" s="6" t="n">
        <v>-7676</v>
      </c>
      <c r="R9" s="6" t="n">
        <v>-2304</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c r="N10" s="6" t="n"/>
      <c r="O10" s="6" t="n"/>
      <c r="P10" s="6" t="n"/>
      <c r="Q10" s="6" t="n"/>
      <c r="R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c r="N11" s="6" t="n">
        <v>27093</v>
      </c>
      <c r="O11" s="6" t="n">
        <v>1472</v>
      </c>
      <c r="P11" s="6" t="n">
        <v>-20927</v>
      </c>
      <c r="Q11" s="6" t="n">
        <v>-18066</v>
      </c>
      <c r="R11" s="6" t="n">
        <v>39620</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c r="N12" s="6" t="n"/>
      <c r="O12" s="6" t="n"/>
      <c r="P12" s="6" t="n"/>
      <c r="Q12" s="6" t="n"/>
      <c r="R12" s="6" t="n"/>
    </row>
    <row r="13">
      <c r="A13" s="6" t="inlineStr">
        <is>
          <t>Net gains/(losses) on financial instruments designated at fair value through profit or loss (FY2009-FY2013 label)</t>
        </is>
      </c>
      <c r="B13" s="6" t="n"/>
      <c r="C13" s="6" t="n"/>
      <c r="D13" s="6" t="n"/>
      <c r="E13" s="6" t="n"/>
      <c r="F13" s="6" t="n"/>
      <c r="G13" s="6" t="n"/>
      <c r="H13" s="6" t="n"/>
      <c r="I13" s="6" t="n"/>
      <c r="J13" s="6" t="n"/>
      <c r="K13" s="6" t="n"/>
      <c r="L13" s="6" t="n"/>
      <c r="M13" s="6" t="n"/>
      <c r="N13" s="6" t="n">
        <v>392</v>
      </c>
      <c r="O13" s="6" t="n">
        <v>1121</v>
      </c>
      <c r="P13" s="6" t="n">
        <v>1328</v>
      </c>
      <c r="Q13" s="6" t="n">
        <v>0</v>
      </c>
      <c r="R13" s="6" t="n">
        <v>0</v>
      </c>
    </row>
    <row r="14">
      <c r="A14" s="6" t="inlineStr">
        <is>
          <t>Net gains/(losses) on loans and receivables (pre-IFRS 9; FY2017 per the Company's own FY2017 report - the FY2018 report's restated FY2017 comparative instead splits this into a -389 derecognition loss and a +1,733 impairment reversal, net identical)</t>
        </is>
      </c>
      <c r="B14" s="6" t="n"/>
      <c r="C14" s="6" t="n"/>
      <c r="D14" s="6" t="n"/>
      <c r="E14" s="6" t="n"/>
      <c r="F14" s="6" t="n"/>
      <c r="G14" s="6" t="n"/>
      <c r="H14" s="6" t="n"/>
      <c r="I14" s="6" t="n"/>
      <c r="J14" s="6" t="n">
        <v>1344</v>
      </c>
      <c r="K14" s="6" t="n">
        <v>563</v>
      </c>
      <c r="L14" s="6" t="n">
        <v>-21812</v>
      </c>
      <c r="M14" s="6" t="n">
        <v>-6678</v>
      </c>
      <c r="N14" s="6" t="n">
        <v>-55839</v>
      </c>
      <c r="O14" s="6" t="n">
        <v>-27963</v>
      </c>
      <c r="P14" s="6" t="n">
        <v>9792</v>
      </c>
      <c r="Q14" s="6" t="n">
        <v>15851</v>
      </c>
      <c r="R14" s="6" t="n">
        <v>-95460</v>
      </c>
    </row>
    <row r="15">
      <c r="A15" s="6" t="inlineStr">
        <is>
          <t>Net reversal of impairment loss on financial instruments</t>
        </is>
      </c>
      <c r="B15" s="6" t="n"/>
      <c r="C15" s="6" t="n"/>
      <c r="D15" s="6" t="n"/>
      <c r="E15" s="6" t="n">
        <v>0</v>
      </c>
      <c r="F15" s="6" t="n">
        <v>416</v>
      </c>
      <c r="G15" s="6" t="n">
        <v>-406</v>
      </c>
      <c r="H15" s="6" t="n">
        <v>20</v>
      </c>
      <c r="I15" s="6" t="n">
        <v>160</v>
      </c>
      <c r="J15" s="6" t="n"/>
      <c r="K15" s="6" t="n"/>
      <c r="L15" s="6" t="n"/>
      <c r="M15" s="6" t="n"/>
      <c r="N15" s="6" t="n"/>
      <c r="O15" s="6" t="n"/>
      <c r="P15" s="6" t="n"/>
      <c r="Q15" s="6" t="n"/>
      <c r="R15" s="6" t="n"/>
    </row>
    <row r="16">
      <c r="A16" s="6" t="inlineStr">
        <is>
          <t>Gain on disposal of subsidiary</t>
        </is>
      </c>
      <c r="B16" s="6" t="n"/>
      <c r="C16" s="6" t="n"/>
      <c r="D16" s="6" t="n"/>
      <c r="E16" s="6" t="n">
        <v>93978</v>
      </c>
      <c r="F16" s="6" t="n"/>
      <c r="G16" s="6" t="n"/>
      <c r="H16" s="6" t="n"/>
      <c r="I16" s="6" t="n"/>
      <c r="J16" s="6" t="n"/>
      <c r="K16" s="6" t="n"/>
      <c r="L16" s="6" t="n"/>
      <c r="M16" s="6" t="n"/>
      <c r="N16" s="6" t="n"/>
      <c r="O16" s="6" t="n"/>
      <c r="P16" s="6" t="n"/>
      <c r="Q16" s="6" t="n"/>
      <c r="R16" s="6" t="n"/>
    </row>
    <row r="17">
      <c r="A17" s="6" t="inlineStr">
        <is>
          <t>Other operating income (FY2009-FY2013)</t>
        </is>
      </c>
      <c r="B17" s="6" t="n"/>
      <c r="C17" s="6" t="n"/>
      <c r="D17" s="6" t="n"/>
      <c r="E17" s="6" t="n"/>
      <c r="F17" s="6" t="n"/>
      <c r="G17" s="6" t="n"/>
      <c r="H17" s="6" t="n"/>
      <c r="I17" s="6" t="n"/>
      <c r="J17" s="6" t="n"/>
      <c r="K17" s="6" t="n"/>
      <c r="L17" s="6" t="n"/>
      <c r="M17" s="6" t="n"/>
      <c r="N17" s="6" t="n">
        <v>78</v>
      </c>
      <c r="O17" s="6" t="n">
        <v>198</v>
      </c>
      <c r="P17" s="6" t="n">
        <v>0</v>
      </c>
      <c r="Q17" s="6" t="n">
        <v>2</v>
      </c>
      <c r="R17" s="6" t="n">
        <v>19</v>
      </c>
    </row>
    <row r="18">
      <c r="A18" s="6" t="inlineStr">
        <is>
          <t>Gain on disposal of discontinued operations</t>
        </is>
      </c>
      <c r="B18" s="6" t="n"/>
      <c r="C18" s="6" t="n"/>
      <c r="D18" s="6" t="n"/>
      <c r="E18" s="6" t="n"/>
      <c r="F18" s="6" t="n"/>
      <c r="G18" s="6" t="n"/>
      <c r="H18" s="6" t="n"/>
      <c r="I18" s="6" t="n"/>
      <c r="J18" s="6" t="n"/>
      <c r="K18" s="6" t="n"/>
      <c r="L18" s="6" t="n"/>
      <c r="M18" s="6" t="n">
        <v>665</v>
      </c>
      <c r="N18" s="6" t="n">
        <v>1692</v>
      </c>
      <c r="O18" s="6" t="n"/>
      <c r="P18" s="6" t="n"/>
      <c r="Q18" s="6" t="n"/>
      <c r="R18" s="6" t="n"/>
    </row>
    <row r="19">
      <c r="A19" s="6" t="inlineStr">
        <is>
          <t>Administrative expenses</t>
        </is>
      </c>
      <c r="B19" s="6" t="n">
        <v>-21070</v>
      </c>
      <c r="C19" s="6" t="n">
        <v>-27722</v>
      </c>
      <c r="D19" s="6" t="n">
        <v>-34895</v>
      </c>
      <c r="E19" s="6" t="n">
        <v>-32647</v>
      </c>
      <c r="F19" s="6" t="n">
        <v>-48725</v>
      </c>
      <c r="G19" s="6" t="n">
        <v>-76126</v>
      </c>
      <c r="H19" s="6" t="n">
        <v>-81870</v>
      </c>
      <c r="I19" s="6" t="n">
        <v>-82152</v>
      </c>
      <c r="J19" s="6" t="n">
        <v>-75348</v>
      </c>
      <c r="K19" s="6" t="n">
        <v>-41791</v>
      </c>
      <c r="L19" s="6" t="n">
        <v>-44792</v>
      </c>
      <c r="M19" s="6" t="n">
        <v>-57487</v>
      </c>
      <c r="N19" s="6" t="n">
        <v>-66190</v>
      </c>
      <c r="O19" s="6" t="n">
        <v>-73750</v>
      </c>
      <c r="P19" s="6" t="n">
        <v>-74975</v>
      </c>
      <c r="Q19" s="6" t="n">
        <v>-79017</v>
      </c>
      <c r="R19" s="6" t="n">
        <v>-85141</v>
      </c>
    </row>
    <row r="20">
      <c r="A20" s="6" t="inlineStr">
        <is>
          <t>Depreciation of tangible fixed assets</t>
        </is>
      </c>
      <c r="B20" s="6" t="n">
        <v>-239</v>
      </c>
      <c r="C20" s="6" t="n">
        <v>-229</v>
      </c>
      <c r="D20" s="6" t="n">
        <v>-267</v>
      </c>
      <c r="E20" s="6" t="n">
        <v>-270</v>
      </c>
      <c r="F20" s="6" t="n">
        <v>-215</v>
      </c>
      <c r="G20" s="6" t="n">
        <v>-1058</v>
      </c>
      <c r="H20" s="6" t="n">
        <v>-1310</v>
      </c>
      <c r="I20" s="6" t="n">
        <v>-482</v>
      </c>
      <c r="J20" s="6" t="n">
        <v>-418</v>
      </c>
      <c r="K20" s="6" t="n">
        <v>-362</v>
      </c>
      <c r="L20" s="6" t="n">
        <v>-236</v>
      </c>
      <c r="M20" s="6" t="n">
        <v>-180</v>
      </c>
      <c r="N20" s="6" t="n">
        <v>-421</v>
      </c>
      <c r="O20" s="6" t="n">
        <v>-646</v>
      </c>
      <c r="P20" s="6" t="n">
        <v>-699</v>
      </c>
      <c r="Q20" s="6" t="n">
        <v>-830</v>
      </c>
      <c r="R20" s="6" t="n">
        <v>-988</v>
      </c>
    </row>
    <row r="21">
      <c r="A21" s="5" t="inlineStr">
        <is>
          <t>Profit before tax</t>
        </is>
      </c>
      <c r="B21" s="5" t="n">
        <v>50389</v>
      </c>
      <c r="C21" s="5" t="n">
        <v>64113</v>
      </c>
      <c r="D21" s="5" t="n">
        <v>31392</v>
      </c>
      <c r="E21" s="5" t="n">
        <v>105921</v>
      </c>
      <c r="F21" s="5" t="n">
        <v>16836</v>
      </c>
      <c r="G21" s="5" t="n">
        <v>123551</v>
      </c>
      <c r="H21" s="5" t="n">
        <v>45122</v>
      </c>
      <c r="I21" s="5" t="n">
        <v>37075</v>
      </c>
      <c r="J21" s="5" t="n">
        <v>57940</v>
      </c>
      <c r="K21" s="5" t="n">
        <v>42414</v>
      </c>
      <c r="L21" s="5" t="n">
        <v>28777</v>
      </c>
      <c r="M21" s="5" t="n">
        <v>33221</v>
      </c>
      <c r="N21" s="5" t="n">
        <v>13032</v>
      </c>
      <c r="O21" s="5" t="n">
        <v>4674</v>
      </c>
      <c r="P21" s="5" t="n">
        <v>81967</v>
      </c>
      <c r="Q21" s="5" t="n">
        <v>65165</v>
      </c>
      <c r="R21" s="5" t="n">
        <v>16703</v>
      </c>
    </row>
    <row r="22">
      <c r="A22" s="6" t="inlineStr">
        <is>
          <t>Income tax expense</t>
        </is>
      </c>
      <c r="B22" s="6" t="n">
        <v>-12810</v>
      </c>
      <c r="C22" s="6" t="n">
        <v>-18332</v>
      </c>
      <c r="D22" s="6" t="n">
        <v>-31078</v>
      </c>
      <c r="E22" s="6" t="n">
        <v>-11768</v>
      </c>
      <c r="F22" s="6" t="n">
        <v>-6959</v>
      </c>
      <c r="G22" s="6" t="n">
        <v>-29121</v>
      </c>
      <c r="H22" s="6" t="n">
        <v>-7000</v>
      </c>
      <c r="I22" s="6" t="n">
        <v>-9382</v>
      </c>
      <c r="J22" s="6" t="n">
        <v>-8235</v>
      </c>
      <c r="K22" s="6" t="n">
        <v>-14426</v>
      </c>
      <c r="L22" s="6" t="n">
        <v>-10643</v>
      </c>
      <c r="M22" s="6" t="n">
        <v>-2455</v>
      </c>
      <c r="N22" s="6" t="n">
        <v>-5877</v>
      </c>
      <c r="O22" s="6" t="n">
        <v>-9017</v>
      </c>
      <c r="P22" s="6" t="n">
        <v>-19568</v>
      </c>
      <c r="Q22" s="6" t="n">
        <v>-29201</v>
      </c>
      <c r="R22" s="6" t="n">
        <v>-29089</v>
      </c>
    </row>
    <row r="23">
      <c r="A23" s="5" t="inlineStr">
        <is>
          <t>Profit for the year</t>
        </is>
      </c>
      <c r="B23" s="5" t="n">
        <v>37579</v>
      </c>
      <c r="C23" s="5" t="n">
        <v>45781</v>
      </c>
      <c r="D23" s="5" t="n">
        <v>314</v>
      </c>
      <c r="E23" s="5" t="n">
        <v>94153</v>
      </c>
      <c r="F23" s="5" t="n">
        <v>9877</v>
      </c>
      <c r="G23" s="5" t="n">
        <v>94430</v>
      </c>
      <c r="H23" s="5" t="n">
        <v>38122</v>
      </c>
      <c r="I23" s="5" t="n">
        <v>27693</v>
      </c>
      <c r="J23" s="5" t="n">
        <v>49705</v>
      </c>
      <c r="K23" s="5" t="n">
        <v>27988</v>
      </c>
      <c r="L23" s="5" t="n">
        <v>18134</v>
      </c>
      <c r="M23" s="5" t="n">
        <v>30766</v>
      </c>
      <c r="N23" s="5" t="n">
        <v>7155</v>
      </c>
      <c r="O23" s="5" t="n">
        <v>-4343</v>
      </c>
      <c r="P23" s="5" t="n">
        <v>62399</v>
      </c>
      <c r="Q23" s="5" t="n">
        <v>35964</v>
      </c>
      <c r="R23" s="5" t="n">
        <v>-12386</v>
      </c>
    </row>
    <row r="24">
      <c r="A24" s="5" t="inlineStr">
        <is>
          <t>Other comprehensive income/(loss), net of tax</t>
        </is>
      </c>
      <c r="B24" s="6" t="n"/>
      <c r="C24" s="6" t="n"/>
      <c r="D24" s="6" t="n"/>
      <c r="E24" s="6" t="n"/>
      <c r="F24" s="6" t="n"/>
      <c r="G24" s="6" t="n"/>
      <c r="H24" s="6" t="n"/>
      <c r="I24" s="6" t="n"/>
      <c r="J24" s="6" t="n"/>
      <c r="K24" s="6" t="n"/>
      <c r="L24" s="6" t="n"/>
      <c r="M24" s="6" t="n"/>
      <c r="N24" s="6" t="n"/>
      <c r="O24" s="6" t="n"/>
      <c r="P24" s="6" t="n"/>
      <c r="Q24" s="6" t="n"/>
      <c r="R24" s="6" t="n"/>
    </row>
    <row r="25">
      <c r="A25" s="6" t="inlineStr">
        <is>
          <t>Remeasurement of net defined benefit liability</t>
        </is>
      </c>
      <c r="B25" s="6" t="n">
        <v>40</v>
      </c>
      <c r="C25" s="6" t="n">
        <v>21</v>
      </c>
      <c r="D25" s="6" t="n">
        <v>-22</v>
      </c>
      <c r="E25" s="6" t="n">
        <v>100</v>
      </c>
      <c r="F25" s="6" t="n">
        <v>78</v>
      </c>
      <c r="G25" s="6" t="n">
        <v>-234</v>
      </c>
      <c r="H25" s="6" t="n">
        <v>-174</v>
      </c>
      <c r="I25" s="6" t="n">
        <v>2</v>
      </c>
      <c r="J25" s="6" t="n">
        <v>-9</v>
      </c>
      <c r="K25" s="6" t="n">
        <v>-17</v>
      </c>
      <c r="L25" s="6" t="n">
        <v>195</v>
      </c>
      <c r="M25" s="6" t="n">
        <v>-124</v>
      </c>
      <c r="N25" s="6" t="n">
        <v>6</v>
      </c>
      <c r="O25" s="6" t="n">
        <v>-126</v>
      </c>
      <c r="P25" s="6" t="n">
        <v>48</v>
      </c>
      <c r="Q25" s="6" t="n">
        <v>-109</v>
      </c>
      <c r="R25" s="6" t="n">
        <v>-634</v>
      </c>
    </row>
    <row r="26">
      <c r="A26" s="6" t="inlineStr">
        <is>
          <t>Foreign currency translation differences arising on foreign operations</t>
        </is>
      </c>
      <c r="B26" s="6" t="n">
        <v>-8951</v>
      </c>
      <c r="C26" s="6" t="n">
        <v>-19706</v>
      </c>
      <c r="D26" s="6" t="n">
        <v>-15179</v>
      </c>
      <c r="E26" s="6" t="n">
        <v>10400</v>
      </c>
      <c r="F26" s="6" t="n">
        <v>-14755</v>
      </c>
      <c r="G26" s="6" t="n">
        <v>6114</v>
      </c>
      <c r="H26" s="6" t="n">
        <v>-12707</v>
      </c>
      <c r="I26" s="6" t="n">
        <v>2752</v>
      </c>
      <c r="J26" s="6" t="n">
        <v>5771</v>
      </c>
      <c r="K26" s="6" t="n">
        <v>23459</v>
      </c>
      <c r="L26" s="6" t="n">
        <v>-2279</v>
      </c>
      <c r="M26" s="6" t="n">
        <v>1802</v>
      </c>
      <c r="N26" s="6" t="n">
        <v>1194</v>
      </c>
      <c r="O26" s="6" t="n">
        <v>4268</v>
      </c>
      <c r="P26" s="6" t="n">
        <v>-1324</v>
      </c>
      <c r="Q26" s="6" t="n">
        <v>5613</v>
      </c>
      <c r="R26" s="6" t="n">
        <v>2142</v>
      </c>
    </row>
    <row r="27">
      <c r="A27" s="6" t="inlineStr">
        <is>
          <t>Gain/(loss) arising on hedging instruments designated in net investment hedges</t>
        </is>
      </c>
      <c r="B27" s="6" t="n">
        <v>8748</v>
      </c>
      <c r="C27" s="6" t="n">
        <v>18406</v>
      </c>
      <c r="D27" s="6" t="n">
        <v>14646</v>
      </c>
      <c r="E27" s="6" t="n">
        <v>-10412</v>
      </c>
      <c r="F27" s="6" t="n">
        <v>14422</v>
      </c>
      <c r="G27" s="6" t="n">
        <v>-5197</v>
      </c>
      <c r="H27" s="6" t="n">
        <v>13535</v>
      </c>
      <c r="I27" s="6" t="n">
        <v>-10070</v>
      </c>
      <c r="J27" s="6" t="n"/>
      <c r="K27" s="6" t="n"/>
      <c r="L27" s="6" t="n"/>
      <c r="M27" s="6" t="n"/>
      <c r="N27" s="6" t="n"/>
      <c r="O27" s="6" t="n"/>
      <c r="P27" s="6" t="n"/>
      <c r="Q27" s="6" t="n"/>
      <c r="R27" s="6" t="n"/>
    </row>
    <row r="28">
      <c r="A28" s="5" t="inlineStr">
        <is>
          <t>Other comprehensive income/(loss) after income tax</t>
        </is>
      </c>
      <c r="B28" s="5" t="n">
        <v>-163</v>
      </c>
      <c r="C28" s="5" t="n">
        <v>-1279</v>
      </c>
      <c r="D28" s="5" t="n">
        <v>-555</v>
      </c>
      <c r="E28" s="5" t="n">
        <v>88</v>
      </c>
      <c r="F28" s="5" t="n">
        <v>-255</v>
      </c>
      <c r="G28" s="5" t="n">
        <v>683</v>
      </c>
      <c r="H28" s="5" t="n">
        <v>654</v>
      </c>
      <c r="I28" s="5" t="n">
        <v>-7316</v>
      </c>
      <c r="J28" s="5" t="n">
        <v>5762</v>
      </c>
      <c r="K28" s="5" t="n">
        <v>23442</v>
      </c>
      <c r="L28" s="5" t="n">
        <v>-2084</v>
      </c>
      <c r="M28" s="5" t="n">
        <v>1678</v>
      </c>
      <c r="N28" s="5" t="n">
        <v>1200</v>
      </c>
      <c r="O28" s="5" t="n">
        <v>4142</v>
      </c>
      <c r="P28" s="5" t="n">
        <v>-1276</v>
      </c>
      <c r="Q28" s="5" t="n">
        <v>5504</v>
      </c>
      <c r="R28" s="5" t="n">
        <v>1508</v>
      </c>
    </row>
    <row r="29">
      <c r="A29" s="5" t="inlineStr">
        <is>
          <t>Total comprehensive income for the year</t>
        </is>
      </c>
      <c r="B29" s="5" t="n">
        <v>37416</v>
      </c>
      <c r="C29" s="5" t="n">
        <v>44502</v>
      </c>
      <c r="D29" s="5" t="n">
        <v>-241</v>
      </c>
      <c r="E29" s="5" t="n">
        <v>94241</v>
      </c>
      <c r="F29" s="5" t="n">
        <v>9622</v>
      </c>
      <c r="G29" s="5" t="n">
        <v>95113</v>
      </c>
      <c r="H29" s="5" t="n">
        <v>38776</v>
      </c>
      <c r="I29" s="5" t="n">
        <v>20377</v>
      </c>
      <c r="J29" s="5" t="n">
        <v>55467</v>
      </c>
      <c r="K29" s="5" t="n">
        <v>51430</v>
      </c>
      <c r="L29" s="5" t="n">
        <v>16050</v>
      </c>
      <c r="M29" s="5" t="n">
        <v>32444</v>
      </c>
      <c r="N29" s="5" t="n">
        <v>8355</v>
      </c>
      <c r="O29" s="5" t="n">
        <v>-201</v>
      </c>
      <c r="P29" s="5" t="n">
        <v>61123</v>
      </c>
      <c r="Q29" s="5" t="n">
        <v>41468</v>
      </c>
      <c r="R29" s="5" t="n">
        <v>-10878</v>
      </c>
    </row>
    <row r="31" ht="260" customHeight="1">
      <c r="A3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31:R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 HD-073 (2026-09-06) FY2009-FY2013 extension: every year's own closing balance ties exactly to the Balance Sheet's own Total equity, sourced from each year's own Note 25/26 reconciliation (FY2009 Annual Report Note 25; FY2011 and FY2013 Annual Reports' own Note 26, which also carry the FY2010 and FY2012 comparatives respectively) - zero plug rows needed anywhere in this span. FY2009's Balance Sheet shows a separate 'Pension reserve' equity component (£252k at 31 December 2009) not present in any later year; it is folded into this sheet's Profit and loss account column throughout FY2009 (both opening and closing), matching how the Company's own FY2011 Annual Report already presents the FY2010 opening/closing balances with no separate Pension reserve column - a genuine presentational change on the Company's part, not one introduced by this project.</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2009 (FY2009 opening, per the FY2009 Annual Report's own Note 25 - the 'Pension reserve' component (£886k) is folded into this Profit and loss account column here, matching how the Company's own later Annual Reports (FY2011 onward) present this same balance with no separate Pension reserve column at all - see sourcing note)</t>
        </is>
      </c>
      <c r="B4" s="5" t="n">
        <v>790000</v>
      </c>
      <c r="C4" s="5" t="n">
        <v>89654</v>
      </c>
      <c r="D4" s="5" t="n">
        <v>2473</v>
      </c>
      <c r="E4" s="5" t="n">
        <v>-30588</v>
      </c>
      <c r="F4" s="5" t="n">
        <v>851539</v>
      </c>
    </row>
    <row r="5">
      <c r="A5" s="6" t="inlineStr">
        <is>
          <t>Profit/(loss) for the period</t>
        </is>
      </c>
      <c r="B5" s="6" t="n"/>
      <c r="C5" s="6" t="n"/>
      <c r="D5" s="6" t="n"/>
      <c r="E5" s="6" t="n">
        <v>-12386</v>
      </c>
      <c r="F5" s="6" t="n">
        <v>-12386</v>
      </c>
    </row>
    <row r="6">
      <c r="A6" s="6" t="inlineStr">
        <is>
          <t>Remeasurement of net defined benefit pension liability, net of deferred tax (folded into the Profit and loss account column per Note 25 - see above)</t>
        </is>
      </c>
      <c r="B6" s="6" t="n"/>
      <c r="C6" s="6" t="n"/>
      <c r="D6" s="6" t="n"/>
      <c r="E6" s="6" t="n">
        <v>-634</v>
      </c>
      <c r="F6" s="6" t="n">
        <v>-634</v>
      </c>
    </row>
    <row r="7">
      <c r="A7" s="6" t="inlineStr">
        <is>
          <t>Foreign currency translation differences arising during the period</t>
        </is>
      </c>
      <c r="B7" s="6" t="n"/>
      <c r="C7" s="6" t="n"/>
      <c r="D7" s="6" t="n">
        <v>2142</v>
      </c>
      <c r="E7" s="6" t="n"/>
      <c r="F7" s="6" t="n">
        <v>2142</v>
      </c>
    </row>
    <row r="8">
      <c r="A8" s="6" t="inlineStr">
        <is>
          <t>Share-based payments</t>
        </is>
      </c>
      <c r="B8" s="6" t="n"/>
      <c r="C8" s="6" t="n"/>
      <c r="D8" s="6" t="n"/>
      <c r="E8" s="6" t="n">
        <v>1245</v>
      </c>
      <c r="F8" s="6" t="n">
        <v>1245</v>
      </c>
    </row>
    <row r="9">
      <c r="A9" s="5" t="inlineStr">
        <is>
          <t>At 31 December 2009 (FY2009 closing, per the Company's own FY2009 Annual Report Note 25)</t>
        </is>
      </c>
      <c r="B9" s="5" t="n">
        <v>790000</v>
      </c>
      <c r="C9" s="5" t="n">
        <v>89654</v>
      </c>
      <c r="D9" s="5" t="n">
        <v>4615</v>
      </c>
      <c r="E9" s="5" t="n">
        <v>-42363</v>
      </c>
      <c r="F9" s="5" t="n">
        <v>841906</v>
      </c>
    </row>
    <row r="10">
      <c r="A10" s="6" t="inlineStr">
        <is>
          <t>Profit for the year</t>
        </is>
      </c>
      <c r="B10" s="6" t="n"/>
      <c r="C10" s="6" t="n"/>
      <c r="D10" s="6" t="n"/>
      <c r="E10" s="6" t="n">
        <v>35964</v>
      </c>
      <c r="F10" s="6" t="n">
        <v>35964</v>
      </c>
    </row>
    <row r="11">
      <c r="A11" s="6" t="inlineStr">
        <is>
          <t>Remeasurement loss on net defined benefit liability</t>
        </is>
      </c>
      <c r="B11" s="6" t="n"/>
      <c r="C11" s="6" t="n"/>
      <c r="D11" s="6" t="n"/>
      <c r="E11" s="6" t="n">
        <v>-109</v>
      </c>
      <c r="F11" s="6" t="n">
        <v>-109</v>
      </c>
    </row>
    <row r="12">
      <c r="A12" s="6" t="inlineStr">
        <is>
          <t>Foreign currency translation differences arising during the year</t>
        </is>
      </c>
      <c r="B12" s="6" t="n"/>
      <c r="C12" s="6" t="n"/>
      <c r="D12" s="6" t="n">
        <v>5613</v>
      </c>
      <c r="E12" s="6" t="n"/>
      <c r="F12" s="6" t="n">
        <v>5613</v>
      </c>
    </row>
    <row r="13">
      <c r="A13" s="6" t="inlineStr">
        <is>
          <t>Share-based payments</t>
        </is>
      </c>
      <c r="B13" s="6" t="n"/>
      <c r="C13" s="6" t="n"/>
      <c r="D13" s="6" t="n"/>
      <c r="E13" s="6" t="n">
        <v>-1629</v>
      </c>
      <c r="F13" s="6" t="n">
        <v>-1629</v>
      </c>
    </row>
    <row r="14">
      <c r="A14" s="5" t="inlineStr">
        <is>
          <t>At 31 December 2010 (FY2010 closing, per the FY2011 Annual Report's own Note 26 comparative)</t>
        </is>
      </c>
      <c r="B14" s="5" t="n">
        <v>790000</v>
      </c>
      <c r="C14" s="5" t="n">
        <v>89654</v>
      </c>
      <c r="D14" s="5" t="n">
        <v>10228</v>
      </c>
      <c r="E14" s="5" t="n">
        <v>-8137</v>
      </c>
      <c r="F14" s="5" t="n">
        <v>881745</v>
      </c>
    </row>
    <row r="15">
      <c r="A15" s="6" t="inlineStr">
        <is>
          <t>Profit for the year</t>
        </is>
      </c>
      <c r="B15" s="6" t="n"/>
      <c r="C15" s="6" t="n"/>
      <c r="D15" s="6" t="n"/>
      <c r="E15" s="6" t="n">
        <v>62399</v>
      </c>
      <c r="F15" s="6" t="n">
        <v>62399</v>
      </c>
    </row>
    <row r="16">
      <c r="A16" s="6" t="inlineStr">
        <is>
          <t>Remeasurement gain on net defined benefit liability</t>
        </is>
      </c>
      <c r="B16" s="6" t="n"/>
      <c r="C16" s="6" t="n"/>
      <c r="D16" s="6" t="n"/>
      <c r="E16" s="6" t="n">
        <v>48</v>
      </c>
      <c r="F16" s="6" t="n">
        <v>48</v>
      </c>
    </row>
    <row r="17">
      <c r="A17" s="6" t="inlineStr">
        <is>
          <t>Foreign currency translation differences arising during the year</t>
        </is>
      </c>
      <c r="B17" s="6" t="n"/>
      <c r="C17" s="6" t="n"/>
      <c r="D17" s="6" t="n">
        <v>-1324</v>
      </c>
      <c r="E17" s="6" t="n"/>
      <c r="F17" s="6" t="n">
        <v>-1324</v>
      </c>
    </row>
    <row r="18">
      <c r="A18" s="6" t="inlineStr">
        <is>
          <t>Share-based payments</t>
        </is>
      </c>
      <c r="B18" s="6" t="n"/>
      <c r="C18" s="6" t="n"/>
      <c r="D18" s="6" t="n"/>
      <c r="E18" s="6" t="n">
        <v>-160</v>
      </c>
      <c r="F18" s="6" t="n">
        <v>-160</v>
      </c>
    </row>
    <row r="19">
      <c r="A19" s="5" t="inlineStr">
        <is>
          <t>At 31 December 2011 (FY2011 closing, per the Company's own FY2011 Annual Report Note 26)</t>
        </is>
      </c>
      <c r="B19" s="5" t="n">
        <v>790000</v>
      </c>
      <c r="C19" s="5" t="n">
        <v>89654</v>
      </c>
      <c r="D19" s="5" t="n">
        <v>8904</v>
      </c>
      <c r="E19" s="5" t="n">
        <v>54150</v>
      </c>
      <c r="F19" s="5" t="n">
        <v>942708</v>
      </c>
    </row>
    <row r="20">
      <c r="A20" s="6" t="inlineStr">
        <is>
          <t>Profit/(loss) for the year</t>
        </is>
      </c>
      <c r="B20" s="6" t="n"/>
      <c r="C20" s="6" t="n"/>
      <c r="D20" s="6" t="n"/>
      <c r="E20" s="6" t="n">
        <v>-4343</v>
      </c>
      <c r="F20" s="6" t="n">
        <v>-4343</v>
      </c>
    </row>
    <row r="21">
      <c r="A21" s="6" t="inlineStr">
        <is>
          <t>Remeasurement loss on net defined benefit liability</t>
        </is>
      </c>
      <c r="B21" s="6" t="n"/>
      <c r="C21" s="6" t="n"/>
      <c r="D21" s="6" t="n"/>
      <c r="E21" s="6" t="n">
        <v>-126</v>
      </c>
      <c r="F21" s="6" t="n">
        <v>-126</v>
      </c>
    </row>
    <row r="22">
      <c r="A22" s="6" t="inlineStr">
        <is>
          <t>Foreign currency translation differences arising during the year</t>
        </is>
      </c>
      <c r="B22" s="6" t="n"/>
      <c r="C22" s="6" t="n"/>
      <c r="D22" s="6" t="n">
        <v>4268</v>
      </c>
      <c r="E22" s="6" t="n"/>
      <c r="F22" s="6" t="n">
        <v>4268</v>
      </c>
    </row>
    <row r="23">
      <c r="A23" s="6" t="inlineStr">
        <is>
          <t>Share-based payments</t>
        </is>
      </c>
      <c r="B23" s="6" t="n"/>
      <c r="C23" s="6" t="n"/>
      <c r="D23" s="6" t="n"/>
      <c r="E23" s="6" t="n">
        <v>-50</v>
      </c>
      <c r="F23" s="6" t="n">
        <v>-50</v>
      </c>
    </row>
    <row r="24">
      <c r="A24" s="5" t="inlineStr">
        <is>
          <t>At 31 December 2012 (FY2012 closing, per the FY2013 Annual Report's own Note 26 comparative)</t>
        </is>
      </c>
      <c r="B24" s="5" t="n">
        <v>790000</v>
      </c>
      <c r="C24" s="5" t="n">
        <v>89654</v>
      </c>
      <c r="D24" s="5" t="n">
        <v>13172</v>
      </c>
      <c r="E24" s="5" t="n">
        <v>49631</v>
      </c>
      <c r="F24" s="5" t="n">
        <v>942457</v>
      </c>
    </row>
    <row r="25">
      <c r="A25" s="6" t="inlineStr">
        <is>
          <t>Share capital reduction (27 September 2013 - 450,000,000 £1 ordinary shares redeemed for a £450,000k consideration)</t>
        </is>
      </c>
      <c r="B25" s="6" t="n">
        <v>-450000</v>
      </c>
      <c r="C25" s="6" t="n"/>
      <c r="D25" s="6" t="n"/>
      <c r="E25" s="6" t="n"/>
      <c r="F25" s="6" t="n">
        <v>-450000</v>
      </c>
    </row>
    <row r="26">
      <c r="A26" s="6" t="inlineStr">
        <is>
          <t>Profit for the year</t>
        </is>
      </c>
      <c r="B26" s="6" t="n"/>
      <c r="C26" s="6" t="n"/>
      <c r="D26" s="6" t="n"/>
      <c r="E26" s="6" t="n">
        <v>7155</v>
      </c>
      <c r="F26" s="6" t="n">
        <v>7155</v>
      </c>
    </row>
    <row r="27">
      <c r="A27" s="6" t="inlineStr">
        <is>
          <t>Remeasurement gain on net defined benefit liability</t>
        </is>
      </c>
      <c r="B27" s="6" t="n"/>
      <c r="C27" s="6" t="n"/>
      <c r="D27" s="6" t="n"/>
      <c r="E27" s="6" t="n">
        <v>6</v>
      </c>
      <c r="F27" s="6" t="n">
        <v>6</v>
      </c>
    </row>
    <row r="28">
      <c r="A28" s="6" t="inlineStr">
        <is>
          <t>Foreign currency translation differences arising during the year</t>
        </is>
      </c>
      <c r="B28" s="6" t="n"/>
      <c r="C28" s="6" t="n"/>
      <c r="D28" s="6" t="n">
        <v>1194</v>
      </c>
      <c r="E28" s="6" t="n"/>
      <c r="F28" s="6" t="n">
        <v>1194</v>
      </c>
    </row>
    <row r="29">
      <c r="A29" s="6" t="inlineStr">
        <is>
          <t>Share-based payments</t>
        </is>
      </c>
      <c r="B29" s="6" t="n"/>
      <c r="C29" s="6" t="n"/>
      <c r="D29" s="6" t="n"/>
      <c r="E29" s="6" t="n">
        <v>-8</v>
      </c>
      <c r="F29" s="6" t="n">
        <v>-8</v>
      </c>
    </row>
    <row r="30">
      <c r="A30" s="5" t="inlineStr">
        <is>
          <t>At 1 January 2014 (FY2014 opening, per FY2014 Annual Report's own 2013 comparative)</t>
        </is>
      </c>
      <c r="B30" s="5" t="n">
        <v>340000</v>
      </c>
      <c r="C30" s="5" t="n">
        <v>89654</v>
      </c>
      <c r="D30" s="5" t="n">
        <v>14366</v>
      </c>
      <c r="E30" s="5" t="n">
        <v>56784</v>
      </c>
      <c r="F30" s="5" t="n">
        <v>500804</v>
      </c>
    </row>
    <row r="31">
      <c r="A31" s="6" t="inlineStr">
        <is>
          <t>Profit for the year</t>
        </is>
      </c>
      <c r="B31" s="6" t="n"/>
      <c r="C31" s="6" t="n"/>
      <c r="D31" s="6" t="n"/>
      <c r="E31" s="6" t="n">
        <v>30766</v>
      </c>
      <c r="F31" s="6" t="n">
        <v>30766</v>
      </c>
    </row>
    <row r="32">
      <c r="A32" s="6" t="inlineStr">
        <is>
          <t>Foreign currency translation differences arising during the year</t>
        </is>
      </c>
      <c r="B32" s="6" t="n"/>
      <c r="C32" s="6" t="n"/>
      <c r="D32" s="6" t="n">
        <v>1802</v>
      </c>
      <c r="E32" s="6" t="n"/>
      <c r="F32" s="6" t="n">
        <v>1802</v>
      </c>
    </row>
    <row r="33">
      <c r="A33" s="6" t="inlineStr">
        <is>
          <t>Actuarial loss on defined benefit scheme, net of deferred tax</t>
        </is>
      </c>
      <c r="B33" s="6" t="n"/>
      <c r="C33" s="6" t="n"/>
      <c r="D33" s="6" t="n"/>
      <c r="E33" s="6" t="n">
        <v>-124</v>
      </c>
      <c r="F33" s="6" t="n">
        <v>-124</v>
      </c>
    </row>
    <row r="34">
      <c r="A34" s="6" t="inlineStr">
        <is>
          <t>Consideration received on transfer of Investment Management business (Note 10)</t>
        </is>
      </c>
      <c r="B34" s="6" t="n"/>
      <c r="C34" s="6" t="n"/>
      <c r="D34" s="6" t="n"/>
      <c r="E34" s="6" t="n">
        <v>2839</v>
      </c>
      <c r="F34" s="6" t="n">
        <v>2839</v>
      </c>
    </row>
    <row r="35">
      <c r="A35" s="6" t="inlineStr">
        <is>
          <t>Other equity movements (per Note 26; residual not separately itemised in the source reviewed)</t>
        </is>
      </c>
      <c r="B35" s="6" t="n"/>
      <c r="C35" s="6" t="n"/>
      <c r="D35" s="6" t="n"/>
      <c r="E35" s="6" t="n">
        <v>-780</v>
      </c>
      <c r="F35" s="6" t="n">
        <v>-780</v>
      </c>
    </row>
    <row r="36">
      <c r="A36" s="5" t="inlineStr">
        <is>
          <t>At 31 December 2014 (FY2014 closing, per the Company's own FY2014 Annual Report)</t>
        </is>
      </c>
      <c r="B36" s="5" t="n">
        <v>340000</v>
      </c>
      <c r="C36" s="5" t="n">
        <v>89654</v>
      </c>
      <c r="D36" s="5" t="n">
        <v>16168</v>
      </c>
      <c r="E36" s="5" t="n">
        <v>89485</v>
      </c>
      <c r="F36" s="5" t="n">
        <v>535307</v>
      </c>
    </row>
    <row r="37">
      <c r="A37" s="6" t="inlineStr">
        <is>
          <t>Restatement of opening P&amp;L account balance (per the FY2015/FY2016 Annual Reports' own FY2015 opening comparative; the £3,578k difference is not itemised in any source reviewed)</t>
        </is>
      </c>
      <c r="B37" s="6" t="n"/>
      <c r="C37" s="6" t="n"/>
      <c r="D37" s="6" t="n"/>
      <c r="E37" s="6" t="n">
        <v>-3578</v>
      </c>
      <c r="F37" s="6" t="n">
        <v>-3578</v>
      </c>
    </row>
    <row r="38">
      <c r="A38" s="5" t="inlineStr">
        <is>
          <t>At 1 January 2015 (FY2015 opening, restated)</t>
        </is>
      </c>
      <c r="B38" s="5" t="n">
        <v>340000</v>
      </c>
      <c r="C38" s="5" t="n">
        <v>89654</v>
      </c>
      <c r="D38" s="5" t="n">
        <v>16168</v>
      </c>
      <c r="E38" s="5" t="n">
        <v>85907</v>
      </c>
      <c r="F38" s="5" t="n">
        <v>531729</v>
      </c>
    </row>
    <row r="39">
      <c r="A39" s="6" t="inlineStr">
        <is>
          <t>Profit for the year</t>
        </is>
      </c>
      <c r="B39" s="6" t="n"/>
      <c r="C39" s="6" t="n"/>
      <c r="D39" s="6" t="n"/>
      <c r="E39" s="6" t="n">
        <v>18134</v>
      </c>
      <c r="F39" s="6" t="n">
        <v>18134</v>
      </c>
    </row>
    <row r="40">
      <c r="A40" s="6" t="inlineStr">
        <is>
          <t>Foreign currency translation differences arising during the year</t>
        </is>
      </c>
      <c r="B40" s="6" t="n"/>
      <c r="C40" s="6" t="n"/>
      <c r="D40" s="6" t="n">
        <v>-2279</v>
      </c>
      <c r="E40" s="6" t="n"/>
      <c r="F40" s="6" t="n">
        <v>-2279</v>
      </c>
    </row>
    <row r="41">
      <c r="A41" s="6" t="inlineStr">
        <is>
          <t>Remeasurement gain on net defined benefit liability</t>
        </is>
      </c>
      <c r="B41" s="6" t="n"/>
      <c r="C41" s="6" t="n"/>
      <c r="D41" s="6" t="n"/>
      <c r="E41" s="6" t="n">
        <v>195</v>
      </c>
      <c r="F41" s="6" t="n">
        <v>195</v>
      </c>
    </row>
    <row r="42">
      <c r="A42" s="5" t="inlineStr">
        <is>
          <t>At 31 December 2015 (FY2015 closing)</t>
        </is>
      </c>
      <c r="B42" s="5" t="n">
        <v>340000</v>
      </c>
      <c r="C42" s="5" t="n">
        <v>89654</v>
      </c>
      <c r="D42" s="5" t="n">
        <v>13889</v>
      </c>
      <c r="E42" s="5" t="n">
        <v>104236</v>
      </c>
      <c r="F42" s="5" t="n">
        <v>547779</v>
      </c>
    </row>
    <row r="43">
      <c r="A43" s="6" t="inlineStr">
        <is>
          <t>Profit for the year</t>
        </is>
      </c>
      <c r="B43" s="6" t="n"/>
      <c r="C43" s="6" t="n"/>
      <c r="D43" s="6" t="n"/>
      <c r="E43" s="6" t="n">
        <v>27988</v>
      </c>
      <c r="F43" s="6" t="n">
        <v>27988</v>
      </c>
    </row>
    <row r="44">
      <c r="A44" s="6" t="inlineStr">
        <is>
          <t>Foreign currency translation differences arising during the year</t>
        </is>
      </c>
      <c r="B44" s="6" t="n"/>
      <c r="C44" s="6" t="n"/>
      <c r="D44" s="6" t="n">
        <v>23459</v>
      </c>
      <c r="E44" s="6" t="n"/>
      <c r="F44" s="6" t="n">
        <v>23459</v>
      </c>
    </row>
    <row r="45">
      <c r="A45" s="6" t="inlineStr">
        <is>
          <t>Remeasurement loss on net defined benefit liability</t>
        </is>
      </c>
      <c r="B45" s="6" t="n"/>
      <c r="C45" s="6" t="n"/>
      <c r="D45" s="6" t="n"/>
      <c r="E45" s="6" t="n">
        <v>-17</v>
      </c>
      <c r="F45" s="6" t="n">
        <v>-17</v>
      </c>
    </row>
    <row r="46">
      <c r="A46" s="5" t="inlineStr">
        <is>
          <t>At 31 December 2016 (FY2016 closing)</t>
        </is>
      </c>
      <c r="B46" s="5" t="n">
        <v>340000</v>
      </c>
      <c r="C46" s="5" t="n">
        <v>89654</v>
      </c>
      <c r="D46" s="5" t="n">
        <v>37348</v>
      </c>
      <c r="E46" s="5" t="n">
        <v>132207</v>
      </c>
      <c r="F46" s="5" t="n">
        <v>599209</v>
      </c>
    </row>
    <row r="47">
      <c r="A47" s="6" t="inlineStr">
        <is>
          <t>Profit for the year</t>
        </is>
      </c>
      <c r="B47" s="6" t="n"/>
      <c r="C47" s="6" t="n"/>
      <c r="D47" s="6" t="n"/>
      <c r="E47" s="6" t="n">
        <v>49705</v>
      </c>
      <c r="F47" s="6" t="n">
        <v>49705</v>
      </c>
    </row>
    <row r="48">
      <c r="A48" s="6" t="inlineStr">
        <is>
          <t>Foreign currency translation differences arising during the year</t>
        </is>
      </c>
      <c r="B48" s="6" t="n"/>
      <c r="C48" s="6" t="n"/>
      <c r="D48" s="6" t="n">
        <v>5771</v>
      </c>
      <c r="E48" s="6" t="n"/>
      <c r="F48" s="6" t="n">
        <v>5771</v>
      </c>
    </row>
    <row r="49">
      <c r="A49" s="6" t="inlineStr">
        <is>
          <t>Remeasurement loss on net defined benefit liability</t>
        </is>
      </c>
      <c r="B49" s="6" t="n"/>
      <c r="C49" s="6" t="n"/>
      <c r="D49" s="6" t="n"/>
      <c r="E49" s="6" t="n">
        <v>-9</v>
      </c>
      <c r="F49" s="6" t="n">
        <v>-9</v>
      </c>
    </row>
    <row r="50">
      <c r="A50" s="5" t="inlineStr">
        <is>
          <t>At 31 December 2017 (FY2017 closing)</t>
        </is>
      </c>
      <c r="B50" s="5" t="n">
        <v>340000</v>
      </c>
      <c r="C50" s="5" t="n">
        <v>89654</v>
      </c>
      <c r="D50" s="5" t="n">
        <v>43119</v>
      </c>
      <c r="E50" s="5" t="n">
        <v>181903</v>
      </c>
      <c r="F50" s="5" t="n">
        <v>654676</v>
      </c>
    </row>
    <row r="51">
      <c r="A51" s="6" t="inlineStr">
        <is>
          <t>Impact of adoption of new accounting standards (IFRS 9)</t>
        </is>
      </c>
      <c r="B51" s="6" t="n"/>
      <c r="C51" s="6" t="n"/>
      <c r="D51" s="6" t="n"/>
      <c r="E51" s="6" t="n">
        <v>-860</v>
      </c>
      <c r="F51" s="6" t="n">
        <v>-860</v>
      </c>
    </row>
    <row r="52">
      <c r="A52" s="6" t="inlineStr">
        <is>
          <t>Profit for the year</t>
        </is>
      </c>
      <c r="B52" s="6" t="n"/>
      <c r="C52" s="6" t="n"/>
      <c r="D52" s="6" t="n"/>
      <c r="E52" s="6" t="n">
        <v>27693</v>
      </c>
      <c r="F52" s="6" t="n">
        <v>27693</v>
      </c>
    </row>
    <row r="53">
      <c r="A53" s="6" t="inlineStr">
        <is>
          <t>Remeasurement gain on net defined benefit liability</t>
        </is>
      </c>
      <c r="B53" s="6" t="n"/>
      <c r="C53" s="6" t="n"/>
      <c r="D53" s="6" t="n"/>
      <c r="E53" s="6" t="n">
        <v>2</v>
      </c>
      <c r="F53" s="6" t="n">
        <v>2</v>
      </c>
    </row>
    <row r="54">
      <c r="A54" s="6" t="inlineStr">
        <is>
          <t>Foreign currency translation differences arising on foreign operations</t>
        </is>
      </c>
      <c r="B54" s="6" t="n"/>
      <c r="C54" s="6" t="n"/>
      <c r="D54" s="6" t="n">
        <v>2752</v>
      </c>
      <c r="E54" s="6" t="n"/>
      <c r="F54" s="6" t="n">
        <v>2752</v>
      </c>
    </row>
    <row r="55">
      <c r="A55" s="6" t="inlineStr">
        <is>
          <t>Loss arising on hedging instruments designated in net investment hedges</t>
        </is>
      </c>
      <c r="B55" s="6" t="n"/>
      <c r="C55" s="6" t="n"/>
      <c r="D55" s="6" t="n">
        <v>-10070</v>
      </c>
      <c r="E55" s="6" t="n"/>
      <c r="F55" s="6" t="n">
        <v>-10070</v>
      </c>
    </row>
    <row r="56">
      <c r="A56" s="5" t="inlineStr">
        <is>
          <t>At 31 December 2018 (FY2018 closing)</t>
        </is>
      </c>
      <c r="B56" s="5" t="n">
        <v>340000</v>
      </c>
      <c r="C56" s="5" t="n">
        <v>89654</v>
      </c>
      <c r="D56" s="5" t="n">
        <v>35801</v>
      </c>
      <c r="E56" s="5" t="n">
        <v>208738</v>
      </c>
      <c r="F56" s="5" t="n">
        <v>674193</v>
      </c>
    </row>
    <row r="57">
      <c r="A57" s="6" t="inlineStr">
        <is>
          <t>Impact of adoption of new accounting standards</t>
        </is>
      </c>
      <c r="B57" s="6" t="n"/>
      <c r="C57" s="6" t="n"/>
      <c r="D57" s="6" t="n"/>
      <c r="E57" s="6" t="n">
        <v>-174</v>
      </c>
      <c r="F57" s="6" t="n">
        <v>-174</v>
      </c>
    </row>
    <row r="58">
      <c r="A58" s="6" t="inlineStr">
        <is>
          <t>Profit for the year</t>
        </is>
      </c>
      <c r="B58" s="6" t="n"/>
      <c r="C58" s="6" t="n"/>
      <c r="D58" s="6" t="n"/>
      <c r="E58" s="6" t="n">
        <v>38122</v>
      </c>
      <c r="F58" s="6" t="n">
        <v>38122</v>
      </c>
    </row>
    <row r="59">
      <c r="A59" s="6" t="inlineStr">
        <is>
          <t>Other comprehensive income (FY2019: not split into components in the Statement of Changes in Equity itself)</t>
        </is>
      </c>
      <c r="B59" s="6" t="n"/>
      <c r="C59" s="6" t="n"/>
      <c r="D59" s="6" t="n">
        <v>828</v>
      </c>
      <c r="E59" s="6" t="n"/>
      <c r="F59" s="6" t="n">
        <v>828</v>
      </c>
    </row>
    <row r="60">
      <c r="A60" s="5" t="inlineStr">
        <is>
          <t>At 31 December 2019 (FY2019 closing)</t>
        </is>
      </c>
      <c r="B60" s="5" t="n">
        <v>340000</v>
      </c>
      <c r="C60" s="5" t="n">
        <v>89654</v>
      </c>
      <c r="D60" s="5" t="n">
        <v>36629</v>
      </c>
      <c r="E60" s="5" t="n">
        <v>246686</v>
      </c>
      <c r="F60" s="5" t="n">
        <v>712969</v>
      </c>
    </row>
    <row r="61">
      <c r="A61" s="6" t="inlineStr">
        <is>
          <t>Profit for the year</t>
        </is>
      </c>
      <c r="B61" s="6" t="n"/>
      <c r="C61" s="6" t="n"/>
      <c r="D61" s="6" t="n"/>
      <c r="E61" s="6" t="n">
        <v>94430</v>
      </c>
      <c r="F61" s="6" t="n">
        <v>94430</v>
      </c>
    </row>
    <row r="62">
      <c r="A62" s="6" t="inlineStr">
        <is>
          <t>Remeasurement loss on net defined benefit liability</t>
        </is>
      </c>
      <c r="B62" s="6" t="n"/>
      <c r="C62" s="6" t="n"/>
      <c r="D62" s="6" t="n"/>
      <c r="E62" s="6" t="n">
        <v>-234</v>
      </c>
      <c r="F62" s="6" t="n">
        <v>-234</v>
      </c>
    </row>
    <row r="63">
      <c r="A63" s="6" t="inlineStr">
        <is>
          <t>Foreign currency translation differences arising on foreign operations</t>
        </is>
      </c>
      <c r="B63" s="6" t="n"/>
      <c r="C63" s="6" t="n"/>
      <c r="D63" s="6" t="n">
        <v>6114</v>
      </c>
      <c r="E63" s="6" t="n"/>
      <c r="F63" s="6" t="n">
        <v>6114</v>
      </c>
    </row>
    <row r="64">
      <c r="A64" s="6" t="inlineStr">
        <is>
          <t>Loss arising on hedging instruments designated in net investment hedges</t>
        </is>
      </c>
      <c r="B64" s="6" t="n"/>
      <c r="C64" s="6" t="n"/>
      <c r="D64" s="6" t="n">
        <v>-5197</v>
      </c>
      <c r="E64" s="6" t="n"/>
      <c r="F64" s="6" t="n">
        <v>-5197</v>
      </c>
    </row>
    <row r="65">
      <c r="A65" s="6" t="inlineStr">
        <is>
          <t>Gain on business transfer (UK withdrawal from the EU restructuring, Note 4)</t>
        </is>
      </c>
      <c r="B65" s="6" t="n"/>
      <c r="C65" s="6" t="n"/>
      <c r="D65" s="6" t="n"/>
      <c r="E65" s="6" t="n">
        <v>5603</v>
      </c>
      <c r="F65" s="6" t="n">
        <v>5603</v>
      </c>
    </row>
    <row r="66">
      <c r="A66" s="6" t="inlineStr">
        <is>
          <t>Current tax charge on business transfer</t>
        </is>
      </c>
      <c r="B66" s="6" t="n"/>
      <c r="C66" s="6" t="n"/>
      <c r="D66" s="6" t="n"/>
      <c r="E66" s="6" t="n">
        <v>-1520</v>
      </c>
      <c r="F66" s="6" t="n">
        <v>-1520</v>
      </c>
    </row>
    <row r="67">
      <c r="A67" s="6" t="inlineStr">
        <is>
          <t>Remeasurement gain on net defined benefit liability</t>
        </is>
      </c>
      <c r="B67" s="6" t="n"/>
      <c r="C67" s="6" t="n"/>
      <c r="D67" s="6" t="n"/>
      <c r="E67" s="6" t="n">
        <v>196</v>
      </c>
      <c r="F67" s="6" t="n">
        <v>196</v>
      </c>
    </row>
    <row r="68">
      <c r="A68" s="5" t="inlineStr">
        <is>
          <t>At 31 December 2020 (FY2020 closing)</t>
        </is>
      </c>
      <c r="B68" s="5" t="n">
        <v>340000</v>
      </c>
      <c r="C68" s="5" t="n">
        <v>89654</v>
      </c>
      <c r="D68" s="5" t="n">
        <v>37546</v>
      </c>
      <c r="E68" s="5" t="n">
        <v>345161</v>
      </c>
      <c r="F68" s="5" t="n">
        <v>812361</v>
      </c>
    </row>
    <row r="69">
      <c r="A69" s="5" t="inlineStr">
        <is>
          <t>At 1 January 2021 (FY2021 opening)</t>
        </is>
      </c>
      <c r="B69" s="5" t="n">
        <v>340000</v>
      </c>
      <c r="C69" s="5" t="n">
        <v>89654</v>
      </c>
      <c r="D69" s="5" t="n">
        <v>37546</v>
      </c>
      <c r="E69" s="5" t="n">
        <v>345161</v>
      </c>
      <c r="F69" s="5" t="n">
        <v>812361</v>
      </c>
    </row>
    <row r="70">
      <c r="A70" s="6" t="inlineStr">
        <is>
          <t>Profit for the year</t>
        </is>
      </c>
      <c r="B70" s="6" t="n"/>
      <c r="C70" s="6" t="n"/>
      <c r="D70" s="6" t="n"/>
      <c r="E70" s="6" t="n">
        <v>9877</v>
      </c>
      <c r="F70" s="6" t="n">
        <v>9877</v>
      </c>
    </row>
    <row r="71">
      <c r="A71" s="6" t="inlineStr">
        <is>
          <t>Remeasurement gain on net defined benefit liability</t>
        </is>
      </c>
      <c r="B71" s="6" t="n"/>
      <c r="C71" s="6" t="n"/>
      <c r="D71" s="6" t="n"/>
      <c r="E71" s="6" t="n">
        <v>78</v>
      </c>
      <c r="F71" s="6" t="n">
        <v>78</v>
      </c>
    </row>
    <row r="72">
      <c r="A72" s="6" t="inlineStr">
        <is>
          <t>Foreign currency translation differences arising during the year</t>
        </is>
      </c>
      <c r="B72" s="6" t="n"/>
      <c r="C72" s="6" t="n"/>
      <c r="D72" s="6" t="n">
        <v>-14755</v>
      </c>
      <c r="E72" s="6" t="n"/>
      <c r="F72" s="6" t="n">
        <v>-14755</v>
      </c>
    </row>
    <row r="73">
      <c r="A73" s="6" t="inlineStr">
        <is>
          <t>Gain arising on hedging instruments designated in net investment hedges</t>
        </is>
      </c>
      <c r="B73" s="6" t="n"/>
      <c r="C73" s="6" t="n"/>
      <c r="D73" s="6" t="n">
        <v>14422</v>
      </c>
      <c r="E73" s="6" t="n"/>
      <c r="F73" s="6" t="n">
        <v>14422</v>
      </c>
    </row>
    <row r="74">
      <c r="A74" s="5" t="inlineStr">
        <is>
          <t>At 31 December 2021 (FY2021 closing)</t>
        </is>
      </c>
      <c r="B74" s="5" t="n">
        <v>340000</v>
      </c>
      <c r="C74" s="5" t="n">
        <v>89654</v>
      </c>
      <c r="D74" s="5" t="n">
        <v>37213</v>
      </c>
      <c r="E74" s="5" t="n">
        <v>355116</v>
      </c>
      <c r="F74" s="5" t="n">
        <v>821983</v>
      </c>
    </row>
    <row r="75">
      <c r="A75" s="6" t="inlineStr">
        <is>
          <t>Profit for the year</t>
        </is>
      </c>
      <c r="B75" s="6" t="n"/>
      <c r="C75" s="6" t="n"/>
      <c r="D75" s="6" t="n"/>
      <c r="E75" s="6" t="n">
        <v>94153</v>
      </c>
      <c r="F75" s="6" t="n">
        <v>94153</v>
      </c>
    </row>
    <row r="76">
      <c r="A76" s="6" t="inlineStr">
        <is>
          <t>Remeasurement gain on net defined benefit liability</t>
        </is>
      </c>
      <c r="B76" s="6" t="n"/>
      <c r="C76" s="6" t="n"/>
      <c r="D76" s="6" t="n"/>
      <c r="E76" s="6" t="n">
        <v>100</v>
      </c>
      <c r="F76" s="6" t="n">
        <v>100</v>
      </c>
    </row>
    <row r="77">
      <c r="A77" s="6" t="inlineStr">
        <is>
          <t>Foreign currency translation differences arising during the year</t>
        </is>
      </c>
      <c r="B77" s="6" t="n"/>
      <c r="C77" s="6" t="n"/>
      <c r="D77" s="6" t="n">
        <v>10400</v>
      </c>
      <c r="E77" s="6" t="n"/>
      <c r="F77" s="6" t="n">
        <v>10400</v>
      </c>
    </row>
    <row r="78">
      <c r="A78" s="6" t="inlineStr">
        <is>
          <t>(Loss) arising on hedging instruments designated in net investment hedges</t>
        </is>
      </c>
      <c r="B78" s="6" t="n"/>
      <c r="C78" s="6" t="n"/>
      <c r="D78" s="6" t="n">
        <v>-10412</v>
      </c>
      <c r="E78" s="6" t="n"/>
      <c r="F78" s="6" t="n">
        <v>-10412</v>
      </c>
    </row>
    <row r="79">
      <c r="A79" s="6" t="inlineStr">
        <is>
          <t>Dividend</t>
        </is>
      </c>
      <c r="B79" s="6" t="n"/>
      <c r="C79" s="6" t="n"/>
      <c r="D79" s="6" t="n"/>
      <c r="E79" s="6" t="n">
        <v>-150000</v>
      </c>
      <c r="F79" s="6" t="n">
        <v>-150000</v>
      </c>
    </row>
    <row r="80">
      <c r="A80" s="5" t="inlineStr">
        <is>
          <t>At 31 December 2022 (FY2022 closing)</t>
        </is>
      </c>
      <c r="B80" s="5" t="n">
        <v>340000</v>
      </c>
      <c r="C80" s="5" t="n">
        <v>89654</v>
      </c>
      <c r="D80" s="5" t="n">
        <v>37201</v>
      </c>
      <c r="E80" s="5" t="n">
        <v>299369</v>
      </c>
      <c r="F80" s="5" t="n">
        <v>766224</v>
      </c>
    </row>
    <row r="81">
      <c r="A81" s="6" t="inlineStr">
        <is>
          <t>Profit for the year</t>
        </is>
      </c>
      <c r="B81" s="6" t="n"/>
      <c r="C81" s="6" t="n"/>
      <c r="D81" s="6" t="n"/>
      <c r="E81" s="6" t="n">
        <v>314</v>
      </c>
      <c r="F81" s="6" t="n">
        <v>314</v>
      </c>
    </row>
    <row r="82">
      <c r="A82" s="6" t="inlineStr">
        <is>
          <t>Remeasurement loss on net defined benefit liability</t>
        </is>
      </c>
      <c r="B82" s="6" t="n"/>
      <c r="C82" s="6" t="n"/>
      <c r="D82" s="6" t="n"/>
      <c r="E82" s="6" t="n">
        <v>-22</v>
      </c>
      <c r="F82" s="6" t="n">
        <v>-22</v>
      </c>
    </row>
    <row r="83">
      <c r="A83" s="6" t="inlineStr">
        <is>
          <t>Foreign currency translation differences arising during the year</t>
        </is>
      </c>
      <c r="B83" s="6" t="n"/>
      <c r="C83" s="6" t="n"/>
      <c r="D83" s="6" t="n">
        <v>-15179</v>
      </c>
      <c r="E83" s="6" t="n"/>
      <c r="F83" s="6" t="n">
        <v>-15179</v>
      </c>
    </row>
    <row r="84">
      <c r="A84" s="6" t="inlineStr">
        <is>
          <t>Gain arising on hedging instruments designated in net investment hedges</t>
        </is>
      </c>
      <c r="B84" s="6" t="n"/>
      <c r="C84" s="6" t="n"/>
      <c r="D84" s="6" t="n">
        <v>14646</v>
      </c>
      <c r="E84" s="6" t="n"/>
      <c r="F84" s="6" t="n">
        <v>14646</v>
      </c>
    </row>
    <row r="85">
      <c r="A85" s="5" t="inlineStr">
        <is>
          <t>At 31 December 2023 (FY2023 closing)</t>
        </is>
      </c>
      <c r="B85" s="5" t="n">
        <v>340000</v>
      </c>
      <c r="C85" s="5" t="n">
        <v>89654</v>
      </c>
      <c r="D85" s="5" t="n">
        <v>36668</v>
      </c>
      <c r="E85" s="5" t="n">
        <v>299661</v>
      </c>
      <c r="F85" s="5" t="n">
        <v>765983</v>
      </c>
    </row>
    <row r="86">
      <c r="A86" s="6" t="inlineStr">
        <is>
          <t>Profit for the year</t>
        </is>
      </c>
      <c r="B86" s="6" t="n"/>
      <c r="C86" s="6" t="n"/>
      <c r="D86" s="6" t="n"/>
      <c r="E86" s="6" t="n">
        <v>45781</v>
      </c>
      <c r="F86" s="6" t="n">
        <v>45781</v>
      </c>
    </row>
    <row r="87">
      <c r="A87" s="6" t="inlineStr">
        <is>
          <t>Remeasurement gain on net defined benefit liability</t>
        </is>
      </c>
      <c r="B87" s="6" t="n"/>
      <c r="C87" s="6" t="n"/>
      <c r="D87" s="6" t="n"/>
      <c r="E87" s="6" t="n">
        <v>21</v>
      </c>
      <c r="F87" s="6" t="n">
        <v>21</v>
      </c>
    </row>
    <row r="88">
      <c r="A88" s="6" t="inlineStr">
        <is>
          <t>Foreign currency translation differences arising during the year</t>
        </is>
      </c>
      <c r="B88" s="6" t="n"/>
      <c r="C88" s="6" t="n"/>
      <c r="D88" s="6" t="n">
        <v>-19706</v>
      </c>
      <c r="E88" s="6" t="n"/>
      <c r="F88" s="6" t="n">
        <v>-19706</v>
      </c>
    </row>
    <row r="89">
      <c r="A89" s="6" t="inlineStr">
        <is>
          <t>Gain arising on hedging instruments designated in net investment hedges</t>
        </is>
      </c>
      <c r="B89" s="6" t="n"/>
      <c r="C89" s="6" t="n"/>
      <c r="D89" s="6" t="n">
        <v>18406</v>
      </c>
      <c r="E89" s="6" t="n"/>
      <c r="F89" s="6" t="n">
        <v>18406</v>
      </c>
    </row>
    <row r="90">
      <c r="A90" s="5" t="inlineStr">
        <is>
          <t>At 31 December 2024 (FY2024 closing)</t>
        </is>
      </c>
      <c r="B90" s="5" t="n">
        <v>340000</v>
      </c>
      <c r="C90" s="5" t="n">
        <v>89654</v>
      </c>
      <c r="D90" s="5" t="n">
        <v>35368</v>
      </c>
      <c r="E90" s="5" t="n">
        <v>345463</v>
      </c>
      <c r="F90" s="5" t="n">
        <v>810485</v>
      </c>
    </row>
    <row r="91">
      <c r="A91" s="6" t="inlineStr">
        <is>
          <t>Profit for the year</t>
        </is>
      </c>
      <c r="B91" s="6" t="n"/>
      <c r="C91" s="6" t="n"/>
      <c r="D91" s="6" t="n"/>
      <c r="E91" s="6" t="n">
        <v>37579</v>
      </c>
      <c r="F91" s="6" t="n">
        <v>37579</v>
      </c>
    </row>
    <row r="92">
      <c r="A92" s="6" t="inlineStr">
        <is>
          <t>Remeasurement gain on net defined benefit liability</t>
        </is>
      </c>
      <c r="B92" s="6" t="n"/>
      <c r="C92" s="6" t="n"/>
      <c r="D92" s="6" t="n"/>
      <c r="E92" s="6" t="n">
        <v>40</v>
      </c>
      <c r="F92" s="6" t="n">
        <v>40</v>
      </c>
    </row>
    <row r="93">
      <c r="A93" s="6" t="inlineStr">
        <is>
          <t>Foreign currency translation differences arising during the year</t>
        </is>
      </c>
      <c r="B93" s="6" t="n"/>
      <c r="C93" s="6" t="n"/>
      <c r="D93" s="6" t="n">
        <v>-8951</v>
      </c>
      <c r="E93" s="6" t="n"/>
      <c r="F93" s="6" t="n">
        <v>-8951</v>
      </c>
    </row>
    <row r="94">
      <c r="A94" s="6" t="inlineStr">
        <is>
          <t>Gain arising on hedging instruments designated in net investment hedges</t>
        </is>
      </c>
      <c r="B94" s="6" t="n"/>
      <c r="C94" s="6" t="n"/>
      <c r="D94" s="6" t="n">
        <v>8748</v>
      </c>
      <c r="E94" s="6" t="n"/>
      <c r="F94" s="6" t="n">
        <v>8748</v>
      </c>
    </row>
    <row r="95">
      <c r="A95" s="6" t="inlineStr">
        <is>
          <t>Dividends</t>
        </is>
      </c>
      <c r="B95" s="6" t="n"/>
      <c r="C95" s="6" t="n"/>
      <c r="D95" s="6" t="n"/>
      <c r="E95" s="6" t="n">
        <v>-100000</v>
      </c>
      <c r="F95" s="6" t="n">
        <v>-100000</v>
      </c>
    </row>
    <row r="96">
      <c r="A96" s="5" t="inlineStr">
        <is>
          <t>At 31 December 2025 (FY2025 closing)</t>
        </is>
      </c>
      <c r="B96" s="5" t="n">
        <v>340000</v>
      </c>
      <c r="C96" s="5" t="n">
        <v>89654</v>
      </c>
      <c r="D96" s="5" t="n">
        <v>35165</v>
      </c>
      <c r="E96" s="5" t="n">
        <v>283082</v>
      </c>
      <c r="F96" s="5" t="n">
        <v>747901</v>
      </c>
    </row>
    <row r="98" ht="150" customHeight="1">
      <c r="A9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FY2013: Annual Report and Financial Statements for year ended 31 December 2013, pp.15-18 (Profit and Loss Account, Statement of Total Recognised Gains and Losses, Balance Sheet) — https://find-and-update.company-information.service.gov.uk/company/03722571/filing-history/MzA5OTE2NDI1N2FkaXF6a2N4/document?format=pdf&amp;download=0
FY2012: via the FY2013 Annual Report's own FY2012 comparative columns, pp.15-18 — https://find-and-update.company-information.service.gov.uk/company/03722571/filing-history/MzA5OTE2NDI1N2FkaXF6a2N4/document?format=pdf&amp;download=0
FY2011: Annual Report and Financial Statements for year ended 31 December 2011, pp.13-15 — https://find-and-update.company-information.service.gov.uk/company/03722571/filing-history/MzA1NzUxOTkzNGFkaXF6a2N4/document?format=pdf&amp;download=0
FY2010: via the FY2011 Annual Report's own FY2010 comparative columns, pp.13-15 — https://find-and-update.company-information.service.gov.uk/company/03722571/filing-history/MzA1NzUxOTkzNGFkaXF6a2N4/document?format=pdf&amp;download=0
FY2009: Annual Report and Financial Statements for year ended 31 December 2009, pp.7-9, Note 25 p.28 (reconciliation of shareholders' funds and movements on reserves) — https://find-and-update.company-information.service.gov.uk/company/03722571/filing-history/MzAxNjAzOTk5M2FkaXF6a2N4/document?format=pdf&amp;download=0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98:F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row>
    <row r="4">
      <c r="A4" s="6" t="inlineStr">
        <is>
          <t>Cash-flow statement not separately disclosed under FRS 101</t>
        </is>
      </c>
      <c r="B4" s="6" t="n"/>
      <c r="C4" s="6" t="n"/>
      <c r="D4" s="6" t="n"/>
      <c r="E4" s="6" t="n"/>
      <c r="F4" s="6" t="n"/>
      <c r="G4" s="6" t="n"/>
      <c r="H4" s="6" t="n"/>
      <c r="I4" s="6" t="n"/>
      <c r="J4" s="6" t="n"/>
      <c r="K4" s="6" t="n"/>
      <c r="L4" s="6" t="n"/>
      <c r="M4" s="6" t="n"/>
      <c r="N4" s="6" t="n"/>
      <c r="O4" s="6" t="n"/>
      <c r="P4" s="6" t="n"/>
      <c r="Q4" s="6" t="n"/>
      <c r="R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HD-073 (2026-09-06) HISTORICAL SOURCING NOTE (FY2009-FY2013): Balance Sheet, Profit &amp; Loss, and Statement of Changes in Equity only (Pillar 3, Asset Quality, and RWA Breakdown stay FY2014-onward, unchanged). Re-verified via each year's own Companies House statutory filing (company 03722571), all genuine scanned/no-text-layer filings transcribed directly from the rendered pages, same as the existing FY2014-FY2020 sourcing: FY2013/FY2012 from the FY2013 Annual Report (pp.15-18) — https://find-and-update.company-information.service.gov.uk/company/03722571/filing-history/MzA5OTE2NDI1N2FkaXF6a2N4/document?format=pdf&amp;download=0; FY2011/FY2010 from the FY2011 Annual Report (pp.13-16) — https://find-and-update.company-information.service.gov.uk/company/03722571/filing-history/MzA1NzUxOTkzNGFkaXF6a2N4/document?format=pdf&amp;download=0; FY2009 from the FY2009 Annual Report (pp.7-9, and Note 25 p.28 for the equity reconciliation) — https://find-and-update.company-information.service.gov.uk/company/03722571/filing-history/MzAxNjAzOTk5M2FkaXF6a2N4/document?format=pdf&amp;download=0. The Company takes the FRS 101/predecessor reduced-disclosure exemption from presenting a cash-flow statement in every one of these years too - confirmed directly against each year's own Contents page (Profit and loss account / Statement of total recognised gains and losses / Balance sheet only, no cash flow statement listed), not merely carried forward from the FY2014-FY2020 finding. No years self-skipped.
FY2013/FY2012 continuing/discontinued-operations split: the FY2013 Annual Report itself already splits continuing vs discontinued operations (the Wealth Management segment was substantially sold during FY2013/FY2014), consistent with the existing FY2014 note above - the Profit &amp; Loss sheet uses the FY2013 report's own Total columns (continuing + discontinued combined) for both FY2013 and its FY2012 comparative.
FY2009 Balance Sheet structural note: the FY2009 Annual Report's own equity section discloses a distinct 'Pension reserve' component (£252k at 31 December 2009) not present as a separate line in any later year's Balance Sheet (folded into the Profit and loss account line from FY2010 onward per that year's own report) - shown here as its own row rather than silently merged, and the FY2009 closing Total equity of £841,906k ties exactly to both components disclosed. FY2009 also does not separately disclose 'Reverse repurchase agreements' as an asset-side line or 'Repurchase agreements' as a liability-side line (both fold into the broader loans-and-advances/other-liabilities figures that year); these lines first appear as their own rows from FY2010 onward - a genuine presentational difference confirmed directly against the FY2009 report's own Balance Sheet, not an omission.</t>
        </is>
      </c>
    </row>
  </sheetData>
  <mergeCells count="1">
    <mergeCell ref="A6:R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KM1 Key Metrics</t>
        </is>
      </c>
    </row>
    <row r="2">
      <c r="A2" s="2" t="inlineStr">
        <is>
          <t>Not applicable: MSBIL publishes no Pillar 3 disclosure of its own, and its UK parent's Pillar 3 carries no KM1 on an MSBIL basis. The parent's own KM1 is a Morgan Stanley International Limited Group consolidated table and is deliberately NOT reproduced here - a group figure is not this entity's figure. See the source note for the affirmative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 metrics template</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6" ht="34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WHY THIS SHEET IS 'NOT APPLICABLE' - AFFIRMATIVE EVIDENCE, NOT A FAILED SEARCH. Checked 2026-09-17 against Morgan Stanley's own UK regulatory-disclosures page, https://www.morganstanley.com/about-us-ir/pillar-uk, which lists every UK Pillar 3 document the group publishes, annual and quarterly, from 2009 to the 2026 first quarter. Three separate documents settle it:
1. THE BANK'S OWN ACCOUNTS SAY WHERE ITS PILLAR 3 INFORMATION LIVES. MSBIL's Report and Financial Statements for the year ended 31 December 2025, Strategic Report, 'Capital Management': 'Further information is available in the Pillar 3 Regulatory Disclosures Report of the MSI Group, available at www.morganstanley.com/about-us-ir/'. The Company points the reader at its parent's document rather than at one of its own. (That filing is a 98-page scan with no text layer - pdftotext returns 99 characters from the whole document - so it was read by rendering the pages at 200dpi and OCRing them. A plain text search of it returns a false negative on every term.)
2. THE PARENT'S PILLAR 3 STATES ITS OWN LEVEL OF APPLICATION, AND IT IS NOT PER-ENTITY. Morgan Stanley International Limited Group, Pillar 3 Regulatory Disclosure (UK) as at 31 December 2025, section 4 'Basis of Preparation and Linkage to Financial Accounts': 'This disclosure is prepared for the MSI Group, rather than on an individual basis for each regulated entity, as permissible under the PRA rulebook.' Identical wording appears in the 2021, 2022, 2023 and 2024 editions.
3. MSBIL IS NAMED AS A SUBSIDIARY AND EXCLUDED FROM THE LARGE-SUBSIDIARY POPULATION. The same document's scope-of-disclosure section: 'As at 31 December 2025, Morgan Stanley &amp; Co. International plc (“MSIP”) and MSESE are considered large subsidiaries within the MSI Group... The Pillar 3 disclosures as at 31 December 2025 are prepared on the basis of the consolidated situation of the MSI Group. In addition, certain disclosures are required for MSIP as a large subsidiary and MSESE as a large non-listed subsidiary of MSI Group.' MSBIL appears in the same document's list of MSI Group subsidiaries but is not among the large subsidiaries, so no subsidiary-level KM1 block is owed for it or printed for it. This is the UK Article 433 / large-subsidiary test producing a FORMAL EXCLUSION, which is a stronger finding than not locating a table.
THE PARENT'S KM1 IS DELIBERATELY NOT COPIED HERE. The MSI Group Pillar 3 does carry a UK KM1 - 'Table 1a: Key metrics (UK KM1) - MSI Group' - and a second one, 'Table 1b: Key metrics (EU KM1) - MSESE Group'. Neither is an MSBIL table. MSI Group is the consolidated UK sub-group that contains MSIP and the other UK entities as well as MSBIL, so its capital, RWAs, leverage and liquidity are materially different from this Company's, and substituting them would misstate every row. The entity chain is Morgan Stanley (US ultimate parent) -&gt; Morgan Stanley International Limited (the ultimate UK parent undertaking, and the entity that discloses under the PRA Rulebook) -&gt; Morgan Stanley Bank International Limited, and it is the middle layer, not the US top, that carries the UK disclosure duty.
WHAT THE 11 SINGLE-METRIC SHEETS IN THIS WORKBOOK THEREFORE REST ON: MSBIL's own audited annual reports, which disclose its own-entity capital, RWAs, leverage and liquidity in their capital management notes. Those are this Company's figures on this Company's basis; they are simply not presented in the KM1 template, because MSBIL never publishes that template.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934449</v>
      </c>
      <c r="C4" s="6" t="n">
        <v>908739</v>
      </c>
      <c r="D4" s="6" t="n">
        <v>935655</v>
      </c>
      <c r="E4" s="6" t="n">
        <v>1003410</v>
      </c>
      <c r="F4" s="6" t="n">
        <v>916488</v>
      </c>
      <c r="G4" s="6" t="n">
        <v>824718</v>
      </c>
      <c r="H4" s="6" t="n">
        <v>843318</v>
      </c>
      <c r="I4" s="6" t="n"/>
      <c r="J4" s="6" t="n"/>
      <c r="K4" s="6" t="n"/>
      <c r="L4" s="6" t="n"/>
      <c r="M4" s="6" t="n"/>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c r="I4" s="6" t="n"/>
      <c r="J4" s="6" t="n"/>
      <c r="K4" s="6" t="n"/>
      <c r="L4" s="6" t="n"/>
      <c r="M4" s="6" t="n"/>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1586014</v>
      </c>
      <c r="C4" s="6" t="n">
        <v>1519269</v>
      </c>
      <c r="D4" s="6" t="n">
        <v>2161713</v>
      </c>
      <c r="E4" s="6" t="n">
        <v>2068356</v>
      </c>
      <c r="F4" s="6" t="n">
        <v>2081783</v>
      </c>
      <c r="G4" s="6" t="n">
        <v>2462638</v>
      </c>
      <c r="H4" s="6" t="n">
        <v>2836626</v>
      </c>
      <c r="I4" s="6" t="n"/>
      <c r="J4" s="6" t="n"/>
      <c r="K4" s="6" t="n"/>
      <c r="L4" s="6" t="n"/>
      <c r="M4" s="6" t="n"/>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RWA Breakdown</t>
        </is>
      </c>
    </row>
    <row r="2">
      <c r="A2" s="2" t="inlineStr">
        <is>
          <t>Company's own 'RWAs' table (Strategic Report), by risk category. £'000. Ties exactly to the Total RWAs sheet in every year FY2020-FY2025. FY2020 is sourced from the FY2021 Annual Report's own FY2020 comparative column (the FY2020 Annual Report itself gives only a single Total RWAs figure, with no risk-category split anywhere in its Strategic Report or notes). FY2014-FY2019: not disclosed - those years' annual reports (and, for FY2019, the FY2020 Annual Report's FY2019 comparative column)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RWAs</t>
        </is>
      </c>
      <c r="B4" s="6" t="n">
        <v>438035</v>
      </c>
      <c r="C4" s="6" t="n">
        <v>427744</v>
      </c>
      <c r="D4" s="6" t="n">
        <v>513578</v>
      </c>
      <c r="E4" s="6" t="n">
        <v>619276</v>
      </c>
      <c r="F4" s="6" t="n">
        <v>736089</v>
      </c>
      <c r="G4" s="6" t="n">
        <v>962391</v>
      </c>
      <c r="H4" s="6" t="n"/>
      <c r="I4" s="6" t="n"/>
      <c r="J4" s="6" t="n"/>
      <c r="K4" s="6" t="n"/>
      <c r="L4" s="6" t="n"/>
      <c r="M4" s="6" t="n"/>
    </row>
    <row r="5">
      <c r="A5" s="6" t="inlineStr">
        <is>
          <t>Market RWAs</t>
        </is>
      </c>
      <c r="B5" s="6" t="n">
        <v>1004032</v>
      </c>
      <c r="C5" s="6" t="n">
        <v>964352</v>
      </c>
      <c r="D5" s="6" t="n">
        <v>1537651</v>
      </c>
      <c r="E5" s="6" t="n">
        <v>1254480</v>
      </c>
      <c r="F5" s="6" t="n">
        <v>1098855</v>
      </c>
      <c r="G5" s="6" t="n">
        <v>1219637</v>
      </c>
      <c r="H5" s="6" t="n"/>
      <c r="I5" s="6" t="n"/>
      <c r="J5" s="6" t="n"/>
      <c r="K5" s="6" t="n"/>
      <c r="L5" s="6" t="n"/>
      <c r="M5" s="6" t="n"/>
    </row>
    <row r="6">
      <c r="A6" s="6" t="inlineStr">
        <is>
          <t>Operational risk RWAs</t>
        </is>
      </c>
      <c r="B6" s="6" t="n">
        <v>143947</v>
      </c>
      <c r="C6" s="6" t="n">
        <v>127173</v>
      </c>
      <c r="D6" s="6" t="n">
        <v>110484</v>
      </c>
      <c r="E6" s="6" t="n">
        <v>194600</v>
      </c>
      <c r="F6" s="6" t="n">
        <v>246839</v>
      </c>
      <c r="G6" s="6" t="n">
        <v>280610</v>
      </c>
      <c r="H6" s="6" t="n"/>
      <c r="I6" s="6" t="n"/>
      <c r="J6" s="6" t="n"/>
      <c r="K6" s="6" t="n"/>
      <c r="L6" s="6" t="n"/>
      <c r="M6" s="6" t="n"/>
    </row>
    <row r="7">
      <c r="A7" s="5" t="inlineStr">
        <is>
          <t>Total RWAs</t>
        </is>
      </c>
      <c r="B7" s="5" t="n">
        <v>1586014</v>
      </c>
      <c r="C7" s="5" t="n">
        <v>1519269</v>
      </c>
      <c r="D7" s="5" t="n">
        <v>2161713</v>
      </c>
      <c r="E7" s="5" t="n">
        <v>2068356</v>
      </c>
      <c r="F7" s="5" t="n">
        <v>2081783</v>
      </c>
      <c r="G7" s="5" t="n">
        <v>2462638</v>
      </c>
      <c r="H7" s="5" t="n"/>
      <c r="I7" s="5" t="n"/>
      <c r="J7" s="5" t="n"/>
      <c r="K7" s="5" t="n"/>
      <c r="L7" s="5" t="n"/>
      <c r="M7" s="5" t="n"/>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RWA Breakdown detail - FY2020: Annual Report and Financial Statements for year ended 31 December 2021, p.7 ('Liquidity and capital management and regulation' - RWAs table, FY2020 comparative column) - https://find-and-update.company-information.service.gov.uk/company/03722571/filing-history/MzMzODIzODA1MmFkaXF6a2N4/document?format=pdf&amp;download=0. FY2021-FY2025: each year's own Annual Report, same table in the same section of that year's Strategic Report.</t>
        </is>
      </c>
    </row>
  </sheetData>
  <mergeCells count="1">
    <mergeCell ref="A9:M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c r="M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c r="M5" s="6" t="n"/>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buffer — HQLA</t>
        </is>
      </c>
      <c r="B4" s="6" t="n">
        <v>1110032</v>
      </c>
      <c r="C4" s="6" t="n">
        <v>1825386</v>
      </c>
      <c r="D4" s="6" t="n">
        <v>1190200</v>
      </c>
      <c r="E4" s="6" t="n">
        <v>1230539</v>
      </c>
      <c r="F4" s="6" t="n">
        <v>1240953</v>
      </c>
      <c r="G4" s="6" t="n">
        <v>1594671</v>
      </c>
      <c r="H4" s="6" t="n">
        <v>1220056</v>
      </c>
      <c r="I4" s="6" t="n"/>
      <c r="J4" s="6" t="n"/>
      <c r="K4" s="6" t="n"/>
      <c r="L4" s="6" t="n"/>
      <c r="M4" s="6" t="n"/>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c r="I5" s="6" t="n"/>
      <c r="J5" s="6" t="n"/>
      <c r="K5" s="6" t="n"/>
      <c r="L5" s="6" t="n"/>
      <c r="M5" s="6" t="n"/>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Available stable funding</t>
        </is>
      </c>
      <c r="B4" s="6" t="n">
        <v>1485790</v>
      </c>
      <c r="C4" s="6" t="n">
        <v>1597110</v>
      </c>
      <c r="D4" s="6" t="n">
        <v>2191000</v>
      </c>
      <c r="E4" s="6" t="n">
        <v>2344000</v>
      </c>
      <c r="F4" s="6" t="inlineStr">
        <is>
          <t>Not disclosed</t>
        </is>
      </c>
      <c r="G4" s="6" t="n"/>
      <c r="H4" s="6" t="n"/>
      <c r="I4" s="6" t="n"/>
      <c r="J4" s="6" t="n"/>
      <c r="K4" s="6" t="n"/>
      <c r="L4" s="6" t="n"/>
      <c r="M4" s="6" t="n"/>
    </row>
    <row r="5">
      <c r="A5" s="6" t="inlineStr">
        <is>
          <t>Required stable funding</t>
        </is>
      </c>
      <c r="B5" s="6" t="n">
        <v>574724</v>
      </c>
      <c r="C5" s="6" t="n">
        <v>716541</v>
      </c>
      <c r="D5" s="6" t="n">
        <v>1346000</v>
      </c>
      <c r="E5" s="6" t="n">
        <v>1417000</v>
      </c>
      <c r="F5" s="6" t="inlineStr">
        <is>
          <t>Not disclosed</t>
        </is>
      </c>
      <c r="G5" s="6" t="n"/>
      <c r="H5" s="6" t="n"/>
      <c r="I5" s="6" t="n"/>
      <c r="J5" s="6" t="n"/>
      <c r="K5" s="6" t="n"/>
      <c r="L5" s="6" t="n"/>
      <c r="M5" s="6" t="n"/>
    </row>
    <row r="6">
      <c r="A6" s="6" t="inlineStr">
        <is>
          <t>Net Stable Funding Ratio</t>
        </is>
      </c>
      <c r="B6" s="6" t="inlineStr">
        <is>
          <t>263%</t>
        </is>
      </c>
      <c r="C6" s="6" t="inlineStr">
        <is>
          <t>223%</t>
        </is>
      </c>
      <c r="D6" s="6" t="inlineStr">
        <is>
          <t>163%</t>
        </is>
      </c>
      <c r="E6" s="6" t="inlineStr">
        <is>
          <t>165%</t>
        </is>
      </c>
      <c r="F6" s="6" t="inlineStr">
        <is>
          <t>Not disclosed</t>
        </is>
      </c>
      <c r="G6" s="6" t="n"/>
      <c r="H6" s="6" t="n"/>
      <c r="I6" s="6" t="n"/>
      <c r="J6" s="6" t="n"/>
      <c r="K6" s="6" t="n"/>
      <c r="L6" s="6" t="n"/>
      <c r="M6" s="6" t="n"/>
    </row>
    <row r="7" ht="60" customHeight="1">
      <c r="A7" s="7" t="inlineStr">
        <is>
          <t>Note: The Company states that NSFR became a PRA requirement from 1 January 2022; no NSFR was disclosed for FY2014-FY2021.</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2026-09-17T18:10:17Z</dcterms:created>
  <dcterms:modified xmlns:dcterms="http://purl.org/dc/terms/" xmlns:xsi="http://www.w3.org/2001/XMLSchema-instance" xsi:type="dcterms:W3CDTF">2026-09-17T18:10:17Z</dcterms:modified>
</cp:coreProperties>
</file>