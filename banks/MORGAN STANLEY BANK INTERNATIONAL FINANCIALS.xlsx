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Morgan Stanley Bank International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'Overview'!U6</f>
            </strRef>
          </tx>
          <spPr>
            <a:ln xmlns:a="http://schemas.openxmlformats.org/drawingml/2006/main">
              <a:prstDash val="solid"/>
            </a:ln>
          </spPr>
          <cat>
            <numRef>
              <f>'Overview'!$V$5:$AL$5</f>
            </numRef>
          </cat>
          <val>
            <numRef>
              <f>'Overview'!$V$6:$AL$6</f>
            </numRef>
          </val>
        </ser>
        <ser>
          <idx val="1"/>
          <order val="1"/>
          <tx>
            <strRef>
              <f>'Overview'!U7</f>
            </strRef>
          </tx>
          <spPr>
            <a:ln xmlns:a="http://schemas.openxmlformats.org/drawingml/2006/main">
              <a:prstDash val="solid"/>
            </a:ln>
          </spPr>
          <cat>
            <numRef>
              <f>'Overview'!$V$5:$AL$5</f>
            </numRef>
          </cat>
          <val>
            <numRef>
              <f>'Overview'!$V$7:$AL$7</f>
            </numRef>
          </val>
        </ser>
        <ser>
          <idx val="2"/>
          <order val="2"/>
          <tx>
            <strRef>
              <f>'Overview'!U8</f>
            </strRef>
          </tx>
          <spPr>
            <a:ln xmlns:a="http://schemas.openxmlformats.org/drawingml/2006/main">
              <a:prstDash val="solid"/>
            </a:ln>
          </spPr>
          <cat>
            <numRef>
              <f>'Overview'!$V$5:$AL$5</f>
            </numRef>
          </cat>
          <val>
            <numRef>
              <f>'Overview'!$V$8:$AL$8</f>
            </numRef>
          </val>
        </ser>
        <ser>
          <idx val="3"/>
          <order val="3"/>
          <tx>
            <strRef>
              <f>'Overview'!U9</f>
            </strRef>
          </tx>
          <spPr>
            <a:ln xmlns:a="http://schemas.openxmlformats.org/drawingml/2006/main">
              <a:prstDash val="solid"/>
            </a:ln>
          </spPr>
          <cat>
            <numRef>
              <f>'Overview'!$V$5:$AL$5</f>
            </numRef>
          </cat>
          <val>
            <numRef>
              <f>'Overview'!$V$9:$AL$9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Morgan Stanley Bank International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'Overview'!AO13</f>
            </strRef>
          </tx>
          <spPr>
            <a:ln xmlns:a="http://schemas.openxmlformats.org/drawingml/2006/main">
              <a:prstDash val="solid"/>
            </a:ln>
          </spPr>
          <cat>
            <numRef>
              <f>'Overview'!$AP$12:$BF$12</f>
            </numRef>
          </cat>
          <val>
            <numRef>
              <f>'Overview'!$AP$13:$BF$13</f>
            </numRef>
          </val>
        </ser>
        <ser>
          <idx val="1"/>
          <order val="1"/>
          <tx>
            <strRef>
              <f>'Overview'!AO14</f>
            </strRef>
          </tx>
          <spPr>
            <a:ln xmlns:a="http://schemas.openxmlformats.org/drawingml/2006/main">
              <a:prstDash val="solid"/>
            </a:ln>
          </spPr>
          <cat>
            <numRef>
              <f>'Overview'!$AP$12:$BF$12</f>
            </numRef>
          </cat>
          <val>
            <numRef>
              <f>'Overview'!$AP$14:$BF$14</f>
            </numRef>
          </val>
        </ser>
        <ser>
          <idx val="2"/>
          <order val="2"/>
          <tx>
            <strRef>
              <f>'Overview'!AO15</f>
            </strRef>
          </tx>
          <spPr>
            <a:ln xmlns:a="http://schemas.openxmlformats.org/drawingml/2006/main">
              <a:prstDash val="solid"/>
            </a:ln>
          </spPr>
          <cat>
            <numRef>
              <f>'Overview'!$AP$12:$BF$12</f>
            </numRef>
          </cat>
          <val>
            <numRef>
              <f>'Overview'!$AP$15:$BF$15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Morgan Stanley Bank International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'Overview'!BI19</f>
            </strRef>
          </tx>
          <spPr>
            <a:ln xmlns:a="http://schemas.openxmlformats.org/drawingml/2006/main">
              <a:prstDash val="solid"/>
            </a:ln>
          </spPr>
          <cat>
            <numRef>
              <f>'Overview'!$BJ$18:$BU$18</f>
            </numRef>
          </cat>
          <val>
            <numRef>
              <f>'Overview'!$BJ$19:$BU$19</f>
            </numRef>
          </val>
        </ser>
        <ser>
          <idx val="1"/>
          <order val="1"/>
          <tx>
            <strRef>
              <f>'Overview'!BI20</f>
            </strRef>
          </tx>
          <spPr>
            <a:ln xmlns:a="http://schemas.openxmlformats.org/drawingml/2006/main">
              <a:prstDash val="solid"/>
            </a:ln>
          </spPr>
          <cat>
            <numRef>
              <f>'Overview'!$BJ$18:$BU$18</f>
            </numRef>
          </cat>
          <val>
            <numRef>
              <f>'Overview'!$BJ$20:$BU$20</f>
            </numRef>
          </val>
        </ser>
        <ser>
          <idx val="2"/>
          <order val="2"/>
          <tx>
            <strRef>
              <f>'Overview'!BI21</f>
            </strRef>
          </tx>
          <spPr>
            <a:ln xmlns:a="http://schemas.openxmlformats.org/drawingml/2006/main">
              <a:prstDash val="solid"/>
            </a:ln>
          </spPr>
          <cat>
            <numRef>
              <f>'Overview'!$BJ$18:$BU$18</f>
            </numRef>
          </cat>
          <val>
            <numRef>
              <f>'Overview'!$BJ$21:$BU$21</f>
            </numRef>
          </val>
        </ser>
        <ser>
          <idx val="3"/>
          <order val="3"/>
          <tx>
            <strRef>
              <f>'Overview'!BI22</f>
            </strRef>
          </tx>
          <spPr>
            <a:ln xmlns:a="http://schemas.openxmlformats.org/drawingml/2006/main">
              <a:prstDash val="solid"/>
            </a:ln>
          </spPr>
          <cat>
            <numRef>
              <f>'Overview'!$BJ$18:$BU$18</f>
            </numRef>
          </cat>
          <val>
            <numRef>
              <f>'Overview'!$BJ$22:$BU$22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Morgan Stanley Bank International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'Overview'!$BY$5:$CI$5</f>
            </numRef>
          </cat>
          <val>
            <numRef>
              <f>'Overview'!$BY$6:$CI$6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'Overview'!$BY$5:$CI$5</f>
            </numRef>
          </cat>
          <val>
            <numRef>
              <f>'Overview'!$BY$7:$CI$7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'Overview'!$BY$5:$CI$5</f>
            </numRef>
          </cat>
          <val>
            <numRef>
              <f>'Overview'!$BY$8:$CI$8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'Overview'!$BY$5:$CI$5</f>
            </numRef>
          </cat>
          <val>
            <numRef>
              <f>'Overview'!$BY$9:$CI$9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'Overview'!$BY$5:$CI$5</f>
            </numRef>
          </cat>
          <val>
            <numRef>
              <f>'Overview'!$BY$10:$CI$10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36</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58</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I34"/>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s>
  <sheetData>
    <row r="1">
      <c r="A1" s="1" t="inlineStr">
        <is>
          <t>Morgan Stanley Bank International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t>
        </is>
      </c>
      <c r="R5" s="4" t="inlineStr">
        <is>
          <t>FY2009</t>
        </is>
      </c>
      <c r="V5" t="inlineStr">
        <is>
          <t>FY2009</t>
        </is>
      </c>
      <c r="W5" t="inlineStr">
        <is>
          <t>FY2010</t>
        </is>
      </c>
      <c r="X5" t="inlineStr">
        <is>
          <t>FY2011</t>
        </is>
      </c>
      <c r="Y5" t="inlineStr">
        <is>
          <t>FY2012</t>
        </is>
      </c>
      <c r="Z5" t="inlineStr">
        <is>
          <t>FY2013</t>
        </is>
      </c>
      <c r="AA5" t="inlineStr">
        <is>
          <t>FY2014</t>
        </is>
      </c>
      <c r="AB5" t="inlineStr">
        <is>
          <t>FY2015</t>
        </is>
      </c>
      <c r="AC5" t="inlineStr">
        <is>
          <t>FY2016</t>
        </is>
      </c>
      <c r="AD5" t="inlineStr">
        <is>
          <t>FY2017</t>
        </is>
      </c>
      <c r="AE5" t="inlineStr">
        <is>
          <t>FY2018</t>
        </is>
      </c>
      <c r="AF5" t="inlineStr">
        <is>
          <t>FY2019</t>
        </is>
      </c>
      <c r="AG5" t="inlineStr">
        <is>
          <t>FY2020</t>
        </is>
      </c>
      <c r="AH5" t="inlineStr">
        <is>
          <t>FY2021</t>
        </is>
      </c>
      <c r="AI5" t="inlineStr">
        <is>
          <t>FY2022</t>
        </is>
      </c>
      <c r="AJ5" t="inlineStr">
        <is>
          <t>FY2023</t>
        </is>
      </c>
      <c r="AK5" t="inlineStr">
        <is>
          <t>FY2024</t>
        </is>
      </c>
      <c r="AL5" t="inlineStr">
        <is>
          <t>FY2025</t>
        </is>
      </c>
      <c r="BY5" t="inlineStr">
        <is>
          <t>FY2015</t>
        </is>
      </c>
      <c r="BZ5" t="inlineStr">
        <is>
          <t>FY2016</t>
        </is>
      </c>
      <c r="CA5" t="inlineStr">
        <is>
          <t>FY2017</t>
        </is>
      </c>
      <c r="CB5" t="inlineStr">
        <is>
          <t>FY2018</t>
        </is>
      </c>
      <c r="CC5" t="inlineStr">
        <is>
          <t>FY2019</t>
        </is>
      </c>
      <c r="CD5" t="inlineStr">
        <is>
          <t>FY2020</t>
        </is>
      </c>
      <c r="CE5" t="inlineStr">
        <is>
          <t>FY2021</t>
        </is>
      </c>
      <c r="CF5" t="inlineStr">
        <is>
          <t>FY2022</t>
        </is>
      </c>
      <c r="CG5" t="inlineStr">
        <is>
          <t>FY2023</t>
        </is>
      </c>
      <c r="CH5" t="inlineStr">
        <is>
          <t>FY2024</t>
        </is>
      </c>
      <c r="CI5" t="inlineStr">
        <is>
          <t>FY2025</t>
        </is>
      </c>
    </row>
    <row r="6">
      <c r="A6" s="5" t="inlineStr">
        <is>
          <t>Total assets</t>
        </is>
      </c>
      <c r="B6" s="5" t="n">
        <v>4474701</v>
      </c>
      <c r="C6" s="5" t="n">
        <v>5943082</v>
      </c>
      <c r="D6" s="5" t="n">
        <v>5761181</v>
      </c>
      <c r="E6" s="5" t="n">
        <v>7691434</v>
      </c>
      <c r="F6" s="5" t="n">
        <v>5166317</v>
      </c>
      <c r="G6" s="5" t="n">
        <v>6191205</v>
      </c>
      <c r="H6" s="5" t="n">
        <v>5497256</v>
      </c>
      <c r="I6" s="5" t="n">
        <v>5178705</v>
      </c>
      <c r="J6" s="5" t="n">
        <v>5321350</v>
      </c>
      <c r="K6" s="5" t="n">
        <v>5742066</v>
      </c>
      <c r="L6" s="5" t="n">
        <v>4691096</v>
      </c>
      <c r="M6" s="5" t="n">
        <v>4974936</v>
      </c>
      <c r="N6" s="5" t="n">
        <v>6808172</v>
      </c>
      <c r="O6" s="5" t="n">
        <v>6601481</v>
      </c>
      <c r="P6" s="5" t="n">
        <v>7024262</v>
      </c>
      <c r="Q6" s="5" t="n">
        <v>8212214</v>
      </c>
      <c r="R6" s="5" t="n">
        <v>6015807</v>
      </c>
      <c r="U6" t="inlineStr">
        <is>
          <t>Total assets</t>
        </is>
      </c>
      <c r="V6" t="n">
        <v>6015807</v>
      </c>
      <c r="W6" t="n">
        <v>8212214</v>
      </c>
      <c r="X6" t="n">
        <v>7024262</v>
      </c>
      <c r="Y6" t="n">
        <v>6601481</v>
      </c>
      <c r="Z6" t="n">
        <v>6808172</v>
      </c>
      <c r="AA6" t="n">
        <v>4974936</v>
      </c>
      <c r="AB6" t="n">
        <v>4691096</v>
      </c>
      <c r="AC6" t="n">
        <v>5742066</v>
      </c>
      <c r="AD6" t="n">
        <v>5321350</v>
      </c>
      <c r="AE6" t="n">
        <v>5178705</v>
      </c>
      <c r="AF6" t="n">
        <v>5497256</v>
      </c>
      <c r="AG6" t="n">
        <v>6191205</v>
      </c>
      <c r="AH6" t="n">
        <v>5166317</v>
      </c>
      <c r="AI6" t="n">
        <v>7691434</v>
      </c>
      <c r="AJ6" t="n">
        <v>5761181</v>
      </c>
      <c r="AK6" t="n">
        <v>5943082</v>
      </c>
      <c r="AL6" t="n">
        <v>4474701</v>
      </c>
      <c r="BX6" t="inlineStr">
        <is>
          <t>CET1 Ratio</t>
        </is>
      </c>
      <c r="BY6" t="n">
        <v>17.1</v>
      </c>
      <c r="BZ6" t="n">
        <v>18.4</v>
      </c>
      <c r="CA6" t="n">
        <v>19</v>
      </c>
      <c r="CB6" t="n">
        <v>17.3</v>
      </c>
      <c r="CC6" t="n">
        <v>20.9</v>
      </c>
      <c r="CD6" t="n">
        <v>23.3</v>
      </c>
      <c r="CE6" t="n">
        <v>34.4</v>
      </c>
      <c r="CF6" t="n">
        <v>34</v>
      </c>
      <c r="CG6" t="n">
        <v>31.7</v>
      </c>
      <c r="CH6" t="n">
        <v>46.7</v>
      </c>
      <c r="CI6" t="n">
        <v>42.6</v>
      </c>
    </row>
    <row r="7">
      <c r="A7" s="5" t="inlineStr">
        <is>
          <t>Loans and advances to customers</t>
        </is>
      </c>
      <c r="B7" s="5" t="n">
        <v>422190</v>
      </c>
      <c r="C7" s="5" t="n">
        <v>775727</v>
      </c>
      <c r="D7" s="5" t="n">
        <v>760186</v>
      </c>
      <c r="E7" s="5" t="n">
        <v>1227715</v>
      </c>
      <c r="F7" s="5" t="n">
        <v>380124</v>
      </c>
      <c r="G7" s="5" t="n">
        <v>24573</v>
      </c>
      <c r="H7" s="5" t="n">
        <v>180250</v>
      </c>
      <c r="I7" s="5" t="n">
        <v>363113</v>
      </c>
      <c r="J7" s="5" t="n">
        <v>354177</v>
      </c>
      <c r="K7" s="5" t="n">
        <v>385052</v>
      </c>
      <c r="L7" s="5" t="n">
        <v>155311</v>
      </c>
      <c r="M7" s="5" t="n">
        <v>617659</v>
      </c>
      <c r="N7" s="5" t="n">
        <v>965499</v>
      </c>
      <c r="O7" s="5" t="n">
        <v>756208</v>
      </c>
      <c r="P7" s="5" t="n">
        <v>748579</v>
      </c>
      <c r="Q7" s="5" t="n">
        <v>2499609</v>
      </c>
      <c r="R7" s="5" t="n">
        <v>1499221</v>
      </c>
      <c r="U7" t="inlineStr">
        <is>
          <t>Loans and advances to customers</t>
        </is>
      </c>
      <c r="V7" t="n">
        <v>1499221</v>
      </c>
      <c r="W7" t="n">
        <v>2499609</v>
      </c>
      <c r="X7" t="n">
        <v>748579</v>
      </c>
      <c r="Y7" t="n">
        <v>756208</v>
      </c>
      <c r="Z7" t="n">
        <v>965499</v>
      </c>
      <c r="AA7" t="n">
        <v>617659</v>
      </c>
      <c r="AB7" t="n">
        <v>155311</v>
      </c>
      <c r="AC7" t="n">
        <v>385052</v>
      </c>
      <c r="AD7" t="n">
        <v>354177</v>
      </c>
      <c r="AE7" t="n">
        <v>363113</v>
      </c>
      <c r="AF7" t="n">
        <v>180250</v>
      </c>
      <c r="AG7" t="n">
        <v>24573</v>
      </c>
      <c r="AH7" t="n">
        <v>380124</v>
      </c>
      <c r="AI7" t="n">
        <v>1227715</v>
      </c>
      <c r="AJ7" t="n">
        <v>760186</v>
      </c>
      <c r="AK7" t="n">
        <v>775727</v>
      </c>
      <c r="AL7" t="n">
        <v>422190</v>
      </c>
      <c r="BX7" t="inlineStr">
        <is>
          <t>Total Capital Ratio</t>
        </is>
      </c>
      <c r="CC7" t="n">
        <v>29.7</v>
      </c>
      <c r="CD7" t="n">
        <v>33.5</v>
      </c>
      <c r="CE7" t="n">
        <v>44</v>
      </c>
      <c r="CF7" t="n">
        <v>48.5</v>
      </c>
      <c r="CG7" t="n">
        <v>43.3</v>
      </c>
      <c r="CH7" t="n">
        <v>59.8</v>
      </c>
      <c r="CI7" t="n">
        <v>58.9</v>
      </c>
    </row>
    <row r="8">
      <c r="A8" s="5" t="inlineStr">
        <is>
          <t>Customer accounts</t>
        </is>
      </c>
      <c r="B8" s="5" t="n">
        <v>632759</v>
      </c>
      <c r="C8" s="5" t="n">
        <v>783693</v>
      </c>
      <c r="D8" s="5" t="n">
        <v>1246212</v>
      </c>
      <c r="E8" s="5" t="n">
        <v>1814583</v>
      </c>
      <c r="F8" s="5" t="n">
        <v>1502764</v>
      </c>
      <c r="G8" s="5" t="n">
        <v>1647638</v>
      </c>
      <c r="H8" s="5" t="n">
        <v>1331496</v>
      </c>
      <c r="I8" s="5" t="n">
        <v>1072143</v>
      </c>
      <c r="J8" s="5" t="n">
        <v>875555</v>
      </c>
      <c r="K8" s="5" t="n">
        <v>747831</v>
      </c>
      <c r="L8" s="5" t="n">
        <v>719706</v>
      </c>
      <c r="M8" s="5" t="n">
        <v>1092621</v>
      </c>
      <c r="N8" s="5" t="n">
        <v>860388</v>
      </c>
      <c r="O8" s="5" t="n">
        <v>919422</v>
      </c>
      <c r="P8" s="5" t="n">
        <v>2657109</v>
      </c>
      <c r="Q8" s="5" t="n">
        <v>4184133</v>
      </c>
      <c r="R8" s="5" t="n">
        <v>1665107</v>
      </c>
      <c r="U8" t="inlineStr">
        <is>
          <t>Customer accounts</t>
        </is>
      </c>
      <c r="V8" t="n">
        <v>1665107</v>
      </c>
      <c r="W8" t="n">
        <v>4184133</v>
      </c>
      <c r="X8" t="n">
        <v>2657109</v>
      </c>
      <c r="Y8" t="n">
        <v>919422</v>
      </c>
      <c r="Z8" t="n">
        <v>860388</v>
      </c>
      <c r="AA8" t="n">
        <v>1092621</v>
      </c>
      <c r="AB8" t="n">
        <v>719706</v>
      </c>
      <c r="AC8" t="n">
        <v>747831</v>
      </c>
      <c r="AD8" t="n">
        <v>875555</v>
      </c>
      <c r="AE8" t="n">
        <v>1072143</v>
      </c>
      <c r="AF8" t="n">
        <v>1331496</v>
      </c>
      <c r="AG8" t="n">
        <v>1647638</v>
      </c>
      <c r="AH8" t="n">
        <v>1502764</v>
      </c>
      <c r="AI8" t="n">
        <v>1814583</v>
      </c>
      <c r="AJ8" t="n">
        <v>1246212</v>
      </c>
      <c r="AK8" t="n">
        <v>783693</v>
      </c>
      <c r="AL8" t="n">
        <v>632759</v>
      </c>
      <c r="BX8" t="inlineStr">
        <is>
          <t>Leverage Ratio</t>
        </is>
      </c>
      <c r="BY8" t="n">
        <v>14.7</v>
      </c>
      <c r="BZ8" t="n">
        <v>13.7</v>
      </c>
      <c r="CA8" t="n">
        <v>16</v>
      </c>
      <c r="CB8" t="n">
        <v>18</v>
      </c>
      <c r="CC8" t="n">
        <v>16.3</v>
      </c>
      <c r="CD8" t="n">
        <v>19.8</v>
      </c>
      <c r="CE8" t="n">
        <v>30.1</v>
      </c>
      <c r="CF8" t="n">
        <v>18.5</v>
      </c>
      <c r="CG8" t="n">
        <v>23.9</v>
      </c>
      <c r="CH8" t="n">
        <v>29.1</v>
      </c>
      <c r="CI8" t="n">
        <v>30.3</v>
      </c>
    </row>
    <row r="9">
      <c r="A9" s="5" t="inlineStr">
        <is>
          <t>Total equity</t>
        </is>
      </c>
      <c r="B9" s="5" t="n">
        <v>747901</v>
      </c>
      <c r="C9" s="5" t="n">
        <v>810485</v>
      </c>
      <c r="D9" s="5" t="n">
        <v>765983</v>
      </c>
      <c r="E9" s="5" t="n">
        <v>766224</v>
      </c>
      <c r="F9" s="5" t="n">
        <v>821983</v>
      </c>
      <c r="G9" s="5" t="n">
        <v>812361</v>
      </c>
      <c r="H9" s="5" t="n">
        <v>712969</v>
      </c>
      <c r="I9" s="5" t="n">
        <v>674193</v>
      </c>
      <c r="J9" s="5" t="n">
        <v>654676</v>
      </c>
      <c r="K9" s="5" t="n">
        <v>599209</v>
      </c>
      <c r="L9" s="5" t="n">
        <v>547779</v>
      </c>
      <c r="M9" s="5" t="n">
        <v>535307</v>
      </c>
      <c r="N9" s="5" t="n">
        <v>500804</v>
      </c>
      <c r="O9" s="5" t="n">
        <v>942457</v>
      </c>
      <c r="P9" s="5" t="n">
        <v>942708</v>
      </c>
      <c r="Q9" s="5" t="n">
        <v>881745</v>
      </c>
      <c r="R9" s="5" t="n">
        <v>841906</v>
      </c>
      <c r="U9" t="inlineStr">
        <is>
          <t>Total equity</t>
        </is>
      </c>
      <c r="V9" t="n">
        <v>841906</v>
      </c>
      <c r="W9" t="n">
        <v>881745</v>
      </c>
      <c r="X9" t="n">
        <v>942708</v>
      </c>
      <c r="Y9" t="n">
        <v>942457</v>
      </c>
      <c r="Z9" t="n">
        <v>500804</v>
      </c>
      <c r="AA9" t="n">
        <v>535307</v>
      </c>
      <c r="AB9" t="n">
        <v>547779</v>
      </c>
      <c r="AC9" t="n">
        <v>599209</v>
      </c>
      <c r="AD9" t="n">
        <v>654676</v>
      </c>
      <c r="AE9" t="n">
        <v>674193</v>
      </c>
      <c r="AF9" t="n">
        <v>712969</v>
      </c>
      <c r="AG9" t="n">
        <v>812361</v>
      </c>
      <c r="AH9" t="n">
        <v>821983</v>
      </c>
      <c r="AI9" t="n">
        <v>766224</v>
      </c>
      <c r="AJ9" t="n">
        <v>765983</v>
      </c>
      <c r="AK9" t="n">
        <v>810485</v>
      </c>
      <c r="AL9" t="n">
        <v>747901</v>
      </c>
      <c r="BX9" t="inlineStr">
        <is>
          <t>LCR</t>
        </is>
      </c>
      <c r="CC9" t="n">
        <v>210</v>
      </c>
      <c r="CD9" t="n">
        <v>219</v>
      </c>
      <c r="CE9" t="n">
        <v>226</v>
      </c>
      <c r="CF9" t="n">
        <v>191</v>
      </c>
      <c r="CG9" t="n">
        <v>250</v>
      </c>
      <c r="CH9" t="n">
        <v>417</v>
      </c>
      <c r="CI9" t="n">
        <v>412</v>
      </c>
    </row>
    <row r="10">
      <c r="BX10" t="inlineStr">
        <is>
          <t>NSFR</t>
        </is>
      </c>
      <c r="CF10" t="n">
        <v>165</v>
      </c>
      <c r="CG10" t="n">
        <v>163</v>
      </c>
      <c r="CH10" t="n">
        <v>223</v>
      </c>
      <c r="CI10" t="n">
        <v>263</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N12" s="4" t="inlineStr">
        <is>
          <t>FY2013</t>
        </is>
      </c>
      <c r="O12" s="4" t="inlineStr">
        <is>
          <t>FY2012</t>
        </is>
      </c>
      <c r="P12" s="4" t="inlineStr">
        <is>
          <t>FY2011</t>
        </is>
      </c>
      <c r="Q12" s="4" t="inlineStr">
        <is>
          <t>FY2010</t>
        </is>
      </c>
      <c r="R12" s="4" t="inlineStr">
        <is>
          <t>FY2009</t>
        </is>
      </c>
      <c r="AP12" t="inlineStr">
        <is>
          <t>FY2009</t>
        </is>
      </c>
      <c r="AQ12" t="inlineStr">
        <is>
          <t>FY2010</t>
        </is>
      </c>
      <c r="AR12" t="inlineStr">
        <is>
          <t>FY2011</t>
        </is>
      </c>
      <c r="AS12" t="inlineStr">
        <is>
          <t>FY2012</t>
        </is>
      </c>
      <c r="AT12" t="inlineStr">
        <is>
          <t>FY2013</t>
        </is>
      </c>
      <c r="AU12" t="inlineStr">
        <is>
          <t>FY2014</t>
        </is>
      </c>
      <c r="AV12" t="inlineStr">
        <is>
          <t>FY2015</t>
        </is>
      </c>
      <c r="AW12" t="inlineStr">
        <is>
          <t>FY2016</t>
        </is>
      </c>
      <c r="AX12" t="inlineStr">
        <is>
          <t>FY2017</t>
        </is>
      </c>
      <c r="AY12" t="inlineStr">
        <is>
          <t>FY2018</t>
        </is>
      </c>
      <c r="AZ12" t="inlineStr">
        <is>
          <t>FY2019</t>
        </is>
      </c>
      <c r="BA12" t="inlineStr">
        <is>
          <t>FY2020</t>
        </is>
      </c>
      <c r="BB12" t="inlineStr">
        <is>
          <t>FY2021</t>
        </is>
      </c>
      <c r="BC12" t="inlineStr">
        <is>
          <t>FY2022</t>
        </is>
      </c>
      <c r="BD12" t="inlineStr">
        <is>
          <t>FY2023</t>
        </is>
      </c>
      <c r="BE12" t="inlineStr">
        <is>
          <t>FY2024</t>
        </is>
      </c>
      <c r="BF12" t="inlineStr">
        <is>
          <t>FY2025</t>
        </is>
      </c>
    </row>
    <row r="13">
      <c r="A13" s="5" t="inlineStr">
        <is>
          <t>Net interest income</t>
        </is>
      </c>
      <c r="B13" s="5" t="n">
        <v>43615</v>
      </c>
      <c r="C13" s="5" t="n">
        <v>57062</v>
      </c>
      <c r="D13" s="5" t="n">
        <v>52288</v>
      </c>
      <c r="E13" s="5" t="n">
        <v>20340</v>
      </c>
      <c r="F13" s="5" t="n">
        <v>14628</v>
      </c>
      <c r="G13" s="5" t="n">
        <v>33154</v>
      </c>
      <c r="H13" s="5" t="n">
        <v>11958</v>
      </c>
      <c r="I13" s="5" t="n">
        <v>1096</v>
      </c>
      <c r="J13" s="5" t="n">
        <v>13484</v>
      </c>
      <c r="K13" s="5" t="n">
        <v>5549</v>
      </c>
      <c r="L13" s="5" t="n">
        <v>19156</v>
      </c>
      <c r="M13" s="5" t="n">
        <v>14084</v>
      </c>
      <c r="N13" s="5" t="n">
        <v>23806</v>
      </c>
      <c r="O13" s="5" t="n">
        <v>14394</v>
      </c>
      <c r="P13" s="5" t="n">
        <v>52076</v>
      </c>
      <c r="Q13" s="5" t="n">
        <v>70410</v>
      </c>
      <c r="R13" s="5" t="n">
        <v>81011</v>
      </c>
      <c r="AO13" t="inlineStr">
        <is>
          <t>Net interest income</t>
        </is>
      </c>
      <c r="AP13" t="n">
        <v>81011</v>
      </c>
      <c r="AQ13" t="n">
        <v>70410</v>
      </c>
      <c r="AR13" t="n">
        <v>52076</v>
      </c>
      <c r="AS13" t="n">
        <v>14394</v>
      </c>
      <c r="AT13" t="n">
        <v>23806</v>
      </c>
      <c r="AU13" t="n">
        <v>14084</v>
      </c>
      <c r="AV13" t="n">
        <v>19156</v>
      </c>
      <c r="AW13" t="n">
        <v>5549</v>
      </c>
      <c r="AX13" t="n">
        <v>13484</v>
      </c>
      <c r="AY13" t="n">
        <v>1096</v>
      </c>
      <c r="AZ13" t="n">
        <v>11958</v>
      </c>
      <c r="BA13" t="n">
        <v>33154</v>
      </c>
      <c r="BB13" t="n">
        <v>14628</v>
      </c>
      <c r="BC13" t="n">
        <v>20340</v>
      </c>
      <c r="BD13" t="n">
        <v>52288</v>
      </c>
      <c r="BE13" t="n">
        <v>57062</v>
      </c>
      <c r="BF13" t="n">
        <v>43615</v>
      </c>
    </row>
    <row r="14">
      <c r="A14" s="5" t="inlineStr">
        <is>
          <t>Administrative expenses</t>
        </is>
      </c>
      <c r="B14" s="5" t="n">
        <v>-21070</v>
      </c>
      <c r="C14" s="5" t="n">
        <v>-27722</v>
      </c>
      <c r="D14" s="5" t="n">
        <v>-34895</v>
      </c>
      <c r="E14" s="5" t="n">
        <v>-32647</v>
      </c>
      <c r="F14" s="5" t="n">
        <v>-48725</v>
      </c>
      <c r="G14" s="5" t="n">
        <v>-76126</v>
      </c>
      <c r="H14" s="5" t="n">
        <v>-81870</v>
      </c>
      <c r="I14" s="5" t="n">
        <v>-82152</v>
      </c>
      <c r="J14" s="5" t="n">
        <v>-75348</v>
      </c>
      <c r="K14" s="5" t="n">
        <v>-41791</v>
      </c>
      <c r="L14" s="5" t="n">
        <v>-44792</v>
      </c>
      <c r="M14" s="5" t="n">
        <v>-57487</v>
      </c>
      <c r="N14" s="5" t="n">
        <v>-66190</v>
      </c>
      <c r="O14" s="5" t="n">
        <v>-73750</v>
      </c>
      <c r="P14" s="5" t="n">
        <v>-74975</v>
      </c>
      <c r="Q14" s="5" t="n">
        <v>-79017</v>
      </c>
      <c r="R14" s="5" t="n">
        <v>-85141</v>
      </c>
      <c r="AO14" t="inlineStr">
        <is>
          <t>Administrative expenses</t>
        </is>
      </c>
      <c r="AP14" t="n">
        <v>-85141</v>
      </c>
      <c r="AQ14" t="n">
        <v>-79017</v>
      </c>
      <c r="AR14" t="n">
        <v>-74975</v>
      </c>
      <c r="AS14" t="n">
        <v>-73750</v>
      </c>
      <c r="AT14" t="n">
        <v>-66190</v>
      </c>
      <c r="AU14" t="n">
        <v>-57487</v>
      </c>
      <c r="AV14" t="n">
        <v>-44792</v>
      </c>
      <c r="AW14" t="n">
        <v>-41791</v>
      </c>
      <c r="AX14" t="n">
        <v>-75348</v>
      </c>
      <c r="AY14" t="n">
        <v>-82152</v>
      </c>
      <c r="AZ14" t="n">
        <v>-81870</v>
      </c>
      <c r="BA14" t="n">
        <v>-76126</v>
      </c>
      <c r="BB14" t="n">
        <v>-48725</v>
      </c>
      <c r="BC14" t="n">
        <v>-32647</v>
      </c>
      <c r="BD14" t="n">
        <v>-34895</v>
      </c>
      <c r="BE14" t="n">
        <v>-27722</v>
      </c>
      <c r="BF14" t="n">
        <v>-21070</v>
      </c>
    </row>
    <row r="15">
      <c r="A15" s="5" t="inlineStr">
        <is>
          <t>Profit for the year</t>
        </is>
      </c>
      <c r="B15" s="5" t="n">
        <v>37579</v>
      </c>
      <c r="C15" s="5" t="n">
        <v>45781</v>
      </c>
      <c r="D15" s="5" t="n">
        <v>314</v>
      </c>
      <c r="E15" s="5" t="n">
        <v>94153</v>
      </c>
      <c r="F15" s="5" t="n">
        <v>9877</v>
      </c>
      <c r="G15" s="5" t="n">
        <v>94430</v>
      </c>
      <c r="H15" s="5" t="n">
        <v>38122</v>
      </c>
      <c r="I15" s="5" t="n">
        <v>27693</v>
      </c>
      <c r="J15" s="5" t="n">
        <v>49705</v>
      </c>
      <c r="K15" s="5" t="n">
        <v>27988</v>
      </c>
      <c r="L15" s="5" t="n">
        <v>18134</v>
      </c>
      <c r="M15" s="5" t="n">
        <v>30766</v>
      </c>
      <c r="N15" s="5" t="n">
        <v>7155</v>
      </c>
      <c r="O15" s="5" t="n">
        <v>-4343</v>
      </c>
      <c r="P15" s="5" t="n">
        <v>62399</v>
      </c>
      <c r="Q15" s="5" t="n">
        <v>35964</v>
      </c>
      <c r="R15" s="5" t="n">
        <v>-12386</v>
      </c>
      <c r="AO15" t="inlineStr">
        <is>
          <t>Profit for the year</t>
        </is>
      </c>
      <c r="AP15" t="n">
        <v>-12386</v>
      </c>
      <c r="AQ15" t="n">
        <v>35964</v>
      </c>
      <c r="AR15" t="n">
        <v>62399</v>
      </c>
      <c r="AS15" t="n">
        <v>-4343</v>
      </c>
      <c r="AT15" t="n">
        <v>7155</v>
      </c>
      <c r="AU15" t="n">
        <v>30766</v>
      </c>
      <c r="AV15" t="n">
        <v>18134</v>
      </c>
      <c r="AW15" t="n">
        <v>27988</v>
      </c>
      <c r="AX15" t="n">
        <v>49705</v>
      </c>
      <c r="AY15" t="n">
        <v>27693</v>
      </c>
      <c r="AZ15" t="n">
        <v>38122</v>
      </c>
      <c r="BA15" t="n">
        <v>94430</v>
      </c>
      <c r="BB15" t="n">
        <v>9877</v>
      </c>
      <c r="BC15" t="n">
        <v>94153</v>
      </c>
      <c r="BD15" t="n">
        <v>314</v>
      </c>
      <c r="BE15" t="n">
        <v>45781</v>
      </c>
      <c r="BF15" t="n">
        <v>37579</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BJ18" t="inlineStr">
        <is>
          <t>FY2014</t>
        </is>
      </c>
      <c r="BK18" t="inlineStr">
        <is>
          <t>FY2015</t>
        </is>
      </c>
      <c r="BL18" t="inlineStr">
        <is>
          <t>FY2016</t>
        </is>
      </c>
      <c r="BM18" t="inlineStr">
        <is>
          <t>FY2017</t>
        </is>
      </c>
      <c r="BN18" t="inlineStr">
        <is>
          <t>FY2018</t>
        </is>
      </c>
      <c r="BO18" t="inlineStr">
        <is>
          <t>FY2019</t>
        </is>
      </c>
      <c r="BP18" t="inlineStr">
        <is>
          <t>FY2020</t>
        </is>
      </c>
      <c r="BQ18" t="inlineStr">
        <is>
          <t>FY2021</t>
        </is>
      </c>
      <c r="BR18" t="inlineStr">
        <is>
          <t>FY2022</t>
        </is>
      </c>
      <c r="BS18" t="inlineStr">
        <is>
          <t>FY2023</t>
        </is>
      </c>
      <c r="BT18" t="inlineStr">
        <is>
          <t>FY2024</t>
        </is>
      </c>
      <c r="BU18" t="inlineStr">
        <is>
          <t>FY2025</t>
        </is>
      </c>
    </row>
    <row r="19">
      <c r="A19" s="5" t="inlineStr">
        <is>
          <t>Opening equity</t>
        </is>
      </c>
      <c r="B19" s="5" t="n">
        <v>810485</v>
      </c>
      <c r="C19" s="5" t="n">
        <v>765983</v>
      </c>
      <c r="D19" s="5" t="n">
        <v>766224</v>
      </c>
      <c r="E19" s="5" t="n">
        <v>821983</v>
      </c>
      <c r="F19" s="5" t="n">
        <v>812361</v>
      </c>
      <c r="G19" s="5" t="n">
        <v>712969</v>
      </c>
      <c r="H19" s="5" t="n">
        <v>674193</v>
      </c>
      <c r="I19" s="5" t="n">
        <v>654676</v>
      </c>
      <c r="J19" s="5" t="n">
        <v>599209</v>
      </c>
      <c r="K19" s="5" t="n">
        <v>547779</v>
      </c>
      <c r="L19" s="5" t="n">
        <v>531729</v>
      </c>
      <c r="M19" s="5" t="n">
        <v>500804</v>
      </c>
      <c r="BI19" t="inlineStr">
        <is>
          <t>Opening equity</t>
        </is>
      </c>
      <c r="BJ19" t="n">
        <v>500804</v>
      </c>
      <c r="BK19" t="n">
        <v>531729</v>
      </c>
      <c r="BL19" t="n">
        <v>547779</v>
      </c>
      <c r="BM19" t="n">
        <v>599209</v>
      </c>
      <c r="BN19" t="n">
        <v>654676</v>
      </c>
      <c r="BO19" t="n">
        <v>674193</v>
      </c>
      <c r="BP19" t="n">
        <v>712969</v>
      </c>
      <c r="BQ19" t="n">
        <v>812361</v>
      </c>
      <c r="BR19" t="n">
        <v>821983</v>
      </c>
      <c r="BS19" t="n">
        <v>766224</v>
      </c>
      <c r="BT19" t="n">
        <v>765983</v>
      </c>
      <c r="BU19" t="n">
        <v>810485</v>
      </c>
    </row>
    <row r="20">
      <c r="A20" s="5" t="inlineStr">
        <is>
          <t>Total comprehensive income for the year</t>
        </is>
      </c>
      <c r="B20" s="5" t="n">
        <v>37416</v>
      </c>
      <c r="C20" s="5" t="n">
        <v>44502</v>
      </c>
      <c r="D20" s="5" t="n">
        <v>-241</v>
      </c>
      <c r="E20" s="5" t="n">
        <v>94241</v>
      </c>
      <c r="F20" s="5" t="n">
        <v>9622</v>
      </c>
      <c r="G20" s="5" t="n">
        <v>95113</v>
      </c>
      <c r="H20" s="5" t="n">
        <v>38776</v>
      </c>
      <c r="I20" s="5" t="n">
        <v>20377</v>
      </c>
      <c r="J20" s="5" t="n">
        <v>55467</v>
      </c>
      <c r="K20" s="5" t="n">
        <v>51430</v>
      </c>
      <c r="L20" s="5" t="n">
        <v>16050</v>
      </c>
      <c r="M20" s="5" t="n">
        <v>32444</v>
      </c>
      <c r="BI20" t="inlineStr">
        <is>
          <t>Total comprehensive income for the year</t>
        </is>
      </c>
      <c r="BJ20" t="n">
        <v>32444</v>
      </c>
      <c r="BK20" t="n">
        <v>16050</v>
      </c>
      <c r="BL20" t="n">
        <v>51430</v>
      </c>
      <c r="BM20" t="n">
        <v>55467</v>
      </c>
      <c r="BN20" t="n">
        <v>20377</v>
      </c>
      <c r="BO20" t="n">
        <v>38776</v>
      </c>
      <c r="BP20" t="n">
        <v>95113</v>
      </c>
      <c r="BQ20" t="n">
        <v>9622</v>
      </c>
      <c r="BR20" t="n">
        <v>94241</v>
      </c>
      <c r="BS20" t="n">
        <v>-241</v>
      </c>
      <c r="BT20" t="n">
        <v>44502</v>
      </c>
      <c r="BU20" t="n">
        <v>37416</v>
      </c>
    </row>
    <row r="21">
      <c r="A21" s="5" t="inlineStr">
        <is>
          <t>Other equity movements, net</t>
        </is>
      </c>
      <c r="B21" s="5" t="n">
        <v>-100000</v>
      </c>
      <c r="C21" s="5" t="n">
        <v>0</v>
      </c>
      <c r="D21" s="5" t="n">
        <v>0</v>
      </c>
      <c r="E21" s="5" t="n">
        <v>-150000</v>
      </c>
      <c r="F21" s="5" t="n">
        <v>0</v>
      </c>
      <c r="G21" s="5" t="n">
        <v>4279</v>
      </c>
      <c r="H21" s="5" t="n">
        <v>0</v>
      </c>
      <c r="I21" s="5" t="n">
        <v>-860</v>
      </c>
      <c r="J21" s="5" t="n">
        <v>0</v>
      </c>
      <c r="K21" s="5" t="n">
        <v>0</v>
      </c>
      <c r="L21" s="5" t="n">
        <v>0</v>
      </c>
      <c r="M21" s="5" t="n">
        <v>2059</v>
      </c>
      <c r="BI21" t="inlineStr">
        <is>
          <t>Other equity movements, net</t>
        </is>
      </c>
      <c r="BJ21" t="n">
        <v>2059</v>
      </c>
      <c r="BK21" t="n">
        <v>0</v>
      </c>
      <c r="BL21" t="n">
        <v>0</v>
      </c>
      <c r="BM21" t="n">
        <v>0</v>
      </c>
      <c r="BN21" t="n">
        <v>-860</v>
      </c>
      <c r="BO21" t="n">
        <v>0</v>
      </c>
      <c r="BP21" t="n">
        <v>4279</v>
      </c>
      <c r="BQ21" t="n">
        <v>0</v>
      </c>
      <c r="BR21" t="n">
        <v>-150000</v>
      </c>
      <c r="BS21" t="n">
        <v>0</v>
      </c>
      <c r="BT21" t="n">
        <v>0</v>
      </c>
      <c r="BU21" t="n">
        <v>-100000</v>
      </c>
    </row>
    <row r="22">
      <c r="A22" s="5" t="inlineStr">
        <is>
          <t>Closing equity</t>
        </is>
      </c>
      <c r="B22" s="5" t="n">
        <v>747901</v>
      </c>
      <c r="C22" s="5" t="n">
        <v>810485</v>
      </c>
      <c r="D22" s="5" t="n">
        <v>765983</v>
      </c>
      <c r="E22" s="5" t="n">
        <v>766224</v>
      </c>
      <c r="F22" s="5" t="n">
        <v>821983</v>
      </c>
      <c r="G22" s="5" t="n">
        <v>812361</v>
      </c>
      <c r="H22" s="5" t="n">
        <v>712969</v>
      </c>
      <c r="I22" s="5" t="n">
        <v>674193</v>
      </c>
      <c r="J22" s="5" t="n">
        <v>654676</v>
      </c>
      <c r="K22" s="5" t="n">
        <v>599209</v>
      </c>
      <c r="L22" s="5" t="n">
        <v>547779</v>
      </c>
      <c r="M22" s="5" t="n">
        <v>535307</v>
      </c>
      <c r="BI22" t="inlineStr">
        <is>
          <t>Closing equity</t>
        </is>
      </c>
      <c r="BJ22" t="n">
        <v>535307</v>
      </c>
      <c r="BK22" t="n">
        <v>547779</v>
      </c>
      <c r="BL22" t="n">
        <v>599209</v>
      </c>
      <c r="BM22" t="n">
        <v>654676</v>
      </c>
      <c r="BN22" t="n">
        <v>674193</v>
      </c>
      <c r="BO22" t="n">
        <v>712969</v>
      </c>
      <c r="BP22" t="n">
        <v>812361</v>
      </c>
      <c r="BQ22" t="n">
        <v>821983</v>
      </c>
      <c r="BR22" t="n">
        <v>766224</v>
      </c>
      <c r="BS22" t="n">
        <v>765983</v>
      </c>
      <c r="BT22" t="n">
        <v>810485</v>
      </c>
      <c r="BU22" t="n">
        <v>747901</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c r="G27" s="4" t="inlineStr">
        <is>
          <t>FY2020</t>
        </is>
      </c>
      <c r="H27" s="4" t="inlineStr">
        <is>
          <t>FY2019</t>
        </is>
      </c>
      <c r="I27" s="4" t="inlineStr">
        <is>
          <t>FY2018</t>
        </is>
      </c>
      <c r="J27" s="4" t="inlineStr">
        <is>
          <t>FY2017</t>
        </is>
      </c>
      <c r="K27" s="4" t="inlineStr">
        <is>
          <t>FY2016</t>
        </is>
      </c>
      <c r="L27" s="4" t="inlineStr">
        <is>
          <t>FY2015</t>
        </is>
      </c>
    </row>
    <row r="28">
      <c r="A28" s="6" t="inlineStr">
        <is>
          <t>CET1 Ratio</t>
        </is>
      </c>
      <c r="B28" s="6" t="inlineStr">
        <is>
          <t>42.6%</t>
        </is>
      </c>
      <c r="C28" s="6" t="inlineStr">
        <is>
          <t>46.7%</t>
        </is>
      </c>
      <c r="D28" s="6" t="inlineStr">
        <is>
          <t>31.7%</t>
        </is>
      </c>
      <c r="E28" s="6" t="inlineStr">
        <is>
          <t>34.0%</t>
        </is>
      </c>
      <c r="F28" s="6" t="inlineStr">
        <is>
          <t>34.4%</t>
        </is>
      </c>
      <c r="G28" s="6" t="inlineStr">
        <is>
          <t>23.3%</t>
        </is>
      </c>
      <c r="H28" s="6" t="inlineStr">
        <is>
          <t>20.9%</t>
        </is>
      </c>
      <c r="I28" s="6" t="inlineStr">
        <is>
          <t>17.3%</t>
        </is>
      </c>
      <c r="J28" s="6" t="inlineStr">
        <is>
          <t>19.0%</t>
        </is>
      </c>
      <c r="K28" s="6" t="inlineStr">
        <is>
          <t>18.4%</t>
        </is>
      </c>
      <c r="L28" s="6" t="inlineStr">
        <is>
          <t>17.1%</t>
        </is>
      </c>
    </row>
    <row r="29">
      <c r="A29" s="6" t="inlineStr">
        <is>
          <t>Total Capital Ratio</t>
        </is>
      </c>
      <c r="B29" s="6" t="inlineStr">
        <is>
          <t>58.9%</t>
        </is>
      </c>
      <c r="C29" s="6" t="inlineStr">
        <is>
          <t>59.8%</t>
        </is>
      </c>
      <c r="D29" s="6" t="inlineStr">
        <is>
          <t>43.3%</t>
        </is>
      </c>
      <c r="E29" s="6" t="inlineStr">
        <is>
          <t>48.5%</t>
        </is>
      </c>
      <c r="F29" s="6" t="inlineStr">
        <is>
          <t>44.0%</t>
        </is>
      </c>
      <c r="G29" s="6" t="inlineStr">
        <is>
          <t>33.5%</t>
        </is>
      </c>
      <c r="H29" s="6" t="inlineStr">
        <is>
          <t>29.7%</t>
        </is>
      </c>
      <c r="I29" s="6" t="n"/>
      <c r="J29" s="6" t="n"/>
      <c r="K29" s="6" t="n"/>
      <c r="L29" s="6" t="n"/>
    </row>
    <row r="30">
      <c r="A30" s="6" t="inlineStr">
        <is>
          <t>Leverage Ratio</t>
        </is>
      </c>
      <c r="B30" s="6" t="inlineStr">
        <is>
          <t>30.3%</t>
        </is>
      </c>
      <c r="C30" s="6" t="inlineStr">
        <is>
          <t>29.1%</t>
        </is>
      </c>
      <c r="D30" s="6" t="inlineStr">
        <is>
          <t>23.9%</t>
        </is>
      </c>
      <c r="E30" s="6" t="inlineStr">
        <is>
          <t>18.5%</t>
        </is>
      </c>
      <c r="F30" s="6" t="inlineStr">
        <is>
          <t>30.1%</t>
        </is>
      </c>
      <c r="G30" s="6" t="inlineStr">
        <is>
          <t>19.8%</t>
        </is>
      </c>
      <c r="H30" s="6" t="inlineStr">
        <is>
          <t>16.3%</t>
        </is>
      </c>
      <c r="I30" s="6" t="inlineStr">
        <is>
          <t>18.0%</t>
        </is>
      </c>
      <c r="J30" s="6" t="inlineStr">
        <is>
          <t>16.0%</t>
        </is>
      </c>
      <c r="K30" s="6" t="inlineStr">
        <is>
          <t>13.7%</t>
        </is>
      </c>
      <c r="L30" s="6" t="inlineStr">
        <is>
          <t>14.7%</t>
        </is>
      </c>
    </row>
    <row r="31">
      <c r="A31" s="6" t="inlineStr">
        <is>
          <t>LCR</t>
        </is>
      </c>
      <c r="B31" s="6" t="inlineStr">
        <is>
          <t>412%</t>
        </is>
      </c>
      <c r="C31" s="6" t="inlineStr">
        <is>
          <t>417%</t>
        </is>
      </c>
      <c r="D31" s="6" t="inlineStr">
        <is>
          <t>250%</t>
        </is>
      </c>
      <c r="E31" s="6" t="inlineStr">
        <is>
          <t>191%</t>
        </is>
      </c>
      <c r="F31" s="6" t="inlineStr">
        <is>
          <t>226%</t>
        </is>
      </c>
      <c r="G31" s="6" t="inlineStr">
        <is>
          <t>219%</t>
        </is>
      </c>
      <c r="H31" s="6" t="inlineStr">
        <is>
          <t>210%</t>
        </is>
      </c>
      <c r="I31" s="6" t="n"/>
      <c r="J31" s="6" t="n"/>
      <c r="K31" s="6" t="n"/>
      <c r="L31" s="6" t="n"/>
    </row>
    <row r="32">
      <c r="A32" s="6" t="inlineStr">
        <is>
          <t>NSFR</t>
        </is>
      </c>
      <c r="B32" s="6" t="inlineStr">
        <is>
          <t>263%</t>
        </is>
      </c>
      <c r="C32" s="6" t="inlineStr">
        <is>
          <t>223%</t>
        </is>
      </c>
      <c r="D32" s="6" t="inlineStr">
        <is>
          <t>163%</t>
        </is>
      </c>
      <c r="E32" s="6" t="inlineStr">
        <is>
          <t>165%</t>
        </is>
      </c>
      <c r="F32" s="6" t="inlineStr">
        <is>
          <t>N/A (as printed)</t>
        </is>
      </c>
      <c r="G32" s="6" t="n"/>
      <c r="H32" s="6" t="n"/>
      <c r="I32" s="6" t="n"/>
      <c r="J32" s="6" t="n"/>
      <c r="K32" s="6" t="n"/>
      <c r="L32" s="6" t="n"/>
    </row>
    <row r="34" ht="30" customHeight="1">
      <c r="A34" s="7" t="inlineStr">
        <is>
          <t>Note: The Company takes the FRS 101 exemption from presenting a cash-flow statement. Interim Morgan Stanley International Pillar 3 reports are group-level and do not provide defensible standalone MSBIL interim data. FY2014-FY2018: CET1 Ratio uses the disclosed Tier 1 ratio (CET1 = Tier 1 capital in every year checked); Total Capital Ratio, LCR and NSFR are blank where not disclosed (see the RWA/Total Capital/LCR/NSFR sheets for detail); FY2014 additionally has no Leverage Ratio (first required from FY2015) and no capital ratio of any kind besides what appears here.</t>
        </is>
      </c>
    </row>
  </sheetData>
  <mergeCells count="1">
    <mergeCell ref="A34:R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Morgan Stanley Bank International Limited — Balance Sheet</t>
        </is>
      </c>
    </row>
    <row r="2">
      <c r="A2" s="2" t="inlineStr">
        <is>
          <t>Standalone Company basis (FRS 101). £'000. FY2021 uniquely shows an 'Investment in subsidiary undertaking' line (£105,374k) - disposed of during FY2022, generating that year's £93,978k 'Gain on disposal of subsidiary' on the Profit &amp; Loss sheet and dropping to £nil from FY2022 onward. 'Deferred tax liabilities' only appears as its own line from FY2024 (shown as '–'/nil that year, £1,079k in FY2025); FY2021-FY2023 disclose no such line at all (shown blank, not zero).</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row>
    <row r="4">
      <c r="A4" s="5" t="inlineStr">
        <is>
          <t>Assets</t>
        </is>
      </c>
      <c r="B4" s="6" t="n"/>
      <c r="C4" s="6" t="n"/>
      <c r="D4" s="6" t="n"/>
      <c r="E4" s="6" t="n"/>
      <c r="F4" s="6" t="n"/>
      <c r="G4" s="6" t="n"/>
      <c r="H4" s="6" t="n"/>
      <c r="I4" s="6" t="n"/>
      <c r="J4" s="6" t="n"/>
      <c r="K4" s="6" t="n"/>
      <c r="L4" s="6" t="n"/>
      <c r="M4" s="6" t="n"/>
      <c r="N4" s="6" t="n"/>
      <c r="O4" s="6" t="n"/>
      <c r="P4" s="6" t="n"/>
      <c r="Q4" s="6" t="n"/>
      <c r="R4" s="6" t="n"/>
    </row>
    <row r="5">
      <c r="A5" s="6" t="inlineStr">
        <is>
          <t>Cash and balances at central banks</t>
        </is>
      </c>
      <c r="B5" s="6" t="n">
        <v>24687</v>
      </c>
      <c r="C5" s="6" t="n">
        <v>17404</v>
      </c>
      <c r="D5" s="6" t="n">
        <v>6870</v>
      </c>
      <c r="E5" s="6" t="n">
        <v>47133</v>
      </c>
      <c r="F5" s="6" t="n">
        <v>20144</v>
      </c>
      <c r="G5" s="6" t="n">
        <v>14613</v>
      </c>
      <c r="H5" s="6" t="n">
        <v>122601</v>
      </c>
      <c r="I5" s="6" t="n">
        <v>15</v>
      </c>
      <c r="J5" s="6" t="n">
        <v>52687</v>
      </c>
      <c r="K5" s="6" t="n">
        <v>63784</v>
      </c>
      <c r="L5" s="6" t="n">
        <v>30279</v>
      </c>
      <c r="M5" s="6" t="n">
        <v>3308</v>
      </c>
      <c r="N5" s="6" t="n">
        <v>28138</v>
      </c>
      <c r="O5" s="6" t="n">
        <v>31428</v>
      </c>
      <c r="P5" s="6" t="n">
        <v>13459</v>
      </c>
      <c r="Q5" s="6" t="n">
        <v>29719</v>
      </c>
      <c r="R5" s="6" t="n">
        <v>16153</v>
      </c>
    </row>
    <row r="6">
      <c r="A6" s="6" t="inlineStr">
        <is>
          <t>Secured financing</t>
        </is>
      </c>
      <c r="B6" s="6" t="n">
        <v>836854</v>
      </c>
      <c r="C6" s="6" t="n">
        <v>1163336</v>
      </c>
      <c r="D6" s="6" t="n">
        <v>1150162</v>
      </c>
      <c r="E6" s="6" t="n">
        <v>1330363</v>
      </c>
      <c r="F6" s="6" t="n">
        <v>1139856</v>
      </c>
      <c r="G6" s="6" t="n">
        <v>1501101</v>
      </c>
      <c r="H6" s="6" t="n">
        <v>1480900</v>
      </c>
      <c r="I6" s="6" t="n">
        <v>1280633</v>
      </c>
      <c r="J6" s="6" t="n">
        <v>1039793</v>
      </c>
      <c r="K6" s="6" t="n">
        <v>879913</v>
      </c>
      <c r="L6" s="6" t="n">
        <v>921954</v>
      </c>
      <c r="M6" s="6" t="n">
        <v>825761</v>
      </c>
      <c r="N6" s="6" t="n"/>
      <c r="O6" s="6" t="n"/>
      <c r="P6" s="6" t="n"/>
      <c r="Q6" s="6" t="n"/>
      <c r="R6" s="6" t="n"/>
    </row>
    <row r="7">
      <c r="A7" s="6" t="inlineStr">
        <is>
          <t>Reverse repurchase agreements (FY2010-FY2013 label; not separately disclosed FY2009)</t>
        </is>
      </c>
      <c r="B7" s="6" t="n"/>
      <c r="C7" s="6" t="n"/>
      <c r="D7" s="6" t="n"/>
      <c r="E7" s="6" t="n"/>
      <c r="F7" s="6" t="n"/>
      <c r="G7" s="6" t="n"/>
      <c r="H7" s="6" t="n"/>
      <c r="I7" s="6" t="n"/>
      <c r="J7" s="6" t="n"/>
      <c r="K7" s="6" t="n"/>
      <c r="L7" s="6" t="n"/>
      <c r="M7" s="6" t="n"/>
      <c r="N7" s="6" t="n">
        <v>2807459</v>
      </c>
      <c r="O7" s="6" t="n">
        <v>2194621</v>
      </c>
      <c r="P7" s="6" t="n">
        <v>1952073</v>
      </c>
      <c r="Q7" s="6" t="n">
        <v>1456466</v>
      </c>
      <c r="R7" s="6" t="n"/>
    </row>
    <row r="8">
      <c r="A8" s="6" t="inlineStr">
        <is>
          <t>Loans and advances to banks</t>
        </is>
      </c>
      <c r="B8" s="6" t="n">
        <v>140542</v>
      </c>
      <c r="C8" s="6" t="n">
        <v>212774</v>
      </c>
      <c r="D8" s="6" t="n">
        <v>187090</v>
      </c>
      <c r="E8" s="6" t="n">
        <v>175841</v>
      </c>
      <c r="F8" s="6" t="n">
        <v>129608</v>
      </c>
      <c r="G8" s="6" t="n">
        <v>337581</v>
      </c>
      <c r="H8" s="6" t="n">
        <v>131940</v>
      </c>
      <c r="I8" s="6" t="n">
        <v>107412</v>
      </c>
      <c r="J8" s="6" t="n">
        <v>147815</v>
      </c>
      <c r="K8" s="6" t="n">
        <v>157136</v>
      </c>
      <c r="L8" s="6" t="n">
        <v>89547</v>
      </c>
      <c r="M8" s="6" t="n">
        <v>152123</v>
      </c>
      <c r="N8" s="6" t="n">
        <v>172848</v>
      </c>
      <c r="O8" s="6" t="n">
        <v>270996</v>
      </c>
      <c r="P8" s="6" t="n">
        <v>624248</v>
      </c>
      <c r="Q8" s="6" t="n">
        <v>352185</v>
      </c>
      <c r="R8" s="6" t="n">
        <v>187133</v>
      </c>
    </row>
    <row r="9">
      <c r="A9" s="6" t="inlineStr">
        <is>
          <t>Loans and advances to customers</t>
        </is>
      </c>
      <c r="B9" s="6" t="n">
        <v>422190</v>
      </c>
      <c r="C9" s="6" t="n">
        <v>775727</v>
      </c>
      <c r="D9" s="6" t="n">
        <v>760186</v>
      </c>
      <c r="E9" s="6" t="n">
        <v>1227715</v>
      </c>
      <c r="F9" s="6" t="n">
        <v>380124</v>
      </c>
      <c r="G9" s="6" t="n">
        <v>24573</v>
      </c>
      <c r="H9" s="6" t="n">
        <v>180250</v>
      </c>
      <c r="I9" s="6" t="n">
        <v>363113</v>
      </c>
      <c r="J9" s="6" t="n">
        <v>354177</v>
      </c>
      <c r="K9" s="6" t="n">
        <v>385052</v>
      </c>
      <c r="L9" s="6" t="n">
        <v>155311</v>
      </c>
      <c r="M9" s="6" t="n">
        <v>617659</v>
      </c>
      <c r="N9" s="6" t="n">
        <v>965499</v>
      </c>
      <c r="O9" s="6" t="n">
        <v>756208</v>
      </c>
      <c r="P9" s="6" t="n">
        <v>748579</v>
      </c>
      <c r="Q9" s="6" t="n">
        <v>2499609</v>
      </c>
      <c r="R9" s="6" t="n">
        <v>1499221</v>
      </c>
    </row>
    <row r="10">
      <c r="A10" s="6" t="inlineStr">
        <is>
          <t>Trading financial assets</t>
        </is>
      </c>
      <c r="B10" s="6" t="n">
        <v>3022186</v>
      </c>
      <c r="C10" s="6" t="n">
        <v>3746151</v>
      </c>
      <c r="D10" s="6" t="n">
        <v>3613350</v>
      </c>
      <c r="E10" s="6" t="n">
        <v>4868282</v>
      </c>
      <c r="F10" s="6" t="n">
        <v>3358044</v>
      </c>
      <c r="G10" s="6" t="n">
        <v>4184122</v>
      </c>
      <c r="H10" s="6" t="n">
        <v>3446503</v>
      </c>
      <c r="I10" s="6" t="n">
        <v>3290194</v>
      </c>
      <c r="J10" s="6" t="n">
        <v>3572024</v>
      </c>
      <c r="K10" s="6" t="n">
        <v>4123722</v>
      </c>
      <c r="L10" s="6" t="n">
        <v>3358901</v>
      </c>
      <c r="M10" s="6" t="n">
        <v>3247108</v>
      </c>
      <c r="N10" s="6" t="n">
        <v>2646987</v>
      </c>
      <c r="O10" s="6" t="n">
        <v>3161175</v>
      </c>
      <c r="P10" s="6" t="n">
        <v>3503456</v>
      </c>
      <c r="Q10" s="6" t="n">
        <v>3477185</v>
      </c>
      <c r="R10" s="6" t="n">
        <v>3930918</v>
      </c>
    </row>
    <row r="11">
      <c r="A11" s="6" t="inlineStr">
        <is>
          <t>Investment securities</t>
        </is>
      </c>
      <c r="B11" s="6" t="n">
        <v>23</v>
      </c>
      <c r="C11" s="6" t="n">
        <v>472</v>
      </c>
      <c r="D11" s="6" t="n">
        <v>463</v>
      </c>
      <c r="E11" s="6" t="n">
        <v>23</v>
      </c>
      <c r="F11" s="6" t="n">
        <v>679</v>
      </c>
      <c r="G11" s="6" t="n">
        <v>4828</v>
      </c>
      <c r="H11" s="6" t="n">
        <v>6557</v>
      </c>
      <c r="I11" s="6" t="n"/>
      <c r="J11" s="6" t="n"/>
      <c r="K11" s="6" t="n"/>
      <c r="L11" s="6" t="n"/>
      <c r="M11" s="6" t="n"/>
      <c r="N11" s="6" t="n"/>
      <c r="O11" s="6" t="n"/>
      <c r="P11" s="6" t="n"/>
      <c r="Q11" s="6" t="n"/>
      <c r="R11" s="6" t="n"/>
    </row>
    <row r="12">
      <c r="A12" s="6" t="inlineStr">
        <is>
          <t>Financial assets designated at fair value through profit or loss</t>
        </is>
      </c>
      <c r="B12" s="6" t="n"/>
      <c r="C12" s="6" t="n"/>
      <c r="D12" s="6" t="n"/>
      <c r="E12" s="6" t="n"/>
      <c r="F12" s="6" t="n"/>
      <c r="G12" s="6" t="n"/>
      <c r="H12" s="6" t="n"/>
      <c r="I12" s="6" t="n"/>
      <c r="J12" s="6" t="n"/>
      <c r="K12" s="6" t="n"/>
      <c r="L12" s="6" t="n"/>
      <c r="M12" s="6" t="n">
        <v>0</v>
      </c>
      <c r="N12" s="6" t="n">
        <v>44842</v>
      </c>
      <c r="O12" s="6" t="n">
        <v>46916</v>
      </c>
      <c r="P12" s="6" t="n">
        <v>41704</v>
      </c>
      <c r="Q12" s="6" t="n">
        <v>0</v>
      </c>
      <c r="R12" s="6" t="n">
        <v>3117</v>
      </c>
    </row>
    <row r="13">
      <c r="A13" s="6" t="inlineStr">
        <is>
          <t>Investment in subsidiary undertaking</t>
        </is>
      </c>
      <c r="B13" s="6" t="n"/>
      <c r="C13" s="6" t="n"/>
      <c r="D13" s="6" t="n"/>
      <c r="E13" s="6" t="n"/>
      <c r="F13" s="6" t="n">
        <v>105374</v>
      </c>
      <c r="G13" s="6" t="n">
        <v>105374</v>
      </c>
      <c r="H13" s="6" t="n">
        <v>105374</v>
      </c>
      <c r="I13" s="6" t="n">
        <v>105374</v>
      </c>
      <c r="J13" s="6" t="n">
        <v>105374</v>
      </c>
      <c r="K13" s="6" t="n">
        <v>105374</v>
      </c>
      <c r="L13" s="6" t="n">
        <v>105374</v>
      </c>
      <c r="M13" s="6" t="n">
        <v>105374</v>
      </c>
      <c r="N13" s="6" t="n">
        <v>105374</v>
      </c>
      <c r="O13" s="6" t="n">
        <v>105374</v>
      </c>
      <c r="P13" s="6" t="n">
        <v>105374</v>
      </c>
      <c r="Q13" s="6" t="n">
        <v>105374</v>
      </c>
      <c r="R13" s="6" t="n">
        <v>105374</v>
      </c>
    </row>
    <row r="14">
      <c r="A14" s="6" t="inlineStr">
        <is>
          <t>Tangible fixed assets</t>
        </is>
      </c>
      <c r="B14" s="6" t="n">
        <v>681</v>
      </c>
      <c r="C14" s="6" t="n">
        <v>926</v>
      </c>
      <c r="D14" s="6" t="n">
        <v>1093</v>
      </c>
      <c r="E14" s="6" t="n">
        <v>1382</v>
      </c>
      <c r="F14" s="6" t="n">
        <v>567</v>
      </c>
      <c r="G14" s="6" t="n">
        <v>749</v>
      </c>
      <c r="H14" s="6" t="n">
        <v>3618</v>
      </c>
      <c r="I14" s="6" t="n">
        <v>898</v>
      </c>
      <c r="J14" s="6" t="n">
        <v>848</v>
      </c>
      <c r="K14" s="6" t="n">
        <v>1065</v>
      </c>
      <c r="L14" s="6" t="n">
        <v>1022</v>
      </c>
      <c r="M14" s="6" t="n">
        <v>437</v>
      </c>
      <c r="N14" s="6" t="n">
        <v>570</v>
      </c>
      <c r="O14" s="6" t="n">
        <v>780</v>
      </c>
      <c r="P14" s="6" t="n">
        <v>984</v>
      </c>
      <c r="Q14" s="6" t="n">
        <v>1447</v>
      </c>
      <c r="R14" s="6" t="n">
        <v>1761</v>
      </c>
    </row>
    <row r="15">
      <c r="A15" s="6" t="inlineStr">
        <is>
          <t>Other receivables</t>
        </is>
      </c>
      <c r="B15" s="6" t="n">
        <v>26119</v>
      </c>
      <c r="C15" s="6" t="n">
        <v>23892</v>
      </c>
      <c r="D15" s="6" t="n">
        <v>34100</v>
      </c>
      <c r="E15" s="6" t="n">
        <v>30374</v>
      </c>
      <c r="F15" s="6" t="n">
        <v>22811</v>
      </c>
      <c r="G15" s="6" t="n">
        <v>13774</v>
      </c>
      <c r="H15" s="6" t="n">
        <v>10013</v>
      </c>
      <c r="I15" s="6" t="n">
        <v>16071</v>
      </c>
      <c r="J15" s="6" t="n">
        <v>29716</v>
      </c>
      <c r="K15" s="6" t="n">
        <v>11526</v>
      </c>
      <c r="L15" s="6" t="n">
        <v>19736</v>
      </c>
      <c r="M15" s="6" t="n">
        <v>23098</v>
      </c>
      <c r="N15" s="6" t="n"/>
      <c r="O15" s="6" t="n"/>
      <c r="P15" s="6" t="n"/>
      <c r="Q15" s="6" t="n"/>
      <c r="R15" s="6" t="n"/>
    </row>
    <row r="16">
      <c r="A16" s="6" t="inlineStr">
        <is>
          <t>Other assets (FY2009-FY2013 label - a broader concept than 'Other receivables' above, see sourcing note)</t>
        </is>
      </c>
      <c r="B16" s="6" t="n"/>
      <c r="C16" s="6" t="n"/>
      <c r="D16" s="6" t="n"/>
      <c r="E16" s="6" t="n"/>
      <c r="F16" s="6" t="n"/>
      <c r="G16" s="6" t="n"/>
      <c r="H16" s="6" t="n"/>
      <c r="I16" s="6" t="n"/>
      <c r="J16" s="6" t="n"/>
      <c r="K16" s="6" t="n"/>
      <c r="L16" s="6" t="n"/>
      <c r="M16" s="6" t="n"/>
      <c r="N16" s="6" t="n">
        <v>36385</v>
      </c>
      <c r="O16" s="6" t="n">
        <v>33861</v>
      </c>
      <c r="P16" s="6" t="n">
        <v>34290</v>
      </c>
      <c r="Q16" s="6" t="n">
        <v>288012</v>
      </c>
      <c r="R16" s="6" t="n">
        <v>271942</v>
      </c>
    </row>
    <row r="17">
      <c r="A17" s="6" t="inlineStr">
        <is>
          <t>Current tax assets</t>
        </is>
      </c>
      <c r="B17" s="6" t="n">
        <v>1218</v>
      </c>
      <c r="C17" s="6" t="n">
        <v>282</v>
      </c>
      <c r="D17" s="6" t="n">
        <v>296</v>
      </c>
      <c r="E17" s="6" t="n">
        <v>2451</v>
      </c>
      <c r="F17" s="6" t="n">
        <v>287</v>
      </c>
      <c r="G17" s="6" t="n">
        <v>2010</v>
      </c>
      <c r="H17" s="6" t="n">
        <v>3654</v>
      </c>
      <c r="I17" s="6" t="n">
        <v>5844</v>
      </c>
      <c r="J17" s="6" t="n">
        <v>5310</v>
      </c>
      <c r="K17" s="6" t="n">
        <v>4088</v>
      </c>
      <c r="L17" s="6" t="n">
        <v>5623</v>
      </c>
      <c r="M17" s="6" t="n"/>
      <c r="N17" s="6" t="n"/>
      <c r="O17" s="6" t="n"/>
      <c r="P17" s="6" t="n"/>
      <c r="Q17" s="6" t="n"/>
      <c r="R17" s="6" t="n"/>
    </row>
    <row r="18">
      <c r="A18" s="6" t="inlineStr">
        <is>
          <t>Deferred tax assets</t>
        </is>
      </c>
      <c r="B18" s="6" t="n">
        <v>75</v>
      </c>
      <c r="C18" s="6" t="n">
        <v>1961</v>
      </c>
      <c r="D18" s="6" t="n">
        <v>7415</v>
      </c>
      <c r="E18" s="6" t="n">
        <v>7698</v>
      </c>
      <c r="F18" s="6" t="n">
        <v>8696</v>
      </c>
      <c r="G18" s="6" t="n">
        <v>2350</v>
      </c>
      <c r="H18" s="6" t="n">
        <v>5401</v>
      </c>
      <c r="I18" s="6" t="n">
        <v>8596</v>
      </c>
      <c r="J18" s="6" t="n">
        <v>13102</v>
      </c>
      <c r="K18" s="6" t="n">
        <v>10381</v>
      </c>
      <c r="L18" s="6" t="n">
        <v>3311</v>
      </c>
      <c r="M18" s="6" t="n"/>
      <c r="N18" s="6" t="n"/>
      <c r="O18" s="6" t="n"/>
      <c r="P18" s="6" t="n"/>
      <c r="Q18" s="6" t="n"/>
      <c r="R18" s="6" t="n"/>
    </row>
    <row r="19">
      <c r="A19" s="6" t="inlineStr">
        <is>
          <t>Prepayments and accrued income</t>
        </is>
      </c>
      <c r="B19" s="6" t="n">
        <v>126</v>
      </c>
      <c r="C19" s="6" t="n">
        <v>157</v>
      </c>
      <c r="D19" s="6" t="n">
        <v>156</v>
      </c>
      <c r="E19" s="6" t="n">
        <v>172</v>
      </c>
      <c r="F19" s="6" t="n">
        <v>127</v>
      </c>
      <c r="G19" s="6" t="n">
        <v>130</v>
      </c>
      <c r="H19" s="6" t="n">
        <v>445</v>
      </c>
      <c r="I19" s="6" t="n">
        <v>555</v>
      </c>
      <c r="J19" s="6" t="n">
        <v>504</v>
      </c>
      <c r="K19" s="6" t="n">
        <v>25</v>
      </c>
      <c r="L19" s="6" t="n">
        <v>38</v>
      </c>
      <c r="M19" s="6" t="n">
        <v>68</v>
      </c>
      <c r="N19" s="6" t="n">
        <v>70</v>
      </c>
      <c r="O19" s="6" t="n">
        <v>122</v>
      </c>
      <c r="P19" s="6" t="n">
        <v>95</v>
      </c>
      <c r="Q19" s="6" t="n">
        <v>2217</v>
      </c>
      <c r="R19" s="6" t="n">
        <v>188</v>
      </c>
    </row>
    <row r="20">
      <c r="A20" s="5" t="inlineStr">
        <is>
          <t>Total assets</t>
        </is>
      </c>
      <c r="B20" s="5" t="n">
        <v>4474701</v>
      </c>
      <c r="C20" s="5" t="n">
        <v>5943082</v>
      </c>
      <c r="D20" s="5" t="n">
        <v>5761181</v>
      </c>
      <c r="E20" s="5" t="n">
        <v>7691434</v>
      </c>
      <c r="F20" s="5" t="n">
        <v>5166317</v>
      </c>
      <c r="G20" s="5" t="n">
        <v>6191205</v>
      </c>
      <c r="H20" s="5" t="n">
        <v>5497256</v>
      </c>
      <c r="I20" s="5" t="n">
        <v>5178705</v>
      </c>
      <c r="J20" s="5" t="n">
        <v>5321350</v>
      </c>
      <c r="K20" s="5" t="n">
        <v>5742066</v>
      </c>
      <c r="L20" s="5" t="n">
        <v>4691096</v>
      </c>
      <c r="M20" s="5" t="n">
        <v>4974936</v>
      </c>
      <c r="N20" s="5" t="n">
        <v>6808172</v>
      </c>
      <c r="O20" s="5" t="n">
        <v>6601481</v>
      </c>
      <c r="P20" s="5" t="n">
        <v>7024262</v>
      </c>
      <c r="Q20" s="5" t="n">
        <v>8212214</v>
      </c>
      <c r="R20" s="5" t="n">
        <v>6015807</v>
      </c>
    </row>
    <row r="21">
      <c r="A21" s="5" t="inlineStr">
        <is>
          <t>Liabilities</t>
        </is>
      </c>
      <c r="B21" s="6" t="n"/>
      <c r="C21" s="6" t="n"/>
      <c r="D21" s="6" t="n"/>
      <c r="E21" s="6" t="n"/>
      <c r="F21" s="6" t="n"/>
      <c r="G21" s="6" t="n"/>
      <c r="H21" s="6" t="n"/>
      <c r="I21" s="6" t="n"/>
      <c r="J21" s="6" t="n"/>
      <c r="K21" s="6" t="n"/>
      <c r="L21" s="6" t="n"/>
      <c r="M21" s="6" t="n"/>
      <c r="N21" s="6" t="n"/>
      <c r="O21" s="6" t="n"/>
      <c r="P21" s="6" t="n"/>
      <c r="Q21" s="6" t="n"/>
      <c r="R21" s="6" t="n"/>
    </row>
    <row r="22">
      <c r="A22" s="6" t="inlineStr">
        <is>
          <t>Deposits by banks</t>
        </is>
      </c>
      <c r="B22" s="6" t="n">
        <v>279651</v>
      </c>
      <c r="C22" s="6" t="n">
        <v>462429</v>
      </c>
      <c r="D22" s="6" t="n">
        <v>251784</v>
      </c>
      <c r="E22" s="6" t="n">
        <v>440764</v>
      </c>
      <c r="F22" s="6" t="n">
        <v>153851</v>
      </c>
      <c r="G22" s="6" t="n">
        <v>124229</v>
      </c>
      <c r="H22" s="6" t="n">
        <v>135962</v>
      </c>
      <c r="I22" s="6" t="n">
        <v>323778</v>
      </c>
      <c r="J22" s="6" t="n">
        <v>226045</v>
      </c>
      <c r="K22" s="6" t="n">
        <v>230883</v>
      </c>
      <c r="L22" s="6" t="n">
        <v>110708</v>
      </c>
      <c r="M22" s="6" t="n">
        <v>101036</v>
      </c>
      <c r="N22" s="6" t="n">
        <v>137581</v>
      </c>
      <c r="O22" s="6" t="n">
        <v>202366</v>
      </c>
      <c r="P22" s="6" t="n">
        <v>212465</v>
      </c>
      <c r="Q22" s="6" t="n">
        <v>233641</v>
      </c>
      <c r="R22" s="6" t="n">
        <v>268609</v>
      </c>
    </row>
    <row r="23">
      <c r="A23" s="6" t="inlineStr">
        <is>
          <t>Customer accounts</t>
        </is>
      </c>
      <c r="B23" s="6" t="n">
        <v>632759</v>
      </c>
      <c r="C23" s="6" t="n">
        <v>783693</v>
      </c>
      <c r="D23" s="6" t="n">
        <v>1246212</v>
      </c>
      <c r="E23" s="6" t="n">
        <v>1814583</v>
      </c>
      <c r="F23" s="6" t="n">
        <v>1502764</v>
      </c>
      <c r="G23" s="6" t="n">
        <v>1647638</v>
      </c>
      <c r="H23" s="6" t="n">
        <v>1331496</v>
      </c>
      <c r="I23" s="6" t="n">
        <v>1072143</v>
      </c>
      <c r="J23" s="6" t="n">
        <v>875555</v>
      </c>
      <c r="K23" s="6" t="n">
        <v>747831</v>
      </c>
      <c r="L23" s="6" t="n">
        <v>719706</v>
      </c>
      <c r="M23" s="6" t="n">
        <v>1092621</v>
      </c>
      <c r="N23" s="6" t="n">
        <v>860388</v>
      </c>
      <c r="O23" s="6" t="n">
        <v>919422</v>
      </c>
      <c r="P23" s="6" t="n">
        <v>2657109</v>
      </c>
      <c r="Q23" s="6" t="n">
        <v>4184133</v>
      </c>
      <c r="R23" s="6" t="n">
        <v>1665107</v>
      </c>
    </row>
    <row r="24">
      <c r="A24" s="6" t="inlineStr">
        <is>
          <t>Secured borrowing</t>
        </is>
      </c>
      <c r="B24" s="6" t="n">
        <v>103105</v>
      </c>
      <c r="C24" s="6" t="n">
        <v>123656</v>
      </c>
      <c r="D24" s="6" t="n">
        <v>86502</v>
      </c>
      <c r="E24" s="6" t="n">
        <v>128224</v>
      </c>
      <c r="F24" s="6" t="n">
        <v>85181</v>
      </c>
      <c r="G24" s="6" t="n">
        <v>60718</v>
      </c>
      <c r="H24" s="6" t="n">
        <v>273663</v>
      </c>
      <c r="I24" s="6" t="n">
        <v>258331</v>
      </c>
      <c r="J24" s="6" t="n">
        <v>363057</v>
      </c>
      <c r="K24" s="6" t="n">
        <v>478743</v>
      </c>
      <c r="L24" s="6" t="n">
        <v>499063</v>
      </c>
      <c r="M24" s="6" t="n">
        <v>542723</v>
      </c>
      <c r="N24" s="6" t="n"/>
      <c r="O24" s="6" t="n"/>
      <c r="P24" s="6" t="n"/>
      <c r="Q24" s="6" t="n"/>
      <c r="R24" s="6" t="n"/>
    </row>
    <row r="25">
      <c r="A25" s="6" t="inlineStr">
        <is>
          <t>Repurchase agreements / securities sold under agreements to repurchase (FY2009-FY2013 label)</t>
        </is>
      </c>
      <c r="B25" s="6" t="n"/>
      <c r="C25" s="6" t="n"/>
      <c r="D25" s="6" t="n"/>
      <c r="E25" s="6" t="n"/>
      <c r="F25" s="6" t="n"/>
      <c r="G25" s="6" t="n"/>
      <c r="H25" s="6" t="n"/>
      <c r="I25" s="6" t="n"/>
      <c r="J25" s="6" t="n"/>
      <c r="K25" s="6" t="n"/>
      <c r="L25" s="6" t="n"/>
      <c r="M25" s="6" t="n"/>
      <c r="N25" s="6" t="n">
        <v>3122575</v>
      </c>
      <c r="O25" s="6" t="n">
        <v>2002150</v>
      </c>
      <c r="P25" s="6" t="n">
        <v>698476</v>
      </c>
      <c r="Q25" s="6" t="n">
        <v>585076</v>
      </c>
      <c r="R25" s="6" t="n">
        <v>1032682</v>
      </c>
    </row>
    <row r="26">
      <c r="A26" s="6" t="inlineStr">
        <is>
          <t>Trading financial liabilities</t>
        </is>
      </c>
      <c r="B26" s="6" t="n">
        <v>2409008</v>
      </c>
      <c r="C26" s="6" t="n">
        <v>3311515</v>
      </c>
      <c r="D26" s="6" t="n">
        <v>2957832</v>
      </c>
      <c r="E26" s="6" t="n">
        <v>4081489</v>
      </c>
      <c r="F26" s="6" t="n">
        <v>2270962</v>
      </c>
      <c r="G26" s="6" t="n">
        <v>3206555</v>
      </c>
      <c r="H26" s="6" t="n">
        <v>2762477</v>
      </c>
      <c r="I26" s="6" t="n">
        <v>2528574</v>
      </c>
      <c r="J26" s="6" t="n">
        <v>2893498</v>
      </c>
      <c r="K26" s="6" t="n">
        <v>3373992</v>
      </c>
      <c r="L26" s="6" t="n">
        <v>2511905</v>
      </c>
      <c r="M26" s="6" t="n">
        <v>2409122</v>
      </c>
      <c r="N26" s="6" t="n">
        <v>1824899</v>
      </c>
      <c r="O26" s="6" t="n">
        <v>2194711</v>
      </c>
      <c r="P26" s="6" t="n">
        <v>2175345</v>
      </c>
      <c r="Q26" s="6" t="n">
        <v>1905986</v>
      </c>
      <c r="R26" s="6" t="n">
        <v>1783226</v>
      </c>
    </row>
    <row r="27">
      <c r="A27" s="6" t="inlineStr">
        <is>
          <t>Financial liabilities designated at fair value through profit or loss</t>
        </is>
      </c>
      <c r="B27" s="6" t="n"/>
      <c r="C27" s="6" t="n"/>
      <c r="D27" s="6" t="n"/>
      <c r="E27" s="6" t="n"/>
      <c r="F27" s="6" t="n"/>
      <c r="G27" s="6" t="n"/>
      <c r="H27" s="6" t="n"/>
      <c r="I27" s="6" t="n"/>
      <c r="J27" s="6" t="n"/>
      <c r="K27" s="6" t="n"/>
      <c r="L27" s="6" t="n"/>
      <c r="M27" s="6" t="n">
        <v>0</v>
      </c>
      <c r="N27" s="6" t="n">
        <v>44842</v>
      </c>
      <c r="O27" s="6" t="n">
        <v>18465</v>
      </c>
      <c r="P27" s="6" t="n">
        <v>18357</v>
      </c>
      <c r="Q27" s="6" t="n">
        <v>0</v>
      </c>
      <c r="R27" s="6" t="n">
        <v>3117</v>
      </c>
    </row>
    <row r="28">
      <c r="A28" s="6" t="inlineStr">
        <is>
          <t>Other payables</t>
        </is>
      </c>
      <c r="B28" s="6" t="n">
        <v>18473</v>
      </c>
      <c r="C28" s="6" t="n">
        <v>20906</v>
      </c>
      <c r="D28" s="6" t="n">
        <v>27230</v>
      </c>
      <c r="E28" s="6" t="n">
        <v>45937</v>
      </c>
      <c r="F28" s="6" t="n">
        <v>41460</v>
      </c>
      <c r="G28" s="6" t="n">
        <v>55647</v>
      </c>
      <c r="H28" s="6" t="n">
        <v>13919</v>
      </c>
      <c r="I28" s="6" t="n">
        <v>42337</v>
      </c>
      <c r="J28" s="6" t="n">
        <v>23819</v>
      </c>
      <c r="K28" s="6" t="n">
        <v>19090</v>
      </c>
      <c r="L28" s="6" t="n">
        <v>16116</v>
      </c>
      <c r="M28" s="6" t="n">
        <v>14042</v>
      </c>
      <c r="N28" s="6" t="n">
        <v>13735</v>
      </c>
      <c r="O28" s="6" t="n">
        <v>31088</v>
      </c>
      <c r="P28" s="6" t="n">
        <v>29918</v>
      </c>
      <c r="Q28" s="6" t="n">
        <v>147590</v>
      </c>
      <c r="R28" s="6" t="n">
        <v>142885</v>
      </c>
    </row>
    <row r="29">
      <c r="A29" s="6" t="inlineStr">
        <is>
          <t>Accruals and deferred income</t>
        </is>
      </c>
      <c r="B29" s="6" t="n">
        <v>4080</v>
      </c>
      <c r="C29" s="6" t="n">
        <v>9391</v>
      </c>
      <c r="D29" s="6" t="n">
        <v>2059</v>
      </c>
      <c r="E29" s="6" t="n">
        <v>1497</v>
      </c>
      <c r="F29" s="6" t="n">
        <v>2290</v>
      </c>
      <c r="G29" s="6" t="n">
        <v>5317</v>
      </c>
      <c r="H29" s="6" t="n">
        <v>11790</v>
      </c>
      <c r="I29" s="6" t="n">
        <v>14202</v>
      </c>
      <c r="J29" s="6" t="n">
        <v>9514</v>
      </c>
      <c r="K29" s="6" t="n">
        <v>17150</v>
      </c>
      <c r="L29" s="6" t="n">
        <v>25874</v>
      </c>
      <c r="M29" s="6" t="n">
        <v>29563</v>
      </c>
      <c r="N29" s="6" t="n">
        <v>43724</v>
      </c>
      <c r="O29" s="6" t="n">
        <v>40199</v>
      </c>
      <c r="P29" s="6" t="n">
        <v>37914</v>
      </c>
      <c r="Q29" s="6" t="n">
        <v>21257</v>
      </c>
      <c r="R29" s="6" t="n">
        <v>24969</v>
      </c>
    </row>
    <row r="30">
      <c r="A30" s="6" t="inlineStr">
        <is>
          <t>Current tax liabilities</t>
        </is>
      </c>
      <c r="B30" s="6" t="n">
        <v>19853</v>
      </c>
      <c r="C30" s="6" t="n">
        <v>11677</v>
      </c>
      <c r="D30" s="6" t="n">
        <v>13754</v>
      </c>
      <c r="E30" s="6" t="n">
        <v>10758</v>
      </c>
      <c r="F30" s="6" t="n">
        <v>37356</v>
      </c>
      <c r="G30" s="6" t="n">
        <v>28260</v>
      </c>
      <c r="H30" s="6" t="n">
        <v>4047</v>
      </c>
      <c r="I30" s="6" t="n">
        <v>14560</v>
      </c>
      <c r="J30" s="6" t="n">
        <v>24501</v>
      </c>
      <c r="K30" s="6" t="n">
        <v>24655</v>
      </c>
      <c r="L30" s="6" t="n">
        <v>5945</v>
      </c>
      <c r="M30" s="6" t="n"/>
      <c r="N30" s="6" t="n"/>
      <c r="O30" s="6" t="n"/>
      <c r="P30" s="6" t="n"/>
      <c r="Q30" s="6" t="n"/>
      <c r="R30" s="6" t="n"/>
    </row>
    <row r="31">
      <c r="A31" s="6" t="inlineStr">
        <is>
          <t>Deferred tax liabilities</t>
        </is>
      </c>
      <c r="B31" s="6" t="n">
        <v>1079</v>
      </c>
      <c r="C31" s="6" t="n">
        <v>0</v>
      </c>
      <c r="D31" s="6" t="n"/>
      <c r="E31" s="6" t="n"/>
      <c r="F31" s="6" t="n"/>
      <c r="G31" s="6" t="n"/>
      <c r="H31" s="6" t="n"/>
      <c r="I31" s="6" t="n"/>
      <c r="J31" s="6" t="n"/>
      <c r="K31" s="6" t="n">
        <v>0</v>
      </c>
      <c r="L31" s="6" t="n">
        <v>3567</v>
      </c>
      <c r="M31" s="6" t="n"/>
      <c r="N31" s="6" t="n"/>
      <c r="O31" s="6" t="n"/>
      <c r="P31" s="6" t="n"/>
      <c r="Q31" s="6" t="n"/>
      <c r="R31" s="6" t="n"/>
    </row>
    <row r="32">
      <c r="A32" s="6" t="inlineStr">
        <is>
          <t>Retirement benefit liability</t>
        </is>
      </c>
      <c r="B32" s="6" t="n">
        <v>394</v>
      </c>
      <c r="C32" s="6" t="n">
        <v>424</v>
      </c>
      <c r="D32" s="6" t="n">
        <v>126</v>
      </c>
      <c r="E32" s="6" t="n">
        <v>111</v>
      </c>
      <c r="F32" s="6" t="n">
        <v>287</v>
      </c>
      <c r="G32" s="6" t="n">
        <v>244</v>
      </c>
      <c r="H32" s="6" t="n">
        <v>557</v>
      </c>
      <c r="I32" s="6" t="n">
        <v>429</v>
      </c>
      <c r="J32" s="6" t="n">
        <v>685</v>
      </c>
      <c r="K32" s="6" t="n">
        <v>513</v>
      </c>
      <c r="L32" s="6" t="n">
        <v>433</v>
      </c>
      <c r="M32" s="6" t="n">
        <v>522</v>
      </c>
      <c r="N32" s="6" t="n">
        <v>474</v>
      </c>
      <c r="O32" s="6" t="n">
        <v>623</v>
      </c>
      <c r="P32" s="6" t="n">
        <v>1970</v>
      </c>
      <c r="Q32" s="6" t="n">
        <v>1895</v>
      </c>
      <c r="R32" s="6" t="n">
        <v>2383</v>
      </c>
    </row>
    <row r="33">
      <c r="A33" s="6" t="inlineStr">
        <is>
          <t>Provisions for liabilities and charges</t>
        </is>
      </c>
      <c r="B33" s="6" t="n">
        <v>178</v>
      </c>
      <c r="C33" s="6" t="n">
        <v>179</v>
      </c>
      <c r="D33" s="6" t="n">
        <v>193</v>
      </c>
      <c r="E33" s="6" t="n">
        <v>203</v>
      </c>
      <c r="F33" s="6" t="n">
        <v>183</v>
      </c>
      <c r="G33" s="6" t="n">
        <v>236</v>
      </c>
      <c r="H33" s="6" t="n">
        <v>376</v>
      </c>
      <c r="I33" s="6" t="n">
        <v>158</v>
      </c>
      <c r="J33" s="6" t="n"/>
      <c r="K33" s="6" t="n"/>
      <c r="L33" s="6" t="n"/>
      <c r="M33" s="6" t="n">
        <v>0</v>
      </c>
      <c r="N33" s="6" t="n">
        <v>9150</v>
      </c>
      <c r="O33" s="6" t="n">
        <v>0</v>
      </c>
      <c r="P33" s="6" t="n">
        <v>0</v>
      </c>
      <c r="Q33" s="6" t="n">
        <v>891</v>
      </c>
      <c r="R33" s="6" t="n">
        <v>923</v>
      </c>
    </row>
    <row r="34">
      <c r="A34" s="6" t="inlineStr">
        <is>
          <t>Subordinated debt</t>
        </is>
      </c>
      <c r="B34" s="6" t="n">
        <v>258220</v>
      </c>
      <c r="C34" s="6" t="n">
        <v>408727</v>
      </c>
      <c r="D34" s="6" t="n">
        <v>409506</v>
      </c>
      <c r="E34" s="6" t="n">
        <v>401644</v>
      </c>
      <c r="F34" s="6" t="n">
        <v>250000</v>
      </c>
      <c r="G34" s="6" t="n">
        <v>250000</v>
      </c>
      <c r="H34" s="6" t="n">
        <v>250000</v>
      </c>
      <c r="I34" s="6" t="n">
        <v>250000</v>
      </c>
      <c r="J34" s="6" t="n">
        <v>250000</v>
      </c>
      <c r="K34" s="6" t="n">
        <v>250000</v>
      </c>
      <c r="L34" s="6" t="n">
        <v>250000</v>
      </c>
      <c r="M34" s="6" t="n">
        <v>250000</v>
      </c>
      <c r="N34" s="6" t="n">
        <v>250000</v>
      </c>
      <c r="O34" s="6" t="n">
        <v>250000</v>
      </c>
      <c r="P34" s="6" t="n">
        <v>250000</v>
      </c>
      <c r="Q34" s="6" t="n">
        <v>250000</v>
      </c>
      <c r="R34" s="6" t="n">
        <v>250000</v>
      </c>
    </row>
    <row r="35">
      <c r="A35" s="5" t="inlineStr">
        <is>
          <t>Total liabilities</t>
        </is>
      </c>
      <c r="B35" s="5" t="n">
        <v>3726800</v>
      </c>
      <c r="C35" s="5" t="n">
        <v>5132597</v>
      </c>
      <c r="D35" s="5" t="n">
        <v>4995198</v>
      </c>
      <c r="E35" s="5" t="n">
        <v>6925210</v>
      </c>
      <c r="F35" s="5" t="n">
        <v>4344334</v>
      </c>
      <c r="G35" s="5" t="n">
        <v>5378844</v>
      </c>
      <c r="H35" s="5" t="n">
        <v>4784287</v>
      </c>
      <c r="I35" s="5" t="n">
        <v>4504512</v>
      </c>
      <c r="J35" s="5" t="n">
        <v>4666674</v>
      </c>
      <c r="K35" s="5" t="n">
        <v>5142857</v>
      </c>
      <c r="L35" s="5" t="n">
        <v>4143317</v>
      </c>
      <c r="M35" s="5" t="n">
        <v>4439629</v>
      </c>
      <c r="N35" s="5" t="n">
        <v>6307368</v>
      </c>
      <c r="O35" s="5" t="n">
        <v>5659024</v>
      </c>
      <c r="P35" s="5" t="n">
        <v>6081554</v>
      </c>
      <c r="Q35" s="5" t="n">
        <v>7330469</v>
      </c>
      <c r="R35" s="5" t="n">
        <v>5173901</v>
      </c>
    </row>
    <row r="36">
      <c r="A36" s="5" t="inlineStr">
        <is>
          <t>Equity</t>
        </is>
      </c>
      <c r="B36" s="6" t="n"/>
      <c r="C36" s="6" t="n"/>
      <c r="D36" s="6" t="n"/>
      <c r="E36" s="6" t="n"/>
      <c r="F36" s="6" t="n"/>
      <c r="G36" s="6" t="n"/>
      <c r="H36" s="6" t="n"/>
      <c r="I36" s="6" t="n"/>
      <c r="J36" s="6" t="n"/>
      <c r="K36" s="6" t="n"/>
      <c r="L36" s="6" t="n"/>
      <c r="M36" s="6" t="n"/>
      <c r="N36" s="6" t="n"/>
      <c r="O36" s="6" t="n"/>
      <c r="P36" s="6" t="n"/>
      <c r="Q36" s="6" t="n"/>
      <c r="R36" s="6" t="n"/>
    </row>
    <row r="37">
      <c r="A37" s="6" t="inlineStr">
        <is>
          <t>Called up share capital</t>
        </is>
      </c>
      <c r="B37" s="6" t="n">
        <v>340000</v>
      </c>
      <c r="C37" s="6" t="n">
        <v>340000</v>
      </c>
      <c r="D37" s="6" t="n">
        <v>340000</v>
      </c>
      <c r="E37" s="6" t="n">
        <v>340000</v>
      </c>
      <c r="F37" s="6" t="n">
        <v>340000</v>
      </c>
      <c r="G37" s="6" t="n">
        <v>340000</v>
      </c>
      <c r="H37" s="6" t="n">
        <v>340000</v>
      </c>
      <c r="I37" s="6" t="n">
        <v>340000</v>
      </c>
      <c r="J37" s="6" t="n">
        <v>340000</v>
      </c>
      <c r="K37" s="6" t="n">
        <v>340000</v>
      </c>
      <c r="L37" s="6" t="n">
        <v>340000</v>
      </c>
      <c r="M37" s="6" t="n">
        <v>340000</v>
      </c>
      <c r="N37" s="6" t="n">
        <v>340000</v>
      </c>
      <c r="O37" s="6" t="n">
        <v>790000</v>
      </c>
      <c r="P37" s="6" t="n">
        <v>790000</v>
      </c>
      <c r="Q37" s="6" t="n">
        <v>790000</v>
      </c>
      <c r="R37" s="6" t="n">
        <v>790000</v>
      </c>
    </row>
    <row r="38">
      <c r="A38" s="6" t="inlineStr">
        <is>
          <t>Capital contribution reserve</t>
        </is>
      </c>
      <c r="B38" s="6" t="n">
        <v>89654</v>
      </c>
      <c r="C38" s="6" t="n">
        <v>89654</v>
      </c>
      <c r="D38" s="6" t="n">
        <v>89654</v>
      </c>
      <c r="E38" s="6" t="n">
        <v>89654</v>
      </c>
      <c r="F38" s="6" t="n">
        <v>89654</v>
      </c>
      <c r="G38" s="6" t="n">
        <v>89654</v>
      </c>
      <c r="H38" s="6" t="n">
        <v>89654</v>
      </c>
      <c r="I38" s="6" t="n">
        <v>89654</v>
      </c>
      <c r="J38" s="6" t="n">
        <v>89654</v>
      </c>
      <c r="K38" s="6" t="n">
        <v>89654</v>
      </c>
      <c r="L38" s="6" t="n">
        <v>89654</v>
      </c>
      <c r="M38" s="6" t="n">
        <v>89654</v>
      </c>
      <c r="N38" s="6" t="n">
        <v>89654</v>
      </c>
      <c r="O38" s="6" t="n">
        <v>89654</v>
      </c>
      <c r="P38" s="6" t="n">
        <v>89654</v>
      </c>
      <c r="Q38" s="6" t="n">
        <v>89654</v>
      </c>
      <c r="R38" s="6" t="n">
        <v>89654</v>
      </c>
    </row>
    <row r="39">
      <c r="A39" s="6" t="inlineStr">
        <is>
          <t>Foreign currency revaluation reserve</t>
        </is>
      </c>
      <c r="B39" s="6" t="n">
        <v>35165</v>
      </c>
      <c r="C39" s="6" t="n">
        <v>35368</v>
      </c>
      <c r="D39" s="6" t="n">
        <v>36668</v>
      </c>
      <c r="E39" s="6" t="n">
        <v>37201</v>
      </c>
      <c r="F39" s="6" t="n">
        <v>37213</v>
      </c>
      <c r="G39" s="6" t="n">
        <v>37546</v>
      </c>
      <c r="H39" s="6" t="n">
        <v>36629</v>
      </c>
      <c r="I39" s="6" t="n">
        <v>35801</v>
      </c>
      <c r="J39" s="6" t="n">
        <v>43119</v>
      </c>
      <c r="K39" s="6" t="n">
        <v>37348</v>
      </c>
      <c r="L39" s="6" t="n">
        <v>13889</v>
      </c>
      <c r="M39" s="6" t="n">
        <v>16168</v>
      </c>
      <c r="N39" s="6" t="n">
        <v>14366</v>
      </c>
      <c r="O39" s="6" t="n">
        <v>13172</v>
      </c>
      <c r="P39" s="6" t="n">
        <v>8904</v>
      </c>
      <c r="Q39" s="6" t="n">
        <v>10228</v>
      </c>
      <c r="R39" s="6" t="n">
        <v>4615</v>
      </c>
    </row>
    <row r="40">
      <c r="A40" s="6" t="inlineStr">
        <is>
          <t>Pension reserve (FY2009 only - folded into Profit and loss account from FY2010 onward, see sourcing note)</t>
        </is>
      </c>
      <c r="B40" s="6" t="n"/>
      <c r="C40" s="6" t="n"/>
      <c r="D40" s="6" t="n"/>
      <c r="E40" s="6" t="n"/>
      <c r="F40" s="6" t="n"/>
      <c r="G40" s="6" t="n"/>
      <c r="H40" s="6" t="n"/>
      <c r="I40" s="6" t="n"/>
      <c r="J40" s="6" t="n"/>
      <c r="K40" s="6" t="n"/>
      <c r="L40" s="6" t="n"/>
      <c r="M40" s="6" t="n"/>
      <c r="N40" s="6" t="n"/>
      <c r="O40" s="6" t="n"/>
      <c r="P40" s="6" t="n"/>
      <c r="Q40" s="6" t="n"/>
      <c r="R40" s="6" t="n">
        <v>252</v>
      </c>
    </row>
    <row r="41">
      <c r="A41" s="6" t="inlineStr">
        <is>
          <t>Profit and loss account</t>
        </is>
      </c>
      <c r="B41" s="6" t="n">
        <v>283082</v>
      </c>
      <c r="C41" s="6" t="n">
        <v>345463</v>
      </c>
      <c r="D41" s="6" t="n">
        <v>299661</v>
      </c>
      <c r="E41" s="6" t="n">
        <v>299369</v>
      </c>
      <c r="F41" s="6" t="n">
        <v>355116</v>
      </c>
      <c r="G41" s="6" t="n">
        <v>345161</v>
      </c>
      <c r="H41" s="6" t="n">
        <v>246686</v>
      </c>
      <c r="I41" s="6" t="n">
        <v>208738</v>
      </c>
      <c r="J41" s="6" t="n">
        <v>181903</v>
      </c>
      <c r="K41" s="6" t="n">
        <v>132207</v>
      </c>
      <c r="L41" s="6" t="n">
        <v>104236</v>
      </c>
      <c r="M41" s="6" t="n">
        <v>89485</v>
      </c>
      <c r="N41" s="6" t="n">
        <v>56784</v>
      </c>
      <c r="O41" s="6" t="n">
        <v>49631</v>
      </c>
      <c r="P41" s="6" t="n">
        <v>54150</v>
      </c>
      <c r="Q41" s="6" t="n">
        <v>-8137</v>
      </c>
      <c r="R41" s="6" t="n">
        <v>-42615</v>
      </c>
    </row>
    <row r="42">
      <c r="A42" s="5" t="inlineStr">
        <is>
          <t>Equity shareholders' funds</t>
        </is>
      </c>
      <c r="B42" s="5" t="n">
        <v>747901</v>
      </c>
      <c r="C42" s="5" t="n">
        <v>810485</v>
      </c>
      <c r="D42" s="5" t="n">
        <v>765983</v>
      </c>
      <c r="E42" s="5" t="n">
        <v>766224</v>
      </c>
      <c r="F42" s="5" t="n">
        <v>821983</v>
      </c>
      <c r="G42" s="5" t="n">
        <v>812361</v>
      </c>
      <c r="H42" s="5" t="n">
        <v>712969</v>
      </c>
      <c r="I42" s="5" t="n">
        <v>674193</v>
      </c>
      <c r="J42" s="5" t="n">
        <v>654676</v>
      </c>
      <c r="K42" s="5" t="n">
        <v>599209</v>
      </c>
      <c r="L42" s="5" t="n">
        <v>547779</v>
      </c>
      <c r="M42" s="5" t="n">
        <v>535307</v>
      </c>
      <c r="N42" s="5" t="n">
        <v>500804</v>
      </c>
      <c r="O42" s="5" t="n">
        <v>942457</v>
      </c>
      <c r="P42" s="5" t="n">
        <v>942708</v>
      </c>
      <c r="Q42" s="5" t="n">
        <v>881745</v>
      </c>
      <c r="R42" s="5" t="n">
        <v>841906</v>
      </c>
    </row>
    <row r="43">
      <c r="A43" s="5" t="inlineStr">
        <is>
          <t>Total liabilities and equity</t>
        </is>
      </c>
      <c r="B43" s="5" t="n">
        <v>4474701</v>
      </c>
      <c r="C43" s="5" t="n">
        <v>5943082</v>
      </c>
      <c r="D43" s="5" t="n">
        <v>5761181</v>
      </c>
      <c r="E43" s="5" t="n">
        <v>7691434</v>
      </c>
      <c r="F43" s="5" t="n">
        <v>5166317</v>
      </c>
      <c r="G43" s="5" t="n">
        <v>6191205</v>
      </c>
      <c r="H43" s="5" t="n">
        <v>5497256</v>
      </c>
      <c r="I43" s="5" t="n">
        <v>5178705</v>
      </c>
      <c r="J43" s="5" t="n">
        <v>5321350</v>
      </c>
      <c r="K43" s="5" t="n">
        <v>5742066</v>
      </c>
      <c r="L43" s="5" t="n">
        <v>4691096</v>
      </c>
      <c r="M43" s="5" t="n">
        <v>4974936</v>
      </c>
      <c r="N43" s="5" t="n">
        <v>6808172</v>
      </c>
      <c r="O43" s="5" t="n">
        <v>6601481</v>
      </c>
      <c r="P43" s="5" t="n">
        <v>7024262</v>
      </c>
      <c r="Q43" s="5" t="n">
        <v>8212214</v>
      </c>
      <c r="R43" s="5" t="n">
        <v>6015807</v>
      </c>
    </row>
    <row r="45" ht="390" customHeight="1">
      <c r="A45"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(Income Statement, Statement of Comprehensive Income, Statement of Financial Position, Statement of Changes in Equity, and Note 28 credit risk disclosures):
FY2025: Annual Report and Financial Statements for year ended 31 December 2025, pp.43-46, 76-77 — https://find-and-update.company-information.service.gov.uk/company/03722571/filing-history/MzUxNTMzMjAyMmFkaXF6a2N4/document?format=pdf&amp;download=0
FY2024: Annual Report and Financial Statements for year ended 31 December 2024, pp.42-45, 74-75 — https://find-and-update.company-information.service.gov.uk/company/03722571/filing-history/MzQ2MjkyNzg4N2FkaXF6a2N4/document?format=pdf&amp;download=0
FY2023: Annual Report and Financial Statements for year ended 31 December 2023 (via FY2024 report's own FY2023 comparative columns, pp.42-45, 74-75) — https://find-and-update.company-information.service.gov.uk/company/03722571/filing-history/MzQ2MjkyNzg4N2FkaXF6a2N4/document?format=pdf&amp;download=0
FY2022: Annual Report and Financial Statements for year ended 31 December 2022, pp.39-43, 71-72 — https://find-and-update.company-information.service.gov.uk/company/03722571/filing-history/MzM3ODM5NTg1NmFkaXF6a2N4/document?format=pdf&amp;download=0
FY2021: Annual Report and Financial Statements for year ended 31 December 2021 (via FY2022 report's own FY2021 comparative columns, pp.39-43, 71-72) — https://find-and-update.company-information.service.gov.uk/company/03722571/filing-history/MzM3ODM5NTg1NmFkaXF6a2N4/document?format=pdf&amp;download=0
FY2020: Annual Report and Financial Statements for year ended 31 December 2020, pp.53-56, 90-94 (Income Statement, Statement of Comprehensive Income, Statement of Changes in Equity, Statement of Financial Position, Note 35 credit risk) — https://find-and-update.company-information.service.gov.uk/company/03722571/filing-history/MzMwMTE4OTc0MWFkaXF6a2N4/document?format=pdf&amp;download=0
FY2019: via the FY2020 report's own FY2019 comparative columns, pp.53-56, 90-94 — https://find-and-update.company-information.service.gov.uk/company/03722571/filing-history/MzMwMTE4OTc0MWFkaXF6a2N4/document?format=pdf&amp;download=0
FY2018: Annual Report and Financial Statements for year ended 31 December 2018, pp.29-32, 74-76 (Income Statement, Statement of Comprehensive Income, Statement of Changes in Equity, Statement of Financial Position, Note 32 credit risk) — https://find-and-update.company-information.service.gov.uk/company/03722571/filing-history/MzIzMzQ0NTc3NWFkaXF6a2N4/document?format=pdf&amp;download=0
FY2017: via the FY2018 report's own FY2017 comparative columns (pp.29-32, 76) and the Company's own FY2017 Annual Report, pp.27-30, 64 (Note 28 credit risk) — https://find-and-update.company-information.service.gov.uk/company/03722571/filing-history/MzIzMzQ0NTc3NWFkaXF6a2N4/document?format=pdf&amp;download=0 / https://find-and-update.company-information.service.gov.uk/company/03722571/filing-history/MzIwNDA4MDg1M2FkaXF6a2N4/document?format=pdf&amp;download=0
FY2016: via the FY2017 report's own FY2016 comparative columns (pp.27-30, 64) and the Company's own FY2016 Annual Report, pp.16-19, 51 (Note 28 credit risk) — https://find-and-update.company-information.service.gov.uk/company/03722571/filing-history/MzIwNDA4MDg1M2FkaXF6a2N4/document?format=pdf&amp;download=0 / https://find-and-update.company-information.service.gov.uk/company/03722571/filing-history/MzE3NTI3MTY1OWFkaXF6a2N4/document?format=pdf&amp;download=0
FY2015: via the FY2016 report's own FY2015 comparative columns, pp.16-19, 51-52 — https://find-and-update.company-information.service.gov.uk/company/03722571/filing-history/MzE3NTI3MTY1OWFkaXF6a2N4/document?format=pdf&amp;download=0
FY2014: Annual Report and Financial Statements for year ended 31 December 2014, pp.15-17, 51 (Profit and Loss Account, Statement of Total Recognised Gains and Losses, Balance Sheet, Note 29 credit risk) — https://find-and-update.company-information.service.gov.uk/company/03722571/filing-history/MzEyMjM5NTcyOWFkaXF6a2N4/document?format=pdf&amp;download=0. This is the earliest UK GAAP/FRS 101-era filing before this entity switched to the Income Statement/Statement of Comprehensive Income/Statement of Changes in Equity naming used from FY2015 onward; FY2014 also uniquely presents a continuing/discontinued-operations split (the Company's Investment Management and Wealth Management segments were both transferred out or closed during FY2014) - the Profit &amp; Loss sheet uses the FY2014 report's own Total columns (continuing + discontinued combined).
The Company takes the FRS 101 reduced-disclosure exemption from presenting a cash-flow statement. Blank or non-disclosed entries are not estimates or zeros. FY2014-FY2017 predate IFRS 9 (adopted 1 January 2018): those years' credit-risk note uses the incurred-loss 'individually impaired' concept rather than ECL staging, and the Asset Quality sheet reflects this distinction explicitly rather than forcing a Stage 1/Stage 3 label onto pre-IFRS 9 disclosures. A genuine, material FY2014 finding: one borrower's entry into administration in March 2014 drove an £83,173k impairment loss on loans and advances to customers that year (gross £111,239k, net carrying £28,066k) - materially larger than the de minimis impaired balances (£1,674k FY2015, £126k FY2016, £131k FY2017) seen in every other year reviewed.
FY2013: Annual Report and Financial Statements for year ended 31 December 2013, pp.15-18 (Profit and Loss Account, Statement of Total Recognised Gains and Losses, Balance Sheet) — https://find-and-update.company-information.service.gov.uk/company/03722571/filing-history/MzA5OTE2NDI1N2FkaXF6a2N4/document?format=pdf&amp;download=0
FY2012: via the FY2013 Annual Report's own FY2012 comparative columns, pp.15-18 — https://find-and-update.company-information.service.gov.uk/company/03722571/filing-history/MzA5OTE2NDI1N2FkaXF6a2N4/document?format=pdf&amp;download=0
FY2011: Annual Report and Financial Statements for year ended 31 December 2011, pp.13-15 — https://find-and-update.company-information.service.gov.uk/company/03722571/filing-history/MzA1NzUxOTkzNGFkaXF6a2N4/document?format=pdf&amp;download=0
FY2010: via the FY2011 Annual Report's own FY2010 comparative columns, pp.13-15 — https://find-and-update.company-information.service.gov.uk/company/03722571/filing-history/MzA1NzUxOTkzNGFkaXF6a2N4/document?format=pdf&amp;download=0
FY2009: Annual Report and Financial Statements for year ended 31 December 2009, pp.7-9, Note 25 p.28 (reconciliation of shareholders' funds and movements on reserves) — https://find-and-update.company-information.service.gov.uk/company/03722571/filing-history/MzAxNjAzOTk5M2FkaXF6a2N4/document?format=pdf&amp;download=0
HD-073 (2026-09-06) HISTORICAL SOURCING NOTE (FY2009-FY2013): Balance Sheet, Profit &amp; Loss, and Statement of Changes in Equity only (Pillar 3, Asset Quality, and RWA Breakdown stay FY2014-onward, unchanged). Re-verified via each year's own Companies House statutory filing (company 03722571), all genuine scanned/no-text-layer filings transcribed directly from the rendered pages, same as the existing FY2014-FY2020 sourcing: FY2013/FY2012 from the FY2013 Annual Report (pp.15-18) — https://find-and-update.company-information.service.gov.uk/company/03722571/filing-history/MzA5OTE2NDI1N2FkaXF6a2N4/document?format=pdf&amp;download=0; FY2011/FY2010 from the FY2011 Annual Report (pp.13-16) — https://find-and-update.company-information.service.gov.uk/company/03722571/filing-history/MzA1NzUxOTkzNGFkaXF6a2N4/document?format=pdf&amp;download=0; FY2009 from the FY2009 Annual Report (pp.7-9, and Note 25 p.28 for the equity reconciliation) — https://find-and-update.company-information.service.gov.uk/company/03722571/filing-history/MzAxNjAzOTk5M2FkaXF6a2N4/document?format=pdf&amp;download=0. The Company takes the FRS 101/predecessor reduced-disclosure exemption from presenting a cash-flow statement in every one of these years too - confirmed directly against each year's own Contents page (Profit and loss account / Statement of total recognised gains and losses / Balance sheet only, no cash flow statement listed), not merely carried forward from the FY2014-FY2020 finding. No years self-skipped.</t>
        </is>
      </c>
    </row>
    <row r="47" ht="260" customHeight="1">
      <c r="A47" s="8" t="inlineStr">
        <is>
          <t>(continued)
FY2013/FY2012 continuing/discontinued-operations split: the FY2013 Annual Report itself already splits continuing vs discontinued operations (the Wealth Management segment was substantially sold during FY2013/FY2014), consistent with the existing FY2014 note above - the Profit &amp; Loss sheet uses the FY2013 report's own Total columns (continuing + discontinued combined) for both FY2013 and its FY2012 comparative.
FY2009 Balance Sheet structural note: the FY2009 Annual Report's own equity section discloses a distinct 'Pension reserve' component (£252k at 31 December 2009) not present as a separate line in any later year's Balance Sheet (folded into the Profit and loss account line from FY2010 onward per that year's own report) - shown here as its own row rather than silently merged, and the FY2009 closing Total equity of £841,906k ties exactly to both components disclosed. FY2009 also does not separately disclose 'Reverse repurchase agreements' as an asset-side line or 'Repurchase agreements' as a liability-side line (both fold into the broader loans-and-advances/other-liabilities figures that year); these lines first appear as their own rows from FY2010 onward - a genuine presentational difference confirmed directly against the FY2009 report's own Balance Sheet, not an omission.</t>
        </is>
      </c>
    </row>
  </sheetData>
  <mergeCells count="2">
    <mergeCell ref="A45:R45"/>
    <mergeCell ref="A47:R4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Morgan Stanley Bank International Limited — Profit &amp; Loss</t>
        </is>
      </c>
    </row>
    <row r="2">
      <c r="A2" s="2" t="inlineStr">
        <is>
          <t>Standalone Company basis (FRS 101). £'000. FY2022's 'Gain on disposal of subsidiary' (£93,978k) is the disposal of the subsidiary undertaking held on the FY2021 Balance Sheet. FY2021/FY2022 disclose a 'Net reversal of impairment loss on financial instruments' line not shown FY2023-FY2025 (genuinely £nil/not disclosed those years, not omitted).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row>
    <row r="4">
      <c r="A4" s="5" t="inlineStr">
        <is>
          <t>Income</t>
        </is>
      </c>
      <c r="B4" s="6" t="n"/>
      <c r="C4" s="6" t="n"/>
      <c r="D4" s="6" t="n"/>
      <c r="E4" s="6" t="n"/>
      <c r="F4" s="6" t="n"/>
      <c r="G4" s="6" t="n"/>
      <c r="H4" s="6" t="n"/>
      <c r="I4" s="6" t="n"/>
      <c r="J4" s="6" t="n"/>
      <c r="K4" s="6" t="n"/>
      <c r="L4" s="6" t="n"/>
      <c r="M4" s="6" t="n"/>
      <c r="N4" s="6" t="n"/>
      <c r="O4" s="6" t="n"/>
      <c r="P4" s="6" t="n"/>
      <c r="Q4" s="6" t="n"/>
      <c r="R4" s="6" t="n"/>
    </row>
    <row r="5">
      <c r="A5" s="6" t="inlineStr">
        <is>
          <t>Interest receivable and similar income</t>
        </is>
      </c>
      <c r="B5" s="6" t="n">
        <v>111211</v>
      </c>
      <c r="C5" s="6" t="n">
        <v>150183</v>
      </c>
      <c r="D5" s="6" t="n">
        <v>176532</v>
      </c>
      <c r="E5" s="6" t="n">
        <v>67078</v>
      </c>
      <c r="F5" s="6" t="n">
        <v>17558</v>
      </c>
      <c r="G5" s="6" t="n">
        <v>47242</v>
      </c>
      <c r="H5" s="6" t="n">
        <v>46585</v>
      </c>
      <c r="I5" s="6" t="n">
        <v>34101</v>
      </c>
      <c r="J5" s="6" t="n">
        <v>33340</v>
      </c>
      <c r="K5" s="6" t="n">
        <v>28414</v>
      </c>
      <c r="L5" s="6" t="n">
        <v>42958</v>
      </c>
      <c r="M5" s="6" t="n">
        <v>42225</v>
      </c>
      <c r="N5" s="6" t="n">
        <v>46892</v>
      </c>
      <c r="O5" s="6" t="n">
        <v>87747</v>
      </c>
      <c r="P5" s="6" t="n">
        <v>149909</v>
      </c>
      <c r="Q5" s="6" t="n">
        <v>155163</v>
      </c>
      <c r="R5" s="6" t="n">
        <v>174453</v>
      </c>
    </row>
    <row r="6">
      <c r="A6" s="6" t="inlineStr">
        <is>
          <t>Interest payable and similar charges</t>
        </is>
      </c>
      <c r="B6" s="6" t="n">
        <v>-67596</v>
      </c>
      <c r="C6" s="6" t="n">
        <v>-93121</v>
      </c>
      <c r="D6" s="6" t="n">
        <v>-124244</v>
      </c>
      <c r="E6" s="6" t="n">
        <v>-46738</v>
      </c>
      <c r="F6" s="6" t="n">
        <v>-2930</v>
      </c>
      <c r="G6" s="6" t="n">
        <v>-14088</v>
      </c>
      <c r="H6" s="6" t="n">
        <v>-34627</v>
      </c>
      <c r="I6" s="6" t="n">
        <v>-33005</v>
      </c>
      <c r="J6" s="6" t="n">
        <v>-19856</v>
      </c>
      <c r="K6" s="6" t="n">
        <v>-22865</v>
      </c>
      <c r="L6" s="6" t="n">
        <v>-23802</v>
      </c>
      <c r="M6" s="6" t="n">
        <v>-28141</v>
      </c>
      <c r="N6" s="6" t="n">
        <v>-23086</v>
      </c>
      <c r="O6" s="6" t="n">
        <v>-73353</v>
      </c>
      <c r="P6" s="6" t="n">
        <v>-97833</v>
      </c>
      <c r="Q6" s="6" t="n">
        <v>-84753</v>
      </c>
      <c r="R6" s="6" t="n">
        <v>-93442</v>
      </c>
    </row>
    <row r="7">
      <c r="A7" s="5" t="inlineStr">
        <is>
          <t>Net interest income</t>
        </is>
      </c>
      <c r="B7" s="5" t="n">
        <v>43615</v>
      </c>
      <c r="C7" s="5" t="n">
        <v>57062</v>
      </c>
      <c r="D7" s="5" t="n">
        <v>52288</v>
      </c>
      <c r="E7" s="5" t="n">
        <v>20340</v>
      </c>
      <c r="F7" s="5" t="n">
        <v>14628</v>
      </c>
      <c r="G7" s="5" t="n">
        <v>33154</v>
      </c>
      <c r="H7" s="5" t="n">
        <v>11958</v>
      </c>
      <c r="I7" s="5" t="n">
        <v>1096</v>
      </c>
      <c r="J7" s="5" t="n">
        <v>13484</v>
      </c>
      <c r="K7" s="5" t="n">
        <v>5549</v>
      </c>
      <c r="L7" s="5" t="n">
        <v>19156</v>
      </c>
      <c r="M7" s="5" t="n">
        <v>14084</v>
      </c>
      <c r="N7" s="5" t="n">
        <v>23806</v>
      </c>
      <c r="O7" s="5" t="n">
        <v>14394</v>
      </c>
      <c r="P7" s="5" t="n">
        <v>52076</v>
      </c>
      <c r="Q7" s="5" t="n">
        <v>70410</v>
      </c>
      <c r="R7" s="5" t="n">
        <v>81011</v>
      </c>
    </row>
    <row r="8">
      <c r="A8" s="6" t="inlineStr">
        <is>
          <t>Fee and commission income</t>
        </is>
      </c>
      <c r="B8" s="6" t="n">
        <v>9777</v>
      </c>
      <c r="C8" s="6" t="n">
        <v>10790</v>
      </c>
      <c r="D8" s="6" t="n">
        <v>9348</v>
      </c>
      <c r="E8" s="6" t="n">
        <v>2326</v>
      </c>
      <c r="F8" s="6" t="n">
        <v>21255</v>
      </c>
      <c r="G8" s="6" t="n">
        <v>85890</v>
      </c>
      <c r="H8" s="6" t="n">
        <v>69862</v>
      </c>
      <c r="I8" s="6" t="n">
        <v>81612</v>
      </c>
      <c r="J8" s="6" t="n">
        <v>77076</v>
      </c>
      <c r="K8" s="6" t="n">
        <v>65328</v>
      </c>
      <c r="L8" s="6" t="n">
        <v>59469</v>
      </c>
      <c r="M8" s="6" t="n">
        <v>73950</v>
      </c>
      <c r="N8" s="6" t="n">
        <v>89400</v>
      </c>
      <c r="O8" s="6" t="n">
        <v>97048</v>
      </c>
      <c r="P8" s="6" t="n">
        <v>124883</v>
      </c>
      <c r="Q8" s="6" t="n">
        <v>84491</v>
      </c>
      <c r="R8" s="6" t="n">
        <v>79946</v>
      </c>
    </row>
    <row r="9">
      <c r="A9" s="6" t="inlineStr">
        <is>
          <t>Fee and commission expense</t>
        </is>
      </c>
      <c r="B9" s="6" t="n">
        <v>-5676</v>
      </c>
      <c r="C9" s="6" t="n">
        <v>-6506</v>
      </c>
      <c r="D9" s="6" t="n">
        <v>-16211</v>
      </c>
      <c r="E9" s="6" t="n">
        <v>-14348</v>
      </c>
      <c r="F9" s="6" t="n">
        <v>-12916</v>
      </c>
      <c r="G9" s="6" t="n">
        <v>-9760</v>
      </c>
      <c r="H9" s="6" t="n">
        <v>-10179</v>
      </c>
      <c r="I9" s="6" t="n">
        <v>-8658</v>
      </c>
      <c r="J9" s="6" t="n">
        <v>-3149</v>
      </c>
      <c r="K9" s="6" t="n">
        <v>-7299</v>
      </c>
      <c r="L9" s="6" t="n">
        <v>-12727</v>
      </c>
      <c r="M9" s="6" t="n">
        <v>-17742</v>
      </c>
      <c r="N9" s="6" t="n">
        <v>-6979</v>
      </c>
      <c r="O9" s="6" t="n">
        <v>-7200</v>
      </c>
      <c r="P9" s="6" t="n">
        <v>-9511</v>
      </c>
      <c r="Q9" s="6" t="n">
        <v>-7676</v>
      </c>
      <c r="R9" s="6" t="n">
        <v>-2304</v>
      </c>
    </row>
    <row r="10">
      <c r="A10" s="6" t="inlineStr">
        <is>
          <t>Net gain from financial instruments at fair value through profit or loss</t>
        </is>
      </c>
      <c r="B10" s="6" t="n">
        <v>23982</v>
      </c>
      <c r="C10" s="6" t="n">
        <v>30718</v>
      </c>
      <c r="D10" s="6" t="n">
        <v>21129</v>
      </c>
      <c r="E10" s="6" t="n">
        <v>36542</v>
      </c>
      <c r="F10" s="6" t="n">
        <v>42393</v>
      </c>
      <c r="G10" s="6" t="n"/>
      <c r="H10" s="6" t="n"/>
      <c r="I10" s="6" t="n"/>
      <c r="J10" s="6" t="n"/>
      <c r="K10" s="6" t="n"/>
      <c r="L10" s="6" t="n"/>
      <c r="M10" s="6" t="n"/>
      <c r="N10" s="6" t="n"/>
      <c r="O10" s="6" t="n"/>
      <c r="P10" s="6" t="n"/>
      <c r="Q10" s="6" t="n"/>
      <c r="R10" s="6" t="n"/>
    </row>
    <row r="11">
      <c r="A11" s="6" t="inlineStr">
        <is>
          <t>Net trading income / net gains on financial instruments classified as held for trading</t>
        </is>
      </c>
      <c r="B11" s="6" t="n"/>
      <c r="C11" s="6" t="n"/>
      <c r="D11" s="6" t="n"/>
      <c r="E11" s="6" t="n"/>
      <c r="F11" s="6" t="n"/>
      <c r="G11" s="6" t="n">
        <v>98050</v>
      </c>
      <c r="H11" s="6" t="n">
        <v>56209</v>
      </c>
      <c r="I11" s="6" t="n">
        <v>46548</v>
      </c>
      <c r="J11" s="6" t="n">
        <v>44951</v>
      </c>
      <c r="K11" s="6" t="n">
        <v>20426</v>
      </c>
      <c r="L11" s="6" t="n">
        <v>29719</v>
      </c>
      <c r="M11" s="6" t="n">
        <v>26609</v>
      </c>
      <c r="N11" s="6" t="n">
        <v>27093</v>
      </c>
      <c r="O11" s="6" t="n">
        <v>1472</v>
      </c>
      <c r="P11" s="6" t="n">
        <v>-20927</v>
      </c>
      <c r="Q11" s="6" t="n">
        <v>-18066</v>
      </c>
      <c r="R11" s="6" t="n">
        <v>39620</v>
      </c>
    </row>
    <row r="12">
      <c r="A12" s="6" t="inlineStr">
        <is>
          <t>Net (loss)/income from other financial instruments held at fair value</t>
        </is>
      </c>
      <c r="B12" s="6" t="n"/>
      <c r="C12" s="6" t="n"/>
      <c r="D12" s="6" t="n"/>
      <c r="E12" s="6" t="n"/>
      <c r="F12" s="6" t="n"/>
      <c r="G12" s="6" t="n">
        <v>-6193</v>
      </c>
      <c r="H12" s="6" t="n">
        <v>432</v>
      </c>
      <c r="I12" s="6" t="n">
        <v>-1049</v>
      </c>
      <c r="J12" s="6" t="n"/>
      <c r="K12" s="6" t="n"/>
      <c r="L12" s="6" t="n"/>
      <c r="M12" s="6" t="n"/>
      <c r="N12" s="6" t="n"/>
      <c r="O12" s="6" t="n"/>
      <c r="P12" s="6" t="n"/>
      <c r="Q12" s="6" t="n"/>
      <c r="R12" s="6" t="n"/>
    </row>
    <row r="13">
      <c r="A13" s="6" t="inlineStr">
        <is>
          <t>Net gains/(losses) on financial instruments designated at fair value through profit or loss (FY2009-FY2013 label)</t>
        </is>
      </c>
      <c r="B13" s="6" t="n"/>
      <c r="C13" s="6" t="n"/>
      <c r="D13" s="6" t="n"/>
      <c r="E13" s="6" t="n"/>
      <c r="F13" s="6" t="n"/>
      <c r="G13" s="6" t="n"/>
      <c r="H13" s="6" t="n"/>
      <c r="I13" s="6" t="n"/>
      <c r="J13" s="6" t="n"/>
      <c r="K13" s="6" t="n"/>
      <c r="L13" s="6" t="n"/>
      <c r="M13" s="6" t="n"/>
      <c r="N13" s="6" t="n">
        <v>392</v>
      </c>
      <c r="O13" s="6" t="n">
        <v>1121</v>
      </c>
      <c r="P13" s="6" t="n">
        <v>1328</v>
      </c>
      <c r="Q13" s="6" t="n">
        <v>0</v>
      </c>
      <c r="R13" s="6" t="n">
        <v>0</v>
      </c>
    </row>
    <row r="14">
      <c r="A14" s="6" t="inlineStr">
        <is>
          <t>Net gains/(losses) on loans and receivables (pre-IFRS 9; FY2017 per the Company's own FY2017 report - the FY2018 report's restated FY2017 comparative instead splits this into a -389 derecognition loss and a +1,733 impairment reversal, net identical)</t>
        </is>
      </c>
      <c r="B14" s="6" t="n"/>
      <c r="C14" s="6" t="n"/>
      <c r="D14" s="6" t="n"/>
      <c r="E14" s="6" t="n"/>
      <c r="F14" s="6" t="n"/>
      <c r="G14" s="6" t="n"/>
      <c r="H14" s="6" t="n"/>
      <c r="I14" s="6" t="n"/>
      <c r="J14" s="6" t="n">
        <v>1344</v>
      </c>
      <c r="K14" s="6" t="n">
        <v>563</v>
      </c>
      <c r="L14" s="6" t="n">
        <v>-21812</v>
      </c>
      <c r="M14" s="6" t="n">
        <v>-6678</v>
      </c>
      <c r="N14" s="6" t="n">
        <v>-55839</v>
      </c>
      <c r="O14" s="6" t="n">
        <v>-27963</v>
      </c>
      <c r="P14" s="6" t="n">
        <v>9792</v>
      </c>
      <c r="Q14" s="6" t="n">
        <v>15851</v>
      </c>
      <c r="R14" s="6" t="n">
        <v>-95460</v>
      </c>
    </row>
    <row r="15">
      <c r="A15" s="6" t="inlineStr">
        <is>
          <t>Net reversal of impairment loss on financial instruments</t>
        </is>
      </c>
      <c r="B15" s="6" t="n"/>
      <c r="C15" s="6" t="n"/>
      <c r="D15" s="6" t="n"/>
      <c r="E15" s="6" t="n">
        <v>0</v>
      </c>
      <c r="F15" s="6" t="n">
        <v>416</v>
      </c>
      <c r="G15" s="6" t="n">
        <v>-406</v>
      </c>
      <c r="H15" s="6" t="n">
        <v>20</v>
      </c>
      <c r="I15" s="6" t="n">
        <v>160</v>
      </c>
      <c r="J15" s="6" t="n"/>
      <c r="K15" s="6" t="n"/>
      <c r="L15" s="6" t="n"/>
      <c r="M15" s="6" t="n"/>
      <c r="N15" s="6" t="n"/>
      <c r="O15" s="6" t="n"/>
      <c r="P15" s="6" t="n"/>
      <c r="Q15" s="6" t="n"/>
      <c r="R15" s="6" t="n"/>
    </row>
    <row r="16">
      <c r="A16" s="6" t="inlineStr">
        <is>
          <t>Gain on disposal of subsidiary</t>
        </is>
      </c>
      <c r="B16" s="6" t="n"/>
      <c r="C16" s="6" t="n"/>
      <c r="D16" s="6" t="n"/>
      <c r="E16" s="6" t="n">
        <v>93978</v>
      </c>
      <c r="F16" s="6" t="n"/>
      <c r="G16" s="6" t="n"/>
      <c r="H16" s="6" t="n"/>
      <c r="I16" s="6" t="n"/>
      <c r="J16" s="6" t="n"/>
      <c r="K16" s="6" t="n"/>
      <c r="L16" s="6" t="n"/>
      <c r="M16" s="6" t="n"/>
      <c r="N16" s="6" t="n"/>
      <c r="O16" s="6" t="n"/>
      <c r="P16" s="6" t="n"/>
      <c r="Q16" s="6" t="n"/>
      <c r="R16" s="6" t="n"/>
    </row>
    <row r="17">
      <c r="A17" s="6" t="inlineStr">
        <is>
          <t>Other operating income (FY2009-FY2013)</t>
        </is>
      </c>
      <c r="B17" s="6" t="n"/>
      <c r="C17" s="6" t="n"/>
      <c r="D17" s="6" t="n"/>
      <c r="E17" s="6" t="n"/>
      <c r="F17" s="6" t="n"/>
      <c r="G17" s="6" t="n"/>
      <c r="H17" s="6" t="n"/>
      <c r="I17" s="6" t="n"/>
      <c r="J17" s="6" t="n"/>
      <c r="K17" s="6" t="n"/>
      <c r="L17" s="6" t="n"/>
      <c r="M17" s="6" t="n"/>
      <c r="N17" s="6" t="n">
        <v>78</v>
      </c>
      <c r="O17" s="6" t="n">
        <v>198</v>
      </c>
      <c r="P17" s="6" t="n">
        <v>0</v>
      </c>
      <c r="Q17" s="6" t="n">
        <v>2</v>
      </c>
      <c r="R17" s="6" t="n">
        <v>19</v>
      </c>
    </row>
    <row r="18">
      <c r="A18" s="6" t="inlineStr">
        <is>
          <t>Gain on disposal of discontinued operations</t>
        </is>
      </c>
      <c r="B18" s="6" t="n"/>
      <c r="C18" s="6" t="n"/>
      <c r="D18" s="6" t="n"/>
      <c r="E18" s="6" t="n"/>
      <c r="F18" s="6" t="n"/>
      <c r="G18" s="6" t="n"/>
      <c r="H18" s="6" t="n"/>
      <c r="I18" s="6" t="n"/>
      <c r="J18" s="6" t="n"/>
      <c r="K18" s="6" t="n"/>
      <c r="L18" s="6" t="n"/>
      <c r="M18" s="6" t="n">
        <v>665</v>
      </c>
      <c r="N18" s="6" t="n">
        <v>1692</v>
      </c>
      <c r="O18" s="6" t="n"/>
      <c r="P18" s="6" t="n"/>
      <c r="Q18" s="6" t="n"/>
      <c r="R18" s="6" t="n"/>
    </row>
    <row r="19">
      <c r="A19" s="6" t="inlineStr">
        <is>
          <t>Administrative expenses</t>
        </is>
      </c>
      <c r="B19" s="6" t="n">
        <v>-21070</v>
      </c>
      <c r="C19" s="6" t="n">
        <v>-27722</v>
      </c>
      <c r="D19" s="6" t="n">
        <v>-34895</v>
      </c>
      <c r="E19" s="6" t="n">
        <v>-32647</v>
      </c>
      <c r="F19" s="6" t="n">
        <v>-48725</v>
      </c>
      <c r="G19" s="6" t="n">
        <v>-76126</v>
      </c>
      <c r="H19" s="6" t="n">
        <v>-81870</v>
      </c>
      <c r="I19" s="6" t="n">
        <v>-82152</v>
      </c>
      <c r="J19" s="6" t="n">
        <v>-75348</v>
      </c>
      <c r="K19" s="6" t="n">
        <v>-41791</v>
      </c>
      <c r="L19" s="6" t="n">
        <v>-44792</v>
      </c>
      <c r="M19" s="6" t="n">
        <v>-57487</v>
      </c>
      <c r="N19" s="6" t="n">
        <v>-66190</v>
      </c>
      <c r="O19" s="6" t="n">
        <v>-73750</v>
      </c>
      <c r="P19" s="6" t="n">
        <v>-74975</v>
      </c>
      <c r="Q19" s="6" t="n">
        <v>-79017</v>
      </c>
      <c r="R19" s="6" t="n">
        <v>-85141</v>
      </c>
    </row>
    <row r="20">
      <c r="A20" s="6" t="inlineStr">
        <is>
          <t>Depreciation of tangible fixed assets</t>
        </is>
      </c>
      <c r="B20" s="6" t="n">
        <v>-239</v>
      </c>
      <c r="C20" s="6" t="n">
        <v>-229</v>
      </c>
      <c r="D20" s="6" t="n">
        <v>-267</v>
      </c>
      <c r="E20" s="6" t="n">
        <v>-270</v>
      </c>
      <c r="F20" s="6" t="n">
        <v>-215</v>
      </c>
      <c r="G20" s="6" t="n">
        <v>-1058</v>
      </c>
      <c r="H20" s="6" t="n">
        <v>-1310</v>
      </c>
      <c r="I20" s="6" t="n">
        <v>-482</v>
      </c>
      <c r="J20" s="6" t="n">
        <v>-418</v>
      </c>
      <c r="K20" s="6" t="n">
        <v>-362</v>
      </c>
      <c r="L20" s="6" t="n">
        <v>-236</v>
      </c>
      <c r="M20" s="6" t="n">
        <v>-180</v>
      </c>
      <c r="N20" s="6" t="n">
        <v>-421</v>
      </c>
      <c r="O20" s="6" t="n">
        <v>-646</v>
      </c>
      <c r="P20" s="6" t="n">
        <v>-699</v>
      </c>
      <c r="Q20" s="6" t="n">
        <v>-830</v>
      </c>
      <c r="R20" s="6" t="n">
        <v>-988</v>
      </c>
    </row>
    <row r="21">
      <c r="A21" s="5" t="inlineStr">
        <is>
          <t>Profit before tax</t>
        </is>
      </c>
      <c r="B21" s="5" t="n">
        <v>50389</v>
      </c>
      <c r="C21" s="5" t="n">
        <v>64113</v>
      </c>
      <c r="D21" s="5" t="n">
        <v>31392</v>
      </c>
      <c r="E21" s="5" t="n">
        <v>105921</v>
      </c>
      <c r="F21" s="5" t="n">
        <v>16836</v>
      </c>
      <c r="G21" s="5" t="n">
        <v>123551</v>
      </c>
      <c r="H21" s="5" t="n">
        <v>45122</v>
      </c>
      <c r="I21" s="5" t="n">
        <v>37075</v>
      </c>
      <c r="J21" s="5" t="n">
        <v>57940</v>
      </c>
      <c r="K21" s="5" t="n">
        <v>42414</v>
      </c>
      <c r="L21" s="5" t="n">
        <v>28777</v>
      </c>
      <c r="M21" s="5" t="n">
        <v>33221</v>
      </c>
      <c r="N21" s="5" t="n">
        <v>13032</v>
      </c>
      <c r="O21" s="5" t="n">
        <v>4674</v>
      </c>
      <c r="P21" s="5" t="n">
        <v>81967</v>
      </c>
      <c r="Q21" s="5" t="n">
        <v>65165</v>
      </c>
      <c r="R21" s="5" t="n">
        <v>16703</v>
      </c>
    </row>
    <row r="22">
      <c r="A22" s="6" t="inlineStr">
        <is>
          <t>Income tax expense</t>
        </is>
      </c>
      <c r="B22" s="6" t="n">
        <v>-12810</v>
      </c>
      <c r="C22" s="6" t="n">
        <v>-18332</v>
      </c>
      <c r="D22" s="6" t="n">
        <v>-31078</v>
      </c>
      <c r="E22" s="6" t="n">
        <v>-11768</v>
      </c>
      <c r="F22" s="6" t="n">
        <v>-6959</v>
      </c>
      <c r="G22" s="6" t="n">
        <v>-29121</v>
      </c>
      <c r="H22" s="6" t="n">
        <v>-7000</v>
      </c>
      <c r="I22" s="6" t="n">
        <v>-9382</v>
      </c>
      <c r="J22" s="6" t="n">
        <v>-8235</v>
      </c>
      <c r="K22" s="6" t="n">
        <v>-14426</v>
      </c>
      <c r="L22" s="6" t="n">
        <v>-10643</v>
      </c>
      <c r="M22" s="6" t="n">
        <v>-2455</v>
      </c>
      <c r="N22" s="6" t="n">
        <v>-5877</v>
      </c>
      <c r="O22" s="6" t="n">
        <v>-9017</v>
      </c>
      <c r="P22" s="6" t="n">
        <v>-19568</v>
      </c>
      <c r="Q22" s="6" t="n">
        <v>-29201</v>
      </c>
      <c r="R22" s="6" t="n">
        <v>-29089</v>
      </c>
    </row>
    <row r="23">
      <c r="A23" s="5" t="inlineStr">
        <is>
          <t>Profit for the year</t>
        </is>
      </c>
      <c r="B23" s="5" t="n">
        <v>37579</v>
      </c>
      <c r="C23" s="5" t="n">
        <v>45781</v>
      </c>
      <c r="D23" s="5" t="n">
        <v>314</v>
      </c>
      <c r="E23" s="5" t="n">
        <v>94153</v>
      </c>
      <c r="F23" s="5" t="n">
        <v>9877</v>
      </c>
      <c r="G23" s="5" t="n">
        <v>94430</v>
      </c>
      <c r="H23" s="5" t="n">
        <v>38122</v>
      </c>
      <c r="I23" s="5" t="n">
        <v>27693</v>
      </c>
      <c r="J23" s="5" t="n">
        <v>49705</v>
      </c>
      <c r="K23" s="5" t="n">
        <v>27988</v>
      </c>
      <c r="L23" s="5" t="n">
        <v>18134</v>
      </c>
      <c r="M23" s="5" t="n">
        <v>30766</v>
      </c>
      <c r="N23" s="5" t="n">
        <v>7155</v>
      </c>
      <c r="O23" s="5" t="n">
        <v>-4343</v>
      </c>
      <c r="P23" s="5" t="n">
        <v>62399</v>
      </c>
      <c r="Q23" s="5" t="n">
        <v>35964</v>
      </c>
      <c r="R23" s="5" t="n">
        <v>-12386</v>
      </c>
    </row>
    <row r="24">
      <c r="A24" s="5" t="inlineStr">
        <is>
          <t>Other comprehensive income/(loss), net of tax</t>
        </is>
      </c>
      <c r="B24" s="6" t="n"/>
      <c r="C24" s="6" t="n"/>
      <c r="D24" s="6" t="n"/>
      <c r="E24" s="6" t="n"/>
      <c r="F24" s="6" t="n"/>
      <c r="G24" s="6" t="n"/>
      <c r="H24" s="6" t="n"/>
      <c r="I24" s="6" t="n"/>
      <c r="J24" s="6" t="n"/>
      <c r="K24" s="6" t="n"/>
      <c r="L24" s="6" t="n"/>
      <c r="M24" s="6" t="n"/>
      <c r="N24" s="6" t="n"/>
      <c r="O24" s="6" t="n"/>
      <c r="P24" s="6" t="n"/>
      <c r="Q24" s="6" t="n"/>
      <c r="R24" s="6" t="n"/>
    </row>
    <row r="25">
      <c r="A25" s="6" t="inlineStr">
        <is>
          <t>Remeasurement of net defined benefit liability</t>
        </is>
      </c>
      <c r="B25" s="6" t="n">
        <v>40</v>
      </c>
      <c r="C25" s="6" t="n">
        <v>21</v>
      </c>
      <c r="D25" s="6" t="n">
        <v>-22</v>
      </c>
      <c r="E25" s="6" t="n">
        <v>100</v>
      </c>
      <c r="F25" s="6" t="n">
        <v>78</v>
      </c>
      <c r="G25" s="6" t="n">
        <v>-234</v>
      </c>
      <c r="H25" s="6" t="n">
        <v>-174</v>
      </c>
      <c r="I25" s="6" t="n">
        <v>2</v>
      </c>
      <c r="J25" s="6" t="n">
        <v>-9</v>
      </c>
      <c r="K25" s="6" t="n">
        <v>-17</v>
      </c>
      <c r="L25" s="6" t="n">
        <v>195</v>
      </c>
      <c r="M25" s="6" t="n">
        <v>-124</v>
      </c>
      <c r="N25" s="6" t="n">
        <v>6</v>
      </c>
      <c r="O25" s="6" t="n">
        <v>-126</v>
      </c>
      <c r="P25" s="6" t="n">
        <v>48</v>
      </c>
      <c r="Q25" s="6" t="n">
        <v>-109</v>
      </c>
      <c r="R25" s="6" t="n">
        <v>-634</v>
      </c>
    </row>
    <row r="26">
      <c r="A26" s="6" t="inlineStr">
        <is>
          <t>Foreign currency translation differences arising on foreign operations</t>
        </is>
      </c>
      <c r="B26" s="6" t="n">
        <v>-8951</v>
      </c>
      <c r="C26" s="6" t="n">
        <v>-19706</v>
      </c>
      <c r="D26" s="6" t="n">
        <v>-15179</v>
      </c>
      <c r="E26" s="6" t="n">
        <v>10400</v>
      </c>
      <c r="F26" s="6" t="n">
        <v>-14755</v>
      </c>
      <c r="G26" s="6" t="n">
        <v>6114</v>
      </c>
      <c r="H26" s="6" t="n">
        <v>-12707</v>
      </c>
      <c r="I26" s="6" t="n">
        <v>2752</v>
      </c>
      <c r="J26" s="6" t="n">
        <v>5771</v>
      </c>
      <c r="K26" s="6" t="n">
        <v>23459</v>
      </c>
      <c r="L26" s="6" t="n">
        <v>-2279</v>
      </c>
      <c r="M26" s="6" t="n">
        <v>1802</v>
      </c>
      <c r="N26" s="6" t="n">
        <v>1194</v>
      </c>
      <c r="O26" s="6" t="n">
        <v>4268</v>
      </c>
      <c r="P26" s="6" t="n">
        <v>-1324</v>
      </c>
      <c r="Q26" s="6" t="n">
        <v>5613</v>
      </c>
      <c r="R26" s="6" t="n">
        <v>2142</v>
      </c>
    </row>
    <row r="27">
      <c r="A27" s="6" t="inlineStr">
        <is>
          <t>Gain/(loss) arising on hedging instruments designated in net investment hedges</t>
        </is>
      </c>
      <c r="B27" s="6" t="n">
        <v>8748</v>
      </c>
      <c r="C27" s="6" t="n">
        <v>18406</v>
      </c>
      <c r="D27" s="6" t="n">
        <v>14646</v>
      </c>
      <c r="E27" s="6" t="n">
        <v>-10412</v>
      </c>
      <c r="F27" s="6" t="n">
        <v>14422</v>
      </c>
      <c r="G27" s="6" t="n">
        <v>-5197</v>
      </c>
      <c r="H27" s="6" t="n">
        <v>13535</v>
      </c>
      <c r="I27" s="6" t="n">
        <v>-10070</v>
      </c>
      <c r="J27" s="6" t="n"/>
      <c r="K27" s="6" t="n"/>
      <c r="L27" s="6" t="n"/>
      <c r="M27" s="6" t="n"/>
      <c r="N27" s="6" t="n"/>
      <c r="O27" s="6" t="n"/>
      <c r="P27" s="6" t="n"/>
      <c r="Q27" s="6" t="n"/>
      <c r="R27" s="6" t="n"/>
    </row>
    <row r="28">
      <c r="A28" s="5" t="inlineStr">
        <is>
          <t>Other comprehensive income/(loss) after income tax</t>
        </is>
      </c>
      <c r="B28" s="5" t="n">
        <v>-163</v>
      </c>
      <c r="C28" s="5" t="n">
        <v>-1279</v>
      </c>
      <c r="D28" s="5" t="n">
        <v>-555</v>
      </c>
      <c r="E28" s="5" t="n">
        <v>88</v>
      </c>
      <c r="F28" s="5" t="n">
        <v>-255</v>
      </c>
      <c r="G28" s="5" t="n">
        <v>683</v>
      </c>
      <c r="H28" s="5" t="n">
        <v>654</v>
      </c>
      <c r="I28" s="5" t="n">
        <v>-7316</v>
      </c>
      <c r="J28" s="5" t="n">
        <v>5762</v>
      </c>
      <c r="K28" s="5" t="n">
        <v>23442</v>
      </c>
      <c r="L28" s="5" t="n">
        <v>-2084</v>
      </c>
      <c r="M28" s="5" t="n">
        <v>1678</v>
      </c>
      <c r="N28" s="5" t="n">
        <v>1200</v>
      </c>
      <c r="O28" s="5" t="n">
        <v>4142</v>
      </c>
      <c r="P28" s="5" t="n">
        <v>-1276</v>
      </c>
      <c r="Q28" s="5" t="n">
        <v>5504</v>
      </c>
      <c r="R28" s="5" t="n">
        <v>1508</v>
      </c>
    </row>
    <row r="29">
      <c r="A29" s="5" t="inlineStr">
        <is>
          <t>Total comprehensive income for the year</t>
        </is>
      </c>
      <c r="B29" s="5" t="n">
        <v>37416</v>
      </c>
      <c r="C29" s="5" t="n">
        <v>44502</v>
      </c>
      <c r="D29" s="5" t="n">
        <v>-241</v>
      </c>
      <c r="E29" s="5" t="n">
        <v>94241</v>
      </c>
      <c r="F29" s="5" t="n">
        <v>9622</v>
      </c>
      <c r="G29" s="5" t="n">
        <v>95113</v>
      </c>
      <c r="H29" s="5" t="n">
        <v>38776</v>
      </c>
      <c r="I29" s="5" t="n">
        <v>20377</v>
      </c>
      <c r="J29" s="5" t="n">
        <v>55467</v>
      </c>
      <c r="K29" s="5" t="n">
        <v>51430</v>
      </c>
      <c r="L29" s="5" t="n">
        <v>16050</v>
      </c>
      <c r="M29" s="5" t="n">
        <v>32444</v>
      </c>
      <c r="N29" s="5" t="n">
        <v>8355</v>
      </c>
      <c r="O29" s="5" t="n">
        <v>-201</v>
      </c>
      <c r="P29" s="5" t="n">
        <v>61123</v>
      </c>
      <c r="Q29" s="5" t="n">
        <v>41468</v>
      </c>
      <c r="R29" s="5" t="n">
        <v>-10878</v>
      </c>
    </row>
    <row r="31" ht="403" customHeight="1">
      <c r="A31"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(Income Statement, Statement of Comprehensive Income, Statement of Financial Position, Statement of Changes in Equity, and Note 28 credit risk disclosures):
FY2025: Annual Report and Financial Statements for year ended 31 December 2025, pp.43-46, 76-77 — https://find-and-update.company-information.service.gov.uk/company/03722571/filing-history/MzUxNTMzMjAyMmFkaXF6a2N4/document?format=pdf&amp;download=0
FY2024: Annual Report and Financial Statements for year ended 31 December 2024, pp.42-45, 74-75 — https://find-and-update.company-information.service.gov.uk/company/03722571/filing-history/MzQ2MjkyNzg4N2FkaXF6a2N4/document?format=pdf&amp;download=0
FY2023: Annual Report and Financial Statements for year ended 31 December 2023 (via FY2024 report's own FY2023 comparative columns, pp.42-45, 74-75) — https://find-and-update.company-information.service.gov.uk/company/03722571/filing-history/MzQ2MjkyNzg4N2FkaXF6a2N4/document?format=pdf&amp;download=0
FY2022: Annual Report and Financial Statements for year ended 31 December 2022, pp.39-43, 71-72 — https://find-and-update.company-information.service.gov.uk/company/03722571/filing-history/MzM3ODM5NTg1NmFkaXF6a2N4/document?format=pdf&amp;download=0
FY2021: Annual Report and Financial Statements for year ended 31 December 2021 (via FY2022 report's own FY2021 comparative columns, pp.39-43, 71-72) — https://find-and-update.company-information.service.gov.uk/company/03722571/filing-history/MzM3ODM5NTg1NmFkaXF6a2N4/document?format=pdf&amp;download=0
FY2020: Annual Report and Financial Statements for year ended 31 December 2020, pp.53-56, 90-94 (Income Statement, Statement of Comprehensive Income, Statement of Changes in Equity, Statement of Financial Position, Note 35 credit risk) — https://find-and-update.company-information.service.gov.uk/company/03722571/filing-history/MzMwMTE4OTc0MWFkaXF6a2N4/document?format=pdf&amp;download=0
FY2019: via the FY2020 report's own FY2019 comparative columns, pp.53-56, 90-94 — https://find-and-update.company-information.service.gov.uk/company/03722571/filing-history/MzMwMTE4OTc0MWFkaXF6a2N4/document?format=pdf&amp;download=0
FY2018: Annual Report and Financial Statements for year ended 31 December 2018, pp.29-32, 74-76 (Income Statement, Statement of Comprehensive Income, Statement of Changes in Equity, Statement of Financial Position, Note 32 credit risk) — https://find-and-update.company-information.service.gov.uk/company/03722571/filing-history/MzIzMzQ0NTc3NWFkaXF6a2N4/document?format=pdf&amp;download=0
FY2017: via the FY2018 report's own FY2017 comparative columns (pp.29-32, 76) and the Company's own FY2017 Annual Report, pp.27-30, 64 (Note 28 credit risk) — https://find-and-update.company-information.service.gov.uk/company/03722571/filing-history/MzIzMzQ0NTc3NWFkaXF6a2N4/document?format=pdf&amp;download=0 / https://find-and-update.company-information.service.gov.uk/company/03722571/filing-history/MzIwNDA4MDg1M2FkaXF6a2N4/document?format=pdf&amp;download=0
FY2016: via the FY2017 report's own FY2016 comparative columns (pp.27-30, 64) and the Company's own FY2016 Annual Report, pp.16-19, 51 (Note 28 credit risk) — https://find-and-update.company-information.service.gov.uk/company/03722571/filing-history/MzIwNDA4MDg1M2FkaXF6a2N4/document?format=pdf&amp;download=0 / https://find-and-update.company-information.service.gov.uk/company/03722571/filing-history/MzE3NTI3MTY1OWFkaXF6a2N4/document?format=pdf&amp;download=0
FY2015: via the FY2016 report's own FY2015 comparative columns, pp.16-19, 51-52 — https://find-and-update.company-information.service.gov.uk/company/03722571/filing-history/MzE3NTI3MTY1OWFkaXF6a2N4/document?format=pdf&amp;download=0
FY2014: Annual Report and Financial Statements for year ended 31 December 2014, pp.15-17, 51 (Profit and Loss Account, Statement of Total Recognised Gains and Losses, Balance Sheet, Note 29 credit risk) — https://find-and-update.company-information.service.gov.uk/company/03722571/filing-history/MzEyMjM5NTcyOWFkaXF6a2N4/document?format=pdf&amp;download=0. This is the earliest UK GAAP/FRS 101-era filing before this entity switched to the Income Statement/Statement of Comprehensive Income/Statement of Changes in Equity naming used from FY2015 onward; FY2014 also uniquely presents a continuing/discontinued-operations split (the Company's Investment Management and Wealth Management segments were both transferred out or closed during FY2014) - the Profit &amp; Loss sheet uses the FY2014 report's own Total columns (continuing + discontinued combined).
The Company takes the FRS 101 reduced-disclosure exemption from presenting a cash-flow statement. Blank or non-disclosed entries are not estimates or zeros. FY2014-FY2017 predate IFRS 9 (adopted 1 January 2018): those years' credit-risk note uses the incurred-loss 'individually impaired' concept rather than ECL staging, and the Asset Quality sheet reflects this distinction explicitly rather than forcing a Stage 1/Stage 3 label onto pre-IFRS 9 disclosures. A genuine, material FY2014 finding: one borrower's entry into administration in March 2014 drove an £83,173k impairment loss on loans and advances to customers that year (gross £111,239k, net carrying £28,066k) - materially larger than the de minimis impaired balances (£1,674k FY2015, £126k FY2016, £131k FY2017) seen in every other year reviewed.
FY2013: Annual Report and Financial Statements for year ended 31 December 2013, pp.15-18 (Profit and Loss Account, Statement of Total Recognised Gains and Losses, Balance Sheet) — https://find-and-update.company-information.service.gov.uk/company/03722571/filing-history/MzA5OTE2NDI1N2FkaXF6a2N4/document?format=pdf&amp;download=0
FY2012: via the FY2013 Annual Report's own FY2012 comparative columns, pp.15-18 — https://find-and-update.company-information.service.gov.uk/company/03722571/filing-history/MzA5OTE2NDI1N2FkaXF6a2N4/document?format=pdf&amp;download=0
FY2011: Annual Report and Financial Statements for year ended 31 December 2011, pp.13-15 — https://find-and-update.company-information.service.gov.uk/company/03722571/filing-history/MzA1NzUxOTkzNGFkaXF6a2N4/document?format=pdf&amp;download=0
FY2010: via the FY2011 Annual Report's own FY2010 comparative columns, pp.13-15 — https://find-and-update.company-information.service.gov.uk/company/03722571/filing-history/MzA1NzUxOTkzNGFkaXF6a2N4/document?format=pdf&amp;download=0
FY2009: Annual Report and Financial Statements for year ended 31 December 2009, pp.7-9, Note 25 p.28 (reconciliation of shareholders' funds and movements on reserves) — https://find-and-update.company-information.service.gov.uk/company/03722571/filing-history/MzAxNjAzOTk5M2FkaXF6a2N4/document?format=pdf&amp;download=0
HD-073 (2026-09-06) HISTORICAL SOURCING NOTE (FY2009-FY2013): Balance Sheet, Profit &amp; Loss, and Statement of Changes in Equity only (Pillar 3, Asset Quality, and RWA Breakdown stay FY2014-onward, unchanged). Re-verified via each year's own Companies House statutory filing (company 03722571), all genuine scanned/no-text-layer filings transcribed directly from the rendered pages, same as the existing FY2014-FY2020 sourcing: FY2013/FY2012 from the FY2013 Annual Report (pp.15-18) — https://find-and-update.company-information.service.gov.uk/company/03722571/filing-history/MzA5OTE2NDI1N2FkaXF6a2N4/document?format=pdf&amp;download=0; FY2011/FY2010 from the FY2011 Annual Report (pp.13-16) — https://find-and-update.company-information.service.gov.uk/company/03722571/filing-history/MzA1NzUxOTkzNGFkaXF6a2N4/document?format=pdf&amp;download=0; FY2009 from the FY2009 Annual Report (pp.7-9, and Note 25 p.28 for the equity reconciliation) — https://find-and-update.company-information.service.gov.uk/company/03722571/filing-history/MzAxNjAzOTk5M2FkaXF6a2N4/document?format=pdf&amp;download=0. The Company takes the FRS 101/predecessor reduced-disclosure exemption from presenting a cash-flow statement in every one of these years too - confirmed directly against each year's own Contents page (Profit and loss account / Statement of total recognised gains and losses / Balance sheet only, no cash flow statement listed), not merely carried forward from the FY2014-FY2020 finding. No years self-skipped.
FY2013/FY2012 continuing/discontinued-operations split: the FY2013 Annual Report itself already splits continuing vs discontinued operations (the Wealth Management segment was substantially sold during FY2013/FY2014), consistent with the existing FY2014 note above - the Profit &amp; Loss sheet uses the FY2013 report's own Total columns (continuing + discontinued combined) for both FY2013 and its FY2012 comparative.
FY2009 Balance Sheet structural note: the FY2009 Annual Report's own equity section discloses a distinct 'Pension reserve' component (£252k at 31 December 2009) not present as a separate line in any later year's Balance Sheet (folded into the Profit and loss account line from FY2010 onward per that year's own report) - shown here as its own row rather than silently merged, and the FY2009 closing Total equity of £841,906k ties exactly to both components disclosed. FY2009 also does not separately disclose 'Reverse repurchase agreements' as an asset-side line or 'Repurchase agreements' as a liability-side line (both fold into the broader loans-and-advances/other-liabilities figures that year); these lines first appear as their own rows from FY2010 onward - a genuine presentational difference confirmed directly against the FY2009 report's own Balance Sheet, not an omission.</t>
        </is>
      </c>
    </row>
  </sheetData>
  <mergeCells count="1">
    <mergeCell ref="A31:R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2"/>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Morgan Stanley Bank International Limited — Statement of Changes in Equity</t>
        </is>
      </c>
    </row>
    <row r="2">
      <c r="A2" s="2" t="inlineStr">
        <is>
          <t>Chronological roll-forward, oldest to newest, standalone Company basis (FRS 101/UK GAAP for FY2014). £'000. Every year's own closing balance ties exactly to both the next year's own opening balance and that year's own Balance Sheet Total equity for FY2015-FY2025, with zero plug rows needed. FY2014 is the one exception: the Company's own FY2014 Annual Report closing P&amp;L account balance (£89,485k) does not match the £85,907k opening comparative shown in the FY2015/FY2016 Annual Reports - a £3,578k downward restatement not itemised in any source reviewed (plausibly a FRS 101 transition adjustment), shown here as an explicit 'Restatement' row rather than silently plugged. The FY2014 row itself also carries a smaller £780k residual (per Note 26's own reconciliation, not separately itemised) after the disclosed profit, OCI and Investment Management business-transfer consideration are applied - both gaps are documented, not absorbed into other lines. FY2021 opening balance ties exactly to the Company's own FY2020 Annual Report closing balance. HD-073 (2026-09-06) FY2009-FY2013 extension: every year's own closing balance ties exactly to the Balance Sheet's own Total equity, sourced from each year's own Note 25/26 reconciliation (FY2009 Annual Report Note 25; FY2011 and FY2013 Annual Reports' own Note 26, which also carry the FY2010 and FY2012 comparatives respectively) - zero plug rows needed anywhere in this span. FY2009's Balance Sheet shows a separate 'Pension reserve' equity component (£252k at 31 December 2009) not present in any later year; it is folded into this sheet's Profit and loss account column throughout FY2009 (both opening and closing), matching how the Company's own FY2011 Annual Report already presents the FY2010 opening/closing balances with no separate Pension reserve column - a genuine presentational change on the Company's part, not one introduced by this project.</t>
        </is>
      </c>
    </row>
    <row r="3">
      <c r="A3" s="4" t="inlineStr">
        <is>
          <t>Movement</t>
        </is>
      </c>
      <c r="B3" s="4" t="inlineStr">
        <is>
          <t>Called up share capital</t>
        </is>
      </c>
      <c r="C3" s="4" t="inlineStr">
        <is>
          <t>Capital contribution reserve</t>
        </is>
      </c>
      <c r="D3" s="4" t="inlineStr">
        <is>
          <t>Foreign currency revaluation reserve</t>
        </is>
      </c>
      <c r="E3" s="4" t="inlineStr">
        <is>
          <t>Profit and loss account</t>
        </is>
      </c>
      <c r="F3" s="4" t="inlineStr">
        <is>
          <t>Total equity</t>
        </is>
      </c>
    </row>
    <row r="4">
      <c r="A4" s="5" t="inlineStr">
        <is>
          <t>At 1 January 2009 (FY2009 opening, per the FY2009 Annual Report's own Note 25 - the 'Pension reserve' component (£886k) is folded into this Profit and loss account column here, matching how the Company's own later Annual Reports (FY2011 onward) present this same balance with no separate Pension reserve column at all - see sourcing note)</t>
        </is>
      </c>
      <c r="B4" s="5" t="n">
        <v>790000</v>
      </c>
      <c r="C4" s="5" t="n">
        <v>89654</v>
      </c>
      <c r="D4" s="5" t="n">
        <v>2473</v>
      </c>
      <c r="E4" s="5" t="n">
        <v>-30588</v>
      </c>
      <c r="F4" s="5" t="n">
        <v>851539</v>
      </c>
    </row>
    <row r="5">
      <c r="A5" s="6" t="inlineStr">
        <is>
          <t>Profit/(loss) for the period</t>
        </is>
      </c>
      <c r="B5" s="6" t="n"/>
      <c r="C5" s="6" t="n"/>
      <c r="D5" s="6" t="n"/>
      <c r="E5" s="6" t="n">
        <v>-12386</v>
      </c>
      <c r="F5" s="6" t="n">
        <v>-12386</v>
      </c>
    </row>
    <row r="6">
      <c r="A6" s="6" t="inlineStr">
        <is>
          <t>Remeasurement of net defined benefit pension liability, net of deferred tax (folded into the Profit and loss account column per Note 25 - see above)</t>
        </is>
      </c>
      <c r="B6" s="6" t="n"/>
      <c r="C6" s="6" t="n"/>
      <c r="D6" s="6" t="n"/>
      <c r="E6" s="6" t="n">
        <v>-634</v>
      </c>
      <c r="F6" s="6" t="n">
        <v>-634</v>
      </c>
    </row>
    <row r="7">
      <c r="A7" s="6" t="inlineStr">
        <is>
          <t>Foreign currency translation differences arising during the period</t>
        </is>
      </c>
      <c r="B7" s="6" t="n"/>
      <c r="C7" s="6" t="n"/>
      <c r="D7" s="6" t="n">
        <v>2142</v>
      </c>
      <c r="E7" s="6" t="n"/>
      <c r="F7" s="6" t="n">
        <v>2142</v>
      </c>
    </row>
    <row r="8">
      <c r="A8" s="6" t="inlineStr">
        <is>
          <t>Share-based payments</t>
        </is>
      </c>
      <c r="B8" s="6" t="n"/>
      <c r="C8" s="6" t="n"/>
      <c r="D8" s="6" t="n"/>
      <c r="E8" s="6" t="n">
        <v>1245</v>
      </c>
      <c r="F8" s="6" t="n">
        <v>1245</v>
      </c>
    </row>
    <row r="9">
      <c r="A9" s="5" t="inlineStr">
        <is>
          <t>At 31 December 2009 (FY2009 closing, per the Company's own FY2009 Annual Report Note 25)</t>
        </is>
      </c>
      <c r="B9" s="5" t="n">
        <v>790000</v>
      </c>
      <c r="C9" s="5" t="n">
        <v>89654</v>
      </c>
      <c r="D9" s="5" t="n">
        <v>4615</v>
      </c>
      <c r="E9" s="5" t="n">
        <v>-42363</v>
      </c>
      <c r="F9" s="5" t="n">
        <v>841906</v>
      </c>
    </row>
    <row r="10">
      <c r="A10" s="6" t="inlineStr">
        <is>
          <t>Profit for the year</t>
        </is>
      </c>
      <c r="B10" s="6" t="n"/>
      <c r="C10" s="6" t="n"/>
      <c r="D10" s="6" t="n"/>
      <c r="E10" s="6" t="n">
        <v>35964</v>
      </c>
      <c r="F10" s="6" t="n">
        <v>35964</v>
      </c>
    </row>
    <row r="11">
      <c r="A11" s="6" t="inlineStr">
        <is>
          <t>Remeasurement loss on net defined benefit liability</t>
        </is>
      </c>
      <c r="B11" s="6" t="n"/>
      <c r="C11" s="6" t="n"/>
      <c r="D11" s="6" t="n"/>
      <c r="E11" s="6" t="n">
        <v>-109</v>
      </c>
      <c r="F11" s="6" t="n">
        <v>-109</v>
      </c>
    </row>
    <row r="12">
      <c r="A12" s="6" t="inlineStr">
        <is>
          <t>Foreign currency translation differences arising during the year</t>
        </is>
      </c>
      <c r="B12" s="6" t="n"/>
      <c r="C12" s="6" t="n"/>
      <c r="D12" s="6" t="n">
        <v>5613</v>
      </c>
      <c r="E12" s="6" t="n"/>
      <c r="F12" s="6" t="n">
        <v>5613</v>
      </c>
    </row>
    <row r="13">
      <c r="A13" s="6" t="inlineStr">
        <is>
          <t>Share-based payments</t>
        </is>
      </c>
      <c r="B13" s="6" t="n"/>
      <c r="C13" s="6" t="n"/>
      <c r="D13" s="6" t="n"/>
      <c r="E13" s="6" t="n">
        <v>-1629</v>
      </c>
      <c r="F13" s="6" t="n">
        <v>-1629</v>
      </c>
    </row>
    <row r="14">
      <c r="A14" s="5" t="inlineStr">
        <is>
          <t>At 31 December 2010 (FY2010 closing, per the FY2011 Annual Report's own Note 26 comparative)</t>
        </is>
      </c>
      <c r="B14" s="5" t="n">
        <v>790000</v>
      </c>
      <c r="C14" s="5" t="n">
        <v>89654</v>
      </c>
      <c r="D14" s="5" t="n">
        <v>10228</v>
      </c>
      <c r="E14" s="5" t="n">
        <v>-8137</v>
      </c>
      <c r="F14" s="5" t="n">
        <v>881745</v>
      </c>
    </row>
    <row r="15">
      <c r="A15" s="6" t="inlineStr">
        <is>
          <t>Profit for the year</t>
        </is>
      </c>
      <c r="B15" s="6" t="n"/>
      <c r="C15" s="6" t="n"/>
      <c r="D15" s="6" t="n"/>
      <c r="E15" s="6" t="n">
        <v>62399</v>
      </c>
      <c r="F15" s="6" t="n">
        <v>62399</v>
      </c>
    </row>
    <row r="16">
      <c r="A16" s="6" t="inlineStr">
        <is>
          <t>Remeasurement gain on net defined benefit liability</t>
        </is>
      </c>
      <c r="B16" s="6" t="n"/>
      <c r="C16" s="6" t="n"/>
      <c r="D16" s="6" t="n"/>
      <c r="E16" s="6" t="n">
        <v>48</v>
      </c>
      <c r="F16" s="6" t="n">
        <v>48</v>
      </c>
    </row>
    <row r="17">
      <c r="A17" s="6" t="inlineStr">
        <is>
          <t>Foreign currency translation differences arising during the year</t>
        </is>
      </c>
      <c r="B17" s="6" t="n"/>
      <c r="C17" s="6" t="n"/>
      <c r="D17" s="6" t="n">
        <v>-1324</v>
      </c>
      <c r="E17" s="6" t="n"/>
      <c r="F17" s="6" t="n">
        <v>-1324</v>
      </c>
    </row>
    <row r="18">
      <c r="A18" s="6" t="inlineStr">
        <is>
          <t>Share-based payments</t>
        </is>
      </c>
      <c r="B18" s="6" t="n"/>
      <c r="C18" s="6" t="n"/>
      <c r="D18" s="6" t="n"/>
      <c r="E18" s="6" t="n">
        <v>-160</v>
      </c>
      <c r="F18" s="6" t="n">
        <v>-160</v>
      </c>
    </row>
    <row r="19">
      <c r="A19" s="5" t="inlineStr">
        <is>
          <t>At 31 December 2011 (FY2011 closing, per the Company's own FY2011 Annual Report Note 26)</t>
        </is>
      </c>
      <c r="B19" s="5" t="n">
        <v>790000</v>
      </c>
      <c r="C19" s="5" t="n">
        <v>89654</v>
      </c>
      <c r="D19" s="5" t="n">
        <v>8904</v>
      </c>
      <c r="E19" s="5" t="n">
        <v>54150</v>
      </c>
      <c r="F19" s="5" t="n">
        <v>942708</v>
      </c>
    </row>
    <row r="20">
      <c r="A20" s="6" t="inlineStr">
        <is>
          <t>Profit/(loss) for the year</t>
        </is>
      </c>
      <c r="B20" s="6" t="n"/>
      <c r="C20" s="6" t="n"/>
      <c r="D20" s="6" t="n"/>
      <c r="E20" s="6" t="n">
        <v>-4343</v>
      </c>
      <c r="F20" s="6" t="n">
        <v>-4343</v>
      </c>
    </row>
    <row r="21">
      <c r="A21" s="6" t="inlineStr">
        <is>
          <t>Remeasurement loss on net defined benefit liability</t>
        </is>
      </c>
      <c r="B21" s="6" t="n"/>
      <c r="C21" s="6" t="n"/>
      <c r="D21" s="6" t="n"/>
      <c r="E21" s="6" t="n">
        <v>-126</v>
      </c>
      <c r="F21" s="6" t="n">
        <v>-126</v>
      </c>
    </row>
    <row r="22">
      <c r="A22" s="6" t="inlineStr">
        <is>
          <t>Foreign currency translation differences arising during the year</t>
        </is>
      </c>
      <c r="B22" s="6" t="n"/>
      <c r="C22" s="6" t="n"/>
      <c r="D22" s="6" t="n">
        <v>4268</v>
      </c>
      <c r="E22" s="6" t="n"/>
      <c r="F22" s="6" t="n">
        <v>4268</v>
      </c>
    </row>
    <row r="23">
      <c r="A23" s="6" t="inlineStr">
        <is>
          <t>Share-based payments</t>
        </is>
      </c>
      <c r="B23" s="6" t="n"/>
      <c r="C23" s="6" t="n"/>
      <c r="D23" s="6" t="n"/>
      <c r="E23" s="6" t="n">
        <v>-50</v>
      </c>
      <c r="F23" s="6" t="n">
        <v>-50</v>
      </c>
    </row>
    <row r="24">
      <c r="A24" s="5" t="inlineStr">
        <is>
          <t>At 31 December 2012 (FY2012 closing, per the FY2013 Annual Report's own Note 26 comparative)</t>
        </is>
      </c>
      <c r="B24" s="5" t="n">
        <v>790000</v>
      </c>
      <c r="C24" s="5" t="n">
        <v>89654</v>
      </c>
      <c r="D24" s="5" t="n">
        <v>13172</v>
      </c>
      <c r="E24" s="5" t="n">
        <v>49631</v>
      </c>
      <c r="F24" s="5" t="n">
        <v>942457</v>
      </c>
    </row>
    <row r="25">
      <c r="A25" s="6" t="inlineStr">
        <is>
          <t>Share capital reduction (27 September 2013 - 450,000,000 £1 ordinary shares redeemed for a £450,000k consideration)</t>
        </is>
      </c>
      <c r="B25" s="6" t="n">
        <v>-450000</v>
      </c>
      <c r="C25" s="6" t="n"/>
      <c r="D25" s="6" t="n"/>
      <c r="E25" s="6" t="n"/>
      <c r="F25" s="6" t="n">
        <v>-450000</v>
      </c>
    </row>
    <row r="26">
      <c r="A26" s="6" t="inlineStr">
        <is>
          <t>Profit for the year</t>
        </is>
      </c>
      <c r="B26" s="6" t="n"/>
      <c r="C26" s="6" t="n"/>
      <c r="D26" s="6" t="n"/>
      <c r="E26" s="6" t="n">
        <v>7155</v>
      </c>
      <c r="F26" s="6" t="n">
        <v>7155</v>
      </c>
    </row>
    <row r="27">
      <c r="A27" s="6" t="inlineStr">
        <is>
          <t>Remeasurement gain on net defined benefit liability</t>
        </is>
      </c>
      <c r="B27" s="6" t="n"/>
      <c r="C27" s="6" t="n"/>
      <c r="D27" s="6" t="n"/>
      <c r="E27" s="6" t="n">
        <v>6</v>
      </c>
      <c r="F27" s="6" t="n">
        <v>6</v>
      </c>
    </row>
    <row r="28">
      <c r="A28" s="6" t="inlineStr">
        <is>
          <t>Foreign currency translation differences arising during the year</t>
        </is>
      </c>
      <c r="B28" s="6" t="n"/>
      <c r="C28" s="6" t="n"/>
      <c r="D28" s="6" t="n">
        <v>1194</v>
      </c>
      <c r="E28" s="6" t="n"/>
      <c r="F28" s="6" t="n">
        <v>1194</v>
      </c>
    </row>
    <row r="29">
      <c r="A29" s="6" t="inlineStr">
        <is>
          <t>Share-based payments</t>
        </is>
      </c>
      <c r="B29" s="6" t="n"/>
      <c r="C29" s="6" t="n"/>
      <c r="D29" s="6" t="n"/>
      <c r="E29" s="6" t="n">
        <v>-8</v>
      </c>
      <c r="F29" s="6" t="n">
        <v>-8</v>
      </c>
    </row>
    <row r="30">
      <c r="A30" s="5" t="inlineStr">
        <is>
          <t>At 1 January 2014 (FY2014 opening, per FY2014 Annual Report's own 2013 comparative)</t>
        </is>
      </c>
      <c r="B30" s="5" t="n">
        <v>340000</v>
      </c>
      <c r="C30" s="5" t="n">
        <v>89654</v>
      </c>
      <c r="D30" s="5" t="n">
        <v>14366</v>
      </c>
      <c r="E30" s="5" t="n">
        <v>56784</v>
      </c>
      <c r="F30" s="5" t="n">
        <v>500804</v>
      </c>
    </row>
    <row r="31">
      <c r="A31" s="6" t="inlineStr">
        <is>
          <t>Profit for the year</t>
        </is>
      </c>
      <c r="B31" s="6" t="n"/>
      <c r="C31" s="6" t="n"/>
      <c r="D31" s="6" t="n"/>
      <c r="E31" s="6" t="n">
        <v>30766</v>
      </c>
      <c r="F31" s="6" t="n">
        <v>30766</v>
      </c>
    </row>
    <row r="32">
      <c r="A32" s="6" t="inlineStr">
        <is>
          <t>Foreign currency translation differences arising during the year</t>
        </is>
      </c>
      <c r="B32" s="6" t="n"/>
      <c r="C32" s="6" t="n"/>
      <c r="D32" s="6" t="n">
        <v>1802</v>
      </c>
      <c r="E32" s="6" t="n"/>
      <c r="F32" s="6" t="n">
        <v>1802</v>
      </c>
    </row>
    <row r="33">
      <c r="A33" s="6" t="inlineStr">
        <is>
          <t>Actuarial loss on defined benefit scheme, net of deferred tax</t>
        </is>
      </c>
      <c r="B33" s="6" t="n"/>
      <c r="C33" s="6" t="n"/>
      <c r="D33" s="6" t="n"/>
      <c r="E33" s="6" t="n">
        <v>-124</v>
      </c>
      <c r="F33" s="6" t="n">
        <v>-124</v>
      </c>
    </row>
    <row r="34">
      <c r="A34" s="6" t="inlineStr">
        <is>
          <t>Consideration received on transfer of Investment Management business (Note 10)</t>
        </is>
      </c>
      <c r="B34" s="6" t="n"/>
      <c r="C34" s="6" t="n"/>
      <c r="D34" s="6" t="n"/>
      <c r="E34" s="6" t="n">
        <v>2839</v>
      </c>
      <c r="F34" s="6" t="n">
        <v>2839</v>
      </c>
    </row>
    <row r="35">
      <c r="A35" s="6" t="inlineStr">
        <is>
          <t>Other equity movements (per Note 26; residual not separately itemised in the source reviewed)</t>
        </is>
      </c>
      <c r="B35" s="6" t="n"/>
      <c r="C35" s="6" t="n"/>
      <c r="D35" s="6" t="n"/>
      <c r="E35" s="6" t="n">
        <v>-780</v>
      </c>
      <c r="F35" s="6" t="n">
        <v>-780</v>
      </c>
    </row>
    <row r="36">
      <c r="A36" s="5" t="inlineStr">
        <is>
          <t>At 31 December 2014 (FY2014 closing, per the Company's own FY2014 Annual Report)</t>
        </is>
      </c>
      <c r="B36" s="5" t="n">
        <v>340000</v>
      </c>
      <c r="C36" s="5" t="n">
        <v>89654</v>
      </c>
      <c r="D36" s="5" t="n">
        <v>16168</v>
      </c>
      <c r="E36" s="5" t="n">
        <v>89485</v>
      </c>
      <c r="F36" s="5" t="n">
        <v>535307</v>
      </c>
    </row>
    <row r="37">
      <c r="A37" s="6" t="inlineStr">
        <is>
          <t>Restatement of opening P&amp;L account balance (per the FY2015/FY2016 Annual Reports' own FY2015 opening comparative; the £3,578k difference is not itemised in any source reviewed)</t>
        </is>
      </c>
      <c r="B37" s="6" t="n"/>
      <c r="C37" s="6" t="n"/>
      <c r="D37" s="6" t="n"/>
      <c r="E37" s="6" t="n">
        <v>-3578</v>
      </c>
      <c r="F37" s="6" t="n">
        <v>-3578</v>
      </c>
    </row>
    <row r="38">
      <c r="A38" s="5" t="inlineStr">
        <is>
          <t>At 1 January 2015 (FY2015 opening, restated)</t>
        </is>
      </c>
      <c r="B38" s="5" t="n">
        <v>340000</v>
      </c>
      <c r="C38" s="5" t="n">
        <v>89654</v>
      </c>
      <c r="D38" s="5" t="n">
        <v>16168</v>
      </c>
      <c r="E38" s="5" t="n">
        <v>85907</v>
      </c>
      <c r="F38" s="5" t="n">
        <v>531729</v>
      </c>
    </row>
    <row r="39">
      <c r="A39" s="6" t="inlineStr">
        <is>
          <t>Profit for the year</t>
        </is>
      </c>
      <c r="B39" s="6" t="n"/>
      <c r="C39" s="6" t="n"/>
      <c r="D39" s="6" t="n"/>
      <c r="E39" s="6" t="n">
        <v>18134</v>
      </c>
      <c r="F39" s="6" t="n">
        <v>18134</v>
      </c>
    </row>
    <row r="40">
      <c r="A40" s="6" t="inlineStr">
        <is>
          <t>Foreign currency translation differences arising during the year</t>
        </is>
      </c>
      <c r="B40" s="6" t="n"/>
      <c r="C40" s="6" t="n"/>
      <c r="D40" s="6" t="n">
        <v>-2279</v>
      </c>
      <c r="E40" s="6" t="n"/>
      <c r="F40" s="6" t="n">
        <v>-2279</v>
      </c>
    </row>
    <row r="41">
      <c r="A41" s="6" t="inlineStr">
        <is>
          <t>Remeasurement gain on net defined benefit liability</t>
        </is>
      </c>
      <c r="B41" s="6" t="n"/>
      <c r="C41" s="6" t="n"/>
      <c r="D41" s="6" t="n"/>
      <c r="E41" s="6" t="n">
        <v>195</v>
      </c>
      <c r="F41" s="6" t="n">
        <v>195</v>
      </c>
    </row>
    <row r="42">
      <c r="A42" s="5" t="inlineStr">
        <is>
          <t>At 31 December 2015 (FY2015 closing)</t>
        </is>
      </c>
      <c r="B42" s="5" t="n">
        <v>340000</v>
      </c>
      <c r="C42" s="5" t="n">
        <v>89654</v>
      </c>
      <c r="D42" s="5" t="n">
        <v>13889</v>
      </c>
      <c r="E42" s="5" t="n">
        <v>104236</v>
      </c>
      <c r="F42" s="5" t="n">
        <v>547779</v>
      </c>
    </row>
    <row r="43">
      <c r="A43" s="6" t="inlineStr">
        <is>
          <t>Profit for the year</t>
        </is>
      </c>
      <c r="B43" s="6" t="n"/>
      <c r="C43" s="6" t="n"/>
      <c r="D43" s="6" t="n"/>
      <c r="E43" s="6" t="n">
        <v>27988</v>
      </c>
      <c r="F43" s="6" t="n">
        <v>27988</v>
      </c>
    </row>
    <row r="44">
      <c r="A44" s="6" t="inlineStr">
        <is>
          <t>Foreign currency translation differences arising during the year</t>
        </is>
      </c>
      <c r="B44" s="6" t="n"/>
      <c r="C44" s="6" t="n"/>
      <c r="D44" s="6" t="n">
        <v>23459</v>
      </c>
      <c r="E44" s="6" t="n"/>
      <c r="F44" s="6" t="n">
        <v>23459</v>
      </c>
    </row>
    <row r="45">
      <c r="A45" s="6" t="inlineStr">
        <is>
          <t>Remeasurement loss on net defined benefit liability</t>
        </is>
      </c>
      <c r="B45" s="6" t="n"/>
      <c r="C45" s="6" t="n"/>
      <c r="D45" s="6" t="n"/>
      <c r="E45" s="6" t="n">
        <v>-17</v>
      </c>
      <c r="F45" s="6" t="n">
        <v>-17</v>
      </c>
    </row>
    <row r="46">
      <c r="A46" s="5" t="inlineStr">
        <is>
          <t>At 31 December 2016 (FY2016 closing)</t>
        </is>
      </c>
      <c r="B46" s="5" t="n">
        <v>340000</v>
      </c>
      <c r="C46" s="5" t="n">
        <v>89654</v>
      </c>
      <c r="D46" s="5" t="n">
        <v>37348</v>
      </c>
      <c r="E46" s="5" t="n">
        <v>132207</v>
      </c>
      <c r="F46" s="5" t="n">
        <v>599209</v>
      </c>
    </row>
    <row r="47">
      <c r="A47" s="6" t="inlineStr">
        <is>
          <t>Profit for the year</t>
        </is>
      </c>
      <c r="B47" s="6" t="n"/>
      <c r="C47" s="6" t="n"/>
      <c r="D47" s="6" t="n"/>
      <c r="E47" s="6" t="n">
        <v>49705</v>
      </c>
      <c r="F47" s="6" t="n">
        <v>49705</v>
      </c>
    </row>
    <row r="48">
      <c r="A48" s="6" t="inlineStr">
        <is>
          <t>Foreign currency translation differences arising during the year</t>
        </is>
      </c>
      <c r="B48" s="6" t="n"/>
      <c r="C48" s="6" t="n"/>
      <c r="D48" s="6" t="n">
        <v>5771</v>
      </c>
      <c r="E48" s="6" t="n"/>
      <c r="F48" s="6" t="n">
        <v>5771</v>
      </c>
    </row>
    <row r="49">
      <c r="A49" s="6" t="inlineStr">
        <is>
          <t>Remeasurement loss on net defined benefit liability</t>
        </is>
      </c>
      <c r="B49" s="6" t="n"/>
      <c r="C49" s="6" t="n"/>
      <c r="D49" s="6" t="n"/>
      <c r="E49" s="6" t="n">
        <v>-9</v>
      </c>
      <c r="F49" s="6" t="n">
        <v>-9</v>
      </c>
    </row>
    <row r="50">
      <c r="A50" s="5" t="inlineStr">
        <is>
          <t>At 31 December 2017 (FY2017 closing)</t>
        </is>
      </c>
      <c r="B50" s="5" t="n">
        <v>340000</v>
      </c>
      <c r="C50" s="5" t="n">
        <v>89654</v>
      </c>
      <c r="D50" s="5" t="n">
        <v>43119</v>
      </c>
      <c r="E50" s="5" t="n">
        <v>181903</v>
      </c>
      <c r="F50" s="5" t="n">
        <v>654676</v>
      </c>
    </row>
    <row r="51">
      <c r="A51" s="6" t="inlineStr">
        <is>
          <t>Impact of adoption of new accounting standards (IFRS 9)</t>
        </is>
      </c>
      <c r="B51" s="6" t="n"/>
      <c r="C51" s="6" t="n"/>
      <c r="D51" s="6" t="n"/>
      <c r="E51" s="6" t="n">
        <v>-860</v>
      </c>
      <c r="F51" s="6" t="n">
        <v>-860</v>
      </c>
    </row>
    <row r="52">
      <c r="A52" s="6" t="inlineStr">
        <is>
          <t>Profit for the year</t>
        </is>
      </c>
      <c r="B52" s="6" t="n"/>
      <c r="C52" s="6" t="n"/>
      <c r="D52" s="6" t="n"/>
      <c r="E52" s="6" t="n">
        <v>27693</v>
      </c>
      <c r="F52" s="6" t="n">
        <v>27693</v>
      </c>
    </row>
    <row r="53">
      <c r="A53" s="6" t="inlineStr">
        <is>
          <t>Remeasurement gain on net defined benefit liability</t>
        </is>
      </c>
      <c r="B53" s="6" t="n"/>
      <c r="C53" s="6" t="n"/>
      <c r="D53" s="6" t="n"/>
      <c r="E53" s="6" t="n">
        <v>2</v>
      </c>
      <c r="F53" s="6" t="n">
        <v>2</v>
      </c>
    </row>
    <row r="54">
      <c r="A54" s="6" t="inlineStr">
        <is>
          <t>Foreign currency translation differences arising on foreign operations</t>
        </is>
      </c>
      <c r="B54" s="6" t="n"/>
      <c r="C54" s="6" t="n"/>
      <c r="D54" s="6" t="n">
        <v>2752</v>
      </c>
      <c r="E54" s="6" t="n"/>
      <c r="F54" s="6" t="n">
        <v>2752</v>
      </c>
    </row>
    <row r="55">
      <c r="A55" s="6" t="inlineStr">
        <is>
          <t>Loss arising on hedging instruments designated in net investment hedges</t>
        </is>
      </c>
      <c r="B55" s="6" t="n"/>
      <c r="C55" s="6" t="n"/>
      <c r="D55" s="6" t="n">
        <v>-10070</v>
      </c>
      <c r="E55" s="6" t="n"/>
      <c r="F55" s="6" t="n">
        <v>-10070</v>
      </c>
    </row>
    <row r="56">
      <c r="A56" s="5" t="inlineStr">
        <is>
          <t>At 31 December 2018 (FY2018 closing)</t>
        </is>
      </c>
      <c r="B56" s="5" t="n">
        <v>340000</v>
      </c>
      <c r="C56" s="5" t="n">
        <v>89654</v>
      </c>
      <c r="D56" s="5" t="n">
        <v>35801</v>
      </c>
      <c r="E56" s="5" t="n">
        <v>208738</v>
      </c>
      <c r="F56" s="5" t="n">
        <v>674193</v>
      </c>
    </row>
    <row r="57">
      <c r="A57" s="6" t="inlineStr">
        <is>
          <t>Impact of adoption of new accounting standards</t>
        </is>
      </c>
      <c r="B57" s="6" t="n"/>
      <c r="C57" s="6" t="n"/>
      <c r="D57" s="6" t="n"/>
      <c r="E57" s="6" t="n">
        <v>-174</v>
      </c>
      <c r="F57" s="6" t="n">
        <v>-174</v>
      </c>
    </row>
    <row r="58">
      <c r="A58" s="6" t="inlineStr">
        <is>
          <t>Profit for the year</t>
        </is>
      </c>
      <c r="B58" s="6" t="n"/>
      <c r="C58" s="6" t="n"/>
      <c r="D58" s="6" t="n"/>
      <c r="E58" s="6" t="n">
        <v>38122</v>
      </c>
      <c r="F58" s="6" t="n">
        <v>38122</v>
      </c>
    </row>
    <row r="59">
      <c r="A59" s="6" t="inlineStr">
        <is>
          <t>Other comprehensive income (FY2019: not split into components in the Statement of Changes in Equity itself)</t>
        </is>
      </c>
      <c r="B59" s="6" t="n"/>
      <c r="C59" s="6" t="n"/>
      <c r="D59" s="6" t="n">
        <v>828</v>
      </c>
      <c r="E59" s="6" t="n"/>
      <c r="F59" s="6" t="n">
        <v>828</v>
      </c>
    </row>
    <row r="60">
      <c r="A60" s="5" t="inlineStr">
        <is>
          <t>At 31 December 2019 (FY2019 closing)</t>
        </is>
      </c>
      <c r="B60" s="5" t="n">
        <v>340000</v>
      </c>
      <c r="C60" s="5" t="n">
        <v>89654</v>
      </c>
      <c r="D60" s="5" t="n">
        <v>36629</v>
      </c>
      <c r="E60" s="5" t="n">
        <v>246686</v>
      </c>
      <c r="F60" s="5" t="n">
        <v>712969</v>
      </c>
    </row>
    <row r="61">
      <c r="A61" s="6" t="inlineStr">
        <is>
          <t>Profit for the year</t>
        </is>
      </c>
      <c r="B61" s="6" t="n"/>
      <c r="C61" s="6" t="n"/>
      <c r="D61" s="6" t="n"/>
      <c r="E61" s="6" t="n">
        <v>94430</v>
      </c>
      <c r="F61" s="6" t="n">
        <v>94430</v>
      </c>
    </row>
    <row r="62">
      <c r="A62" s="6" t="inlineStr">
        <is>
          <t>Remeasurement loss on net defined benefit liability</t>
        </is>
      </c>
      <c r="B62" s="6" t="n"/>
      <c r="C62" s="6" t="n"/>
      <c r="D62" s="6" t="n"/>
      <c r="E62" s="6" t="n">
        <v>-234</v>
      </c>
      <c r="F62" s="6" t="n">
        <v>-234</v>
      </c>
    </row>
    <row r="63">
      <c r="A63" s="6" t="inlineStr">
        <is>
          <t>Foreign currency translation differences arising on foreign operations</t>
        </is>
      </c>
      <c r="B63" s="6" t="n"/>
      <c r="C63" s="6" t="n"/>
      <c r="D63" s="6" t="n">
        <v>6114</v>
      </c>
      <c r="E63" s="6" t="n"/>
      <c r="F63" s="6" t="n">
        <v>6114</v>
      </c>
    </row>
    <row r="64">
      <c r="A64" s="6" t="inlineStr">
        <is>
          <t>Loss arising on hedging instruments designated in net investment hedges</t>
        </is>
      </c>
      <c r="B64" s="6" t="n"/>
      <c r="C64" s="6" t="n"/>
      <c r="D64" s="6" t="n">
        <v>-5197</v>
      </c>
      <c r="E64" s="6" t="n"/>
      <c r="F64" s="6" t="n">
        <v>-5197</v>
      </c>
    </row>
    <row r="65">
      <c r="A65" s="6" t="inlineStr">
        <is>
          <t>Gain on business transfer (UK withdrawal from the EU restructuring, Note 4)</t>
        </is>
      </c>
      <c r="B65" s="6" t="n"/>
      <c r="C65" s="6" t="n"/>
      <c r="D65" s="6" t="n"/>
      <c r="E65" s="6" t="n">
        <v>5603</v>
      </c>
      <c r="F65" s="6" t="n">
        <v>5603</v>
      </c>
    </row>
    <row r="66">
      <c r="A66" s="6" t="inlineStr">
        <is>
          <t>Current tax charge on business transfer</t>
        </is>
      </c>
      <c r="B66" s="6" t="n"/>
      <c r="C66" s="6" t="n"/>
      <c r="D66" s="6" t="n"/>
      <c r="E66" s="6" t="n">
        <v>-1520</v>
      </c>
      <c r="F66" s="6" t="n">
        <v>-1520</v>
      </c>
    </row>
    <row r="67">
      <c r="A67" s="6" t="inlineStr">
        <is>
          <t>Remeasurement gain on net defined benefit liability</t>
        </is>
      </c>
      <c r="B67" s="6" t="n"/>
      <c r="C67" s="6" t="n"/>
      <c r="D67" s="6" t="n"/>
      <c r="E67" s="6" t="n">
        <v>196</v>
      </c>
      <c r="F67" s="6" t="n">
        <v>196</v>
      </c>
    </row>
    <row r="68">
      <c r="A68" s="5" t="inlineStr">
        <is>
          <t>At 31 December 2020 (FY2020 closing)</t>
        </is>
      </c>
      <c r="B68" s="5" t="n">
        <v>340000</v>
      </c>
      <c r="C68" s="5" t="n">
        <v>89654</v>
      </c>
      <c r="D68" s="5" t="n">
        <v>37546</v>
      </c>
      <c r="E68" s="5" t="n">
        <v>345161</v>
      </c>
      <c r="F68" s="5" t="n">
        <v>812361</v>
      </c>
    </row>
    <row r="69">
      <c r="A69" s="5" t="inlineStr">
        <is>
          <t>At 1 January 2021 (FY2021 opening)</t>
        </is>
      </c>
      <c r="B69" s="5" t="n">
        <v>340000</v>
      </c>
      <c r="C69" s="5" t="n">
        <v>89654</v>
      </c>
      <c r="D69" s="5" t="n">
        <v>37546</v>
      </c>
      <c r="E69" s="5" t="n">
        <v>345161</v>
      </c>
      <c r="F69" s="5" t="n">
        <v>812361</v>
      </c>
    </row>
    <row r="70">
      <c r="A70" s="6" t="inlineStr">
        <is>
          <t>Profit for the year</t>
        </is>
      </c>
      <c r="B70" s="6" t="n"/>
      <c r="C70" s="6" t="n"/>
      <c r="D70" s="6" t="n"/>
      <c r="E70" s="6" t="n">
        <v>9877</v>
      </c>
      <c r="F70" s="6" t="n">
        <v>9877</v>
      </c>
    </row>
    <row r="71">
      <c r="A71" s="6" t="inlineStr">
        <is>
          <t>Remeasurement gain on net defined benefit liability</t>
        </is>
      </c>
      <c r="B71" s="6" t="n"/>
      <c r="C71" s="6" t="n"/>
      <c r="D71" s="6" t="n"/>
      <c r="E71" s="6" t="n">
        <v>78</v>
      </c>
      <c r="F71" s="6" t="n">
        <v>78</v>
      </c>
    </row>
    <row r="72">
      <c r="A72" s="6" t="inlineStr">
        <is>
          <t>Foreign currency translation differences arising during the year</t>
        </is>
      </c>
      <c r="B72" s="6" t="n"/>
      <c r="C72" s="6" t="n"/>
      <c r="D72" s="6" t="n">
        <v>-14755</v>
      </c>
      <c r="E72" s="6" t="n"/>
      <c r="F72" s="6" t="n">
        <v>-14755</v>
      </c>
    </row>
    <row r="73">
      <c r="A73" s="6" t="inlineStr">
        <is>
          <t>Gain arising on hedging instruments designated in net investment hedges</t>
        </is>
      </c>
      <c r="B73" s="6" t="n"/>
      <c r="C73" s="6" t="n"/>
      <c r="D73" s="6" t="n">
        <v>14422</v>
      </c>
      <c r="E73" s="6" t="n"/>
      <c r="F73" s="6" t="n">
        <v>14422</v>
      </c>
    </row>
    <row r="74">
      <c r="A74" s="5" t="inlineStr">
        <is>
          <t>At 31 December 2021 (FY2021 closing)</t>
        </is>
      </c>
      <c r="B74" s="5" t="n">
        <v>340000</v>
      </c>
      <c r="C74" s="5" t="n">
        <v>89654</v>
      </c>
      <c r="D74" s="5" t="n">
        <v>37213</v>
      </c>
      <c r="E74" s="5" t="n">
        <v>355116</v>
      </c>
      <c r="F74" s="5" t="n">
        <v>821983</v>
      </c>
    </row>
    <row r="75">
      <c r="A75" s="6" t="inlineStr">
        <is>
          <t>Profit for the year</t>
        </is>
      </c>
      <c r="B75" s="6" t="n"/>
      <c r="C75" s="6" t="n"/>
      <c r="D75" s="6" t="n"/>
      <c r="E75" s="6" t="n">
        <v>94153</v>
      </c>
      <c r="F75" s="6" t="n">
        <v>94153</v>
      </c>
    </row>
    <row r="76">
      <c r="A76" s="6" t="inlineStr">
        <is>
          <t>Remeasurement gain on net defined benefit liability</t>
        </is>
      </c>
      <c r="B76" s="6" t="n"/>
      <c r="C76" s="6" t="n"/>
      <c r="D76" s="6" t="n"/>
      <c r="E76" s="6" t="n">
        <v>100</v>
      </c>
      <c r="F76" s="6" t="n">
        <v>100</v>
      </c>
    </row>
    <row r="77">
      <c r="A77" s="6" t="inlineStr">
        <is>
          <t>Foreign currency translation differences arising during the year</t>
        </is>
      </c>
      <c r="B77" s="6" t="n"/>
      <c r="C77" s="6" t="n"/>
      <c r="D77" s="6" t="n">
        <v>10400</v>
      </c>
      <c r="E77" s="6" t="n"/>
      <c r="F77" s="6" t="n">
        <v>10400</v>
      </c>
    </row>
    <row r="78">
      <c r="A78" s="6" t="inlineStr">
        <is>
          <t>(Loss) arising on hedging instruments designated in net investment hedges</t>
        </is>
      </c>
      <c r="B78" s="6" t="n"/>
      <c r="C78" s="6" t="n"/>
      <c r="D78" s="6" t="n">
        <v>-10412</v>
      </c>
      <c r="E78" s="6" t="n"/>
      <c r="F78" s="6" t="n">
        <v>-10412</v>
      </c>
    </row>
    <row r="79">
      <c r="A79" s="6" t="inlineStr">
        <is>
          <t>Dividend</t>
        </is>
      </c>
      <c r="B79" s="6" t="n"/>
      <c r="C79" s="6" t="n"/>
      <c r="D79" s="6" t="n"/>
      <c r="E79" s="6" t="n">
        <v>-150000</v>
      </c>
      <c r="F79" s="6" t="n">
        <v>-150000</v>
      </c>
    </row>
    <row r="80">
      <c r="A80" s="5" t="inlineStr">
        <is>
          <t>At 31 December 2022 (FY2022 closing)</t>
        </is>
      </c>
      <c r="B80" s="5" t="n">
        <v>340000</v>
      </c>
      <c r="C80" s="5" t="n">
        <v>89654</v>
      </c>
      <c r="D80" s="5" t="n">
        <v>37201</v>
      </c>
      <c r="E80" s="5" t="n">
        <v>299369</v>
      </c>
      <c r="F80" s="5" t="n">
        <v>766224</v>
      </c>
    </row>
    <row r="81">
      <c r="A81" s="6" t="inlineStr">
        <is>
          <t>Profit for the year</t>
        </is>
      </c>
      <c r="B81" s="6" t="n"/>
      <c r="C81" s="6" t="n"/>
      <c r="D81" s="6" t="n"/>
      <c r="E81" s="6" t="n">
        <v>314</v>
      </c>
      <c r="F81" s="6" t="n">
        <v>314</v>
      </c>
    </row>
    <row r="82">
      <c r="A82" s="6" t="inlineStr">
        <is>
          <t>Remeasurement loss on net defined benefit liability</t>
        </is>
      </c>
      <c r="B82" s="6" t="n"/>
      <c r="C82" s="6" t="n"/>
      <c r="D82" s="6" t="n"/>
      <c r="E82" s="6" t="n">
        <v>-22</v>
      </c>
      <c r="F82" s="6" t="n">
        <v>-22</v>
      </c>
    </row>
    <row r="83">
      <c r="A83" s="6" t="inlineStr">
        <is>
          <t>Foreign currency translation differences arising during the year</t>
        </is>
      </c>
      <c r="B83" s="6" t="n"/>
      <c r="C83" s="6" t="n"/>
      <c r="D83" s="6" t="n">
        <v>-15179</v>
      </c>
      <c r="E83" s="6" t="n"/>
      <c r="F83" s="6" t="n">
        <v>-15179</v>
      </c>
    </row>
    <row r="84">
      <c r="A84" s="6" t="inlineStr">
        <is>
          <t>Gain arising on hedging instruments designated in net investment hedges</t>
        </is>
      </c>
      <c r="B84" s="6" t="n"/>
      <c r="C84" s="6" t="n"/>
      <c r="D84" s="6" t="n">
        <v>14646</v>
      </c>
      <c r="E84" s="6" t="n"/>
      <c r="F84" s="6" t="n">
        <v>14646</v>
      </c>
    </row>
    <row r="85">
      <c r="A85" s="5" t="inlineStr">
        <is>
          <t>At 31 December 2023 (FY2023 closing)</t>
        </is>
      </c>
      <c r="B85" s="5" t="n">
        <v>340000</v>
      </c>
      <c r="C85" s="5" t="n">
        <v>89654</v>
      </c>
      <c r="D85" s="5" t="n">
        <v>36668</v>
      </c>
      <c r="E85" s="5" t="n">
        <v>299661</v>
      </c>
      <c r="F85" s="5" t="n">
        <v>765983</v>
      </c>
    </row>
    <row r="86">
      <c r="A86" s="6" t="inlineStr">
        <is>
          <t>Profit for the year</t>
        </is>
      </c>
      <c r="B86" s="6" t="n"/>
      <c r="C86" s="6" t="n"/>
      <c r="D86" s="6" t="n"/>
      <c r="E86" s="6" t="n">
        <v>45781</v>
      </c>
      <c r="F86" s="6" t="n">
        <v>45781</v>
      </c>
    </row>
    <row r="87">
      <c r="A87" s="6" t="inlineStr">
        <is>
          <t>Remeasurement gain on net defined benefit liability</t>
        </is>
      </c>
      <c r="B87" s="6" t="n"/>
      <c r="C87" s="6" t="n"/>
      <c r="D87" s="6" t="n"/>
      <c r="E87" s="6" t="n">
        <v>21</v>
      </c>
      <c r="F87" s="6" t="n">
        <v>21</v>
      </c>
    </row>
    <row r="88">
      <c r="A88" s="6" t="inlineStr">
        <is>
          <t>Foreign currency translation differences arising during the year</t>
        </is>
      </c>
      <c r="B88" s="6" t="n"/>
      <c r="C88" s="6" t="n"/>
      <c r="D88" s="6" t="n">
        <v>-19706</v>
      </c>
      <c r="E88" s="6" t="n"/>
      <c r="F88" s="6" t="n">
        <v>-19706</v>
      </c>
    </row>
    <row r="89">
      <c r="A89" s="6" t="inlineStr">
        <is>
          <t>Gain arising on hedging instruments designated in net investment hedges</t>
        </is>
      </c>
      <c r="B89" s="6" t="n"/>
      <c r="C89" s="6" t="n"/>
      <c r="D89" s="6" t="n">
        <v>18406</v>
      </c>
      <c r="E89" s="6" t="n"/>
      <c r="F89" s="6" t="n">
        <v>18406</v>
      </c>
    </row>
    <row r="90">
      <c r="A90" s="5" t="inlineStr">
        <is>
          <t>At 31 December 2024 (FY2024 closing)</t>
        </is>
      </c>
      <c r="B90" s="5" t="n">
        <v>340000</v>
      </c>
      <c r="C90" s="5" t="n">
        <v>89654</v>
      </c>
      <c r="D90" s="5" t="n">
        <v>35368</v>
      </c>
      <c r="E90" s="5" t="n">
        <v>345463</v>
      </c>
      <c r="F90" s="5" t="n">
        <v>810485</v>
      </c>
    </row>
    <row r="91">
      <c r="A91" s="6" t="inlineStr">
        <is>
          <t>Profit for the year</t>
        </is>
      </c>
      <c r="B91" s="6" t="n"/>
      <c r="C91" s="6" t="n"/>
      <c r="D91" s="6" t="n"/>
      <c r="E91" s="6" t="n">
        <v>37579</v>
      </c>
      <c r="F91" s="6" t="n">
        <v>37579</v>
      </c>
    </row>
    <row r="92">
      <c r="A92" s="6" t="inlineStr">
        <is>
          <t>Remeasurement gain on net defined benefit liability</t>
        </is>
      </c>
      <c r="B92" s="6" t="n"/>
      <c r="C92" s="6" t="n"/>
      <c r="D92" s="6" t="n"/>
      <c r="E92" s="6" t="n">
        <v>40</v>
      </c>
      <c r="F92" s="6" t="n">
        <v>40</v>
      </c>
    </row>
    <row r="93">
      <c r="A93" s="6" t="inlineStr">
        <is>
          <t>Foreign currency translation differences arising during the year</t>
        </is>
      </c>
      <c r="B93" s="6" t="n"/>
      <c r="C93" s="6" t="n"/>
      <c r="D93" s="6" t="n">
        <v>-8951</v>
      </c>
      <c r="E93" s="6" t="n"/>
      <c r="F93" s="6" t="n">
        <v>-8951</v>
      </c>
    </row>
    <row r="94">
      <c r="A94" s="6" t="inlineStr">
        <is>
          <t>Gain arising on hedging instruments designated in net investment hedges</t>
        </is>
      </c>
      <c r="B94" s="6" t="n"/>
      <c r="C94" s="6" t="n"/>
      <c r="D94" s="6" t="n">
        <v>8748</v>
      </c>
      <c r="E94" s="6" t="n"/>
      <c r="F94" s="6" t="n">
        <v>8748</v>
      </c>
    </row>
    <row r="95">
      <c r="A95" s="6" t="inlineStr">
        <is>
          <t>Dividends</t>
        </is>
      </c>
      <c r="B95" s="6" t="n"/>
      <c r="C95" s="6" t="n"/>
      <c r="D95" s="6" t="n"/>
      <c r="E95" s="6" t="n">
        <v>-100000</v>
      </c>
      <c r="F95" s="6" t="n">
        <v>-100000</v>
      </c>
    </row>
    <row r="96">
      <c r="A96" s="5" t="inlineStr">
        <is>
          <t>At 31 December 2025 (FY2025 closing)</t>
        </is>
      </c>
      <c r="B96" s="5" t="n">
        <v>340000</v>
      </c>
      <c r="C96" s="5" t="n">
        <v>89654</v>
      </c>
      <c r="D96" s="5" t="n">
        <v>35165</v>
      </c>
      <c r="E96" s="5" t="n">
        <v>283082</v>
      </c>
      <c r="F96" s="5" t="n">
        <v>747901</v>
      </c>
    </row>
    <row r="98" ht="390" customHeight="1">
      <c r="A98"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(Income Statement, Statement of Comprehensive Income, Statement of Financial Position, Statement of Changes in Equity, and Note 28 credit risk disclosures):
FY2025: Annual Report and Financial Statements for year ended 31 December 2025, pp.43-46, 76-77 — https://find-and-update.company-information.service.gov.uk/company/03722571/filing-history/MzUxNTMzMjAyMmFkaXF6a2N4/document?format=pdf&amp;download=0
FY2024: Annual Report and Financial Statements for year ended 31 December 2024, pp.42-45, 74-75 — https://find-and-update.company-information.service.gov.uk/company/03722571/filing-history/MzQ2MjkyNzg4N2FkaXF6a2N4/document?format=pdf&amp;download=0
FY2023: Annual Report and Financial Statements for year ended 31 December 2023 (via FY2024 report's own FY2023 comparative columns, pp.42-45, 74-75) — https://find-and-update.company-information.service.gov.uk/company/03722571/filing-history/MzQ2MjkyNzg4N2FkaXF6a2N4/document?format=pdf&amp;download=0
FY2022: Annual Report and Financial Statements for year ended 31 December 2022, pp.39-43, 71-72 — https://find-and-update.company-information.service.gov.uk/company/03722571/filing-history/MzM3ODM5NTg1NmFkaXF6a2N4/document?format=pdf&amp;download=0
FY2021: Annual Report and Financial Statements for year ended 31 December 2021 (via FY2022 report's own FY2021 comparative columns, pp.39-43, 71-72) — https://find-and-update.company-information.service.gov.uk/company/03722571/filing-history/MzM3ODM5NTg1NmFkaXF6a2N4/document?format=pdf&amp;download=0
FY2020: Annual Report and Financial Statements for year ended 31 December 2020, pp.53-56, 90-94 (Income Statement, Statement of Comprehensive Income, Statement of Changes in Equity, Statement of Financial Position, Note 35 credit risk) — https://find-and-update.company-information.service.gov.uk/company/03722571/filing-history/MzMwMTE4OTc0MWFkaXF6a2N4/document?format=pdf&amp;download=0
FY2019: via the FY2020 report's own FY2019 comparative columns, pp.53-56, 90-94 — https://find-and-update.company-information.service.gov.uk/company/03722571/filing-history/MzMwMTE4OTc0MWFkaXF6a2N4/document?format=pdf&amp;download=0
FY2018: Annual Report and Financial Statements for year ended 31 December 2018, pp.29-32, 74-76 (Income Statement, Statement of Comprehensive Income, Statement of Changes in Equity, Statement of Financial Position, Note 32 credit risk) — https://find-and-update.company-information.service.gov.uk/company/03722571/filing-history/MzIzMzQ0NTc3NWFkaXF6a2N4/document?format=pdf&amp;download=0
FY2017: via the FY2018 report's own FY2017 comparative columns (pp.29-32, 76) and the Company's own FY2017 Annual Report, pp.27-30, 64 (Note 28 credit risk) — https://find-and-update.company-information.service.gov.uk/company/03722571/filing-history/MzIzMzQ0NTc3NWFkaXF6a2N4/document?format=pdf&amp;download=0 / https://find-and-update.company-information.service.gov.uk/company/03722571/filing-history/MzIwNDA4MDg1M2FkaXF6a2N4/document?format=pdf&amp;download=0
FY2016: via the FY2017 report's own FY2016 comparative columns (pp.27-30, 64) and the Company's own FY2016 Annual Report, pp.16-19, 51 (Note 28 credit risk) — https://find-and-update.company-information.service.gov.uk/company/03722571/filing-history/MzIwNDA4MDg1M2FkaXF6a2N4/document?format=pdf&amp;download=0 / https://find-and-update.company-information.service.gov.uk/company/03722571/filing-history/MzE3NTI3MTY1OWFkaXF6a2N4/document?format=pdf&amp;download=0
FY2015: via the FY2016 report's own FY2015 comparative columns, pp.16-19, 51-52 — https://find-and-update.company-information.service.gov.uk/company/03722571/filing-history/MzE3NTI3MTY1OWFkaXF6a2N4/document?format=pdf&amp;download=0</t>
        </is>
      </c>
    </row>
    <row r="100" ht="403" customHeight="1">
      <c r="A100" s="8" t="inlineStr">
        <is>
          <t>(continued)
FY2014: Annual Report and Financial Statements for year ended 31 December 2014, pp.15-17, 51 (Profit and Loss Account, Statement of Total Recognised Gains and Losses, Balance Sheet, Note 29 credit risk) — https://find-and-update.company-information.service.gov.uk/company/03722571/filing-history/MzEyMjM5NTcyOWFkaXF6a2N4/document?format=pdf&amp;download=0. This is the earliest UK GAAP/FRS 101-era filing before this entity switched to the Income Statement/Statement of Comprehensive Income/Statement of Changes in Equity naming used from FY2015 onward; FY2014 also uniquely presents a continuing/discontinued-operations split (the Company's Investment Management and Wealth Management segments were both transferred out or closed during FY2014) - the Profit &amp; Loss sheet uses the FY2014 report's own Total columns (continuing + discontinued combined).
The Company takes the FRS 101 reduced-disclosure exemption from presenting a cash-flow statement. Blank or non-disclosed entries are not estimates or zeros. FY2014-FY2017 predate IFRS 9 (adopted 1 January 2018): those years' credit-risk note uses the incurred-loss 'individually impaired' concept rather than ECL staging, and the Asset Quality sheet reflects this distinction explicitly rather than forcing a Stage 1/Stage 3 label onto pre-IFRS 9 disclosures. A genuine, material FY2014 finding: one borrower's entry into administration in March 2014 drove an £83,173k impairment loss on loans and advances to customers that year (gross £111,239k, net carrying £28,066k) - materially larger than the de minimis impaired balances (£1,674k FY2015, £126k FY2016, £131k FY2017) seen in every other year reviewed.
FY2013: Annual Report and Financial Statements for year ended 31 December 2013, pp.15-18 (Profit and Loss Account, Statement of Total Recognised Gains and Losses, Balance Sheet) — https://find-and-update.company-information.service.gov.uk/company/03722571/filing-history/MzA5OTE2NDI1N2FkaXF6a2N4/document?format=pdf&amp;download=0
FY2012: via the FY2013 Annual Report's own FY2012 comparative columns, pp.15-18 — https://find-and-update.company-information.service.gov.uk/company/03722571/filing-history/MzA5OTE2NDI1N2FkaXF6a2N4/document?format=pdf&amp;download=0
FY2011: Annual Report and Financial Statements for year ended 31 December 2011, pp.13-15 — https://find-and-update.company-information.service.gov.uk/company/03722571/filing-history/MzA1NzUxOTkzNGFkaXF6a2N4/document?format=pdf&amp;download=0
FY2010: via the FY2011 Annual Report's own FY2010 comparative columns, pp.13-15 — https://find-and-update.company-information.service.gov.uk/company/03722571/filing-history/MzA1NzUxOTkzNGFkaXF6a2N4/document?format=pdf&amp;download=0
FY2009: Annual Report and Financial Statements for year ended 31 December 2009, pp.7-9, Note 25 p.28 (reconciliation of shareholders' funds and movements on reserves) — https://find-and-update.company-information.service.gov.uk/company/03722571/filing-history/MzAxNjAzOTk5M2FkaXF6a2N4/document?format=pdf&amp;download=0
HD-073 (2026-09-06) HISTORICAL SOURCING NOTE (FY2009-FY2013): Balance Sheet, Profit &amp; Loss, and Statement of Changes in Equity only (Pillar 3, Asset Quality, and RWA Breakdown stay FY2014-onward, unchanged). Re-verified via each year's own Companies House statutory filing (company 03722571), all genuine scanned/no-text-layer filings transcribed directly from the rendered pages, same as the existing FY2014-FY2020 sourcing: FY2013/FY2012 from the FY2013 Annual Report (pp.15-18) — https://find-and-update.company-information.service.gov.uk/company/03722571/filing-history/MzA5OTE2NDI1N2FkaXF6a2N4/document?format=pdf&amp;download=0; FY2011/FY2010 from the FY2011 Annual Report (pp.13-16) — https://find-and-update.company-information.service.gov.uk/company/03722571/filing-history/MzA1NzUxOTkzNGFkaXF6a2N4/document?format=pdf&amp;download=0; FY2009 from the FY2009 Annual Report (pp.7-9, and Note 25 p.28 for the equity reconciliation) — https://find-and-update.company-information.service.gov.uk/company/03722571/filing-history/MzAxNjAzOTk5M2FkaXF6a2N4/document?format=pdf&amp;download=0. The Company takes the FRS 101/predecessor reduced-disclosure exemption from presenting a cash-flow statement in every one of these years too - confirmed directly against each year's own Contents page (Profit and loss account / Statement of total recognised gains and losses / Balance sheet only, no cash flow statement listed), not merely carried forward from the FY2014-FY2020 finding. No years self-skipped.</t>
        </is>
      </c>
    </row>
    <row r="102" ht="150" customHeight="1">
      <c r="A102" s="8" t="inlineStr">
        <is>
          <t>(continued)
FY2013/FY2012 continuing/discontinued-operations split: the FY2013 Annual Report itself already splits continuing vs discontinued operations (the Wealth Management segment was substantially sold during FY2013/FY2014), consistent with the existing FY2014 note above - the Profit &amp; Loss sheet uses the FY2013 report's own Total columns (continuing + discontinued combined) for both FY2013 and its FY2012 comparative.
FY2009 Balance Sheet structural note: the FY2009 Annual Report's own equity section discloses a distinct 'Pension reserve' component (£252k at 31 December 2009) not present as a separate line in any later year's Balance Sheet (folded into the Profit and loss account line from FY2010 onward per that year's own report) - shown here as its own row rather than silently merged, and the FY2009 closing Total equity of £841,906k ties exactly to both components disclosed. FY2009 also does not separately disclose 'Reverse repurchase agreements' as an asset-side line or 'Repurchase agreements' as a liability-side line (both fold into the broader loans-and-advances/other-liabilities figures that year); these lines first appear as their own rows from FY2010 onward - a genuine presentational difference confirmed directly against the FY2009 report's own Balance Sheet, not an omission.</t>
        </is>
      </c>
    </row>
  </sheetData>
  <mergeCells count="3">
    <mergeCell ref="A102:F102"/>
    <mergeCell ref="A98:F98"/>
    <mergeCell ref="A100:F10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Morgan Stanley Bank International Limited — Statement of Cash Flows</t>
        </is>
      </c>
    </row>
    <row r="2">
      <c r="A2" s="2" t="inlineStr">
        <is>
          <t>Not presented — the Company takes the FRS 101 reduced-disclosure exemption from presenting a cash-flow statement, in every year covered. Standalone Company basis. Every year column carries that statement rather than being left blank.</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row>
    <row r="4">
      <c r="A4" s="6" t="inlineStr">
        <is>
          <t>Statement of Cash Flows</t>
        </is>
      </c>
      <c r="B4" s="6" t="inlineStr">
        <is>
          <t>Not applicable - FRS 101 cash-flow-statement exemption</t>
        </is>
      </c>
      <c r="C4" s="6" t="inlineStr">
        <is>
          <t>Not applicable - FRS 101 cash-flow-statement exemption</t>
        </is>
      </c>
      <c r="D4" s="6" t="inlineStr">
        <is>
          <t>Not applicable - FRS 101 cash-flow-statement exemption</t>
        </is>
      </c>
      <c r="E4" s="6" t="inlineStr">
        <is>
          <t>Not applicable - FRS 101 cash-flow-statement exemption</t>
        </is>
      </c>
      <c r="F4" s="6" t="inlineStr">
        <is>
          <t>Not applicable - FRS 101 cash-flow-statement exemption</t>
        </is>
      </c>
      <c r="G4" s="6" t="inlineStr">
        <is>
          <t>Not applicable - FRS 101 cash-flow-statement exemption</t>
        </is>
      </c>
      <c r="H4" s="6" t="inlineStr">
        <is>
          <t>Not applicable - FRS 101 cash-flow-statement exemption</t>
        </is>
      </c>
      <c r="I4" s="6" t="inlineStr">
        <is>
          <t>Not applicable - FRS 101 cash-flow-statement exemption</t>
        </is>
      </c>
      <c r="J4" s="6" t="inlineStr">
        <is>
          <t>Not applicable - FRS 101 cash-flow-statement exemption</t>
        </is>
      </c>
      <c r="K4" s="6" t="inlineStr">
        <is>
          <t>Not applicable - FRS 101 cash-flow-statement exemption</t>
        </is>
      </c>
      <c r="L4" s="6" t="inlineStr">
        <is>
          <t>Not applicable - FRS 101 cash-flow-statement exemption</t>
        </is>
      </c>
      <c r="M4" s="6" t="inlineStr">
        <is>
          <t>Not applicable - FRS 101 cash-flow-statement exemption</t>
        </is>
      </c>
      <c r="N4" s="6" t="inlineStr">
        <is>
          <t>Not applicable - FRS 101 cash-flow-statement exemption</t>
        </is>
      </c>
      <c r="O4" s="6" t="inlineStr">
        <is>
          <t>Not applicable - FRS 101 cash-flow-statement exemption</t>
        </is>
      </c>
      <c r="P4" s="6" t="inlineStr">
        <is>
          <t>Not applicable - FRS 101 cash-flow-statement exemption</t>
        </is>
      </c>
      <c r="Q4" s="6" t="inlineStr">
        <is>
          <t>Not applicable - FRS 101 cash-flow-statement exemption</t>
        </is>
      </c>
      <c r="R4" s="6" t="inlineStr">
        <is>
          <t>Not applicable - FRS 101 cash-flow-statement exemption</t>
        </is>
      </c>
    </row>
    <row r="6" ht="390" customHeight="1">
      <c r="A6" s="8" t="inlineStr">
        <is>
          <t>FRS 101 CASH-FLOW EXEMPTION, VERIFIED AGAINST THE SOURCE 2026-09-18 (GA-006). Morgan Stanley Bank International Limited prepares its accounts under UK GAAP including Financial Reporting Standard 101 'Reduced Disclosure Framework', and takes the exemption from presenting a cash-flow statement. This is quoted rather than inferred. The FY2025 Annual Report, note 2 'Basis of preparation', printed p.47, reads: 'The Company ... is a Financial Institution as defined in FRS 101 Reduced Disclosure Framework. The Company has taken advantage of certain disclosure exemptions under FRS 101 in relation to share-based payments, fair value measurement (as applicable to assets and liabilities other than financial instruments), revenue from contracts with customers, presentation of comparative information in respect of certain assets and shares outstanding, PRESENTATION OF A CASH-FLOW STATEMENT, accounting standards not yet effective, related party transactions, and leases.' The qualifying-entity condition is stated in the same note: 'The results of the Company are included within the financial statements of Morgan Stanley, which has prepared consolidated financial statements for the year ended 31 December 2025.'
So these 17 blanks are a formal exemption the Company is entitled to and states, not a sourcing gap and not a failed search - there is no cash-flow statement to find, in any year. No parent-group cash flows are substituted in its place.
EXTRACTION NOTE: the Companies House filing is a go-tiff2pdf image scan with no text layer (98 pages, pdftotext returns zero characters), so the wording above was read from 250/300dpi renderings. A whole-document grep of that PDF returns zero hits for 'FRS 101' and would be meaningless - it returns zero for every term, the document having no text at all.
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
HD-073 (2026-09-06) HISTORICAL SOURCING NOTE (FY2009-FY2013): Balance Sheet, Profit &amp; Loss, and Statement of Changes in Equity only (Pillar 3, Asset Quality, and RWA Breakdown stay FY2014-onward, unchanged). Re-verified via each year's own Companies House statutory filing (company 03722571), all genuine scanned/no-text-layer filings transcribed directly from the rendered pages, same as the existing FY2014-FY2020 sourcing: FY2013/FY2012 from the FY2013 Annual Report (pp.15-18) — https://find-and-update.company-information.service.gov.uk/company/03722571/filing-history/MzA5OTE2NDI1N2FkaXF6a2N4/document?format=pdf&amp;download=0; FY2011/FY2010 from the FY2011 Annual Report (pp.13-16) — https://find-and-update.company-information.service.gov.uk/company/03722571/filing-history/MzA1NzUxOTkzNGFkaXF6a2N4/document?format=pdf&amp;download=0; FY2009 from the FY2009 Annual Report (pp.7-9, and Note 25 p.28 for the equity reconciliation) — https://find-and-update.company-information.service.gov.uk/company/03722571/filing-history/MzAxNjAzOTk5M2FkaXF6a2N4/document?format=pdf&amp;download=0. The Company takes the FRS 101/predecessor reduced-disclosure exemption from presenting a cash-flow statement in every one of these years too - confirmed directly against each year's own Contents page (Profit and loss account / Statement of total recognised gains and losses / Balance sheet only, no cash flow statement listed), not merely carried forward from the FY2014-FY2020 finding. No years self-skipped.</t>
        </is>
      </c>
    </row>
    <row r="8" ht="220" customHeight="1">
      <c r="A8" s="8" t="inlineStr">
        <is>
          <t>(continued)
FY2013/FY2012 continuing/discontinued-operations split: the FY2013 Annual Report itself already splits continuing vs discontinued operations (the Wealth Management segment was substantially sold during FY2013/FY2014), consistent with the existing FY2014 note above - the Profit &amp; Loss sheet uses the FY2013 report's own Total columns (continuing + discontinued combined) for both FY2013 and its FY2012 comparative.
FY2009 Balance Sheet structural note: the FY2009 Annual Report's own equity section discloses a distinct 'Pension reserve' component (£252k at 31 December 2009) not present as a separate line in any later year's Balance Sheet (folded into the Profit and loss account line from FY2010 onward per that year's own report) - shown here as its own row rather than silently merged, and the FY2009 closing Total equity of £841,906k ties exactly to both components disclosed. FY2009 also does not separately disclose 'Reverse repurchase agreements' as an asset-side line or 'Repurchase agreements' as a liability-side line (both fold into the broader loans-and-advances/other-liabilities figures that year); these lines first appear as their own rows from FY2010 onward - a genuine presentational difference confirmed directly against the FY2009 report's own Balance Sheet, not an omission.</t>
        </is>
      </c>
    </row>
  </sheetData>
  <mergeCells count="2">
    <mergeCell ref="A8:R8"/>
    <mergeCell ref="A6:R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Morgan Stanley Bank International Limited — Asset Quality</t>
        </is>
      </c>
    </row>
    <row r="2">
      <c r="A2" s="2" t="inlineStr">
        <is>
          <t>Exposure to credit risk by class, external counterparties only. £'000. Morgan Stanley Group undertaking exposures (Secured financing, and large portions of Loans and advances to banks/customers) are separately disclosed each year but are fully covered by intercompany collateral or the Morgan Stanley parent guarantee, leaving £nil net exposure — excluded here as not third-party credit risk. All exposures subject to ECL are internally rated Stage 1 in every IFRS 9-era year reviewed (£nil Stage 3/default; FY2020 carried a small ~£3.0m Stage 2 loan commitment balance, immaterial to the total) — a wholesale/broker-dealer credit profile, not a retail loan book. FY2014-FY2017 predate IFRS 9 (adopted 1 January 2018) and used the incurred-loss 'individually impaired' concept instead of ECL staging; those years' Stage 1/Stage 3 cells are left blank (the concept did not exist yet) and a separate row reports the actual pre-IFRS 9 impaired balance. FY2014 is a genuine, material outlier: one borrower's entry into administration in March 2014 drove an £83,173k impairment loss (gross exposure £111,239k, net carrying £28,066k) — over 800x the impaired balances seen in FY2015-FY2017 (£1,674k/£126k/£131k) — a real credit event in the source documents, not a transcription error.</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Exposure to credit risk by class, subject to ECL / gross credit exposure (external counterparties only)</t>
        </is>
      </c>
      <c r="B4" s="6" t="n"/>
      <c r="C4" s="6" t="n"/>
      <c r="D4" s="6" t="n"/>
      <c r="E4" s="6" t="n"/>
      <c r="F4" s="6" t="n"/>
      <c r="G4" s="6" t="n"/>
      <c r="H4" s="6" t="n"/>
      <c r="I4" s="6" t="n"/>
      <c r="J4" s="6" t="n"/>
      <c r="K4" s="6" t="n"/>
      <c r="L4" s="6" t="n"/>
      <c r="M4" s="6" t="n"/>
    </row>
    <row r="5">
      <c r="A5" s="6" t="inlineStr">
        <is>
          <t>Cash and balances at central banks</t>
        </is>
      </c>
      <c r="B5" s="6" t="n">
        <v>24687</v>
      </c>
      <c r="C5" s="6" t="n">
        <v>17404</v>
      </c>
      <c r="D5" s="6" t="n">
        <v>6870</v>
      </c>
      <c r="E5" s="6" t="n">
        <v>47133</v>
      </c>
      <c r="F5" s="6" t="n">
        <v>20144</v>
      </c>
      <c r="G5" s="6" t="n">
        <v>14613</v>
      </c>
      <c r="H5" s="6" t="n">
        <v>122601</v>
      </c>
      <c r="I5" s="6" t="n">
        <v>15</v>
      </c>
      <c r="J5" s="6" t="n">
        <v>52687</v>
      </c>
      <c r="K5" s="6" t="n">
        <v>63784</v>
      </c>
      <c r="L5" s="6" t="n">
        <v>30279</v>
      </c>
      <c r="M5" s="6" t="n">
        <v>3308</v>
      </c>
    </row>
    <row r="6">
      <c r="A6" s="6" t="inlineStr">
        <is>
          <t>Loans and advances to banks — external counterparties</t>
        </is>
      </c>
      <c r="B6" s="6" t="n">
        <v>133463</v>
      </c>
      <c r="C6" s="6" t="n">
        <v>205239</v>
      </c>
      <c r="D6" s="6" t="n">
        <v>181342</v>
      </c>
      <c r="E6" s="6" t="n">
        <v>169755</v>
      </c>
      <c r="F6" s="6" t="n">
        <v>124091</v>
      </c>
      <c r="G6" s="6" t="n">
        <v>330642</v>
      </c>
      <c r="H6" s="6" t="n">
        <v>131145</v>
      </c>
      <c r="I6" s="6" t="n">
        <v>106124</v>
      </c>
      <c r="J6" s="6" t="n">
        <v>144462</v>
      </c>
      <c r="K6" s="6" t="n">
        <v>154943</v>
      </c>
      <c r="L6" s="6" t="n">
        <v>89402</v>
      </c>
      <c r="M6" s="6" t="n">
        <v>150932</v>
      </c>
    </row>
    <row r="7">
      <c r="A7" s="6" t="inlineStr">
        <is>
          <t>Loans and advances to customers — external counterparties</t>
        </is>
      </c>
      <c r="B7" s="6" t="n">
        <v>156</v>
      </c>
      <c r="C7" s="6" t="n">
        <v>40747</v>
      </c>
      <c r="D7" s="6" t="n">
        <v>226</v>
      </c>
      <c r="E7" s="6" t="n">
        <v>285</v>
      </c>
      <c r="F7" s="6" t="n">
        <v>0</v>
      </c>
      <c r="G7" s="6" t="n">
        <v>7206</v>
      </c>
      <c r="H7" s="6" t="n">
        <v>28437</v>
      </c>
      <c r="I7" s="6" t="n">
        <v>31845</v>
      </c>
      <c r="J7" s="6" t="n">
        <v>95640</v>
      </c>
      <c r="K7" s="6" t="n">
        <v>82865</v>
      </c>
      <c r="L7" s="6" t="n">
        <v>81932</v>
      </c>
      <c r="M7" s="6" t="n">
        <v>431190</v>
      </c>
    </row>
    <row r="8">
      <c r="A8" s="6" t="inlineStr">
        <is>
          <t>Other receivables</t>
        </is>
      </c>
      <c r="B8" s="6" t="n">
        <v>16304</v>
      </c>
      <c r="C8" s="6" t="n">
        <v>20082</v>
      </c>
      <c r="D8" s="6" t="n">
        <v>34100</v>
      </c>
      <c r="E8" s="6" t="n">
        <v>30374</v>
      </c>
      <c r="F8" s="6" t="n">
        <v>22811</v>
      </c>
      <c r="G8" s="6" t="n">
        <v>13774</v>
      </c>
      <c r="H8" s="6" t="n">
        <v>10013</v>
      </c>
      <c r="I8" s="6" t="n">
        <v>16071</v>
      </c>
      <c r="J8" s="6" t="n">
        <v>29716</v>
      </c>
      <c r="K8" s="6" t="n">
        <v>11526</v>
      </c>
      <c r="L8" s="6" t="n">
        <v>19736</v>
      </c>
      <c r="M8" s="6" t="n">
        <v>23098</v>
      </c>
    </row>
    <row r="9">
      <c r="A9" s="5" t="inlineStr">
        <is>
          <t>Total gross credit exposure (external)</t>
        </is>
      </c>
      <c r="B9" s="5" t="n">
        <v>174610</v>
      </c>
      <c r="C9" s="5" t="n">
        <v>283472</v>
      </c>
      <c r="D9" s="5" t="n">
        <v>222538</v>
      </c>
      <c r="E9" s="5" t="n">
        <v>247547</v>
      </c>
      <c r="F9" s="5" t="n">
        <v>167046</v>
      </c>
      <c r="G9" s="5" t="n">
        <v>366235</v>
      </c>
      <c r="H9" s="5" t="n">
        <v>292196</v>
      </c>
      <c r="I9" s="5" t="n">
        <v>154055</v>
      </c>
      <c r="J9" s="5" t="n">
        <v>322505</v>
      </c>
      <c r="K9" s="5" t="n">
        <v>313118</v>
      </c>
      <c r="L9" s="5" t="n">
        <v>221349</v>
      </c>
      <c r="M9" s="5" t="n">
        <v>608528</v>
      </c>
    </row>
    <row r="10">
      <c r="A10" s="6" t="inlineStr">
        <is>
          <t>Of which: Stage 1 (IFRS 9, FY2018 onward)</t>
        </is>
      </c>
      <c r="B10" s="6" t="inlineStr">
        <is>
          <t>100%</t>
        </is>
      </c>
      <c r="C10" s="6" t="inlineStr">
        <is>
          <t>100%</t>
        </is>
      </c>
      <c r="D10" s="6" t="inlineStr">
        <is>
          <t>100%</t>
        </is>
      </c>
      <c r="E10" s="6" t="inlineStr">
        <is>
          <t>100%</t>
        </is>
      </c>
      <c r="F10" s="6" t="inlineStr">
        <is>
          <t>100%</t>
        </is>
      </c>
      <c r="G10" s="6" t="inlineStr">
        <is>
          <t>~99%</t>
        </is>
      </c>
      <c r="H10" s="6" t="inlineStr">
        <is>
          <t>100%</t>
        </is>
      </c>
      <c r="I10" s="6" t="inlineStr">
        <is>
          <t>100%</t>
        </is>
      </c>
      <c r="J10" s="6" t="n"/>
      <c r="K10" s="6" t="n"/>
      <c r="L10" s="6" t="n"/>
      <c r="M10" s="6" t="n"/>
    </row>
    <row r="11">
      <c r="A11" s="6" t="inlineStr">
        <is>
          <t>Of which: Stage 3 / default (NPL ratio, IFRS 9, FY2018 onward)</t>
        </is>
      </c>
      <c r="B11" s="6" t="inlineStr">
        <is>
          <t>0.0%</t>
        </is>
      </c>
      <c r="C11" s="6" t="inlineStr">
        <is>
          <t>0.0%</t>
        </is>
      </c>
      <c r="D11" s="6" t="inlineStr">
        <is>
          <t>0.0%</t>
        </is>
      </c>
      <c r="E11" s="6" t="inlineStr">
        <is>
          <t>0.0%</t>
        </is>
      </c>
      <c r="F11" s="6" t="inlineStr">
        <is>
          <t>0.0%</t>
        </is>
      </c>
      <c r="G11" s="6" t="inlineStr">
        <is>
          <t>0.0%</t>
        </is>
      </c>
      <c r="H11" s="6" t="inlineStr">
        <is>
          <t>0.0%</t>
        </is>
      </c>
      <c r="I11" s="6" t="inlineStr">
        <is>
          <t>0.0%</t>
        </is>
      </c>
      <c r="J11" s="6" t="n"/>
      <c r="K11" s="6" t="n"/>
      <c r="L11" s="6" t="n"/>
      <c r="M11" s="6" t="n"/>
    </row>
    <row r="12">
      <c r="A12" s="6" t="inlineStr">
        <is>
          <t>Individually impaired loans and advances to customers, gross (pre-IFRS 9, FY2014-FY2017)</t>
        </is>
      </c>
      <c r="B12" s="6" t="n"/>
      <c r="C12" s="6" t="n"/>
      <c r="D12" s="6" t="n"/>
      <c r="E12" s="6" t="n"/>
      <c r="F12" s="6" t="n"/>
      <c r="G12" s="6" t="n"/>
      <c r="H12" s="6" t="n"/>
      <c r="I12" s="6" t="n"/>
      <c r="J12" s="6" t="n">
        <v>131</v>
      </c>
      <c r="K12" s="6" t="n">
        <v>126</v>
      </c>
      <c r="L12" s="6" t="n">
        <v>1674</v>
      </c>
      <c r="M12" s="6" t="n">
        <v>111239</v>
      </c>
    </row>
    <row r="14" ht="325" customHeight="1">
      <c r="A14"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(Income Statement, Statement of Comprehensive Income, Statement of Financial Position, Statement of Changes in Equity, and Note 28 credit risk disclosures):
FY2025: Annual Report and Financial Statements for year ended 31 December 2025, pp.43-46, 76-77 — https://find-and-update.company-information.service.gov.uk/company/03722571/filing-history/MzUxNTMzMjAyMmFkaXF6a2N4/document?format=pdf&amp;download=0
FY2024: Annual Report and Financial Statements for year ended 31 December 2024, pp.42-45, 74-75 — https://find-and-update.company-information.service.gov.uk/company/03722571/filing-history/MzQ2MjkyNzg4N2FkaXF6a2N4/document?format=pdf&amp;download=0
FY2023: Annual Report and Financial Statements for year ended 31 December 2023 (via FY2024 report's own FY2023 comparative columns, pp.42-45, 74-75) — https://find-and-update.company-information.service.gov.uk/company/03722571/filing-history/MzQ2MjkyNzg4N2FkaXF6a2N4/document?format=pdf&amp;download=0
FY2022: Annual Report and Financial Statements for year ended 31 December 2022, pp.39-43, 71-72 — https://find-and-update.company-information.service.gov.uk/company/03722571/filing-history/MzM3ODM5NTg1NmFkaXF6a2N4/document?format=pdf&amp;download=0
FY2021: Annual Report and Financial Statements for year ended 31 December 2021 (via FY2022 report's own FY2021 comparative columns, pp.39-43, 71-72) — https://find-and-update.company-information.service.gov.uk/company/03722571/filing-history/MzM3ODM5NTg1NmFkaXF6a2N4/document?format=pdf&amp;download=0
FY2020: Annual Report and Financial Statements for year ended 31 December 2020, pp.53-56, 90-94 (Income Statement, Statement of Comprehensive Income, Statement of Changes in Equity, Statement of Financial Position, Note 35 credit risk) — https://find-and-update.company-information.service.gov.uk/company/03722571/filing-history/MzMwMTE4OTc0MWFkaXF6a2N4/document?format=pdf&amp;download=0
FY2019: via the FY2020 report's own FY2019 comparative columns, pp.53-56, 90-94 — https://find-and-update.company-information.service.gov.uk/company/03722571/filing-history/MzMwMTE4OTc0MWFkaXF6a2N4/document?format=pdf&amp;download=0
FY2018: Annual Report and Financial Statements for year ended 31 December 2018, pp.29-32, 74-76 (Income Statement, Statement of Comprehensive Income, Statement of Changes in Equity, Statement of Financial Position, Note 32 credit risk) — https://find-and-update.company-information.service.gov.uk/company/03722571/filing-history/MzIzMzQ0NTc3NWFkaXF6a2N4/document?format=pdf&amp;download=0
FY2017: via the FY2018 report's own FY2017 comparative columns (pp.29-32, 76) and the Company's own FY2017 Annual Report, pp.27-30, 64 (Note 28 credit risk) — https://find-and-update.company-information.service.gov.uk/company/03722571/filing-history/MzIzMzQ0NTc3NWFkaXF6a2N4/document?format=pdf&amp;download=0 / https://find-and-update.company-information.service.gov.uk/company/03722571/filing-history/MzIwNDA4MDg1M2FkaXF6a2N4/document?format=pdf&amp;download=0
FY2016: via the FY2017 report's own FY2016 comparative columns (pp.27-30, 64) and the Company's own FY2016 Annual Report, pp.16-19, 51 (Note 28 credit risk) — https://find-and-update.company-information.service.gov.uk/company/03722571/filing-history/MzIwNDA4MDg1M2FkaXF6a2N4/document?format=pdf&amp;download=0 / https://find-and-update.company-information.service.gov.uk/company/03722571/filing-history/MzE3NTI3MTY1OWFkaXF6a2N4/document?format=pdf&amp;download=0
FY2015: via the FY2016 report's own FY2015 comparative columns, pp.16-19, 51-52 — https://find-and-update.company-information.service.gov.uk/company/03722571/filing-history/MzE3NTI3MTY1OWFkaXF6a2N4/document?format=pdf&amp;download=0
FY2014: Annual Report and Financial Statements for year ended 31 December 2014, pp.15-17, 51 (Profit and Loss Account, Statement of Total Recognised Gains and Losses, Balance Sheet, Note 29 credit risk) — https://find-and-update.company-information.service.gov.uk/company/03722571/filing-history/MzEyMjM5NTcyOWFkaXF6a2N4/document?format=pdf&amp;download=0. This is the earliest UK GAAP/FRS 101-era filing before this entity switched to the Income Statement/Statement of Comprehensive Income/Statement of Changes in Equity naming used from FY2015 onward; FY2014 also uniquely presents a continuing/discontinued-operations split (the Company's Investment Management and Wealth Management segments were both transferred out or closed during FY2014) - the Profit &amp; Loss sheet uses the FY2014 report's own Total columns (continuing + discontinued combined).
The Company takes the FRS 101 reduced-disclosure exemption from presenting a cash-flow statement. Blank or non-disclosed entries are not estimates or zeros. FY2014-FY2017 predate IFRS 9 (adopted 1 January 2018): those years' credit-risk note uses the incurred-loss 'individually impaired' concept rather than ECL staging, and the Asset Quality sheet reflects this distinction explicitly rather than forcing a Stage 1/Stage 3 label onto pre-IFRS 9 disclosures. A genuine, material FY2014 finding: one borrower's entry into administration in March 2014 drove an £83,173k impairment loss on loans and advances to customers that year (gross £111,239k, net carrying £28,066k) - materially larger than the de minimis impaired balances (£1,674k FY2015, £126k FY2016, £131k FY2017) seen in every other year reviewed.</t>
        </is>
      </c>
    </row>
    <row r="16" ht="280" customHeight="1">
      <c r="A16" s="8" t="inlineStr">
        <is>
          <t>(continued)
FY2025: Note 28.2.3 'Exposure to credit risk by class' p.76, Note 28.2.4 'Exposure to Credit Risk by Internal Rating Grades' p.77. FY2024/FY2023: Note 27.2.3, p.75. FY2022/FY2021: Note 28.2.4 'Exposure to Credit Risk' p.72. FY2020: Note 35 'Exposure to credit risk by class' / 'by internal rating grades', pp.91-94 — https://find-and-update.company-information.service.gov.uk/company/03722571/filing-history/MzMwMTE4OTc0MWFkaXF6a2N4/document?format=pdf&amp;download=0. FY2019: via the FY2020 report's own FY2019 comparative, same pages. FY2018: Note 32 'Exposure to credit risk by class' p.75 and 'by internal rating grades' pp.77-80 — https://find-and-update.company-information.service.gov.uk/company/03722571/filing-history/MzIzMzQ0NTc3NWFkaXF6a2N4/document?format=pdf&amp;download=0. FY2017: Note 28 'Exposure to credit risk by class' p.64 and 'Maximum exposure to credit risk by credit rating' p.65 (individually impaired balance) — https://find-and-update.company-information.service.gov.uk/company/03722571/filing-history/MzIwNDA4MDg1M2FkaXF6a2N4/document?format=pdf&amp;download=0. FY2016: Note 28 'Exposure to credit risk by class' p.51 and 'Financial assets individually impaired' p.52 — https://find-and-update.company-information.service.gov.uk/company/03722571/filing-history/MzE3NTI3MTY1OWFkaXF6a2N4/document?format=pdf&amp;download=0. FY2015: via the FY2016 report's own FY2015 comparative, same pages. FY2014: Note 29 'Exposure to credit risk by class' p.51 and 'Financial assets individually impaired' p.52 — https://find-and-update.company-information.service.gov.uk/company/03722571/filing-history/MzEyMjM5NTcyOWFkaXF6a2N4/document?format=pdf&amp;download=0.</t>
        </is>
      </c>
    </row>
  </sheetData>
  <mergeCells count="2">
    <mergeCell ref="A16:M16"/>
    <mergeCell ref="A14:M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47"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Morgan Stanley Bank International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c r="R3" s="4" t="inlineStr">
        <is>
          <t>FY2009</t>
        </is>
      </c>
    </row>
    <row r="4">
      <c r="A4" s="6" t="inlineStr">
        <is>
          <t>Return on equity - average equity basis</t>
        </is>
      </c>
      <c r="B4" s="6" t="inlineStr">
        <is>
          <t>4.82%</t>
        </is>
      </c>
      <c r="C4" s="6" t="inlineStr">
        <is>
          <t>5.81%</t>
        </is>
      </c>
      <c r="D4" s="6" t="inlineStr">
        <is>
          <t>0.04%</t>
        </is>
      </c>
      <c r="E4" s="6" t="inlineStr">
        <is>
          <t>11.86%</t>
        </is>
      </c>
      <c r="F4" s="6" t="inlineStr">
        <is>
          <t>1.21%</t>
        </is>
      </c>
      <c r="G4" s="6" t="inlineStr">
        <is>
          <t>12.38%</t>
        </is>
      </c>
      <c r="H4" s="6" t="inlineStr">
        <is>
          <t>5.50%</t>
        </is>
      </c>
      <c r="I4" s="6" t="inlineStr">
        <is>
          <t>4.17%</t>
        </is>
      </c>
      <c r="J4" s="6" t="inlineStr">
        <is>
          <t>7.93%</t>
        </is>
      </c>
      <c r="K4" s="6" t="inlineStr">
        <is>
          <t>4.88%</t>
        </is>
      </c>
      <c r="L4" s="6" t="inlineStr">
        <is>
          <t>3.35%</t>
        </is>
      </c>
      <c r="M4" s="6" t="inlineStr">
        <is>
          <t>5.94%</t>
        </is>
      </c>
      <c r="N4" s="6" t="inlineStr">
        <is>
          <t>0.99%</t>
        </is>
      </c>
      <c r="O4" s="6" t="inlineStr">
        <is>
          <t>-0.46%</t>
        </is>
      </c>
      <c r="P4" s="6" t="inlineStr">
        <is>
          <t>6.84%</t>
        </is>
      </c>
      <c r="Q4" s="6" t="inlineStr">
        <is>
          <t>4.17%</t>
        </is>
      </c>
      <c r="R4" s="6" t="n"/>
    </row>
    <row r="5">
      <c r="A5" s="6" t="inlineStr">
        <is>
          <t>Return on equity - year-end equity basis</t>
        </is>
      </c>
      <c r="B5" s="6" t="inlineStr">
        <is>
          <t>5.02%</t>
        </is>
      </c>
      <c r="C5" s="6" t="inlineStr">
        <is>
          <t>5.65%</t>
        </is>
      </c>
      <c r="D5" s="6" t="inlineStr">
        <is>
          <t>0.04%</t>
        </is>
      </c>
      <c r="E5" s="6" t="inlineStr">
        <is>
          <t>12.29%</t>
        </is>
      </c>
      <c r="F5" s="6" t="inlineStr">
        <is>
          <t>1.20%</t>
        </is>
      </c>
      <c r="G5" s="6" t="inlineStr">
        <is>
          <t>11.62%</t>
        </is>
      </c>
      <c r="H5" s="6" t="inlineStr">
        <is>
          <t>5.35%</t>
        </is>
      </c>
      <c r="I5" s="6" t="inlineStr">
        <is>
          <t>4.11%</t>
        </is>
      </c>
      <c r="J5" s="6" t="inlineStr">
        <is>
          <t>7.59%</t>
        </is>
      </c>
      <c r="K5" s="6" t="inlineStr">
        <is>
          <t>4.67%</t>
        </is>
      </c>
      <c r="L5" s="6" t="inlineStr">
        <is>
          <t>3.31%</t>
        </is>
      </c>
      <c r="M5" s="6" t="inlineStr">
        <is>
          <t>5.75%</t>
        </is>
      </c>
      <c r="N5" s="6" t="inlineStr">
        <is>
          <t>1.43%</t>
        </is>
      </c>
      <c r="O5" s="6" t="inlineStr">
        <is>
          <t>-0.46%</t>
        </is>
      </c>
      <c r="P5" s="6" t="inlineStr">
        <is>
          <t>6.62%</t>
        </is>
      </c>
      <c r="Q5" s="6" t="inlineStr">
        <is>
          <t>4.08%</t>
        </is>
      </c>
      <c r="R5" s="6" t="inlineStr">
        <is>
          <t>-1.47%</t>
        </is>
      </c>
    </row>
    <row r="6">
      <c r="A6" s="6" t="inlineStr">
        <is>
          <t>Return on assets - average assets basis</t>
        </is>
      </c>
      <c r="B6" s="6" t="inlineStr">
        <is>
          <t>0.72%</t>
        </is>
      </c>
      <c r="C6" s="6" t="inlineStr">
        <is>
          <t>0.78%</t>
        </is>
      </c>
      <c r="D6" s="6" t="inlineStr">
        <is>
          <t>0.00%</t>
        </is>
      </c>
      <c r="E6" s="6" t="inlineStr">
        <is>
          <t>1.46%</t>
        </is>
      </c>
      <c r="F6" s="6" t="inlineStr">
        <is>
          <t>0.17%</t>
        </is>
      </c>
      <c r="G6" s="6" t="inlineStr">
        <is>
          <t>1.62%</t>
        </is>
      </c>
      <c r="H6" s="6" t="inlineStr">
        <is>
          <t>0.71%</t>
        </is>
      </c>
      <c r="I6" s="6" t="inlineStr">
        <is>
          <t>0.53%</t>
        </is>
      </c>
      <c r="J6" s="6" t="inlineStr">
        <is>
          <t>0.90%</t>
        </is>
      </c>
      <c r="K6" s="6" t="inlineStr">
        <is>
          <t>0.54%</t>
        </is>
      </c>
      <c r="L6" s="6" t="inlineStr">
        <is>
          <t>0.38%</t>
        </is>
      </c>
      <c r="M6" s="6" t="inlineStr">
        <is>
          <t>0.52%</t>
        </is>
      </c>
      <c r="N6" s="6" t="inlineStr">
        <is>
          <t>0.11%</t>
        </is>
      </c>
      <c r="O6" s="6" t="inlineStr">
        <is>
          <t>-0.06%</t>
        </is>
      </c>
      <c r="P6" s="6" t="inlineStr">
        <is>
          <t>0.82%</t>
        </is>
      </c>
      <c r="Q6" s="6" t="inlineStr">
        <is>
          <t>0.51%</t>
        </is>
      </c>
      <c r="R6" s="6" t="n"/>
    </row>
    <row r="7">
      <c r="A7" s="6" t="inlineStr">
        <is>
          <t>Return on assets - year-end assets basis</t>
        </is>
      </c>
      <c r="B7" s="6" t="inlineStr">
        <is>
          <t>0.84%</t>
        </is>
      </c>
      <c r="C7" s="6" t="inlineStr">
        <is>
          <t>0.77%</t>
        </is>
      </c>
      <c r="D7" s="6" t="inlineStr">
        <is>
          <t>0.01%</t>
        </is>
      </c>
      <c r="E7" s="6" t="inlineStr">
        <is>
          <t>1.22%</t>
        </is>
      </c>
      <c r="F7" s="6" t="inlineStr">
        <is>
          <t>0.19%</t>
        </is>
      </c>
      <c r="G7" s="6" t="inlineStr">
        <is>
          <t>1.53%</t>
        </is>
      </c>
      <c r="H7" s="6" t="inlineStr">
        <is>
          <t>0.69%</t>
        </is>
      </c>
      <c r="I7" s="6" t="inlineStr">
        <is>
          <t>0.53%</t>
        </is>
      </c>
      <c r="J7" s="6" t="inlineStr">
        <is>
          <t>0.93%</t>
        </is>
      </c>
      <c r="K7" s="6" t="inlineStr">
        <is>
          <t>0.49%</t>
        </is>
      </c>
      <c r="L7" s="6" t="inlineStr">
        <is>
          <t>0.39%</t>
        </is>
      </c>
      <c r="M7" s="6" t="inlineStr">
        <is>
          <t>0.62%</t>
        </is>
      </c>
      <c r="N7" s="6" t="inlineStr">
        <is>
          <t>0.11%</t>
        </is>
      </c>
      <c r="O7" s="6" t="inlineStr">
        <is>
          <t>-0.07%</t>
        </is>
      </c>
      <c r="P7" s="6" t="inlineStr">
        <is>
          <t>0.89%</t>
        </is>
      </c>
      <c r="Q7" s="6" t="inlineStr">
        <is>
          <t>0.44%</t>
        </is>
      </c>
      <c r="R7" s="6" t="inlineStr">
        <is>
          <t>-0.21%</t>
        </is>
      </c>
    </row>
    <row r="8">
      <c r="A8" s="6" t="inlineStr">
        <is>
          <t>Return on assets (as published)</t>
        </is>
      </c>
      <c r="B8" s="6" t="inlineStr">
        <is>
          <t>0.63%</t>
        </is>
      </c>
      <c r="C8" s="6" t="inlineStr">
        <is>
          <t>Not published</t>
        </is>
      </c>
      <c r="D8" s="6" t="n"/>
      <c r="E8" s="6" t="n"/>
      <c r="F8" s="6" t="n"/>
      <c r="G8" s="6" t="n"/>
      <c r="H8" s="6" t="n"/>
      <c r="I8" s="6" t="n"/>
      <c r="J8" s="6" t="n"/>
      <c r="K8" s="6" t="n"/>
      <c r="L8" s="6" t="n"/>
      <c r="M8" s="6" t="n"/>
      <c r="N8" s="6" t="n"/>
      <c r="O8" s="6" t="n"/>
      <c r="P8" s="6" t="n"/>
      <c r="Q8" s="6" t="n"/>
      <c r="R8" s="6" t="n"/>
    </row>
    <row r="9">
      <c r="A9" s="6" t="inlineStr">
        <is>
          <t>Return on shareholders’ equity (as published)</t>
        </is>
      </c>
      <c r="B9" s="6" t="inlineStr">
        <is>
          <t>4.64%</t>
        </is>
      </c>
      <c r="C9" s="6" t="inlineStr">
        <is>
          <t>Not published</t>
        </is>
      </c>
      <c r="D9" s="6" t="n"/>
      <c r="E9" s="6" t="n"/>
      <c r="F9" s="6" t="n"/>
      <c r="G9" s="6" t="n"/>
      <c r="H9" s="6" t="n"/>
      <c r="I9" s="6" t="n"/>
      <c r="J9" s="6" t="n"/>
      <c r="K9" s="6" t="n"/>
      <c r="L9" s="6" t="n"/>
      <c r="M9" s="6" t="n"/>
      <c r="N9" s="6" t="n"/>
      <c r="O9" s="6" t="n"/>
      <c r="P9" s="6" t="n"/>
      <c r="Q9" s="6" t="n"/>
      <c r="R9" s="6" t="n"/>
    </row>
    <row r="10" ht="156"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assets: “Profit after tax divided by total assets at beginning of the year.” Return on shareholders’ equity: “Profit after tax divided by equity shareholders’ funds at the beginning of the year.”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FY2020, where return on equity is 12.38% on an average basis and 11.62% on a year-end basis.
FY2009 HAS NO AVERAGE-BASIS RATIO, AND THAT IS CORRECT. An average denominator needs an opening balance, and FY2009 is the oldest column this workbook carries, so there is no prior year to open from. The blank is structural, not a missing figure. The year-end basis is shown for FY2009 because it needs only the closing balance.
FIGURES THE BANK PUBLISHED ONLY AS A LATER EDITION'S COMPARATIVE, AND WHY THEY ARE NOT IN THE CELLS ABOVE. FY2024 Return on shareholders’ equity 5.98%; FY2024 Return on assets 0.79%.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 for the year” and the Balance Sheet rows “equity shareholders' funds” and “total assets”, resolved BY LABEL at build time through the shared resolver scripts/profitability_rows.py, so this sheet cannot drift from the statements it summarises. Those rows are themselves transcribed from Morgan Stanley Bank International Limited's Annual Report and Accounts for each year; see the source cells on the Balance Sheet and Profit &amp; Loss sheets for the exact document, page and table behind every input to every percentage above.
The '(as published)' rows are quoted verbatim from Morgan Stanley Bank International Limited's own disclosures and are recorded, with the exact document, page and verification state for each, in research/profitability/published_returns.jsonl under ‘MORGAN STANLEY BANK INTERNATIONAL’.</t>
        </is>
      </c>
    </row>
  </sheetData>
  <mergeCells count="2">
    <mergeCell ref="A10:R10"/>
    <mergeCell ref="A12:R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Morgan Stanley Bank International Limited - KM1 Key Metrics</t>
        </is>
      </c>
    </row>
    <row r="2">
      <c r="A2" s="2" t="inlineStr">
        <is>
          <t>Not applicable: MSBIL publishes no Pillar 3 disclosure of its own, and its UK parent's Pillar 3 carries no KM1 on an MSBIL basis. The parent's own KM1 is a Morgan Stanley International Limited Group consolidated table and is deliberately NOT reproduced here - a group figure is not this entity's figure. See the source note for the affirmative evidence.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UK KM1 key metrics template</t>
        </is>
      </c>
      <c r="B4" s="6" t="inlineStr">
        <is>
          <t>Not published – MSI Group Pillar 3 (2025 ed., s.4) is prepared for the group, not per entity, and MSBIL is not a large subsidiary; its KM1 is MSI Group only</t>
        </is>
      </c>
      <c r="C4" s="6" t="inlineStr">
        <is>
          <t>Not published – MSI Group Pillar 3 (2024 ed., s.4) is prepared for the group, not per entity, and MSBIL is not a large subsidiary; its KM1 is MSI Group only</t>
        </is>
      </c>
      <c r="D4" s="6" t="inlineStr">
        <is>
          <t>Not published – MSI Group Pillar 3 (2023 ed., s.4) is prepared for the group, not per entity, and MSBIL is not a large subsidiary; its KM1 is MSI Group only</t>
        </is>
      </c>
      <c r="E4" s="6" t="inlineStr">
        <is>
          <t>Not published – MSI Group Pillar 3 (2022 ed., s.4) is prepared for the group, not per entity, and MSBIL is not a large subsidiary; its KM1 is MSI Group only</t>
        </is>
      </c>
      <c r="F4" s="6" t="inlineStr">
        <is>
          <t>Not published – MSI Group Pillar 3 (2021 ed., s.4) is prepared for the group, not per entity, and MSBIL is not a large subsidiary; its KM1 is MSI Group only</t>
        </is>
      </c>
      <c r="G4" s="6" t="inlineStr">
        <is>
          <t>Not published – MSBIL publishes no Pillar 3 of its own; UK disclosures sit in the MSI Group Pillar 3 (index morganstanley.com/about-us-ir/pillar-uk, read 2026-09-17)</t>
        </is>
      </c>
      <c r="H4" s="6" t="inlineStr">
        <is>
          <t>Not published – MSBIL publishes no Pillar 3 of its own; UK disclosures sit in the MSI Group Pillar 3 (index morganstanley.com/about-us-ir/pillar-uk, read 2026-09-17)</t>
        </is>
      </c>
      <c r="I4" s="6" t="inlineStr">
        <is>
          <t>Not published – MSBIL publishes no Pillar 3 of its own; UK disclosures sit in the MSI Group Pillar 3 (index morganstanley.com/about-us-ir/pillar-uk, read 2026-09-17)</t>
        </is>
      </c>
      <c r="J4" s="6" t="inlineStr">
        <is>
          <t>Not published – MSBIL publishes no Pillar 3 of its own; UK disclosures sit in the MSI Group Pillar 3 (index morganstanley.com/about-us-ir/pillar-uk, read 2026-09-17)</t>
        </is>
      </c>
      <c r="K4" s="6" t="inlineStr">
        <is>
          <t>Not published – MSBIL publishes no Pillar 3 of its own; UK disclosures sit in the MSI Group Pillar 3 (index morganstanley.com/about-us-ir/pillar-uk, read 2026-09-17)</t>
        </is>
      </c>
      <c r="L4" s="6" t="inlineStr">
        <is>
          <t>Not published – MSBIL publishes no Pillar 3 of its own; UK disclosures sit in the MSI Group Pillar 3 (index morganstanley.com/about-us-ir/pillar-uk, read 2026-09-17)</t>
        </is>
      </c>
      <c r="M4" s="6" t="inlineStr">
        <is>
          <t>Not published – MSBIL publishes no Pillar 3 of its own; UK disclosures sit in the MSI Group Pillar 3 (index morganstanley.com/about-us-ir/pillar-uk, read 2026-09-17)</t>
        </is>
      </c>
    </row>
    <row r="6" ht="364" customHeight="1">
      <c r="A6"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
WHY THIS SHEET IS 'NOT APPLICABLE' - AFFIRMATIVE EVIDENCE, NOT A FAILED SEARCH. Checked 2026-09-17 against Morgan Stanley's own UK regulatory-disclosures page, https://www.morganstanley.com/about-us-ir/pillar-uk, which lists every UK Pillar 3 document the group publishes, annual and quarterly, from 2009 to the 2026 first quarter. Three separate documents settle it:
1. THE BANK'S OWN ACCOUNTS SAY WHERE ITS PILLAR 3 INFORMATION LIVES. MSBIL's Report and Financial Statements for the year ended 31 December 2025, Strategic Report, 'Capital Management': 'Further information is available in the Pillar 3 Regulatory Disclosures Report of the MSI Group, available at www.morganstanley.com/about-us-ir/'. The Company points the reader at its parent's document rather than at one of its own. (That filing is a 98-page scan with no text layer - pdftotext returns 99 characters from the whole document - so it was read by rendering the pages at 200dpi and OCRing them. A plain text search of it returns a false negative on every term.)</t>
        </is>
      </c>
    </row>
    <row r="8" ht="340" customHeight="1">
      <c r="A8" s="8" t="inlineStr">
        <is>
          <t>(continued)
2. THE PARENT'S PILLAR 3 STATES ITS OWN LEVEL OF APPLICATION, AND IT IS NOT PER-ENTITY. Morgan Stanley International Limited Group, Pillar 3 Regulatory Disclosure (UK) as at 31 December 2025, section 4 'Basis of Preparation and Linkage to Financial Accounts': 'This disclosure is prepared for the MSI Group, rather than on an individual basis for each regulated entity, as permissible under the PRA rulebook.' Identical wording appears in the 2021, 2022, 2023 and 2024 editions.
3. MSBIL IS NAMED AS A SUBSIDIARY AND EXCLUDED FROM THE LARGE-SUBSIDIARY POPULATION. The same document's scope-of-disclosure section: 'As at 31 December 2025, Morgan Stanley &amp; Co. International plc (“MSIP”) and MSESE are considered large subsidiaries within the MSI Group... The Pillar 3 disclosures as at 31 December 2025 are prepared on the basis of the consolidated situation of the MSI Group. In addition, certain disclosures are required for MSIP as a large subsidiary and MSESE as a large non-listed subsidiary of MSI Group.' MSBIL appears in the same document's list of MSI Group subsidiaries but is not among the large subsidiaries, so no subsidiary-level KM1 block is owed for it or printed for it. This is the UK Article 433 / large-subsidiary test producing a FORMAL EXCLUSION, which is a stronger finding than not locating a table.
THE PARENT'S KM1 IS DELIBERATELY NOT COPIED HERE. The MSI Group Pillar 3 does carry a UK KM1 - 'Table 1a: Key metrics (UK KM1) - MSI Group' - and a second one, 'Table 1b: Key metrics (EU KM1) - MSESE Group'. Neither is an MSBIL table. MSI Group is the consolidated UK sub-group that contains MSIP and the other UK entities as well as MSBIL, so its capital, RWAs, leverage and liquidity are materially different from this Company's, and substituting them would misstate every row. The entity chain is Morgan Stanley (US ultimate parent) -&gt; Morgan Stanley International Limited (the ultimate UK parent undertaking, and the entity that discloses under the PRA Rulebook) -&gt; Morgan Stanley Bank International Limited, and it is the middle layer, not the US top, that carries the UK disclosure duty.
WHAT THE 11 SINGLE-METRIC SHEETS IN THIS WORKBOOK THEREFORE REST ON: MSBIL's own audited annual reports, which disclose its own-entity capital, RWAs, leverage and liquidity in their capital management notes. Those are this Company's figures on this Company's basis; they are simply not presented in the KM1 template, because MSBIL never publishes that template.</t>
        </is>
      </c>
    </row>
  </sheetData>
  <mergeCells count="2">
    <mergeCell ref="A8:M8"/>
    <mergeCell ref="A6:M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Morgan Stanley Bank International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Common Equity Tier 1 (CET1) capital</t>
        </is>
      </c>
      <c r="B4" s="6" t="n">
        <v>676229</v>
      </c>
      <c r="C4" s="6" t="n">
        <v>709078</v>
      </c>
      <c r="D4" s="6" t="n">
        <v>685522</v>
      </c>
      <c r="E4" s="6" t="n">
        <v>702944</v>
      </c>
      <c r="F4" s="6" t="n">
        <v>717693</v>
      </c>
      <c r="G4" s="6" t="n">
        <v>574718</v>
      </c>
      <c r="H4" s="6" t="n">
        <v>593318</v>
      </c>
      <c r="I4" s="6" t="n">
        <v>578569</v>
      </c>
      <c r="J4" s="6" t="n">
        <v>543786</v>
      </c>
      <c r="K4" s="6" t="n">
        <v>517117</v>
      </c>
      <c r="L4" s="6" t="n">
        <v>472587</v>
      </c>
    </row>
    <row r="6" ht="299" customHeight="1">
      <c r="A6"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1">
    <mergeCell ref="A6:L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Morgan Stanley Bank International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CET1 capital ratio</t>
        </is>
      </c>
      <c r="B4" s="6" t="inlineStr">
        <is>
          <t>42.6%</t>
        </is>
      </c>
      <c r="C4" s="6" t="inlineStr">
        <is>
          <t>46.7%</t>
        </is>
      </c>
      <c r="D4" s="6" t="inlineStr">
        <is>
          <t>31.7%</t>
        </is>
      </c>
      <c r="E4" s="6" t="inlineStr">
        <is>
          <t>34.0%</t>
        </is>
      </c>
      <c r="F4" s="6" t="inlineStr">
        <is>
          <t>34.4%</t>
        </is>
      </c>
      <c r="G4" s="6" t="inlineStr">
        <is>
          <t>23.3%</t>
        </is>
      </c>
      <c r="H4" s="6" t="inlineStr">
        <is>
          <t>20.9%</t>
        </is>
      </c>
      <c r="I4" s="6" t="inlineStr">
        <is>
          <t>17.3%</t>
        </is>
      </c>
      <c r="J4" s="6" t="inlineStr">
        <is>
          <t>19.0%</t>
        </is>
      </c>
      <c r="K4" s="6" t="inlineStr">
        <is>
          <t>18.4%</t>
        </is>
      </c>
      <c r="L4" s="6" t="inlineStr">
        <is>
          <t>17.1%</t>
        </is>
      </c>
    </row>
    <row r="5" ht="30" customHeight="1">
      <c r="A5" s="7" t="inlineStr">
        <is>
          <t>Note: FY2015-FY2018: the annual reports disclose only 'Tier 1 capital' and 'Tier 1 capital ratio', not a separately-labelled CET1 figure. The FY2019/FY2020 reports' own Own Funds tables confirm CET1 = Tier 1 capital exactly in both years (no Additional Tier 1 instruments), so the disclosed Tier 1 figures are used here on that structural basis. FY2014: no capital ratio of any kind was disclosed (see Total RWAs sheet note).</t>
        </is>
      </c>
    </row>
    <row r="7" ht="299" customHeight="1">
      <c r="A7"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2">
    <mergeCell ref="A5:L5"/>
    <mergeCell ref="A7:L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Morgan Stanley Bank International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capital</t>
        </is>
      </c>
      <c r="B4" s="6" t="n">
        <v>676229</v>
      </c>
      <c r="C4" s="6" t="n">
        <v>709078</v>
      </c>
      <c r="D4" s="6" t="n">
        <v>685522</v>
      </c>
      <c r="E4" s="6" t="n">
        <v>702944</v>
      </c>
      <c r="F4" s="6" t="n">
        <v>717693</v>
      </c>
      <c r="G4" s="6" t="n">
        <v>574718</v>
      </c>
      <c r="H4" s="6" t="n">
        <v>593318</v>
      </c>
      <c r="I4" s="6" t="n">
        <v>578569</v>
      </c>
      <c r="J4" s="6" t="n">
        <v>543786</v>
      </c>
      <c r="K4" s="6" t="n">
        <v>517117</v>
      </c>
      <c r="L4" s="6" t="n">
        <v>472587</v>
      </c>
    </row>
    <row r="6" ht="299" customHeight="1">
      <c r="A6"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1">
    <mergeCell ref="A6:L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Morgan Stanley Bank International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capital ratio</t>
        </is>
      </c>
      <c r="B4" s="6" t="inlineStr">
        <is>
          <t>42.6%</t>
        </is>
      </c>
      <c r="C4" s="6" t="inlineStr">
        <is>
          <t>46.7%</t>
        </is>
      </c>
      <c r="D4" s="6" t="inlineStr">
        <is>
          <t>31.7%</t>
        </is>
      </c>
      <c r="E4" s="6" t="inlineStr">
        <is>
          <t>34.0%</t>
        </is>
      </c>
      <c r="F4" s="6" t="inlineStr">
        <is>
          <t>34.4%</t>
        </is>
      </c>
      <c r="G4" s="6" t="inlineStr">
        <is>
          <t>23.3%</t>
        </is>
      </c>
      <c r="H4" s="6" t="inlineStr">
        <is>
          <t>20.9%</t>
        </is>
      </c>
      <c r="I4" s="6" t="inlineStr">
        <is>
          <t>17.3%</t>
        </is>
      </c>
      <c r="J4" s="6" t="inlineStr">
        <is>
          <t>19.0%</t>
        </is>
      </c>
      <c r="K4" s="6" t="inlineStr">
        <is>
          <t>18.4%</t>
        </is>
      </c>
      <c r="L4" s="6" t="inlineStr">
        <is>
          <t>17.1%</t>
        </is>
      </c>
    </row>
    <row r="6" ht="299" customHeight="1">
      <c r="A6"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1">
    <mergeCell ref="A6:L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Morgan Stanley Bank International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resources</t>
        </is>
      </c>
      <c r="B4" s="6" t="n">
        <v>934449</v>
      </c>
      <c r="C4" s="6" t="n">
        <v>908739</v>
      </c>
      <c r="D4" s="6" t="n">
        <v>935655</v>
      </c>
      <c r="E4" s="6" t="n">
        <v>1003410</v>
      </c>
      <c r="F4" s="6" t="n">
        <v>916488</v>
      </c>
      <c r="G4" s="6" t="n">
        <v>824718</v>
      </c>
      <c r="H4" s="6" t="n">
        <v>843318</v>
      </c>
    </row>
    <row r="5" ht="30" customHeight="1">
      <c r="A5" s="7" t="inlineStr">
        <is>
          <t>Note: FY2014-FY2018: Total Capital / Total Own Funds was not disclosed - only Tier 1 capital, Tier 1 ratio and leverage ratio appear in those years' annual reports.</t>
        </is>
      </c>
    </row>
    <row r="7" ht="377" customHeight="1">
      <c r="A7"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t>
        </is>
      </c>
    </row>
    <row r="9" ht="220" customHeight="1">
      <c r="A9" s="8" t="inlineStr">
        <is>
          <t>(continued)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3">
    <mergeCell ref="A7:H7"/>
    <mergeCell ref="A9:H9"/>
    <mergeCell ref="A5:H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Morgan Stanley Bank International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58.9%</t>
        </is>
      </c>
      <c r="C4" s="6" t="inlineStr">
        <is>
          <t>59.8%</t>
        </is>
      </c>
      <c r="D4" s="6" t="inlineStr">
        <is>
          <t>43.3%</t>
        </is>
      </c>
      <c r="E4" s="6" t="inlineStr">
        <is>
          <t>48.5%</t>
        </is>
      </c>
      <c r="F4" s="6" t="inlineStr">
        <is>
          <t>44.0%</t>
        </is>
      </c>
      <c r="G4" s="6" t="inlineStr">
        <is>
          <t>33.5%</t>
        </is>
      </c>
      <c r="H4" s="6" t="inlineStr">
        <is>
          <t>29.7%</t>
        </is>
      </c>
    </row>
    <row r="5" ht="30" customHeight="1">
      <c r="A5" s="7" t="inlineStr">
        <is>
          <t>Note: FY2014-FY2018: not disclosed (see Total Capital sheet note).</t>
        </is>
      </c>
    </row>
    <row r="7" ht="377" customHeight="1">
      <c r="A7"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t>
        </is>
      </c>
    </row>
    <row r="9" ht="220" customHeight="1">
      <c r="A9" s="8" t="inlineStr">
        <is>
          <t>(continued)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3">
    <mergeCell ref="A7:H7"/>
    <mergeCell ref="A9:H9"/>
    <mergeCell ref="A5:H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Morgan Stanley Bank International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risk-weighted assets</t>
        </is>
      </c>
      <c r="B4" s="6" t="n">
        <v>1586014</v>
      </c>
      <c r="C4" s="6" t="n">
        <v>1519269</v>
      </c>
      <c r="D4" s="6" t="n">
        <v>2161713</v>
      </c>
      <c r="E4" s="6" t="n">
        <v>2068356</v>
      </c>
      <c r="F4" s="6" t="n">
        <v>2081783</v>
      </c>
      <c r="G4" s="6" t="n">
        <v>2462638</v>
      </c>
      <c r="H4" s="6" t="n">
        <v>2836626</v>
      </c>
    </row>
    <row r="5" ht="39" customHeight="1">
      <c r="A5" s="7" t="inlineStr">
        <is>
          <t>Note: FY2014-FY2018: Total RWAs were not disclosed as a standalone figure in those years' annual reports (only Tier 1 capital and Tier 1 ratio, from which RWAs could be back-calculated, but that would be an estimate rather than a disclosed figure, so is left blank per this project's convention). FY2014: no capital metric of any kind (CET1/Tier 1/Total Capital/RWA/leverage/LCR/NSFR) was disclosed anywhere in the FY2014 Annual Report, nor as a comparative in any later report - the KPI section first appears in the FY2016 report and reaches back only to FY2015. This is a genuine disclosure gap, not an omission by this project.</t>
        </is>
      </c>
    </row>
    <row r="7" ht="377" customHeight="1">
      <c r="A7"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t>
        </is>
      </c>
    </row>
    <row r="9" ht="220" customHeight="1">
      <c r="A9" s="8" t="inlineStr">
        <is>
          <t>(continued)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3">
    <mergeCell ref="A7:H7"/>
    <mergeCell ref="A9:H9"/>
    <mergeCell ref="A5:H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Morgan Stanley Bank International Limited — RWA Breakdown</t>
        </is>
      </c>
    </row>
    <row r="2">
      <c r="A2" s="2" t="inlineStr">
        <is>
          <t>Company's own 'RWAs' table (Strategic Report), by risk category. £'000. Ties exactly to the Total RWAs sheet in every year FY2020-FY2025. FY2020 is sourced from the FY2021 Annual Report's own FY2020 comparative column (the FY2020 Annual Report itself gives only a single Total RWAs figure, with no risk-category split anywhere in its Strategic Report or notes). FY2014-FY2019: not disclosed - those years' annual reports (and, for FY2019, the FY2020 Annual Report's FY2019 comparative column) give only a single Total RWAs figure (and only from FY2019 onward; see the Total RWAs sheet), with no credit/market/operational risk category split found anywhere in the Strategic Report or notes reviewed.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6" t="inlineStr">
        <is>
          <t>Credit RWAs</t>
        </is>
      </c>
      <c r="B4" s="6" t="n">
        <v>438035</v>
      </c>
      <c r="C4" s="6" t="n">
        <v>427744</v>
      </c>
      <c r="D4" s="6" t="n">
        <v>513578</v>
      </c>
      <c r="E4" s="6" t="n">
        <v>619276</v>
      </c>
      <c r="F4" s="6" t="n">
        <v>736089</v>
      </c>
      <c r="G4" s="6" t="n">
        <v>962391</v>
      </c>
    </row>
    <row r="5">
      <c r="A5" s="6" t="inlineStr">
        <is>
          <t>Market RWAs</t>
        </is>
      </c>
      <c r="B5" s="6" t="n">
        <v>1004032</v>
      </c>
      <c r="C5" s="6" t="n">
        <v>964352</v>
      </c>
      <c r="D5" s="6" t="n">
        <v>1537651</v>
      </c>
      <c r="E5" s="6" t="n">
        <v>1254480</v>
      </c>
      <c r="F5" s="6" t="n">
        <v>1098855</v>
      </c>
      <c r="G5" s="6" t="n">
        <v>1219637</v>
      </c>
    </row>
    <row r="6">
      <c r="A6" s="6" t="inlineStr">
        <is>
          <t>Operational risk RWAs</t>
        </is>
      </c>
      <c r="B6" s="6" t="n">
        <v>143947</v>
      </c>
      <c r="C6" s="6" t="n">
        <v>127173</v>
      </c>
      <c r="D6" s="6" t="n">
        <v>110484</v>
      </c>
      <c r="E6" s="6" t="n">
        <v>194600</v>
      </c>
      <c r="F6" s="6" t="n">
        <v>246839</v>
      </c>
      <c r="G6" s="6" t="n">
        <v>280610</v>
      </c>
    </row>
    <row r="7">
      <c r="A7" s="5" t="inlineStr">
        <is>
          <t>Total RWAs</t>
        </is>
      </c>
      <c r="B7" s="5" t="n">
        <v>1586014</v>
      </c>
      <c r="C7" s="5" t="n">
        <v>1519269</v>
      </c>
      <c r="D7" s="5" t="n">
        <v>2161713</v>
      </c>
      <c r="E7" s="5" t="n">
        <v>2068356</v>
      </c>
      <c r="F7" s="5" t="n">
        <v>2081783</v>
      </c>
      <c r="G7" s="5" t="n">
        <v>2462638</v>
      </c>
    </row>
    <row r="9" ht="351" customHeight="1">
      <c r="A9"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t>
        </is>
      </c>
    </row>
    <row r="11" ht="220" customHeight="1">
      <c r="A11" s="8" t="inlineStr">
        <is>
          <t>(continued)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
RWA Breakdown detail - FY2020: Annual Report and Financial Statements for year ended 31 December 2021, p.7 ('Liquidity and capital management and regulation' - RWAs table, FY2020 comparative column) - https://find-and-update.company-information.service.gov.uk/company/03722571/filing-history/MzMzODIzODA1MmFkaXF6a2N4/document?format=pdf&amp;download=0. FY2021-FY2025: each year's own Annual Report, same table in the same section of that year's Strategic Report.</t>
        </is>
      </c>
    </row>
  </sheetData>
  <mergeCells count="2">
    <mergeCell ref="A11:G11"/>
    <mergeCell ref="A9:G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Morgan Stanley Bank International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Leverage exposure</t>
        </is>
      </c>
      <c r="B4" s="6" t="n">
        <v>2233488</v>
      </c>
      <c r="C4" s="6" t="n">
        <v>2436257</v>
      </c>
      <c r="D4" s="6" t="n">
        <v>2874295</v>
      </c>
      <c r="E4" s="6" t="n">
        <v>3795132</v>
      </c>
      <c r="F4" s="6" t="n">
        <v>2384965</v>
      </c>
      <c r="G4" s="6" t="n">
        <v>2900986</v>
      </c>
      <c r="H4" s="6" t="n">
        <v>3635898</v>
      </c>
      <c r="I4" s="6" t="n"/>
      <c r="J4" s="6" t="n"/>
      <c r="K4" s="6" t="n"/>
      <c r="L4" s="6" t="n"/>
    </row>
    <row r="5">
      <c r="A5" s="6" t="inlineStr">
        <is>
          <t>Leverage ratio</t>
        </is>
      </c>
      <c r="B5" s="6" t="inlineStr">
        <is>
          <t>30.3%</t>
        </is>
      </c>
      <c r="C5" s="6" t="inlineStr">
        <is>
          <t>29.1%</t>
        </is>
      </c>
      <c r="D5" s="6" t="inlineStr">
        <is>
          <t>23.9%</t>
        </is>
      </c>
      <c r="E5" s="6" t="inlineStr">
        <is>
          <t>18.5%</t>
        </is>
      </c>
      <c r="F5" s="6" t="inlineStr">
        <is>
          <t>30.1%</t>
        </is>
      </c>
      <c r="G5" s="6" t="inlineStr">
        <is>
          <t>19.8%</t>
        </is>
      </c>
      <c r="H5" s="6" t="inlineStr">
        <is>
          <t>16.3%</t>
        </is>
      </c>
      <c r="I5" s="6" t="inlineStr">
        <is>
          <t>18.0%</t>
        </is>
      </c>
      <c r="J5" s="6" t="inlineStr">
        <is>
          <t>16.0%</t>
        </is>
      </c>
      <c r="K5" s="6" t="inlineStr">
        <is>
          <t>13.7%</t>
        </is>
      </c>
      <c r="L5" s="6" t="inlineStr">
        <is>
          <t>14.7%</t>
        </is>
      </c>
    </row>
    <row r="6" ht="130" customHeight="1">
      <c r="A6" s="7" t="inlineStr">
        <is>
          <t>Note: FY2014-FY2018: Leverage exposure (the £'000 figure) was not disclosed, only the leverage ratio itself. FY2014 has no leverage ratio at all - public disclosure requirements for this ratio only became effective for reporting periods from 1 January 2015, per the Company's own FY2016 Annual Report.
GA-026 LEVERAGE BASIS (2026-10-10): ONE BASIS, UNDECLARED. MSBIL's figures come from its own Companies House filing (98 pages), read at 300 dpi on p.5, which prints three plain rows and nothing else: Leverage exposure 2,233,488 / 2,436,257; Tier 1 capital 676,229 / 709,078; Leverage ratio 30.3% / 29.1% (FY2025 / FY2024) - the exposure and ratio figures carried on this sheet, matching cell for cell. The captions carry no qualifier: there is no row 24 / UK-24a / UK-24b / UK-25c, no UK LR2 or LRSum template, and no reconciliation from total assets to the exposure measure. With no deduction line to inspect, the test that settled Bank Sepah International, Jordan International Bank and United National Bank cannot be run here, and no basis is asserted. The two-basis UK presentation is in any case effective only for periods from 1 January 2022, and this series runs back to FY2015 on a single unchanging caption.
THE GROUP PILLAR 3 IS NOT THIS ENTITY'S DOCUMENT - checked, and deliberately not used. morganstanley.com/about-us-ir/pillar-uk carries NO MSBIL-specific Pillar 3 in any year after 2016. The available document is the parent's: '2024 Pillar 3 Disclosures - Morgan Stanley International Limited' (167 pages), which is rich in basis language (a normalised phrase scan returns 22 'excluding claims on central banks' and 14 'including' hits) and would make a tempting source. It is the WRONG ENTITY. MSBIL appears in it only in the governance section, the remuneration tables and a director's biography; not one leverage figure in it is struck on MSBIL. Importing the group's declared basis onto this sheet would attribute to MSBIL a statement MSBIL never made. This is the same trap already recorded for Schroder &amp; Co. Limited, whose entity figures were nearly taken from Schroders plc consolidated, and the reason the bare Companies House filing is preferred over the richer group document.</t>
        </is>
      </c>
    </row>
    <row r="8" ht="299" customHeight="1">
      <c r="A8"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2">
    <mergeCell ref="A8:L8"/>
    <mergeCell ref="A6:L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Morgan Stanley Bank International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Liquidity buffer — HQLA</t>
        </is>
      </c>
      <c r="B4" s="6" t="n">
        <v>1110032</v>
      </c>
      <c r="C4" s="6" t="n">
        <v>1825386</v>
      </c>
      <c r="D4" s="6" t="n">
        <v>1190200</v>
      </c>
      <c r="E4" s="6" t="n">
        <v>1230539</v>
      </c>
      <c r="F4" s="6" t="n">
        <v>1240953</v>
      </c>
      <c r="G4" s="6" t="n">
        <v>1594671</v>
      </c>
      <c r="H4" s="6" t="n">
        <v>1220056</v>
      </c>
    </row>
    <row r="5">
      <c r="A5" s="6" t="inlineStr">
        <is>
          <t>Liquidity coverage ratio</t>
        </is>
      </c>
      <c r="B5" s="6" t="inlineStr">
        <is>
          <t>412%</t>
        </is>
      </c>
      <c r="C5" s="6" t="inlineStr">
        <is>
          <t>417%</t>
        </is>
      </c>
      <c r="D5" s="6" t="inlineStr">
        <is>
          <t>250%</t>
        </is>
      </c>
      <c r="E5" s="6" t="inlineStr">
        <is>
          <t>191%</t>
        </is>
      </c>
      <c r="F5" s="6" t="inlineStr">
        <is>
          <t>226%</t>
        </is>
      </c>
      <c r="G5" s="6" t="inlineStr">
        <is>
          <t>219%</t>
        </is>
      </c>
      <c r="H5" s="6" t="inlineStr">
        <is>
          <t>210%</t>
        </is>
      </c>
    </row>
    <row r="6" ht="30" customHeight="1">
      <c r="A6" s="7" t="inlineStr">
        <is>
          <t>Note: The reports state that the HQLA amounts are reported to the regulator in USD and converted to GBP using an average annual exchange rate; the ratios are calculated using the preceding twelve months. FY2014-FY2018: no LCR/HQLA figure was disclosed anywhere in those years' annual reports (confirmed by direct review of each year's liquidity risk note).</t>
        </is>
      </c>
    </row>
    <row r="8" ht="377" customHeight="1">
      <c r="A8"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t>
        </is>
      </c>
    </row>
    <row r="10" ht="220" customHeight="1">
      <c r="A10" s="8" t="inlineStr">
        <is>
          <t>(continued)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3">
    <mergeCell ref="A8:H8"/>
    <mergeCell ref="A6:H6"/>
    <mergeCell ref="A10:H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Morgan Stanley Bank International Limited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Available stable funding</t>
        </is>
      </c>
      <c r="B4" s="6" t="n">
        <v>1485790</v>
      </c>
      <c r="C4" s="6" t="n">
        <v>1597110</v>
      </c>
      <c r="D4" s="6" t="n">
        <v>2191000</v>
      </c>
      <c r="E4" s="6" t="n">
        <v>2344000</v>
      </c>
      <c r="F4" s="6" t="inlineStr">
        <is>
          <t>Not applicable – bank's own footnote, AR2022 p.10: 'NSFR not disclosed for 2021 as PRA requirement from 1 January 2022'</t>
        </is>
      </c>
    </row>
    <row r="5">
      <c r="A5" s="6" t="inlineStr">
        <is>
          <t>Required stable funding</t>
        </is>
      </c>
      <c r="B5" s="6" t="n">
        <v>574724</v>
      </c>
      <c r="C5" s="6" t="n">
        <v>716541</v>
      </c>
      <c r="D5" s="6" t="n">
        <v>1346000</v>
      </c>
      <c r="E5" s="6" t="n">
        <v>1417000</v>
      </c>
      <c r="F5" s="6" t="inlineStr">
        <is>
          <t>Not applicable – bank's own footnote, AR2022 p.10: 'NSFR not disclosed for 2021 as PRA requirement from 1 January 2022'</t>
        </is>
      </c>
    </row>
    <row r="6">
      <c r="A6" s="6" t="inlineStr">
        <is>
          <t>Net Stable Funding Ratio</t>
        </is>
      </c>
      <c r="B6" s="6" t="inlineStr">
        <is>
          <t>263%</t>
        </is>
      </c>
      <c r="C6" s="6" t="inlineStr">
        <is>
          <t>223%</t>
        </is>
      </c>
      <c r="D6" s="6" t="inlineStr">
        <is>
          <t>163%</t>
        </is>
      </c>
      <c r="E6" s="6" t="inlineStr">
        <is>
          <t>165%</t>
        </is>
      </c>
      <c r="F6" s="6" t="inlineStr">
        <is>
          <t>N/A (as printed)</t>
        </is>
      </c>
    </row>
    <row r="7" ht="39" customHeight="1">
      <c r="A7" s="7" t="inlineStr">
        <is>
          <t>Note: The Company states that NSFR became a PRA requirement from 1 January 2022; no NSFR was disclosed for FY2014-FY2021. FY2021 ratio: the FY2022 Annual Report's NSFR table (Strategic Report p.10) prints 'N/A' in its 2021 column, footnoted 'NSFR not disclosed for 2021 as PRA requirement from 1 January 2022' - reproduced as printed (GA-020, 2026-09-19). No 2021 stable-funding amounts are printed.</t>
        </is>
      </c>
    </row>
    <row r="9" ht="364" customHeight="1">
      <c r="A9"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t>
        </is>
      </c>
    </row>
    <row r="11" ht="220" customHeight="1">
      <c r="A11" s="8" t="inlineStr">
        <is>
          <t>(continued)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t>
        </is>
      </c>
    </row>
  </sheetData>
  <mergeCells count="3">
    <mergeCell ref="A11:F11"/>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Morgan Stanley Bank International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zero 'MREL' in all 12 ARs FY2014-FY2025 (image-only CH filings OCR'd 2026-09-19); only TLAC regulatory-change narrative. No MSBIL Pillar 3 exists</t>
        </is>
      </c>
      <c r="C4" s="6" t="inlineStr">
        <is>
          <t>Not published – zero 'MREL' in all 12 ARs FY2014-FY2025 (image-only CH filings OCR'd 2026-09-19); only TLAC regulatory-change narrative. No MSBIL Pillar 3 exists</t>
        </is>
      </c>
      <c r="D4" s="6" t="inlineStr">
        <is>
          <t>Not published – zero 'MREL' in all 12 ARs FY2014-FY2025 (image-only CH filings OCR'd 2026-09-19); only TLAC regulatory-change narrative. No MSBIL Pillar 3 exists</t>
        </is>
      </c>
      <c r="E4" s="6" t="inlineStr">
        <is>
          <t>Not published – zero 'MREL' in all 12 ARs FY2014-FY2025 (image-only CH filings OCR'd 2026-09-19); only TLAC regulatory-change narrative. No MSBIL Pillar 3 exists</t>
        </is>
      </c>
      <c r="F4" s="6" t="inlineStr">
        <is>
          <t>Not published – zero 'MREL' in all 12 ARs FY2014-FY2025 (image-only CH filings OCR'd 2026-09-19); only TLAC regulatory-change narrative. No MSBIL Pillar 3 exists</t>
        </is>
      </c>
      <c r="G4" s="6" t="inlineStr">
        <is>
          <t>Not published – zero 'MREL' in all 12 ARs FY2014-FY2025 (image-only CH filings OCR'd 2026-09-19); only TLAC regulatory-change narrative. No MSBIL Pillar 3 exists</t>
        </is>
      </c>
      <c r="H4" s="6" t="inlineStr">
        <is>
          <t>Not published – zero 'MREL' in all 12 ARs FY2014-FY2025 (image-only CH filings OCR'd 2026-09-19); only TLAC regulatory-change narrative. No MSBIL Pillar 3 exists</t>
        </is>
      </c>
      <c r="I4" s="6" t="inlineStr">
        <is>
          <t>Not published – zero 'MREL' in all 12 ARs FY2014-FY2025 (image-only CH filings OCR'd 2026-09-19); only TLAC regulatory-change narrative. No MSBIL Pillar 3 exists</t>
        </is>
      </c>
      <c r="J4" s="6" t="inlineStr">
        <is>
          <t>Not published – zero 'MREL' in all 12 ARs FY2014-FY2025 (image-only CH filings OCR'd 2026-09-19); only TLAC regulatory-change narrative. No MSBIL Pillar 3 exists</t>
        </is>
      </c>
      <c r="K4" s="6" t="inlineStr">
        <is>
          <t>Not published – zero 'MREL' in all 12 ARs FY2014-FY2025 (image-only CH filings OCR'd 2026-09-19); only TLAC regulatory-change narrative. No MSBIL Pillar 3 exists</t>
        </is>
      </c>
      <c r="L4" s="6" t="inlineStr">
        <is>
          <t>Not published – zero 'MREL' in all 12 ARs FY2014-FY2025 (image-only CH filings OCR'd 2026-09-19); only TLAC regulatory-change narrative. No MSBIL Pillar 3 exists</t>
        </is>
      </c>
      <c r="M4" s="6" t="inlineStr">
        <is>
          <t>Not published – zero 'MREL' in all 12 ARs FY2014-FY2025 (image-only CH filings OCR'd 2026-09-19); only TLAC regulatory-change narrative. No MSBIL Pillar 3 exists</t>
        </is>
      </c>
    </row>
    <row r="6" ht="325" customHeight="1">
      <c r="A6" s="8" t="inlineStr">
        <is>
          <t>ENTITY NOTE: Morgan Stanley Bank International Limited (company 03722571, FRN 195430) is the legal entity listed in Banks List 2608.xlsx. Companies House confirms the active UK private limited company, incorporated 23 February 1999, with registered office at 25 Cabot Square, London E14 4QA. The figures below are standalone Company figures from the entity's own annual reports, not Morgan Stanley International group figures.
Sources — Morgan Stanley Bank International Limited Annual Reports and Financial Statements, Strategic Report capital/liquidity tables and financial statements:
FY2025: Annual Report and Financial Statements for year ended 31 December 2025, pp.5, 8-10, 47 — https://find-and-update.company-information.service.gov.uk/company/03722571/filing-history/MzUxNTMzMjAyMmFkaXF6a2N4/document?format=pdf&amp;download=0
FY2024: Annual Report and Financial Statements for year ended 31 December 2024, pp.5, 8-10 — https://find-and-update.company-information.service.gov.uk/company/03722571/filing-history/MzQ2MjkyNzg4N2FkaXF6a2N4/document?format=pdf&amp;download=0
FY2023: Annual Report and Financial Statements for year ended 31 December 2023, pp.5, 8-10 — https://find-and-update.company-information.service.gov.uk/company/03722571/filing-history/MzQyMDQ2MzQxOGFkaXF6a2N4/document?format=pdf&amp;download=0
FY2022: Annual Report and Financial Statements for year ended 31 December 2022, pp.5, 8-10 — https://find-and-update.company-information.service.gov.uk/company/03722571/filing-history/MzM3ODM5NTg1NmFkaXF6a2N4/document?format=pdf&amp;download=0
FY2021: Annual Report and Financial Statements for year ended 31 December 2021, pp.6, 9-10 — https://find-and-update.company-information.service.gov.uk/company/03722571/filing-history/MzMzODIzODA1MmFkaXF6a2N4/document?format=pdf&amp;download=0
FY2020: Annual Report and Financial Statements for year ended 31 December 2020, pp.5, 12-13 (Key performance indicators / Own Funds / Leverage ratio) — https://find-and-update.company-information.service.gov.uk/company/03722571/filing-history/MzMwMTE4OTc0MWFkaXF6a2N4/document?format=pdf&amp;download=0
FY2019: Annual Report and Financial Statements for year ended 31 December 2020's own FY2019 comparative columns, pp.5, 12-13 — https://find-and-update.company-information.service.gov.uk/company/03722571/filing-history/MzMwMTE4OTc0MWFkaXF6a2N4/document?format=pdf&amp;download=0
FY2018: Annual Report and Financial Statements for year ended 31 December 2018, p.3 (Key performance indicators - Tier 1 capital, Tier 1 ratio, leverage ratio only; no CET1/Total Capital/RWA/LCR/NSFR disclosed) — https://find-and-update.company-information.service.gov.uk/company/03722571/filing-history/MzIzMzQ0NTc3NWFkaXF6a2N4/document?format=pdf&amp;download=0
FY2017: Annual Report and Financial Statements for year ended 31 December 2017, p.3 (same limited KPI disclosure as FY2018) — https://find-and-update.company-information.service.gov.uk/company/03722571/filing-history/MzIwNDA4MDg1M2FkaXF6a2N4/document?format=pdf&amp;download=0
FY2016: Annual Report and Financial Statements for year ended 31 December 2016, p.3 (same limited KPI disclosure) — https://find-and-update.company-information.service.gov.uk/company/03722571/filing-history/MzE3NTI3MTY1OWFkaXF6a2N4/document?format=pdf&amp;download=0
FY2015: Annual Report and Financial Statements for year ended 31 December 2016's own FY2015 comparative column, p.3 (Tier 1 capital/ratio and leverage ratio; the Company's own FY2015 Annual Report carried no capital KPI section at all) — https://find-and-update.company-information.service.gov.uk/company/03722571/filing-history/MzE3NTI3MTY1OWFkaXF6a2N4/document?format=pdf&amp;download=0
FY2014: Annual Report and Financial Statements for year ended 31 December 2014, p.3 — https://find-and-update.company-information.service.gov.uk/company/03722571/filing-history/MzEyMjM5NTcyOWFkaXF6a2N4/document?format=pdf&amp;download=0. No Tier 1 capital, CET1, Total Capital, RWA, leverage or LCR/NSFR figures are disclosed anywhere in the FY2014 report itself or in any later year's comparative (the KPI section first appears in the FY2016 report, reaching back only to FY2015) — genuinely undisclosed, not merely unsourced by us.
The annual reports state that the Company takes the FRS 101 reduced-disclosure exemption from presenting a cash-flow statement. Blank or non-disclosed entries are not estimates or zeros. FY2014-FY2018 annual reports disclose materially less capital/liquidity detail than FY2019 onward: only Tier 1 capital, Tier 1 ratio and leverage ratio are given (no separately-stated CET1, Total Capital, Total RWAs, LCR or NSFR). Because the Company's Own Funds tables in the FY2019/FY2020 reports confirm CET1 = Tier 1 capital exactly in every year reviewed (no Additional Tier 1 instruments), CET1 Capital/CET1 Ratio for FY2015-FY2018 are populated with the same disclosed Tier 1 figures on that structural basis, clearly noted; Total Capital, Total Capital Ratio, Total RWAs, Leverage Exposure, LCR, NSFR and the RWA Breakdown are left blank for FY2014-FY2018 (FY2014-FY2020 for RWA Breakdown, and FY2014-FY2018 for LCR/NSFR) as genuinely not disclosed, rather than estimated.
No standalone MREL ratio was numerically disclosed in any of the twelve annual reports reviewed (FY2014-FY2025); group-level resolution disclosures were not substituted. GA-020 RE-CHECK 2026-09-19: all twelve Companies House filings are image-only, so each was rendered at 110dpi and OCR'd in full (211k-366k characters each, 64-133 hits for 'capital'); zero 'MREL' or 'eligible liabilities' in any, and the only 'loss-absorbing' hits (FY2017-FY2020) are regulatory-change narrative on the G-SII TLAC standard, not a requirement or ratio for the Company.</t>
        </is>
      </c>
    </row>
  </sheetData>
  <mergeCells count="1">
    <mergeCell ref="A6:M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2026-10-26T09:36:11Z</dcterms:created>
  <dcterms:modified xmlns:dcterms="http://purl.org/dc/terms/" xmlns:xsi="http://www.w3.org/2001/XMLSchema-instance" xsi:type="dcterms:W3CDTF">2026-10-26T09:36:11Z</dcterms:modified>
</cp:coreProperties>
</file>