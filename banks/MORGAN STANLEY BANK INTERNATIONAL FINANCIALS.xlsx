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'Overview'!$CD$6:$CT$6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'Overview'!$CD$7:$CT$7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'Overview'!$CD$8:$CT$8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'Overview'!$CD$9:$CT$9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'Overview'!$CD$10:$CT$10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T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s>
  <sheetData>
    <row r="1">
      <c r="A1" s="1" t="inlineStr">
        <is>
          <t>Morgan Stanley Bank International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D5" t="inlineStr">
        <is>
          <t>FY2009</t>
        </is>
      </c>
      <c r="CE5" t="inlineStr">
        <is>
          <t>FY2010</t>
        </is>
      </c>
      <c r="CF5" t="inlineStr">
        <is>
          <t>FY2011</t>
        </is>
      </c>
      <c r="CG5" t="inlineStr">
        <is>
          <t>FY2012</t>
        </is>
      </c>
      <c r="CH5" t="inlineStr">
        <is>
          <t>FY2013</t>
        </is>
      </c>
      <c r="CI5" t="inlineStr">
        <is>
          <t>FY2014</t>
        </is>
      </c>
      <c r="CJ5" t="inlineStr">
        <is>
          <t>FY2015</t>
        </is>
      </c>
      <c r="CK5" t="inlineStr">
        <is>
          <t>FY2016</t>
        </is>
      </c>
      <c r="CL5" t="inlineStr">
        <is>
          <t>FY2017</t>
        </is>
      </c>
      <c r="CM5" t="inlineStr">
        <is>
          <t>FY2018</t>
        </is>
      </c>
      <c r="CN5" t="inlineStr">
        <is>
          <t>FY2019</t>
        </is>
      </c>
      <c r="CO5" t="inlineStr">
        <is>
          <t>FY2020</t>
        </is>
      </c>
      <c r="CP5" t="inlineStr">
        <is>
          <t>FY2021</t>
        </is>
      </c>
      <c r="CQ5" t="inlineStr">
        <is>
          <t>FY2022</t>
        </is>
      </c>
      <c r="CR5" t="inlineStr">
        <is>
          <t>FY2023</t>
        </is>
      </c>
      <c r="CS5" t="inlineStr">
        <is>
          <t>FY2024</t>
        </is>
      </c>
      <c r="CT5" t="inlineStr">
        <is>
          <t>FY2025</t>
        </is>
      </c>
    </row>
    <row r="6">
      <c r="A6" s="5" t="inlineStr">
        <is>
          <t>Total assets</t>
        </is>
      </c>
      <c r="B6" s="5" t="n">
        <v>4474701</v>
      </c>
      <c r="C6" s="5" t="n">
        <v>5943082</v>
      </c>
      <c r="D6" s="5" t="n">
        <v>5761181</v>
      </c>
      <c r="E6" s="5" t="n">
        <v>7691434</v>
      </c>
      <c r="F6" s="5" t="n">
        <v>5166317</v>
      </c>
      <c r="G6" s="5" t="n">
        <v>6191205</v>
      </c>
      <c r="H6" s="5" t="n">
        <v>5497256</v>
      </c>
      <c r="I6" s="5" t="n">
        <v>5178705</v>
      </c>
      <c r="J6" s="5" t="n">
        <v>5321350</v>
      </c>
      <c r="K6" s="5" t="n">
        <v>5742066</v>
      </c>
      <c r="L6" s="5" t="n">
        <v>4691096</v>
      </c>
      <c r="M6" s="5" t="n">
        <v>4974936</v>
      </c>
      <c r="N6" s="5" t="n"/>
      <c r="O6" s="5" t="n"/>
      <c r="P6" s="5" t="n"/>
      <c r="Q6" s="5" t="n"/>
      <c r="R6" s="5" t="n"/>
      <c r="U6" t="inlineStr">
        <is>
          <t>Total assets</t>
        </is>
      </c>
      <c r="AA6" t="n">
        <v>4974936</v>
      </c>
      <c r="AB6" t="n">
        <v>4691096</v>
      </c>
      <c r="AC6" t="n">
        <v>5742066</v>
      </c>
      <c r="AD6" t="n">
        <v>5321350</v>
      </c>
      <c r="AE6" t="n">
        <v>5178705</v>
      </c>
      <c r="AF6" t="n">
        <v>5497256</v>
      </c>
      <c r="AG6" t="n">
        <v>6191205</v>
      </c>
      <c r="AH6" t="n">
        <v>5166317</v>
      </c>
      <c r="AI6" t="n">
        <v>7691434</v>
      </c>
      <c r="AJ6" t="n">
        <v>5761181</v>
      </c>
      <c r="AK6" t="n">
        <v>5943082</v>
      </c>
      <c r="AL6" t="n">
        <v>4474701</v>
      </c>
      <c r="CC6" t="inlineStr">
        <is>
          <t>CET1 Ratio</t>
        </is>
      </c>
      <c r="CJ6" t="n">
        <v>17.1</v>
      </c>
      <c r="CK6" t="n">
        <v>18.4</v>
      </c>
      <c r="CL6" t="n">
        <v>19</v>
      </c>
      <c r="CM6" t="n">
        <v>17.3</v>
      </c>
      <c r="CN6" t="n">
        <v>20.9</v>
      </c>
      <c r="CO6" t="n">
        <v>23.3</v>
      </c>
      <c r="CP6" t="n">
        <v>34.4</v>
      </c>
      <c r="CQ6" t="n">
        <v>34</v>
      </c>
      <c r="CR6" t="n">
        <v>31.7</v>
      </c>
      <c r="CS6" t="n">
        <v>46.7</v>
      </c>
      <c r="CT6" t="n">
        <v>42.6</v>
      </c>
    </row>
    <row r="7">
      <c r="A7" s="5" t="inlineStr">
        <is>
          <t>Loans and advances to customers</t>
        </is>
      </c>
      <c r="B7" s="5" t="n">
        <v>422190</v>
      </c>
      <c r="C7" s="5" t="n">
        <v>775727</v>
      </c>
      <c r="D7" s="5" t="n">
        <v>760186</v>
      </c>
      <c r="E7" s="5" t="n">
        <v>1227715</v>
      </c>
      <c r="F7" s="5" t="n">
        <v>380124</v>
      </c>
      <c r="G7" s="5" t="n">
        <v>24573</v>
      </c>
      <c r="H7" s="5" t="n">
        <v>180250</v>
      </c>
      <c r="I7" s="5" t="n">
        <v>363113</v>
      </c>
      <c r="J7" s="5" t="n">
        <v>354177</v>
      </c>
      <c r="K7" s="5" t="n">
        <v>385052</v>
      </c>
      <c r="L7" s="5" t="n">
        <v>155311</v>
      </c>
      <c r="M7" s="5" t="n">
        <v>617659</v>
      </c>
      <c r="N7" s="5" t="n"/>
      <c r="O7" s="5" t="n"/>
      <c r="P7" s="5" t="n"/>
      <c r="Q7" s="5" t="n"/>
      <c r="R7" s="5" t="n"/>
      <c r="U7" t="inlineStr">
        <is>
          <t>Loans and advances to customers</t>
        </is>
      </c>
      <c r="AA7" t="n">
        <v>617659</v>
      </c>
      <c r="AB7" t="n">
        <v>155311</v>
      </c>
      <c r="AC7" t="n">
        <v>385052</v>
      </c>
      <c r="AD7" t="n">
        <v>354177</v>
      </c>
      <c r="AE7" t="n">
        <v>363113</v>
      </c>
      <c r="AF7" t="n">
        <v>180250</v>
      </c>
      <c r="AG7" t="n">
        <v>24573</v>
      </c>
      <c r="AH7" t="n">
        <v>380124</v>
      </c>
      <c r="AI7" t="n">
        <v>1227715</v>
      </c>
      <c r="AJ7" t="n">
        <v>760186</v>
      </c>
      <c r="AK7" t="n">
        <v>775727</v>
      </c>
      <c r="AL7" t="n">
        <v>422190</v>
      </c>
      <c r="CC7" t="inlineStr">
        <is>
          <t>Total Capital Ratio</t>
        </is>
      </c>
      <c r="CN7" t="n">
        <v>29.7</v>
      </c>
      <c r="CO7" t="n">
        <v>33.5</v>
      </c>
      <c r="CP7" t="n">
        <v>44</v>
      </c>
      <c r="CQ7" t="n">
        <v>48.5</v>
      </c>
      <c r="CR7" t="n">
        <v>43.3</v>
      </c>
      <c r="CS7" t="n">
        <v>59.8</v>
      </c>
      <c r="CT7" t="n">
        <v>58.9</v>
      </c>
    </row>
    <row r="8">
      <c r="A8" s="5" t="inlineStr">
        <is>
          <t>Customer accounts</t>
        </is>
      </c>
      <c r="B8" s="5" t="n">
        <v>632759</v>
      </c>
      <c r="C8" s="5" t="n">
        <v>783693</v>
      </c>
      <c r="D8" s="5" t="n">
        <v>1246212</v>
      </c>
      <c r="E8" s="5" t="n">
        <v>1814583</v>
      </c>
      <c r="F8" s="5" t="n">
        <v>1502764</v>
      </c>
      <c r="G8" s="5" t="n">
        <v>1647638</v>
      </c>
      <c r="H8" s="5" t="n">
        <v>1331496</v>
      </c>
      <c r="I8" s="5" t="n">
        <v>1072143</v>
      </c>
      <c r="J8" s="5" t="n">
        <v>875555</v>
      </c>
      <c r="K8" s="5" t="n">
        <v>747831</v>
      </c>
      <c r="L8" s="5" t="n">
        <v>719706</v>
      </c>
      <c r="M8" s="5" t="n">
        <v>1092621</v>
      </c>
      <c r="N8" s="5" t="n"/>
      <c r="O8" s="5" t="n"/>
      <c r="P8" s="5" t="n"/>
      <c r="Q8" s="5" t="n"/>
      <c r="R8" s="5" t="n"/>
      <c r="U8" t="inlineStr">
        <is>
          <t>Customer accounts</t>
        </is>
      </c>
      <c r="AA8" t="n">
        <v>1092621</v>
      </c>
      <c r="AB8" t="n">
        <v>719706</v>
      </c>
      <c r="AC8" t="n">
        <v>747831</v>
      </c>
      <c r="AD8" t="n">
        <v>875555</v>
      </c>
      <c r="AE8" t="n">
        <v>1072143</v>
      </c>
      <c r="AF8" t="n">
        <v>1331496</v>
      </c>
      <c r="AG8" t="n">
        <v>1647638</v>
      </c>
      <c r="AH8" t="n">
        <v>1502764</v>
      </c>
      <c r="AI8" t="n">
        <v>1814583</v>
      </c>
      <c r="AJ8" t="n">
        <v>1246212</v>
      </c>
      <c r="AK8" t="n">
        <v>783693</v>
      </c>
      <c r="AL8" t="n">
        <v>632759</v>
      </c>
      <c r="CC8" t="inlineStr">
        <is>
          <t>Leverage Ratio</t>
        </is>
      </c>
      <c r="CJ8" t="n">
        <v>14.7</v>
      </c>
      <c r="CK8" t="n">
        <v>13.7</v>
      </c>
      <c r="CL8" t="n">
        <v>16</v>
      </c>
      <c r="CM8" t="n">
        <v>18</v>
      </c>
      <c r="CN8" t="n">
        <v>16.3</v>
      </c>
      <c r="CO8" t="n">
        <v>19.8</v>
      </c>
      <c r="CP8" t="n">
        <v>30.1</v>
      </c>
      <c r="CQ8" t="n">
        <v>18.5</v>
      </c>
      <c r="CR8" t="n">
        <v>23.9</v>
      </c>
      <c r="CS8" t="n">
        <v>29.1</v>
      </c>
      <c r="CT8" t="n">
        <v>30.3</v>
      </c>
    </row>
    <row r="9">
      <c r="A9" s="5" t="inlineStr">
        <is>
          <t>Total equity</t>
        </is>
      </c>
      <c r="B9" s="5" t="n">
        <v>747901</v>
      </c>
      <c r="C9" s="5" t="n">
        <v>810485</v>
      </c>
      <c r="D9" s="5" t="n">
        <v>765983</v>
      </c>
      <c r="E9" s="5" t="n">
        <v>766224</v>
      </c>
      <c r="F9" s="5" t="n">
        <v>821983</v>
      </c>
      <c r="G9" s="5" t="n">
        <v>812361</v>
      </c>
      <c r="H9" s="5" t="n">
        <v>712969</v>
      </c>
      <c r="I9" s="5" t="n">
        <v>674193</v>
      </c>
      <c r="J9" s="5" t="n">
        <v>654676</v>
      </c>
      <c r="K9" s="5" t="n">
        <v>599209</v>
      </c>
      <c r="L9" s="5" t="n">
        <v>547779</v>
      </c>
      <c r="M9" s="5" t="n">
        <v>535307</v>
      </c>
      <c r="N9" s="5" t="n"/>
      <c r="O9" s="5" t="n"/>
      <c r="P9" s="5" t="n"/>
      <c r="Q9" s="5" t="n"/>
      <c r="R9" s="5" t="n"/>
      <c r="U9" t="inlineStr">
        <is>
          <t>Total equity</t>
        </is>
      </c>
      <c r="AA9" t="n">
        <v>535307</v>
      </c>
      <c r="AB9" t="n">
        <v>547779</v>
      </c>
      <c r="AC9" t="n">
        <v>599209</v>
      </c>
      <c r="AD9" t="n">
        <v>654676</v>
      </c>
      <c r="AE9" t="n">
        <v>674193</v>
      </c>
      <c r="AF9" t="n">
        <v>712969</v>
      </c>
      <c r="AG9" t="n">
        <v>812361</v>
      </c>
      <c r="AH9" t="n">
        <v>821983</v>
      </c>
      <c r="AI9" t="n">
        <v>766224</v>
      </c>
      <c r="AJ9" t="n">
        <v>765983</v>
      </c>
      <c r="AK9" t="n">
        <v>810485</v>
      </c>
      <c r="AL9" t="n">
        <v>747901</v>
      </c>
      <c r="CC9" t="inlineStr">
        <is>
          <t>LCR</t>
        </is>
      </c>
      <c r="CN9" t="n">
        <v>210</v>
      </c>
      <c r="CO9" t="n">
        <v>219</v>
      </c>
      <c r="CP9" t="n">
        <v>226</v>
      </c>
      <c r="CQ9" t="n">
        <v>191</v>
      </c>
      <c r="CR9" t="n">
        <v>250</v>
      </c>
      <c r="CS9" t="n">
        <v>417</v>
      </c>
      <c r="CT9" t="n">
        <v>412</v>
      </c>
    </row>
    <row r="10">
      <c r="CC10" t="inlineStr">
        <is>
          <t>NSFR</t>
        </is>
      </c>
      <c r="CQ10" t="n">
        <v>165</v>
      </c>
      <c r="CR10" t="n">
        <v>163</v>
      </c>
      <c r="CS10" t="n">
        <v>223</v>
      </c>
      <c r="CT10" t="n">
        <v>263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FY2024</t>
        </is>
      </c>
      <c r="BF12" t="inlineStr">
        <is>
          <t>FY2025</t>
        </is>
      </c>
    </row>
    <row r="13">
      <c r="A13" s="5" t="inlineStr">
        <is>
          <t>Net interest income</t>
        </is>
      </c>
      <c r="B13" s="5" t="n">
        <v>43615</v>
      </c>
      <c r="C13" s="5" t="n">
        <v>57062</v>
      </c>
      <c r="D13" s="5" t="n">
        <v>52288</v>
      </c>
      <c r="E13" s="5" t="n">
        <v>20340</v>
      </c>
      <c r="F13" s="5" t="n">
        <v>14628</v>
      </c>
      <c r="G13" s="5" t="n">
        <v>33154</v>
      </c>
      <c r="H13" s="5" t="n">
        <v>11958</v>
      </c>
      <c r="I13" s="5" t="n">
        <v>1096</v>
      </c>
      <c r="J13" s="5" t="n">
        <v>13484</v>
      </c>
      <c r="K13" s="5" t="n">
        <v>5549</v>
      </c>
      <c r="L13" s="5" t="n">
        <v>19156</v>
      </c>
      <c r="M13" s="5" t="n">
        <v>14084</v>
      </c>
      <c r="N13" s="5" t="n"/>
      <c r="O13" s="5" t="n"/>
      <c r="P13" s="5" t="n"/>
      <c r="Q13" s="5" t="n"/>
      <c r="R13" s="5" t="n"/>
      <c r="AO13" t="inlineStr">
        <is>
          <t>Net interest income</t>
        </is>
      </c>
      <c r="AU13" t="n">
        <v>14084</v>
      </c>
      <c r="AV13" t="n">
        <v>19156</v>
      </c>
      <c r="AW13" t="n">
        <v>5549</v>
      </c>
      <c r="AX13" t="n">
        <v>13484</v>
      </c>
      <c r="AY13" t="n">
        <v>1096</v>
      </c>
      <c r="AZ13" t="n">
        <v>11958</v>
      </c>
      <c r="BA13" t="n">
        <v>33154</v>
      </c>
      <c r="BB13" t="n">
        <v>14628</v>
      </c>
      <c r="BC13" t="n">
        <v>20340</v>
      </c>
      <c r="BD13" t="n">
        <v>52288</v>
      </c>
      <c r="BE13" t="n">
        <v>57062</v>
      </c>
      <c r="BF13" t="n">
        <v>43615</v>
      </c>
    </row>
    <row r="14">
      <c r="A14" s="5" t="inlineStr">
        <is>
          <t>Administrative expenses</t>
        </is>
      </c>
      <c r="B14" s="5" t="n">
        <v>-21070</v>
      </c>
      <c r="C14" s="5" t="n">
        <v>-27722</v>
      </c>
      <c r="D14" s="5" t="n">
        <v>-34895</v>
      </c>
      <c r="E14" s="5" t="n">
        <v>-32647</v>
      </c>
      <c r="F14" s="5" t="n">
        <v>-48725</v>
      </c>
      <c r="G14" s="5" t="n">
        <v>-76126</v>
      </c>
      <c r="H14" s="5" t="n">
        <v>-81870</v>
      </c>
      <c r="I14" s="5" t="n">
        <v>-82152</v>
      </c>
      <c r="J14" s="5" t="n">
        <v>-75348</v>
      </c>
      <c r="K14" s="5" t="n">
        <v>-41791</v>
      </c>
      <c r="L14" s="5" t="n">
        <v>-44792</v>
      </c>
      <c r="M14" s="5" t="n">
        <v>-57487</v>
      </c>
      <c r="N14" s="5" t="n"/>
      <c r="O14" s="5" t="n"/>
      <c r="P14" s="5" t="n"/>
      <c r="Q14" s="5" t="n"/>
      <c r="R14" s="5" t="n"/>
      <c r="AO14" t="inlineStr">
        <is>
          <t>Administrative expenses</t>
        </is>
      </c>
      <c r="AU14" t="n">
        <v>-57487</v>
      </c>
      <c r="AV14" t="n">
        <v>-44792</v>
      </c>
      <c r="AW14" t="n">
        <v>-41791</v>
      </c>
      <c r="AX14" t="n">
        <v>-75348</v>
      </c>
      <c r="AY14" t="n">
        <v>-82152</v>
      </c>
      <c r="AZ14" t="n">
        <v>-81870</v>
      </c>
      <c r="BA14" t="n">
        <v>-76126</v>
      </c>
      <c r="BB14" t="n">
        <v>-48725</v>
      </c>
      <c r="BC14" t="n">
        <v>-32647</v>
      </c>
      <c r="BD14" t="n">
        <v>-34895</v>
      </c>
      <c r="BE14" t="n">
        <v>-27722</v>
      </c>
      <c r="BF14" t="n">
        <v>-21070</v>
      </c>
    </row>
    <row r="15">
      <c r="A15" s="5" t="inlineStr">
        <is>
          <t>Profit for the year</t>
        </is>
      </c>
      <c r="B15" s="5" t="n">
        <v>37579</v>
      </c>
      <c r="C15" s="5" t="n">
        <v>45781</v>
      </c>
      <c r="D15" s="5" t="n">
        <v>314</v>
      </c>
      <c r="E15" s="5" t="n">
        <v>94153</v>
      </c>
      <c r="F15" s="5" t="n">
        <v>9877</v>
      </c>
      <c r="G15" s="5" t="n">
        <v>94430</v>
      </c>
      <c r="H15" s="5" t="n">
        <v>38122</v>
      </c>
      <c r="I15" s="5" t="n">
        <v>27693</v>
      </c>
      <c r="J15" s="5" t="n">
        <v>49705</v>
      </c>
      <c r="K15" s="5" t="n">
        <v>27988</v>
      </c>
      <c r="L15" s="5" t="n">
        <v>18134</v>
      </c>
      <c r="M15" s="5" t="n">
        <v>30766</v>
      </c>
      <c r="N15" s="5" t="n"/>
      <c r="O15" s="5" t="n"/>
      <c r="P15" s="5" t="n"/>
      <c r="Q15" s="5" t="n"/>
      <c r="R15" s="5" t="n"/>
      <c r="AO15" t="inlineStr">
        <is>
          <t>Profit for the year</t>
        </is>
      </c>
      <c r="AU15" t="n">
        <v>30766</v>
      </c>
      <c r="AV15" t="n">
        <v>18134</v>
      </c>
      <c r="AW15" t="n">
        <v>27988</v>
      </c>
      <c r="AX15" t="n">
        <v>49705</v>
      </c>
      <c r="AY15" t="n">
        <v>27693</v>
      </c>
      <c r="AZ15" t="n">
        <v>38122</v>
      </c>
      <c r="BA15" t="n">
        <v>94430</v>
      </c>
      <c r="BB15" t="n">
        <v>9877</v>
      </c>
      <c r="BC15" t="n">
        <v>94153</v>
      </c>
      <c r="BD15" t="n">
        <v>314</v>
      </c>
      <c r="BE15" t="n">
        <v>45781</v>
      </c>
      <c r="BF15" t="n">
        <v>37579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Opening equity</t>
        </is>
      </c>
      <c r="B19" s="5" t="n">
        <v>810485</v>
      </c>
      <c r="C19" s="5" t="n">
        <v>765983</v>
      </c>
      <c r="D19" s="5" t="n">
        <v>766224</v>
      </c>
      <c r="E19" s="5" t="n">
        <v>821983</v>
      </c>
      <c r="F19" s="5" t="n">
        <v>812361</v>
      </c>
      <c r="G19" s="5" t="n">
        <v>712969</v>
      </c>
      <c r="H19" s="5" t="n">
        <v>674193</v>
      </c>
      <c r="I19" s="5" t="n">
        <v>654676</v>
      </c>
      <c r="J19" s="5" t="n">
        <v>599209</v>
      </c>
      <c r="K19" s="5" t="n">
        <v>547779</v>
      </c>
      <c r="L19" s="5" t="n">
        <v>531729</v>
      </c>
      <c r="M19" s="5" t="n">
        <v>500804</v>
      </c>
      <c r="N19" s="5" t="n"/>
      <c r="O19" s="5" t="n"/>
      <c r="P19" s="5" t="n"/>
      <c r="Q19" s="5" t="n"/>
      <c r="R19" s="5" t="n"/>
      <c r="BI19" t="inlineStr">
        <is>
          <t>Opening equity</t>
        </is>
      </c>
      <c r="BO19" t="n">
        <v>500804</v>
      </c>
      <c r="BP19" t="n">
        <v>531729</v>
      </c>
      <c r="BQ19" t="n">
        <v>547779</v>
      </c>
      <c r="BR19" t="n">
        <v>599209</v>
      </c>
      <c r="BS19" t="n">
        <v>654676</v>
      </c>
      <c r="BT19" t="n">
        <v>674193</v>
      </c>
      <c r="BU19" t="n">
        <v>712969</v>
      </c>
      <c r="BV19" t="n">
        <v>812361</v>
      </c>
      <c r="BW19" t="n">
        <v>821983</v>
      </c>
      <c r="BX19" t="n">
        <v>766224</v>
      </c>
      <c r="BY19" t="n">
        <v>765983</v>
      </c>
      <c r="BZ19" t="n">
        <v>810485</v>
      </c>
    </row>
    <row r="20">
      <c r="A20" s="5" t="inlineStr">
        <is>
          <t>Total comprehensive income for the year</t>
        </is>
      </c>
      <c r="B20" s="5" t="n">
        <v>37416</v>
      </c>
      <c r="C20" s="5" t="n">
        <v>44502</v>
      </c>
      <c r="D20" s="5" t="n">
        <v>-241</v>
      </c>
      <c r="E20" s="5" t="n">
        <v>94241</v>
      </c>
      <c r="F20" s="5" t="n">
        <v>9622</v>
      </c>
      <c r="G20" s="5" t="n">
        <v>95113</v>
      </c>
      <c r="H20" s="5" t="n">
        <v>38776</v>
      </c>
      <c r="I20" s="5" t="n">
        <v>20377</v>
      </c>
      <c r="J20" s="5" t="n">
        <v>55467</v>
      </c>
      <c r="K20" s="5" t="n">
        <v>51430</v>
      </c>
      <c r="L20" s="5" t="n">
        <v>16050</v>
      </c>
      <c r="M20" s="5" t="n">
        <v>32444</v>
      </c>
      <c r="N20" s="5" t="n"/>
      <c r="O20" s="5" t="n"/>
      <c r="P20" s="5" t="n"/>
      <c r="Q20" s="5" t="n"/>
      <c r="R20" s="5" t="n"/>
      <c r="BI20" t="inlineStr">
        <is>
          <t>Total comprehensive income for the year</t>
        </is>
      </c>
      <c r="BO20" t="n">
        <v>32444</v>
      </c>
      <c r="BP20" t="n">
        <v>16050</v>
      </c>
      <c r="BQ20" t="n">
        <v>51430</v>
      </c>
      <c r="BR20" t="n">
        <v>55467</v>
      </c>
      <c r="BS20" t="n">
        <v>20377</v>
      </c>
      <c r="BT20" t="n">
        <v>38776</v>
      </c>
      <c r="BU20" t="n">
        <v>95113</v>
      </c>
      <c r="BV20" t="n">
        <v>9622</v>
      </c>
      <c r="BW20" t="n">
        <v>94241</v>
      </c>
      <c r="BX20" t="n">
        <v>-241</v>
      </c>
      <c r="BY20" t="n">
        <v>44502</v>
      </c>
      <c r="BZ20" t="n">
        <v>37416</v>
      </c>
    </row>
    <row r="21">
      <c r="A21" s="5" t="inlineStr">
        <is>
          <t>Other equity movements, net</t>
        </is>
      </c>
      <c r="B21" s="5" t="n">
        <v>-100000</v>
      </c>
      <c r="C21" s="5" t="n">
        <v>0</v>
      </c>
      <c r="D21" s="5" t="n">
        <v>0</v>
      </c>
      <c r="E21" s="5" t="n">
        <v>-150000</v>
      </c>
      <c r="F21" s="5" t="n">
        <v>0</v>
      </c>
      <c r="G21" s="5" t="n">
        <v>4279</v>
      </c>
      <c r="H21" s="5" t="n">
        <v>0</v>
      </c>
      <c r="I21" s="5" t="n">
        <v>-860</v>
      </c>
      <c r="J21" s="5" t="n">
        <v>0</v>
      </c>
      <c r="K21" s="5" t="n">
        <v>0</v>
      </c>
      <c r="L21" s="5" t="n">
        <v>0</v>
      </c>
      <c r="M21" s="5" t="n">
        <v>2059</v>
      </c>
      <c r="N21" s="5" t="n"/>
      <c r="O21" s="5" t="n"/>
      <c r="P21" s="5" t="n"/>
      <c r="Q21" s="5" t="n"/>
      <c r="R21" s="5" t="n"/>
      <c r="BI21" t="inlineStr">
        <is>
          <t>Other equity movements, net</t>
        </is>
      </c>
      <c r="BO21" t="n">
        <v>2059</v>
      </c>
      <c r="BP21" t="n">
        <v>0</v>
      </c>
      <c r="BQ21" t="n">
        <v>0</v>
      </c>
      <c r="BR21" t="n">
        <v>0</v>
      </c>
      <c r="BS21" t="n">
        <v>-860</v>
      </c>
      <c r="BT21" t="n">
        <v>0</v>
      </c>
      <c r="BU21" t="n">
        <v>4279</v>
      </c>
      <c r="BV21" t="n">
        <v>0</v>
      </c>
      <c r="BW21" t="n">
        <v>-150000</v>
      </c>
      <c r="BX21" t="n">
        <v>0</v>
      </c>
      <c r="BY21" t="n">
        <v>0</v>
      </c>
      <c r="BZ21" t="n">
        <v>-100000</v>
      </c>
    </row>
    <row r="22">
      <c r="A22" s="5" t="inlineStr">
        <is>
          <t>Closing equity</t>
        </is>
      </c>
      <c r="B22" s="5" t="n">
        <v>747901</v>
      </c>
      <c r="C22" s="5" t="n">
        <v>810485</v>
      </c>
      <c r="D22" s="5" t="n">
        <v>765983</v>
      </c>
      <c r="E22" s="5" t="n">
        <v>766224</v>
      </c>
      <c r="F22" s="5" t="n">
        <v>821983</v>
      </c>
      <c r="G22" s="5" t="n">
        <v>812361</v>
      </c>
      <c r="H22" s="5" t="n">
        <v>712969</v>
      </c>
      <c r="I22" s="5" t="n">
        <v>674193</v>
      </c>
      <c r="J22" s="5" t="n">
        <v>654676</v>
      </c>
      <c r="K22" s="5" t="n">
        <v>599209</v>
      </c>
      <c r="L22" s="5" t="n">
        <v>547779</v>
      </c>
      <c r="M22" s="5" t="n">
        <v>535307</v>
      </c>
      <c r="N22" s="5" t="n"/>
      <c r="O22" s="5" t="n"/>
      <c r="P22" s="5" t="n"/>
      <c r="Q22" s="5" t="n"/>
      <c r="R22" s="5" t="n"/>
      <c r="BI22" t="inlineStr">
        <is>
          <t>Closing equity</t>
        </is>
      </c>
      <c r="BO22" t="n">
        <v>535307</v>
      </c>
      <c r="BP22" t="n">
        <v>547779</v>
      </c>
      <c r="BQ22" t="n">
        <v>599209</v>
      </c>
      <c r="BR22" t="n">
        <v>654676</v>
      </c>
      <c r="BS22" t="n">
        <v>674193</v>
      </c>
      <c r="BT22" t="n">
        <v>712969</v>
      </c>
      <c r="BU22" t="n">
        <v>812361</v>
      </c>
      <c r="BV22" t="n">
        <v>821983</v>
      </c>
      <c r="BW22" t="n">
        <v>766224</v>
      </c>
      <c r="BX22" t="n">
        <v>765983</v>
      </c>
      <c r="BY22" t="n">
        <v>810485</v>
      </c>
      <c r="BZ22" t="n">
        <v>747901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t>
        </is>
      </c>
      <c r="R27" s="4" t="inlineStr">
        <is>
          <t>FY2009</t>
        </is>
      </c>
    </row>
    <row r="28">
      <c r="A28" s="6" t="inlineStr">
        <is>
          <t>CET1 Ratio</t>
        </is>
      </c>
      <c r="B28" s="6" t="inlineStr">
        <is>
          <t>42.6%</t>
        </is>
      </c>
      <c r="C28" s="6" t="inlineStr">
        <is>
          <t>46.7%</t>
        </is>
      </c>
      <c r="D28" s="6" t="inlineStr">
        <is>
          <t>31.7%</t>
        </is>
      </c>
      <c r="E28" s="6" t="inlineStr">
        <is>
          <t>34.0%</t>
        </is>
      </c>
      <c r="F28" s="6" t="inlineStr">
        <is>
          <t>34.4%</t>
        </is>
      </c>
      <c r="G28" s="6" t="inlineStr">
        <is>
          <t>23.3%</t>
        </is>
      </c>
      <c r="H28" s="6" t="inlineStr">
        <is>
          <t>20.9%</t>
        </is>
      </c>
      <c r="I28" s="6" t="inlineStr">
        <is>
          <t>17.3%</t>
        </is>
      </c>
      <c r="J28" s="6" t="inlineStr">
        <is>
          <t>19.0%</t>
        </is>
      </c>
      <c r="K28" s="6" t="inlineStr">
        <is>
          <t>18.4%</t>
        </is>
      </c>
      <c r="L28" s="6" t="inlineStr">
        <is>
          <t>17.1%</t>
        </is>
      </c>
      <c r="M28" s="6" t="n"/>
      <c r="N28" s="6" t="n"/>
      <c r="O28" s="6" t="n"/>
      <c r="P28" s="6" t="n"/>
      <c r="Q28" s="6" t="n"/>
      <c r="R28" s="6" t="n"/>
    </row>
    <row r="29">
      <c r="A29" s="6" t="inlineStr">
        <is>
          <t>Total Capital Ratio</t>
        </is>
      </c>
      <c r="B29" s="6" t="inlineStr">
        <is>
          <t>58.9%</t>
        </is>
      </c>
      <c r="C29" s="6" t="inlineStr">
        <is>
          <t>59.8%</t>
        </is>
      </c>
      <c r="D29" s="6" t="inlineStr">
        <is>
          <t>43.3%</t>
        </is>
      </c>
      <c r="E29" s="6" t="inlineStr">
        <is>
          <t>48.5%</t>
        </is>
      </c>
      <c r="F29" s="6" t="inlineStr">
        <is>
          <t>44.0%</t>
        </is>
      </c>
      <c r="G29" s="6" t="inlineStr">
        <is>
          <t>33.5%</t>
        </is>
      </c>
      <c r="H29" s="6" t="inlineStr">
        <is>
          <t>29.7%</t>
        </is>
      </c>
      <c r="I29" s="6" t="n"/>
      <c r="J29" s="6" t="n"/>
      <c r="K29" s="6" t="n"/>
      <c r="L29" s="6" t="n"/>
      <c r="M29" s="6" t="n"/>
      <c r="N29" s="6" t="n"/>
      <c r="O29" s="6" t="n"/>
      <c r="P29" s="6" t="n"/>
      <c r="Q29" s="6" t="n"/>
      <c r="R29" s="6" t="n"/>
    </row>
    <row r="30">
      <c r="A30" s="6" t="inlineStr">
        <is>
          <t>Leverage Ratio</t>
        </is>
      </c>
      <c r="B30" s="6" t="inlineStr">
        <is>
          <t>30.3%</t>
        </is>
      </c>
      <c r="C30" s="6" t="inlineStr">
        <is>
          <t>29.1%</t>
        </is>
      </c>
      <c r="D30" s="6" t="inlineStr">
        <is>
          <t>23.9%</t>
        </is>
      </c>
      <c r="E30" s="6" t="inlineStr">
        <is>
          <t>18.5%</t>
        </is>
      </c>
      <c r="F30" s="6" t="inlineStr">
        <is>
          <t>30.1%</t>
        </is>
      </c>
      <c r="G30" s="6" t="inlineStr">
        <is>
          <t>19.8%</t>
        </is>
      </c>
      <c r="H30" s="6" t="inlineStr">
        <is>
          <t>16.3%</t>
        </is>
      </c>
      <c r="I30" s="6" t="inlineStr">
        <is>
          <t>18.0%</t>
        </is>
      </c>
      <c r="J30" s="6" t="inlineStr">
        <is>
          <t>16.0%</t>
        </is>
      </c>
      <c r="K30" s="6" t="inlineStr">
        <is>
          <t>13.7%</t>
        </is>
      </c>
      <c r="L30" s="6" t="inlineStr">
        <is>
          <t>14.7%</t>
        </is>
      </c>
      <c r="M30" s="6" t="n"/>
      <c r="N30" s="6" t="n"/>
      <c r="O30" s="6" t="n"/>
      <c r="P30" s="6" t="n"/>
      <c r="Q30" s="6" t="n"/>
      <c r="R30" s="6" t="n"/>
    </row>
    <row r="31">
      <c r="A31" s="6" t="inlineStr">
        <is>
          <t>LCR</t>
        </is>
      </c>
      <c r="B31" s="6" t="inlineStr">
        <is>
          <t>412%</t>
        </is>
      </c>
      <c r="C31" s="6" t="inlineStr">
        <is>
          <t>417%</t>
        </is>
      </c>
      <c r="D31" s="6" t="inlineStr">
        <is>
          <t>250%</t>
        </is>
      </c>
      <c r="E31" s="6" t="inlineStr">
        <is>
          <t>191%</t>
        </is>
      </c>
      <c r="F31" s="6" t="inlineStr">
        <is>
          <t>226%</t>
        </is>
      </c>
      <c r="G31" s="6" t="inlineStr">
        <is>
          <t>219%</t>
        </is>
      </c>
      <c r="H31" s="6" t="inlineStr">
        <is>
          <t>210%</t>
        </is>
      </c>
      <c r="I31" s="6" t="n"/>
      <c r="J31" s="6" t="n"/>
      <c r="K31" s="6" t="n"/>
      <c r="L31" s="6" t="n"/>
      <c r="M31" s="6" t="n"/>
      <c r="N31" s="6" t="n"/>
      <c r="O31" s="6" t="n"/>
      <c r="P31" s="6" t="n"/>
      <c r="Q31" s="6" t="n"/>
      <c r="R31" s="6" t="n"/>
    </row>
    <row r="32">
      <c r="A32" s="6" t="inlineStr">
        <is>
          <t>NSFR</t>
        </is>
      </c>
      <c r="B32" s="6" t="inlineStr">
        <is>
          <t>263%</t>
        </is>
      </c>
      <c r="C32" s="6" t="inlineStr">
        <is>
          <t>223%</t>
        </is>
      </c>
      <c r="D32" s="6" t="inlineStr">
        <is>
          <t>163%</t>
        </is>
      </c>
      <c r="E32" s="6" t="inlineStr">
        <is>
          <t>165%</t>
        </is>
      </c>
      <c r="F32" s="6" t="inlineStr">
        <is>
          <t>Not disclosed</t>
        </is>
      </c>
      <c r="G32" s="6" t="n"/>
      <c r="H32" s="6" t="n"/>
      <c r="I32" s="6" t="n"/>
      <c r="J32" s="6" t="n"/>
      <c r="K32" s="6" t="n"/>
      <c r="L32" s="6" t="n"/>
      <c r="M32" s="6" t="n"/>
      <c r="N32" s="6" t="n"/>
      <c r="O32" s="6" t="n"/>
      <c r="P32" s="6" t="n"/>
      <c r="Q32" s="6" t="n"/>
      <c r="R32" s="6" t="n"/>
    </row>
    <row r="34" ht="45" customHeight="1">
      <c r="A34" s="7" t="inlineStr">
        <is>
          <t>Note: The Company takes the FRS 101 exemption from presenting a cash-flow statement. Interim Morgan Stanley International Pillar 3 reports are group-level and do not provide defensible standalone MSBIL interim data. FY2014-FY2018: CET1 Ratio uses the disclosed Tier 1 ratio (CET1 = Tier 1 capital in every year checked); Total Capital Ratio, LCR and NSFR are blank where not disclosed (see the RWA/Total Capital/LCR/NSFR sheets for detail); FY2014 additionally has no Leverage Ratio (first required from FY2015) and no capital ratio of any kind besides what appears here.</t>
        </is>
      </c>
    </row>
  </sheetData>
  <mergeCells count="1">
    <mergeCell ref="A34:R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Balance Sheet</t>
        </is>
      </c>
    </row>
    <row r="2">
      <c r="A2" s="2" t="inlineStr">
        <is>
          <t>Standalone Company basis (FRS 101). £'000. FY2021 uniquely shows an 'Investment in subsidiary undertaking' line (£105,374k) - disposed of during FY2022, generating that year's £93,978k 'Gain on disposal of subsidiary' on the Profit &amp; Loss sheet and dropping to £nil from FY2022 onward. 'Deferred tax liabilities' only appears as its own line from FY2024 (shown as '–'/nil that year, £1,079k in FY2025); FY2021-FY2023 disclose no such line at all (shown blank, not zero).</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c r="N5" s="6" t="n">
        <v>28138</v>
      </c>
      <c r="O5" s="6" t="n">
        <v>31428</v>
      </c>
      <c r="P5" s="6" t="n">
        <v>13459</v>
      </c>
      <c r="Q5" s="6" t="n">
        <v>29719</v>
      </c>
      <c r="R5" s="6" t="n">
        <v>16153</v>
      </c>
    </row>
    <row r="6">
      <c r="A6" s="6" t="inlineStr">
        <is>
          <t>Secured financing</t>
        </is>
      </c>
      <c r="B6" s="6" t="n">
        <v>836854</v>
      </c>
      <c r="C6" s="6" t="n">
        <v>1163336</v>
      </c>
      <c r="D6" s="6" t="n">
        <v>1150162</v>
      </c>
      <c r="E6" s="6" t="n">
        <v>1330363</v>
      </c>
      <c r="F6" s="6" t="n">
        <v>1139856</v>
      </c>
      <c r="G6" s="6" t="n">
        <v>1501101</v>
      </c>
      <c r="H6" s="6" t="n">
        <v>1480900</v>
      </c>
      <c r="I6" s="6" t="n">
        <v>1280633</v>
      </c>
      <c r="J6" s="6" t="n">
        <v>1039793</v>
      </c>
      <c r="K6" s="6" t="n">
        <v>879913</v>
      </c>
      <c r="L6" s="6" t="n">
        <v>921954</v>
      </c>
      <c r="M6" s="6" t="n">
        <v>825761</v>
      </c>
      <c r="N6" s="6" t="n"/>
      <c r="O6" s="6" t="n"/>
      <c r="P6" s="6" t="n"/>
      <c r="Q6" s="6" t="n"/>
      <c r="R6" s="6" t="n"/>
    </row>
    <row r="7">
      <c r="A7" s="6" t="inlineStr">
        <is>
          <t>Reverse repurchase agreements (FY2010-FY2013 label; not separately disclosed FY2009)</t>
        </is>
      </c>
      <c r="B7" s="6" t="n"/>
      <c r="C7" s="6" t="n"/>
      <c r="D7" s="6" t="n"/>
      <c r="E7" s="6" t="n"/>
      <c r="F7" s="6" t="n"/>
      <c r="G7" s="6" t="n"/>
      <c r="H7" s="6" t="n"/>
      <c r="I7" s="6" t="n"/>
      <c r="J7" s="6" t="n"/>
      <c r="K7" s="6" t="n"/>
      <c r="L7" s="6" t="n"/>
      <c r="M7" s="6" t="n"/>
      <c r="N7" s="6" t="n">
        <v>2807459</v>
      </c>
      <c r="O7" s="6" t="n">
        <v>2194621</v>
      </c>
      <c r="P7" s="6" t="n">
        <v>1952073</v>
      </c>
      <c r="Q7" s="6" t="n">
        <v>1456466</v>
      </c>
      <c r="R7" s="6" t="n"/>
    </row>
    <row r="8">
      <c r="A8" s="6" t="inlineStr">
        <is>
          <t>Loans and advances to banks</t>
        </is>
      </c>
      <c r="B8" s="6" t="n">
        <v>140542</v>
      </c>
      <c r="C8" s="6" t="n">
        <v>212774</v>
      </c>
      <c r="D8" s="6" t="n">
        <v>187090</v>
      </c>
      <c r="E8" s="6" t="n">
        <v>175841</v>
      </c>
      <c r="F8" s="6" t="n">
        <v>129608</v>
      </c>
      <c r="G8" s="6" t="n">
        <v>337581</v>
      </c>
      <c r="H8" s="6" t="n">
        <v>131940</v>
      </c>
      <c r="I8" s="6" t="n">
        <v>107412</v>
      </c>
      <c r="J8" s="6" t="n">
        <v>147815</v>
      </c>
      <c r="K8" s="6" t="n">
        <v>157136</v>
      </c>
      <c r="L8" s="6" t="n">
        <v>89547</v>
      </c>
      <c r="M8" s="6" t="n">
        <v>152123</v>
      </c>
      <c r="N8" s="6" t="n">
        <v>172848</v>
      </c>
      <c r="O8" s="6" t="n">
        <v>270996</v>
      </c>
      <c r="P8" s="6" t="n">
        <v>624248</v>
      </c>
      <c r="Q8" s="6" t="n">
        <v>352185</v>
      </c>
      <c r="R8" s="6" t="n">
        <v>187133</v>
      </c>
    </row>
    <row r="9">
      <c r="A9" s="6" t="inlineStr">
        <is>
          <t>Loans and advances to customers</t>
        </is>
      </c>
      <c r="B9" s="6" t="n">
        <v>422190</v>
      </c>
      <c r="C9" s="6" t="n">
        <v>775727</v>
      </c>
      <c r="D9" s="6" t="n">
        <v>760186</v>
      </c>
      <c r="E9" s="6" t="n">
        <v>1227715</v>
      </c>
      <c r="F9" s="6" t="n">
        <v>380124</v>
      </c>
      <c r="G9" s="6" t="n">
        <v>24573</v>
      </c>
      <c r="H9" s="6" t="n">
        <v>180250</v>
      </c>
      <c r="I9" s="6" t="n">
        <v>363113</v>
      </c>
      <c r="J9" s="6" t="n">
        <v>354177</v>
      </c>
      <c r="K9" s="6" t="n">
        <v>385052</v>
      </c>
      <c r="L9" s="6" t="n">
        <v>155311</v>
      </c>
      <c r="M9" s="6" t="n">
        <v>617659</v>
      </c>
      <c r="N9" s="6" t="n">
        <v>965499</v>
      </c>
      <c r="O9" s="6" t="n">
        <v>756208</v>
      </c>
      <c r="P9" s="6" t="n">
        <v>748579</v>
      </c>
      <c r="Q9" s="6" t="n">
        <v>2499609</v>
      </c>
      <c r="R9" s="6" t="n">
        <v>1499221</v>
      </c>
    </row>
    <row r="10">
      <c r="A10" s="6" t="inlineStr">
        <is>
          <t>Trading financial assets</t>
        </is>
      </c>
      <c r="B10" s="6" t="n">
        <v>3022186</v>
      </c>
      <c r="C10" s="6" t="n">
        <v>3746151</v>
      </c>
      <c r="D10" s="6" t="n">
        <v>3613350</v>
      </c>
      <c r="E10" s="6" t="n">
        <v>4868282</v>
      </c>
      <c r="F10" s="6" t="n">
        <v>3358044</v>
      </c>
      <c r="G10" s="6" t="n">
        <v>4184122</v>
      </c>
      <c r="H10" s="6" t="n">
        <v>3446503</v>
      </c>
      <c r="I10" s="6" t="n">
        <v>3290194</v>
      </c>
      <c r="J10" s="6" t="n">
        <v>3572024</v>
      </c>
      <c r="K10" s="6" t="n">
        <v>4123722</v>
      </c>
      <c r="L10" s="6" t="n">
        <v>3358901</v>
      </c>
      <c r="M10" s="6" t="n">
        <v>3247108</v>
      </c>
      <c r="N10" s="6" t="n">
        <v>2646987</v>
      </c>
      <c r="O10" s="6" t="n">
        <v>3161175</v>
      </c>
      <c r="P10" s="6" t="n">
        <v>3503456</v>
      </c>
      <c r="Q10" s="6" t="n">
        <v>3477185</v>
      </c>
      <c r="R10" s="6" t="n">
        <v>3930918</v>
      </c>
    </row>
    <row r="11">
      <c r="A11" s="6" t="inlineStr">
        <is>
          <t>Investment securities</t>
        </is>
      </c>
      <c r="B11" s="6" t="n">
        <v>23</v>
      </c>
      <c r="C11" s="6" t="n">
        <v>472</v>
      </c>
      <c r="D11" s="6" t="n">
        <v>463</v>
      </c>
      <c r="E11" s="6" t="n">
        <v>23</v>
      </c>
      <c r="F11" s="6" t="n">
        <v>679</v>
      </c>
      <c r="G11" s="6" t="n">
        <v>4828</v>
      </c>
      <c r="H11" s="6" t="n">
        <v>6557</v>
      </c>
      <c r="I11" s="6" t="n"/>
      <c r="J11" s="6" t="n"/>
      <c r="K11" s="6" t="n"/>
      <c r="L11" s="6" t="n"/>
      <c r="M11" s="6" t="n"/>
      <c r="N11" s="6" t="n"/>
      <c r="O11" s="6" t="n"/>
      <c r="P11" s="6" t="n"/>
      <c r="Q11" s="6" t="n"/>
      <c r="R11" s="6" t="n"/>
    </row>
    <row r="12">
      <c r="A12" s="6" t="inlineStr">
        <is>
          <t>Financial assets designated at fair value through profit or loss</t>
        </is>
      </c>
      <c r="B12" s="6" t="n"/>
      <c r="C12" s="6" t="n"/>
      <c r="D12" s="6" t="n"/>
      <c r="E12" s="6" t="n"/>
      <c r="F12" s="6" t="n"/>
      <c r="G12" s="6" t="n"/>
      <c r="H12" s="6" t="n"/>
      <c r="I12" s="6" t="n"/>
      <c r="J12" s="6" t="n"/>
      <c r="K12" s="6" t="n"/>
      <c r="L12" s="6" t="n"/>
      <c r="M12" s="6" t="n">
        <v>0</v>
      </c>
      <c r="N12" s="6" t="n">
        <v>44842</v>
      </c>
      <c r="O12" s="6" t="n">
        <v>46916</v>
      </c>
      <c r="P12" s="6" t="n">
        <v>41704</v>
      </c>
      <c r="Q12" s="6" t="n">
        <v>0</v>
      </c>
      <c r="R12" s="6" t="n">
        <v>3117</v>
      </c>
    </row>
    <row r="13">
      <c r="A13" s="6" t="inlineStr">
        <is>
          <t>Investment in subsidiary undertaking</t>
        </is>
      </c>
      <c r="B13" s="6" t="n"/>
      <c r="C13" s="6" t="n"/>
      <c r="D13" s="6" t="n"/>
      <c r="E13" s="6" t="n"/>
      <c r="F13" s="6" t="n">
        <v>105374</v>
      </c>
      <c r="G13" s="6" t="n">
        <v>105374</v>
      </c>
      <c r="H13" s="6" t="n">
        <v>105374</v>
      </c>
      <c r="I13" s="6" t="n">
        <v>105374</v>
      </c>
      <c r="J13" s="6" t="n">
        <v>105374</v>
      </c>
      <c r="K13" s="6" t="n">
        <v>105374</v>
      </c>
      <c r="L13" s="6" t="n">
        <v>105374</v>
      </c>
      <c r="M13" s="6" t="n">
        <v>105374</v>
      </c>
      <c r="N13" s="6" t="n">
        <v>105374</v>
      </c>
      <c r="O13" s="6" t="n">
        <v>105374</v>
      </c>
      <c r="P13" s="6" t="n">
        <v>105374</v>
      </c>
      <c r="Q13" s="6" t="n">
        <v>105374</v>
      </c>
      <c r="R13" s="6" t="n">
        <v>105374</v>
      </c>
    </row>
    <row r="14">
      <c r="A14" s="6" t="inlineStr">
        <is>
          <t>Tangible fixed assets</t>
        </is>
      </c>
      <c r="B14" s="6" t="n">
        <v>681</v>
      </c>
      <c r="C14" s="6" t="n">
        <v>926</v>
      </c>
      <c r="D14" s="6" t="n">
        <v>1093</v>
      </c>
      <c r="E14" s="6" t="n">
        <v>1382</v>
      </c>
      <c r="F14" s="6" t="n">
        <v>567</v>
      </c>
      <c r="G14" s="6" t="n">
        <v>749</v>
      </c>
      <c r="H14" s="6" t="n">
        <v>3618</v>
      </c>
      <c r="I14" s="6" t="n">
        <v>898</v>
      </c>
      <c r="J14" s="6" t="n">
        <v>848</v>
      </c>
      <c r="K14" s="6" t="n">
        <v>1065</v>
      </c>
      <c r="L14" s="6" t="n">
        <v>1022</v>
      </c>
      <c r="M14" s="6" t="n">
        <v>437</v>
      </c>
      <c r="N14" s="6" t="n">
        <v>570</v>
      </c>
      <c r="O14" s="6" t="n">
        <v>780</v>
      </c>
      <c r="P14" s="6" t="n">
        <v>984</v>
      </c>
      <c r="Q14" s="6" t="n">
        <v>1447</v>
      </c>
      <c r="R14" s="6" t="n">
        <v>1761</v>
      </c>
    </row>
    <row r="15">
      <c r="A15" s="6" t="inlineStr">
        <is>
          <t>Other receivables</t>
        </is>
      </c>
      <c r="B15" s="6" t="n">
        <v>26119</v>
      </c>
      <c r="C15" s="6" t="n">
        <v>23892</v>
      </c>
      <c r="D15" s="6" t="n">
        <v>34100</v>
      </c>
      <c r="E15" s="6" t="n">
        <v>30374</v>
      </c>
      <c r="F15" s="6" t="n">
        <v>22811</v>
      </c>
      <c r="G15" s="6" t="n">
        <v>13774</v>
      </c>
      <c r="H15" s="6" t="n">
        <v>10013</v>
      </c>
      <c r="I15" s="6" t="n">
        <v>16071</v>
      </c>
      <c r="J15" s="6" t="n">
        <v>29716</v>
      </c>
      <c r="K15" s="6" t="n">
        <v>11526</v>
      </c>
      <c r="L15" s="6" t="n">
        <v>19736</v>
      </c>
      <c r="M15" s="6" t="n">
        <v>23098</v>
      </c>
      <c r="N15" s="6" t="n"/>
      <c r="O15" s="6" t="n"/>
      <c r="P15" s="6" t="n"/>
      <c r="Q15" s="6" t="n"/>
      <c r="R15" s="6" t="n"/>
    </row>
    <row r="16">
      <c r="A16" s="6" t="inlineStr">
        <is>
          <t>Other assets (FY2009-FY2013 label - a broader concept than 'Other receivables' above, see sourcing note)</t>
        </is>
      </c>
      <c r="B16" s="6" t="n"/>
      <c r="C16" s="6" t="n"/>
      <c r="D16" s="6" t="n"/>
      <c r="E16" s="6" t="n"/>
      <c r="F16" s="6" t="n"/>
      <c r="G16" s="6" t="n"/>
      <c r="H16" s="6" t="n"/>
      <c r="I16" s="6" t="n"/>
      <c r="J16" s="6" t="n"/>
      <c r="K16" s="6" t="n"/>
      <c r="L16" s="6" t="n"/>
      <c r="M16" s="6" t="n"/>
      <c r="N16" s="6" t="n">
        <v>36385</v>
      </c>
      <c r="O16" s="6" t="n">
        <v>33861</v>
      </c>
      <c r="P16" s="6" t="n">
        <v>34290</v>
      </c>
      <c r="Q16" s="6" t="n">
        <v>288012</v>
      </c>
      <c r="R16" s="6" t="n">
        <v>271942</v>
      </c>
    </row>
    <row r="17">
      <c r="A17" s="6" t="inlineStr">
        <is>
          <t>Current tax assets</t>
        </is>
      </c>
      <c r="B17" s="6" t="n">
        <v>1218</v>
      </c>
      <c r="C17" s="6" t="n">
        <v>282</v>
      </c>
      <c r="D17" s="6" t="n">
        <v>296</v>
      </c>
      <c r="E17" s="6" t="n">
        <v>2451</v>
      </c>
      <c r="F17" s="6" t="n">
        <v>287</v>
      </c>
      <c r="G17" s="6" t="n">
        <v>2010</v>
      </c>
      <c r="H17" s="6" t="n">
        <v>3654</v>
      </c>
      <c r="I17" s="6" t="n">
        <v>5844</v>
      </c>
      <c r="J17" s="6" t="n">
        <v>5310</v>
      </c>
      <c r="K17" s="6" t="n">
        <v>4088</v>
      </c>
      <c r="L17" s="6" t="n">
        <v>5623</v>
      </c>
      <c r="M17" s="6" t="n"/>
      <c r="N17" s="6" t="n"/>
      <c r="O17" s="6" t="n"/>
      <c r="P17" s="6" t="n"/>
      <c r="Q17" s="6" t="n"/>
      <c r="R17" s="6" t="n"/>
    </row>
    <row r="18">
      <c r="A18" s="6" t="inlineStr">
        <is>
          <t>Deferred tax assets</t>
        </is>
      </c>
      <c r="B18" s="6" t="n">
        <v>75</v>
      </c>
      <c r="C18" s="6" t="n">
        <v>1961</v>
      </c>
      <c r="D18" s="6" t="n">
        <v>7415</v>
      </c>
      <c r="E18" s="6" t="n">
        <v>7698</v>
      </c>
      <c r="F18" s="6" t="n">
        <v>8696</v>
      </c>
      <c r="G18" s="6" t="n">
        <v>2350</v>
      </c>
      <c r="H18" s="6" t="n">
        <v>5401</v>
      </c>
      <c r="I18" s="6" t="n">
        <v>8596</v>
      </c>
      <c r="J18" s="6" t="n">
        <v>13102</v>
      </c>
      <c r="K18" s="6" t="n">
        <v>10381</v>
      </c>
      <c r="L18" s="6" t="n">
        <v>3311</v>
      </c>
      <c r="M18" s="6" t="n"/>
      <c r="N18" s="6" t="n"/>
      <c r="O18" s="6" t="n"/>
      <c r="P18" s="6" t="n"/>
      <c r="Q18" s="6" t="n"/>
      <c r="R18" s="6" t="n"/>
    </row>
    <row r="19">
      <c r="A19" s="6" t="inlineStr">
        <is>
          <t>Prepayments and accrued income</t>
        </is>
      </c>
      <c r="B19" s="6" t="n">
        <v>126</v>
      </c>
      <c r="C19" s="6" t="n">
        <v>157</v>
      </c>
      <c r="D19" s="6" t="n">
        <v>156</v>
      </c>
      <c r="E19" s="6" t="n">
        <v>172</v>
      </c>
      <c r="F19" s="6" t="n">
        <v>127</v>
      </c>
      <c r="G19" s="6" t="n">
        <v>130</v>
      </c>
      <c r="H19" s="6" t="n">
        <v>445</v>
      </c>
      <c r="I19" s="6" t="n">
        <v>555</v>
      </c>
      <c r="J19" s="6" t="n">
        <v>504</v>
      </c>
      <c r="K19" s="6" t="n">
        <v>25</v>
      </c>
      <c r="L19" s="6" t="n">
        <v>38</v>
      </c>
      <c r="M19" s="6" t="n">
        <v>68</v>
      </c>
      <c r="N19" s="6" t="n">
        <v>70</v>
      </c>
      <c r="O19" s="6" t="n">
        <v>122</v>
      </c>
      <c r="P19" s="6" t="n">
        <v>95</v>
      </c>
      <c r="Q19" s="6" t="n">
        <v>2217</v>
      </c>
      <c r="R19" s="6" t="n">
        <v>188</v>
      </c>
    </row>
    <row r="20">
      <c r="A20" s="5" t="inlineStr">
        <is>
          <t>Total assets</t>
        </is>
      </c>
      <c r="B20" s="5" t="n">
        <v>4474701</v>
      </c>
      <c r="C20" s="5" t="n">
        <v>5943082</v>
      </c>
      <c r="D20" s="5" t="n">
        <v>5761181</v>
      </c>
      <c r="E20" s="5" t="n">
        <v>7691434</v>
      </c>
      <c r="F20" s="5" t="n">
        <v>5166317</v>
      </c>
      <c r="G20" s="5" t="n">
        <v>6191205</v>
      </c>
      <c r="H20" s="5" t="n">
        <v>5497256</v>
      </c>
      <c r="I20" s="5" t="n">
        <v>5178705</v>
      </c>
      <c r="J20" s="5" t="n">
        <v>5321350</v>
      </c>
      <c r="K20" s="5" t="n">
        <v>5742066</v>
      </c>
      <c r="L20" s="5" t="n">
        <v>4691096</v>
      </c>
      <c r="M20" s="5" t="n">
        <v>4974936</v>
      </c>
      <c r="N20" s="5" t="n">
        <v>6808172</v>
      </c>
      <c r="O20" s="5" t="n">
        <v>6601481</v>
      </c>
      <c r="P20" s="5" t="n">
        <v>7024262</v>
      </c>
      <c r="Q20" s="5" t="n">
        <v>8212214</v>
      </c>
      <c r="R20" s="5" t="n">
        <v>6015807</v>
      </c>
    </row>
    <row r="21">
      <c r="A21" s="5" t="inlineStr">
        <is>
          <t>Liabilities</t>
        </is>
      </c>
      <c r="B21" s="6" t="n"/>
      <c r="C21" s="6" t="n"/>
      <c r="D21" s="6" t="n"/>
      <c r="E21" s="6" t="n"/>
      <c r="F21" s="6" t="n"/>
      <c r="G21" s="6" t="n"/>
      <c r="H21" s="6" t="n"/>
      <c r="I21" s="6" t="n"/>
      <c r="J21" s="6" t="n"/>
      <c r="K21" s="6" t="n"/>
      <c r="L21" s="6" t="n"/>
      <c r="M21" s="6" t="n"/>
      <c r="N21" s="6" t="n"/>
      <c r="O21" s="6" t="n"/>
      <c r="P21" s="6" t="n"/>
      <c r="Q21" s="6" t="n"/>
      <c r="R21" s="6" t="n"/>
    </row>
    <row r="22">
      <c r="A22" s="6" t="inlineStr">
        <is>
          <t>Deposits by banks</t>
        </is>
      </c>
      <c r="B22" s="6" t="n">
        <v>279651</v>
      </c>
      <c r="C22" s="6" t="n">
        <v>462429</v>
      </c>
      <c r="D22" s="6" t="n">
        <v>251784</v>
      </c>
      <c r="E22" s="6" t="n">
        <v>440764</v>
      </c>
      <c r="F22" s="6" t="n">
        <v>153851</v>
      </c>
      <c r="G22" s="6" t="n">
        <v>124229</v>
      </c>
      <c r="H22" s="6" t="n">
        <v>135962</v>
      </c>
      <c r="I22" s="6" t="n">
        <v>323778</v>
      </c>
      <c r="J22" s="6" t="n">
        <v>226045</v>
      </c>
      <c r="K22" s="6" t="n">
        <v>230883</v>
      </c>
      <c r="L22" s="6" t="n">
        <v>110708</v>
      </c>
      <c r="M22" s="6" t="n">
        <v>101036</v>
      </c>
      <c r="N22" s="6" t="n">
        <v>137581</v>
      </c>
      <c r="O22" s="6" t="n">
        <v>202366</v>
      </c>
      <c r="P22" s="6" t="n">
        <v>212465</v>
      </c>
      <c r="Q22" s="6" t="n">
        <v>233641</v>
      </c>
      <c r="R22" s="6" t="n">
        <v>268609</v>
      </c>
    </row>
    <row r="23">
      <c r="A23" s="6" t="inlineStr">
        <is>
          <t>Customer accounts</t>
        </is>
      </c>
      <c r="B23" s="6" t="n">
        <v>632759</v>
      </c>
      <c r="C23" s="6" t="n">
        <v>783693</v>
      </c>
      <c r="D23" s="6" t="n">
        <v>1246212</v>
      </c>
      <c r="E23" s="6" t="n">
        <v>1814583</v>
      </c>
      <c r="F23" s="6" t="n">
        <v>1502764</v>
      </c>
      <c r="G23" s="6" t="n">
        <v>1647638</v>
      </c>
      <c r="H23" s="6" t="n">
        <v>1331496</v>
      </c>
      <c r="I23" s="6" t="n">
        <v>1072143</v>
      </c>
      <c r="J23" s="6" t="n">
        <v>875555</v>
      </c>
      <c r="K23" s="6" t="n">
        <v>747831</v>
      </c>
      <c r="L23" s="6" t="n">
        <v>719706</v>
      </c>
      <c r="M23" s="6" t="n">
        <v>1092621</v>
      </c>
      <c r="N23" s="6" t="n">
        <v>860388</v>
      </c>
      <c r="O23" s="6" t="n">
        <v>919422</v>
      </c>
      <c r="P23" s="6" t="n">
        <v>2657109</v>
      </c>
      <c r="Q23" s="6" t="n">
        <v>4184133</v>
      </c>
      <c r="R23" s="6" t="n">
        <v>1665107</v>
      </c>
    </row>
    <row r="24">
      <c r="A24" s="6" t="inlineStr">
        <is>
          <t>Secured borrowing</t>
        </is>
      </c>
      <c r="B24" s="6" t="n">
        <v>103105</v>
      </c>
      <c r="C24" s="6" t="n">
        <v>123656</v>
      </c>
      <c r="D24" s="6" t="n">
        <v>86502</v>
      </c>
      <c r="E24" s="6" t="n">
        <v>128224</v>
      </c>
      <c r="F24" s="6" t="n">
        <v>85181</v>
      </c>
      <c r="G24" s="6" t="n">
        <v>60718</v>
      </c>
      <c r="H24" s="6" t="n">
        <v>273663</v>
      </c>
      <c r="I24" s="6" t="n">
        <v>258331</v>
      </c>
      <c r="J24" s="6" t="n">
        <v>363057</v>
      </c>
      <c r="K24" s="6" t="n">
        <v>478743</v>
      </c>
      <c r="L24" s="6" t="n">
        <v>499063</v>
      </c>
      <c r="M24" s="6" t="n">
        <v>542723</v>
      </c>
      <c r="N24" s="6" t="n"/>
      <c r="O24" s="6" t="n"/>
      <c r="P24" s="6" t="n"/>
      <c r="Q24" s="6" t="n"/>
      <c r="R24" s="6" t="n"/>
    </row>
    <row r="25">
      <c r="A25" s="6" t="inlineStr">
        <is>
          <t>Repurchase agreements / securities sold under agreements to repurchase (FY2009-FY2013 label)</t>
        </is>
      </c>
      <c r="B25" s="6" t="n"/>
      <c r="C25" s="6" t="n"/>
      <c r="D25" s="6" t="n"/>
      <c r="E25" s="6" t="n"/>
      <c r="F25" s="6" t="n"/>
      <c r="G25" s="6" t="n"/>
      <c r="H25" s="6" t="n"/>
      <c r="I25" s="6" t="n"/>
      <c r="J25" s="6" t="n"/>
      <c r="K25" s="6" t="n"/>
      <c r="L25" s="6" t="n"/>
      <c r="M25" s="6" t="n"/>
      <c r="N25" s="6" t="n">
        <v>3122575</v>
      </c>
      <c r="O25" s="6" t="n">
        <v>2002150</v>
      </c>
      <c r="P25" s="6" t="n">
        <v>698476</v>
      </c>
      <c r="Q25" s="6" t="n">
        <v>585076</v>
      </c>
      <c r="R25" s="6" t="n">
        <v>1032682</v>
      </c>
    </row>
    <row r="26">
      <c r="A26" s="6" t="inlineStr">
        <is>
          <t>Trading financial liabilities</t>
        </is>
      </c>
      <c r="B26" s="6" t="n">
        <v>2409008</v>
      </c>
      <c r="C26" s="6" t="n">
        <v>3311515</v>
      </c>
      <c r="D26" s="6" t="n">
        <v>2957832</v>
      </c>
      <c r="E26" s="6" t="n">
        <v>4081489</v>
      </c>
      <c r="F26" s="6" t="n">
        <v>2270962</v>
      </c>
      <c r="G26" s="6" t="n">
        <v>3206555</v>
      </c>
      <c r="H26" s="6" t="n">
        <v>2762477</v>
      </c>
      <c r="I26" s="6" t="n">
        <v>2528574</v>
      </c>
      <c r="J26" s="6" t="n">
        <v>2893498</v>
      </c>
      <c r="K26" s="6" t="n">
        <v>3373992</v>
      </c>
      <c r="L26" s="6" t="n">
        <v>2511905</v>
      </c>
      <c r="M26" s="6" t="n">
        <v>2409122</v>
      </c>
      <c r="N26" s="6" t="n">
        <v>1824899</v>
      </c>
      <c r="O26" s="6" t="n">
        <v>2194711</v>
      </c>
      <c r="P26" s="6" t="n">
        <v>2175345</v>
      </c>
      <c r="Q26" s="6" t="n">
        <v>1905986</v>
      </c>
      <c r="R26" s="6" t="n">
        <v>1783226</v>
      </c>
    </row>
    <row r="27">
      <c r="A27" s="6" t="inlineStr">
        <is>
          <t>Financial liabilities designated at fair value through profit or loss</t>
        </is>
      </c>
      <c r="B27" s="6" t="n"/>
      <c r="C27" s="6" t="n"/>
      <c r="D27" s="6" t="n"/>
      <c r="E27" s="6" t="n"/>
      <c r="F27" s="6" t="n"/>
      <c r="G27" s="6" t="n"/>
      <c r="H27" s="6" t="n"/>
      <c r="I27" s="6" t="n"/>
      <c r="J27" s="6" t="n"/>
      <c r="K27" s="6" t="n"/>
      <c r="L27" s="6" t="n"/>
      <c r="M27" s="6" t="n">
        <v>0</v>
      </c>
      <c r="N27" s="6" t="n">
        <v>44842</v>
      </c>
      <c r="O27" s="6" t="n">
        <v>18465</v>
      </c>
      <c r="P27" s="6" t="n">
        <v>18357</v>
      </c>
      <c r="Q27" s="6" t="n">
        <v>0</v>
      </c>
      <c r="R27" s="6" t="n">
        <v>3117</v>
      </c>
    </row>
    <row r="28">
      <c r="A28" s="6" t="inlineStr">
        <is>
          <t>Other payables</t>
        </is>
      </c>
      <c r="B28" s="6" t="n">
        <v>18473</v>
      </c>
      <c r="C28" s="6" t="n">
        <v>20906</v>
      </c>
      <c r="D28" s="6" t="n">
        <v>27230</v>
      </c>
      <c r="E28" s="6" t="n">
        <v>45937</v>
      </c>
      <c r="F28" s="6" t="n">
        <v>41460</v>
      </c>
      <c r="G28" s="6" t="n">
        <v>55647</v>
      </c>
      <c r="H28" s="6" t="n">
        <v>13919</v>
      </c>
      <c r="I28" s="6" t="n">
        <v>42337</v>
      </c>
      <c r="J28" s="6" t="n">
        <v>23819</v>
      </c>
      <c r="K28" s="6" t="n">
        <v>19090</v>
      </c>
      <c r="L28" s="6" t="n">
        <v>16116</v>
      </c>
      <c r="M28" s="6" t="n">
        <v>14042</v>
      </c>
      <c r="N28" s="6" t="n">
        <v>13735</v>
      </c>
      <c r="O28" s="6" t="n">
        <v>31088</v>
      </c>
      <c r="P28" s="6" t="n">
        <v>29918</v>
      </c>
      <c r="Q28" s="6" t="n">
        <v>147590</v>
      </c>
      <c r="R28" s="6" t="n">
        <v>142885</v>
      </c>
    </row>
    <row r="29">
      <c r="A29" s="6" t="inlineStr">
        <is>
          <t>Accruals and deferred income</t>
        </is>
      </c>
      <c r="B29" s="6" t="n">
        <v>4080</v>
      </c>
      <c r="C29" s="6" t="n">
        <v>9391</v>
      </c>
      <c r="D29" s="6" t="n">
        <v>2059</v>
      </c>
      <c r="E29" s="6" t="n">
        <v>1497</v>
      </c>
      <c r="F29" s="6" t="n">
        <v>2290</v>
      </c>
      <c r="G29" s="6" t="n">
        <v>5317</v>
      </c>
      <c r="H29" s="6" t="n">
        <v>11790</v>
      </c>
      <c r="I29" s="6" t="n">
        <v>14202</v>
      </c>
      <c r="J29" s="6" t="n">
        <v>9514</v>
      </c>
      <c r="K29" s="6" t="n">
        <v>17150</v>
      </c>
      <c r="L29" s="6" t="n">
        <v>25874</v>
      </c>
      <c r="M29" s="6" t="n">
        <v>29563</v>
      </c>
      <c r="N29" s="6" t="n">
        <v>43724</v>
      </c>
      <c r="O29" s="6" t="n">
        <v>40199</v>
      </c>
      <c r="P29" s="6" t="n">
        <v>37914</v>
      </c>
      <c r="Q29" s="6" t="n">
        <v>21257</v>
      </c>
      <c r="R29" s="6" t="n">
        <v>24969</v>
      </c>
    </row>
    <row r="30">
      <c r="A30" s="6" t="inlineStr">
        <is>
          <t>Current tax liabilities</t>
        </is>
      </c>
      <c r="B30" s="6" t="n">
        <v>19853</v>
      </c>
      <c r="C30" s="6" t="n">
        <v>11677</v>
      </c>
      <c r="D30" s="6" t="n">
        <v>13754</v>
      </c>
      <c r="E30" s="6" t="n">
        <v>10758</v>
      </c>
      <c r="F30" s="6" t="n">
        <v>37356</v>
      </c>
      <c r="G30" s="6" t="n">
        <v>28260</v>
      </c>
      <c r="H30" s="6" t="n">
        <v>4047</v>
      </c>
      <c r="I30" s="6" t="n">
        <v>14560</v>
      </c>
      <c r="J30" s="6" t="n">
        <v>24501</v>
      </c>
      <c r="K30" s="6" t="n">
        <v>24655</v>
      </c>
      <c r="L30" s="6" t="n">
        <v>5945</v>
      </c>
      <c r="M30" s="6" t="n"/>
      <c r="N30" s="6" t="n"/>
      <c r="O30" s="6" t="n"/>
      <c r="P30" s="6" t="n"/>
      <c r="Q30" s="6" t="n"/>
      <c r="R30" s="6" t="n"/>
    </row>
    <row r="31">
      <c r="A31" s="6" t="inlineStr">
        <is>
          <t>Deferred tax liabilities</t>
        </is>
      </c>
      <c r="B31" s="6" t="n">
        <v>1079</v>
      </c>
      <c r="C31" s="6" t="n">
        <v>0</v>
      </c>
      <c r="D31" s="6" t="n"/>
      <c r="E31" s="6" t="n"/>
      <c r="F31" s="6" t="n"/>
      <c r="G31" s="6" t="n"/>
      <c r="H31" s="6" t="n"/>
      <c r="I31" s="6" t="n"/>
      <c r="J31" s="6" t="n"/>
      <c r="K31" s="6" t="n">
        <v>0</v>
      </c>
      <c r="L31" s="6" t="n">
        <v>3567</v>
      </c>
      <c r="M31" s="6" t="n"/>
      <c r="N31" s="6" t="n"/>
      <c r="O31" s="6" t="n"/>
      <c r="P31" s="6" t="n"/>
      <c r="Q31" s="6" t="n"/>
      <c r="R31" s="6" t="n"/>
    </row>
    <row r="32">
      <c r="A32" s="6" t="inlineStr">
        <is>
          <t>Retirement benefit liability</t>
        </is>
      </c>
      <c r="B32" s="6" t="n">
        <v>394</v>
      </c>
      <c r="C32" s="6" t="n">
        <v>424</v>
      </c>
      <c r="D32" s="6" t="n">
        <v>126</v>
      </c>
      <c r="E32" s="6" t="n">
        <v>111</v>
      </c>
      <c r="F32" s="6" t="n">
        <v>287</v>
      </c>
      <c r="G32" s="6" t="n">
        <v>244</v>
      </c>
      <c r="H32" s="6" t="n">
        <v>557</v>
      </c>
      <c r="I32" s="6" t="n">
        <v>429</v>
      </c>
      <c r="J32" s="6" t="n">
        <v>685</v>
      </c>
      <c r="K32" s="6" t="n">
        <v>513</v>
      </c>
      <c r="L32" s="6" t="n">
        <v>433</v>
      </c>
      <c r="M32" s="6" t="n">
        <v>522</v>
      </c>
      <c r="N32" s="6" t="n">
        <v>474</v>
      </c>
      <c r="O32" s="6" t="n">
        <v>623</v>
      </c>
      <c r="P32" s="6" t="n">
        <v>1970</v>
      </c>
      <c r="Q32" s="6" t="n">
        <v>1895</v>
      </c>
      <c r="R32" s="6" t="n">
        <v>2383</v>
      </c>
    </row>
    <row r="33">
      <c r="A33" s="6" t="inlineStr">
        <is>
          <t>Provisions for liabilities and charges</t>
        </is>
      </c>
      <c r="B33" s="6" t="n">
        <v>178</v>
      </c>
      <c r="C33" s="6" t="n">
        <v>179</v>
      </c>
      <c r="D33" s="6" t="n">
        <v>193</v>
      </c>
      <c r="E33" s="6" t="n">
        <v>203</v>
      </c>
      <c r="F33" s="6" t="n">
        <v>183</v>
      </c>
      <c r="G33" s="6" t="n">
        <v>236</v>
      </c>
      <c r="H33" s="6" t="n">
        <v>376</v>
      </c>
      <c r="I33" s="6" t="n">
        <v>158</v>
      </c>
      <c r="J33" s="6" t="n"/>
      <c r="K33" s="6" t="n"/>
      <c r="L33" s="6" t="n"/>
      <c r="M33" s="6" t="n">
        <v>0</v>
      </c>
      <c r="N33" s="6" t="n">
        <v>9150</v>
      </c>
      <c r="O33" s="6" t="n">
        <v>0</v>
      </c>
      <c r="P33" s="6" t="n">
        <v>0</v>
      </c>
      <c r="Q33" s="6" t="n">
        <v>891</v>
      </c>
      <c r="R33" s="6" t="n">
        <v>923</v>
      </c>
    </row>
    <row r="34">
      <c r="A34" s="6" t="inlineStr">
        <is>
          <t>Subordinated debt</t>
        </is>
      </c>
      <c r="B34" s="6" t="n">
        <v>258220</v>
      </c>
      <c r="C34" s="6" t="n">
        <v>408727</v>
      </c>
      <c r="D34" s="6" t="n">
        <v>409506</v>
      </c>
      <c r="E34" s="6" t="n">
        <v>401644</v>
      </c>
      <c r="F34" s="6" t="n">
        <v>250000</v>
      </c>
      <c r="G34" s="6" t="n">
        <v>250000</v>
      </c>
      <c r="H34" s="6" t="n">
        <v>250000</v>
      </c>
      <c r="I34" s="6" t="n">
        <v>250000</v>
      </c>
      <c r="J34" s="6" t="n">
        <v>250000</v>
      </c>
      <c r="K34" s="6" t="n">
        <v>250000</v>
      </c>
      <c r="L34" s="6" t="n">
        <v>250000</v>
      </c>
      <c r="M34" s="6" t="n">
        <v>250000</v>
      </c>
      <c r="N34" s="6" t="n">
        <v>250000</v>
      </c>
      <c r="O34" s="6" t="n">
        <v>250000</v>
      </c>
      <c r="P34" s="6" t="n">
        <v>250000</v>
      </c>
      <c r="Q34" s="6" t="n">
        <v>250000</v>
      </c>
      <c r="R34" s="6" t="n">
        <v>250000</v>
      </c>
    </row>
    <row r="35">
      <c r="A35" s="5" t="inlineStr">
        <is>
          <t>Total liabilities</t>
        </is>
      </c>
      <c r="B35" s="5" t="n">
        <v>3726800</v>
      </c>
      <c r="C35" s="5" t="n">
        <v>5132597</v>
      </c>
      <c r="D35" s="5" t="n">
        <v>4995198</v>
      </c>
      <c r="E35" s="5" t="n">
        <v>6925210</v>
      </c>
      <c r="F35" s="5" t="n">
        <v>4344334</v>
      </c>
      <c r="G35" s="5" t="n">
        <v>5378844</v>
      </c>
      <c r="H35" s="5" t="n">
        <v>4784287</v>
      </c>
      <c r="I35" s="5" t="n">
        <v>4504512</v>
      </c>
      <c r="J35" s="5" t="n">
        <v>4666674</v>
      </c>
      <c r="K35" s="5" t="n">
        <v>5142857</v>
      </c>
      <c r="L35" s="5" t="n">
        <v>4143317</v>
      </c>
      <c r="M35" s="5" t="n">
        <v>4439629</v>
      </c>
      <c r="N35" s="5" t="n">
        <v>6307368</v>
      </c>
      <c r="O35" s="5" t="n">
        <v>5659024</v>
      </c>
      <c r="P35" s="5" t="n">
        <v>6081554</v>
      </c>
      <c r="Q35" s="5" t="n">
        <v>7330469</v>
      </c>
      <c r="R35" s="5" t="n">
        <v>5173901</v>
      </c>
    </row>
    <row r="36">
      <c r="A36" s="5" t="inlineStr">
        <is>
          <t>Equity</t>
        </is>
      </c>
      <c r="B36" s="6" t="n"/>
      <c r="C36" s="6" t="n"/>
      <c r="D36" s="6" t="n"/>
      <c r="E36" s="6" t="n"/>
      <c r="F36" s="6" t="n"/>
      <c r="G36" s="6" t="n"/>
      <c r="H36" s="6" t="n"/>
      <c r="I36" s="6" t="n"/>
      <c r="J36" s="6" t="n"/>
      <c r="K36" s="6" t="n"/>
      <c r="L36" s="6" t="n"/>
      <c r="M36" s="6" t="n"/>
      <c r="N36" s="6" t="n"/>
      <c r="O36" s="6" t="n"/>
      <c r="P36" s="6" t="n"/>
      <c r="Q36" s="6" t="n"/>
      <c r="R36" s="6" t="n"/>
    </row>
    <row r="37">
      <c r="A37" s="6" t="inlineStr">
        <is>
          <t>Called up share capital</t>
        </is>
      </c>
      <c r="B37" s="6" t="n">
        <v>340000</v>
      </c>
      <c r="C37" s="6" t="n">
        <v>340000</v>
      </c>
      <c r="D37" s="6" t="n">
        <v>340000</v>
      </c>
      <c r="E37" s="6" t="n">
        <v>340000</v>
      </c>
      <c r="F37" s="6" t="n">
        <v>340000</v>
      </c>
      <c r="G37" s="6" t="n">
        <v>340000</v>
      </c>
      <c r="H37" s="6" t="n">
        <v>340000</v>
      </c>
      <c r="I37" s="6" t="n">
        <v>340000</v>
      </c>
      <c r="J37" s="6" t="n">
        <v>340000</v>
      </c>
      <c r="K37" s="6" t="n">
        <v>340000</v>
      </c>
      <c r="L37" s="6" t="n">
        <v>340000</v>
      </c>
      <c r="M37" s="6" t="n">
        <v>340000</v>
      </c>
      <c r="N37" s="6" t="n">
        <v>340000</v>
      </c>
      <c r="O37" s="6" t="n">
        <v>790000</v>
      </c>
      <c r="P37" s="6" t="n">
        <v>790000</v>
      </c>
      <c r="Q37" s="6" t="n">
        <v>790000</v>
      </c>
      <c r="R37" s="6" t="n">
        <v>790000</v>
      </c>
    </row>
    <row r="38">
      <c r="A38" s="6" t="inlineStr">
        <is>
          <t>Capital contribution reserve</t>
        </is>
      </c>
      <c r="B38" s="6" t="n">
        <v>89654</v>
      </c>
      <c r="C38" s="6" t="n">
        <v>89654</v>
      </c>
      <c r="D38" s="6" t="n">
        <v>89654</v>
      </c>
      <c r="E38" s="6" t="n">
        <v>89654</v>
      </c>
      <c r="F38" s="6" t="n">
        <v>89654</v>
      </c>
      <c r="G38" s="6" t="n">
        <v>89654</v>
      </c>
      <c r="H38" s="6" t="n">
        <v>89654</v>
      </c>
      <c r="I38" s="6" t="n">
        <v>89654</v>
      </c>
      <c r="J38" s="6" t="n">
        <v>89654</v>
      </c>
      <c r="K38" s="6" t="n">
        <v>89654</v>
      </c>
      <c r="L38" s="6" t="n">
        <v>89654</v>
      </c>
      <c r="M38" s="6" t="n">
        <v>89654</v>
      </c>
      <c r="N38" s="6" t="n">
        <v>89654</v>
      </c>
      <c r="O38" s="6" t="n">
        <v>89654</v>
      </c>
      <c r="P38" s="6" t="n">
        <v>89654</v>
      </c>
      <c r="Q38" s="6" t="n">
        <v>89654</v>
      </c>
      <c r="R38" s="6" t="n">
        <v>89654</v>
      </c>
    </row>
    <row r="39">
      <c r="A39" s="6" t="inlineStr">
        <is>
          <t>Foreign currency revaluation reserve</t>
        </is>
      </c>
      <c r="B39" s="6" t="n">
        <v>35165</v>
      </c>
      <c r="C39" s="6" t="n">
        <v>35368</v>
      </c>
      <c r="D39" s="6" t="n">
        <v>36668</v>
      </c>
      <c r="E39" s="6" t="n">
        <v>37201</v>
      </c>
      <c r="F39" s="6" t="n">
        <v>37213</v>
      </c>
      <c r="G39" s="6" t="n">
        <v>37546</v>
      </c>
      <c r="H39" s="6" t="n">
        <v>36629</v>
      </c>
      <c r="I39" s="6" t="n">
        <v>35801</v>
      </c>
      <c r="J39" s="6" t="n">
        <v>43119</v>
      </c>
      <c r="K39" s="6" t="n">
        <v>37348</v>
      </c>
      <c r="L39" s="6" t="n">
        <v>13889</v>
      </c>
      <c r="M39" s="6" t="n">
        <v>16168</v>
      </c>
      <c r="N39" s="6" t="n">
        <v>14366</v>
      </c>
      <c r="O39" s="6" t="n">
        <v>13172</v>
      </c>
      <c r="P39" s="6" t="n">
        <v>8904</v>
      </c>
      <c r="Q39" s="6" t="n">
        <v>10228</v>
      </c>
      <c r="R39" s="6" t="n">
        <v>4615</v>
      </c>
    </row>
    <row r="40">
      <c r="A40" s="6" t="inlineStr">
        <is>
          <t>Pension reserve (FY2009 only - folded into Profit and loss account from FY2010 onward, see sourcing note)</t>
        </is>
      </c>
      <c r="B40" s="6" t="n"/>
      <c r="C40" s="6" t="n"/>
      <c r="D40" s="6" t="n"/>
      <c r="E40" s="6" t="n"/>
      <c r="F40" s="6" t="n"/>
      <c r="G40" s="6" t="n"/>
      <c r="H40" s="6" t="n"/>
      <c r="I40" s="6" t="n"/>
      <c r="J40" s="6" t="n"/>
      <c r="K40" s="6" t="n"/>
      <c r="L40" s="6" t="n"/>
      <c r="M40" s="6" t="n"/>
      <c r="N40" s="6" t="n"/>
      <c r="O40" s="6" t="n"/>
      <c r="P40" s="6" t="n"/>
      <c r="Q40" s="6" t="n"/>
      <c r="R40" s="6" t="n">
        <v>252</v>
      </c>
    </row>
    <row r="41">
      <c r="A41" s="6" t="inlineStr">
        <is>
          <t>Profit and loss account</t>
        </is>
      </c>
      <c r="B41" s="6" t="n">
        <v>283082</v>
      </c>
      <c r="C41" s="6" t="n">
        <v>345463</v>
      </c>
      <c r="D41" s="6" t="n">
        <v>299661</v>
      </c>
      <c r="E41" s="6" t="n">
        <v>299369</v>
      </c>
      <c r="F41" s="6" t="n">
        <v>355116</v>
      </c>
      <c r="G41" s="6" t="n">
        <v>345161</v>
      </c>
      <c r="H41" s="6" t="n">
        <v>246686</v>
      </c>
      <c r="I41" s="6" t="n">
        <v>208738</v>
      </c>
      <c r="J41" s="6" t="n">
        <v>181903</v>
      </c>
      <c r="K41" s="6" t="n">
        <v>132207</v>
      </c>
      <c r="L41" s="6" t="n">
        <v>104236</v>
      </c>
      <c r="M41" s="6" t="n">
        <v>89485</v>
      </c>
      <c r="N41" s="6" t="n">
        <v>56784</v>
      </c>
      <c r="O41" s="6" t="n">
        <v>49631</v>
      </c>
      <c r="P41" s="6" t="n">
        <v>54150</v>
      </c>
      <c r="Q41" s="6" t="n">
        <v>-8137</v>
      </c>
      <c r="R41" s="6" t="n">
        <v>-42615</v>
      </c>
    </row>
    <row r="42">
      <c r="A42" s="5" t="inlineStr">
        <is>
          <t>Equity shareholders' funds</t>
        </is>
      </c>
      <c r="B42" s="5" t="n">
        <v>747901</v>
      </c>
      <c r="C42" s="5" t="n">
        <v>810485</v>
      </c>
      <c r="D42" s="5" t="n">
        <v>765983</v>
      </c>
      <c r="E42" s="5" t="n">
        <v>766224</v>
      </c>
      <c r="F42" s="5" t="n">
        <v>821983</v>
      </c>
      <c r="G42" s="5" t="n">
        <v>812361</v>
      </c>
      <c r="H42" s="5" t="n">
        <v>712969</v>
      </c>
      <c r="I42" s="5" t="n">
        <v>674193</v>
      </c>
      <c r="J42" s="5" t="n">
        <v>654676</v>
      </c>
      <c r="K42" s="5" t="n">
        <v>599209</v>
      </c>
      <c r="L42" s="5" t="n">
        <v>547779</v>
      </c>
      <c r="M42" s="5" t="n">
        <v>535307</v>
      </c>
      <c r="N42" s="5" t="n">
        <v>500804</v>
      </c>
      <c r="O42" s="5" t="n">
        <v>942457</v>
      </c>
      <c r="P42" s="5" t="n">
        <v>942708</v>
      </c>
      <c r="Q42" s="5" t="n">
        <v>881745</v>
      </c>
      <c r="R42" s="5" t="n">
        <v>841906</v>
      </c>
    </row>
    <row r="43">
      <c r="A43" s="5" t="inlineStr">
        <is>
          <t>Total liabilities and equity</t>
        </is>
      </c>
      <c r="B43" s="5" t="n">
        <v>4474701</v>
      </c>
      <c r="C43" s="5" t="n">
        <v>5943082</v>
      </c>
      <c r="D43" s="5" t="n">
        <v>5761181</v>
      </c>
      <c r="E43" s="5" t="n">
        <v>7691434</v>
      </c>
      <c r="F43" s="5" t="n">
        <v>5166317</v>
      </c>
      <c r="G43" s="5" t="n">
        <v>6191205</v>
      </c>
      <c r="H43" s="5" t="n">
        <v>5497256</v>
      </c>
      <c r="I43" s="5" t="n">
        <v>5178705</v>
      </c>
      <c r="J43" s="5" t="n">
        <v>5321350</v>
      </c>
      <c r="K43" s="5" t="n">
        <v>5742066</v>
      </c>
      <c r="L43" s="5" t="n">
        <v>4691096</v>
      </c>
      <c r="M43" s="5" t="n">
        <v>4974936</v>
      </c>
      <c r="N43" s="5" t="n">
        <v>6808172</v>
      </c>
      <c r="O43" s="5" t="n">
        <v>6601481</v>
      </c>
      <c r="P43" s="5" t="n">
        <v>7024262</v>
      </c>
      <c r="Q43" s="5" t="n">
        <v>8212214</v>
      </c>
      <c r="R43" s="5" t="n">
        <v>6015807</v>
      </c>
    </row>
    <row r="45" ht="260" customHeight="1">
      <c r="A45"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45:R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Profit &amp; Loss</t>
        </is>
      </c>
    </row>
    <row r="2">
      <c r="A2" s="2" t="inlineStr">
        <is>
          <t>Standalone Company basis (FRS 101). £'000. FY2022's 'Gain on disposal of subsidiary' (£93,978k) is the disposal of the subsidiary undertaking held on the FY2021 Balance Sheet. FY2021/FY2022 disclose a 'Net reversal of impairment loss on financial instruments' line not shown FY2023-FY2025 (genuinely £nil/not disclosed those years, not omitted).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receivable and similar income</t>
        </is>
      </c>
      <c r="B5" s="6" t="n">
        <v>111211</v>
      </c>
      <c r="C5" s="6" t="n">
        <v>150183</v>
      </c>
      <c r="D5" s="6" t="n">
        <v>176532</v>
      </c>
      <c r="E5" s="6" t="n">
        <v>67078</v>
      </c>
      <c r="F5" s="6" t="n">
        <v>17558</v>
      </c>
      <c r="G5" s="6" t="n">
        <v>47242</v>
      </c>
      <c r="H5" s="6" t="n">
        <v>46585</v>
      </c>
      <c r="I5" s="6" t="n">
        <v>34101</v>
      </c>
      <c r="J5" s="6" t="n">
        <v>33340</v>
      </c>
      <c r="K5" s="6" t="n">
        <v>28414</v>
      </c>
      <c r="L5" s="6" t="n">
        <v>42958</v>
      </c>
      <c r="M5" s="6" t="n">
        <v>42225</v>
      </c>
      <c r="N5" s="6" t="n">
        <v>46892</v>
      </c>
      <c r="O5" s="6" t="n">
        <v>87747</v>
      </c>
      <c r="P5" s="6" t="n">
        <v>149909</v>
      </c>
      <c r="Q5" s="6" t="n">
        <v>155163</v>
      </c>
      <c r="R5" s="6" t="n">
        <v>174453</v>
      </c>
    </row>
    <row r="6">
      <c r="A6" s="6" t="inlineStr">
        <is>
          <t>Interest payable and similar charges</t>
        </is>
      </c>
      <c r="B6" s="6" t="n">
        <v>-67596</v>
      </c>
      <c r="C6" s="6" t="n">
        <v>-93121</v>
      </c>
      <c r="D6" s="6" t="n">
        <v>-124244</v>
      </c>
      <c r="E6" s="6" t="n">
        <v>-46738</v>
      </c>
      <c r="F6" s="6" t="n">
        <v>-2930</v>
      </c>
      <c r="G6" s="6" t="n">
        <v>-14088</v>
      </c>
      <c r="H6" s="6" t="n">
        <v>-34627</v>
      </c>
      <c r="I6" s="6" t="n">
        <v>-33005</v>
      </c>
      <c r="J6" s="6" t="n">
        <v>-19856</v>
      </c>
      <c r="K6" s="6" t="n">
        <v>-22865</v>
      </c>
      <c r="L6" s="6" t="n">
        <v>-23802</v>
      </c>
      <c r="M6" s="6" t="n">
        <v>-28141</v>
      </c>
      <c r="N6" s="6" t="n">
        <v>-23086</v>
      </c>
      <c r="O6" s="6" t="n">
        <v>-73353</v>
      </c>
      <c r="P6" s="6" t="n">
        <v>-97833</v>
      </c>
      <c r="Q6" s="6" t="n">
        <v>-84753</v>
      </c>
      <c r="R6" s="6" t="n">
        <v>-93442</v>
      </c>
    </row>
    <row r="7">
      <c r="A7" s="5" t="inlineStr">
        <is>
          <t>Net interest income</t>
        </is>
      </c>
      <c r="B7" s="5" t="n">
        <v>43615</v>
      </c>
      <c r="C7" s="5" t="n">
        <v>57062</v>
      </c>
      <c r="D7" s="5" t="n">
        <v>52288</v>
      </c>
      <c r="E7" s="5" t="n">
        <v>20340</v>
      </c>
      <c r="F7" s="5" t="n">
        <v>14628</v>
      </c>
      <c r="G7" s="5" t="n">
        <v>33154</v>
      </c>
      <c r="H7" s="5" t="n">
        <v>11958</v>
      </c>
      <c r="I7" s="5" t="n">
        <v>1096</v>
      </c>
      <c r="J7" s="5" t="n">
        <v>13484</v>
      </c>
      <c r="K7" s="5" t="n">
        <v>5549</v>
      </c>
      <c r="L7" s="5" t="n">
        <v>19156</v>
      </c>
      <c r="M7" s="5" t="n">
        <v>14084</v>
      </c>
      <c r="N7" s="5" t="n">
        <v>23806</v>
      </c>
      <c r="O7" s="5" t="n">
        <v>14394</v>
      </c>
      <c r="P7" s="5" t="n">
        <v>52076</v>
      </c>
      <c r="Q7" s="5" t="n">
        <v>70410</v>
      </c>
      <c r="R7" s="5" t="n">
        <v>81011</v>
      </c>
    </row>
    <row r="8">
      <c r="A8" s="6" t="inlineStr">
        <is>
          <t>Fee and commission income</t>
        </is>
      </c>
      <c r="B8" s="6" t="n">
        <v>9777</v>
      </c>
      <c r="C8" s="6" t="n">
        <v>10790</v>
      </c>
      <c r="D8" s="6" t="n">
        <v>9348</v>
      </c>
      <c r="E8" s="6" t="n">
        <v>2326</v>
      </c>
      <c r="F8" s="6" t="n">
        <v>21255</v>
      </c>
      <c r="G8" s="6" t="n">
        <v>85890</v>
      </c>
      <c r="H8" s="6" t="n">
        <v>69862</v>
      </c>
      <c r="I8" s="6" t="n">
        <v>81612</v>
      </c>
      <c r="J8" s="6" t="n">
        <v>77076</v>
      </c>
      <c r="K8" s="6" t="n">
        <v>65328</v>
      </c>
      <c r="L8" s="6" t="n">
        <v>59469</v>
      </c>
      <c r="M8" s="6" t="n">
        <v>73950</v>
      </c>
      <c r="N8" s="6" t="n">
        <v>89400</v>
      </c>
      <c r="O8" s="6" t="n">
        <v>97048</v>
      </c>
      <c r="P8" s="6" t="n">
        <v>124883</v>
      </c>
      <c r="Q8" s="6" t="n">
        <v>84491</v>
      </c>
      <c r="R8" s="6" t="n">
        <v>79946</v>
      </c>
    </row>
    <row r="9">
      <c r="A9" s="6" t="inlineStr">
        <is>
          <t>Fee and commission expense</t>
        </is>
      </c>
      <c r="B9" s="6" t="n">
        <v>-5676</v>
      </c>
      <c r="C9" s="6" t="n">
        <v>-6506</v>
      </c>
      <c r="D9" s="6" t="n">
        <v>-16211</v>
      </c>
      <c r="E9" s="6" t="n">
        <v>-14348</v>
      </c>
      <c r="F9" s="6" t="n">
        <v>-12916</v>
      </c>
      <c r="G9" s="6" t="n">
        <v>-9760</v>
      </c>
      <c r="H9" s="6" t="n">
        <v>-10179</v>
      </c>
      <c r="I9" s="6" t="n">
        <v>-8658</v>
      </c>
      <c r="J9" s="6" t="n">
        <v>-3149</v>
      </c>
      <c r="K9" s="6" t="n">
        <v>-7299</v>
      </c>
      <c r="L9" s="6" t="n">
        <v>-12727</v>
      </c>
      <c r="M9" s="6" t="n">
        <v>-17742</v>
      </c>
      <c r="N9" s="6" t="n">
        <v>-6979</v>
      </c>
      <c r="O9" s="6" t="n">
        <v>-7200</v>
      </c>
      <c r="P9" s="6" t="n">
        <v>-9511</v>
      </c>
      <c r="Q9" s="6" t="n">
        <v>-7676</v>
      </c>
      <c r="R9" s="6" t="n">
        <v>-2304</v>
      </c>
    </row>
    <row r="10">
      <c r="A10" s="6" t="inlineStr">
        <is>
          <t>Net gain from financial instruments at fair value through profit or loss</t>
        </is>
      </c>
      <c r="B10" s="6" t="n">
        <v>23982</v>
      </c>
      <c r="C10" s="6" t="n">
        <v>30718</v>
      </c>
      <c r="D10" s="6" t="n">
        <v>21129</v>
      </c>
      <c r="E10" s="6" t="n">
        <v>36542</v>
      </c>
      <c r="F10" s="6" t="n">
        <v>42393</v>
      </c>
      <c r="G10" s="6" t="n"/>
      <c r="H10" s="6" t="n"/>
      <c r="I10" s="6" t="n"/>
      <c r="J10" s="6" t="n"/>
      <c r="K10" s="6" t="n"/>
      <c r="L10" s="6" t="n"/>
      <c r="M10" s="6" t="n"/>
      <c r="N10" s="6" t="n"/>
      <c r="O10" s="6" t="n"/>
      <c r="P10" s="6" t="n"/>
      <c r="Q10" s="6" t="n"/>
      <c r="R10" s="6" t="n"/>
    </row>
    <row r="11">
      <c r="A11" s="6" t="inlineStr">
        <is>
          <t>Net trading income / net gains on financial instruments classified as held for trading</t>
        </is>
      </c>
      <c r="B11" s="6" t="n"/>
      <c r="C11" s="6" t="n"/>
      <c r="D11" s="6" t="n"/>
      <c r="E11" s="6" t="n"/>
      <c r="F11" s="6" t="n"/>
      <c r="G11" s="6" t="n">
        <v>98050</v>
      </c>
      <c r="H11" s="6" t="n">
        <v>56209</v>
      </c>
      <c r="I11" s="6" t="n">
        <v>46548</v>
      </c>
      <c r="J11" s="6" t="n">
        <v>44951</v>
      </c>
      <c r="K11" s="6" t="n">
        <v>20426</v>
      </c>
      <c r="L11" s="6" t="n">
        <v>29719</v>
      </c>
      <c r="M11" s="6" t="n">
        <v>26609</v>
      </c>
      <c r="N11" s="6" t="n">
        <v>27093</v>
      </c>
      <c r="O11" s="6" t="n">
        <v>1472</v>
      </c>
      <c r="P11" s="6" t="n">
        <v>-20927</v>
      </c>
      <c r="Q11" s="6" t="n">
        <v>-18066</v>
      </c>
      <c r="R11" s="6" t="n">
        <v>39620</v>
      </c>
    </row>
    <row r="12">
      <c r="A12" s="6" t="inlineStr">
        <is>
          <t>Net (loss)/income from other financial instruments held at fair value</t>
        </is>
      </c>
      <c r="B12" s="6" t="n"/>
      <c r="C12" s="6" t="n"/>
      <c r="D12" s="6" t="n"/>
      <c r="E12" s="6" t="n"/>
      <c r="F12" s="6" t="n"/>
      <c r="G12" s="6" t="n">
        <v>-6193</v>
      </c>
      <c r="H12" s="6" t="n">
        <v>432</v>
      </c>
      <c r="I12" s="6" t="n">
        <v>-1049</v>
      </c>
      <c r="J12" s="6" t="n"/>
      <c r="K12" s="6" t="n"/>
      <c r="L12" s="6" t="n"/>
      <c r="M12" s="6" t="n"/>
      <c r="N12" s="6" t="n"/>
      <c r="O12" s="6" t="n"/>
      <c r="P12" s="6" t="n"/>
      <c r="Q12" s="6" t="n"/>
      <c r="R12" s="6" t="n"/>
    </row>
    <row r="13">
      <c r="A13" s="6" t="inlineStr">
        <is>
          <t>Net gains/(losses) on financial instruments designated at fair value through profit or loss (FY2009-FY2013 label)</t>
        </is>
      </c>
      <c r="B13" s="6" t="n"/>
      <c r="C13" s="6" t="n"/>
      <c r="D13" s="6" t="n"/>
      <c r="E13" s="6" t="n"/>
      <c r="F13" s="6" t="n"/>
      <c r="G13" s="6" t="n"/>
      <c r="H13" s="6" t="n"/>
      <c r="I13" s="6" t="n"/>
      <c r="J13" s="6" t="n"/>
      <c r="K13" s="6" t="n"/>
      <c r="L13" s="6" t="n"/>
      <c r="M13" s="6" t="n"/>
      <c r="N13" s="6" t="n">
        <v>392</v>
      </c>
      <c r="O13" s="6" t="n">
        <v>1121</v>
      </c>
      <c r="P13" s="6" t="n">
        <v>1328</v>
      </c>
      <c r="Q13" s="6" t="n">
        <v>0</v>
      </c>
      <c r="R13" s="6" t="n">
        <v>0</v>
      </c>
    </row>
    <row r="14">
      <c r="A14" s="6" t="inlineStr">
        <is>
          <t>Net gains/(losses) on loans and receivables (pre-IFRS 9; FY2017 per the Company's own FY2017 report - the FY2018 report's restated FY2017 comparative instead splits this into a -389 derecognition loss and a +1,733 impairment reversal, net identical)</t>
        </is>
      </c>
      <c r="B14" s="6" t="n"/>
      <c r="C14" s="6" t="n"/>
      <c r="D14" s="6" t="n"/>
      <c r="E14" s="6" t="n"/>
      <c r="F14" s="6" t="n"/>
      <c r="G14" s="6" t="n"/>
      <c r="H14" s="6" t="n"/>
      <c r="I14" s="6" t="n"/>
      <c r="J14" s="6" t="n">
        <v>1344</v>
      </c>
      <c r="K14" s="6" t="n">
        <v>563</v>
      </c>
      <c r="L14" s="6" t="n">
        <v>-21812</v>
      </c>
      <c r="M14" s="6" t="n">
        <v>-6678</v>
      </c>
      <c r="N14" s="6" t="n">
        <v>-55839</v>
      </c>
      <c r="O14" s="6" t="n">
        <v>-27963</v>
      </c>
      <c r="P14" s="6" t="n">
        <v>9792</v>
      </c>
      <c r="Q14" s="6" t="n">
        <v>15851</v>
      </c>
      <c r="R14" s="6" t="n">
        <v>-95460</v>
      </c>
    </row>
    <row r="15">
      <c r="A15" s="6" t="inlineStr">
        <is>
          <t>Net reversal of impairment loss on financial instruments</t>
        </is>
      </c>
      <c r="B15" s="6" t="n"/>
      <c r="C15" s="6" t="n"/>
      <c r="D15" s="6" t="n"/>
      <c r="E15" s="6" t="n">
        <v>0</v>
      </c>
      <c r="F15" s="6" t="n">
        <v>416</v>
      </c>
      <c r="G15" s="6" t="n">
        <v>-406</v>
      </c>
      <c r="H15" s="6" t="n">
        <v>20</v>
      </c>
      <c r="I15" s="6" t="n">
        <v>160</v>
      </c>
      <c r="J15" s="6" t="n"/>
      <c r="K15" s="6" t="n"/>
      <c r="L15" s="6" t="n"/>
      <c r="M15" s="6" t="n"/>
      <c r="N15" s="6" t="n"/>
      <c r="O15" s="6" t="n"/>
      <c r="P15" s="6" t="n"/>
      <c r="Q15" s="6" t="n"/>
      <c r="R15" s="6" t="n"/>
    </row>
    <row r="16">
      <c r="A16" s="6" t="inlineStr">
        <is>
          <t>Gain on disposal of subsidiary</t>
        </is>
      </c>
      <c r="B16" s="6" t="n"/>
      <c r="C16" s="6" t="n"/>
      <c r="D16" s="6" t="n"/>
      <c r="E16" s="6" t="n">
        <v>93978</v>
      </c>
      <c r="F16" s="6" t="n"/>
      <c r="G16" s="6" t="n"/>
      <c r="H16" s="6" t="n"/>
      <c r="I16" s="6" t="n"/>
      <c r="J16" s="6" t="n"/>
      <c r="K16" s="6" t="n"/>
      <c r="L16" s="6" t="n"/>
      <c r="M16" s="6" t="n"/>
      <c r="N16" s="6" t="n"/>
      <c r="O16" s="6" t="n"/>
      <c r="P16" s="6" t="n"/>
      <c r="Q16" s="6" t="n"/>
      <c r="R16" s="6" t="n"/>
    </row>
    <row r="17">
      <c r="A17" s="6" t="inlineStr">
        <is>
          <t>Other operating income (FY2009-FY2013)</t>
        </is>
      </c>
      <c r="B17" s="6" t="n"/>
      <c r="C17" s="6" t="n"/>
      <c r="D17" s="6" t="n"/>
      <c r="E17" s="6" t="n"/>
      <c r="F17" s="6" t="n"/>
      <c r="G17" s="6" t="n"/>
      <c r="H17" s="6" t="n"/>
      <c r="I17" s="6" t="n"/>
      <c r="J17" s="6" t="n"/>
      <c r="K17" s="6" t="n"/>
      <c r="L17" s="6" t="n"/>
      <c r="M17" s="6" t="n"/>
      <c r="N17" s="6" t="n">
        <v>78</v>
      </c>
      <c r="O17" s="6" t="n">
        <v>198</v>
      </c>
      <c r="P17" s="6" t="n">
        <v>0</v>
      </c>
      <c r="Q17" s="6" t="n">
        <v>2</v>
      </c>
      <c r="R17" s="6" t="n">
        <v>19</v>
      </c>
    </row>
    <row r="18">
      <c r="A18" s="6" t="inlineStr">
        <is>
          <t>Gain on disposal of discontinued operations</t>
        </is>
      </c>
      <c r="B18" s="6" t="n"/>
      <c r="C18" s="6" t="n"/>
      <c r="D18" s="6" t="n"/>
      <c r="E18" s="6" t="n"/>
      <c r="F18" s="6" t="n"/>
      <c r="G18" s="6" t="n"/>
      <c r="H18" s="6" t="n"/>
      <c r="I18" s="6" t="n"/>
      <c r="J18" s="6" t="n"/>
      <c r="K18" s="6" t="n"/>
      <c r="L18" s="6" t="n"/>
      <c r="M18" s="6" t="n">
        <v>665</v>
      </c>
      <c r="N18" s="6" t="n">
        <v>1692</v>
      </c>
      <c r="O18" s="6" t="n"/>
      <c r="P18" s="6" t="n"/>
      <c r="Q18" s="6" t="n"/>
      <c r="R18" s="6" t="n"/>
    </row>
    <row r="19">
      <c r="A19" s="6" t="inlineStr">
        <is>
          <t>Administrative expenses</t>
        </is>
      </c>
      <c r="B19" s="6" t="n">
        <v>-21070</v>
      </c>
      <c r="C19" s="6" t="n">
        <v>-27722</v>
      </c>
      <c r="D19" s="6" t="n">
        <v>-34895</v>
      </c>
      <c r="E19" s="6" t="n">
        <v>-32647</v>
      </c>
      <c r="F19" s="6" t="n">
        <v>-48725</v>
      </c>
      <c r="G19" s="6" t="n">
        <v>-76126</v>
      </c>
      <c r="H19" s="6" t="n">
        <v>-81870</v>
      </c>
      <c r="I19" s="6" t="n">
        <v>-82152</v>
      </c>
      <c r="J19" s="6" t="n">
        <v>-75348</v>
      </c>
      <c r="K19" s="6" t="n">
        <v>-41791</v>
      </c>
      <c r="L19" s="6" t="n">
        <v>-44792</v>
      </c>
      <c r="M19" s="6" t="n">
        <v>-57487</v>
      </c>
      <c r="N19" s="6" t="n">
        <v>-66190</v>
      </c>
      <c r="O19" s="6" t="n">
        <v>-73750</v>
      </c>
      <c r="P19" s="6" t="n">
        <v>-74975</v>
      </c>
      <c r="Q19" s="6" t="n">
        <v>-79017</v>
      </c>
      <c r="R19" s="6" t="n">
        <v>-85141</v>
      </c>
    </row>
    <row r="20">
      <c r="A20" s="6" t="inlineStr">
        <is>
          <t>Depreciation of tangible fixed assets</t>
        </is>
      </c>
      <c r="B20" s="6" t="n">
        <v>-239</v>
      </c>
      <c r="C20" s="6" t="n">
        <v>-229</v>
      </c>
      <c r="D20" s="6" t="n">
        <v>-267</v>
      </c>
      <c r="E20" s="6" t="n">
        <v>-270</v>
      </c>
      <c r="F20" s="6" t="n">
        <v>-215</v>
      </c>
      <c r="G20" s="6" t="n">
        <v>-1058</v>
      </c>
      <c r="H20" s="6" t="n">
        <v>-1310</v>
      </c>
      <c r="I20" s="6" t="n">
        <v>-482</v>
      </c>
      <c r="J20" s="6" t="n">
        <v>-418</v>
      </c>
      <c r="K20" s="6" t="n">
        <v>-362</v>
      </c>
      <c r="L20" s="6" t="n">
        <v>-236</v>
      </c>
      <c r="M20" s="6" t="n">
        <v>-180</v>
      </c>
      <c r="N20" s="6" t="n">
        <v>-421</v>
      </c>
      <c r="O20" s="6" t="n">
        <v>-646</v>
      </c>
      <c r="P20" s="6" t="n">
        <v>-699</v>
      </c>
      <c r="Q20" s="6" t="n">
        <v>-830</v>
      </c>
      <c r="R20" s="6" t="n">
        <v>-988</v>
      </c>
    </row>
    <row r="21">
      <c r="A21" s="5" t="inlineStr">
        <is>
          <t>Profit before tax</t>
        </is>
      </c>
      <c r="B21" s="5" t="n">
        <v>50389</v>
      </c>
      <c r="C21" s="5" t="n">
        <v>64113</v>
      </c>
      <c r="D21" s="5" t="n">
        <v>31392</v>
      </c>
      <c r="E21" s="5" t="n">
        <v>105921</v>
      </c>
      <c r="F21" s="5" t="n">
        <v>16836</v>
      </c>
      <c r="G21" s="5" t="n">
        <v>123551</v>
      </c>
      <c r="H21" s="5" t="n">
        <v>45122</v>
      </c>
      <c r="I21" s="5" t="n">
        <v>37075</v>
      </c>
      <c r="J21" s="5" t="n">
        <v>57940</v>
      </c>
      <c r="K21" s="5" t="n">
        <v>42414</v>
      </c>
      <c r="L21" s="5" t="n">
        <v>28777</v>
      </c>
      <c r="M21" s="5" t="n">
        <v>33221</v>
      </c>
      <c r="N21" s="5" t="n">
        <v>13032</v>
      </c>
      <c r="O21" s="5" t="n">
        <v>4674</v>
      </c>
      <c r="P21" s="5" t="n">
        <v>81967</v>
      </c>
      <c r="Q21" s="5" t="n">
        <v>65165</v>
      </c>
      <c r="R21" s="5" t="n">
        <v>16703</v>
      </c>
    </row>
    <row r="22">
      <c r="A22" s="6" t="inlineStr">
        <is>
          <t>Income tax expense</t>
        </is>
      </c>
      <c r="B22" s="6" t="n">
        <v>-12810</v>
      </c>
      <c r="C22" s="6" t="n">
        <v>-18332</v>
      </c>
      <c r="D22" s="6" t="n">
        <v>-31078</v>
      </c>
      <c r="E22" s="6" t="n">
        <v>-11768</v>
      </c>
      <c r="F22" s="6" t="n">
        <v>-6959</v>
      </c>
      <c r="G22" s="6" t="n">
        <v>-29121</v>
      </c>
      <c r="H22" s="6" t="n">
        <v>-7000</v>
      </c>
      <c r="I22" s="6" t="n">
        <v>-9382</v>
      </c>
      <c r="J22" s="6" t="n">
        <v>-8235</v>
      </c>
      <c r="K22" s="6" t="n">
        <v>-14426</v>
      </c>
      <c r="L22" s="6" t="n">
        <v>-10643</v>
      </c>
      <c r="M22" s="6" t="n">
        <v>-2455</v>
      </c>
      <c r="N22" s="6" t="n">
        <v>-5877</v>
      </c>
      <c r="O22" s="6" t="n">
        <v>-9017</v>
      </c>
      <c r="P22" s="6" t="n">
        <v>-19568</v>
      </c>
      <c r="Q22" s="6" t="n">
        <v>-29201</v>
      </c>
      <c r="R22" s="6" t="n">
        <v>-29089</v>
      </c>
    </row>
    <row r="23">
      <c r="A23" s="5" t="inlineStr">
        <is>
          <t>Profit for the year</t>
        </is>
      </c>
      <c r="B23" s="5" t="n">
        <v>37579</v>
      </c>
      <c r="C23" s="5" t="n">
        <v>45781</v>
      </c>
      <c r="D23" s="5" t="n">
        <v>314</v>
      </c>
      <c r="E23" s="5" t="n">
        <v>94153</v>
      </c>
      <c r="F23" s="5" t="n">
        <v>9877</v>
      </c>
      <c r="G23" s="5" t="n">
        <v>94430</v>
      </c>
      <c r="H23" s="5" t="n">
        <v>38122</v>
      </c>
      <c r="I23" s="5" t="n">
        <v>27693</v>
      </c>
      <c r="J23" s="5" t="n">
        <v>49705</v>
      </c>
      <c r="K23" s="5" t="n">
        <v>27988</v>
      </c>
      <c r="L23" s="5" t="n">
        <v>18134</v>
      </c>
      <c r="M23" s="5" t="n">
        <v>30766</v>
      </c>
      <c r="N23" s="5" t="n">
        <v>7155</v>
      </c>
      <c r="O23" s="5" t="n">
        <v>-4343</v>
      </c>
      <c r="P23" s="5" t="n">
        <v>62399</v>
      </c>
      <c r="Q23" s="5" t="n">
        <v>35964</v>
      </c>
      <c r="R23" s="5" t="n">
        <v>-12386</v>
      </c>
    </row>
    <row r="24">
      <c r="A24" s="5" t="inlineStr">
        <is>
          <t>Other comprehensive income/(loss), net of tax</t>
        </is>
      </c>
      <c r="B24" s="6" t="n"/>
      <c r="C24" s="6" t="n"/>
      <c r="D24" s="6" t="n"/>
      <c r="E24" s="6" t="n"/>
      <c r="F24" s="6" t="n"/>
      <c r="G24" s="6" t="n"/>
      <c r="H24" s="6" t="n"/>
      <c r="I24" s="6" t="n"/>
      <c r="J24" s="6" t="n"/>
      <c r="K24" s="6" t="n"/>
      <c r="L24" s="6" t="n"/>
      <c r="M24" s="6" t="n"/>
      <c r="N24" s="6" t="n"/>
      <c r="O24" s="6" t="n"/>
      <c r="P24" s="6" t="n"/>
      <c r="Q24" s="6" t="n"/>
      <c r="R24" s="6" t="n"/>
    </row>
    <row r="25">
      <c r="A25" s="6" t="inlineStr">
        <is>
          <t>Remeasurement of net defined benefit liability</t>
        </is>
      </c>
      <c r="B25" s="6" t="n">
        <v>40</v>
      </c>
      <c r="C25" s="6" t="n">
        <v>21</v>
      </c>
      <c r="D25" s="6" t="n">
        <v>-22</v>
      </c>
      <c r="E25" s="6" t="n">
        <v>100</v>
      </c>
      <c r="F25" s="6" t="n">
        <v>78</v>
      </c>
      <c r="G25" s="6" t="n">
        <v>-234</v>
      </c>
      <c r="H25" s="6" t="n">
        <v>-174</v>
      </c>
      <c r="I25" s="6" t="n">
        <v>2</v>
      </c>
      <c r="J25" s="6" t="n">
        <v>-9</v>
      </c>
      <c r="K25" s="6" t="n">
        <v>-17</v>
      </c>
      <c r="L25" s="6" t="n">
        <v>195</v>
      </c>
      <c r="M25" s="6" t="n">
        <v>-124</v>
      </c>
      <c r="N25" s="6" t="n">
        <v>6</v>
      </c>
      <c r="O25" s="6" t="n">
        <v>-126</v>
      </c>
      <c r="P25" s="6" t="n">
        <v>48</v>
      </c>
      <c r="Q25" s="6" t="n">
        <v>-109</v>
      </c>
      <c r="R25" s="6" t="n">
        <v>-634</v>
      </c>
    </row>
    <row r="26">
      <c r="A26" s="6" t="inlineStr">
        <is>
          <t>Foreign currency translation differences arising on foreign operations</t>
        </is>
      </c>
      <c r="B26" s="6" t="n">
        <v>-8951</v>
      </c>
      <c r="C26" s="6" t="n">
        <v>-19706</v>
      </c>
      <c r="D26" s="6" t="n">
        <v>-15179</v>
      </c>
      <c r="E26" s="6" t="n">
        <v>10400</v>
      </c>
      <c r="F26" s="6" t="n">
        <v>-14755</v>
      </c>
      <c r="G26" s="6" t="n">
        <v>6114</v>
      </c>
      <c r="H26" s="6" t="n">
        <v>-12707</v>
      </c>
      <c r="I26" s="6" t="n">
        <v>2752</v>
      </c>
      <c r="J26" s="6" t="n">
        <v>5771</v>
      </c>
      <c r="K26" s="6" t="n">
        <v>23459</v>
      </c>
      <c r="L26" s="6" t="n">
        <v>-2279</v>
      </c>
      <c r="M26" s="6" t="n">
        <v>1802</v>
      </c>
      <c r="N26" s="6" t="n">
        <v>1194</v>
      </c>
      <c r="O26" s="6" t="n">
        <v>4268</v>
      </c>
      <c r="P26" s="6" t="n">
        <v>-1324</v>
      </c>
      <c r="Q26" s="6" t="n">
        <v>5613</v>
      </c>
      <c r="R26" s="6" t="n">
        <v>2142</v>
      </c>
    </row>
    <row r="27">
      <c r="A27" s="6" t="inlineStr">
        <is>
          <t>Gain/(loss) arising on hedging instruments designated in net investment hedges</t>
        </is>
      </c>
      <c r="B27" s="6" t="n">
        <v>8748</v>
      </c>
      <c r="C27" s="6" t="n">
        <v>18406</v>
      </c>
      <c r="D27" s="6" t="n">
        <v>14646</v>
      </c>
      <c r="E27" s="6" t="n">
        <v>-10412</v>
      </c>
      <c r="F27" s="6" t="n">
        <v>14422</v>
      </c>
      <c r="G27" s="6" t="n">
        <v>-5197</v>
      </c>
      <c r="H27" s="6" t="n">
        <v>13535</v>
      </c>
      <c r="I27" s="6" t="n">
        <v>-10070</v>
      </c>
      <c r="J27" s="6" t="n"/>
      <c r="K27" s="6" t="n"/>
      <c r="L27" s="6" t="n"/>
      <c r="M27" s="6" t="n"/>
      <c r="N27" s="6" t="n"/>
      <c r="O27" s="6" t="n"/>
      <c r="P27" s="6" t="n"/>
      <c r="Q27" s="6" t="n"/>
      <c r="R27" s="6" t="n"/>
    </row>
    <row r="28">
      <c r="A28" s="5" t="inlineStr">
        <is>
          <t>Other comprehensive income/(loss) after income tax</t>
        </is>
      </c>
      <c r="B28" s="5" t="n">
        <v>-163</v>
      </c>
      <c r="C28" s="5" t="n">
        <v>-1279</v>
      </c>
      <c r="D28" s="5" t="n">
        <v>-555</v>
      </c>
      <c r="E28" s="5" t="n">
        <v>88</v>
      </c>
      <c r="F28" s="5" t="n">
        <v>-255</v>
      </c>
      <c r="G28" s="5" t="n">
        <v>683</v>
      </c>
      <c r="H28" s="5" t="n">
        <v>654</v>
      </c>
      <c r="I28" s="5" t="n">
        <v>-7316</v>
      </c>
      <c r="J28" s="5" t="n">
        <v>5762</v>
      </c>
      <c r="K28" s="5" t="n">
        <v>23442</v>
      </c>
      <c r="L28" s="5" t="n">
        <v>-2084</v>
      </c>
      <c r="M28" s="5" t="n">
        <v>1678</v>
      </c>
      <c r="N28" s="5" t="n">
        <v>1200</v>
      </c>
      <c r="O28" s="5" t="n">
        <v>4142</v>
      </c>
      <c r="P28" s="5" t="n">
        <v>-1276</v>
      </c>
      <c r="Q28" s="5" t="n">
        <v>5504</v>
      </c>
      <c r="R28" s="5" t="n">
        <v>1508</v>
      </c>
    </row>
    <row r="29">
      <c r="A29" s="5" t="inlineStr">
        <is>
          <t>Total comprehensive income for the year</t>
        </is>
      </c>
      <c r="B29" s="5" t="n">
        <v>37416</v>
      </c>
      <c r="C29" s="5" t="n">
        <v>44502</v>
      </c>
      <c r="D29" s="5" t="n">
        <v>-241</v>
      </c>
      <c r="E29" s="5" t="n">
        <v>94241</v>
      </c>
      <c r="F29" s="5" t="n">
        <v>9622</v>
      </c>
      <c r="G29" s="5" t="n">
        <v>95113</v>
      </c>
      <c r="H29" s="5" t="n">
        <v>38776</v>
      </c>
      <c r="I29" s="5" t="n">
        <v>20377</v>
      </c>
      <c r="J29" s="5" t="n">
        <v>55467</v>
      </c>
      <c r="K29" s="5" t="n">
        <v>51430</v>
      </c>
      <c r="L29" s="5" t="n">
        <v>16050</v>
      </c>
      <c r="M29" s="5" t="n">
        <v>32444</v>
      </c>
      <c r="N29" s="5" t="n">
        <v>8355</v>
      </c>
      <c r="O29" s="5" t="n">
        <v>-201</v>
      </c>
      <c r="P29" s="5" t="n">
        <v>61123</v>
      </c>
      <c r="Q29" s="5" t="n">
        <v>41468</v>
      </c>
      <c r="R29" s="5" t="n">
        <v>-10878</v>
      </c>
    </row>
    <row r="31" ht="260" customHeight="1">
      <c r="A31"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31:R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Statement of Changes in Equity</t>
        </is>
      </c>
    </row>
    <row r="2">
      <c r="A2" s="2" t="inlineStr">
        <is>
          <t>Chronological roll-forward, oldest to newest, standalone Company basis (FRS 101/UK GAAP for FY2014). £'000. Every year's own closing balance ties exactly to both the next year's own opening balance and that year's own Balance Sheet Total equity for FY2015-FY2025, with zero plug rows needed. FY2014 is the one exception: the Company's own FY2014 Annual Report closing P&amp;L account balance (£89,485k) does not match the £85,907k opening comparative shown in the FY2015/FY2016 Annual Reports - a £3,578k downward restatement not itemised in any source reviewed (plausibly a FRS 101 transition adjustment), shown here as an explicit 'Restatement' row rather than silently plugged. The FY2014 row itself also carries a smaller £780k residual (per Note 26's own reconciliation, not separately itemised) after the disclosed profit, OCI and Investment Management business-transfer consideration are applied - both gaps are documented, not absorbed into other lines. FY2021 opening balance ties exactly to the Company's own FY2020 Annual Report closing balance. HD-073 (2026-09-06) FY2009-FY2013 extension: every year's own closing balance ties exactly to the Balance Sheet's own Total equity, sourced from each year's own Note 25/26 reconciliation (FY2009 Annual Report Note 25; FY2011 and FY2013 Annual Reports' own Note 26, which also carry the FY2010 and FY2012 comparatives respectively) - zero plug rows needed anywhere in this span. FY2009's Balance Sheet shows a separate 'Pension reserve' equity component (£252k at 31 December 2009) not present in any later year; it is folded into this sheet's Profit and loss account column throughout FY2009 (both opening and closing), matching how the Company's own FY2011 Annual Report already presents the FY2010 opening/closing balances with no separate Pension reserve column - a genuine presentational change on the Company's part, not one introduced by this project.</t>
        </is>
      </c>
    </row>
    <row r="3">
      <c r="A3" s="4" t="inlineStr">
        <is>
          <t>Movement</t>
        </is>
      </c>
      <c r="B3" s="4" t="inlineStr">
        <is>
          <t>Called up share capital</t>
        </is>
      </c>
      <c r="C3" s="4" t="inlineStr">
        <is>
          <t>Capital contribution reserve</t>
        </is>
      </c>
      <c r="D3" s="4" t="inlineStr">
        <is>
          <t>Foreign currency revaluation reserve</t>
        </is>
      </c>
      <c r="E3" s="4" t="inlineStr">
        <is>
          <t>Profit and loss account</t>
        </is>
      </c>
      <c r="F3" s="4" t="inlineStr">
        <is>
          <t>Total equity</t>
        </is>
      </c>
    </row>
    <row r="4">
      <c r="A4" s="5" t="inlineStr">
        <is>
          <t>At 1 January 2009 (FY2009 opening, per the FY2009 Annual Report's own Note 25 - the 'Pension reserve' component (£886k) is folded into this Profit and loss account column here, matching how the Company's own later Annual Reports (FY2011 onward) present this same balance with no separate Pension reserve column at all - see sourcing note)</t>
        </is>
      </c>
      <c r="B4" s="5" t="n">
        <v>790000</v>
      </c>
      <c r="C4" s="5" t="n">
        <v>89654</v>
      </c>
      <c r="D4" s="5" t="n">
        <v>2473</v>
      </c>
      <c r="E4" s="5" t="n">
        <v>-30588</v>
      </c>
      <c r="F4" s="5" t="n">
        <v>851539</v>
      </c>
    </row>
    <row r="5">
      <c r="A5" s="6" t="inlineStr">
        <is>
          <t>Profit/(loss) for the period</t>
        </is>
      </c>
      <c r="B5" s="6" t="n"/>
      <c r="C5" s="6" t="n"/>
      <c r="D5" s="6" t="n"/>
      <c r="E5" s="6" t="n">
        <v>-12386</v>
      </c>
      <c r="F5" s="6" t="n">
        <v>-12386</v>
      </c>
    </row>
    <row r="6">
      <c r="A6" s="6" t="inlineStr">
        <is>
          <t>Remeasurement of net defined benefit pension liability, net of deferred tax (folded into the Profit and loss account column per Note 25 - see above)</t>
        </is>
      </c>
      <c r="B6" s="6" t="n"/>
      <c r="C6" s="6" t="n"/>
      <c r="D6" s="6" t="n"/>
      <c r="E6" s="6" t="n">
        <v>-634</v>
      </c>
      <c r="F6" s="6" t="n">
        <v>-634</v>
      </c>
    </row>
    <row r="7">
      <c r="A7" s="6" t="inlineStr">
        <is>
          <t>Foreign currency translation differences arising during the period</t>
        </is>
      </c>
      <c r="B7" s="6" t="n"/>
      <c r="C7" s="6" t="n"/>
      <c r="D7" s="6" t="n">
        <v>2142</v>
      </c>
      <c r="E7" s="6" t="n"/>
      <c r="F7" s="6" t="n">
        <v>2142</v>
      </c>
    </row>
    <row r="8">
      <c r="A8" s="6" t="inlineStr">
        <is>
          <t>Share-based payments</t>
        </is>
      </c>
      <c r="B8" s="6" t="n"/>
      <c r="C8" s="6" t="n"/>
      <c r="D8" s="6" t="n"/>
      <c r="E8" s="6" t="n">
        <v>1245</v>
      </c>
      <c r="F8" s="6" t="n">
        <v>1245</v>
      </c>
    </row>
    <row r="9">
      <c r="A9" s="5" t="inlineStr">
        <is>
          <t>At 31 December 2009 (FY2009 closing, per the Company's own FY2009 Annual Report Note 25)</t>
        </is>
      </c>
      <c r="B9" s="5" t="n">
        <v>790000</v>
      </c>
      <c r="C9" s="5" t="n">
        <v>89654</v>
      </c>
      <c r="D9" s="5" t="n">
        <v>4615</v>
      </c>
      <c r="E9" s="5" t="n">
        <v>-42363</v>
      </c>
      <c r="F9" s="5" t="n">
        <v>841906</v>
      </c>
    </row>
    <row r="10">
      <c r="A10" s="6" t="inlineStr">
        <is>
          <t>Profit for the year</t>
        </is>
      </c>
      <c r="B10" s="6" t="n"/>
      <c r="C10" s="6" t="n"/>
      <c r="D10" s="6" t="n"/>
      <c r="E10" s="6" t="n">
        <v>35964</v>
      </c>
      <c r="F10" s="6" t="n">
        <v>35964</v>
      </c>
    </row>
    <row r="11">
      <c r="A11" s="6" t="inlineStr">
        <is>
          <t>Remeasurement loss on net defined benefit liability</t>
        </is>
      </c>
      <c r="B11" s="6" t="n"/>
      <c r="C11" s="6" t="n"/>
      <c r="D11" s="6" t="n"/>
      <c r="E11" s="6" t="n">
        <v>-109</v>
      </c>
      <c r="F11" s="6" t="n">
        <v>-109</v>
      </c>
    </row>
    <row r="12">
      <c r="A12" s="6" t="inlineStr">
        <is>
          <t>Foreign currency translation differences arising during the year</t>
        </is>
      </c>
      <c r="B12" s="6" t="n"/>
      <c r="C12" s="6" t="n"/>
      <c r="D12" s="6" t="n">
        <v>5613</v>
      </c>
      <c r="E12" s="6" t="n"/>
      <c r="F12" s="6" t="n">
        <v>5613</v>
      </c>
    </row>
    <row r="13">
      <c r="A13" s="6" t="inlineStr">
        <is>
          <t>Share-based payments</t>
        </is>
      </c>
      <c r="B13" s="6" t="n"/>
      <c r="C13" s="6" t="n"/>
      <c r="D13" s="6" t="n"/>
      <c r="E13" s="6" t="n">
        <v>-1629</v>
      </c>
      <c r="F13" s="6" t="n">
        <v>-1629</v>
      </c>
    </row>
    <row r="14">
      <c r="A14" s="5" t="inlineStr">
        <is>
          <t>At 31 December 2010 (FY2010 closing, per the FY2011 Annual Report's own Note 26 comparative)</t>
        </is>
      </c>
      <c r="B14" s="5" t="n">
        <v>790000</v>
      </c>
      <c r="C14" s="5" t="n">
        <v>89654</v>
      </c>
      <c r="D14" s="5" t="n">
        <v>10228</v>
      </c>
      <c r="E14" s="5" t="n">
        <v>-8137</v>
      </c>
      <c r="F14" s="5" t="n">
        <v>881745</v>
      </c>
    </row>
    <row r="15">
      <c r="A15" s="6" t="inlineStr">
        <is>
          <t>Profit for the year</t>
        </is>
      </c>
      <c r="B15" s="6" t="n"/>
      <c r="C15" s="6" t="n"/>
      <c r="D15" s="6" t="n"/>
      <c r="E15" s="6" t="n">
        <v>62399</v>
      </c>
      <c r="F15" s="6" t="n">
        <v>62399</v>
      </c>
    </row>
    <row r="16">
      <c r="A16" s="6" t="inlineStr">
        <is>
          <t>Remeasurement gain on net defined benefit liability</t>
        </is>
      </c>
      <c r="B16" s="6" t="n"/>
      <c r="C16" s="6" t="n"/>
      <c r="D16" s="6" t="n"/>
      <c r="E16" s="6" t="n">
        <v>48</v>
      </c>
      <c r="F16" s="6" t="n">
        <v>48</v>
      </c>
    </row>
    <row r="17">
      <c r="A17" s="6" t="inlineStr">
        <is>
          <t>Foreign currency translation differences arising during the year</t>
        </is>
      </c>
      <c r="B17" s="6" t="n"/>
      <c r="C17" s="6" t="n"/>
      <c r="D17" s="6" t="n">
        <v>-1324</v>
      </c>
      <c r="E17" s="6" t="n"/>
      <c r="F17" s="6" t="n">
        <v>-1324</v>
      </c>
    </row>
    <row r="18">
      <c r="A18" s="6" t="inlineStr">
        <is>
          <t>Share-based payments</t>
        </is>
      </c>
      <c r="B18" s="6" t="n"/>
      <c r="C18" s="6" t="n"/>
      <c r="D18" s="6" t="n"/>
      <c r="E18" s="6" t="n">
        <v>-160</v>
      </c>
      <c r="F18" s="6" t="n">
        <v>-160</v>
      </c>
    </row>
    <row r="19">
      <c r="A19" s="5" t="inlineStr">
        <is>
          <t>At 31 December 2011 (FY2011 closing, per the Company's own FY2011 Annual Report Note 26)</t>
        </is>
      </c>
      <c r="B19" s="5" t="n">
        <v>790000</v>
      </c>
      <c r="C19" s="5" t="n">
        <v>89654</v>
      </c>
      <c r="D19" s="5" t="n">
        <v>8904</v>
      </c>
      <c r="E19" s="5" t="n">
        <v>54150</v>
      </c>
      <c r="F19" s="5" t="n">
        <v>942708</v>
      </c>
    </row>
    <row r="20">
      <c r="A20" s="6" t="inlineStr">
        <is>
          <t>Profit/(loss) for the year</t>
        </is>
      </c>
      <c r="B20" s="6" t="n"/>
      <c r="C20" s="6" t="n"/>
      <c r="D20" s="6" t="n"/>
      <c r="E20" s="6" t="n">
        <v>-4343</v>
      </c>
      <c r="F20" s="6" t="n">
        <v>-4343</v>
      </c>
    </row>
    <row r="21">
      <c r="A21" s="6" t="inlineStr">
        <is>
          <t>Remeasurement loss on net defined benefit liability</t>
        </is>
      </c>
      <c r="B21" s="6" t="n"/>
      <c r="C21" s="6" t="n"/>
      <c r="D21" s="6" t="n"/>
      <c r="E21" s="6" t="n">
        <v>-126</v>
      </c>
      <c r="F21" s="6" t="n">
        <v>-126</v>
      </c>
    </row>
    <row r="22">
      <c r="A22" s="6" t="inlineStr">
        <is>
          <t>Foreign currency translation differences arising during the year</t>
        </is>
      </c>
      <c r="B22" s="6" t="n"/>
      <c r="C22" s="6" t="n"/>
      <c r="D22" s="6" t="n">
        <v>4268</v>
      </c>
      <c r="E22" s="6" t="n"/>
      <c r="F22" s="6" t="n">
        <v>4268</v>
      </c>
    </row>
    <row r="23">
      <c r="A23" s="6" t="inlineStr">
        <is>
          <t>Share-based payments</t>
        </is>
      </c>
      <c r="B23" s="6" t="n"/>
      <c r="C23" s="6" t="n"/>
      <c r="D23" s="6" t="n"/>
      <c r="E23" s="6" t="n">
        <v>-50</v>
      </c>
      <c r="F23" s="6" t="n">
        <v>-50</v>
      </c>
    </row>
    <row r="24">
      <c r="A24" s="5" t="inlineStr">
        <is>
          <t>At 31 December 2012 (FY2012 closing, per the FY2013 Annual Report's own Note 26 comparative)</t>
        </is>
      </c>
      <c r="B24" s="5" t="n">
        <v>790000</v>
      </c>
      <c r="C24" s="5" t="n">
        <v>89654</v>
      </c>
      <c r="D24" s="5" t="n">
        <v>13172</v>
      </c>
      <c r="E24" s="5" t="n">
        <v>49631</v>
      </c>
      <c r="F24" s="5" t="n">
        <v>942457</v>
      </c>
    </row>
    <row r="25">
      <c r="A25" s="6" t="inlineStr">
        <is>
          <t>Share capital reduction (27 September 2013 - 450,000,000 £1 ordinary shares redeemed for a £450,000k consideration)</t>
        </is>
      </c>
      <c r="B25" s="6" t="n">
        <v>-450000</v>
      </c>
      <c r="C25" s="6" t="n"/>
      <c r="D25" s="6" t="n"/>
      <c r="E25" s="6" t="n"/>
      <c r="F25" s="6" t="n">
        <v>-450000</v>
      </c>
    </row>
    <row r="26">
      <c r="A26" s="6" t="inlineStr">
        <is>
          <t>Profit for the year</t>
        </is>
      </c>
      <c r="B26" s="6" t="n"/>
      <c r="C26" s="6" t="n"/>
      <c r="D26" s="6" t="n"/>
      <c r="E26" s="6" t="n">
        <v>7155</v>
      </c>
      <c r="F26" s="6" t="n">
        <v>7155</v>
      </c>
    </row>
    <row r="27">
      <c r="A27" s="6" t="inlineStr">
        <is>
          <t>Remeasurement gain on net defined benefit liability</t>
        </is>
      </c>
      <c r="B27" s="6" t="n"/>
      <c r="C27" s="6" t="n"/>
      <c r="D27" s="6" t="n"/>
      <c r="E27" s="6" t="n">
        <v>6</v>
      </c>
      <c r="F27" s="6" t="n">
        <v>6</v>
      </c>
    </row>
    <row r="28">
      <c r="A28" s="6" t="inlineStr">
        <is>
          <t>Foreign currency translation differences arising during the year</t>
        </is>
      </c>
      <c r="B28" s="6" t="n"/>
      <c r="C28" s="6" t="n"/>
      <c r="D28" s="6" t="n">
        <v>1194</v>
      </c>
      <c r="E28" s="6" t="n"/>
      <c r="F28" s="6" t="n">
        <v>1194</v>
      </c>
    </row>
    <row r="29">
      <c r="A29" s="6" t="inlineStr">
        <is>
          <t>Share-based payments</t>
        </is>
      </c>
      <c r="B29" s="6" t="n"/>
      <c r="C29" s="6" t="n"/>
      <c r="D29" s="6" t="n"/>
      <c r="E29" s="6" t="n">
        <v>-8</v>
      </c>
      <c r="F29" s="6" t="n">
        <v>-8</v>
      </c>
    </row>
    <row r="30">
      <c r="A30" s="5" t="inlineStr">
        <is>
          <t>At 1 January 2014 (FY2014 opening, per FY2014 Annual Report's own 2013 comparative)</t>
        </is>
      </c>
      <c r="B30" s="5" t="n">
        <v>340000</v>
      </c>
      <c r="C30" s="5" t="n">
        <v>89654</v>
      </c>
      <c r="D30" s="5" t="n">
        <v>14366</v>
      </c>
      <c r="E30" s="5" t="n">
        <v>56784</v>
      </c>
      <c r="F30" s="5" t="n">
        <v>500804</v>
      </c>
    </row>
    <row r="31">
      <c r="A31" s="6" t="inlineStr">
        <is>
          <t>Profit for the year</t>
        </is>
      </c>
      <c r="B31" s="6" t="n"/>
      <c r="C31" s="6" t="n"/>
      <c r="D31" s="6" t="n"/>
      <c r="E31" s="6" t="n">
        <v>30766</v>
      </c>
      <c r="F31" s="6" t="n">
        <v>30766</v>
      </c>
    </row>
    <row r="32">
      <c r="A32" s="6" t="inlineStr">
        <is>
          <t>Foreign currency translation differences arising during the year</t>
        </is>
      </c>
      <c r="B32" s="6" t="n"/>
      <c r="C32" s="6" t="n"/>
      <c r="D32" s="6" t="n">
        <v>1802</v>
      </c>
      <c r="E32" s="6" t="n"/>
      <c r="F32" s="6" t="n">
        <v>1802</v>
      </c>
    </row>
    <row r="33">
      <c r="A33" s="6" t="inlineStr">
        <is>
          <t>Actuarial loss on defined benefit scheme, net of deferred tax</t>
        </is>
      </c>
      <c r="B33" s="6" t="n"/>
      <c r="C33" s="6" t="n"/>
      <c r="D33" s="6" t="n"/>
      <c r="E33" s="6" t="n">
        <v>-124</v>
      </c>
      <c r="F33" s="6" t="n">
        <v>-124</v>
      </c>
    </row>
    <row r="34">
      <c r="A34" s="6" t="inlineStr">
        <is>
          <t>Consideration received on transfer of Investment Management business (Note 10)</t>
        </is>
      </c>
      <c r="B34" s="6" t="n"/>
      <c r="C34" s="6" t="n"/>
      <c r="D34" s="6" t="n"/>
      <c r="E34" s="6" t="n">
        <v>2839</v>
      </c>
      <c r="F34" s="6" t="n">
        <v>2839</v>
      </c>
    </row>
    <row r="35">
      <c r="A35" s="6" t="inlineStr">
        <is>
          <t>Other equity movements (per Note 26; residual not separately itemised in the source reviewed)</t>
        </is>
      </c>
      <c r="B35" s="6" t="n"/>
      <c r="C35" s="6" t="n"/>
      <c r="D35" s="6" t="n"/>
      <c r="E35" s="6" t="n">
        <v>-780</v>
      </c>
      <c r="F35" s="6" t="n">
        <v>-780</v>
      </c>
    </row>
    <row r="36">
      <c r="A36" s="5" t="inlineStr">
        <is>
          <t>At 31 December 2014 (FY2014 closing, per the Company's own FY2014 Annual Report)</t>
        </is>
      </c>
      <c r="B36" s="5" t="n">
        <v>340000</v>
      </c>
      <c r="C36" s="5" t="n">
        <v>89654</v>
      </c>
      <c r="D36" s="5" t="n">
        <v>16168</v>
      </c>
      <c r="E36" s="5" t="n">
        <v>89485</v>
      </c>
      <c r="F36" s="5" t="n">
        <v>535307</v>
      </c>
    </row>
    <row r="37">
      <c r="A37" s="6" t="inlineStr">
        <is>
          <t>Restatement of opening P&amp;L account balance (per the FY2015/FY2016 Annual Reports' own FY2015 opening comparative; the £3,578k difference is not itemised in any source reviewed)</t>
        </is>
      </c>
      <c r="B37" s="6" t="n"/>
      <c r="C37" s="6" t="n"/>
      <c r="D37" s="6" t="n"/>
      <c r="E37" s="6" t="n">
        <v>-3578</v>
      </c>
      <c r="F37" s="6" t="n">
        <v>-3578</v>
      </c>
    </row>
    <row r="38">
      <c r="A38" s="5" t="inlineStr">
        <is>
          <t>At 1 January 2015 (FY2015 opening, restated)</t>
        </is>
      </c>
      <c r="B38" s="5" t="n">
        <v>340000</v>
      </c>
      <c r="C38" s="5" t="n">
        <v>89654</v>
      </c>
      <c r="D38" s="5" t="n">
        <v>16168</v>
      </c>
      <c r="E38" s="5" t="n">
        <v>85907</v>
      </c>
      <c r="F38" s="5" t="n">
        <v>531729</v>
      </c>
    </row>
    <row r="39">
      <c r="A39" s="6" t="inlineStr">
        <is>
          <t>Profit for the year</t>
        </is>
      </c>
      <c r="B39" s="6" t="n"/>
      <c r="C39" s="6" t="n"/>
      <c r="D39" s="6" t="n"/>
      <c r="E39" s="6" t="n">
        <v>18134</v>
      </c>
      <c r="F39" s="6" t="n">
        <v>18134</v>
      </c>
    </row>
    <row r="40">
      <c r="A40" s="6" t="inlineStr">
        <is>
          <t>Foreign currency translation differences arising during the year</t>
        </is>
      </c>
      <c r="B40" s="6" t="n"/>
      <c r="C40" s="6" t="n"/>
      <c r="D40" s="6" t="n">
        <v>-2279</v>
      </c>
      <c r="E40" s="6" t="n"/>
      <c r="F40" s="6" t="n">
        <v>-2279</v>
      </c>
    </row>
    <row r="41">
      <c r="A41" s="6" t="inlineStr">
        <is>
          <t>Remeasurement gain on net defined benefit liability</t>
        </is>
      </c>
      <c r="B41" s="6" t="n"/>
      <c r="C41" s="6" t="n"/>
      <c r="D41" s="6" t="n"/>
      <c r="E41" s="6" t="n">
        <v>195</v>
      </c>
      <c r="F41" s="6" t="n">
        <v>195</v>
      </c>
    </row>
    <row r="42">
      <c r="A42" s="5" t="inlineStr">
        <is>
          <t>At 31 December 2015 (FY2015 closing)</t>
        </is>
      </c>
      <c r="B42" s="5" t="n">
        <v>340000</v>
      </c>
      <c r="C42" s="5" t="n">
        <v>89654</v>
      </c>
      <c r="D42" s="5" t="n">
        <v>13889</v>
      </c>
      <c r="E42" s="5" t="n">
        <v>104236</v>
      </c>
      <c r="F42" s="5" t="n">
        <v>547779</v>
      </c>
    </row>
    <row r="43">
      <c r="A43" s="6" t="inlineStr">
        <is>
          <t>Profit for the year</t>
        </is>
      </c>
      <c r="B43" s="6" t="n"/>
      <c r="C43" s="6" t="n"/>
      <c r="D43" s="6" t="n"/>
      <c r="E43" s="6" t="n">
        <v>27988</v>
      </c>
      <c r="F43" s="6" t="n">
        <v>27988</v>
      </c>
    </row>
    <row r="44">
      <c r="A44" s="6" t="inlineStr">
        <is>
          <t>Foreign currency translation differences arising during the year</t>
        </is>
      </c>
      <c r="B44" s="6" t="n"/>
      <c r="C44" s="6" t="n"/>
      <c r="D44" s="6" t="n">
        <v>23459</v>
      </c>
      <c r="E44" s="6" t="n"/>
      <c r="F44" s="6" t="n">
        <v>23459</v>
      </c>
    </row>
    <row r="45">
      <c r="A45" s="6" t="inlineStr">
        <is>
          <t>Remeasurement loss on net defined benefit liability</t>
        </is>
      </c>
      <c r="B45" s="6" t="n"/>
      <c r="C45" s="6" t="n"/>
      <c r="D45" s="6" t="n"/>
      <c r="E45" s="6" t="n">
        <v>-17</v>
      </c>
      <c r="F45" s="6" t="n">
        <v>-17</v>
      </c>
    </row>
    <row r="46">
      <c r="A46" s="5" t="inlineStr">
        <is>
          <t>At 31 December 2016 (FY2016 closing)</t>
        </is>
      </c>
      <c r="B46" s="5" t="n">
        <v>340000</v>
      </c>
      <c r="C46" s="5" t="n">
        <v>89654</v>
      </c>
      <c r="D46" s="5" t="n">
        <v>37348</v>
      </c>
      <c r="E46" s="5" t="n">
        <v>132207</v>
      </c>
      <c r="F46" s="5" t="n">
        <v>599209</v>
      </c>
    </row>
    <row r="47">
      <c r="A47" s="6" t="inlineStr">
        <is>
          <t>Profit for the year</t>
        </is>
      </c>
      <c r="B47" s="6" t="n"/>
      <c r="C47" s="6" t="n"/>
      <c r="D47" s="6" t="n"/>
      <c r="E47" s="6" t="n">
        <v>49705</v>
      </c>
      <c r="F47" s="6" t="n">
        <v>49705</v>
      </c>
    </row>
    <row r="48">
      <c r="A48" s="6" t="inlineStr">
        <is>
          <t>Foreign currency translation differences arising during the year</t>
        </is>
      </c>
      <c r="B48" s="6" t="n"/>
      <c r="C48" s="6" t="n"/>
      <c r="D48" s="6" t="n">
        <v>5771</v>
      </c>
      <c r="E48" s="6" t="n"/>
      <c r="F48" s="6" t="n">
        <v>5771</v>
      </c>
    </row>
    <row r="49">
      <c r="A49" s="6" t="inlineStr">
        <is>
          <t>Remeasurement loss on net defined benefit liability</t>
        </is>
      </c>
      <c r="B49" s="6" t="n"/>
      <c r="C49" s="6" t="n"/>
      <c r="D49" s="6" t="n"/>
      <c r="E49" s="6" t="n">
        <v>-9</v>
      </c>
      <c r="F49" s="6" t="n">
        <v>-9</v>
      </c>
    </row>
    <row r="50">
      <c r="A50" s="5" t="inlineStr">
        <is>
          <t>At 31 December 2017 (FY2017 closing)</t>
        </is>
      </c>
      <c r="B50" s="5" t="n">
        <v>340000</v>
      </c>
      <c r="C50" s="5" t="n">
        <v>89654</v>
      </c>
      <c r="D50" s="5" t="n">
        <v>43119</v>
      </c>
      <c r="E50" s="5" t="n">
        <v>181903</v>
      </c>
      <c r="F50" s="5" t="n">
        <v>654676</v>
      </c>
    </row>
    <row r="51">
      <c r="A51" s="6" t="inlineStr">
        <is>
          <t>Impact of adoption of new accounting standards (IFRS 9)</t>
        </is>
      </c>
      <c r="B51" s="6" t="n"/>
      <c r="C51" s="6" t="n"/>
      <c r="D51" s="6" t="n"/>
      <c r="E51" s="6" t="n">
        <v>-860</v>
      </c>
      <c r="F51" s="6" t="n">
        <v>-860</v>
      </c>
    </row>
    <row r="52">
      <c r="A52" s="6" t="inlineStr">
        <is>
          <t>Profit for the year</t>
        </is>
      </c>
      <c r="B52" s="6" t="n"/>
      <c r="C52" s="6" t="n"/>
      <c r="D52" s="6" t="n"/>
      <c r="E52" s="6" t="n">
        <v>27693</v>
      </c>
      <c r="F52" s="6" t="n">
        <v>27693</v>
      </c>
    </row>
    <row r="53">
      <c r="A53" s="6" t="inlineStr">
        <is>
          <t>Remeasurement gain on net defined benefit liability</t>
        </is>
      </c>
      <c r="B53" s="6" t="n"/>
      <c r="C53" s="6" t="n"/>
      <c r="D53" s="6" t="n"/>
      <c r="E53" s="6" t="n">
        <v>2</v>
      </c>
      <c r="F53" s="6" t="n">
        <v>2</v>
      </c>
    </row>
    <row r="54">
      <c r="A54" s="6" t="inlineStr">
        <is>
          <t>Foreign currency translation differences arising on foreign operations</t>
        </is>
      </c>
      <c r="B54" s="6" t="n"/>
      <c r="C54" s="6" t="n"/>
      <c r="D54" s="6" t="n">
        <v>2752</v>
      </c>
      <c r="E54" s="6" t="n"/>
      <c r="F54" s="6" t="n">
        <v>2752</v>
      </c>
    </row>
    <row r="55">
      <c r="A55" s="6" t="inlineStr">
        <is>
          <t>Loss arising on hedging instruments designated in net investment hedges</t>
        </is>
      </c>
      <c r="B55" s="6" t="n"/>
      <c r="C55" s="6" t="n"/>
      <c r="D55" s="6" t="n">
        <v>-10070</v>
      </c>
      <c r="E55" s="6" t="n"/>
      <c r="F55" s="6" t="n">
        <v>-10070</v>
      </c>
    </row>
    <row r="56">
      <c r="A56" s="5" t="inlineStr">
        <is>
          <t>At 31 December 2018 (FY2018 closing)</t>
        </is>
      </c>
      <c r="B56" s="5" t="n">
        <v>340000</v>
      </c>
      <c r="C56" s="5" t="n">
        <v>89654</v>
      </c>
      <c r="D56" s="5" t="n">
        <v>35801</v>
      </c>
      <c r="E56" s="5" t="n">
        <v>208738</v>
      </c>
      <c r="F56" s="5" t="n">
        <v>674193</v>
      </c>
    </row>
    <row r="57">
      <c r="A57" s="6" t="inlineStr">
        <is>
          <t>Impact of adoption of new accounting standards</t>
        </is>
      </c>
      <c r="B57" s="6" t="n"/>
      <c r="C57" s="6" t="n"/>
      <c r="D57" s="6" t="n"/>
      <c r="E57" s="6" t="n">
        <v>-174</v>
      </c>
      <c r="F57" s="6" t="n">
        <v>-174</v>
      </c>
    </row>
    <row r="58">
      <c r="A58" s="6" t="inlineStr">
        <is>
          <t>Profit for the year</t>
        </is>
      </c>
      <c r="B58" s="6" t="n"/>
      <c r="C58" s="6" t="n"/>
      <c r="D58" s="6" t="n"/>
      <c r="E58" s="6" t="n">
        <v>38122</v>
      </c>
      <c r="F58" s="6" t="n">
        <v>38122</v>
      </c>
    </row>
    <row r="59">
      <c r="A59" s="6" t="inlineStr">
        <is>
          <t>Other comprehensive income (FY2019: not split into components in the Statement of Changes in Equity itself)</t>
        </is>
      </c>
      <c r="B59" s="6" t="n"/>
      <c r="C59" s="6" t="n"/>
      <c r="D59" s="6" t="n">
        <v>828</v>
      </c>
      <c r="E59" s="6" t="n"/>
      <c r="F59" s="6" t="n">
        <v>828</v>
      </c>
    </row>
    <row r="60">
      <c r="A60" s="5" t="inlineStr">
        <is>
          <t>At 31 December 2019 (FY2019 closing)</t>
        </is>
      </c>
      <c r="B60" s="5" t="n">
        <v>340000</v>
      </c>
      <c r="C60" s="5" t="n">
        <v>89654</v>
      </c>
      <c r="D60" s="5" t="n">
        <v>36629</v>
      </c>
      <c r="E60" s="5" t="n">
        <v>246686</v>
      </c>
      <c r="F60" s="5" t="n">
        <v>712969</v>
      </c>
    </row>
    <row r="61">
      <c r="A61" s="6" t="inlineStr">
        <is>
          <t>Profit for the year</t>
        </is>
      </c>
      <c r="B61" s="6" t="n"/>
      <c r="C61" s="6" t="n"/>
      <c r="D61" s="6" t="n"/>
      <c r="E61" s="6" t="n">
        <v>94430</v>
      </c>
      <c r="F61" s="6" t="n">
        <v>94430</v>
      </c>
    </row>
    <row r="62">
      <c r="A62" s="6" t="inlineStr">
        <is>
          <t>Remeasurement loss on net defined benefit liability</t>
        </is>
      </c>
      <c r="B62" s="6" t="n"/>
      <c r="C62" s="6" t="n"/>
      <c r="D62" s="6" t="n"/>
      <c r="E62" s="6" t="n">
        <v>-234</v>
      </c>
      <c r="F62" s="6" t="n">
        <v>-234</v>
      </c>
    </row>
    <row r="63">
      <c r="A63" s="6" t="inlineStr">
        <is>
          <t>Foreign currency translation differences arising on foreign operations</t>
        </is>
      </c>
      <c r="B63" s="6" t="n"/>
      <c r="C63" s="6" t="n"/>
      <c r="D63" s="6" t="n">
        <v>6114</v>
      </c>
      <c r="E63" s="6" t="n"/>
      <c r="F63" s="6" t="n">
        <v>6114</v>
      </c>
    </row>
    <row r="64">
      <c r="A64" s="6" t="inlineStr">
        <is>
          <t>Loss arising on hedging instruments designated in net investment hedges</t>
        </is>
      </c>
      <c r="B64" s="6" t="n"/>
      <c r="C64" s="6" t="n"/>
      <c r="D64" s="6" t="n">
        <v>-5197</v>
      </c>
      <c r="E64" s="6" t="n"/>
      <c r="F64" s="6" t="n">
        <v>-5197</v>
      </c>
    </row>
    <row r="65">
      <c r="A65" s="6" t="inlineStr">
        <is>
          <t>Gain on business transfer (UK withdrawal from the EU restructuring, Note 4)</t>
        </is>
      </c>
      <c r="B65" s="6" t="n"/>
      <c r="C65" s="6" t="n"/>
      <c r="D65" s="6" t="n"/>
      <c r="E65" s="6" t="n">
        <v>5603</v>
      </c>
      <c r="F65" s="6" t="n">
        <v>5603</v>
      </c>
    </row>
    <row r="66">
      <c r="A66" s="6" t="inlineStr">
        <is>
          <t>Current tax charge on business transfer</t>
        </is>
      </c>
      <c r="B66" s="6" t="n"/>
      <c r="C66" s="6" t="n"/>
      <c r="D66" s="6" t="n"/>
      <c r="E66" s="6" t="n">
        <v>-1520</v>
      </c>
      <c r="F66" s="6" t="n">
        <v>-1520</v>
      </c>
    </row>
    <row r="67">
      <c r="A67" s="6" t="inlineStr">
        <is>
          <t>Remeasurement gain on net defined benefit liability</t>
        </is>
      </c>
      <c r="B67" s="6" t="n"/>
      <c r="C67" s="6" t="n"/>
      <c r="D67" s="6" t="n"/>
      <c r="E67" s="6" t="n">
        <v>196</v>
      </c>
      <c r="F67" s="6" t="n">
        <v>196</v>
      </c>
    </row>
    <row r="68">
      <c r="A68" s="5" t="inlineStr">
        <is>
          <t>At 31 December 2020 (FY2020 closing)</t>
        </is>
      </c>
      <c r="B68" s="5" t="n">
        <v>340000</v>
      </c>
      <c r="C68" s="5" t="n">
        <v>89654</v>
      </c>
      <c r="D68" s="5" t="n">
        <v>37546</v>
      </c>
      <c r="E68" s="5" t="n">
        <v>345161</v>
      </c>
      <c r="F68" s="5" t="n">
        <v>812361</v>
      </c>
    </row>
    <row r="69">
      <c r="A69" s="5" t="inlineStr">
        <is>
          <t>At 1 January 2021 (FY2021 opening)</t>
        </is>
      </c>
      <c r="B69" s="5" t="n">
        <v>340000</v>
      </c>
      <c r="C69" s="5" t="n">
        <v>89654</v>
      </c>
      <c r="D69" s="5" t="n">
        <v>37546</v>
      </c>
      <c r="E69" s="5" t="n">
        <v>345161</v>
      </c>
      <c r="F69" s="5" t="n">
        <v>812361</v>
      </c>
    </row>
    <row r="70">
      <c r="A70" s="6" t="inlineStr">
        <is>
          <t>Profit for the year</t>
        </is>
      </c>
      <c r="B70" s="6" t="n"/>
      <c r="C70" s="6" t="n"/>
      <c r="D70" s="6" t="n"/>
      <c r="E70" s="6" t="n">
        <v>9877</v>
      </c>
      <c r="F70" s="6" t="n">
        <v>9877</v>
      </c>
    </row>
    <row r="71">
      <c r="A71" s="6" t="inlineStr">
        <is>
          <t>Remeasurement gain on net defined benefit liability</t>
        </is>
      </c>
      <c r="B71" s="6" t="n"/>
      <c r="C71" s="6" t="n"/>
      <c r="D71" s="6" t="n"/>
      <c r="E71" s="6" t="n">
        <v>78</v>
      </c>
      <c r="F71" s="6" t="n">
        <v>78</v>
      </c>
    </row>
    <row r="72">
      <c r="A72" s="6" t="inlineStr">
        <is>
          <t>Foreign currency translation differences arising during the year</t>
        </is>
      </c>
      <c r="B72" s="6" t="n"/>
      <c r="C72" s="6" t="n"/>
      <c r="D72" s="6" t="n">
        <v>-14755</v>
      </c>
      <c r="E72" s="6" t="n"/>
      <c r="F72" s="6" t="n">
        <v>-14755</v>
      </c>
    </row>
    <row r="73">
      <c r="A73" s="6" t="inlineStr">
        <is>
          <t>Gain arising on hedging instruments designated in net investment hedges</t>
        </is>
      </c>
      <c r="B73" s="6" t="n"/>
      <c r="C73" s="6" t="n"/>
      <c r="D73" s="6" t="n">
        <v>14422</v>
      </c>
      <c r="E73" s="6" t="n"/>
      <c r="F73" s="6" t="n">
        <v>14422</v>
      </c>
    </row>
    <row r="74">
      <c r="A74" s="5" t="inlineStr">
        <is>
          <t>At 31 December 2021 (FY2021 closing)</t>
        </is>
      </c>
      <c r="B74" s="5" t="n">
        <v>340000</v>
      </c>
      <c r="C74" s="5" t="n">
        <v>89654</v>
      </c>
      <c r="D74" s="5" t="n">
        <v>37213</v>
      </c>
      <c r="E74" s="5" t="n">
        <v>355116</v>
      </c>
      <c r="F74" s="5" t="n">
        <v>821983</v>
      </c>
    </row>
    <row r="75">
      <c r="A75" s="6" t="inlineStr">
        <is>
          <t>Profit for the year</t>
        </is>
      </c>
      <c r="B75" s="6" t="n"/>
      <c r="C75" s="6" t="n"/>
      <c r="D75" s="6" t="n"/>
      <c r="E75" s="6" t="n">
        <v>94153</v>
      </c>
      <c r="F75" s="6" t="n">
        <v>94153</v>
      </c>
    </row>
    <row r="76">
      <c r="A76" s="6" t="inlineStr">
        <is>
          <t>Remeasurement gain on net defined benefit liability</t>
        </is>
      </c>
      <c r="B76" s="6" t="n"/>
      <c r="C76" s="6" t="n"/>
      <c r="D76" s="6" t="n"/>
      <c r="E76" s="6" t="n">
        <v>100</v>
      </c>
      <c r="F76" s="6" t="n">
        <v>100</v>
      </c>
    </row>
    <row r="77">
      <c r="A77" s="6" t="inlineStr">
        <is>
          <t>Foreign currency translation differences arising during the year</t>
        </is>
      </c>
      <c r="B77" s="6" t="n"/>
      <c r="C77" s="6" t="n"/>
      <c r="D77" s="6" t="n">
        <v>10400</v>
      </c>
      <c r="E77" s="6" t="n"/>
      <c r="F77" s="6" t="n">
        <v>10400</v>
      </c>
    </row>
    <row r="78">
      <c r="A78" s="6" t="inlineStr">
        <is>
          <t>(Loss) arising on hedging instruments designated in net investment hedges</t>
        </is>
      </c>
      <c r="B78" s="6" t="n"/>
      <c r="C78" s="6" t="n"/>
      <c r="D78" s="6" t="n">
        <v>-10412</v>
      </c>
      <c r="E78" s="6" t="n"/>
      <c r="F78" s="6" t="n">
        <v>-10412</v>
      </c>
    </row>
    <row r="79">
      <c r="A79" s="6" t="inlineStr">
        <is>
          <t>Dividend</t>
        </is>
      </c>
      <c r="B79" s="6" t="n"/>
      <c r="C79" s="6" t="n"/>
      <c r="D79" s="6" t="n"/>
      <c r="E79" s="6" t="n">
        <v>-150000</v>
      </c>
      <c r="F79" s="6" t="n">
        <v>-150000</v>
      </c>
    </row>
    <row r="80">
      <c r="A80" s="5" t="inlineStr">
        <is>
          <t>At 31 December 2022 (FY2022 closing)</t>
        </is>
      </c>
      <c r="B80" s="5" t="n">
        <v>340000</v>
      </c>
      <c r="C80" s="5" t="n">
        <v>89654</v>
      </c>
      <c r="D80" s="5" t="n">
        <v>37201</v>
      </c>
      <c r="E80" s="5" t="n">
        <v>299369</v>
      </c>
      <c r="F80" s="5" t="n">
        <v>766224</v>
      </c>
    </row>
    <row r="81">
      <c r="A81" s="6" t="inlineStr">
        <is>
          <t>Profit for the year</t>
        </is>
      </c>
      <c r="B81" s="6" t="n"/>
      <c r="C81" s="6" t="n"/>
      <c r="D81" s="6" t="n"/>
      <c r="E81" s="6" t="n">
        <v>314</v>
      </c>
      <c r="F81" s="6" t="n">
        <v>314</v>
      </c>
    </row>
    <row r="82">
      <c r="A82" s="6" t="inlineStr">
        <is>
          <t>Remeasurement loss on net defined benefit liability</t>
        </is>
      </c>
      <c r="B82" s="6" t="n"/>
      <c r="C82" s="6" t="n"/>
      <c r="D82" s="6" t="n"/>
      <c r="E82" s="6" t="n">
        <v>-22</v>
      </c>
      <c r="F82" s="6" t="n">
        <v>-22</v>
      </c>
    </row>
    <row r="83">
      <c r="A83" s="6" t="inlineStr">
        <is>
          <t>Foreign currency translation differences arising during the year</t>
        </is>
      </c>
      <c r="B83" s="6" t="n"/>
      <c r="C83" s="6" t="n"/>
      <c r="D83" s="6" t="n">
        <v>-15179</v>
      </c>
      <c r="E83" s="6" t="n"/>
      <c r="F83" s="6" t="n">
        <v>-15179</v>
      </c>
    </row>
    <row r="84">
      <c r="A84" s="6" t="inlineStr">
        <is>
          <t>Gain arising on hedging instruments designated in net investment hedges</t>
        </is>
      </c>
      <c r="B84" s="6" t="n"/>
      <c r="C84" s="6" t="n"/>
      <c r="D84" s="6" t="n">
        <v>14646</v>
      </c>
      <c r="E84" s="6" t="n"/>
      <c r="F84" s="6" t="n">
        <v>14646</v>
      </c>
    </row>
    <row r="85">
      <c r="A85" s="5" t="inlineStr">
        <is>
          <t>At 31 December 2023 (FY2023 closing)</t>
        </is>
      </c>
      <c r="B85" s="5" t="n">
        <v>340000</v>
      </c>
      <c r="C85" s="5" t="n">
        <v>89654</v>
      </c>
      <c r="D85" s="5" t="n">
        <v>36668</v>
      </c>
      <c r="E85" s="5" t="n">
        <v>299661</v>
      </c>
      <c r="F85" s="5" t="n">
        <v>765983</v>
      </c>
    </row>
    <row r="86">
      <c r="A86" s="6" t="inlineStr">
        <is>
          <t>Profit for the year</t>
        </is>
      </c>
      <c r="B86" s="6" t="n"/>
      <c r="C86" s="6" t="n"/>
      <c r="D86" s="6" t="n"/>
      <c r="E86" s="6" t="n">
        <v>45781</v>
      </c>
      <c r="F86" s="6" t="n">
        <v>45781</v>
      </c>
    </row>
    <row r="87">
      <c r="A87" s="6" t="inlineStr">
        <is>
          <t>Remeasurement gain on net defined benefit liability</t>
        </is>
      </c>
      <c r="B87" s="6" t="n"/>
      <c r="C87" s="6" t="n"/>
      <c r="D87" s="6" t="n"/>
      <c r="E87" s="6" t="n">
        <v>21</v>
      </c>
      <c r="F87" s="6" t="n">
        <v>21</v>
      </c>
    </row>
    <row r="88">
      <c r="A88" s="6" t="inlineStr">
        <is>
          <t>Foreign currency translation differences arising during the year</t>
        </is>
      </c>
      <c r="B88" s="6" t="n"/>
      <c r="C88" s="6" t="n"/>
      <c r="D88" s="6" t="n">
        <v>-19706</v>
      </c>
      <c r="E88" s="6" t="n"/>
      <c r="F88" s="6" t="n">
        <v>-19706</v>
      </c>
    </row>
    <row r="89">
      <c r="A89" s="6" t="inlineStr">
        <is>
          <t>Gain arising on hedging instruments designated in net investment hedges</t>
        </is>
      </c>
      <c r="B89" s="6" t="n"/>
      <c r="C89" s="6" t="n"/>
      <c r="D89" s="6" t="n">
        <v>18406</v>
      </c>
      <c r="E89" s="6" t="n"/>
      <c r="F89" s="6" t="n">
        <v>18406</v>
      </c>
    </row>
    <row r="90">
      <c r="A90" s="5" t="inlineStr">
        <is>
          <t>At 31 December 2024 (FY2024 closing)</t>
        </is>
      </c>
      <c r="B90" s="5" t="n">
        <v>340000</v>
      </c>
      <c r="C90" s="5" t="n">
        <v>89654</v>
      </c>
      <c r="D90" s="5" t="n">
        <v>35368</v>
      </c>
      <c r="E90" s="5" t="n">
        <v>345463</v>
      </c>
      <c r="F90" s="5" t="n">
        <v>810485</v>
      </c>
    </row>
    <row r="91">
      <c r="A91" s="6" t="inlineStr">
        <is>
          <t>Profit for the year</t>
        </is>
      </c>
      <c r="B91" s="6" t="n"/>
      <c r="C91" s="6" t="n"/>
      <c r="D91" s="6" t="n"/>
      <c r="E91" s="6" t="n">
        <v>37579</v>
      </c>
      <c r="F91" s="6" t="n">
        <v>37579</v>
      </c>
    </row>
    <row r="92">
      <c r="A92" s="6" t="inlineStr">
        <is>
          <t>Remeasurement gain on net defined benefit liability</t>
        </is>
      </c>
      <c r="B92" s="6" t="n"/>
      <c r="C92" s="6" t="n"/>
      <c r="D92" s="6" t="n"/>
      <c r="E92" s="6" t="n">
        <v>40</v>
      </c>
      <c r="F92" s="6" t="n">
        <v>40</v>
      </c>
    </row>
    <row r="93">
      <c r="A93" s="6" t="inlineStr">
        <is>
          <t>Foreign currency translation differences arising during the year</t>
        </is>
      </c>
      <c r="B93" s="6" t="n"/>
      <c r="C93" s="6" t="n"/>
      <c r="D93" s="6" t="n">
        <v>-8951</v>
      </c>
      <c r="E93" s="6" t="n"/>
      <c r="F93" s="6" t="n">
        <v>-8951</v>
      </c>
    </row>
    <row r="94">
      <c r="A94" s="6" t="inlineStr">
        <is>
          <t>Gain arising on hedging instruments designated in net investment hedges</t>
        </is>
      </c>
      <c r="B94" s="6" t="n"/>
      <c r="C94" s="6" t="n"/>
      <c r="D94" s="6" t="n">
        <v>8748</v>
      </c>
      <c r="E94" s="6" t="n"/>
      <c r="F94" s="6" t="n">
        <v>8748</v>
      </c>
    </row>
    <row r="95">
      <c r="A95" s="6" t="inlineStr">
        <is>
          <t>Dividends</t>
        </is>
      </c>
      <c r="B95" s="6" t="n"/>
      <c r="C95" s="6" t="n"/>
      <c r="D95" s="6" t="n"/>
      <c r="E95" s="6" t="n">
        <v>-100000</v>
      </c>
      <c r="F95" s="6" t="n">
        <v>-100000</v>
      </c>
    </row>
    <row r="96">
      <c r="A96" s="5" t="inlineStr">
        <is>
          <t>At 31 December 2025 (FY2025 closing)</t>
        </is>
      </c>
      <c r="B96" s="5" t="n">
        <v>340000</v>
      </c>
      <c r="C96" s="5" t="n">
        <v>89654</v>
      </c>
      <c r="D96" s="5" t="n">
        <v>35165</v>
      </c>
      <c r="E96" s="5" t="n">
        <v>283082</v>
      </c>
      <c r="F96" s="5" t="n">
        <v>747901</v>
      </c>
    </row>
    <row r="98" ht="150" customHeight="1">
      <c r="A9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98:F9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Statement of Cash Flows</t>
        </is>
      </c>
    </row>
    <row r="2">
      <c r="A2" s="2" t="inlineStr">
        <is>
          <t>Standalone Company basis; cash-flow statement not presented under the FRS 101 reduced-disclosure exemption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6" t="inlineStr">
        <is>
          <t>Cash-flow statement not separately disclosed under FRS 101</t>
        </is>
      </c>
      <c r="B4" s="6" t="n"/>
      <c r="C4" s="6" t="n"/>
      <c r="D4" s="6" t="n"/>
      <c r="E4" s="6" t="n"/>
      <c r="F4" s="6" t="n"/>
      <c r="G4" s="6" t="n"/>
      <c r="H4" s="6" t="n"/>
      <c r="I4" s="6" t="n"/>
      <c r="J4" s="6" t="n"/>
      <c r="K4" s="6" t="n"/>
      <c r="L4" s="6" t="n"/>
      <c r="M4" s="6" t="n"/>
      <c r="N4" s="6" t="n"/>
      <c r="O4" s="6" t="n"/>
      <c r="P4" s="6" t="n"/>
      <c r="Q4" s="6" t="n"/>
      <c r="R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6:R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Asset Quality</t>
        </is>
      </c>
    </row>
    <row r="2">
      <c r="A2" s="2" t="inlineStr">
        <is>
          <t>Exposure to credit risk by class, external counterparties only. £'000. Morgan Stanley Group undertaking exposures (Secured financing, and large portions of Loans and advances to banks/customers) are separately disclosed each year but are fully covered by intercompany collateral or the Morgan Stanley parent guarantee, leaving £nil net exposure — excluded here as not third-party credit risk. All exposures subject to ECL are internally rated Stage 1 in every IFRS 9-era year reviewed (£nil Stage 3/default; FY2020 carried a small ~£3.0m Stage 2 loan commitment balance, immaterial to the total) — a wholesale/broker-dealer credit profile, not a retail loan book. FY2014-FY2017 predate IFRS 9 (adopted 1 January 2018) and used the incurred-loss 'individually impaired' concept instead of ECL staging; those years' Stage 1/Stage 3 cells are left blank (the concept did not exist yet) and a separate row reports the actual pre-IFRS 9 impaired balance. FY2014 is a genuine, material outlier: one borrower's entry into administration in March 2014 drove an £83,173k impairment loss (gross exposure £111,239k, net carrying £28,066k) — over 800x the impaired balances seen in FY2015-FY2017 (£1,674k/£126k/£131k) — a real credit event in the source documents, not a transcription error.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Exposure to credit risk by class, subject to ECL / gross credit exposure (external counterparties only)</t>
        </is>
      </c>
      <c r="B4" s="6" t="n"/>
      <c r="C4" s="6" t="n"/>
      <c r="D4" s="6" t="n"/>
      <c r="E4" s="6" t="n"/>
      <c r="F4" s="6" t="n"/>
      <c r="G4" s="6" t="n"/>
      <c r="H4" s="6" t="n"/>
      <c r="I4" s="6" t="n"/>
      <c r="J4" s="6" t="n"/>
      <c r="K4" s="6" t="n"/>
      <c r="L4" s="6" t="n"/>
      <c r="M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row>
    <row r="6">
      <c r="A6" s="6" t="inlineStr">
        <is>
          <t>Loans and advances to banks — external counterparties</t>
        </is>
      </c>
      <c r="B6" s="6" t="n">
        <v>133463</v>
      </c>
      <c r="C6" s="6" t="n">
        <v>205239</v>
      </c>
      <c r="D6" s="6" t="n">
        <v>181342</v>
      </c>
      <c r="E6" s="6" t="n">
        <v>169755</v>
      </c>
      <c r="F6" s="6" t="n">
        <v>124091</v>
      </c>
      <c r="G6" s="6" t="n">
        <v>330642</v>
      </c>
      <c r="H6" s="6" t="n">
        <v>131145</v>
      </c>
      <c r="I6" s="6" t="n">
        <v>106124</v>
      </c>
      <c r="J6" s="6" t="n">
        <v>144462</v>
      </c>
      <c r="K6" s="6" t="n">
        <v>154943</v>
      </c>
      <c r="L6" s="6" t="n">
        <v>89402</v>
      </c>
      <c r="M6" s="6" t="n">
        <v>150932</v>
      </c>
    </row>
    <row r="7">
      <c r="A7" s="6" t="inlineStr">
        <is>
          <t>Loans and advances to customers — external counterparties</t>
        </is>
      </c>
      <c r="B7" s="6" t="n">
        <v>156</v>
      </c>
      <c r="C7" s="6" t="n">
        <v>40747</v>
      </c>
      <c r="D7" s="6" t="n">
        <v>226</v>
      </c>
      <c r="E7" s="6" t="n">
        <v>285</v>
      </c>
      <c r="F7" s="6" t="n">
        <v>0</v>
      </c>
      <c r="G7" s="6" t="n">
        <v>7206</v>
      </c>
      <c r="H7" s="6" t="n">
        <v>28437</v>
      </c>
      <c r="I7" s="6" t="n">
        <v>31845</v>
      </c>
      <c r="J7" s="6" t="n">
        <v>95640</v>
      </c>
      <c r="K7" s="6" t="n">
        <v>82865</v>
      </c>
      <c r="L7" s="6" t="n">
        <v>81932</v>
      </c>
      <c r="M7" s="6" t="n">
        <v>431190</v>
      </c>
    </row>
    <row r="8">
      <c r="A8" s="6" t="inlineStr">
        <is>
          <t>Other receivables</t>
        </is>
      </c>
      <c r="B8" s="6" t="n">
        <v>16304</v>
      </c>
      <c r="C8" s="6" t="n">
        <v>20082</v>
      </c>
      <c r="D8" s="6" t="n">
        <v>34100</v>
      </c>
      <c r="E8" s="6" t="n">
        <v>30374</v>
      </c>
      <c r="F8" s="6" t="n">
        <v>22811</v>
      </c>
      <c r="G8" s="6" t="n">
        <v>13774</v>
      </c>
      <c r="H8" s="6" t="n">
        <v>10013</v>
      </c>
      <c r="I8" s="6" t="n">
        <v>16071</v>
      </c>
      <c r="J8" s="6" t="n">
        <v>29716</v>
      </c>
      <c r="K8" s="6" t="n">
        <v>11526</v>
      </c>
      <c r="L8" s="6" t="n">
        <v>19736</v>
      </c>
      <c r="M8" s="6" t="n">
        <v>23098</v>
      </c>
    </row>
    <row r="9">
      <c r="A9" s="5" t="inlineStr">
        <is>
          <t>Total gross credit exposure (external)</t>
        </is>
      </c>
      <c r="B9" s="5" t="n">
        <v>174610</v>
      </c>
      <c r="C9" s="5" t="n">
        <v>283472</v>
      </c>
      <c r="D9" s="5" t="n">
        <v>222538</v>
      </c>
      <c r="E9" s="5" t="n">
        <v>247547</v>
      </c>
      <c r="F9" s="5" t="n">
        <v>167046</v>
      </c>
      <c r="G9" s="5" t="n">
        <v>366235</v>
      </c>
      <c r="H9" s="5" t="n">
        <v>292196</v>
      </c>
      <c r="I9" s="5" t="n">
        <v>154055</v>
      </c>
      <c r="J9" s="5" t="n">
        <v>322505</v>
      </c>
      <c r="K9" s="5" t="n">
        <v>313118</v>
      </c>
      <c r="L9" s="5" t="n">
        <v>221349</v>
      </c>
      <c r="M9" s="5" t="n">
        <v>608528</v>
      </c>
    </row>
    <row r="10">
      <c r="A10" s="6" t="inlineStr">
        <is>
          <t>Of which: Stage 1 (IFRS 9, FY2018 onward)</t>
        </is>
      </c>
      <c r="B10" s="6" t="inlineStr">
        <is>
          <t>100%</t>
        </is>
      </c>
      <c r="C10" s="6" t="inlineStr">
        <is>
          <t>100%</t>
        </is>
      </c>
      <c r="D10" s="6" t="inlineStr">
        <is>
          <t>100%</t>
        </is>
      </c>
      <c r="E10" s="6" t="inlineStr">
        <is>
          <t>100%</t>
        </is>
      </c>
      <c r="F10" s="6" t="inlineStr">
        <is>
          <t>100%</t>
        </is>
      </c>
      <c r="G10" s="6" t="inlineStr">
        <is>
          <t>~99%</t>
        </is>
      </c>
      <c r="H10" s="6" t="inlineStr">
        <is>
          <t>100%</t>
        </is>
      </c>
      <c r="I10" s="6" t="inlineStr">
        <is>
          <t>100%</t>
        </is>
      </c>
      <c r="J10" s="6" t="n"/>
      <c r="K10" s="6" t="n"/>
      <c r="L10" s="6" t="n"/>
      <c r="M10" s="6" t="n"/>
    </row>
    <row r="11">
      <c r="A11" s="6" t="inlineStr">
        <is>
          <t>Of which: Stage 3 / default (NPL ratio, IFRS 9, FY2018 onward)</t>
        </is>
      </c>
      <c r="B11" s="6" t="inlineStr">
        <is>
          <t>0.0%</t>
        </is>
      </c>
      <c r="C11" s="6" t="inlineStr">
        <is>
          <t>0.0%</t>
        </is>
      </c>
      <c r="D11" s="6" t="inlineStr">
        <is>
          <t>0.0%</t>
        </is>
      </c>
      <c r="E11" s="6" t="inlineStr">
        <is>
          <t>0.0%</t>
        </is>
      </c>
      <c r="F11" s="6" t="inlineStr">
        <is>
          <t>0.0%</t>
        </is>
      </c>
      <c r="G11" s="6" t="inlineStr">
        <is>
          <t>0.0%</t>
        </is>
      </c>
      <c r="H11" s="6" t="inlineStr">
        <is>
          <t>0.0%</t>
        </is>
      </c>
      <c r="I11" s="6" t="inlineStr">
        <is>
          <t>0.0%</t>
        </is>
      </c>
      <c r="J11" s="6" t="n"/>
      <c r="K11" s="6" t="n"/>
      <c r="L11" s="6" t="n"/>
      <c r="M11" s="6" t="n"/>
    </row>
    <row r="12">
      <c r="A12" s="6" t="inlineStr">
        <is>
          <t>Individually impaired loans and advances to customers, gross (pre-IFRS 9, FY2014-FY2017)</t>
        </is>
      </c>
      <c r="B12" s="6" t="n"/>
      <c r="C12" s="6" t="n"/>
      <c r="D12" s="6" t="n"/>
      <c r="E12" s="6" t="n"/>
      <c r="F12" s="6" t="n"/>
      <c r="G12" s="6" t="n"/>
      <c r="H12" s="6" t="n"/>
      <c r="I12" s="6" t="n"/>
      <c r="J12" s="6" t="n">
        <v>131</v>
      </c>
      <c r="K12" s="6" t="n">
        <v>126</v>
      </c>
      <c r="L12" s="6" t="n">
        <v>1674</v>
      </c>
      <c r="M12" s="6" t="n">
        <v>111239</v>
      </c>
    </row>
    <row r="14" ht="280" customHeight="1">
      <c r="A14"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FY2025: Note 28.2.3 'Exposure to credit risk by class' p.76, Note 28.2.4 'Exposure to Credit Risk by Internal Rating Grades' p.77. FY2024/FY2023: Note 27.2.3, p.75. FY2022/FY2021: Note 28.2.4 'Exposure to Credit Risk' p.72. FY2020: Note 35 'Exposure to credit risk by class' / 'by internal rating grades', pp.91-94 — https://find-and-update.company-information.service.gov.uk/company/03722571/filing-history/MzMwMTE4OTc0MWFkaXF6a2N4/document?format=pdf&amp;download=0. FY2019: via the FY2020 report's own FY2019 comparative, same pages. FY2018: Note 32 'Exposure to credit risk by class' p.75 and 'by internal rating grades' pp.77-80 — https://find-and-update.company-information.service.gov.uk/company/03722571/filing-history/MzIzMzQ0NTc3NWFkaXF6a2N4/document?format=pdf&amp;download=0. FY2017: Note 28 'Exposure to credit risk by class' p.64 and 'Maximum exposure to credit risk by credit rating' p.65 (individually impaired balance) — https://find-and-update.company-information.service.gov.uk/company/03722571/filing-history/MzIwNDA4MDg1M2FkaXF6a2N4/document?format=pdf&amp;download=0. FY2016: Note 28 'Exposure to credit risk by class' p.51 and 'Financial assets individually impaired' p.52 — https://find-and-update.company-information.service.gov.uk/company/03722571/filing-history/MzE3NTI3MTY1OWFkaXF6a2N4/document?format=pdf&amp;download=0. FY2015: via the FY2016 report's own FY2015 comparative, same pages. FY2014: Note 29 'Exposure to credit risk by class' p.51 and 'Financial assets individually impaired' p.52 — https://find-and-update.company-information.service.gov.uk/company/03722571/filing-history/MzEyMjM5NTcyOWFkaXF6a2N4/document?format=pdf&amp;download=0.</t>
        </is>
      </c>
    </row>
  </sheetData>
  <mergeCells count="1">
    <mergeCell ref="A14:M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676229</v>
      </c>
      <c r="C4" s="6" t="n">
        <v>709078</v>
      </c>
      <c r="D4" s="6" t="n">
        <v>685522</v>
      </c>
      <c r="E4" s="6" t="n">
        <v>702944</v>
      </c>
      <c r="F4" s="6" t="n">
        <v>717693</v>
      </c>
      <c r="G4" s="6" t="n">
        <v>574718</v>
      </c>
      <c r="H4" s="6" t="n">
        <v>593318</v>
      </c>
      <c r="I4" s="6" t="n">
        <v>578569</v>
      </c>
      <c r="J4" s="6" t="n">
        <v>543786</v>
      </c>
      <c r="K4" s="6" t="n">
        <v>517117</v>
      </c>
      <c r="L4" s="6" t="n">
        <v>472587</v>
      </c>
      <c r="M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c r="M4" s="6" t="n"/>
    </row>
    <row r="5" ht="60" customHeight="1">
      <c r="A5" s="7" t="inlineStr">
        <is>
          <t>Note: FY2015-FY2018: the annual reports disclose only 'Tier 1 capital' and 'Tier 1 capital ratio', not a separately-labelled CET1 figure. The FY2019/FY2020 reports' own Own Funds tables confirm CET1 = Tier 1 capital exactly in both years (no Additional Tier 1 instruments), so the disclosed Tier 1 figures are used here on that structural basis. FY2014: no capital ratio of any kind was disclosed (see Total RWAs sheet note).</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676229</v>
      </c>
      <c r="C4" s="6" t="n">
        <v>709078</v>
      </c>
      <c r="D4" s="6" t="n">
        <v>685522</v>
      </c>
      <c r="E4" s="6" t="n">
        <v>702944</v>
      </c>
      <c r="F4" s="6" t="n">
        <v>717693</v>
      </c>
      <c r="G4" s="6" t="n">
        <v>574718</v>
      </c>
      <c r="H4" s="6" t="n">
        <v>593318</v>
      </c>
      <c r="I4" s="6" t="n">
        <v>578569</v>
      </c>
      <c r="J4" s="6" t="n">
        <v>543786</v>
      </c>
      <c r="K4" s="6" t="n">
        <v>517117</v>
      </c>
      <c r="L4" s="6" t="n">
        <v>472587</v>
      </c>
      <c r="M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c r="M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resources</t>
        </is>
      </c>
      <c r="B4" s="6" t="n">
        <v>934449</v>
      </c>
      <c r="C4" s="6" t="n">
        <v>908739</v>
      </c>
      <c r="D4" s="6" t="n">
        <v>935655</v>
      </c>
      <c r="E4" s="6" t="n">
        <v>1003410</v>
      </c>
      <c r="F4" s="6" t="n">
        <v>916488</v>
      </c>
      <c r="G4" s="6" t="n">
        <v>824718</v>
      </c>
      <c r="H4" s="6" t="n">
        <v>843318</v>
      </c>
      <c r="I4" s="6" t="n"/>
      <c r="J4" s="6" t="n"/>
      <c r="K4" s="6" t="n"/>
      <c r="L4" s="6" t="n"/>
      <c r="M4" s="6" t="n"/>
    </row>
    <row r="5" ht="60" customHeight="1">
      <c r="A5" s="7" t="inlineStr">
        <is>
          <t>Note: FY2014-FY2018: Total Capital / Total Own Funds was not disclosed - only Tier 1 capital, Tier 1 ratio and leverage ratio appear in those years' annual reports.</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58.9%</t>
        </is>
      </c>
      <c r="C4" s="6" t="inlineStr">
        <is>
          <t>59.8%</t>
        </is>
      </c>
      <c r="D4" s="6" t="inlineStr">
        <is>
          <t>43.3%</t>
        </is>
      </c>
      <c r="E4" s="6" t="inlineStr">
        <is>
          <t>48.5%</t>
        </is>
      </c>
      <c r="F4" s="6" t="inlineStr">
        <is>
          <t>44.0%</t>
        </is>
      </c>
      <c r="G4" s="6" t="inlineStr">
        <is>
          <t>33.5%</t>
        </is>
      </c>
      <c r="H4" s="6" t="inlineStr">
        <is>
          <t>29.7%</t>
        </is>
      </c>
      <c r="I4" s="6" t="n"/>
      <c r="J4" s="6" t="n"/>
      <c r="K4" s="6" t="n"/>
      <c r="L4" s="6" t="n"/>
      <c r="M4" s="6" t="n"/>
    </row>
    <row r="5" ht="60" customHeight="1">
      <c r="A5" s="7" t="inlineStr">
        <is>
          <t>Note: FY2014-FY2018: not disclosed (see Total Capital sheet note).</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t>
        </is>
      </c>
      <c r="B4" s="6" t="n">
        <v>1586014</v>
      </c>
      <c r="C4" s="6" t="n">
        <v>1519269</v>
      </c>
      <c r="D4" s="6" t="n">
        <v>2161713</v>
      </c>
      <c r="E4" s="6" t="n">
        <v>2068356</v>
      </c>
      <c r="F4" s="6" t="n">
        <v>2081783</v>
      </c>
      <c r="G4" s="6" t="n">
        <v>2462638</v>
      </c>
      <c r="H4" s="6" t="n">
        <v>2836626</v>
      </c>
      <c r="I4" s="6" t="n"/>
      <c r="J4" s="6" t="n"/>
      <c r="K4" s="6" t="n"/>
      <c r="L4" s="6" t="n"/>
      <c r="M4" s="6" t="n"/>
    </row>
    <row r="5" ht="60" customHeight="1">
      <c r="A5" s="7" t="inlineStr">
        <is>
          <t>Note: FY2014-FY2018: Total RWAs were not disclosed as a standalone figure in those years' annual reports (only Tier 1 capital and Tier 1 ratio, from which RWAs could be back-calculated, but that would be an estimate rather than a disclosed figure, so is left blank per this project's convention). FY2014: no capital metric of any kind (CET1/Tier 1/Total Capital/RWA/leverage/LCR/NSFR) was disclosed anywhere in the FY2014 Annual Report, nor as a comparative in any later report - the KPI section first appears in the FY2016 report and reaches back only to FY2015. This is a genuine disclosure gap, not an omission by this project.</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RWA Breakdown</t>
        </is>
      </c>
    </row>
    <row r="2">
      <c r="A2" s="2" t="inlineStr">
        <is>
          <t>Company's own 'RWAs' table (Strategic Report), by risk category. £'000. Ties exactly to the Total RWAs sheet in every year FY2020-FY2025. FY2020 is sourced from the FY2021 Annual Report's own FY2020 comparative column (the FY2020 Annual Report itself gives only a single Total RWAs figure, with no risk-category split anywhere in its Strategic Report or notes). FY2014-FY2019: not disclosed - those years' annual reports (and, for FY2019, the FY2020 Annual Report's FY2019 comparative column) give only a single Total RWAs figure (and only from FY2019 onward; see the Total RWAs sheet), with no credit/market/operational risk category split found anywhere in the Strategic Report or notes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Credit RWAs</t>
        </is>
      </c>
      <c r="B4" s="6" t="n">
        <v>438035</v>
      </c>
      <c r="C4" s="6" t="n">
        <v>427744</v>
      </c>
      <c r="D4" s="6" t="n">
        <v>513578</v>
      </c>
      <c r="E4" s="6" t="n">
        <v>619276</v>
      </c>
      <c r="F4" s="6" t="n">
        <v>736089</v>
      </c>
      <c r="G4" s="6" t="n">
        <v>962391</v>
      </c>
      <c r="H4" s="6" t="n"/>
      <c r="I4" s="6" t="n"/>
      <c r="J4" s="6" t="n"/>
      <c r="K4" s="6" t="n"/>
      <c r="L4" s="6" t="n"/>
      <c r="M4" s="6" t="n"/>
    </row>
    <row r="5">
      <c r="A5" s="6" t="inlineStr">
        <is>
          <t>Market RWAs</t>
        </is>
      </c>
      <c r="B5" s="6" t="n">
        <v>1004032</v>
      </c>
      <c r="C5" s="6" t="n">
        <v>964352</v>
      </c>
      <c r="D5" s="6" t="n">
        <v>1537651</v>
      </c>
      <c r="E5" s="6" t="n">
        <v>1254480</v>
      </c>
      <c r="F5" s="6" t="n">
        <v>1098855</v>
      </c>
      <c r="G5" s="6" t="n">
        <v>1219637</v>
      </c>
      <c r="H5" s="6" t="n"/>
      <c r="I5" s="6" t="n"/>
      <c r="J5" s="6" t="n"/>
      <c r="K5" s="6" t="n"/>
      <c r="L5" s="6" t="n"/>
      <c r="M5" s="6" t="n"/>
    </row>
    <row r="6">
      <c r="A6" s="6" t="inlineStr">
        <is>
          <t>Operational risk RWAs</t>
        </is>
      </c>
      <c r="B6" s="6" t="n">
        <v>143947</v>
      </c>
      <c r="C6" s="6" t="n">
        <v>127173</v>
      </c>
      <c r="D6" s="6" t="n">
        <v>110484</v>
      </c>
      <c r="E6" s="6" t="n">
        <v>194600</v>
      </c>
      <c r="F6" s="6" t="n">
        <v>246839</v>
      </c>
      <c r="G6" s="6" t="n">
        <v>280610</v>
      </c>
      <c r="H6" s="6" t="n"/>
      <c r="I6" s="6" t="n"/>
      <c r="J6" s="6" t="n"/>
      <c r="K6" s="6" t="n"/>
      <c r="L6" s="6" t="n"/>
      <c r="M6" s="6" t="n"/>
    </row>
    <row r="7">
      <c r="A7" s="5" t="inlineStr">
        <is>
          <t>Total RWAs</t>
        </is>
      </c>
      <c r="B7" s="5" t="n">
        <v>1586014</v>
      </c>
      <c r="C7" s="5" t="n">
        <v>1519269</v>
      </c>
      <c r="D7" s="5" t="n">
        <v>2161713</v>
      </c>
      <c r="E7" s="5" t="n">
        <v>2068356</v>
      </c>
      <c r="F7" s="5" t="n">
        <v>2081783</v>
      </c>
      <c r="G7" s="5" t="n">
        <v>2462638</v>
      </c>
      <c r="H7" s="5" t="n"/>
      <c r="I7" s="5" t="n"/>
      <c r="J7" s="5" t="n"/>
      <c r="K7" s="5" t="n"/>
      <c r="L7" s="5" t="n"/>
      <c r="M7" s="5" t="n"/>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RWA Breakdown detail - FY2020: Annual Report and Financial Statements for year ended 31 December 2021, p.7 ('Liquidity and capital management and regulation' - RWAs table, FY2020 comparative column) - https://find-and-update.company-information.service.gov.uk/company/03722571/filing-history/MzMzODIzODA1MmFkaXF6a2N4/document?format=pdf&amp;download=0. FY2021-FY2025: each year's own Annual Report, same table in the same section of that year's Strategic Report.</t>
        </is>
      </c>
    </row>
  </sheetData>
  <mergeCells count="1">
    <mergeCell ref="A9:M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exposure</t>
        </is>
      </c>
      <c r="B4" s="6" t="n">
        <v>2233488</v>
      </c>
      <c r="C4" s="6" t="n">
        <v>2436257</v>
      </c>
      <c r="D4" s="6" t="n">
        <v>2874295</v>
      </c>
      <c r="E4" s="6" t="n">
        <v>3795132</v>
      </c>
      <c r="F4" s="6" t="n">
        <v>2384965</v>
      </c>
      <c r="G4" s="6" t="n">
        <v>2900986</v>
      </c>
      <c r="H4" s="6" t="n">
        <v>3635898</v>
      </c>
      <c r="I4" s="6" t="n"/>
      <c r="J4" s="6" t="n"/>
      <c r="K4" s="6" t="n"/>
      <c r="L4" s="6" t="n"/>
      <c r="M4" s="6" t="n"/>
    </row>
    <row r="5">
      <c r="A5" s="6" t="inlineStr">
        <is>
          <t>Leverage ratio</t>
        </is>
      </c>
      <c r="B5" s="6" t="inlineStr">
        <is>
          <t>30.3%</t>
        </is>
      </c>
      <c r="C5" s="6" t="inlineStr">
        <is>
          <t>29.1%</t>
        </is>
      </c>
      <c r="D5" s="6" t="inlineStr">
        <is>
          <t>23.9%</t>
        </is>
      </c>
      <c r="E5" s="6" t="inlineStr">
        <is>
          <t>18.5%</t>
        </is>
      </c>
      <c r="F5" s="6" t="inlineStr">
        <is>
          <t>30.1%</t>
        </is>
      </c>
      <c r="G5" s="6" t="inlineStr">
        <is>
          <t>19.8%</t>
        </is>
      </c>
      <c r="H5" s="6" t="inlineStr">
        <is>
          <t>16.3%</t>
        </is>
      </c>
      <c r="I5" s="6" t="inlineStr">
        <is>
          <t>18.0%</t>
        </is>
      </c>
      <c r="J5" s="6" t="inlineStr">
        <is>
          <t>16.0%</t>
        </is>
      </c>
      <c r="K5" s="6" t="inlineStr">
        <is>
          <t>13.7%</t>
        </is>
      </c>
      <c r="L5" s="6" t="inlineStr">
        <is>
          <t>14.7%</t>
        </is>
      </c>
      <c r="M5" s="6" t="n"/>
    </row>
    <row r="6" ht="60" customHeight="1">
      <c r="A6" s="7" t="inlineStr">
        <is>
          <t>Note: FY2014-FY2018: Leverage exposure (the £'000 figure) was not disclosed, only the leverage ratio itself. FY2014 has no leverage ratio at all - public disclosure requirements for this ratio only became effective for reporting periods from 1 January 2015, per the Company's own FY2016 Annual Report.</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buffer — HQLA</t>
        </is>
      </c>
      <c r="B4" s="6" t="n">
        <v>1110032</v>
      </c>
      <c r="C4" s="6" t="n">
        <v>1825386</v>
      </c>
      <c r="D4" s="6" t="n">
        <v>1190200</v>
      </c>
      <c r="E4" s="6" t="n">
        <v>1230539</v>
      </c>
      <c r="F4" s="6" t="n">
        <v>1240953</v>
      </c>
      <c r="G4" s="6" t="n">
        <v>1594671</v>
      </c>
      <c r="H4" s="6" t="n">
        <v>1220056</v>
      </c>
      <c r="I4" s="6" t="n"/>
      <c r="J4" s="6" t="n"/>
      <c r="K4" s="6" t="n"/>
      <c r="L4" s="6" t="n"/>
      <c r="M4" s="6" t="n"/>
    </row>
    <row r="5">
      <c r="A5" s="6" t="inlineStr">
        <is>
          <t>Liquidity coverage ratio</t>
        </is>
      </c>
      <c r="B5" s="6" t="inlineStr">
        <is>
          <t>412%</t>
        </is>
      </c>
      <c r="C5" s="6" t="inlineStr">
        <is>
          <t>417%</t>
        </is>
      </c>
      <c r="D5" s="6" t="inlineStr">
        <is>
          <t>250%</t>
        </is>
      </c>
      <c r="E5" s="6" t="inlineStr">
        <is>
          <t>191%</t>
        </is>
      </c>
      <c r="F5" s="6" t="inlineStr">
        <is>
          <t>226%</t>
        </is>
      </c>
      <c r="G5" s="6" t="inlineStr">
        <is>
          <t>219%</t>
        </is>
      </c>
      <c r="H5" s="6" t="inlineStr">
        <is>
          <t>210%</t>
        </is>
      </c>
      <c r="I5" s="6" t="n"/>
      <c r="J5" s="6" t="n"/>
      <c r="K5" s="6" t="n"/>
      <c r="L5" s="6" t="n"/>
      <c r="M5" s="6" t="n"/>
    </row>
    <row r="6" ht="60" customHeight="1">
      <c r="A6" s="7" t="inlineStr">
        <is>
          <t>Note: The reports state that the HQLA amounts are reported to the regulator in USD and converted to GBP using an average annual exchange rate; the ratios are calculated using the preceding twelve months. FY2014-FY2018: no LCR/HQLA figure was disclosed anywhere in those years' annual reports (confirmed by direct review of each year's liquidity risk note).</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Available stable funding</t>
        </is>
      </c>
      <c r="B4" s="6" t="n">
        <v>1485790</v>
      </c>
      <c r="C4" s="6" t="n">
        <v>1597110</v>
      </c>
      <c r="D4" s="6" t="n">
        <v>2191000</v>
      </c>
      <c r="E4" s="6" t="n">
        <v>2344000</v>
      </c>
      <c r="F4" s="6" t="inlineStr">
        <is>
          <t>Not disclosed</t>
        </is>
      </c>
      <c r="G4" s="6" t="n"/>
      <c r="H4" s="6" t="n"/>
      <c r="I4" s="6" t="n"/>
      <c r="J4" s="6" t="n"/>
      <c r="K4" s="6" t="n"/>
      <c r="L4" s="6" t="n"/>
      <c r="M4" s="6" t="n"/>
    </row>
    <row r="5">
      <c r="A5" s="6" t="inlineStr">
        <is>
          <t>Required stable funding</t>
        </is>
      </c>
      <c r="B5" s="6" t="n">
        <v>574724</v>
      </c>
      <c r="C5" s="6" t="n">
        <v>716541</v>
      </c>
      <c r="D5" s="6" t="n">
        <v>1346000</v>
      </c>
      <c r="E5" s="6" t="n">
        <v>1417000</v>
      </c>
      <c r="F5" s="6" t="inlineStr">
        <is>
          <t>Not disclosed</t>
        </is>
      </c>
      <c r="G5" s="6" t="n"/>
      <c r="H5" s="6" t="n"/>
      <c r="I5" s="6" t="n"/>
      <c r="J5" s="6" t="n"/>
      <c r="K5" s="6" t="n"/>
      <c r="L5" s="6" t="n"/>
      <c r="M5" s="6" t="n"/>
    </row>
    <row r="6">
      <c r="A6" s="6" t="inlineStr">
        <is>
          <t>Net Stable Funding Ratio</t>
        </is>
      </c>
      <c r="B6" s="6" t="inlineStr">
        <is>
          <t>263%</t>
        </is>
      </c>
      <c r="C6" s="6" t="inlineStr">
        <is>
          <t>223%</t>
        </is>
      </c>
      <c r="D6" s="6" t="inlineStr">
        <is>
          <t>163%</t>
        </is>
      </c>
      <c r="E6" s="6" t="inlineStr">
        <is>
          <t>165%</t>
        </is>
      </c>
      <c r="F6" s="6" t="inlineStr">
        <is>
          <t>Not disclosed</t>
        </is>
      </c>
      <c r="G6" s="6" t="n"/>
      <c r="H6" s="6" t="n"/>
      <c r="I6" s="6" t="n"/>
      <c r="J6" s="6" t="n"/>
      <c r="K6" s="6" t="n"/>
      <c r="L6" s="6" t="n"/>
      <c r="M6" s="6" t="n"/>
    </row>
    <row r="7" ht="60" customHeight="1">
      <c r="A7" s="7" t="inlineStr">
        <is>
          <t>Note: The Company states that NSFR became a PRA requirement from 1 January 2022; no NSFR was disclosed for FY2014-FY2021.</t>
        </is>
      </c>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6" ht="15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No standalone MREL ratio was numerically disclosed in any of the twelve annual reports reviewed (FY2014-FY2025); group-level resolution disclosures were not substituted.</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2026-09-08T18:08:05Z</dcterms:created>
  <dcterms:modified xmlns:dcterms="http://purl.org/dc/terms/" xmlns:xsi="http://www.w3.org/2001/XMLSchema-instance" xsi:type="dcterms:W3CDTF">2026-09-08T18:08:05Z</dcterms:modified>
</cp:coreProperties>
</file>