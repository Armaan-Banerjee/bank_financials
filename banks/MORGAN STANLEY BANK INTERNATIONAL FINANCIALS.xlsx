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'Overview'!$CD$6:$CT$6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'Overview'!$CD$7:$CT$7</f>
            </numRef>
          </val>
          <smooth val="0"/>
        </ser>
        <ser>
          <idx val="2"/>
          <order val="2"/>
          <tx>
            <strRef>
              <f>'Overview'!CC8</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'Overview'!$CD$8:$CT$8</f>
            </numRef>
          </val>
          <smooth val="0"/>
        </ser>
        <ser>
          <idx val="3"/>
          <order val="3"/>
          <tx>
            <strRef>
              <f>'Overview'!CC9</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'Overview'!$CD$9:$CT$9</f>
            </numRef>
          </val>
          <smooth val="0"/>
        </ser>
        <ser>
          <idx val="4"/>
          <order val="4"/>
          <tx>
            <strRef>
              <f>'Overview'!CC10</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'Overview'!$CD$10:$CT$10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T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s>
  <sheetData>
    <row r="1">
      <c r="A1" s="1" t="inlineStr">
        <is>
          <t>Morgan Stanley Bank International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D5" t="inlineStr">
        <is>
          <t>FY2009</t>
        </is>
      </c>
      <c r="CE5" t="inlineStr">
        <is>
          <t>FY2010</t>
        </is>
      </c>
      <c r="CF5" t="inlineStr">
        <is>
          <t>FY2011</t>
        </is>
      </c>
      <c r="CG5" t="inlineStr">
        <is>
          <t>FY2012</t>
        </is>
      </c>
      <c r="CH5" t="inlineStr">
        <is>
          <t>FY2013</t>
        </is>
      </c>
      <c r="CI5" t="inlineStr">
        <is>
          <t>FY2014</t>
        </is>
      </c>
      <c r="CJ5" t="inlineStr">
        <is>
          <t>FY2015</t>
        </is>
      </c>
      <c r="CK5" t="inlineStr">
        <is>
          <t>FY2016</t>
        </is>
      </c>
      <c r="CL5" t="inlineStr">
        <is>
          <t>FY2017</t>
        </is>
      </c>
      <c r="CM5" t="inlineStr">
        <is>
          <t>FY2018</t>
        </is>
      </c>
      <c r="CN5" t="inlineStr">
        <is>
          <t>FY2019</t>
        </is>
      </c>
      <c r="CO5" t="inlineStr">
        <is>
          <t>FY2020</t>
        </is>
      </c>
      <c r="CP5" t="inlineStr">
        <is>
          <t>FY2021</t>
        </is>
      </c>
      <c r="CQ5" t="inlineStr">
        <is>
          <t>FY2022</t>
        </is>
      </c>
      <c r="CR5" t="inlineStr">
        <is>
          <t>FY2023</t>
        </is>
      </c>
      <c r="CS5" t="inlineStr">
        <is>
          <t>FY2024</t>
        </is>
      </c>
      <c r="CT5" t="inlineStr">
        <is>
          <t>FY2025</t>
        </is>
      </c>
    </row>
    <row r="6">
      <c r="A6" s="5" t="inlineStr">
        <is>
          <t>Total assets</t>
        </is>
      </c>
      <c r="B6" s="5" t="n">
        <v>4474701</v>
      </c>
      <c r="C6" s="5" t="n">
        <v>5943082</v>
      </c>
      <c r="D6" s="5" t="n">
        <v>5761181</v>
      </c>
      <c r="E6" s="5" t="n">
        <v>7691434</v>
      </c>
      <c r="F6" s="5" t="n">
        <v>5166317</v>
      </c>
      <c r="G6" s="5" t="n">
        <v>6191205</v>
      </c>
      <c r="H6" s="5" t="n">
        <v>5497256</v>
      </c>
      <c r="I6" s="5" t="n">
        <v>5178705</v>
      </c>
      <c r="J6" s="5" t="n">
        <v>5321350</v>
      </c>
      <c r="K6" s="5" t="n">
        <v>5742066</v>
      </c>
      <c r="L6" s="5" t="n">
        <v>4691096</v>
      </c>
      <c r="M6" s="5" t="n">
        <v>4974936</v>
      </c>
      <c r="N6" s="5" t="n"/>
      <c r="O6" s="5" t="n"/>
      <c r="P6" s="5" t="n"/>
      <c r="Q6" s="5" t="n"/>
      <c r="R6" s="5" t="n"/>
      <c r="U6" t="inlineStr">
        <is>
          <t>Total assets</t>
        </is>
      </c>
      <c r="AA6" t="n">
        <v>4974936</v>
      </c>
      <c r="AB6" t="n">
        <v>4691096</v>
      </c>
      <c r="AC6" t="n">
        <v>5742066</v>
      </c>
      <c r="AD6" t="n">
        <v>5321350</v>
      </c>
      <c r="AE6" t="n">
        <v>5178705</v>
      </c>
      <c r="AF6" t="n">
        <v>5497256</v>
      </c>
      <c r="AG6" t="n">
        <v>6191205</v>
      </c>
      <c r="AH6" t="n">
        <v>5166317</v>
      </c>
      <c r="AI6" t="n">
        <v>7691434</v>
      </c>
      <c r="AJ6" t="n">
        <v>5761181</v>
      </c>
      <c r="AK6" t="n">
        <v>5943082</v>
      </c>
      <c r="AL6" t="n">
        <v>4474701</v>
      </c>
      <c r="CC6" t="inlineStr">
        <is>
          <t>CET1 Ratio</t>
        </is>
      </c>
      <c r="CJ6" t="n">
        <v>17.1</v>
      </c>
      <c r="CK6" t="n">
        <v>18.4</v>
      </c>
      <c r="CL6" t="n">
        <v>19</v>
      </c>
      <c r="CM6" t="n">
        <v>17.3</v>
      </c>
      <c r="CN6" t="n">
        <v>20.9</v>
      </c>
      <c r="CO6" t="n">
        <v>23.3</v>
      </c>
      <c r="CP6" t="n">
        <v>34.4</v>
      </c>
      <c r="CQ6" t="n">
        <v>34</v>
      </c>
      <c r="CR6" t="n">
        <v>31.7</v>
      </c>
      <c r="CS6" t="n">
        <v>46.7</v>
      </c>
      <c r="CT6" t="n">
        <v>42.6</v>
      </c>
    </row>
    <row r="7">
      <c r="A7" s="5" t="inlineStr">
        <is>
          <t>Loans and advances to customers</t>
        </is>
      </c>
      <c r="B7" s="5" t="n">
        <v>422190</v>
      </c>
      <c r="C7" s="5" t="n">
        <v>775727</v>
      </c>
      <c r="D7" s="5" t="n">
        <v>760186</v>
      </c>
      <c r="E7" s="5" t="n">
        <v>1227715</v>
      </c>
      <c r="F7" s="5" t="n">
        <v>380124</v>
      </c>
      <c r="G7" s="5" t="n">
        <v>24573</v>
      </c>
      <c r="H7" s="5" t="n">
        <v>180250</v>
      </c>
      <c r="I7" s="5" t="n">
        <v>363113</v>
      </c>
      <c r="J7" s="5" t="n">
        <v>354177</v>
      </c>
      <c r="K7" s="5" t="n">
        <v>385052</v>
      </c>
      <c r="L7" s="5" t="n">
        <v>155311</v>
      </c>
      <c r="M7" s="5" t="n">
        <v>617659</v>
      </c>
      <c r="N7" s="5" t="n"/>
      <c r="O7" s="5" t="n"/>
      <c r="P7" s="5" t="n"/>
      <c r="Q7" s="5" t="n"/>
      <c r="R7" s="5" t="n"/>
      <c r="U7" t="inlineStr">
        <is>
          <t>Loans and advances to customers</t>
        </is>
      </c>
      <c r="AA7" t="n">
        <v>617659</v>
      </c>
      <c r="AB7" t="n">
        <v>155311</v>
      </c>
      <c r="AC7" t="n">
        <v>385052</v>
      </c>
      <c r="AD7" t="n">
        <v>354177</v>
      </c>
      <c r="AE7" t="n">
        <v>363113</v>
      </c>
      <c r="AF7" t="n">
        <v>180250</v>
      </c>
      <c r="AG7" t="n">
        <v>24573</v>
      </c>
      <c r="AH7" t="n">
        <v>380124</v>
      </c>
      <c r="AI7" t="n">
        <v>1227715</v>
      </c>
      <c r="AJ7" t="n">
        <v>760186</v>
      </c>
      <c r="AK7" t="n">
        <v>775727</v>
      </c>
      <c r="AL7" t="n">
        <v>422190</v>
      </c>
      <c r="CC7" t="inlineStr">
        <is>
          <t>Total Capital Ratio</t>
        </is>
      </c>
      <c r="CN7" t="n">
        <v>29.7</v>
      </c>
      <c r="CO7" t="n">
        <v>33.5</v>
      </c>
      <c r="CP7" t="n">
        <v>44</v>
      </c>
      <c r="CQ7" t="n">
        <v>48.5</v>
      </c>
      <c r="CR7" t="n">
        <v>43.3</v>
      </c>
      <c r="CS7" t="n">
        <v>59.8</v>
      </c>
      <c r="CT7" t="n">
        <v>58.9</v>
      </c>
    </row>
    <row r="8">
      <c r="A8" s="5" t="inlineStr">
        <is>
          <t>Customer accounts</t>
        </is>
      </c>
      <c r="B8" s="5" t="n">
        <v>632759</v>
      </c>
      <c r="C8" s="5" t="n">
        <v>783693</v>
      </c>
      <c r="D8" s="5" t="n">
        <v>1246212</v>
      </c>
      <c r="E8" s="5" t="n">
        <v>1814583</v>
      </c>
      <c r="F8" s="5" t="n">
        <v>1502764</v>
      </c>
      <c r="G8" s="5" t="n">
        <v>1647638</v>
      </c>
      <c r="H8" s="5" t="n">
        <v>1331496</v>
      </c>
      <c r="I8" s="5" t="n">
        <v>1072143</v>
      </c>
      <c r="J8" s="5" t="n">
        <v>875555</v>
      </c>
      <c r="K8" s="5" t="n">
        <v>747831</v>
      </c>
      <c r="L8" s="5" t="n">
        <v>719706</v>
      </c>
      <c r="M8" s="5" t="n">
        <v>1092621</v>
      </c>
      <c r="N8" s="5" t="n"/>
      <c r="O8" s="5" t="n"/>
      <c r="P8" s="5" t="n"/>
      <c r="Q8" s="5" t="n"/>
      <c r="R8" s="5" t="n"/>
      <c r="U8" t="inlineStr">
        <is>
          <t>Customer accounts</t>
        </is>
      </c>
      <c r="AA8" t="n">
        <v>1092621</v>
      </c>
      <c r="AB8" t="n">
        <v>719706</v>
      </c>
      <c r="AC8" t="n">
        <v>747831</v>
      </c>
      <c r="AD8" t="n">
        <v>875555</v>
      </c>
      <c r="AE8" t="n">
        <v>1072143</v>
      </c>
      <c r="AF8" t="n">
        <v>1331496</v>
      </c>
      <c r="AG8" t="n">
        <v>1647638</v>
      </c>
      <c r="AH8" t="n">
        <v>1502764</v>
      </c>
      <c r="AI8" t="n">
        <v>1814583</v>
      </c>
      <c r="AJ8" t="n">
        <v>1246212</v>
      </c>
      <c r="AK8" t="n">
        <v>783693</v>
      </c>
      <c r="AL8" t="n">
        <v>632759</v>
      </c>
      <c r="CC8" t="inlineStr">
        <is>
          <t>Leverage Ratio</t>
        </is>
      </c>
      <c r="CJ8" t="n">
        <v>14.7</v>
      </c>
      <c r="CK8" t="n">
        <v>13.7</v>
      </c>
      <c r="CL8" t="n">
        <v>16</v>
      </c>
      <c r="CM8" t="n">
        <v>18</v>
      </c>
      <c r="CN8" t="n">
        <v>16.3</v>
      </c>
      <c r="CO8" t="n">
        <v>19.8</v>
      </c>
      <c r="CP8" t="n">
        <v>30.1</v>
      </c>
      <c r="CQ8" t="n">
        <v>18.5</v>
      </c>
      <c r="CR8" t="n">
        <v>23.9</v>
      </c>
      <c r="CS8" t="n">
        <v>29.1</v>
      </c>
      <c r="CT8" t="n">
        <v>30.3</v>
      </c>
    </row>
    <row r="9">
      <c r="A9" s="5" t="inlineStr">
        <is>
          <t>Total equity</t>
        </is>
      </c>
      <c r="B9" s="5" t="n">
        <v>747901</v>
      </c>
      <c r="C9" s="5" t="n">
        <v>810485</v>
      </c>
      <c r="D9" s="5" t="n">
        <v>765983</v>
      </c>
      <c r="E9" s="5" t="n">
        <v>766224</v>
      </c>
      <c r="F9" s="5" t="n">
        <v>821983</v>
      </c>
      <c r="G9" s="5" t="n">
        <v>812361</v>
      </c>
      <c r="H9" s="5" t="n">
        <v>712969</v>
      </c>
      <c r="I9" s="5" t="n">
        <v>674193</v>
      </c>
      <c r="J9" s="5" t="n">
        <v>654676</v>
      </c>
      <c r="K9" s="5" t="n">
        <v>599209</v>
      </c>
      <c r="L9" s="5" t="n">
        <v>547779</v>
      </c>
      <c r="M9" s="5" t="n">
        <v>535307</v>
      </c>
      <c r="N9" s="5" t="n"/>
      <c r="O9" s="5" t="n"/>
      <c r="P9" s="5" t="n"/>
      <c r="Q9" s="5" t="n"/>
      <c r="R9" s="5" t="n"/>
      <c r="U9" t="inlineStr">
        <is>
          <t>Total equity</t>
        </is>
      </c>
      <c r="AA9" t="n">
        <v>535307</v>
      </c>
      <c r="AB9" t="n">
        <v>547779</v>
      </c>
      <c r="AC9" t="n">
        <v>599209</v>
      </c>
      <c r="AD9" t="n">
        <v>654676</v>
      </c>
      <c r="AE9" t="n">
        <v>674193</v>
      </c>
      <c r="AF9" t="n">
        <v>712969</v>
      </c>
      <c r="AG9" t="n">
        <v>812361</v>
      </c>
      <c r="AH9" t="n">
        <v>821983</v>
      </c>
      <c r="AI9" t="n">
        <v>766224</v>
      </c>
      <c r="AJ9" t="n">
        <v>765983</v>
      </c>
      <c r="AK9" t="n">
        <v>810485</v>
      </c>
      <c r="AL9" t="n">
        <v>747901</v>
      </c>
      <c r="CC9" t="inlineStr">
        <is>
          <t>LCR</t>
        </is>
      </c>
      <c r="CN9" t="n">
        <v>210</v>
      </c>
      <c r="CO9" t="n">
        <v>219</v>
      </c>
      <c r="CP9" t="n">
        <v>226</v>
      </c>
      <c r="CQ9" t="n">
        <v>191</v>
      </c>
      <c r="CR9" t="n">
        <v>250</v>
      </c>
      <c r="CS9" t="n">
        <v>417</v>
      </c>
      <c r="CT9" t="n">
        <v>412</v>
      </c>
    </row>
    <row r="10">
      <c r="CC10" t="inlineStr">
        <is>
          <t>NSFR</t>
        </is>
      </c>
      <c r="CQ10" t="n">
        <v>165</v>
      </c>
      <c r="CR10" t="n">
        <v>163</v>
      </c>
      <c r="CS10" t="n">
        <v>223</v>
      </c>
      <c r="CT10" t="n">
        <v>263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FY2024</t>
        </is>
      </c>
      <c r="BF12" t="inlineStr">
        <is>
          <t>FY2025</t>
        </is>
      </c>
    </row>
    <row r="13">
      <c r="A13" s="5" t="inlineStr">
        <is>
          <t>Net interest income</t>
        </is>
      </c>
      <c r="B13" s="5" t="n">
        <v>43615</v>
      </c>
      <c r="C13" s="5" t="n">
        <v>57062</v>
      </c>
      <c r="D13" s="5" t="n">
        <v>52288</v>
      </c>
      <c r="E13" s="5" t="n">
        <v>20340</v>
      </c>
      <c r="F13" s="5" t="n">
        <v>14628</v>
      </c>
      <c r="G13" s="5" t="n">
        <v>33154</v>
      </c>
      <c r="H13" s="5" t="n">
        <v>11958</v>
      </c>
      <c r="I13" s="5" t="n">
        <v>1096</v>
      </c>
      <c r="J13" s="5" t="n">
        <v>13484</v>
      </c>
      <c r="K13" s="5" t="n">
        <v>5549</v>
      </c>
      <c r="L13" s="5" t="n">
        <v>19156</v>
      </c>
      <c r="M13" s="5" t="n">
        <v>14084</v>
      </c>
      <c r="N13" s="5" t="n"/>
      <c r="O13" s="5" t="n"/>
      <c r="P13" s="5" t="n"/>
      <c r="Q13" s="5" t="n"/>
      <c r="R13" s="5" t="n"/>
      <c r="AO13" t="inlineStr">
        <is>
          <t>Net interest income</t>
        </is>
      </c>
      <c r="AU13" t="n">
        <v>14084</v>
      </c>
      <c r="AV13" t="n">
        <v>19156</v>
      </c>
      <c r="AW13" t="n">
        <v>5549</v>
      </c>
      <c r="AX13" t="n">
        <v>13484</v>
      </c>
      <c r="AY13" t="n">
        <v>1096</v>
      </c>
      <c r="AZ13" t="n">
        <v>11958</v>
      </c>
      <c r="BA13" t="n">
        <v>33154</v>
      </c>
      <c r="BB13" t="n">
        <v>14628</v>
      </c>
      <c r="BC13" t="n">
        <v>20340</v>
      </c>
      <c r="BD13" t="n">
        <v>52288</v>
      </c>
      <c r="BE13" t="n">
        <v>57062</v>
      </c>
      <c r="BF13" t="n">
        <v>43615</v>
      </c>
    </row>
    <row r="14">
      <c r="A14" s="5" t="inlineStr">
        <is>
          <t>Administrative expenses</t>
        </is>
      </c>
      <c r="B14" s="5" t="n">
        <v>-21070</v>
      </c>
      <c r="C14" s="5" t="n">
        <v>-27722</v>
      </c>
      <c r="D14" s="5" t="n">
        <v>-34895</v>
      </c>
      <c r="E14" s="5" t="n">
        <v>-32647</v>
      </c>
      <c r="F14" s="5" t="n">
        <v>-48725</v>
      </c>
      <c r="G14" s="5" t="n">
        <v>-76126</v>
      </c>
      <c r="H14" s="5" t="n">
        <v>-81870</v>
      </c>
      <c r="I14" s="5" t="n">
        <v>-82152</v>
      </c>
      <c r="J14" s="5" t="n">
        <v>-75348</v>
      </c>
      <c r="K14" s="5" t="n">
        <v>-41791</v>
      </c>
      <c r="L14" s="5" t="n">
        <v>-44792</v>
      </c>
      <c r="M14" s="5" t="n">
        <v>-57487</v>
      </c>
      <c r="N14" s="5" t="n"/>
      <c r="O14" s="5" t="n"/>
      <c r="P14" s="5" t="n"/>
      <c r="Q14" s="5" t="n"/>
      <c r="R14" s="5" t="n"/>
      <c r="AO14" t="inlineStr">
        <is>
          <t>Administrative expenses</t>
        </is>
      </c>
      <c r="AU14" t="n">
        <v>-57487</v>
      </c>
      <c r="AV14" t="n">
        <v>-44792</v>
      </c>
      <c r="AW14" t="n">
        <v>-41791</v>
      </c>
      <c r="AX14" t="n">
        <v>-75348</v>
      </c>
      <c r="AY14" t="n">
        <v>-82152</v>
      </c>
      <c r="AZ14" t="n">
        <v>-81870</v>
      </c>
      <c r="BA14" t="n">
        <v>-76126</v>
      </c>
      <c r="BB14" t="n">
        <v>-48725</v>
      </c>
      <c r="BC14" t="n">
        <v>-32647</v>
      </c>
      <c r="BD14" t="n">
        <v>-34895</v>
      </c>
      <c r="BE14" t="n">
        <v>-27722</v>
      </c>
      <c r="BF14" t="n">
        <v>-21070</v>
      </c>
    </row>
    <row r="15">
      <c r="A15" s="5" t="inlineStr">
        <is>
          <t>Profit for the year</t>
        </is>
      </c>
      <c r="B15" s="5" t="n">
        <v>37579</v>
      </c>
      <c r="C15" s="5" t="n">
        <v>45781</v>
      </c>
      <c r="D15" s="5" t="n">
        <v>314</v>
      </c>
      <c r="E15" s="5" t="n">
        <v>94153</v>
      </c>
      <c r="F15" s="5" t="n">
        <v>9877</v>
      </c>
      <c r="G15" s="5" t="n">
        <v>94430</v>
      </c>
      <c r="H15" s="5" t="n">
        <v>38122</v>
      </c>
      <c r="I15" s="5" t="n">
        <v>27693</v>
      </c>
      <c r="J15" s="5" t="n">
        <v>49705</v>
      </c>
      <c r="K15" s="5" t="n">
        <v>27988</v>
      </c>
      <c r="L15" s="5" t="n">
        <v>18134</v>
      </c>
      <c r="M15" s="5" t="n">
        <v>30766</v>
      </c>
      <c r="N15" s="5" t="n"/>
      <c r="O15" s="5" t="n"/>
      <c r="P15" s="5" t="n"/>
      <c r="Q15" s="5" t="n"/>
      <c r="R15" s="5" t="n"/>
      <c r="AO15" t="inlineStr">
        <is>
          <t>Profit for the year</t>
        </is>
      </c>
      <c r="AU15" t="n">
        <v>30766</v>
      </c>
      <c r="AV15" t="n">
        <v>18134</v>
      </c>
      <c r="AW15" t="n">
        <v>27988</v>
      </c>
      <c r="AX15" t="n">
        <v>49705</v>
      </c>
      <c r="AY15" t="n">
        <v>27693</v>
      </c>
      <c r="AZ15" t="n">
        <v>38122</v>
      </c>
      <c r="BA15" t="n">
        <v>94430</v>
      </c>
      <c r="BB15" t="n">
        <v>9877</v>
      </c>
      <c r="BC15" t="n">
        <v>94153</v>
      </c>
      <c r="BD15" t="n">
        <v>314</v>
      </c>
      <c r="BE15" t="n">
        <v>45781</v>
      </c>
      <c r="BF15" t="n">
        <v>37579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FY2024</t>
        </is>
      </c>
      <c r="BZ18" t="inlineStr">
        <is>
          <t>FY2025</t>
        </is>
      </c>
    </row>
    <row r="19">
      <c r="A19" s="5" t="inlineStr">
        <is>
          <t>Opening equity</t>
        </is>
      </c>
      <c r="B19" s="5" t="n">
        <v>810485</v>
      </c>
      <c r="C19" s="5" t="n">
        <v>765983</v>
      </c>
      <c r="D19" s="5" t="n">
        <v>766224</v>
      </c>
      <c r="E19" s="5" t="n">
        <v>821983</v>
      </c>
      <c r="F19" s="5" t="n">
        <v>812361</v>
      </c>
      <c r="G19" s="5" t="n">
        <v>712969</v>
      </c>
      <c r="H19" s="5" t="n">
        <v>674193</v>
      </c>
      <c r="I19" s="5" t="n">
        <v>654676</v>
      </c>
      <c r="J19" s="5" t="n">
        <v>599209</v>
      </c>
      <c r="K19" s="5" t="n">
        <v>547779</v>
      </c>
      <c r="L19" s="5" t="n">
        <v>531729</v>
      </c>
      <c r="M19" s="5" t="n">
        <v>500804</v>
      </c>
      <c r="N19" s="5" t="n"/>
      <c r="O19" s="5" t="n"/>
      <c r="P19" s="5" t="n"/>
      <c r="Q19" s="5" t="n"/>
      <c r="R19" s="5" t="n"/>
      <c r="BI19" t="inlineStr">
        <is>
          <t>Opening equity</t>
        </is>
      </c>
      <c r="BO19" t="n">
        <v>500804</v>
      </c>
      <c r="BP19" t="n">
        <v>531729</v>
      </c>
      <c r="BQ19" t="n">
        <v>547779</v>
      </c>
      <c r="BR19" t="n">
        <v>599209</v>
      </c>
      <c r="BS19" t="n">
        <v>654676</v>
      </c>
      <c r="BT19" t="n">
        <v>674193</v>
      </c>
      <c r="BU19" t="n">
        <v>712969</v>
      </c>
      <c r="BV19" t="n">
        <v>812361</v>
      </c>
      <c r="BW19" t="n">
        <v>821983</v>
      </c>
      <c r="BX19" t="n">
        <v>766224</v>
      </c>
      <c r="BY19" t="n">
        <v>765983</v>
      </c>
      <c r="BZ19" t="n">
        <v>810485</v>
      </c>
    </row>
    <row r="20">
      <c r="A20" s="5" t="inlineStr">
        <is>
          <t>Total comprehensive income for the year</t>
        </is>
      </c>
      <c r="B20" s="5" t="n">
        <v>37416</v>
      </c>
      <c r="C20" s="5" t="n">
        <v>44502</v>
      </c>
      <c r="D20" s="5" t="n">
        <v>-241</v>
      </c>
      <c r="E20" s="5" t="n">
        <v>94241</v>
      </c>
      <c r="F20" s="5" t="n">
        <v>9622</v>
      </c>
      <c r="G20" s="5" t="n">
        <v>95113</v>
      </c>
      <c r="H20" s="5" t="n">
        <v>38776</v>
      </c>
      <c r="I20" s="5" t="n">
        <v>20377</v>
      </c>
      <c r="J20" s="5" t="n">
        <v>55467</v>
      </c>
      <c r="K20" s="5" t="n">
        <v>51430</v>
      </c>
      <c r="L20" s="5" t="n">
        <v>16050</v>
      </c>
      <c r="M20" s="5" t="n">
        <v>32444</v>
      </c>
      <c r="N20" s="5" t="n"/>
      <c r="O20" s="5" t="n"/>
      <c r="P20" s="5" t="n"/>
      <c r="Q20" s="5" t="n"/>
      <c r="R20" s="5" t="n"/>
      <c r="BI20" t="inlineStr">
        <is>
          <t>Total comprehensive income for the year</t>
        </is>
      </c>
      <c r="BO20" t="n">
        <v>32444</v>
      </c>
      <c r="BP20" t="n">
        <v>16050</v>
      </c>
      <c r="BQ20" t="n">
        <v>51430</v>
      </c>
      <c r="BR20" t="n">
        <v>55467</v>
      </c>
      <c r="BS20" t="n">
        <v>20377</v>
      </c>
      <c r="BT20" t="n">
        <v>38776</v>
      </c>
      <c r="BU20" t="n">
        <v>95113</v>
      </c>
      <c r="BV20" t="n">
        <v>9622</v>
      </c>
      <c r="BW20" t="n">
        <v>94241</v>
      </c>
      <c r="BX20" t="n">
        <v>-241</v>
      </c>
      <c r="BY20" t="n">
        <v>44502</v>
      </c>
      <c r="BZ20" t="n">
        <v>37416</v>
      </c>
    </row>
    <row r="21">
      <c r="A21" s="5" t="inlineStr">
        <is>
          <t>Other equity movements, net</t>
        </is>
      </c>
      <c r="B21" s="5" t="n">
        <v>-100000</v>
      </c>
      <c r="C21" s="5" t="n">
        <v>0</v>
      </c>
      <c r="D21" s="5" t="n">
        <v>0</v>
      </c>
      <c r="E21" s="5" t="n">
        <v>-150000</v>
      </c>
      <c r="F21" s="5" t="n">
        <v>0</v>
      </c>
      <c r="G21" s="5" t="n">
        <v>4279</v>
      </c>
      <c r="H21" s="5" t="n">
        <v>0</v>
      </c>
      <c r="I21" s="5" t="n">
        <v>-860</v>
      </c>
      <c r="J21" s="5" t="n">
        <v>0</v>
      </c>
      <c r="K21" s="5" t="n">
        <v>0</v>
      </c>
      <c r="L21" s="5" t="n">
        <v>0</v>
      </c>
      <c r="M21" s="5" t="n">
        <v>2059</v>
      </c>
      <c r="N21" s="5" t="n"/>
      <c r="O21" s="5" t="n"/>
      <c r="P21" s="5" t="n"/>
      <c r="Q21" s="5" t="n"/>
      <c r="R21" s="5" t="n"/>
      <c r="BI21" t="inlineStr">
        <is>
          <t>Other equity movements, net</t>
        </is>
      </c>
      <c r="BO21" t="n">
        <v>2059</v>
      </c>
      <c r="BP21" t="n">
        <v>0</v>
      </c>
      <c r="BQ21" t="n">
        <v>0</v>
      </c>
      <c r="BR21" t="n">
        <v>0</v>
      </c>
      <c r="BS21" t="n">
        <v>-860</v>
      </c>
      <c r="BT21" t="n">
        <v>0</v>
      </c>
      <c r="BU21" t="n">
        <v>4279</v>
      </c>
      <c r="BV21" t="n">
        <v>0</v>
      </c>
      <c r="BW21" t="n">
        <v>-150000</v>
      </c>
      <c r="BX21" t="n">
        <v>0</v>
      </c>
      <c r="BY21" t="n">
        <v>0</v>
      </c>
      <c r="BZ21" t="n">
        <v>-100000</v>
      </c>
    </row>
    <row r="22">
      <c r="A22" s="5" t="inlineStr">
        <is>
          <t>Closing equity</t>
        </is>
      </c>
      <c r="B22" s="5" t="n">
        <v>747901</v>
      </c>
      <c r="C22" s="5" t="n">
        <v>810485</v>
      </c>
      <c r="D22" s="5" t="n">
        <v>765983</v>
      </c>
      <c r="E22" s="5" t="n">
        <v>766224</v>
      </c>
      <c r="F22" s="5" t="n">
        <v>821983</v>
      </c>
      <c r="G22" s="5" t="n">
        <v>812361</v>
      </c>
      <c r="H22" s="5" t="n">
        <v>712969</v>
      </c>
      <c r="I22" s="5" t="n">
        <v>674193</v>
      </c>
      <c r="J22" s="5" t="n">
        <v>654676</v>
      </c>
      <c r="K22" s="5" t="n">
        <v>599209</v>
      </c>
      <c r="L22" s="5" t="n">
        <v>547779</v>
      </c>
      <c r="M22" s="5" t="n">
        <v>535307</v>
      </c>
      <c r="N22" s="5" t="n"/>
      <c r="O22" s="5" t="n"/>
      <c r="P22" s="5" t="n"/>
      <c r="Q22" s="5" t="n"/>
      <c r="R22" s="5" t="n"/>
      <c r="BI22" t="inlineStr">
        <is>
          <t>Closing equity</t>
        </is>
      </c>
      <c r="BO22" t="n">
        <v>535307</v>
      </c>
      <c r="BP22" t="n">
        <v>547779</v>
      </c>
      <c r="BQ22" t="n">
        <v>599209</v>
      </c>
      <c r="BR22" t="n">
        <v>654676</v>
      </c>
      <c r="BS22" t="n">
        <v>674193</v>
      </c>
      <c r="BT22" t="n">
        <v>712969</v>
      </c>
      <c r="BU22" t="n">
        <v>812361</v>
      </c>
      <c r="BV22" t="n">
        <v>821983</v>
      </c>
      <c r="BW22" t="n">
        <v>766224</v>
      </c>
      <c r="BX22" t="n">
        <v>765983</v>
      </c>
      <c r="BY22" t="n">
        <v>810485</v>
      </c>
      <c r="BZ22" t="n">
        <v>747901</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t>
        </is>
      </c>
      <c r="R27" s="4" t="inlineStr">
        <is>
          <t>FY2009</t>
        </is>
      </c>
    </row>
    <row r="28">
      <c r="A28" s="6" t="inlineStr">
        <is>
          <t>CET1 Ratio</t>
        </is>
      </c>
      <c r="B28" s="6" t="inlineStr">
        <is>
          <t>42.6%</t>
        </is>
      </c>
      <c r="C28" s="6" t="inlineStr">
        <is>
          <t>46.7%</t>
        </is>
      </c>
      <c r="D28" s="6" t="inlineStr">
        <is>
          <t>31.7%</t>
        </is>
      </c>
      <c r="E28" s="6" t="inlineStr">
        <is>
          <t>34.0%</t>
        </is>
      </c>
      <c r="F28" s="6" t="inlineStr">
        <is>
          <t>34.4%</t>
        </is>
      </c>
      <c r="G28" s="6" t="inlineStr">
        <is>
          <t>23.3%</t>
        </is>
      </c>
      <c r="H28" s="6" t="inlineStr">
        <is>
          <t>20.9%</t>
        </is>
      </c>
      <c r="I28" s="6" t="inlineStr">
        <is>
          <t>17.3%</t>
        </is>
      </c>
      <c r="J28" s="6" t="inlineStr">
        <is>
          <t>19.0%</t>
        </is>
      </c>
      <c r="K28" s="6" t="inlineStr">
        <is>
          <t>18.4%</t>
        </is>
      </c>
      <c r="L28" s="6" t="inlineStr">
        <is>
          <t>17.1%</t>
        </is>
      </c>
      <c r="M28" s="6" t="n"/>
      <c r="N28" s="6" t="n"/>
      <c r="O28" s="6" t="n"/>
      <c r="P28" s="6" t="n"/>
      <c r="Q28" s="6" t="n"/>
      <c r="R28" s="6" t="n"/>
    </row>
    <row r="29">
      <c r="A29" s="6" t="inlineStr">
        <is>
          <t>Total Capital Ratio</t>
        </is>
      </c>
      <c r="B29" s="6" t="inlineStr">
        <is>
          <t>58.9%</t>
        </is>
      </c>
      <c r="C29" s="6" t="inlineStr">
        <is>
          <t>59.8%</t>
        </is>
      </c>
      <c r="D29" s="6" t="inlineStr">
        <is>
          <t>43.3%</t>
        </is>
      </c>
      <c r="E29" s="6" t="inlineStr">
        <is>
          <t>48.5%</t>
        </is>
      </c>
      <c r="F29" s="6" t="inlineStr">
        <is>
          <t>44.0%</t>
        </is>
      </c>
      <c r="G29" s="6" t="inlineStr">
        <is>
          <t>33.5%</t>
        </is>
      </c>
      <c r="H29" s="6" t="inlineStr">
        <is>
          <t>29.7%</t>
        </is>
      </c>
      <c r="I29" s="6" t="n"/>
      <c r="J29" s="6" t="n"/>
      <c r="K29" s="6" t="n"/>
      <c r="L29" s="6" t="n"/>
      <c r="M29" s="6" t="n"/>
      <c r="N29" s="6" t="n"/>
      <c r="O29" s="6" t="n"/>
      <c r="P29" s="6" t="n"/>
      <c r="Q29" s="6" t="n"/>
      <c r="R29" s="6" t="n"/>
    </row>
    <row r="30">
      <c r="A30" s="6" t="inlineStr">
        <is>
          <t>Leverage Ratio</t>
        </is>
      </c>
      <c r="B30" s="6" t="inlineStr">
        <is>
          <t>30.3%</t>
        </is>
      </c>
      <c r="C30" s="6" t="inlineStr">
        <is>
          <t>29.1%</t>
        </is>
      </c>
      <c r="D30" s="6" t="inlineStr">
        <is>
          <t>23.9%</t>
        </is>
      </c>
      <c r="E30" s="6" t="inlineStr">
        <is>
          <t>18.5%</t>
        </is>
      </c>
      <c r="F30" s="6" t="inlineStr">
        <is>
          <t>30.1%</t>
        </is>
      </c>
      <c r="G30" s="6" t="inlineStr">
        <is>
          <t>19.8%</t>
        </is>
      </c>
      <c r="H30" s="6" t="inlineStr">
        <is>
          <t>16.3%</t>
        </is>
      </c>
      <c r="I30" s="6" t="inlineStr">
        <is>
          <t>18.0%</t>
        </is>
      </c>
      <c r="J30" s="6" t="inlineStr">
        <is>
          <t>16.0%</t>
        </is>
      </c>
      <c r="K30" s="6" t="inlineStr">
        <is>
          <t>13.7%</t>
        </is>
      </c>
      <c r="L30" s="6" t="inlineStr">
        <is>
          <t>14.7%</t>
        </is>
      </c>
      <c r="M30" s="6" t="n"/>
      <c r="N30" s="6" t="n"/>
      <c r="O30" s="6" t="n"/>
      <c r="P30" s="6" t="n"/>
      <c r="Q30" s="6" t="n"/>
      <c r="R30" s="6" t="n"/>
    </row>
    <row r="31">
      <c r="A31" s="6" t="inlineStr">
        <is>
          <t>LCR</t>
        </is>
      </c>
      <c r="B31" s="6" t="inlineStr">
        <is>
          <t>412%</t>
        </is>
      </c>
      <c r="C31" s="6" t="inlineStr">
        <is>
          <t>417%</t>
        </is>
      </c>
      <c r="D31" s="6" t="inlineStr">
        <is>
          <t>250%</t>
        </is>
      </c>
      <c r="E31" s="6" t="inlineStr">
        <is>
          <t>191%</t>
        </is>
      </c>
      <c r="F31" s="6" t="inlineStr">
        <is>
          <t>226%</t>
        </is>
      </c>
      <c r="G31" s="6" t="inlineStr">
        <is>
          <t>219%</t>
        </is>
      </c>
      <c r="H31" s="6" t="inlineStr">
        <is>
          <t>210%</t>
        </is>
      </c>
      <c r="I31" s="6" t="n"/>
      <c r="J31" s="6" t="n"/>
      <c r="K31" s="6" t="n"/>
      <c r="L31" s="6" t="n"/>
      <c r="M31" s="6" t="n"/>
      <c r="N31" s="6" t="n"/>
      <c r="O31" s="6" t="n"/>
      <c r="P31" s="6" t="n"/>
      <c r="Q31" s="6" t="n"/>
      <c r="R31" s="6" t="n"/>
    </row>
    <row r="32">
      <c r="A32" s="6" t="inlineStr">
        <is>
          <t>NSFR</t>
        </is>
      </c>
      <c r="B32" s="6" t="inlineStr">
        <is>
          <t>263%</t>
        </is>
      </c>
      <c r="C32" s="6" t="inlineStr">
        <is>
          <t>223%</t>
        </is>
      </c>
      <c r="D32" s="6" t="inlineStr">
        <is>
          <t>163%</t>
        </is>
      </c>
      <c r="E32" s="6" t="inlineStr">
        <is>
          <t>165%</t>
        </is>
      </c>
      <c r="F32" s="6" t="inlineStr">
        <is>
          <t>Not disclosed</t>
        </is>
      </c>
      <c r="G32" s="6" t="n"/>
      <c r="H32" s="6" t="n"/>
      <c r="I32" s="6" t="n"/>
      <c r="J32" s="6" t="n"/>
      <c r="K32" s="6" t="n"/>
      <c r="L32" s="6" t="n"/>
      <c r="M32" s="6" t="n"/>
      <c r="N32" s="6" t="n"/>
      <c r="O32" s="6" t="n"/>
      <c r="P32" s="6" t="n"/>
      <c r="Q32" s="6" t="n"/>
      <c r="R32" s="6" t="n"/>
    </row>
    <row r="34" ht="45" customHeight="1">
      <c r="A34" s="7" t="inlineStr">
        <is>
          <t>Note: The Company takes the FRS 101 exemption from presenting a cash-flow statement. Interim Morgan Stanley International Pillar 3 reports are group-level and do not provide defensible standalone MSBIL interim data. FY2014-FY2018: CET1 Ratio uses the disclosed Tier 1 ratio (CET1 = Tier 1 capital in every year checked); Total Capital Ratio, LCR and NSFR are blank where not disclosed (see the RWA/Total Capital/LCR/NSFR sheets for detail); FY2014 additionally has no Leverage Ratio (first required from FY2015) and no capital ratio of any kind besides what appears here.</t>
        </is>
      </c>
    </row>
  </sheetData>
  <mergeCells count="1">
    <mergeCell ref="A34:R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Balance Sheet</t>
        </is>
      </c>
    </row>
    <row r="2">
      <c r="A2" s="2" t="inlineStr">
        <is>
          <t>Standalone Company basis (FRS 101). £'000. FY2021 uniquely shows an 'Investment in subsidiary undertaking' line (£105,374k) - disposed of during FY2022, generating that year's £93,978k 'Gain on disposal of subsidiary' on the Profit &amp; Loss sheet and dropping to £nil from FY2022 onward. 'Deferred tax liabilities' only appears as its own line from FY2024 (shown as '–'/nil that year, £1,079k in FY2025); FY2021-FY2023 disclose no such line at all (shown blank, not zero).</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at central banks</t>
        </is>
      </c>
      <c r="B5" s="6" t="n">
        <v>24687</v>
      </c>
      <c r="C5" s="6" t="n">
        <v>17404</v>
      </c>
      <c r="D5" s="6" t="n">
        <v>6870</v>
      </c>
      <c r="E5" s="6" t="n">
        <v>47133</v>
      </c>
      <c r="F5" s="6" t="n">
        <v>20144</v>
      </c>
      <c r="G5" s="6" t="n">
        <v>14613</v>
      </c>
      <c r="H5" s="6" t="n">
        <v>122601</v>
      </c>
      <c r="I5" s="6" t="n">
        <v>15</v>
      </c>
      <c r="J5" s="6" t="n">
        <v>52687</v>
      </c>
      <c r="K5" s="6" t="n">
        <v>63784</v>
      </c>
      <c r="L5" s="6" t="n">
        <v>30279</v>
      </c>
      <c r="M5" s="6" t="n">
        <v>3308</v>
      </c>
      <c r="N5" s="6" t="n">
        <v>28138</v>
      </c>
      <c r="O5" s="6" t="n">
        <v>31428</v>
      </c>
      <c r="P5" s="6" t="n">
        <v>13459</v>
      </c>
      <c r="Q5" s="6" t="n">
        <v>29719</v>
      </c>
      <c r="R5" s="6" t="n">
        <v>16153</v>
      </c>
    </row>
    <row r="6">
      <c r="A6" s="6" t="inlineStr">
        <is>
          <t>Secured financing</t>
        </is>
      </c>
      <c r="B6" s="6" t="n">
        <v>836854</v>
      </c>
      <c r="C6" s="6" t="n">
        <v>1163336</v>
      </c>
      <c r="D6" s="6" t="n">
        <v>1150162</v>
      </c>
      <c r="E6" s="6" t="n">
        <v>1330363</v>
      </c>
      <c r="F6" s="6" t="n">
        <v>1139856</v>
      </c>
      <c r="G6" s="6" t="n">
        <v>1501101</v>
      </c>
      <c r="H6" s="6" t="n">
        <v>1480900</v>
      </c>
      <c r="I6" s="6" t="n">
        <v>1280633</v>
      </c>
      <c r="J6" s="6" t="n">
        <v>1039793</v>
      </c>
      <c r="K6" s="6" t="n">
        <v>879913</v>
      </c>
      <c r="L6" s="6" t="n">
        <v>921954</v>
      </c>
      <c r="M6" s="6" t="n">
        <v>825761</v>
      </c>
      <c r="N6" s="6" t="n"/>
      <c r="O6" s="6" t="n"/>
      <c r="P6" s="6" t="n"/>
      <c r="Q6" s="6" t="n"/>
      <c r="R6" s="6" t="n"/>
    </row>
    <row r="7">
      <c r="A7" s="6" t="inlineStr">
        <is>
          <t>Reverse repurchase agreements (FY2010-FY2013 label; not separately disclosed FY2009)</t>
        </is>
      </c>
      <c r="B7" s="6" t="n"/>
      <c r="C7" s="6" t="n"/>
      <c r="D7" s="6" t="n"/>
      <c r="E7" s="6" t="n"/>
      <c r="F7" s="6" t="n"/>
      <c r="G7" s="6" t="n"/>
      <c r="H7" s="6" t="n"/>
      <c r="I7" s="6" t="n"/>
      <c r="J7" s="6" t="n"/>
      <c r="K7" s="6" t="n"/>
      <c r="L7" s="6" t="n"/>
      <c r="M7" s="6" t="n"/>
      <c r="N7" s="6" t="n">
        <v>2807459</v>
      </c>
      <c r="O7" s="6" t="n">
        <v>2194621</v>
      </c>
      <c r="P7" s="6" t="n">
        <v>1952073</v>
      </c>
      <c r="Q7" s="6" t="n">
        <v>1456466</v>
      </c>
      <c r="R7" s="6" t="n"/>
    </row>
    <row r="8">
      <c r="A8" s="6" t="inlineStr">
        <is>
          <t>Loans and advances to banks</t>
        </is>
      </c>
      <c r="B8" s="6" t="n">
        <v>140542</v>
      </c>
      <c r="C8" s="6" t="n">
        <v>212774</v>
      </c>
      <c r="D8" s="6" t="n">
        <v>187090</v>
      </c>
      <c r="E8" s="6" t="n">
        <v>175841</v>
      </c>
      <c r="F8" s="6" t="n">
        <v>129608</v>
      </c>
      <c r="G8" s="6" t="n">
        <v>337581</v>
      </c>
      <c r="H8" s="6" t="n">
        <v>131940</v>
      </c>
      <c r="I8" s="6" t="n">
        <v>107412</v>
      </c>
      <c r="J8" s="6" t="n">
        <v>147815</v>
      </c>
      <c r="K8" s="6" t="n">
        <v>157136</v>
      </c>
      <c r="L8" s="6" t="n">
        <v>89547</v>
      </c>
      <c r="M8" s="6" t="n">
        <v>152123</v>
      </c>
      <c r="N8" s="6" t="n">
        <v>172848</v>
      </c>
      <c r="O8" s="6" t="n">
        <v>270996</v>
      </c>
      <c r="P8" s="6" t="n">
        <v>624248</v>
      </c>
      <c r="Q8" s="6" t="n">
        <v>352185</v>
      </c>
      <c r="R8" s="6" t="n">
        <v>187133</v>
      </c>
    </row>
    <row r="9">
      <c r="A9" s="6" t="inlineStr">
        <is>
          <t>Loans and advances to customers</t>
        </is>
      </c>
      <c r="B9" s="6" t="n">
        <v>422190</v>
      </c>
      <c r="C9" s="6" t="n">
        <v>775727</v>
      </c>
      <c r="D9" s="6" t="n">
        <v>760186</v>
      </c>
      <c r="E9" s="6" t="n">
        <v>1227715</v>
      </c>
      <c r="F9" s="6" t="n">
        <v>380124</v>
      </c>
      <c r="G9" s="6" t="n">
        <v>24573</v>
      </c>
      <c r="H9" s="6" t="n">
        <v>180250</v>
      </c>
      <c r="I9" s="6" t="n">
        <v>363113</v>
      </c>
      <c r="J9" s="6" t="n">
        <v>354177</v>
      </c>
      <c r="K9" s="6" t="n">
        <v>385052</v>
      </c>
      <c r="L9" s="6" t="n">
        <v>155311</v>
      </c>
      <c r="M9" s="6" t="n">
        <v>617659</v>
      </c>
      <c r="N9" s="6" t="n">
        <v>965499</v>
      </c>
      <c r="O9" s="6" t="n">
        <v>756208</v>
      </c>
      <c r="P9" s="6" t="n">
        <v>748579</v>
      </c>
      <c r="Q9" s="6" t="n">
        <v>2499609</v>
      </c>
      <c r="R9" s="6" t="n">
        <v>1499221</v>
      </c>
    </row>
    <row r="10">
      <c r="A10" s="6" t="inlineStr">
        <is>
          <t>Trading financial assets</t>
        </is>
      </c>
      <c r="B10" s="6" t="n">
        <v>3022186</v>
      </c>
      <c r="C10" s="6" t="n">
        <v>3746151</v>
      </c>
      <c r="D10" s="6" t="n">
        <v>3613350</v>
      </c>
      <c r="E10" s="6" t="n">
        <v>4868282</v>
      </c>
      <c r="F10" s="6" t="n">
        <v>3358044</v>
      </c>
      <c r="G10" s="6" t="n">
        <v>4184122</v>
      </c>
      <c r="H10" s="6" t="n">
        <v>3446503</v>
      </c>
      <c r="I10" s="6" t="n">
        <v>3290194</v>
      </c>
      <c r="J10" s="6" t="n">
        <v>3572024</v>
      </c>
      <c r="K10" s="6" t="n">
        <v>4123722</v>
      </c>
      <c r="L10" s="6" t="n">
        <v>3358901</v>
      </c>
      <c r="M10" s="6" t="n">
        <v>3247108</v>
      </c>
      <c r="N10" s="6" t="n">
        <v>2646987</v>
      </c>
      <c r="O10" s="6" t="n">
        <v>3161175</v>
      </c>
      <c r="P10" s="6" t="n">
        <v>3503456</v>
      </c>
      <c r="Q10" s="6" t="n">
        <v>3477185</v>
      </c>
      <c r="R10" s="6" t="n">
        <v>3930918</v>
      </c>
    </row>
    <row r="11">
      <c r="A11" s="6" t="inlineStr">
        <is>
          <t>Investment securities</t>
        </is>
      </c>
      <c r="B11" s="6" t="n">
        <v>23</v>
      </c>
      <c r="C11" s="6" t="n">
        <v>472</v>
      </c>
      <c r="D11" s="6" t="n">
        <v>463</v>
      </c>
      <c r="E11" s="6" t="n">
        <v>23</v>
      </c>
      <c r="F11" s="6" t="n">
        <v>679</v>
      </c>
      <c r="G11" s="6" t="n">
        <v>4828</v>
      </c>
      <c r="H11" s="6" t="n">
        <v>6557</v>
      </c>
      <c r="I11" s="6" t="n"/>
      <c r="J11" s="6" t="n"/>
      <c r="K11" s="6" t="n"/>
      <c r="L11" s="6" t="n"/>
      <c r="M11" s="6" t="n"/>
      <c r="N11" s="6" t="n"/>
      <c r="O11" s="6" t="n"/>
      <c r="P11" s="6" t="n"/>
      <c r="Q11" s="6" t="n"/>
      <c r="R11" s="6" t="n"/>
    </row>
    <row r="12">
      <c r="A12" s="6" t="inlineStr">
        <is>
          <t>Financial assets designated at fair value through profit or loss</t>
        </is>
      </c>
      <c r="B12" s="6" t="n"/>
      <c r="C12" s="6" t="n"/>
      <c r="D12" s="6" t="n"/>
      <c r="E12" s="6" t="n"/>
      <c r="F12" s="6" t="n"/>
      <c r="G12" s="6" t="n"/>
      <c r="H12" s="6" t="n"/>
      <c r="I12" s="6" t="n"/>
      <c r="J12" s="6" t="n"/>
      <c r="K12" s="6" t="n"/>
      <c r="L12" s="6" t="n"/>
      <c r="M12" s="6" t="n">
        <v>0</v>
      </c>
      <c r="N12" s="6" t="n">
        <v>44842</v>
      </c>
      <c r="O12" s="6" t="n">
        <v>46916</v>
      </c>
      <c r="P12" s="6" t="n">
        <v>41704</v>
      </c>
      <c r="Q12" s="6" t="n">
        <v>0</v>
      </c>
      <c r="R12" s="6" t="n">
        <v>3117</v>
      </c>
    </row>
    <row r="13">
      <c r="A13" s="6" t="inlineStr">
        <is>
          <t>Investment in subsidiary undertaking</t>
        </is>
      </c>
      <c r="B13" s="6" t="n"/>
      <c r="C13" s="6" t="n"/>
      <c r="D13" s="6" t="n"/>
      <c r="E13" s="6" t="n"/>
      <c r="F13" s="6" t="n">
        <v>105374</v>
      </c>
      <c r="G13" s="6" t="n">
        <v>105374</v>
      </c>
      <c r="H13" s="6" t="n">
        <v>105374</v>
      </c>
      <c r="I13" s="6" t="n">
        <v>105374</v>
      </c>
      <c r="J13" s="6" t="n">
        <v>105374</v>
      </c>
      <c r="K13" s="6" t="n">
        <v>105374</v>
      </c>
      <c r="L13" s="6" t="n">
        <v>105374</v>
      </c>
      <c r="M13" s="6" t="n">
        <v>105374</v>
      </c>
      <c r="N13" s="6" t="n">
        <v>105374</v>
      </c>
      <c r="O13" s="6" t="n">
        <v>105374</v>
      </c>
      <c r="P13" s="6" t="n">
        <v>105374</v>
      </c>
      <c r="Q13" s="6" t="n">
        <v>105374</v>
      </c>
      <c r="R13" s="6" t="n">
        <v>105374</v>
      </c>
    </row>
    <row r="14">
      <c r="A14" s="6" t="inlineStr">
        <is>
          <t>Tangible fixed assets</t>
        </is>
      </c>
      <c r="B14" s="6" t="n">
        <v>681</v>
      </c>
      <c r="C14" s="6" t="n">
        <v>926</v>
      </c>
      <c r="D14" s="6" t="n">
        <v>1093</v>
      </c>
      <c r="E14" s="6" t="n">
        <v>1382</v>
      </c>
      <c r="F14" s="6" t="n">
        <v>567</v>
      </c>
      <c r="G14" s="6" t="n">
        <v>749</v>
      </c>
      <c r="H14" s="6" t="n">
        <v>3618</v>
      </c>
      <c r="I14" s="6" t="n">
        <v>898</v>
      </c>
      <c r="J14" s="6" t="n">
        <v>848</v>
      </c>
      <c r="K14" s="6" t="n">
        <v>1065</v>
      </c>
      <c r="L14" s="6" t="n">
        <v>1022</v>
      </c>
      <c r="M14" s="6" t="n">
        <v>437</v>
      </c>
      <c r="N14" s="6" t="n">
        <v>570</v>
      </c>
      <c r="O14" s="6" t="n">
        <v>780</v>
      </c>
      <c r="P14" s="6" t="n">
        <v>984</v>
      </c>
      <c r="Q14" s="6" t="n">
        <v>1447</v>
      </c>
      <c r="R14" s="6" t="n">
        <v>1761</v>
      </c>
    </row>
    <row r="15">
      <c r="A15" s="6" t="inlineStr">
        <is>
          <t>Other receivables</t>
        </is>
      </c>
      <c r="B15" s="6" t="n">
        <v>26119</v>
      </c>
      <c r="C15" s="6" t="n">
        <v>23892</v>
      </c>
      <c r="D15" s="6" t="n">
        <v>34100</v>
      </c>
      <c r="E15" s="6" t="n">
        <v>30374</v>
      </c>
      <c r="F15" s="6" t="n">
        <v>22811</v>
      </c>
      <c r="G15" s="6" t="n">
        <v>13774</v>
      </c>
      <c r="H15" s="6" t="n">
        <v>10013</v>
      </c>
      <c r="I15" s="6" t="n">
        <v>16071</v>
      </c>
      <c r="J15" s="6" t="n">
        <v>29716</v>
      </c>
      <c r="K15" s="6" t="n">
        <v>11526</v>
      </c>
      <c r="L15" s="6" t="n">
        <v>19736</v>
      </c>
      <c r="M15" s="6" t="n">
        <v>23098</v>
      </c>
      <c r="N15" s="6" t="n"/>
      <c r="O15" s="6" t="n"/>
      <c r="P15" s="6" t="n"/>
      <c r="Q15" s="6" t="n"/>
      <c r="R15" s="6" t="n"/>
    </row>
    <row r="16">
      <c r="A16" s="6" t="inlineStr">
        <is>
          <t>Other assets (FY2009-FY2013 label - a broader concept than 'Other receivables' above, see sourcing note)</t>
        </is>
      </c>
      <c r="B16" s="6" t="n"/>
      <c r="C16" s="6" t="n"/>
      <c r="D16" s="6" t="n"/>
      <c r="E16" s="6" t="n"/>
      <c r="F16" s="6" t="n"/>
      <c r="G16" s="6" t="n"/>
      <c r="H16" s="6" t="n"/>
      <c r="I16" s="6" t="n"/>
      <c r="J16" s="6" t="n"/>
      <c r="K16" s="6" t="n"/>
      <c r="L16" s="6" t="n"/>
      <c r="M16" s="6" t="n"/>
      <c r="N16" s="6" t="n">
        <v>36385</v>
      </c>
      <c r="O16" s="6" t="n">
        <v>33861</v>
      </c>
      <c r="P16" s="6" t="n">
        <v>34290</v>
      </c>
      <c r="Q16" s="6" t="n">
        <v>288012</v>
      </c>
      <c r="R16" s="6" t="n">
        <v>271942</v>
      </c>
    </row>
    <row r="17">
      <c r="A17" s="6" t="inlineStr">
        <is>
          <t>Current tax assets</t>
        </is>
      </c>
      <c r="B17" s="6" t="n">
        <v>1218</v>
      </c>
      <c r="C17" s="6" t="n">
        <v>282</v>
      </c>
      <c r="D17" s="6" t="n">
        <v>296</v>
      </c>
      <c r="E17" s="6" t="n">
        <v>2451</v>
      </c>
      <c r="F17" s="6" t="n">
        <v>287</v>
      </c>
      <c r="G17" s="6" t="n">
        <v>2010</v>
      </c>
      <c r="H17" s="6" t="n">
        <v>3654</v>
      </c>
      <c r="I17" s="6" t="n">
        <v>5844</v>
      </c>
      <c r="J17" s="6" t="n">
        <v>5310</v>
      </c>
      <c r="K17" s="6" t="n">
        <v>4088</v>
      </c>
      <c r="L17" s="6" t="n">
        <v>5623</v>
      </c>
      <c r="M17" s="6" t="n"/>
      <c r="N17" s="6" t="n"/>
      <c r="O17" s="6" t="n"/>
      <c r="P17" s="6" t="n"/>
      <c r="Q17" s="6" t="n"/>
      <c r="R17" s="6" t="n"/>
    </row>
    <row r="18">
      <c r="A18" s="6" t="inlineStr">
        <is>
          <t>Deferred tax assets</t>
        </is>
      </c>
      <c r="B18" s="6" t="n">
        <v>75</v>
      </c>
      <c r="C18" s="6" t="n">
        <v>1961</v>
      </c>
      <c r="D18" s="6" t="n">
        <v>7415</v>
      </c>
      <c r="E18" s="6" t="n">
        <v>7698</v>
      </c>
      <c r="F18" s="6" t="n">
        <v>8696</v>
      </c>
      <c r="G18" s="6" t="n">
        <v>2350</v>
      </c>
      <c r="H18" s="6" t="n">
        <v>5401</v>
      </c>
      <c r="I18" s="6" t="n">
        <v>8596</v>
      </c>
      <c r="J18" s="6" t="n">
        <v>13102</v>
      </c>
      <c r="K18" s="6" t="n">
        <v>10381</v>
      </c>
      <c r="L18" s="6" t="n">
        <v>3311</v>
      </c>
      <c r="M18" s="6" t="n"/>
      <c r="N18" s="6" t="n"/>
      <c r="O18" s="6" t="n"/>
      <c r="P18" s="6" t="n"/>
      <c r="Q18" s="6" t="n"/>
      <c r="R18" s="6" t="n"/>
    </row>
    <row r="19">
      <c r="A19" s="6" t="inlineStr">
        <is>
          <t>Prepayments and accrued income</t>
        </is>
      </c>
      <c r="B19" s="6" t="n">
        <v>126</v>
      </c>
      <c r="C19" s="6" t="n">
        <v>157</v>
      </c>
      <c r="D19" s="6" t="n">
        <v>156</v>
      </c>
      <c r="E19" s="6" t="n">
        <v>172</v>
      </c>
      <c r="F19" s="6" t="n">
        <v>127</v>
      </c>
      <c r="G19" s="6" t="n">
        <v>130</v>
      </c>
      <c r="H19" s="6" t="n">
        <v>445</v>
      </c>
      <c r="I19" s="6" t="n">
        <v>555</v>
      </c>
      <c r="J19" s="6" t="n">
        <v>504</v>
      </c>
      <c r="K19" s="6" t="n">
        <v>25</v>
      </c>
      <c r="L19" s="6" t="n">
        <v>38</v>
      </c>
      <c r="M19" s="6" t="n">
        <v>68</v>
      </c>
      <c r="N19" s="6" t="n">
        <v>70</v>
      </c>
      <c r="O19" s="6" t="n">
        <v>122</v>
      </c>
      <c r="P19" s="6" t="n">
        <v>95</v>
      </c>
      <c r="Q19" s="6" t="n">
        <v>2217</v>
      </c>
      <c r="R19" s="6" t="n">
        <v>188</v>
      </c>
    </row>
    <row r="20">
      <c r="A20" s="5" t="inlineStr">
        <is>
          <t>Total assets</t>
        </is>
      </c>
      <c r="B20" s="5" t="n">
        <v>4474701</v>
      </c>
      <c r="C20" s="5" t="n">
        <v>5943082</v>
      </c>
      <c r="D20" s="5" t="n">
        <v>5761181</v>
      </c>
      <c r="E20" s="5" t="n">
        <v>7691434</v>
      </c>
      <c r="F20" s="5" t="n">
        <v>5166317</v>
      </c>
      <c r="G20" s="5" t="n">
        <v>6191205</v>
      </c>
      <c r="H20" s="5" t="n">
        <v>5497256</v>
      </c>
      <c r="I20" s="5" t="n">
        <v>5178705</v>
      </c>
      <c r="J20" s="5" t="n">
        <v>5321350</v>
      </c>
      <c r="K20" s="5" t="n">
        <v>5742066</v>
      </c>
      <c r="L20" s="5" t="n">
        <v>4691096</v>
      </c>
      <c r="M20" s="5" t="n">
        <v>4974936</v>
      </c>
      <c r="N20" s="5" t="n">
        <v>6808172</v>
      </c>
      <c r="O20" s="5" t="n">
        <v>6601481</v>
      </c>
      <c r="P20" s="5" t="n">
        <v>7024262</v>
      </c>
      <c r="Q20" s="5" t="n">
        <v>8212214</v>
      </c>
      <c r="R20" s="5" t="n">
        <v>6015807</v>
      </c>
    </row>
    <row r="21">
      <c r="A21" s="5" t="inlineStr">
        <is>
          <t>Liabilities</t>
        </is>
      </c>
      <c r="B21" s="6" t="n"/>
      <c r="C21" s="6" t="n"/>
      <c r="D21" s="6" t="n"/>
      <c r="E21" s="6" t="n"/>
      <c r="F21" s="6" t="n"/>
      <c r="G21" s="6" t="n"/>
      <c r="H21" s="6" t="n"/>
      <c r="I21" s="6" t="n"/>
      <c r="J21" s="6" t="n"/>
      <c r="K21" s="6" t="n"/>
      <c r="L21" s="6" t="n"/>
      <c r="M21" s="6" t="n"/>
      <c r="N21" s="6" t="n"/>
      <c r="O21" s="6" t="n"/>
      <c r="P21" s="6" t="n"/>
      <c r="Q21" s="6" t="n"/>
      <c r="R21" s="6" t="n"/>
    </row>
    <row r="22">
      <c r="A22" s="6" t="inlineStr">
        <is>
          <t>Deposits by banks</t>
        </is>
      </c>
      <c r="B22" s="6" t="n">
        <v>279651</v>
      </c>
      <c r="C22" s="6" t="n">
        <v>462429</v>
      </c>
      <c r="D22" s="6" t="n">
        <v>251784</v>
      </c>
      <c r="E22" s="6" t="n">
        <v>440764</v>
      </c>
      <c r="F22" s="6" t="n">
        <v>153851</v>
      </c>
      <c r="G22" s="6" t="n">
        <v>124229</v>
      </c>
      <c r="H22" s="6" t="n">
        <v>135962</v>
      </c>
      <c r="I22" s="6" t="n">
        <v>323778</v>
      </c>
      <c r="J22" s="6" t="n">
        <v>226045</v>
      </c>
      <c r="K22" s="6" t="n">
        <v>230883</v>
      </c>
      <c r="L22" s="6" t="n">
        <v>110708</v>
      </c>
      <c r="M22" s="6" t="n">
        <v>101036</v>
      </c>
      <c r="N22" s="6" t="n">
        <v>137581</v>
      </c>
      <c r="O22" s="6" t="n">
        <v>202366</v>
      </c>
      <c r="P22" s="6" t="n">
        <v>212465</v>
      </c>
      <c r="Q22" s="6" t="n">
        <v>233641</v>
      </c>
      <c r="R22" s="6" t="n">
        <v>268609</v>
      </c>
    </row>
    <row r="23">
      <c r="A23" s="6" t="inlineStr">
        <is>
          <t>Customer accounts</t>
        </is>
      </c>
      <c r="B23" s="6" t="n">
        <v>632759</v>
      </c>
      <c r="C23" s="6" t="n">
        <v>783693</v>
      </c>
      <c r="D23" s="6" t="n">
        <v>1246212</v>
      </c>
      <c r="E23" s="6" t="n">
        <v>1814583</v>
      </c>
      <c r="F23" s="6" t="n">
        <v>1502764</v>
      </c>
      <c r="G23" s="6" t="n">
        <v>1647638</v>
      </c>
      <c r="H23" s="6" t="n">
        <v>1331496</v>
      </c>
      <c r="I23" s="6" t="n">
        <v>1072143</v>
      </c>
      <c r="J23" s="6" t="n">
        <v>875555</v>
      </c>
      <c r="K23" s="6" t="n">
        <v>747831</v>
      </c>
      <c r="L23" s="6" t="n">
        <v>719706</v>
      </c>
      <c r="M23" s="6" t="n">
        <v>1092621</v>
      </c>
      <c r="N23" s="6" t="n">
        <v>860388</v>
      </c>
      <c r="O23" s="6" t="n">
        <v>919422</v>
      </c>
      <c r="P23" s="6" t="n">
        <v>2657109</v>
      </c>
      <c r="Q23" s="6" t="n">
        <v>4184133</v>
      </c>
      <c r="R23" s="6" t="n">
        <v>1665107</v>
      </c>
    </row>
    <row r="24">
      <c r="A24" s="6" t="inlineStr">
        <is>
          <t>Secured borrowing</t>
        </is>
      </c>
      <c r="B24" s="6" t="n">
        <v>103105</v>
      </c>
      <c r="C24" s="6" t="n">
        <v>123656</v>
      </c>
      <c r="D24" s="6" t="n">
        <v>86502</v>
      </c>
      <c r="E24" s="6" t="n">
        <v>128224</v>
      </c>
      <c r="F24" s="6" t="n">
        <v>85181</v>
      </c>
      <c r="G24" s="6" t="n">
        <v>60718</v>
      </c>
      <c r="H24" s="6" t="n">
        <v>273663</v>
      </c>
      <c r="I24" s="6" t="n">
        <v>258331</v>
      </c>
      <c r="J24" s="6" t="n">
        <v>363057</v>
      </c>
      <c r="K24" s="6" t="n">
        <v>478743</v>
      </c>
      <c r="L24" s="6" t="n">
        <v>499063</v>
      </c>
      <c r="M24" s="6" t="n">
        <v>542723</v>
      </c>
      <c r="N24" s="6" t="n"/>
      <c r="O24" s="6" t="n"/>
      <c r="P24" s="6" t="n"/>
      <c r="Q24" s="6" t="n"/>
      <c r="R24" s="6" t="n"/>
    </row>
    <row r="25">
      <c r="A25" s="6" t="inlineStr">
        <is>
          <t>Repurchase agreements / securities sold under agreements to repurchase (FY2009-FY2013 label)</t>
        </is>
      </c>
      <c r="B25" s="6" t="n"/>
      <c r="C25" s="6" t="n"/>
      <c r="D25" s="6" t="n"/>
      <c r="E25" s="6" t="n"/>
      <c r="F25" s="6" t="n"/>
      <c r="G25" s="6" t="n"/>
      <c r="H25" s="6" t="n"/>
      <c r="I25" s="6" t="n"/>
      <c r="J25" s="6" t="n"/>
      <c r="K25" s="6" t="n"/>
      <c r="L25" s="6" t="n"/>
      <c r="M25" s="6" t="n"/>
      <c r="N25" s="6" t="n">
        <v>3122575</v>
      </c>
      <c r="O25" s="6" t="n">
        <v>2002150</v>
      </c>
      <c r="P25" s="6" t="n">
        <v>698476</v>
      </c>
      <c r="Q25" s="6" t="n">
        <v>585076</v>
      </c>
      <c r="R25" s="6" t="n">
        <v>1032682</v>
      </c>
    </row>
    <row r="26">
      <c r="A26" s="6" t="inlineStr">
        <is>
          <t>Trading financial liabilities</t>
        </is>
      </c>
      <c r="B26" s="6" t="n">
        <v>2409008</v>
      </c>
      <c r="C26" s="6" t="n">
        <v>3311515</v>
      </c>
      <c r="D26" s="6" t="n">
        <v>2957832</v>
      </c>
      <c r="E26" s="6" t="n">
        <v>4081489</v>
      </c>
      <c r="F26" s="6" t="n">
        <v>2270962</v>
      </c>
      <c r="G26" s="6" t="n">
        <v>3206555</v>
      </c>
      <c r="H26" s="6" t="n">
        <v>2762477</v>
      </c>
      <c r="I26" s="6" t="n">
        <v>2528574</v>
      </c>
      <c r="J26" s="6" t="n">
        <v>2893498</v>
      </c>
      <c r="K26" s="6" t="n">
        <v>3373992</v>
      </c>
      <c r="L26" s="6" t="n">
        <v>2511905</v>
      </c>
      <c r="M26" s="6" t="n">
        <v>2409122</v>
      </c>
      <c r="N26" s="6" t="n">
        <v>1824899</v>
      </c>
      <c r="O26" s="6" t="n">
        <v>2194711</v>
      </c>
      <c r="P26" s="6" t="n">
        <v>2175345</v>
      </c>
      <c r="Q26" s="6" t="n">
        <v>1905986</v>
      </c>
      <c r="R26" s="6" t="n">
        <v>1783226</v>
      </c>
    </row>
    <row r="27">
      <c r="A27" s="6" t="inlineStr">
        <is>
          <t>Financial liabilities designated at fair value through profit or loss</t>
        </is>
      </c>
      <c r="B27" s="6" t="n"/>
      <c r="C27" s="6" t="n"/>
      <c r="D27" s="6" t="n"/>
      <c r="E27" s="6" t="n"/>
      <c r="F27" s="6" t="n"/>
      <c r="G27" s="6" t="n"/>
      <c r="H27" s="6" t="n"/>
      <c r="I27" s="6" t="n"/>
      <c r="J27" s="6" t="n"/>
      <c r="K27" s="6" t="n"/>
      <c r="L27" s="6" t="n"/>
      <c r="M27" s="6" t="n">
        <v>0</v>
      </c>
      <c r="N27" s="6" t="n">
        <v>44842</v>
      </c>
      <c r="O27" s="6" t="n">
        <v>18465</v>
      </c>
      <c r="P27" s="6" t="n">
        <v>18357</v>
      </c>
      <c r="Q27" s="6" t="n">
        <v>0</v>
      </c>
      <c r="R27" s="6" t="n">
        <v>3117</v>
      </c>
    </row>
    <row r="28">
      <c r="A28" s="6" t="inlineStr">
        <is>
          <t>Other payables</t>
        </is>
      </c>
      <c r="B28" s="6" t="n">
        <v>18473</v>
      </c>
      <c r="C28" s="6" t="n">
        <v>20906</v>
      </c>
      <c r="D28" s="6" t="n">
        <v>27230</v>
      </c>
      <c r="E28" s="6" t="n">
        <v>45937</v>
      </c>
      <c r="F28" s="6" t="n">
        <v>41460</v>
      </c>
      <c r="G28" s="6" t="n">
        <v>55647</v>
      </c>
      <c r="H28" s="6" t="n">
        <v>13919</v>
      </c>
      <c r="I28" s="6" t="n">
        <v>42337</v>
      </c>
      <c r="J28" s="6" t="n">
        <v>23819</v>
      </c>
      <c r="K28" s="6" t="n">
        <v>19090</v>
      </c>
      <c r="L28" s="6" t="n">
        <v>16116</v>
      </c>
      <c r="M28" s="6" t="n">
        <v>14042</v>
      </c>
      <c r="N28" s="6" t="n">
        <v>13735</v>
      </c>
      <c r="O28" s="6" t="n">
        <v>31088</v>
      </c>
      <c r="P28" s="6" t="n">
        <v>29918</v>
      </c>
      <c r="Q28" s="6" t="n">
        <v>147590</v>
      </c>
      <c r="R28" s="6" t="n">
        <v>142885</v>
      </c>
    </row>
    <row r="29">
      <c r="A29" s="6" t="inlineStr">
        <is>
          <t>Accruals and deferred income</t>
        </is>
      </c>
      <c r="B29" s="6" t="n">
        <v>4080</v>
      </c>
      <c r="C29" s="6" t="n">
        <v>9391</v>
      </c>
      <c r="D29" s="6" t="n">
        <v>2059</v>
      </c>
      <c r="E29" s="6" t="n">
        <v>1497</v>
      </c>
      <c r="F29" s="6" t="n">
        <v>2290</v>
      </c>
      <c r="G29" s="6" t="n">
        <v>5317</v>
      </c>
      <c r="H29" s="6" t="n">
        <v>11790</v>
      </c>
      <c r="I29" s="6" t="n">
        <v>14202</v>
      </c>
      <c r="J29" s="6" t="n">
        <v>9514</v>
      </c>
      <c r="K29" s="6" t="n">
        <v>17150</v>
      </c>
      <c r="L29" s="6" t="n">
        <v>25874</v>
      </c>
      <c r="M29" s="6" t="n">
        <v>29563</v>
      </c>
      <c r="N29" s="6" t="n">
        <v>43724</v>
      </c>
      <c r="O29" s="6" t="n">
        <v>40199</v>
      </c>
      <c r="P29" s="6" t="n">
        <v>37914</v>
      </c>
      <c r="Q29" s="6" t="n">
        <v>21257</v>
      </c>
      <c r="R29" s="6" t="n">
        <v>24969</v>
      </c>
    </row>
    <row r="30">
      <c r="A30" s="6" t="inlineStr">
        <is>
          <t>Current tax liabilities</t>
        </is>
      </c>
      <c r="B30" s="6" t="n">
        <v>19853</v>
      </c>
      <c r="C30" s="6" t="n">
        <v>11677</v>
      </c>
      <c r="D30" s="6" t="n">
        <v>13754</v>
      </c>
      <c r="E30" s="6" t="n">
        <v>10758</v>
      </c>
      <c r="F30" s="6" t="n">
        <v>37356</v>
      </c>
      <c r="G30" s="6" t="n">
        <v>28260</v>
      </c>
      <c r="H30" s="6" t="n">
        <v>4047</v>
      </c>
      <c r="I30" s="6" t="n">
        <v>14560</v>
      </c>
      <c r="J30" s="6" t="n">
        <v>24501</v>
      </c>
      <c r="K30" s="6" t="n">
        <v>24655</v>
      </c>
      <c r="L30" s="6" t="n">
        <v>5945</v>
      </c>
      <c r="M30" s="6" t="n"/>
      <c r="N30" s="6" t="n"/>
      <c r="O30" s="6" t="n"/>
      <c r="P30" s="6" t="n"/>
      <c r="Q30" s="6" t="n"/>
      <c r="R30" s="6" t="n"/>
    </row>
    <row r="31">
      <c r="A31" s="6" t="inlineStr">
        <is>
          <t>Deferred tax liabilities</t>
        </is>
      </c>
      <c r="B31" s="6" t="n">
        <v>1079</v>
      </c>
      <c r="C31" s="6" t="n">
        <v>0</v>
      </c>
      <c r="D31" s="6" t="n"/>
      <c r="E31" s="6" t="n"/>
      <c r="F31" s="6" t="n"/>
      <c r="G31" s="6" t="n"/>
      <c r="H31" s="6" t="n"/>
      <c r="I31" s="6" t="n"/>
      <c r="J31" s="6" t="n"/>
      <c r="K31" s="6" t="n">
        <v>0</v>
      </c>
      <c r="L31" s="6" t="n">
        <v>3567</v>
      </c>
      <c r="M31" s="6" t="n"/>
      <c r="N31" s="6" t="n"/>
      <c r="O31" s="6" t="n"/>
      <c r="P31" s="6" t="n"/>
      <c r="Q31" s="6" t="n"/>
      <c r="R31" s="6" t="n"/>
    </row>
    <row r="32">
      <c r="A32" s="6" t="inlineStr">
        <is>
          <t>Retirement benefit liability</t>
        </is>
      </c>
      <c r="B32" s="6" t="n">
        <v>394</v>
      </c>
      <c r="C32" s="6" t="n">
        <v>424</v>
      </c>
      <c r="D32" s="6" t="n">
        <v>126</v>
      </c>
      <c r="E32" s="6" t="n">
        <v>111</v>
      </c>
      <c r="F32" s="6" t="n">
        <v>287</v>
      </c>
      <c r="G32" s="6" t="n">
        <v>244</v>
      </c>
      <c r="H32" s="6" t="n">
        <v>557</v>
      </c>
      <c r="I32" s="6" t="n">
        <v>429</v>
      </c>
      <c r="J32" s="6" t="n">
        <v>685</v>
      </c>
      <c r="K32" s="6" t="n">
        <v>513</v>
      </c>
      <c r="L32" s="6" t="n">
        <v>433</v>
      </c>
      <c r="M32" s="6" t="n">
        <v>522</v>
      </c>
      <c r="N32" s="6" t="n">
        <v>474</v>
      </c>
      <c r="O32" s="6" t="n">
        <v>623</v>
      </c>
      <c r="P32" s="6" t="n">
        <v>1970</v>
      </c>
      <c r="Q32" s="6" t="n">
        <v>1895</v>
      </c>
      <c r="R32" s="6" t="n">
        <v>2383</v>
      </c>
    </row>
    <row r="33">
      <c r="A33" s="6" t="inlineStr">
        <is>
          <t>Provisions for liabilities and charges</t>
        </is>
      </c>
      <c r="B33" s="6" t="n">
        <v>178</v>
      </c>
      <c r="C33" s="6" t="n">
        <v>179</v>
      </c>
      <c r="D33" s="6" t="n">
        <v>193</v>
      </c>
      <c r="E33" s="6" t="n">
        <v>203</v>
      </c>
      <c r="F33" s="6" t="n">
        <v>183</v>
      </c>
      <c r="G33" s="6" t="n">
        <v>236</v>
      </c>
      <c r="H33" s="6" t="n">
        <v>376</v>
      </c>
      <c r="I33" s="6" t="n">
        <v>158</v>
      </c>
      <c r="J33" s="6" t="n"/>
      <c r="K33" s="6" t="n"/>
      <c r="L33" s="6" t="n"/>
      <c r="M33" s="6" t="n">
        <v>0</v>
      </c>
      <c r="N33" s="6" t="n">
        <v>9150</v>
      </c>
      <c r="O33" s="6" t="n">
        <v>0</v>
      </c>
      <c r="P33" s="6" t="n">
        <v>0</v>
      </c>
      <c r="Q33" s="6" t="n">
        <v>891</v>
      </c>
      <c r="R33" s="6" t="n">
        <v>923</v>
      </c>
    </row>
    <row r="34">
      <c r="A34" s="6" t="inlineStr">
        <is>
          <t>Subordinated debt</t>
        </is>
      </c>
      <c r="B34" s="6" t="n">
        <v>258220</v>
      </c>
      <c r="C34" s="6" t="n">
        <v>408727</v>
      </c>
      <c r="D34" s="6" t="n">
        <v>409506</v>
      </c>
      <c r="E34" s="6" t="n">
        <v>401644</v>
      </c>
      <c r="F34" s="6" t="n">
        <v>250000</v>
      </c>
      <c r="G34" s="6" t="n">
        <v>250000</v>
      </c>
      <c r="H34" s="6" t="n">
        <v>250000</v>
      </c>
      <c r="I34" s="6" t="n">
        <v>250000</v>
      </c>
      <c r="J34" s="6" t="n">
        <v>250000</v>
      </c>
      <c r="K34" s="6" t="n">
        <v>250000</v>
      </c>
      <c r="L34" s="6" t="n">
        <v>250000</v>
      </c>
      <c r="M34" s="6" t="n">
        <v>250000</v>
      </c>
      <c r="N34" s="6" t="n">
        <v>250000</v>
      </c>
      <c r="O34" s="6" t="n">
        <v>250000</v>
      </c>
      <c r="P34" s="6" t="n">
        <v>250000</v>
      </c>
      <c r="Q34" s="6" t="n">
        <v>250000</v>
      </c>
      <c r="R34" s="6" t="n">
        <v>250000</v>
      </c>
    </row>
    <row r="35">
      <c r="A35" s="5" t="inlineStr">
        <is>
          <t>Total liabilities</t>
        </is>
      </c>
      <c r="B35" s="5" t="n">
        <v>3726800</v>
      </c>
      <c r="C35" s="5" t="n">
        <v>5132597</v>
      </c>
      <c r="D35" s="5" t="n">
        <v>4995198</v>
      </c>
      <c r="E35" s="5" t="n">
        <v>6925210</v>
      </c>
      <c r="F35" s="5" t="n">
        <v>4344334</v>
      </c>
      <c r="G35" s="5" t="n">
        <v>5378844</v>
      </c>
      <c r="H35" s="5" t="n">
        <v>4784287</v>
      </c>
      <c r="I35" s="5" t="n">
        <v>4504512</v>
      </c>
      <c r="J35" s="5" t="n">
        <v>4666674</v>
      </c>
      <c r="K35" s="5" t="n">
        <v>5142857</v>
      </c>
      <c r="L35" s="5" t="n">
        <v>4143317</v>
      </c>
      <c r="M35" s="5" t="n">
        <v>4439629</v>
      </c>
      <c r="N35" s="5" t="n">
        <v>6307368</v>
      </c>
      <c r="O35" s="5" t="n">
        <v>5659024</v>
      </c>
      <c r="P35" s="5" t="n">
        <v>6081554</v>
      </c>
      <c r="Q35" s="5" t="n">
        <v>7330469</v>
      </c>
      <c r="R35" s="5" t="n">
        <v>5173901</v>
      </c>
    </row>
    <row r="36">
      <c r="A36" s="5" t="inlineStr">
        <is>
          <t>Equity</t>
        </is>
      </c>
      <c r="B36" s="6" t="n"/>
      <c r="C36" s="6" t="n"/>
      <c r="D36" s="6" t="n"/>
      <c r="E36" s="6" t="n"/>
      <c r="F36" s="6" t="n"/>
      <c r="G36" s="6" t="n"/>
      <c r="H36" s="6" t="n"/>
      <c r="I36" s="6" t="n"/>
      <c r="J36" s="6" t="n"/>
      <c r="K36" s="6" t="n"/>
      <c r="L36" s="6" t="n"/>
      <c r="M36" s="6" t="n"/>
      <c r="N36" s="6" t="n"/>
      <c r="O36" s="6" t="n"/>
      <c r="P36" s="6" t="n"/>
      <c r="Q36" s="6" t="n"/>
      <c r="R36" s="6" t="n"/>
    </row>
    <row r="37">
      <c r="A37" s="6" t="inlineStr">
        <is>
          <t>Called up share capital</t>
        </is>
      </c>
      <c r="B37" s="6" t="n">
        <v>340000</v>
      </c>
      <c r="C37" s="6" t="n">
        <v>340000</v>
      </c>
      <c r="D37" s="6" t="n">
        <v>340000</v>
      </c>
      <c r="E37" s="6" t="n">
        <v>340000</v>
      </c>
      <c r="F37" s="6" t="n">
        <v>340000</v>
      </c>
      <c r="G37" s="6" t="n">
        <v>340000</v>
      </c>
      <c r="H37" s="6" t="n">
        <v>340000</v>
      </c>
      <c r="I37" s="6" t="n">
        <v>340000</v>
      </c>
      <c r="J37" s="6" t="n">
        <v>340000</v>
      </c>
      <c r="K37" s="6" t="n">
        <v>340000</v>
      </c>
      <c r="L37" s="6" t="n">
        <v>340000</v>
      </c>
      <c r="M37" s="6" t="n">
        <v>340000</v>
      </c>
      <c r="N37" s="6" t="n">
        <v>340000</v>
      </c>
      <c r="O37" s="6" t="n">
        <v>790000</v>
      </c>
      <c r="P37" s="6" t="n">
        <v>790000</v>
      </c>
      <c r="Q37" s="6" t="n">
        <v>790000</v>
      </c>
      <c r="R37" s="6" t="n">
        <v>790000</v>
      </c>
    </row>
    <row r="38">
      <c r="A38" s="6" t="inlineStr">
        <is>
          <t>Capital contribution reserve</t>
        </is>
      </c>
      <c r="B38" s="6" t="n">
        <v>89654</v>
      </c>
      <c r="C38" s="6" t="n">
        <v>89654</v>
      </c>
      <c r="D38" s="6" t="n">
        <v>89654</v>
      </c>
      <c r="E38" s="6" t="n">
        <v>89654</v>
      </c>
      <c r="F38" s="6" t="n">
        <v>89654</v>
      </c>
      <c r="G38" s="6" t="n">
        <v>89654</v>
      </c>
      <c r="H38" s="6" t="n">
        <v>89654</v>
      </c>
      <c r="I38" s="6" t="n">
        <v>89654</v>
      </c>
      <c r="J38" s="6" t="n">
        <v>89654</v>
      </c>
      <c r="K38" s="6" t="n">
        <v>89654</v>
      </c>
      <c r="L38" s="6" t="n">
        <v>89654</v>
      </c>
      <c r="M38" s="6" t="n">
        <v>89654</v>
      </c>
      <c r="N38" s="6" t="n">
        <v>89654</v>
      </c>
      <c r="O38" s="6" t="n">
        <v>89654</v>
      </c>
      <c r="P38" s="6" t="n">
        <v>89654</v>
      </c>
      <c r="Q38" s="6" t="n">
        <v>89654</v>
      </c>
      <c r="R38" s="6" t="n">
        <v>89654</v>
      </c>
    </row>
    <row r="39">
      <c r="A39" s="6" t="inlineStr">
        <is>
          <t>Foreign currency revaluation reserve</t>
        </is>
      </c>
      <c r="B39" s="6" t="n">
        <v>35165</v>
      </c>
      <c r="C39" s="6" t="n">
        <v>35368</v>
      </c>
      <c r="D39" s="6" t="n">
        <v>36668</v>
      </c>
      <c r="E39" s="6" t="n">
        <v>37201</v>
      </c>
      <c r="F39" s="6" t="n">
        <v>37213</v>
      </c>
      <c r="G39" s="6" t="n">
        <v>37546</v>
      </c>
      <c r="H39" s="6" t="n">
        <v>36629</v>
      </c>
      <c r="I39" s="6" t="n">
        <v>35801</v>
      </c>
      <c r="J39" s="6" t="n">
        <v>43119</v>
      </c>
      <c r="K39" s="6" t="n">
        <v>37348</v>
      </c>
      <c r="L39" s="6" t="n">
        <v>13889</v>
      </c>
      <c r="M39" s="6" t="n">
        <v>16168</v>
      </c>
      <c r="N39" s="6" t="n">
        <v>14366</v>
      </c>
      <c r="O39" s="6" t="n">
        <v>13172</v>
      </c>
      <c r="P39" s="6" t="n">
        <v>8904</v>
      </c>
      <c r="Q39" s="6" t="n">
        <v>10228</v>
      </c>
      <c r="R39" s="6" t="n">
        <v>4615</v>
      </c>
    </row>
    <row r="40">
      <c r="A40" s="6" t="inlineStr">
        <is>
          <t>Pension reserve (FY2009 only - folded into Profit and loss account from FY2010 onward, see sourcing note)</t>
        </is>
      </c>
      <c r="B40" s="6" t="n"/>
      <c r="C40" s="6" t="n"/>
      <c r="D40" s="6" t="n"/>
      <c r="E40" s="6" t="n"/>
      <c r="F40" s="6" t="n"/>
      <c r="G40" s="6" t="n"/>
      <c r="H40" s="6" t="n"/>
      <c r="I40" s="6" t="n"/>
      <c r="J40" s="6" t="n"/>
      <c r="K40" s="6" t="n"/>
      <c r="L40" s="6" t="n"/>
      <c r="M40" s="6" t="n"/>
      <c r="N40" s="6" t="n"/>
      <c r="O40" s="6" t="n"/>
      <c r="P40" s="6" t="n"/>
      <c r="Q40" s="6" t="n"/>
      <c r="R40" s="6" t="n">
        <v>252</v>
      </c>
    </row>
    <row r="41">
      <c r="A41" s="6" t="inlineStr">
        <is>
          <t>Profit and loss account</t>
        </is>
      </c>
      <c r="B41" s="6" t="n">
        <v>283082</v>
      </c>
      <c r="C41" s="6" t="n">
        <v>345463</v>
      </c>
      <c r="D41" s="6" t="n">
        <v>299661</v>
      </c>
      <c r="E41" s="6" t="n">
        <v>299369</v>
      </c>
      <c r="F41" s="6" t="n">
        <v>355116</v>
      </c>
      <c r="G41" s="6" t="n">
        <v>345161</v>
      </c>
      <c r="H41" s="6" t="n">
        <v>246686</v>
      </c>
      <c r="I41" s="6" t="n">
        <v>208738</v>
      </c>
      <c r="J41" s="6" t="n">
        <v>181903</v>
      </c>
      <c r="K41" s="6" t="n">
        <v>132207</v>
      </c>
      <c r="L41" s="6" t="n">
        <v>104236</v>
      </c>
      <c r="M41" s="6" t="n">
        <v>89485</v>
      </c>
      <c r="N41" s="6" t="n">
        <v>56784</v>
      </c>
      <c r="O41" s="6" t="n">
        <v>49631</v>
      </c>
      <c r="P41" s="6" t="n">
        <v>54150</v>
      </c>
      <c r="Q41" s="6" t="n">
        <v>-8137</v>
      </c>
      <c r="R41" s="6" t="n">
        <v>-42615</v>
      </c>
    </row>
    <row r="42">
      <c r="A42" s="5" t="inlineStr">
        <is>
          <t>Equity shareholders' funds</t>
        </is>
      </c>
      <c r="B42" s="5" t="n">
        <v>747901</v>
      </c>
      <c r="C42" s="5" t="n">
        <v>810485</v>
      </c>
      <c r="D42" s="5" t="n">
        <v>765983</v>
      </c>
      <c r="E42" s="5" t="n">
        <v>766224</v>
      </c>
      <c r="F42" s="5" t="n">
        <v>821983</v>
      </c>
      <c r="G42" s="5" t="n">
        <v>812361</v>
      </c>
      <c r="H42" s="5" t="n">
        <v>712969</v>
      </c>
      <c r="I42" s="5" t="n">
        <v>674193</v>
      </c>
      <c r="J42" s="5" t="n">
        <v>654676</v>
      </c>
      <c r="K42" s="5" t="n">
        <v>599209</v>
      </c>
      <c r="L42" s="5" t="n">
        <v>547779</v>
      </c>
      <c r="M42" s="5" t="n">
        <v>535307</v>
      </c>
      <c r="N42" s="5" t="n">
        <v>500804</v>
      </c>
      <c r="O42" s="5" t="n">
        <v>942457</v>
      </c>
      <c r="P42" s="5" t="n">
        <v>942708</v>
      </c>
      <c r="Q42" s="5" t="n">
        <v>881745</v>
      </c>
      <c r="R42" s="5" t="n">
        <v>841906</v>
      </c>
    </row>
    <row r="43">
      <c r="A43" s="5" t="inlineStr">
        <is>
          <t>Total liabilities and equity</t>
        </is>
      </c>
      <c r="B43" s="5" t="n">
        <v>4474701</v>
      </c>
      <c r="C43" s="5" t="n">
        <v>5943082</v>
      </c>
      <c r="D43" s="5" t="n">
        <v>5761181</v>
      </c>
      <c r="E43" s="5" t="n">
        <v>7691434</v>
      </c>
      <c r="F43" s="5" t="n">
        <v>5166317</v>
      </c>
      <c r="G43" s="5" t="n">
        <v>6191205</v>
      </c>
      <c r="H43" s="5" t="n">
        <v>5497256</v>
      </c>
      <c r="I43" s="5" t="n">
        <v>5178705</v>
      </c>
      <c r="J43" s="5" t="n">
        <v>5321350</v>
      </c>
      <c r="K43" s="5" t="n">
        <v>5742066</v>
      </c>
      <c r="L43" s="5" t="n">
        <v>4691096</v>
      </c>
      <c r="M43" s="5" t="n">
        <v>4974936</v>
      </c>
      <c r="N43" s="5" t="n">
        <v>6808172</v>
      </c>
      <c r="O43" s="5" t="n">
        <v>6601481</v>
      </c>
      <c r="P43" s="5" t="n">
        <v>7024262</v>
      </c>
      <c r="Q43" s="5" t="n">
        <v>8212214</v>
      </c>
      <c r="R43" s="5" t="n">
        <v>6015807</v>
      </c>
    </row>
    <row r="45" ht="260" customHeight="1">
      <c r="A45"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45:R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Profit &amp; Loss</t>
        </is>
      </c>
    </row>
    <row r="2">
      <c r="A2" s="2" t="inlineStr">
        <is>
          <t>Standalone Company basis (FRS 101). £'000. FY2022's 'Gain on disposal of subsidiary' (£93,978k) is the disposal of the subsidiary undertaking held on the FY2021 Balance Sheet. FY2021/FY2022 disclose a 'Net reversal of impairment loss on financial instruments' line not shown FY2023-FY2025 (genuinely £nil/not disclosed those years, not omitted).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receivable and similar income</t>
        </is>
      </c>
      <c r="B5" s="6" t="n">
        <v>111211</v>
      </c>
      <c r="C5" s="6" t="n">
        <v>150183</v>
      </c>
      <c r="D5" s="6" t="n">
        <v>176532</v>
      </c>
      <c r="E5" s="6" t="n">
        <v>67078</v>
      </c>
      <c r="F5" s="6" t="n">
        <v>17558</v>
      </c>
      <c r="G5" s="6" t="n">
        <v>47242</v>
      </c>
      <c r="H5" s="6" t="n">
        <v>46585</v>
      </c>
      <c r="I5" s="6" t="n">
        <v>34101</v>
      </c>
      <c r="J5" s="6" t="n">
        <v>33340</v>
      </c>
      <c r="K5" s="6" t="n">
        <v>28414</v>
      </c>
      <c r="L5" s="6" t="n">
        <v>42958</v>
      </c>
      <c r="M5" s="6" t="n">
        <v>42225</v>
      </c>
      <c r="N5" s="6" t="n">
        <v>46892</v>
      </c>
      <c r="O5" s="6" t="n">
        <v>87747</v>
      </c>
      <c r="P5" s="6" t="n">
        <v>149909</v>
      </c>
      <c r="Q5" s="6" t="n">
        <v>155163</v>
      </c>
      <c r="R5" s="6" t="n">
        <v>174453</v>
      </c>
    </row>
    <row r="6">
      <c r="A6" s="6" t="inlineStr">
        <is>
          <t>Interest payable and similar charges</t>
        </is>
      </c>
      <c r="B6" s="6" t="n">
        <v>-67596</v>
      </c>
      <c r="C6" s="6" t="n">
        <v>-93121</v>
      </c>
      <c r="D6" s="6" t="n">
        <v>-124244</v>
      </c>
      <c r="E6" s="6" t="n">
        <v>-46738</v>
      </c>
      <c r="F6" s="6" t="n">
        <v>-2930</v>
      </c>
      <c r="G6" s="6" t="n">
        <v>-14088</v>
      </c>
      <c r="H6" s="6" t="n">
        <v>-34627</v>
      </c>
      <c r="I6" s="6" t="n">
        <v>-33005</v>
      </c>
      <c r="J6" s="6" t="n">
        <v>-19856</v>
      </c>
      <c r="K6" s="6" t="n">
        <v>-22865</v>
      </c>
      <c r="L6" s="6" t="n">
        <v>-23802</v>
      </c>
      <c r="M6" s="6" t="n">
        <v>-28141</v>
      </c>
      <c r="N6" s="6" t="n">
        <v>-23086</v>
      </c>
      <c r="O6" s="6" t="n">
        <v>-73353</v>
      </c>
      <c r="P6" s="6" t="n">
        <v>-97833</v>
      </c>
      <c r="Q6" s="6" t="n">
        <v>-84753</v>
      </c>
      <c r="R6" s="6" t="n">
        <v>-93442</v>
      </c>
    </row>
    <row r="7">
      <c r="A7" s="5" t="inlineStr">
        <is>
          <t>Net interest income</t>
        </is>
      </c>
      <c r="B7" s="5" t="n">
        <v>43615</v>
      </c>
      <c r="C7" s="5" t="n">
        <v>57062</v>
      </c>
      <c r="D7" s="5" t="n">
        <v>52288</v>
      </c>
      <c r="E7" s="5" t="n">
        <v>20340</v>
      </c>
      <c r="F7" s="5" t="n">
        <v>14628</v>
      </c>
      <c r="G7" s="5" t="n">
        <v>33154</v>
      </c>
      <c r="H7" s="5" t="n">
        <v>11958</v>
      </c>
      <c r="I7" s="5" t="n">
        <v>1096</v>
      </c>
      <c r="J7" s="5" t="n">
        <v>13484</v>
      </c>
      <c r="K7" s="5" t="n">
        <v>5549</v>
      </c>
      <c r="L7" s="5" t="n">
        <v>19156</v>
      </c>
      <c r="M7" s="5" t="n">
        <v>14084</v>
      </c>
      <c r="N7" s="5" t="n">
        <v>23806</v>
      </c>
      <c r="O7" s="5" t="n">
        <v>14394</v>
      </c>
      <c r="P7" s="5" t="n">
        <v>52076</v>
      </c>
      <c r="Q7" s="5" t="n">
        <v>70410</v>
      </c>
      <c r="R7" s="5" t="n">
        <v>81011</v>
      </c>
    </row>
    <row r="8">
      <c r="A8" s="6" t="inlineStr">
        <is>
          <t>Fee and commission income</t>
        </is>
      </c>
      <c r="B8" s="6" t="n">
        <v>9777</v>
      </c>
      <c r="C8" s="6" t="n">
        <v>10790</v>
      </c>
      <c r="D8" s="6" t="n">
        <v>9348</v>
      </c>
      <c r="E8" s="6" t="n">
        <v>2326</v>
      </c>
      <c r="F8" s="6" t="n">
        <v>21255</v>
      </c>
      <c r="G8" s="6" t="n">
        <v>85890</v>
      </c>
      <c r="H8" s="6" t="n">
        <v>69862</v>
      </c>
      <c r="I8" s="6" t="n">
        <v>81612</v>
      </c>
      <c r="J8" s="6" t="n">
        <v>77076</v>
      </c>
      <c r="K8" s="6" t="n">
        <v>65328</v>
      </c>
      <c r="L8" s="6" t="n">
        <v>59469</v>
      </c>
      <c r="M8" s="6" t="n">
        <v>73950</v>
      </c>
      <c r="N8" s="6" t="n">
        <v>89400</v>
      </c>
      <c r="O8" s="6" t="n">
        <v>97048</v>
      </c>
      <c r="P8" s="6" t="n">
        <v>124883</v>
      </c>
      <c r="Q8" s="6" t="n">
        <v>84491</v>
      </c>
      <c r="R8" s="6" t="n">
        <v>79946</v>
      </c>
    </row>
    <row r="9">
      <c r="A9" s="6" t="inlineStr">
        <is>
          <t>Fee and commission expense</t>
        </is>
      </c>
      <c r="B9" s="6" t="n">
        <v>-5676</v>
      </c>
      <c r="C9" s="6" t="n">
        <v>-6506</v>
      </c>
      <c r="D9" s="6" t="n">
        <v>-16211</v>
      </c>
      <c r="E9" s="6" t="n">
        <v>-14348</v>
      </c>
      <c r="F9" s="6" t="n">
        <v>-12916</v>
      </c>
      <c r="G9" s="6" t="n">
        <v>-9760</v>
      </c>
      <c r="H9" s="6" t="n">
        <v>-10179</v>
      </c>
      <c r="I9" s="6" t="n">
        <v>-8658</v>
      </c>
      <c r="J9" s="6" t="n">
        <v>-3149</v>
      </c>
      <c r="K9" s="6" t="n">
        <v>-7299</v>
      </c>
      <c r="L9" s="6" t="n">
        <v>-12727</v>
      </c>
      <c r="M9" s="6" t="n">
        <v>-17742</v>
      </c>
      <c r="N9" s="6" t="n">
        <v>-6979</v>
      </c>
      <c r="O9" s="6" t="n">
        <v>-7200</v>
      </c>
      <c r="P9" s="6" t="n">
        <v>-9511</v>
      </c>
      <c r="Q9" s="6" t="n">
        <v>-7676</v>
      </c>
      <c r="R9" s="6" t="n">
        <v>-2304</v>
      </c>
    </row>
    <row r="10">
      <c r="A10" s="6" t="inlineStr">
        <is>
          <t>Net gain from financial instruments at fair value through profit or loss</t>
        </is>
      </c>
      <c r="B10" s="6" t="n">
        <v>23982</v>
      </c>
      <c r="C10" s="6" t="n">
        <v>30718</v>
      </c>
      <c r="D10" s="6" t="n">
        <v>21129</v>
      </c>
      <c r="E10" s="6" t="n">
        <v>36542</v>
      </c>
      <c r="F10" s="6" t="n">
        <v>42393</v>
      </c>
      <c r="G10" s="6" t="n"/>
      <c r="H10" s="6" t="n"/>
      <c r="I10" s="6" t="n"/>
      <c r="J10" s="6" t="n"/>
      <c r="K10" s="6" t="n"/>
      <c r="L10" s="6" t="n"/>
      <c r="M10" s="6" t="n"/>
      <c r="N10" s="6" t="n"/>
      <c r="O10" s="6" t="n"/>
      <c r="P10" s="6" t="n"/>
      <c r="Q10" s="6" t="n"/>
      <c r="R10" s="6" t="n"/>
    </row>
    <row r="11">
      <c r="A11" s="6" t="inlineStr">
        <is>
          <t>Net trading income / net gains on financial instruments classified as held for trading</t>
        </is>
      </c>
      <c r="B11" s="6" t="n"/>
      <c r="C11" s="6" t="n"/>
      <c r="D11" s="6" t="n"/>
      <c r="E11" s="6" t="n"/>
      <c r="F11" s="6" t="n"/>
      <c r="G11" s="6" t="n">
        <v>98050</v>
      </c>
      <c r="H11" s="6" t="n">
        <v>56209</v>
      </c>
      <c r="I11" s="6" t="n">
        <v>46548</v>
      </c>
      <c r="J11" s="6" t="n">
        <v>44951</v>
      </c>
      <c r="K11" s="6" t="n">
        <v>20426</v>
      </c>
      <c r="L11" s="6" t="n">
        <v>29719</v>
      </c>
      <c r="M11" s="6" t="n">
        <v>26609</v>
      </c>
      <c r="N11" s="6" t="n">
        <v>27093</v>
      </c>
      <c r="O11" s="6" t="n">
        <v>1472</v>
      </c>
      <c r="P11" s="6" t="n">
        <v>-20927</v>
      </c>
      <c r="Q11" s="6" t="n">
        <v>-18066</v>
      </c>
      <c r="R11" s="6" t="n">
        <v>39620</v>
      </c>
    </row>
    <row r="12">
      <c r="A12" s="6" t="inlineStr">
        <is>
          <t>Net (loss)/income from other financial instruments held at fair value</t>
        </is>
      </c>
      <c r="B12" s="6" t="n"/>
      <c r="C12" s="6" t="n"/>
      <c r="D12" s="6" t="n"/>
      <c r="E12" s="6" t="n"/>
      <c r="F12" s="6" t="n"/>
      <c r="G12" s="6" t="n">
        <v>-6193</v>
      </c>
      <c r="H12" s="6" t="n">
        <v>432</v>
      </c>
      <c r="I12" s="6" t="n">
        <v>-1049</v>
      </c>
      <c r="J12" s="6" t="n"/>
      <c r="K12" s="6" t="n"/>
      <c r="L12" s="6" t="n"/>
      <c r="M12" s="6" t="n"/>
      <c r="N12" s="6" t="n"/>
      <c r="O12" s="6" t="n"/>
      <c r="P12" s="6" t="n"/>
      <c r="Q12" s="6" t="n"/>
      <c r="R12" s="6" t="n"/>
    </row>
    <row r="13">
      <c r="A13" s="6" t="inlineStr">
        <is>
          <t>Net gains/(losses) on financial instruments designated at fair value through profit or loss (FY2009-FY2013 label)</t>
        </is>
      </c>
      <c r="B13" s="6" t="n"/>
      <c r="C13" s="6" t="n"/>
      <c r="D13" s="6" t="n"/>
      <c r="E13" s="6" t="n"/>
      <c r="F13" s="6" t="n"/>
      <c r="G13" s="6" t="n"/>
      <c r="H13" s="6" t="n"/>
      <c r="I13" s="6" t="n"/>
      <c r="J13" s="6" t="n"/>
      <c r="K13" s="6" t="n"/>
      <c r="L13" s="6" t="n"/>
      <c r="M13" s="6" t="n"/>
      <c r="N13" s="6" t="n">
        <v>392</v>
      </c>
      <c r="O13" s="6" t="n">
        <v>1121</v>
      </c>
      <c r="P13" s="6" t="n">
        <v>1328</v>
      </c>
      <c r="Q13" s="6" t="n">
        <v>0</v>
      </c>
      <c r="R13" s="6" t="n">
        <v>0</v>
      </c>
    </row>
    <row r="14">
      <c r="A14" s="6" t="inlineStr">
        <is>
          <t>Net gains/(losses) on loans and receivables (pre-IFRS 9; FY2017 per the Company's own FY2017 report - the FY2018 report's restated FY2017 comparative instead splits this into a -389 derecognition loss and a +1,733 impairment reversal, net identical)</t>
        </is>
      </c>
      <c r="B14" s="6" t="n"/>
      <c r="C14" s="6" t="n"/>
      <c r="D14" s="6" t="n"/>
      <c r="E14" s="6" t="n"/>
      <c r="F14" s="6" t="n"/>
      <c r="G14" s="6" t="n"/>
      <c r="H14" s="6" t="n"/>
      <c r="I14" s="6" t="n"/>
      <c r="J14" s="6" t="n">
        <v>1344</v>
      </c>
      <c r="K14" s="6" t="n">
        <v>563</v>
      </c>
      <c r="L14" s="6" t="n">
        <v>-21812</v>
      </c>
      <c r="M14" s="6" t="n">
        <v>-6678</v>
      </c>
      <c r="N14" s="6" t="n">
        <v>-55839</v>
      </c>
      <c r="O14" s="6" t="n">
        <v>-27963</v>
      </c>
      <c r="P14" s="6" t="n">
        <v>9792</v>
      </c>
      <c r="Q14" s="6" t="n">
        <v>15851</v>
      </c>
      <c r="R14" s="6" t="n">
        <v>-95460</v>
      </c>
    </row>
    <row r="15">
      <c r="A15" s="6" t="inlineStr">
        <is>
          <t>Net reversal of impairment loss on financial instruments</t>
        </is>
      </c>
      <c r="B15" s="6" t="n"/>
      <c r="C15" s="6" t="n"/>
      <c r="D15" s="6" t="n"/>
      <c r="E15" s="6" t="n">
        <v>0</v>
      </c>
      <c r="F15" s="6" t="n">
        <v>416</v>
      </c>
      <c r="G15" s="6" t="n">
        <v>-406</v>
      </c>
      <c r="H15" s="6" t="n">
        <v>20</v>
      </c>
      <c r="I15" s="6" t="n">
        <v>160</v>
      </c>
      <c r="J15" s="6" t="n"/>
      <c r="K15" s="6" t="n"/>
      <c r="L15" s="6" t="n"/>
      <c r="M15" s="6" t="n"/>
      <c r="N15" s="6" t="n"/>
      <c r="O15" s="6" t="n"/>
      <c r="P15" s="6" t="n"/>
      <c r="Q15" s="6" t="n"/>
      <c r="R15" s="6" t="n"/>
    </row>
    <row r="16">
      <c r="A16" s="6" t="inlineStr">
        <is>
          <t>Gain on disposal of subsidiary</t>
        </is>
      </c>
      <c r="B16" s="6" t="n"/>
      <c r="C16" s="6" t="n"/>
      <c r="D16" s="6" t="n"/>
      <c r="E16" s="6" t="n">
        <v>93978</v>
      </c>
      <c r="F16" s="6" t="n"/>
      <c r="G16" s="6" t="n"/>
      <c r="H16" s="6" t="n"/>
      <c r="I16" s="6" t="n"/>
      <c r="J16" s="6" t="n"/>
      <c r="K16" s="6" t="n"/>
      <c r="L16" s="6" t="n"/>
      <c r="M16" s="6" t="n"/>
      <c r="N16" s="6" t="n"/>
      <c r="O16" s="6" t="n"/>
      <c r="P16" s="6" t="n"/>
      <c r="Q16" s="6" t="n"/>
      <c r="R16" s="6" t="n"/>
    </row>
    <row r="17">
      <c r="A17" s="6" t="inlineStr">
        <is>
          <t>Other operating income (FY2009-FY2013)</t>
        </is>
      </c>
      <c r="B17" s="6" t="n"/>
      <c r="C17" s="6" t="n"/>
      <c r="D17" s="6" t="n"/>
      <c r="E17" s="6" t="n"/>
      <c r="F17" s="6" t="n"/>
      <c r="G17" s="6" t="n"/>
      <c r="H17" s="6" t="n"/>
      <c r="I17" s="6" t="n"/>
      <c r="J17" s="6" t="n"/>
      <c r="K17" s="6" t="n"/>
      <c r="L17" s="6" t="n"/>
      <c r="M17" s="6" t="n"/>
      <c r="N17" s="6" t="n">
        <v>78</v>
      </c>
      <c r="O17" s="6" t="n">
        <v>198</v>
      </c>
      <c r="P17" s="6" t="n">
        <v>0</v>
      </c>
      <c r="Q17" s="6" t="n">
        <v>2</v>
      </c>
      <c r="R17" s="6" t="n">
        <v>19</v>
      </c>
    </row>
    <row r="18">
      <c r="A18" s="6" t="inlineStr">
        <is>
          <t>Gain on disposal of discontinued operations</t>
        </is>
      </c>
      <c r="B18" s="6" t="n"/>
      <c r="C18" s="6" t="n"/>
      <c r="D18" s="6" t="n"/>
      <c r="E18" s="6" t="n"/>
      <c r="F18" s="6" t="n"/>
      <c r="G18" s="6" t="n"/>
      <c r="H18" s="6" t="n"/>
      <c r="I18" s="6" t="n"/>
      <c r="J18" s="6" t="n"/>
      <c r="K18" s="6" t="n"/>
      <c r="L18" s="6" t="n"/>
      <c r="M18" s="6" t="n">
        <v>665</v>
      </c>
      <c r="N18" s="6" t="n">
        <v>1692</v>
      </c>
      <c r="O18" s="6" t="n"/>
      <c r="P18" s="6" t="n"/>
      <c r="Q18" s="6" t="n"/>
      <c r="R18" s="6" t="n"/>
    </row>
    <row r="19">
      <c r="A19" s="6" t="inlineStr">
        <is>
          <t>Administrative expenses</t>
        </is>
      </c>
      <c r="B19" s="6" t="n">
        <v>-21070</v>
      </c>
      <c r="C19" s="6" t="n">
        <v>-27722</v>
      </c>
      <c r="D19" s="6" t="n">
        <v>-34895</v>
      </c>
      <c r="E19" s="6" t="n">
        <v>-32647</v>
      </c>
      <c r="F19" s="6" t="n">
        <v>-48725</v>
      </c>
      <c r="G19" s="6" t="n">
        <v>-76126</v>
      </c>
      <c r="H19" s="6" t="n">
        <v>-81870</v>
      </c>
      <c r="I19" s="6" t="n">
        <v>-82152</v>
      </c>
      <c r="J19" s="6" t="n">
        <v>-75348</v>
      </c>
      <c r="K19" s="6" t="n">
        <v>-41791</v>
      </c>
      <c r="L19" s="6" t="n">
        <v>-44792</v>
      </c>
      <c r="M19" s="6" t="n">
        <v>-57487</v>
      </c>
      <c r="N19" s="6" t="n">
        <v>-66190</v>
      </c>
      <c r="O19" s="6" t="n">
        <v>-73750</v>
      </c>
      <c r="P19" s="6" t="n">
        <v>-74975</v>
      </c>
      <c r="Q19" s="6" t="n">
        <v>-79017</v>
      </c>
      <c r="R19" s="6" t="n">
        <v>-85141</v>
      </c>
    </row>
    <row r="20">
      <c r="A20" s="6" t="inlineStr">
        <is>
          <t>Depreciation of tangible fixed assets</t>
        </is>
      </c>
      <c r="B20" s="6" t="n">
        <v>-239</v>
      </c>
      <c r="C20" s="6" t="n">
        <v>-229</v>
      </c>
      <c r="D20" s="6" t="n">
        <v>-267</v>
      </c>
      <c r="E20" s="6" t="n">
        <v>-270</v>
      </c>
      <c r="F20" s="6" t="n">
        <v>-215</v>
      </c>
      <c r="G20" s="6" t="n">
        <v>-1058</v>
      </c>
      <c r="H20" s="6" t="n">
        <v>-1310</v>
      </c>
      <c r="I20" s="6" t="n">
        <v>-482</v>
      </c>
      <c r="J20" s="6" t="n">
        <v>-418</v>
      </c>
      <c r="K20" s="6" t="n">
        <v>-362</v>
      </c>
      <c r="L20" s="6" t="n">
        <v>-236</v>
      </c>
      <c r="M20" s="6" t="n">
        <v>-180</v>
      </c>
      <c r="N20" s="6" t="n">
        <v>-421</v>
      </c>
      <c r="O20" s="6" t="n">
        <v>-646</v>
      </c>
      <c r="P20" s="6" t="n">
        <v>-699</v>
      </c>
      <c r="Q20" s="6" t="n">
        <v>-830</v>
      </c>
      <c r="R20" s="6" t="n">
        <v>-988</v>
      </c>
    </row>
    <row r="21">
      <c r="A21" s="5" t="inlineStr">
        <is>
          <t>Profit before tax</t>
        </is>
      </c>
      <c r="B21" s="5" t="n">
        <v>50389</v>
      </c>
      <c r="C21" s="5" t="n">
        <v>64113</v>
      </c>
      <c r="D21" s="5" t="n">
        <v>31392</v>
      </c>
      <c r="E21" s="5" t="n">
        <v>105921</v>
      </c>
      <c r="F21" s="5" t="n">
        <v>16836</v>
      </c>
      <c r="G21" s="5" t="n">
        <v>123551</v>
      </c>
      <c r="H21" s="5" t="n">
        <v>45122</v>
      </c>
      <c r="I21" s="5" t="n">
        <v>37075</v>
      </c>
      <c r="J21" s="5" t="n">
        <v>57940</v>
      </c>
      <c r="K21" s="5" t="n">
        <v>42414</v>
      </c>
      <c r="L21" s="5" t="n">
        <v>28777</v>
      </c>
      <c r="M21" s="5" t="n">
        <v>33221</v>
      </c>
      <c r="N21" s="5" t="n">
        <v>13032</v>
      </c>
      <c r="O21" s="5" t="n">
        <v>4674</v>
      </c>
      <c r="P21" s="5" t="n">
        <v>81967</v>
      </c>
      <c r="Q21" s="5" t="n">
        <v>65165</v>
      </c>
      <c r="R21" s="5" t="n">
        <v>16703</v>
      </c>
    </row>
    <row r="22">
      <c r="A22" s="6" t="inlineStr">
        <is>
          <t>Income tax expense</t>
        </is>
      </c>
      <c r="B22" s="6" t="n">
        <v>-12810</v>
      </c>
      <c r="C22" s="6" t="n">
        <v>-18332</v>
      </c>
      <c r="D22" s="6" t="n">
        <v>-31078</v>
      </c>
      <c r="E22" s="6" t="n">
        <v>-11768</v>
      </c>
      <c r="F22" s="6" t="n">
        <v>-6959</v>
      </c>
      <c r="G22" s="6" t="n">
        <v>-29121</v>
      </c>
      <c r="H22" s="6" t="n">
        <v>-7000</v>
      </c>
      <c r="I22" s="6" t="n">
        <v>-9382</v>
      </c>
      <c r="J22" s="6" t="n">
        <v>-8235</v>
      </c>
      <c r="K22" s="6" t="n">
        <v>-14426</v>
      </c>
      <c r="L22" s="6" t="n">
        <v>-10643</v>
      </c>
      <c r="M22" s="6" t="n">
        <v>-2455</v>
      </c>
      <c r="N22" s="6" t="n">
        <v>-5877</v>
      </c>
      <c r="O22" s="6" t="n">
        <v>-9017</v>
      </c>
      <c r="P22" s="6" t="n">
        <v>-19568</v>
      </c>
      <c r="Q22" s="6" t="n">
        <v>-29201</v>
      </c>
      <c r="R22" s="6" t="n">
        <v>-29089</v>
      </c>
    </row>
    <row r="23">
      <c r="A23" s="5" t="inlineStr">
        <is>
          <t>Profit for the year</t>
        </is>
      </c>
      <c r="B23" s="5" t="n">
        <v>37579</v>
      </c>
      <c r="C23" s="5" t="n">
        <v>45781</v>
      </c>
      <c r="D23" s="5" t="n">
        <v>314</v>
      </c>
      <c r="E23" s="5" t="n">
        <v>94153</v>
      </c>
      <c r="F23" s="5" t="n">
        <v>9877</v>
      </c>
      <c r="G23" s="5" t="n">
        <v>94430</v>
      </c>
      <c r="H23" s="5" t="n">
        <v>38122</v>
      </c>
      <c r="I23" s="5" t="n">
        <v>27693</v>
      </c>
      <c r="J23" s="5" t="n">
        <v>49705</v>
      </c>
      <c r="K23" s="5" t="n">
        <v>27988</v>
      </c>
      <c r="L23" s="5" t="n">
        <v>18134</v>
      </c>
      <c r="M23" s="5" t="n">
        <v>30766</v>
      </c>
      <c r="N23" s="5" t="n">
        <v>7155</v>
      </c>
      <c r="O23" s="5" t="n">
        <v>-4343</v>
      </c>
      <c r="P23" s="5" t="n">
        <v>62399</v>
      </c>
      <c r="Q23" s="5" t="n">
        <v>35964</v>
      </c>
      <c r="R23" s="5" t="n">
        <v>-12386</v>
      </c>
    </row>
    <row r="24">
      <c r="A24" s="5" t="inlineStr">
        <is>
          <t>Other comprehensive income/(loss), net of tax</t>
        </is>
      </c>
      <c r="B24" s="6" t="n"/>
      <c r="C24" s="6" t="n"/>
      <c r="D24" s="6" t="n"/>
      <c r="E24" s="6" t="n"/>
      <c r="F24" s="6" t="n"/>
      <c r="G24" s="6" t="n"/>
      <c r="H24" s="6" t="n"/>
      <c r="I24" s="6" t="n"/>
      <c r="J24" s="6" t="n"/>
      <c r="K24" s="6" t="n"/>
      <c r="L24" s="6" t="n"/>
      <c r="M24" s="6" t="n"/>
      <c r="N24" s="6" t="n"/>
      <c r="O24" s="6" t="n"/>
      <c r="P24" s="6" t="n"/>
      <c r="Q24" s="6" t="n"/>
      <c r="R24" s="6" t="n"/>
    </row>
    <row r="25">
      <c r="A25" s="6" t="inlineStr">
        <is>
          <t>Remeasurement of net defined benefit liability</t>
        </is>
      </c>
      <c r="B25" s="6" t="n">
        <v>40</v>
      </c>
      <c r="C25" s="6" t="n">
        <v>21</v>
      </c>
      <c r="D25" s="6" t="n">
        <v>-22</v>
      </c>
      <c r="E25" s="6" t="n">
        <v>100</v>
      </c>
      <c r="F25" s="6" t="n">
        <v>78</v>
      </c>
      <c r="G25" s="6" t="n">
        <v>-234</v>
      </c>
      <c r="H25" s="6" t="n">
        <v>-174</v>
      </c>
      <c r="I25" s="6" t="n">
        <v>2</v>
      </c>
      <c r="J25" s="6" t="n">
        <v>-9</v>
      </c>
      <c r="K25" s="6" t="n">
        <v>-17</v>
      </c>
      <c r="L25" s="6" t="n">
        <v>195</v>
      </c>
      <c r="M25" s="6" t="n">
        <v>-124</v>
      </c>
      <c r="N25" s="6" t="n">
        <v>6</v>
      </c>
      <c r="O25" s="6" t="n">
        <v>-126</v>
      </c>
      <c r="P25" s="6" t="n">
        <v>48</v>
      </c>
      <c r="Q25" s="6" t="n">
        <v>-109</v>
      </c>
      <c r="R25" s="6" t="n">
        <v>-634</v>
      </c>
    </row>
    <row r="26">
      <c r="A26" s="6" t="inlineStr">
        <is>
          <t>Foreign currency translation differences arising on foreign operations</t>
        </is>
      </c>
      <c r="B26" s="6" t="n">
        <v>-8951</v>
      </c>
      <c r="C26" s="6" t="n">
        <v>-19706</v>
      </c>
      <c r="D26" s="6" t="n">
        <v>-15179</v>
      </c>
      <c r="E26" s="6" t="n">
        <v>10400</v>
      </c>
      <c r="F26" s="6" t="n">
        <v>-14755</v>
      </c>
      <c r="G26" s="6" t="n">
        <v>6114</v>
      </c>
      <c r="H26" s="6" t="n">
        <v>-12707</v>
      </c>
      <c r="I26" s="6" t="n">
        <v>2752</v>
      </c>
      <c r="J26" s="6" t="n">
        <v>5771</v>
      </c>
      <c r="K26" s="6" t="n">
        <v>23459</v>
      </c>
      <c r="L26" s="6" t="n">
        <v>-2279</v>
      </c>
      <c r="M26" s="6" t="n">
        <v>1802</v>
      </c>
      <c r="N26" s="6" t="n">
        <v>1194</v>
      </c>
      <c r="O26" s="6" t="n">
        <v>4268</v>
      </c>
      <c r="P26" s="6" t="n">
        <v>-1324</v>
      </c>
      <c r="Q26" s="6" t="n">
        <v>5613</v>
      </c>
      <c r="R26" s="6" t="n">
        <v>2142</v>
      </c>
    </row>
    <row r="27">
      <c r="A27" s="6" t="inlineStr">
        <is>
          <t>Gain/(loss) arising on hedging instruments designated in net investment hedges</t>
        </is>
      </c>
      <c r="B27" s="6" t="n">
        <v>8748</v>
      </c>
      <c r="C27" s="6" t="n">
        <v>18406</v>
      </c>
      <c r="D27" s="6" t="n">
        <v>14646</v>
      </c>
      <c r="E27" s="6" t="n">
        <v>-10412</v>
      </c>
      <c r="F27" s="6" t="n">
        <v>14422</v>
      </c>
      <c r="G27" s="6" t="n">
        <v>-5197</v>
      </c>
      <c r="H27" s="6" t="n">
        <v>13535</v>
      </c>
      <c r="I27" s="6" t="n">
        <v>-10070</v>
      </c>
      <c r="J27" s="6" t="n"/>
      <c r="K27" s="6" t="n"/>
      <c r="L27" s="6" t="n"/>
      <c r="M27" s="6" t="n"/>
      <c r="N27" s="6" t="n"/>
      <c r="O27" s="6" t="n"/>
      <c r="P27" s="6" t="n"/>
      <c r="Q27" s="6" t="n"/>
      <c r="R27" s="6" t="n"/>
    </row>
    <row r="28">
      <c r="A28" s="5" t="inlineStr">
        <is>
          <t>Other comprehensive income/(loss) after income tax</t>
        </is>
      </c>
      <c r="B28" s="5" t="n">
        <v>-163</v>
      </c>
      <c r="C28" s="5" t="n">
        <v>-1279</v>
      </c>
      <c r="D28" s="5" t="n">
        <v>-555</v>
      </c>
      <c r="E28" s="5" t="n">
        <v>88</v>
      </c>
      <c r="F28" s="5" t="n">
        <v>-255</v>
      </c>
      <c r="G28" s="5" t="n">
        <v>683</v>
      </c>
      <c r="H28" s="5" t="n">
        <v>654</v>
      </c>
      <c r="I28" s="5" t="n">
        <v>-7316</v>
      </c>
      <c r="J28" s="5" t="n">
        <v>5762</v>
      </c>
      <c r="K28" s="5" t="n">
        <v>23442</v>
      </c>
      <c r="L28" s="5" t="n">
        <v>-2084</v>
      </c>
      <c r="M28" s="5" t="n">
        <v>1678</v>
      </c>
      <c r="N28" s="5" t="n">
        <v>1200</v>
      </c>
      <c r="O28" s="5" t="n">
        <v>4142</v>
      </c>
      <c r="P28" s="5" t="n">
        <v>-1276</v>
      </c>
      <c r="Q28" s="5" t="n">
        <v>5504</v>
      </c>
      <c r="R28" s="5" t="n">
        <v>1508</v>
      </c>
    </row>
    <row r="29">
      <c r="A29" s="5" t="inlineStr">
        <is>
          <t>Total comprehensive income for the year</t>
        </is>
      </c>
      <c r="B29" s="5" t="n">
        <v>37416</v>
      </c>
      <c r="C29" s="5" t="n">
        <v>44502</v>
      </c>
      <c r="D29" s="5" t="n">
        <v>-241</v>
      </c>
      <c r="E29" s="5" t="n">
        <v>94241</v>
      </c>
      <c r="F29" s="5" t="n">
        <v>9622</v>
      </c>
      <c r="G29" s="5" t="n">
        <v>95113</v>
      </c>
      <c r="H29" s="5" t="n">
        <v>38776</v>
      </c>
      <c r="I29" s="5" t="n">
        <v>20377</v>
      </c>
      <c r="J29" s="5" t="n">
        <v>55467</v>
      </c>
      <c r="K29" s="5" t="n">
        <v>51430</v>
      </c>
      <c r="L29" s="5" t="n">
        <v>16050</v>
      </c>
      <c r="M29" s="5" t="n">
        <v>32444</v>
      </c>
      <c r="N29" s="5" t="n">
        <v>8355</v>
      </c>
      <c r="O29" s="5" t="n">
        <v>-201</v>
      </c>
      <c r="P29" s="5" t="n">
        <v>61123</v>
      </c>
      <c r="Q29" s="5" t="n">
        <v>41468</v>
      </c>
      <c r="R29" s="5" t="n">
        <v>-10878</v>
      </c>
    </row>
    <row r="31" ht="260" customHeight="1">
      <c r="A31"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31:R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Statement of Changes in Equity</t>
        </is>
      </c>
    </row>
    <row r="2">
      <c r="A2" s="2" t="inlineStr">
        <is>
          <t>Chronological roll-forward, oldest to newest, standalone Company basis (FRS 101/UK GAAP for FY2014). £'000. Every year's own closing balance ties exactly to both the next year's own opening balance and that year's own Balance Sheet Total equity for FY2015-FY2025, with zero plug rows needed. FY2014 is the one exception: the Company's own FY2014 Annual Report closing P&amp;L account balance (£89,485k) does not match the £85,907k opening comparative shown in the FY2015/FY2016 Annual Reports - a £3,578k downward restatement not itemised in any source reviewed (plausibly a FRS 101 transition adjustment), shown here as an explicit 'Restatement' row rather than silently plugged. The FY2014 row itself also carries a smaller £780k residual (per Note 26's own reconciliation, not separately itemised) after the disclosed profit, OCI and Investment Management business-transfer consideration are applied - both gaps are documented, not absorbed into other lines. FY2021 opening balance ties exactly to the Company's own FY2020 Annual Report closing balance. HD-073 (2026-09-06) FY2009-FY2013 extension: every year's own closing balance ties exactly to the Balance Sheet's own Total equity, sourced from each year's own Note 25/26 reconciliation (FY2009 Annual Report Note 25; FY2011 and FY2013 Annual Reports' own Note 26, which also carry the FY2010 and FY2012 comparatives respectively) - zero plug rows needed anywhere in this span. FY2009's Balance Sheet shows a separate 'Pension reserve' equity component (£252k at 31 December 2009) not present in any later year; it is folded into this sheet's Profit and loss account column throughout FY2009 (both opening and closing), matching how the Company's own FY2011 Annual Report already presents the FY2010 opening/closing balances with no separate Pension reserve column - a genuine presentational change on the Company's part, not one introduced by this project.</t>
        </is>
      </c>
    </row>
    <row r="3">
      <c r="A3" s="4" t="inlineStr">
        <is>
          <t>Movement</t>
        </is>
      </c>
      <c r="B3" s="4" t="inlineStr">
        <is>
          <t>Called up share capital</t>
        </is>
      </c>
      <c r="C3" s="4" t="inlineStr">
        <is>
          <t>Capital contribution reserve</t>
        </is>
      </c>
      <c r="D3" s="4" t="inlineStr">
        <is>
          <t>Foreign currency revaluation reserve</t>
        </is>
      </c>
      <c r="E3" s="4" t="inlineStr">
        <is>
          <t>Profit and loss account</t>
        </is>
      </c>
      <c r="F3" s="4" t="inlineStr">
        <is>
          <t>Total equity</t>
        </is>
      </c>
    </row>
    <row r="4">
      <c r="A4" s="5" t="inlineStr">
        <is>
          <t>At 1 January 2009 (FY2009 opening, per the FY2009 Annual Report's own Note 25 - the 'Pension reserve' component (£886k) is folded into this Profit and loss account column here, matching how the Company's own later Annual Reports (FY2011 onward) present this same balance with no separate Pension reserve column at all - see sourcing note)</t>
        </is>
      </c>
      <c r="B4" s="5" t="n">
        <v>790000</v>
      </c>
      <c r="C4" s="5" t="n">
        <v>89654</v>
      </c>
      <c r="D4" s="5" t="n">
        <v>2473</v>
      </c>
      <c r="E4" s="5" t="n">
        <v>-30588</v>
      </c>
      <c r="F4" s="5" t="n">
        <v>851539</v>
      </c>
    </row>
    <row r="5">
      <c r="A5" s="6" t="inlineStr">
        <is>
          <t>Profit/(loss) for the period</t>
        </is>
      </c>
      <c r="B5" s="6" t="n"/>
      <c r="C5" s="6" t="n"/>
      <c r="D5" s="6" t="n"/>
      <c r="E5" s="6" t="n">
        <v>-12386</v>
      </c>
      <c r="F5" s="6" t="n">
        <v>-12386</v>
      </c>
    </row>
    <row r="6">
      <c r="A6" s="6" t="inlineStr">
        <is>
          <t>Remeasurement of net defined benefit pension liability, net of deferred tax (folded into the Profit and loss account column per Note 25 - see above)</t>
        </is>
      </c>
      <c r="B6" s="6" t="n"/>
      <c r="C6" s="6" t="n"/>
      <c r="D6" s="6" t="n"/>
      <c r="E6" s="6" t="n">
        <v>-634</v>
      </c>
      <c r="F6" s="6" t="n">
        <v>-634</v>
      </c>
    </row>
    <row r="7">
      <c r="A7" s="6" t="inlineStr">
        <is>
          <t>Foreign currency translation differences arising during the period</t>
        </is>
      </c>
      <c r="B7" s="6" t="n"/>
      <c r="C7" s="6" t="n"/>
      <c r="D7" s="6" t="n">
        <v>2142</v>
      </c>
      <c r="E7" s="6" t="n"/>
      <c r="F7" s="6" t="n">
        <v>2142</v>
      </c>
    </row>
    <row r="8">
      <c r="A8" s="6" t="inlineStr">
        <is>
          <t>Share-based payments</t>
        </is>
      </c>
      <c r="B8" s="6" t="n"/>
      <c r="C8" s="6" t="n"/>
      <c r="D8" s="6" t="n"/>
      <c r="E8" s="6" t="n">
        <v>1245</v>
      </c>
      <c r="F8" s="6" t="n">
        <v>1245</v>
      </c>
    </row>
    <row r="9">
      <c r="A9" s="5" t="inlineStr">
        <is>
          <t>At 31 December 2009 (FY2009 closing, per the Company's own FY2009 Annual Report Note 25)</t>
        </is>
      </c>
      <c r="B9" s="5" t="n">
        <v>790000</v>
      </c>
      <c r="C9" s="5" t="n">
        <v>89654</v>
      </c>
      <c r="D9" s="5" t="n">
        <v>4615</v>
      </c>
      <c r="E9" s="5" t="n">
        <v>-42363</v>
      </c>
      <c r="F9" s="5" t="n">
        <v>841906</v>
      </c>
    </row>
    <row r="10">
      <c r="A10" s="6" t="inlineStr">
        <is>
          <t>Profit for the year</t>
        </is>
      </c>
      <c r="B10" s="6" t="n"/>
      <c r="C10" s="6" t="n"/>
      <c r="D10" s="6" t="n"/>
      <c r="E10" s="6" t="n">
        <v>35964</v>
      </c>
      <c r="F10" s="6" t="n">
        <v>35964</v>
      </c>
    </row>
    <row r="11">
      <c r="A11" s="6" t="inlineStr">
        <is>
          <t>Remeasurement loss on net defined benefit liability</t>
        </is>
      </c>
      <c r="B11" s="6" t="n"/>
      <c r="C11" s="6" t="n"/>
      <c r="D11" s="6" t="n"/>
      <c r="E11" s="6" t="n">
        <v>-109</v>
      </c>
      <c r="F11" s="6" t="n">
        <v>-109</v>
      </c>
    </row>
    <row r="12">
      <c r="A12" s="6" t="inlineStr">
        <is>
          <t>Foreign currency translation differences arising during the year</t>
        </is>
      </c>
      <c r="B12" s="6" t="n"/>
      <c r="C12" s="6" t="n"/>
      <c r="D12" s="6" t="n">
        <v>5613</v>
      </c>
      <c r="E12" s="6" t="n"/>
      <c r="F12" s="6" t="n">
        <v>5613</v>
      </c>
    </row>
    <row r="13">
      <c r="A13" s="6" t="inlineStr">
        <is>
          <t>Share-based payments</t>
        </is>
      </c>
      <c r="B13" s="6" t="n"/>
      <c r="C13" s="6" t="n"/>
      <c r="D13" s="6" t="n"/>
      <c r="E13" s="6" t="n">
        <v>-1629</v>
      </c>
      <c r="F13" s="6" t="n">
        <v>-1629</v>
      </c>
    </row>
    <row r="14">
      <c r="A14" s="5" t="inlineStr">
        <is>
          <t>At 31 December 2010 (FY2010 closing, per the FY2011 Annual Report's own Note 26 comparative)</t>
        </is>
      </c>
      <c r="B14" s="5" t="n">
        <v>790000</v>
      </c>
      <c r="C14" s="5" t="n">
        <v>89654</v>
      </c>
      <c r="D14" s="5" t="n">
        <v>10228</v>
      </c>
      <c r="E14" s="5" t="n">
        <v>-8137</v>
      </c>
      <c r="F14" s="5" t="n">
        <v>881745</v>
      </c>
    </row>
    <row r="15">
      <c r="A15" s="6" t="inlineStr">
        <is>
          <t>Profit for the year</t>
        </is>
      </c>
      <c r="B15" s="6" t="n"/>
      <c r="C15" s="6" t="n"/>
      <c r="D15" s="6" t="n"/>
      <c r="E15" s="6" t="n">
        <v>62399</v>
      </c>
      <c r="F15" s="6" t="n">
        <v>62399</v>
      </c>
    </row>
    <row r="16">
      <c r="A16" s="6" t="inlineStr">
        <is>
          <t>Remeasurement gain on net defined benefit liability</t>
        </is>
      </c>
      <c r="B16" s="6" t="n"/>
      <c r="C16" s="6" t="n"/>
      <c r="D16" s="6" t="n"/>
      <c r="E16" s="6" t="n">
        <v>48</v>
      </c>
      <c r="F16" s="6" t="n">
        <v>48</v>
      </c>
    </row>
    <row r="17">
      <c r="A17" s="6" t="inlineStr">
        <is>
          <t>Foreign currency translation differences arising during the year</t>
        </is>
      </c>
      <c r="B17" s="6" t="n"/>
      <c r="C17" s="6" t="n"/>
      <c r="D17" s="6" t="n">
        <v>-1324</v>
      </c>
      <c r="E17" s="6" t="n"/>
      <c r="F17" s="6" t="n">
        <v>-1324</v>
      </c>
    </row>
    <row r="18">
      <c r="A18" s="6" t="inlineStr">
        <is>
          <t>Share-based payments</t>
        </is>
      </c>
      <c r="B18" s="6" t="n"/>
      <c r="C18" s="6" t="n"/>
      <c r="D18" s="6" t="n"/>
      <c r="E18" s="6" t="n">
        <v>-160</v>
      </c>
      <c r="F18" s="6" t="n">
        <v>-160</v>
      </c>
    </row>
    <row r="19">
      <c r="A19" s="5" t="inlineStr">
        <is>
          <t>At 31 December 2011 (FY2011 closing, per the Company's own FY2011 Annual Report Note 26)</t>
        </is>
      </c>
      <c r="B19" s="5" t="n">
        <v>790000</v>
      </c>
      <c r="C19" s="5" t="n">
        <v>89654</v>
      </c>
      <c r="D19" s="5" t="n">
        <v>8904</v>
      </c>
      <c r="E19" s="5" t="n">
        <v>54150</v>
      </c>
      <c r="F19" s="5" t="n">
        <v>942708</v>
      </c>
    </row>
    <row r="20">
      <c r="A20" s="6" t="inlineStr">
        <is>
          <t>Profit/(loss) for the year</t>
        </is>
      </c>
      <c r="B20" s="6" t="n"/>
      <c r="C20" s="6" t="n"/>
      <c r="D20" s="6" t="n"/>
      <c r="E20" s="6" t="n">
        <v>-4343</v>
      </c>
      <c r="F20" s="6" t="n">
        <v>-4343</v>
      </c>
    </row>
    <row r="21">
      <c r="A21" s="6" t="inlineStr">
        <is>
          <t>Remeasurement loss on net defined benefit liability</t>
        </is>
      </c>
      <c r="B21" s="6" t="n"/>
      <c r="C21" s="6" t="n"/>
      <c r="D21" s="6" t="n"/>
      <c r="E21" s="6" t="n">
        <v>-126</v>
      </c>
      <c r="F21" s="6" t="n">
        <v>-126</v>
      </c>
    </row>
    <row r="22">
      <c r="A22" s="6" t="inlineStr">
        <is>
          <t>Foreign currency translation differences arising during the year</t>
        </is>
      </c>
      <c r="B22" s="6" t="n"/>
      <c r="C22" s="6" t="n"/>
      <c r="D22" s="6" t="n">
        <v>4268</v>
      </c>
      <c r="E22" s="6" t="n"/>
      <c r="F22" s="6" t="n">
        <v>4268</v>
      </c>
    </row>
    <row r="23">
      <c r="A23" s="6" t="inlineStr">
        <is>
          <t>Share-based payments</t>
        </is>
      </c>
      <c r="B23" s="6" t="n"/>
      <c r="C23" s="6" t="n"/>
      <c r="D23" s="6" t="n"/>
      <c r="E23" s="6" t="n">
        <v>-50</v>
      </c>
      <c r="F23" s="6" t="n">
        <v>-50</v>
      </c>
    </row>
    <row r="24">
      <c r="A24" s="5" t="inlineStr">
        <is>
          <t>At 31 December 2012 (FY2012 closing, per the FY2013 Annual Report's own Note 26 comparative)</t>
        </is>
      </c>
      <c r="B24" s="5" t="n">
        <v>790000</v>
      </c>
      <c r="C24" s="5" t="n">
        <v>89654</v>
      </c>
      <c r="D24" s="5" t="n">
        <v>13172</v>
      </c>
      <c r="E24" s="5" t="n">
        <v>49631</v>
      </c>
      <c r="F24" s="5" t="n">
        <v>942457</v>
      </c>
    </row>
    <row r="25">
      <c r="A25" s="6" t="inlineStr">
        <is>
          <t>Share capital reduction (27 September 2013 - 450,000,000 £1 ordinary shares redeemed for a £450,000k consideration)</t>
        </is>
      </c>
      <c r="B25" s="6" t="n">
        <v>-450000</v>
      </c>
      <c r="C25" s="6" t="n"/>
      <c r="D25" s="6" t="n"/>
      <c r="E25" s="6" t="n"/>
      <c r="F25" s="6" t="n">
        <v>-450000</v>
      </c>
    </row>
    <row r="26">
      <c r="A26" s="6" t="inlineStr">
        <is>
          <t>Profit for the year</t>
        </is>
      </c>
      <c r="B26" s="6" t="n"/>
      <c r="C26" s="6" t="n"/>
      <c r="D26" s="6" t="n"/>
      <c r="E26" s="6" t="n">
        <v>7155</v>
      </c>
      <c r="F26" s="6" t="n">
        <v>7155</v>
      </c>
    </row>
    <row r="27">
      <c r="A27" s="6" t="inlineStr">
        <is>
          <t>Remeasurement gain on net defined benefit liability</t>
        </is>
      </c>
      <c r="B27" s="6" t="n"/>
      <c r="C27" s="6" t="n"/>
      <c r="D27" s="6" t="n"/>
      <c r="E27" s="6" t="n">
        <v>6</v>
      </c>
      <c r="F27" s="6" t="n">
        <v>6</v>
      </c>
    </row>
    <row r="28">
      <c r="A28" s="6" t="inlineStr">
        <is>
          <t>Foreign currency translation differences arising during the year</t>
        </is>
      </c>
      <c r="B28" s="6" t="n"/>
      <c r="C28" s="6" t="n"/>
      <c r="D28" s="6" t="n">
        <v>1194</v>
      </c>
      <c r="E28" s="6" t="n"/>
      <c r="F28" s="6" t="n">
        <v>1194</v>
      </c>
    </row>
    <row r="29">
      <c r="A29" s="6" t="inlineStr">
        <is>
          <t>Share-based payments</t>
        </is>
      </c>
      <c r="B29" s="6" t="n"/>
      <c r="C29" s="6" t="n"/>
      <c r="D29" s="6" t="n"/>
      <c r="E29" s="6" t="n">
        <v>-8</v>
      </c>
      <c r="F29" s="6" t="n">
        <v>-8</v>
      </c>
    </row>
    <row r="30">
      <c r="A30" s="5" t="inlineStr">
        <is>
          <t>At 1 January 2014 (FY2014 opening, per FY2014 Annual Report's own 2013 comparative)</t>
        </is>
      </c>
      <c r="B30" s="5" t="n">
        <v>340000</v>
      </c>
      <c r="C30" s="5" t="n">
        <v>89654</v>
      </c>
      <c r="D30" s="5" t="n">
        <v>14366</v>
      </c>
      <c r="E30" s="5" t="n">
        <v>56784</v>
      </c>
      <c r="F30" s="5" t="n">
        <v>500804</v>
      </c>
    </row>
    <row r="31">
      <c r="A31" s="6" t="inlineStr">
        <is>
          <t>Profit for the year</t>
        </is>
      </c>
      <c r="B31" s="6" t="n"/>
      <c r="C31" s="6" t="n"/>
      <c r="D31" s="6" t="n"/>
      <c r="E31" s="6" t="n">
        <v>30766</v>
      </c>
      <c r="F31" s="6" t="n">
        <v>30766</v>
      </c>
    </row>
    <row r="32">
      <c r="A32" s="6" t="inlineStr">
        <is>
          <t>Foreign currency translation differences arising during the year</t>
        </is>
      </c>
      <c r="B32" s="6" t="n"/>
      <c r="C32" s="6" t="n"/>
      <c r="D32" s="6" t="n">
        <v>1802</v>
      </c>
      <c r="E32" s="6" t="n"/>
      <c r="F32" s="6" t="n">
        <v>1802</v>
      </c>
    </row>
    <row r="33">
      <c r="A33" s="6" t="inlineStr">
        <is>
          <t>Actuarial loss on defined benefit scheme, net of deferred tax</t>
        </is>
      </c>
      <c r="B33" s="6" t="n"/>
      <c r="C33" s="6" t="n"/>
      <c r="D33" s="6" t="n"/>
      <c r="E33" s="6" t="n">
        <v>-124</v>
      </c>
      <c r="F33" s="6" t="n">
        <v>-124</v>
      </c>
    </row>
    <row r="34">
      <c r="A34" s="6" t="inlineStr">
        <is>
          <t>Consideration received on transfer of Investment Management business (Note 10)</t>
        </is>
      </c>
      <c r="B34" s="6" t="n"/>
      <c r="C34" s="6" t="n"/>
      <c r="D34" s="6" t="n"/>
      <c r="E34" s="6" t="n">
        <v>2839</v>
      </c>
      <c r="F34" s="6" t="n">
        <v>2839</v>
      </c>
    </row>
    <row r="35">
      <c r="A35" s="6" t="inlineStr">
        <is>
          <t>Other equity movements (per Note 26; residual not separately itemised in the source reviewed)</t>
        </is>
      </c>
      <c r="B35" s="6" t="n"/>
      <c r="C35" s="6" t="n"/>
      <c r="D35" s="6" t="n"/>
      <c r="E35" s="6" t="n">
        <v>-780</v>
      </c>
      <c r="F35" s="6" t="n">
        <v>-780</v>
      </c>
    </row>
    <row r="36">
      <c r="A36" s="5" t="inlineStr">
        <is>
          <t>At 31 December 2014 (FY2014 closing, per the Company's own FY2014 Annual Report)</t>
        </is>
      </c>
      <c r="B36" s="5" t="n">
        <v>340000</v>
      </c>
      <c r="C36" s="5" t="n">
        <v>89654</v>
      </c>
      <c r="D36" s="5" t="n">
        <v>16168</v>
      </c>
      <c r="E36" s="5" t="n">
        <v>89485</v>
      </c>
      <c r="F36" s="5" t="n">
        <v>535307</v>
      </c>
    </row>
    <row r="37">
      <c r="A37" s="6" t="inlineStr">
        <is>
          <t>Restatement of opening P&amp;L account balance (per the FY2015/FY2016 Annual Reports' own FY2015 opening comparative; the £3,578k difference is not itemised in any source reviewed)</t>
        </is>
      </c>
      <c r="B37" s="6" t="n"/>
      <c r="C37" s="6" t="n"/>
      <c r="D37" s="6" t="n"/>
      <c r="E37" s="6" t="n">
        <v>-3578</v>
      </c>
      <c r="F37" s="6" t="n">
        <v>-3578</v>
      </c>
    </row>
    <row r="38">
      <c r="A38" s="5" t="inlineStr">
        <is>
          <t>At 1 January 2015 (FY2015 opening, restated)</t>
        </is>
      </c>
      <c r="B38" s="5" t="n">
        <v>340000</v>
      </c>
      <c r="C38" s="5" t="n">
        <v>89654</v>
      </c>
      <c r="D38" s="5" t="n">
        <v>16168</v>
      </c>
      <c r="E38" s="5" t="n">
        <v>85907</v>
      </c>
      <c r="F38" s="5" t="n">
        <v>531729</v>
      </c>
    </row>
    <row r="39">
      <c r="A39" s="6" t="inlineStr">
        <is>
          <t>Profit for the year</t>
        </is>
      </c>
      <c r="B39" s="6" t="n"/>
      <c r="C39" s="6" t="n"/>
      <c r="D39" s="6" t="n"/>
      <c r="E39" s="6" t="n">
        <v>18134</v>
      </c>
      <c r="F39" s="6" t="n">
        <v>18134</v>
      </c>
    </row>
    <row r="40">
      <c r="A40" s="6" t="inlineStr">
        <is>
          <t>Foreign currency translation differences arising during the year</t>
        </is>
      </c>
      <c r="B40" s="6" t="n"/>
      <c r="C40" s="6" t="n"/>
      <c r="D40" s="6" t="n">
        <v>-2279</v>
      </c>
      <c r="E40" s="6" t="n"/>
      <c r="F40" s="6" t="n">
        <v>-2279</v>
      </c>
    </row>
    <row r="41">
      <c r="A41" s="6" t="inlineStr">
        <is>
          <t>Remeasurement gain on net defined benefit liability</t>
        </is>
      </c>
      <c r="B41" s="6" t="n"/>
      <c r="C41" s="6" t="n"/>
      <c r="D41" s="6" t="n"/>
      <c r="E41" s="6" t="n">
        <v>195</v>
      </c>
      <c r="F41" s="6" t="n">
        <v>195</v>
      </c>
    </row>
    <row r="42">
      <c r="A42" s="5" t="inlineStr">
        <is>
          <t>At 31 December 2015 (FY2015 closing)</t>
        </is>
      </c>
      <c r="B42" s="5" t="n">
        <v>340000</v>
      </c>
      <c r="C42" s="5" t="n">
        <v>89654</v>
      </c>
      <c r="D42" s="5" t="n">
        <v>13889</v>
      </c>
      <c r="E42" s="5" t="n">
        <v>104236</v>
      </c>
      <c r="F42" s="5" t="n">
        <v>547779</v>
      </c>
    </row>
    <row r="43">
      <c r="A43" s="6" t="inlineStr">
        <is>
          <t>Profit for the year</t>
        </is>
      </c>
      <c r="B43" s="6" t="n"/>
      <c r="C43" s="6" t="n"/>
      <c r="D43" s="6" t="n"/>
      <c r="E43" s="6" t="n">
        <v>27988</v>
      </c>
      <c r="F43" s="6" t="n">
        <v>27988</v>
      </c>
    </row>
    <row r="44">
      <c r="A44" s="6" t="inlineStr">
        <is>
          <t>Foreign currency translation differences arising during the year</t>
        </is>
      </c>
      <c r="B44" s="6" t="n"/>
      <c r="C44" s="6" t="n"/>
      <c r="D44" s="6" t="n">
        <v>23459</v>
      </c>
      <c r="E44" s="6" t="n"/>
      <c r="F44" s="6" t="n">
        <v>23459</v>
      </c>
    </row>
    <row r="45">
      <c r="A45" s="6" t="inlineStr">
        <is>
          <t>Remeasurement loss on net defined benefit liability</t>
        </is>
      </c>
      <c r="B45" s="6" t="n"/>
      <c r="C45" s="6" t="n"/>
      <c r="D45" s="6" t="n"/>
      <c r="E45" s="6" t="n">
        <v>-17</v>
      </c>
      <c r="F45" s="6" t="n">
        <v>-17</v>
      </c>
    </row>
    <row r="46">
      <c r="A46" s="5" t="inlineStr">
        <is>
          <t>At 31 December 2016 (FY2016 closing)</t>
        </is>
      </c>
      <c r="B46" s="5" t="n">
        <v>340000</v>
      </c>
      <c r="C46" s="5" t="n">
        <v>89654</v>
      </c>
      <c r="D46" s="5" t="n">
        <v>37348</v>
      </c>
      <c r="E46" s="5" t="n">
        <v>132207</v>
      </c>
      <c r="F46" s="5" t="n">
        <v>599209</v>
      </c>
    </row>
    <row r="47">
      <c r="A47" s="6" t="inlineStr">
        <is>
          <t>Profit for the year</t>
        </is>
      </c>
      <c r="B47" s="6" t="n"/>
      <c r="C47" s="6" t="n"/>
      <c r="D47" s="6" t="n"/>
      <c r="E47" s="6" t="n">
        <v>49705</v>
      </c>
      <c r="F47" s="6" t="n">
        <v>49705</v>
      </c>
    </row>
    <row r="48">
      <c r="A48" s="6" t="inlineStr">
        <is>
          <t>Foreign currency translation differences arising during the year</t>
        </is>
      </c>
      <c r="B48" s="6" t="n"/>
      <c r="C48" s="6" t="n"/>
      <c r="D48" s="6" t="n">
        <v>5771</v>
      </c>
      <c r="E48" s="6" t="n"/>
      <c r="F48" s="6" t="n">
        <v>5771</v>
      </c>
    </row>
    <row r="49">
      <c r="A49" s="6" t="inlineStr">
        <is>
          <t>Remeasurement loss on net defined benefit liability</t>
        </is>
      </c>
      <c r="B49" s="6" t="n"/>
      <c r="C49" s="6" t="n"/>
      <c r="D49" s="6" t="n"/>
      <c r="E49" s="6" t="n">
        <v>-9</v>
      </c>
      <c r="F49" s="6" t="n">
        <v>-9</v>
      </c>
    </row>
    <row r="50">
      <c r="A50" s="5" t="inlineStr">
        <is>
          <t>At 31 December 2017 (FY2017 closing)</t>
        </is>
      </c>
      <c r="B50" s="5" t="n">
        <v>340000</v>
      </c>
      <c r="C50" s="5" t="n">
        <v>89654</v>
      </c>
      <c r="D50" s="5" t="n">
        <v>43119</v>
      </c>
      <c r="E50" s="5" t="n">
        <v>181903</v>
      </c>
      <c r="F50" s="5" t="n">
        <v>654676</v>
      </c>
    </row>
    <row r="51">
      <c r="A51" s="6" t="inlineStr">
        <is>
          <t>Impact of adoption of new accounting standards (IFRS 9)</t>
        </is>
      </c>
      <c r="B51" s="6" t="n"/>
      <c r="C51" s="6" t="n"/>
      <c r="D51" s="6" t="n"/>
      <c r="E51" s="6" t="n">
        <v>-860</v>
      </c>
      <c r="F51" s="6" t="n">
        <v>-860</v>
      </c>
    </row>
    <row r="52">
      <c r="A52" s="6" t="inlineStr">
        <is>
          <t>Profit for the year</t>
        </is>
      </c>
      <c r="B52" s="6" t="n"/>
      <c r="C52" s="6" t="n"/>
      <c r="D52" s="6" t="n"/>
      <c r="E52" s="6" t="n">
        <v>27693</v>
      </c>
      <c r="F52" s="6" t="n">
        <v>27693</v>
      </c>
    </row>
    <row r="53">
      <c r="A53" s="6" t="inlineStr">
        <is>
          <t>Remeasurement gain on net defined benefit liability</t>
        </is>
      </c>
      <c r="B53" s="6" t="n"/>
      <c r="C53" s="6" t="n"/>
      <c r="D53" s="6" t="n"/>
      <c r="E53" s="6" t="n">
        <v>2</v>
      </c>
      <c r="F53" s="6" t="n">
        <v>2</v>
      </c>
    </row>
    <row r="54">
      <c r="A54" s="6" t="inlineStr">
        <is>
          <t>Foreign currency translation differences arising on foreign operations</t>
        </is>
      </c>
      <c r="B54" s="6" t="n"/>
      <c r="C54" s="6" t="n"/>
      <c r="D54" s="6" t="n">
        <v>2752</v>
      </c>
      <c r="E54" s="6" t="n"/>
      <c r="F54" s="6" t="n">
        <v>2752</v>
      </c>
    </row>
    <row r="55">
      <c r="A55" s="6" t="inlineStr">
        <is>
          <t>Loss arising on hedging instruments designated in net investment hedges</t>
        </is>
      </c>
      <c r="B55" s="6" t="n"/>
      <c r="C55" s="6" t="n"/>
      <c r="D55" s="6" t="n">
        <v>-10070</v>
      </c>
      <c r="E55" s="6" t="n"/>
      <c r="F55" s="6" t="n">
        <v>-10070</v>
      </c>
    </row>
    <row r="56">
      <c r="A56" s="5" t="inlineStr">
        <is>
          <t>At 31 December 2018 (FY2018 closing)</t>
        </is>
      </c>
      <c r="B56" s="5" t="n">
        <v>340000</v>
      </c>
      <c r="C56" s="5" t="n">
        <v>89654</v>
      </c>
      <c r="D56" s="5" t="n">
        <v>35801</v>
      </c>
      <c r="E56" s="5" t="n">
        <v>208738</v>
      </c>
      <c r="F56" s="5" t="n">
        <v>674193</v>
      </c>
    </row>
    <row r="57">
      <c r="A57" s="6" t="inlineStr">
        <is>
          <t>Impact of adoption of new accounting standards</t>
        </is>
      </c>
      <c r="B57" s="6" t="n"/>
      <c r="C57" s="6" t="n"/>
      <c r="D57" s="6" t="n"/>
      <c r="E57" s="6" t="n">
        <v>-174</v>
      </c>
      <c r="F57" s="6" t="n">
        <v>-174</v>
      </c>
    </row>
    <row r="58">
      <c r="A58" s="6" t="inlineStr">
        <is>
          <t>Profit for the year</t>
        </is>
      </c>
      <c r="B58" s="6" t="n"/>
      <c r="C58" s="6" t="n"/>
      <c r="D58" s="6" t="n"/>
      <c r="E58" s="6" t="n">
        <v>38122</v>
      </c>
      <c r="F58" s="6" t="n">
        <v>38122</v>
      </c>
    </row>
    <row r="59">
      <c r="A59" s="6" t="inlineStr">
        <is>
          <t>Other comprehensive income (FY2019: not split into components in the Statement of Changes in Equity itself)</t>
        </is>
      </c>
      <c r="B59" s="6" t="n"/>
      <c r="C59" s="6" t="n"/>
      <c r="D59" s="6" t="n">
        <v>828</v>
      </c>
      <c r="E59" s="6" t="n"/>
      <c r="F59" s="6" t="n">
        <v>828</v>
      </c>
    </row>
    <row r="60">
      <c r="A60" s="5" t="inlineStr">
        <is>
          <t>At 31 December 2019 (FY2019 closing)</t>
        </is>
      </c>
      <c r="B60" s="5" t="n">
        <v>340000</v>
      </c>
      <c r="C60" s="5" t="n">
        <v>89654</v>
      </c>
      <c r="D60" s="5" t="n">
        <v>36629</v>
      </c>
      <c r="E60" s="5" t="n">
        <v>246686</v>
      </c>
      <c r="F60" s="5" t="n">
        <v>712969</v>
      </c>
    </row>
    <row r="61">
      <c r="A61" s="6" t="inlineStr">
        <is>
          <t>Profit for the year</t>
        </is>
      </c>
      <c r="B61" s="6" t="n"/>
      <c r="C61" s="6" t="n"/>
      <c r="D61" s="6" t="n"/>
      <c r="E61" s="6" t="n">
        <v>94430</v>
      </c>
      <c r="F61" s="6" t="n">
        <v>94430</v>
      </c>
    </row>
    <row r="62">
      <c r="A62" s="6" t="inlineStr">
        <is>
          <t>Remeasurement loss on net defined benefit liability</t>
        </is>
      </c>
      <c r="B62" s="6" t="n"/>
      <c r="C62" s="6" t="n"/>
      <c r="D62" s="6" t="n"/>
      <c r="E62" s="6" t="n">
        <v>-234</v>
      </c>
      <c r="F62" s="6" t="n">
        <v>-234</v>
      </c>
    </row>
    <row r="63">
      <c r="A63" s="6" t="inlineStr">
        <is>
          <t>Foreign currency translation differences arising on foreign operations</t>
        </is>
      </c>
      <c r="B63" s="6" t="n"/>
      <c r="C63" s="6" t="n"/>
      <c r="D63" s="6" t="n">
        <v>6114</v>
      </c>
      <c r="E63" s="6" t="n"/>
      <c r="F63" s="6" t="n">
        <v>6114</v>
      </c>
    </row>
    <row r="64">
      <c r="A64" s="6" t="inlineStr">
        <is>
          <t>Loss arising on hedging instruments designated in net investment hedges</t>
        </is>
      </c>
      <c r="B64" s="6" t="n"/>
      <c r="C64" s="6" t="n"/>
      <c r="D64" s="6" t="n">
        <v>-5197</v>
      </c>
      <c r="E64" s="6" t="n"/>
      <c r="F64" s="6" t="n">
        <v>-5197</v>
      </c>
    </row>
    <row r="65">
      <c r="A65" s="6" t="inlineStr">
        <is>
          <t>Gain on business transfer (UK withdrawal from the EU restructuring, Note 4)</t>
        </is>
      </c>
      <c r="B65" s="6" t="n"/>
      <c r="C65" s="6" t="n"/>
      <c r="D65" s="6" t="n"/>
      <c r="E65" s="6" t="n">
        <v>5603</v>
      </c>
      <c r="F65" s="6" t="n">
        <v>5603</v>
      </c>
    </row>
    <row r="66">
      <c r="A66" s="6" t="inlineStr">
        <is>
          <t>Current tax charge on business transfer</t>
        </is>
      </c>
      <c r="B66" s="6" t="n"/>
      <c r="C66" s="6" t="n"/>
      <c r="D66" s="6" t="n"/>
      <c r="E66" s="6" t="n">
        <v>-1520</v>
      </c>
      <c r="F66" s="6" t="n">
        <v>-1520</v>
      </c>
    </row>
    <row r="67">
      <c r="A67" s="6" t="inlineStr">
        <is>
          <t>Remeasurement gain on net defined benefit liability</t>
        </is>
      </c>
      <c r="B67" s="6" t="n"/>
      <c r="C67" s="6" t="n"/>
      <c r="D67" s="6" t="n"/>
      <c r="E67" s="6" t="n">
        <v>196</v>
      </c>
      <c r="F67" s="6" t="n">
        <v>196</v>
      </c>
    </row>
    <row r="68">
      <c r="A68" s="5" t="inlineStr">
        <is>
          <t>At 31 December 2020 (FY2020 closing)</t>
        </is>
      </c>
      <c r="B68" s="5" t="n">
        <v>340000</v>
      </c>
      <c r="C68" s="5" t="n">
        <v>89654</v>
      </c>
      <c r="D68" s="5" t="n">
        <v>37546</v>
      </c>
      <c r="E68" s="5" t="n">
        <v>345161</v>
      </c>
      <c r="F68" s="5" t="n">
        <v>812361</v>
      </c>
    </row>
    <row r="69">
      <c r="A69" s="5" t="inlineStr">
        <is>
          <t>At 1 January 2021 (FY2021 opening)</t>
        </is>
      </c>
      <c r="B69" s="5" t="n">
        <v>340000</v>
      </c>
      <c r="C69" s="5" t="n">
        <v>89654</v>
      </c>
      <c r="D69" s="5" t="n">
        <v>37546</v>
      </c>
      <c r="E69" s="5" t="n">
        <v>345161</v>
      </c>
      <c r="F69" s="5" t="n">
        <v>812361</v>
      </c>
    </row>
    <row r="70">
      <c r="A70" s="6" t="inlineStr">
        <is>
          <t>Profit for the year</t>
        </is>
      </c>
      <c r="B70" s="6" t="n"/>
      <c r="C70" s="6" t="n"/>
      <c r="D70" s="6" t="n"/>
      <c r="E70" s="6" t="n">
        <v>9877</v>
      </c>
      <c r="F70" s="6" t="n">
        <v>9877</v>
      </c>
    </row>
    <row r="71">
      <c r="A71" s="6" t="inlineStr">
        <is>
          <t>Remeasurement gain on net defined benefit liability</t>
        </is>
      </c>
      <c r="B71" s="6" t="n"/>
      <c r="C71" s="6" t="n"/>
      <c r="D71" s="6" t="n"/>
      <c r="E71" s="6" t="n">
        <v>78</v>
      </c>
      <c r="F71" s="6" t="n">
        <v>78</v>
      </c>
    </row>
    <row r="72">
      <c r="A72" s="6" t="inlineStr">
        <is>
          <t>Foreign currency translation differences arising during the year</t>
        </is>
      </c>
      <c r="B72" s="6" t="n"/>
      <c r="C72" s="6" t="n"/>
      <c r="D72" s="6" t="n">
        <v>-14755</v>
      </c>
      <c r="E72" s="6" t="n"/>
      <c r="F72" s="6" t="n">
        <v>-14755</v>
      </c>
    </row>
    <row r="73">
      <c r="A73" s="6" t="inlineStr">
        <is>
          <t>Gain arising on hedging instruments designated in net investment hedges</t>
        </is>
      </c>
      <c r="B73" s="6" t="n"/>
      <c r="C73" s="6" t="n"/>
      <c r="D73" s="6" t="n">
        <v>14422</v>
      </c>
      <c r="E73" s="6" t="n"/>
      <c r="F73" s="6" t="n">
        <v>14422</v>
      </c>
    </row>
    <row r="74">
      <c r="A74" s="5" t="inlineStr">
        <is>
          <t>At 31 December 2021 (FY2021 closing)</t>
        </is>
      </c>
      <c r="B74" s="5" t="n">
        <v>340000</v>
      </c>
      <c r="C74" s="5" t="n">
        <v>89654</v>
      </c>
      <c r="D74" s="5" t="n">
        <v>37213</v>
      </c>
      <c r="E74" s="5" t="n">
        <v>355116</v>
      </c>
      <c r="F74" s="5" t="n">
        <v>821983</v>
      </c>
    </row>
    <row r="75">
      <c r="A75" s="6" t="inlineStr">
        <is>
          <t>Profit for the year</t>
        </is>
      </c>
      <c r="B75" s="6" t="n"/>
      <c r="C75" s="6" t="n"/>
      <c r="D75" s="6" t="n"/>
      <c r="E75" s="6" t="n">
        <v>94153</v>
      </c>
      <c r="F75" s="6" t="n">
        <v>94153</v>
      </c>
    </row>
    <row r="76">
      <c r="A76" s="6" t="inlineStr">
        <is>
          <t>Remeasurement gain on net defined benefit liability</t>
        </is>
      </c>
      <c r="B76" s="6" t="n"/>
      <c r="C76" s="6" t="n"/>
      <c r="D76" s="6" t="n"/>
      <c r="E76" s="6" t="n">
        <v>100</v>
      </c>
      <c r="F76" s="6" t="n">
        <v>100</v>
      </c>
    </row>
    <row r="77">
      <c r="A77" s="6" t="inlineStr">
        <is>
          <t>Foreign currency translation differences arising during the year</t>
        </is>
      </c>
      <c r="B77" s="6" t="n"/>
      <c r="C77" s="6" t="n"/>
      <c r="D77" s="6" t="n">
        <v>10400</v>
      </c>
      <c r="E77" s="6" t="n"/>
      <c r="F77" s="6" t="n">
        <v>10400</v>
      </c>
    </row>
    <row r="78">
      <c r="A78" s="6" t="inlineStr">
        <is>
          <t>(Loss) arising on hedging instruments designated in net investment hedges</t>
        </is>
      </c>
      <c r="B78" s="6" t="n"/>
      <c r="C78" s="6" t="n"/>
      <c r="D78" s="6" t="n">
        <v>-10412</v>
      </c>
      <c r="E78" s="6" t="n"/>
      <c r="F78" s="6" t="n">
        <v>-10412</v>
      </c>
    </row>
    <row r="79">
      <c r="A79" s="6" t="inlineStr">
        <is>
          <t>Dividend</t>
        </is>
      </c>
      <c r="B79" s="6" t="n"/>
      <c r="C79" s="6" t="n"/>
      <c r="D79" s="6" t="n"/>
      <c r="E79" s="6" t="n">
        <v>-150000</v>
      </c>
      <c r="F79" s="6" t="n">
        <v>-150000</v>
      </c>
    </row>
    <row r="80">
      <c r="A80" s="5" t="inlineStr">
        <is>
          <t>At 31 December 2022 (FY2022 closing)</t>
        </is>
      </c>
      <c r="B80" s="5" t="n">
        <v>340000</v>
      </c>
      <c r="C80" s="5" t="n">
        <v>89654</v>
      </c>
      <c r="D80" s="5" t="n">
        <v>37201</v>
      </c>
      <c r="E80" s="5" t="n">
        <v>299369</v>
      </c>
      <c r="F80" s="5" t="n">
        <v>766224</v>
      </c>
    </row>
    <row r="81">
      <c r="A81" s="6" t="inlineStr">
        <is>
          <t>Profit for the year</t>
        </is>
      </c>
      <c r="B81" s="6" t="n"/>
      <c r="C81" s="6" t="n"/>
      <c r="D81" s="6" t="n"/>
      <c r="E81" s="6" t="n">
        <v>314</v>
      </c>
      <c r="F81" s="6" t="n">
        <v>314</v>
      </c>
    </row>
    <row r="82">
      <c r="A82" s="6" t="inlineStr">
        <is>
          <t>Remeasurement loss on net defined benefit liability</t>
        </is>
      </c>
      <c r="B82" s="6" t="n"/>
      <c r="C82" s="6" t="n"/>
      <c r="D82" s="6" t="n"/>
      <c r="E82" s="6" t="n">
        <v>-22</v>
      </c>
      <c r="F82" s="6" t="n">
        <v>-22</v>
      </c>
    </row>
    <row r="83">
      <c r="A83" s="6" t="inlineStr">
        <is>
          <t>Foreign currency translation differences arising during the year</t>
        </is>
      </c>
      <c r="B83" s="6" t="n"/>
      <c r="C83" s="6" t="n"/>
      <c r="D83" s="6" t="n">
        <v>-15179</v>
      </c>
      <c r="E83" s="6" t="n"/>
      <c r="F83" s="6" t="n">
        <v>-15179</v>
      </c>
    </row>
    <row r="84">
      <c r="A84" s="6" t="inlineStr">
        <is>
          <t>Gain arising on hedging instruments designated in net investment hedges</t>
        </is>
      </c>
      <c r="B84" s="6" t="n"/>
      <c r="C84" s="6" t="n"/>
      <c r="D84" s="6" t="n">
        <v>14646</v>
      </c>
      <c r="E84" s="6" t="n"/>
      <c r="F84" s="6" t="n">
        <v>14646</v>
      </c>
    </row>
    <row r="85">
      <c r="A85" s="5" t="inlineStr">
        <is>
          <t>At 31 December 2023 (FY2023 closing)</t>
        </is>
      </c>
      <c r="B85" s="5" t="n">
        <v>340000</v>
      </c>
      <c r="C85" s="5" t="n">
        <v>89654</v>
      </c>
      <c r="D85" s="5" t="n">
        <v>36668</v>
      </c>
      <c r="E85" s="5" t="n">
        <v>299661</v>
      </c>
      <c r="F85" s="5" t="n">
        <v>765983</v>
      </c>
    </row>
    <row r="86">
      <c r="A86" s="6" t="inlineStr">
        <is>
          <t>Profit for the year</t>
        </is>
      </c>
      <c r="B86" s="6" t="n"/>
      <c r="C86" s="6" t="n"/>
      <c r="D86" s="6" t="n"/>
      <c r="E86" s="6" t="n">
        <v>45781</v>
      </c>
      <c r="F86" s="6" t="n">
        <v>45781</v>
      </c>
    </row>
    <row r="87">
      <c r="A87" s="6" t="inlineStr">
        <is>
          <t>Remeasurement gain on net defined benefit liability</t>
        </is>
      </c>
      <c r="B87" s="6" t="n"/>
      <c r="C87" s="6" t="n"/>
      <c r="D87" s="6" t="n"/>
      <c r="E87" s="6" t="n">
        <v>21</v>
      </c>
      <c r="F87" s="6" t="n">
        <v>21</v>
      </c>
    </row>
    <row r="88">
      <c r="A88" s="6" t="inlineStr">
        <is>
          <t>Foreign currency translation differences arising during the year</t>
        </is>
      </c>
      <c r="B88" s="6" t="n"/>
      <c r="C88" s="6" t="n"/>
      <c r="D88" s="6" t="n">
        <v>-19706</v>
      </c>
      <c r="E88" s="6" t="n"/>
      <c r="F88" s="6" t="n">
        <v>-19706</v>
      </c>
    </row>
    <row r="89">
      <c r="A89" s="6" t="inlineStr">
        <is>
          <t>Gain arising on hedging instruments designated in net investment hedges</t>
        </is>
      </c>
      <c r="B89" s="6" t="n"/>
      <c r="C89" s="6" t="n"/>
      <c r="D89" s="6" t="n">
        <v>18406</v>
      </c>
      <c r="E89" s="6" t="n"/>
      <c r="F89" s="6" t="n">
        <v>18406</v>
      </c>
    </row>
    <row r="90">
      <c r="A90" s="5" t="inlineStr">
        <is>
          <t>At 31 December 2024 (FY2024 closing)</t>
        </is>
      </c>
      <c r="B90" s="5" t="n">
        <v>340000</v>
      </c>
      <c r="C90" s="5" t="n">
        <v>89654</v>
      </c>
      <c r="D90" s="5" t="n">
        <v>35368</v>
      </c>
      <c r="E90" s="5" t="n">
        <v>345463</v>
      </c>
      <c r="F90" s="5" t="n">
        <v>810485</v>
      </c>
    </row>
    <row r="91">
      <c r="A91" s="6" t="inlineStr">
        <is>
          <t>Profit for the year</t>
        </is>
      </c>
      <c r="B91" s="6" t="n"/>
      <c r="C91" s="6" t="n"/>
      <c r="D91" s="6" t="n"/>
      <c r="E91" s="6" t="n">
        <v>37579</v>
      </c>
      <c r="F91" s="6" t="n">
        <v>37579</v>
      </c>
    </row>
    <row r="92">
      <c r="A92" s="6" t="inlineStr">
        <is>
          <t>Remeasurement gain on net defined benefit liability</t>
        </is>
      </c>
      <c r="B92" s="6" t="n"/>
      <c r="C92" s="6" t="n"/>
      <c r="D92" s="6" t="n"/>
      <c r="E92" s="6" t="n">
        <v>40</v>
      </c>
      <c r="F92" s="6" t="n">
        <v>40</v>
      </c>
    </row>
    <row r="93">
      <c r="A93" s="6" t="inlineStr">
        <is>
          <t>Foreign currency translation differences arising during the year</t>
        </is>
      </c>
      <c r="B93" s="6" t="n"/>
      <c r="C93" s="6" t="n"/>
      <c r="D93" s="6" t="n">
        <v>-8951</v>
      </c>
      <c r="E93" s="6" t="n"/>
      <c r="F93" s="6" t="n">
        <v>-8951</v>
      </c>
    </row>
    <row r="94">
      <c r="A94" s="6" t="inlineStr">
        <is>
          <t>Gain arising on hedging instruments designated in net investment hedges</t>
        </is>
      </c>
      <c r="B94" s="6" t="n"/>
      <c r="C94" s="6" t="n"/>
      <c r="D94" s="6" t="n">
        <v>8748</v>
      </c>
      <c r="E94" s="6" t="n"/>
      <c r="F94" s="6" t="n">
        <v>8748</v>
      </c>
    </row>
    <row r="95">
      <c r="A95" s="6" t="inlineStr">
        <is>
          <t>Dividends</t>
        </is>
      </c>
      <c r="B95" s="6" t="n"/>
      <c r="C95" s="6" t="n"/>
      <c r="D95" s="6" t="n"/>
      <c r="E95" s="6" t="n">
        <v>-100000</v>
      </c>
      <c r="F95" s="6" t="n">
        <v>-100000</v>
      </c>
    </row>
    <row r="96">
      <c r="A96" s="5" t="inlineStr">
        <is>
          <t>At 31 December 2025 (FY2025 closing)</t>
        </is>
      </c>
      <c r="B96" s="5" t="n">
        <v>340000</v>
      </c>
      <c r="C96" s="5" t="n">
        <v>89654</v>
      </c>
      <c r="D96" s="5" t="n">
        <v>35165</v>
      </c>
      <c r="E96" s="5" t="n">
        <v>283082</v>
      </c>
      <c r="F96" s="5" t="n">
        <v>747901</v>
      </c>
    </row>
    <row r="98" ht="150" customHeight="1">
      <c r="A9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98:F9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Statement of Cash Flows</t>
        </is>
      </c>
    </row>
    <row r="2">
      <c r="A2" s="2" t="inlineStr">
        <is>
          <t>Not presented — the Company takes the FRS 101 reduced-disclosure exemption from presenting a cash-flow statement, in every year covered. Standalone Company basis. Every year column carries that statement rather than being left blank.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6" t="inlineStr">
        <is>
          <t>Statement of Cash Flows</t>
        </is>
      </c>
      <c r="B4" s="6" t="inlineStr">
        <is>
          <t>Not applicable - FRS 101 cash-flow-statement exemption</t>
        </is>
      </c>
      <c r="C4" s="6" t="inlineStr">
        <is>
          <t>Not applicable - FRS 101 cash-flow-statement exemption</t>
        </is>
      </c>
      <c r="D4" s="6" t="inlineStr">
        <is>
          <t>Not applicable - FRS 101 cash-flow-statement exemption</t>
        </is>
      </c>
      <c r="E4" s="6" t="inlineStr">
        <is>
          <t>Not applicable - FRS 101 cash-flow-statement exemption</t>
        </is>
      </c>
      <c r="F4" s="6" t="inlineStr">
        <is>
          <t>Not applicable - FRS 101 cash-flow-statement exemption</t>
        </is>
      </c>
      <c r="G4" s="6" t="inlineStr">
        <is>
          <t>Not applicable - FRS 101 cash-flow-statement exemption</t>
        </is>
      </c>
      <c r="H4" s="6" t="inlineStr">
        <is>
          <t>Not applicable - FRS 101 cash-flow-statement exemption</t>
        </is>
      </c>
      <c r="I4" s="6" t="inlineStr">
        <is>
          <t>Not applicable - FRS 101 cash-flow-statement exemption</t>
        </is>
      </c>
      <c r="J4" s="6" t="inlineStr">
        <is>
          <t>Not applicable - FRS 101 cash-flow-statement exemption</t>
        </is>
      </c>
      <c r="K4" s="6" t="inlineStr">
        <is>
          <t>Not applicable - FRS 101 cash-flow-statement exemption</t>
        </is>
      </c>
      <c r="L4" s="6" t="inlineStr">
        <is>
          <t>Not applicable - FRS 101 cash-flow-statement exemption</t>
        </is>
      </c>
      <c r="M4" s="6" t="inlineStr">
        <is>
          <t>Not applicable - FRS 101 cash-flow-statement exemption</t>
        </is>
      </c>
      <c r="N4" s="6" t="inlineStr">
        <is>
          <t>Not applicable - FRS 101 cash-flow-statement exemption</t>
        </is>
      </c>
      <c r="O4" s="6" t="inlineStr">
        <is>
          <t>Not applicable - FRS 101 cash-flow-statement exemption</t>
        </is>
      </c>
      <c r="P4" s="6" t="inlineStr">
        <is>
          <t>Not applicable - FRS 101 cash-flow-statement exemption</t>
        </is>
      </c>
      <c r="Q4" s="6" t="inlineStr">
        <is>
          <t>Not applicable - FRS 101 cash-flow-statement exemption</t>
        </is>
      </c>
      <c r="R4" s="6" t="inlineStr">
        <is>
          <t>Not applicable - FRS 101 cash-flow-statement exemption</t>
        </is>
      </c>
    </row>
    <row r="6" ht="220" customHeight="1">
      <c r="A6" s="8" t="inlineStr">
        <is>
          <t>FRS 101 CASH-FLOW EXEMPTION, VERIFIED AGAINST THE SOURCE 2026-09-18 (GA-006). Morgan Stanley Bank International Limited prepares its accounts under UK GAAP including Financial Reporting Standard 101 'Reduced Disclosure Framework', and takes the exemption from presenting a cash-flow statement. This is quoted rather than inferred. The FY2025 Annual Report, note 2 'Basis of preparation', printed p.47, reads: 'The Company ... is a Financial Institution as defined in FRS 101 Reduced Disclosure Framework. The Company has taken advantage of certain disclosure exemptions under FRS 101 in relation to share-based payments, fair value measurement (as applicable to assets and liabilities other than financial instruments), revenue from contracts with customers, presentation of comparative information in respect of certain assets and shares outstanding, PRESENTATION OF A CASH-FLOW STATEMENT, accounting standards not yet effective, related party transactions, and leases.' The qualifying-entity condition is stated in the same note: 'The results of the Company are included within the financial statements of Morgan Stanley, which has prepared consolidated financial statements for the year ended 31 December 2025.'
So these 17 blanks are a formal exemption the Company is entitled to and states, not a sourcing gap and not a failed search - there is no cash-flow statement to find, in any year. No parent-group cash flows are substituted in its place.
EXTRACTION NOTE: the Companies House filing is a go-tiff2pdf image scan with no text layer (98 pages, pdftotext returns zero characters), so the wording above was read from 250/300dpi renderings. A whole-document grep of that PDF returns zero hits for 'FRS 101' and would be meaningless - it returns zero for every term, the document having no text at all.
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6:R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Asset Quality</t>
        </is>
      </c>
    </row>
    <row r="2">
      <c r="A2" s="2" t="inlineStr">
        <is>
          <t>Exposure to credit risk by class, external counterparties only. £'000. Morgan Stanley Group undertaking exposures (Secured financing, and large portions of Loans and advances to banks/customers) are separately disclosed each year but are fully covered by intercompany collateral or the Morgan Stanley parent guarantee, leaving £nil net exposure — excluded here as not third-party credit risk. All exposures subject to ECL are internally rated Stage 1 in every IFRS 9-era year reviewed (£nil Stage 3/default; FY2020 carried a small ~£3.0m Stage 2 loan commitment balance, immaterial to the total) — a wholesale/broker-dealer credit profile, not a retail loan book. FY2014-FY2017 predate IFRS 9 (adopted 1 January 2018) and used the incurred-loss 'individually impaired' concept instead of ECL staging; those years' Stage 1/Stage 3 cells are left blank (the concept did not exist yet) and a separate row reports the actual pre-IFRS 9 impaired balance. FY2014 is a genuine, material outlier: one borrower's entry into administration in March 2014 drove an £83,173k impairment loss (gross exposure £111,239k, net carrying £28,066k) — over 800x the impaired balances seen in FY2015-FY2017 (£1,674k/£126k/£131k) — a real credit event in the source documents, not a transcription error.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Exposure to credit risk by class, subject to ECL / gross credit exposure (external counterparties only)</t>
        </is>
      </c>
      <c r="B4" s="6" t="n"/>
      <c r="C4" s="6" t="n"/>
      <c r="D4" s="6" t="n"/>
      <c r="E4" s="6" t="n"/>
      <c r="F4" s="6" t="n"/>
      <c r="G4" s="6" t="n"/>
      <c r="H4" s="6" t="n"/>
      <c r="I4" s="6" t="n"/>
      <c r="J4" s="6" t="n"/>
      <c r="K4" s="6" t="n"/>
      <c r="L4" s="6" t="n"/>
      <c r="M4" s="6" t="n"/>
    </row>
    <row r="5">
      <c r="A5" s="6" t="inlineStr">
        <is>
          <t>Cash and balances at central banks</t>
        </is>
      </c>
      <c r="B5" s="6" t="n">
        <v>24687</v>
      </c>
      <c r="C5" s="6" t="n">
        <v>17404</v>
      </c>
      <c r="D5" s="6" t="n">
        <v>6870</v>
      </c>
      <c r="E5" s="6" t="n">
        <v>47133</v>
      </c>
      <c r="F5" s="6" t="n">
        <v>20144</v>
      </c>
      <c r="G5" s="6" t="n">
        <v>14613</v>
      </c>
      <c r="H5" s="6" t="n">
        <v>122601</v>
      </c>
      <c r="I5" s="6" t="n">
        <v>15</v>
      </c>
      <c r="J5" s="6" t="n">
        <v>52687</v>
      </c>
      <c r="K5" s="6" t="n">
        <v>63784</v>
      </c>
      <c r="L5" s="6" t="n">
        <v>30279</v>
      </c>
      <c r="M5" s="6" t="n">
        <v>3308</v>
      </c>
    </row>
    <row r="6">
      <c r="A6" s="6" t="inlineStr">
        <is>
          <t>Loans and advances to banks — external counterparties</t>
        </is>
      </c>
      <c r="B6" s="6" t="n">
        <v>133463</v>
      </c>
      <c r="C6" s="6" t="n">
        <v>205239</v>
      </c>
      <c r="D6" s="6" t="n">
        <v>181342</v>
      </c>
      <c r="E6" s="6" t="n">
        <v>169755</v>
      </c>
      <c r="F6" s="6" t="n">
        <v>124091</v>
      </c>
      <c r="G6" s="6" t="n">
        <v>330642</v>
      </c>
      <c r="H6" s="6" t="n">
        <v>131145</v>
      </c>
      <c r="I6" s="6" t="n">
        <v>106124</v>
      </c>
      <c r="J6" s="6" t="n">
        <v>144462</v>
      </c>
      <c r="K6" s="6" t="n">
        <v>154943</v>
      </c>
      <c r="L6" s="6" t="n">
        <v>89402</v>
      </c>
      <c r="M6" s="6" t="n">
        <v>150932</v>
      </c>
    </row>
    <row r="7">
      <c r="A7" s="6" t="inlineStr">
        <is>
          <t>Loans and advances to customers — external counterparties</t>
        </is>
      </c>
      <c r="B7" s="6" t="n">
        <v>156</v>
      </c>
      <c r="C7" s="6" t="n">
        <v>40747</v>
      </c>
      <c r="D7" s="6" t="n">
        <v>226</v>
      </c>
      <c r="E7" s="6" t="n">
        <v>285</v>
      </c>
      <c r="F7" s="6" t="n">
        <v>0</v>
      </c>
      <c r="G7" s="6" t="n">
        <v>7206</v>
      </c>
      <c r="H7" s="6" t="n">
        <v>28437</v>
      </c>
      <c r="I7" s="6" t="n">
        <v>31845</v>
      </c>
      <c r="J7" s="6" t="n">
        <v>95640</v>
      </c>
      <c r="K7" s="6" t="n">
        <v>82865</v>
      </c>
      <c r="L7" s="6" t="n">
        <v>81932</v>
      </c>
      <c r="M7" s="6" t="n">
        <v>431190</v>
      </c>
    </row>
    <row r="8">
      <c r="A8" s="6" t="inlineStr">
        <is>
          <t>Other receivables</t>
        </is>
      </c>
      <c r="B8" s="6" t="n">
        <v>16304</v>
      </c>
      <c r="C8" s="6" t="n">
        <v>20082</v>
      </c>
      <c r="D8" s="6" t="n">
        <v>34100</v>
      </c>
      <c r="E8" s="6" t="n">
        <v>30374</v>
      </c>
      <c r="F8" s="6" t="n">
        <v>22811</v>
      </c>
      <c r="G8" s="6" t="n">
        <v>13774</v>
      </c>
      <c r="H8" s="6" t="n">
        <v>10013</v>
      </c>
      <c r="I8" s="6" t="n">
        <v>16071</v>
      </c>
      <c r="J8" s="6" t="n">
        <v>29716</v>
      </c>
      <c r="K8" s="6" t="n">
        <v>11526</v>
      </c>
      <c r="L8" s="6" t="n">
        <v>19736</v>
      </c>
      <c r="M8" s="6" t="n">
        <v>23098</v>
      </c>
    </row>
    <row r="9">
      <c r="A9" s="5" t="inlineStr">
        <is>
          <t>Total gross credit exposure (external)</t>
        </is>
      </c>
      <c r="B9" s="5" t="n">
        <v>174610</v>
      </c>
      <c r="C9" s="5" t="n">
        <v>283472</v>
      </c>
      <c r="D9" s="5" t="n">
        <v>222538</v>
      </c>
      <c r="E9" s="5" t="n">
        <v>247547</v>
      </c>
      <c r="F9" s="5" t="n">
        <v>167046</v>
      </c>
      <c r="G9" s="5" t="n">
        <v>366235</v>
      </c>
      <c r="H9" s="5" t="n">
        <v>292196</v>
      </c>
      <c r="I9" s="5" t="n">
        <v>154055</v>
      </c>
      <c r="J9" s="5" t="n">
        <v>322505</v>
      </c>
      <c r="K9" s="5" t="n">
        <v>313118</v>
      </c>
      <c r="L9" s="5" t="n">
        <v>221349</v>
      </c>
      <c r="M9" s="5" t="n">
        <v>608528</v>
      </c>
    </row>
    <row r="10">
      <c r="A10" s="6" t="inlineStr">
        <is>
          <t>Of which: Stage 1 (IFRS 9, FY2018 onward)</t>
        </is>
      </c>
      <c r="B10" s="6" t="inlineStr">
        <is>
          <t>100%</t>
        </is>
      </c>
      <c r="C10" s="6" t="inlineStr">
        <is>
          <t>100%</t>
        </is>
      </c>
      <c r="D10" s="6" t="inlineStr">
        <is>
          <t>100%</t>
        </is>
      </c>
      <c r="E10" s="6" t="inlineStr">
        <is>
          <t>100%</t>
        </is>
      </c>
      <c r="F10" s="6" t="inlineStr">
        <is>
          <t>100%</t>
        </is>
      </c>
      <c r="G10" s="6" t="inlineStr">
        <is>
          <t>~99%</t>
        </is>
      </c>
      <c r="H10" s="6" t="inlineStr">
        <is>
          <t>100%</t>
        </is>
      </c>
      <c r="I10" s="6" t="inlineStr">
        <is>
          <t>100%</t>
        </is>
      </c>
      <c r="J10" s="6" t="n"/>
      <c r="K10" s="6" t="n"/>
      <c r="L10" s="6" t="n"/>
      <c r="M10" s="6" t="n"/>
    </row>
    <row r="11">
      <c r="A11" s="6" t="inlineStr">
        <is>
          <t>Of which: Stage 3 / default (NPL ratio, IFRS 9, FY2018 onward)</t>
        </is>
      </c>
      <c r="B11" s="6" t="inlineStr">
        <is>
          <t>0.0%</t>
        </is>
      </c>
      <c r="C11" s="6" t="inlineStr">
        <is>
          <t>0.0%</t>
        </is>
      </c>
      <c r="D11" s="6" t="inlineStr">
        <is>
          <t>0.0%</t>
        </is>
      </c>
      <c r="E11" s="6" t="inlineStr">
        <is>
          <t>0.0%</t>
        </is>
      </c>
      <c r="F11" s="6" t="inlineStr">
        <is>
          <t>0.0%</t>
        </is>
      </c>
      <c r="G11" s="6" t="inlineStr">
        <is>
          <t>0.0%</t>
        </is>
      </c>
      <c r="H11" s="6" t="inlineStr">
        <is>
          <t>0.0%</t>
        </is>
      </c>
      <c r="I11" s="6" t="inlineStr">
        <is>
          <t>0.0%</t>
        </is>
      </c>
      <c r="J11" s="6" t="n"/>
      <c r="K11" s="6" t="n"/>
      <c r="L11" s="6" t="n"/>
      <c r="M11" s="6" t="n"/>
    </row>
    <row r="12">
      <c r="A12" s="6" t="inlineStr">
        <is>
          <t>Individually impaired loans and advances to customers, gross (pre-IFRS 9, FY2014-FY2017)</t>
        </is>
      </c>
      <c r="B12" s="6" t="n"/>
      <c r="C12" s="6" t="n"/>
      <c r="D12" s="6" t="n"/>
      <c r="E12" s="6" t="n"/>
      <c r="F12" s="6" t="n"/>
      <c r="G12" s="6" t="n"/>
      <c r="H12" s="6" t="n"/>
      <c r="I12" s="6" t="n"/>
      <c r="J12" s="6" t="n">
        <v>131</v>
      </c>
      <c r="K12" s="6" t="n">
        <v>126</v>
      </c>
      <c r="L12" s="6" t="n">
        <v>1674</v>
      </c>
      <c r="M12" s="6" t="n">
        <v>111239</v>
      </c>
    </row>
    <row r="14" ht="280" customHeight="1">
      <c r="A14"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FY2025: Note 28.2.3 'Exposure to credit risk by class' p.76, Note 28.2.4 'Exposure to Credit Risk by Internal Rating Grades' p.77. FY2024/FY2023: Note 27.2.3, p.75. FY2022/FY2021: Note 28.2.4 'Exposure to Credit Risk' p.72. FY2020: Note 35 'Exposure to credit risk by class' / 'by internal rating grades', pp.91-94 — https://find-and-update.company-information.service.gov.uk/company/03722571/filing-history/MzMwMTE4OTc0MWFkaXF6a2N4/document?format=pdf&amp;download=0. FY2019: via the FY2020 report's own FY2019 comparative, same pages. FY2018: Note 32 'Exposure to credit risk by class' p.75 and 'by internal rating grades' pp.77-80 — https://find-and-update.company-information.service.gov.uk/company/03722571/filing-history/MzIzMzQ0NTc3NWFkaXF6a2N4/document?format=pdf&amp;download=0. FY2017: Note 28 'Exposure to credit risk by class' p.64 and 'Maximum exposure to credit risk by credit rating' p.65 (individually impaired balance) — https://find-and-update.company-information.service.gov.uk/company/03722571/filing-history/MzIwNDA4MDg1M2FkaXF6a2N4/document?format=pdf&amp;download=0. FY2016: Note 28 'Exposure to credit risk by class' p.51 and 'Financial assets individually impaired' p.52 — https://find-and-update.company-information.service.gov.uk/company/03722571/filing-history/MzE3NTI3MTY1OWFkaXF6a2N4/document?format=pdf&amp;download=0. FY2015: via the FY2016 report's own FY2015 comparative, same pages. FY2014: Note 29 'Exposure to credit risk by class' p.51 and 'Financial assets individually impaired' p.52 — https://find-and-update.company-information.service.gov.uk/company/03722571/filing-history/MzEyMjM5NTcyOWFkaXF6a2N4/document?format=pdf&amp;download=0.</t>
        </is>
      </c>
    </row>
  </sheetData>
  <mergeCells count="1">
    <mergeCell ref="A14:M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KM1 Key Metrics</t>
        </is>
      </c>
    </row>
    <row r="2">
      <c r="A2" s="2" t="inlineStr">
        <is>
          <t>Not applicable: MSBIL publishes no Pillar 3 disclosure of its own, and its UK parent's Pillar 3 carries no KM1 on an MSBIL basis. The parent's own KM1 is a Morgan Stanley International Limited Group consolidated table and is deliberately NOT reproduced here - a group figure is not this entity's figure. See the source note for the affirmative evidence.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UK KM1 key metrics template</t>
        </is>
      </c>
      <c r="B4" s="6" t="inlineStr">
        <is>
          <t>Not applicable</t>
        </is>
      </c>
      <c r="C4" s="6" t="inlineStr">
        <is>
          <t>Not applicable</t>
        </is>
      </c>
      <c r="D4" s="6" t="inlineStr">
        <is>
          <t>Not applicable</t>
        </is>
      </c>
      <c r="E4" s="6" t="inlineStr">
        <is>
          <t>Not applicable</t>
        </is>
      </c>
      <c r="F4" s="6" t="inlineStr">
        <is>
          <t>Not applicable</t>
        </is>
      </c>
      <c r="G4" s="6" t="inlineStr">
        <is>
          <t>Not applicable</t>
        </is>
      </c>
      <c r="H4" s="6" t="inlineStr">
        <is>
          <t>Not applicable</t>
        </is>
      </c>
      <c r="I4" s="6" t="inlineStr">
        <is>
          <t>Not applicable</t>
        </is>
      </c>
      <c r="J4" s="6" t="inlineStr">
        <is>
          <t>Not applicable</t>
        </is>
      </c>
      <c r="K4" s="6" t="inlineStr">
        <is>
          <t>Not applicable</t>
        </is>
      </c>
      <c r="L4" s="6" t="inlineStr">
        <is>
          <t>Not applicable</t>
        </is>
      </c>
      <c r="M4" s="6" t="inlineStr">
        <is>
          <t>Not applicable</t>
        </is>
      </c>
    </row>
    <row r="6" ht="34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WHY THIS SHEET IS 'NOT APPLICABLE' - AFFIRMATIVE EVIDENCE, NOT A FAILED SEARCH. Checked 2026-09-17 against Morgan Stanley's own UK regulatory-disclosures page, https://www.morganstanley.com/about-us-ir/pillar-uk, which lists every UK Pillar 3 document the group publishes, annual and quarterly, from 2009 to the 2026 first quarter. Three separate documents settle it:
1. THE BANK'S OWN ACCOUNTS SAY WHERE ITS PILLAR 3 INFORMATION LIVES. MSBIL's Report and Financial Statements for the year ended 31 December 2025, Strategic Report, 'Capital Management': 'Further information is available in the Pillar 3 Regulatory Disclosures Report of the MSI Group, available at www.morganstanley.com/about-us-ir/'. The Company points the reader at its parent's document rather than at one of its own. (That filing is a 98-page scan with no text layer - pdftotext returns 99 characters from the whole document - so it was read by rendering the pages at 200dpi and OCRing them. A plain text search of it returns a false negative on every term.)
2. THE PARENT'S PILLAR 3 STATES ITS OWN LEVEL OF APPLICATION, AND IT IS NOT PER-ENTITY. Morgan Stanley International Limited Group, Pillar 3 Regulatory Disclosure (UK) as at 31 December 2025, section 4 'Basis of Preparation and Linkage to Financial Accounts': 'This disclosure is prepared for the MSI Group, rather than on an individual basis for each regulated entity, as permissible under the PRA rulebook.' Identical wording appears in the 2021, 2022, 2023 and 2024 editions.
3. MSBIL IS NAMED AS A SUBSIDIARY AND EXCLUDED FROM THE LARGE-SUBSIDIARY POPULATION. The same document's scope-of-disclosure section: 'As at 31 December 2025, Morgan Stanley &amp; Co. International plc (“MSIP”) and MSESE are considered large subsidiaries within the MSI Group... The Pillar 3 disclosures as at 31 December 2025 are prepared on the basis of the consolidated situation of the MSI Group. In addition, certain disclosures are required for MSIP as a large subsidiary and MSESE as a large non-listed subsidiary of MSI Group.' MSBIL appears in the same document's list of MSI Group subsidiaries but is not among the large subsidiaries, so no subsidiary-level KM1 block is owed for it or printed for it. This is the UK Article 433 / large-subsidiary test producing a FORMAL EXCLUSION, which is a stronger finding than not locating a table.
THE PARENT'S KM1 IS DELIBERATELY NOT COPIED HERE. The MSI Group Pillar 3 does carry a UK KM1 - 'Table 1a: Key metrics (UK KM1) - MSI Group' - and a second one, 'Table 1b: Key metrics (EU KM1) - MSESE Group'. Neither is an MSBIL table. MSI Group is the consolidated UK sub-group that contains MSIP and the other UK entities as well as MSBIL, so its capital, RWAs, leverage and liquidity are materially different from this Company's, and substituting them would misstate every row. The entity chain is Morgan Stanley (US ultimate parent) -&gt; Morgan Stanley International Limited (the ultimate UK parent undertaking, and the entity that discloses under the PRA Rulebook) -&gt; Morgan Stanley Bank International Limited, and it is the middle layer, not the US top, that carries the UK disclosure duty.
WHAT THE 11 SINGLE-METRIC SHEETS IN THIS WORKBOOK THEREFORE REST ON: MSBIL's own audited annual reports, which disclose its own-entity capital, RWAs, leverage and liquidity in their capital management notes. Those are this Company's figures on this Company's basis; they are simply not presented in the KM1 template, because MSBIL never publishes that template.</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676229</v>
      </c>
      <c r="C4" s="6" t="n">
        <v>709078</v>
      </c>
      <c r="D4" s="6" t="n">
        <v>685522</v>
      </c>
      <c r="E4" s="6" t="n">
        <v>702944</v>
      </c>
      <c r="F4" s="6" t="n">
        <v>717693</v>
      </c>
      <c r="G4" s="6" t="n">
        <v>574718</v>
      </c>
      <c r="H4" s="6" t="n">
        <v>593318</v>
      </c>
      <c r="I4" s="6" t="n">
        <v>578569</v>
      </c>
      <c r="J4" s="6" t="n">
        <v>543786</v>
      </c>
      <c r="K4" s="6" t="n">
        <v>517117</v>
      </c>
      <c r="L4" s="6" t="n">
        <v>472587</v>
      </c>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capital ratio</t>
        </is>
      </c>
      <c r="B4" s="6" t="inlineStr">
        <is>
          <t>42.6%</t>
        </is>
      </c>
      <c r="C4" s="6" t="inlineStr">
        <is>
          <t>46.7%</t>
        </is>
      </c>
      <c r="D4" s="6" t="inlineStr">
        <is>
          <t>31.7%</t>
        </is>
      </c>
      <c r="E4" s="6" t="inlineStr">
        <is>
          <t>34.0%</t>
        </is>
      </c>
      <c r="F4" s="6" t="inlineStr">
        <is>
          <t>34.4%</t>
        </is>
      </c>
      <c r="G4" s="6" t="inlineStr">
        <is>
          <t>23.3%</t>
        </is>
      </c>
      <c r="H4" s="6" t="inlineStr">
        <is>
          <t>20.9%</t>
        </is>
      </c>
      <c r="I4" s="6" t="inlineStr">
        <is>
          <t>17.3%</t>
        </is>
      </c>
      <c r="J4" s="6" t="inlineStr">
        <is>
          <t>19.0%</t>
        </is>
      </c>
      <c r="K4" s="6" t="inlineStr">
        <is>
          <t>18.4%</t>
        </is>
      </c>
      <c r="L4" s="6" t="inlineStr">
        <is>
          <t>17.1%</t>
        </is>
      </c>
    </row>
    <row r="5" ht="60" customHeight="1">
      <c r="A5" s="7" t="inlineStr">
        <is>
          <t>Note: FY2015-FY2018: the annual reports disclose only 'Tier 1 capital' and 'Tier 1 capital ratio', not a separately-labelled CET1 figure. The FY2019/FY2020 reports' own Own Funds tables confirm CET1 = Tier 1 capital exactly in both years (no Additional Tier 1 instruments), so the disclosed Tier 1 figures are used here on that structural basis. FY2014: no capital ratio of any kind was disclosed (see Total RWAs sheet note).</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676229</v>
      </c>
      <c r="C4" s="6" t="n">
        <v>709078</v>
      </c>
      <c r="D4" s="6" t="n">
        <v>685522</v>
      </c>
      <c r="E4" s="6" t="n">
        <v>702944</v>
      </c>
      <c r="F4" s="6" t="n">
        <v>717693</v>
      </c>
      <c r="G4" s="6" t="n">
        <v>574718</v>
      </c>
      <c r="H4" s="6" t="n">
        <v>593318</v>
      </c>
      <c r="I4" s="6" t="n">
        <v>578569</v>
      </c>
      <c r="J4" s="6" t="n">
        <v>543786</v>
      </c>
      <c r="K4" s="6" t="n">
        <v>517117</v>
      </c>
      <c r="L4" s="6" t="n">
        <v>472587</v>
      </c>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 ratio</t>
        </is>
      </c>
      <c r="B4" s="6" t="inlineStr">
        <is>
          <t>42.6%</t>
        </is>
      </c>
      <c r="C4" s="6" t="inlineStr">
        <is>
          <t>46.7%</t>
        </is>
      </c>
      <c r="D4" s="6" t="inlineStr">
        <is>
          <t>31.7%</t>
        </is>
      </c>
      <c r="E4" s="6" t="inlineStr">
        <is>
          <t>34.0%</t>
        </is>
      </c>
      <c r="F4" s="6" t="inlineStr">
        <is>
          <t>34.4%</t>
        </is>
      </c>
      <c r="G4" s="6" t="inlineStr">
        <is>
          <t>23.3%</t>
        </is>
      </c>
      <c r="H4" s="6" t="inlineStr">
        <is>
          <t>20.9%</t>
        </is>
      </c>
      <c r="I4" s="6" t="inlineStr">
        <is>
          <t>17.3%</t>
        </is>
      </c>
      <c r="J4" s="6" t="inlineStr">
        <is>
          <t>19.0%</t>
        </is>
      </c>
      <c r="K4" s="6" t="inlineStr">
        <is>
          <t>18.4%</t>
        </is>
      </c>
      <c r="L4" s="6" t="inlineStr">
        <is>
          <t>17.1%</t>
        </is>
      </c>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Morgan Stanley Bank International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resources</t>
        </is>
      </c>
      <c r="B4" s="6" t="n">
        <v>934449</v>
      </c>
      <c r="C4" s="6" t="n">
        <v>908739</v>
      </c>
      <c r="D4" s="6" t="n">
        <v>935655</v>
      </c>
      <c r="E4" s="6" t="n">
        <v>1003410</v>
      </c>
      <c r="F4" s="6" t="n">
        <v>916488</v>
      </c>
      <c r="G4" s="6" t="n">
        <v>824718</v>
      </c>
      <c r="H4" s="6" t="n">
        <v>843318</v>
      </c>
    </row>
    <row r="5" ht="60" customHeight="1">
      <c r="A5" s="7" t="inlineStr">
        <is>
          <t>Note: FY2014-FY2018: Total Capital / Total Own Funds was not disclosed - only Tier 1 capital, Tier 1 ratio and leverage ratio appear in those years' annual reports.</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Morgan Stanley Bank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58.9%</t>
        </is>
      </c>
      <c r="C4" s="6" t="inlineStr">
        <is>
          <t>59.8%</t>
        </is>
      </c>
      <c r="D4" s="6" t="inlineStr">
        <is>
          <t>43.3%</t>
        </is>
      </c>
      <c r="E4" s="6" t="inlineStr">
        <is>
          <t>48.5%</t>
        </is>
      </c>
      <c r="F4" s="6" t="inlineStr">
        <is>
          <t>44.0%</t>
        </is>
      </c>
      <c r="G4" s="6" t="inlineStr">
        <is>
          <t>33.5%</t>
        </is>
      </c>
      <c r="H4" s="6" t="inlineStr">
        <is>
          <t>29.7%</t>
        </is>
      </c>
    </row>
    <row r="5" ht="60" customHeight="1">
      <c r="A5" s="7" t="inlineStr">
        <is>
          <t>Note: FY2014-FY2018: not disclosed (see Total Capital sheet note).</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Morgan Stanley Bank International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t>
        </is>
      </c>
      <c r="B4" s="6" t="n">
        <v>1586014</v>
      </c>
      <c r="C4" s="6" t="n">
        <v>1519269</v>
      </c>
      <c r="D4" s="6" t="n">
        <v>2161713</v>
      </c>
      <c r="E4" s="6" t="n">
        <v>2068356</v>
      </c>
      <c r="F4" s="6" t="n">
        <v>2081783</v>
      </c>
      <c r="G4" s="6" t="n">
        <v>2462638</v>
      </c>
      <c r="H4" s="6" t="n">
        <v>2836626</v>
      </c>
    </row>
    <row r="5" ht="60" customHeight="1">
      <c r="A5" s="7" t="inlineStr">
        <is>
          <t>Note: FY2014-FY2018: Total RWAs were not disclosed as a standalone figure in those years' annual reports (only Tier 1 capital and Tier 1 ratio, from which RWAs could be back-calculated, but that would be an estimate rather than a disclosed figure, so is left blank per this project's convention). FY2014: no capital metric of any kind (CET1/Tier 1/Total Capital/RWA/leverage/LCR/NSFR) was disclosed anywhere in the FY2014 Annual Report, nor as a comparative in any later report - the KPI section first appears in the FY2016 report and reaches back only to FY2015. This is a genuine disclosure gap, not an omission by this project.</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Morgan Stanley Bank International Limited — RWA Breakdown</t>
        </is>
      </c>
    </row>
    <row r="2">
      <c r="A2" s="2" t="inlineStr">
        <is>
          <t>Company's own 'RWAs' table (Strategic Report), by risk category. £'000. Ties exactly to the Total RWAs sheet in every year FY2020-FY2025. FY2020 is sourced from the FY2021 Annual Report's own FY2020 comparative column (the FY2020 Annual Report itself gives only a single Total RWAs figure, with no risk-category split anywhere in its Strategic Report or notes). FY2014-FY2019: not disclosed - those years' annual reports (and, for FY2019, the FY2020 Annual Report's FY2019 comparative column) give only a single Total RWAs figure (and only from FY2019 onward; see the Total RWAs sheet), with no credit/market/operational risk category split found anywhere in the Strategic Report or notes reviewed.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RWAs</t>
        </is>
      </c>
      <c r="B4" s="6" t="n">
        <v>438035</v>
      </c>
      <c r="C4" s="6" t="n">
        <v>427744</v>
      </c>
      <c r="D4" s="6" t="n">
        <v>513578</v>
      </c>
      <c r="E4" s="6" t="n">
        <v>619276</v>
      </c>
      <c r="F4" s="6" t="n">
        <v>736089</v>
      </c>
      <c r="G4" s="6" t="n">
        <v>962391</v>
      </c>
    </row>
    <row r="5">
      <c r="A5" s="6" t="inlineStr">
        <is>
          <t>Market RWAs</t>
        </is>
      </c>
      <c r="B5" s="6" t="n">
        <v>1004032</v>
      </c>
      <c r="C5" s="6" t="n">
        <v>964352</v>
      </c>
      <c r="D5" s="6" t="n">
        <v>1537651</v>
      </c>
      <c r="E5" s="6" t="n">
        <v>1254480</v>
      </c>
      <c r="F5" s="6" t="n">
        <v>1098855</v>
      </c>
      <c r="G5" s="6" t="n">
        <v>1219637</v>
      </c>
    </row>
    <row r="6">
      <c r="A6" s="6" t="inlineStr">
        <is>
          <t>Operational risk RWAs</t>
        </is>
      </c>
      <c r="B6" s="6" t="n">
        <v>143947</v>
      </c>
      <c r="C6" s="6" t="n">
        <v>127173</v>
      </c>
      <c r="D6" s="6" t="n">
        <v>110484</v>
      </c>
      <c r="E6" s="6" t="n">
        <v>194600</v>
      </c>
      <c r="F6" s="6" t="n">
        <v>246839</v>
      </c>
      <c r="G6" s="6" t="n">
        <v>280610</v>
      </c>
    </row>
    <row r="7">
      <c r="A7" s="5" t="inlineStr">
        <is>
          <t>Total RWAs</t>
        </is>
      </c>
      <c r="B7" s="5" t="n">
        <v>1586014</v>
      </c>
      <c r="C7" s="5" t="n">
        <v>1519269</v>
      </c>
      <c r="D7" s="5" t="n">
        <v>2161713</v>
      </c>
      <c r="E7" s="5" t="n">
        <v>2068356</v>
      </c>
      <c r="F7" s="5" t="n">
        <v>2081783</v>
      </c>
      <c r="G7" s="5" t="n">
        <v>2462638</v>
      </c>
    </row>
    <row r="9" ht="220" customHeight="1">
      <c r="A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RWA Breakdown detail - FY2020: Annual Report and Financial Statements for year ended 31 December 2021, p.7 ('Liquidity and capital management and regulation' - RWAs table, FY2020 comparative column) - https://find-and-update.company-information.service.gov.uk/company/03722571/filing-history/MzMzODIzODA1MmFkaXF6a2N4/document?format=pdf&amp;download=0. FY2021-FY2025: each year's own Annual Report, same table in the same section of that year's Strategic Report.</t>
        </is>
      </c>
    </row>
  </sheetData>
  <mergeCells count="1">
    <mergeCell ref="A9:G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exposure</t>
        </is>
      </c>
      <c r="B4" s="6" t="n">
        <v>2233488</v>
      </c>
      <c r="C4" s="6" t="n">
        <v>2436257</v>
      </c>
      <c r="D4" s="6" t="n">
        <v>2874295</v>
      </c>
      <c r="E4" s="6" t="n">
        <v>3795132</v>
      </c>
      <c r="F4" s="6" t="n">
        <v>2384965</v>
      </c>
      <c r="G4" s="6" t="n">
        <v>2900986</v>
      </c>
      <c r="H4" s="6" t="n">
        <v>3635898</v>
      </c>
      <c r="I4" s="6" t="n"/>
      <c r="J4" s="6" t="n"/>
      <c r="K4" s="6" t="n"/>
      <c r="L4" s="6" t="n"/>
    </row>
    <row r="5">
      <c r="A5" s="6" t="inlineStr">
        <is>
          <t>Leverage ratio</t>
        </is>
      </c>
      <c r="B5" s="6" t="inlineStr">
        <is>
          <t>30.3%</t>
        </is>
      </c>
      <c r="C5" s="6" t="inlineStr">
        <is>
          <t>29.1%</t>
        </is>
      </c>
      <c r="D5" s="6" t="inlineStr">
        <is>
          <t>23.9%</t>
        </is>
      </c>
      <c r="E5" s="6" t="inlineStr">
        <is>
          <t>18.5%</t>
        </is>
      </c>
      <c r="F5" s="6" t="inlineStr">
        <is>
          <t>30.1%</t>
        </is>
      </c>
      <c r="G5" s="6" t="inlineStr">
        <is>
          <t>19.8%</t>
        </is>
      </c>
      <c r="H5" s="6" t="inlineStr">
        <is>
          <t>16.3%</t>
        </is>
      </c>
      <c r="I5" s="6" t="inlineStr">
        <is>
          <t>18.0%</t>
        </is>
      </c>
      <c r="J5" s="6" t="inlineStr">
        <is>
          <t>16.0%</t>
        </is>
      </c>
      <c r="K5" s="6" t="inlineStr">
        <is>
          <t>13.7%</t>
        </is>
      </c>
      <c r="L5" s="6" t="inlineStr">
        <is>
          <t>14.7%</t>
        </is>
      </c>
    </row>
    <row r="6" ht="60" customHeight="1">
      <c r="A6" s="7" t="inlineStr">
        <is>
          <t>Note: FY2014-FY2018: Leverage exposure (the £'000 figure) was not disclosed, only the leverage ratio itself. FY2014 has no leverage ratio at all - public disclosure requirements for this ratio only became effective for reporting periods from 1 January 2015, per the Company's own FY2016 Annual Report.</t>
        </is>
      </c>
    </row>
    <row r="8" ht="220" customHeight="1">
      <c r="A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Morgan Stanley Bank International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buffer — HQLA</t>
        </is>
      </c>
      <c r="B4" s="6" t="n">
        <v>1110032</v>
      </c>
      <c r="C4" s="6" t="n">
        <v>1825386</v>
      </c>
      <c r="D4" s="6" t="n">
        <v>1190200</v>
      </c>
      <c r="E4" s="6" t="n">
        <v>1230539</v>
      </c>
      <c r="F4" s="6" t="n">
        <v>1240953</v>
      </c>
      <c r="G4" s="6" t="n">
        <v>1594671</v>
      </c>
      <c r="H4" s="6" t="n">
        <v>1220056</v>
      </c>
    </row>
    <row r="5">
      <c r="A5" s="6" t="inlineStr">
        <is>
          <t>Liquidity coverage ratio</t>
        </is>
      </c>
      <c r="B5" s="6" t="inlineStr">
        <is>
          <t>412%</t>
        </is>
      </c>
      <c r="C5" s="6" t="inlineStr">
        <is>
          <t>417%</t>
        </is>
      </c>
      <c r="D5" s="6" t="inlineStr">
        <is>
          <t>250%</t>
        </is>
      </c>
      <c r="E5" s="6" t="inlineStr">
        <is>
          <t>191%</t>
        </is>
      </c>
      <c r="F5" s="6" t="inlineStr">
        <is>
          <t>226%</t>
        </is>
      </c>
      <c r="G5" s="6" t="inlineStr">
        <is>
          <t>219%</t>
        </is>
      </c>
      <c r="H5" s="6" t="inlineStr">
        <is>
          <t>210%</t>
        </is>
      </c>
    </row>
    <row r="6" ht="60" customHeight="1">
      <c r="A6" s="7" t="inlineStr">
        <is>
          <t>Note: The reports state that the HQLA amounts are reported to the regulator in USD and converted to GBP using an average annual exchange rate; the ratios are calculated using the preceding twelve months. FY2014-FY2018: no LCR/HQLA figure was disclosed anywhere in those years' annual reports (confirmed by direct review of each year's liquidity risk note).</t>
        </is>
      </c>
    </row>
    <row r="8" ht="220" customHeight="1">
      <c r="A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8:H8"/>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Available stable funding</t>
        </is>
      </c>
      <c r="B4" s="6" t="n">
        <v>1485790</v>
      </c>
      <c r="C4" s="6" t="n">
        <v>1597110</v>
      </c>
      <c r="D4" s="6" t="n">
        <v>2191000</v>
      </c>
      <c r="E4" s="6" t="n">
        <v>2344000</v>
      </c>
      <c r="F4" s="6" t="inlineStr">
        <is>
          <t>Not disclosed</t>
        </is>
      </c>
    </row>
    <row r="5">
      <c r="A5" s="6" t="inlineStr">
        <is>
          <t>Required stable funding</t>
        </is>
      </c>
      <c r="B5" s="6" t="n">
        <v>574724</v>
      </c>
      <c r="C5" s="6" t="n">
        <v>716541</v>
      </c>
      <c r="D5" s="6" t="n">
        <v>1346000</v>
      </c>
      <c r="E5" s="6" t="n">
        <v>1417000</v>
      </c>
      <c r="F5" s="6" t="inlineStr">
        <is>
          <t>Not disclosed</t>
        </is>
      </c>
    </row>
    <row r="6">
      <c r="A6" s="6" t="inlineStr">
        <is>
          <t>Net Stable Funding Ratio</t>
        </is>
      </c>
      <c r="B6" s="6" t="inlineStr">
        <is>
          <t>263%</t>
        </is>
      </c>
      <c r="C6" s="6" t="inlineStr">
        <is>
          <t>223%</t>
        </is>
      </c>
      <c r="D6" s="6" t="inlineStr">
        <is>
          <t>163%</t>
        </is>
      </c>
      <c r="E6" s="6" t="inlineStr">
        <is>
          <t>165%</t>
        </is>
      </c>
      <c r="F6" s="6" t="inlineStr">
        <is>
          <t>Not disclosed</t>
        </is>
      </c>
    </row>
    <row r="7" ht="60" customHeight="1">
      <c r="A7" s="7" t="inlineStr">
        <is>
          <t>Note: The Company states that NSFR became a PRA requirement from 1 January 2022; no NSFR was disclosed for FY2014-FY2021.</t>
        </is>
      </c>
    </row>
    <row r="9" ht="220" customHeight="1">
      <c r="A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6" ht="15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No standalone MREL ratio was numerically disclosed in any of the twelve annual reports reviewed (FY2014-FY2025); group-level resolution disclosures were not substituted.</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2026-09-18T08:11:07Z</dcterms:created>
  <dcterms:modified xmlns:dcterms="http://purl.org/dc/terms/" xmlns:xsi="http://www.w3.org/2001/XMLSchema-instance" xsi:type="dcterms:W3CDTF">2026-09-18T08:11:07Z</dcterms:modified>
</cp:coreProperties>
</file>