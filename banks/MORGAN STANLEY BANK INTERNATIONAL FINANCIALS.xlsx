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i val="1"/>
      <color rgb="00444444"/>
      <sz val="9"/>
    </font>
    <font>
      <b val="1"/>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'Overview'!Q8</f>
            </strRef>
          </tx>
          <spPr>
            <a:ln xmlns:a="http://schemas.openxmlformats.org/drawingml/2006/main">
              <a:prstDash val="solid"/>
            </a:ln>
          </spPr>
          <marker>
            <symbol val="none"/>
            <spPr>
              <a:ln xmlns:a="http://schemas.openxmlformats.org/drawingml/2006/main">
                <a:prstDash val="solid"/>
              </a:ln>
            </spPr>
          </marker>
          <cat>
            <numRef>
              <f>'Overview'!$R$7:$V$7</f>
            </numRef>
          </cat>
          <val>
            <numRef>
              <f>'Overview'!$R$8:$V$8</f>
            </numRef>
          </val>
          <smooth val="0"/>
        </ser>
        <ser>
          <idx val="1"/>
          <order val="1"/>
          <tx>
            <strRef>
              <f>'Overview'!Q9</f>
            </strRef>
          </tx>
          <spPr>
            <a:ln xmlns:a="http://schemas.openxmlformats.org/drawingml/2006/main">
              <a:prstDash val="solid"/>
            </a:ln>
          </spPr>
          <marker>
            <symbol val="none"/>
            <spPr>
              <a:ln xmlns:a="http://schemas.openxmlformats.org/drawingml/2006/main">
                <a:prstDash val="solid"/>
              </a:ln>
            </spPr>
          </marker>
          <cat>
            <numRef>
              <f>'Overview'!$R$7:$V$7</f>
            </numRef>
          </cat>
          <val>
            <numRef>
              <f>'Overview'!$R$9:$V$9</f>
            </numRef>
          </val>
          <smooth val="0"/>
        </ser>
        <ser>
          <idx val="2"/>
          <order val="2"/>
          <tx>
            <strRef>
              <f>'Overview'!Q10</f>
            </strRef>
          </tx>
          <spPr>
            <a:ln xmlns:a="http://schemas.openxmlformats.org/drawingml/2006/main">
              <a:prstDash val="solid"/>
            </a:ln>
          </spPr>
          <marker>
            <symbol val="none"/>
            <spPr>
              <a:ln xmlns:a="http://schemas.openxmlformats.org/drawingml/2006/main">
                <a:prstDash val="solid"/>
              </a:ln>
            </spPr>
          </marker>
          <cat>
            <numRef>
              <f>'Overview'!$R$7:$V$7</f>
            </numRef>
          </cat>
          <val>
            <numRef>
              <f>'Overview'!$R$10:$V$10</f>
            </numRef>
          </val>
          <smooth val="0"/>
        </ser>
        <ser>
          <idx val="3"/>
          <order val="3"/>
          <tx>
            <strRef>
              <f>'Overview'!Q11</f>
            </strRef>
          </tx>
          <spPr>
            <a:ln xmlns:a="http://schemas.openxmlformats.org/drawingml/2006/main">
              <a:prstDash val="solid"/>
            </a:ln>
          </spPr>
          <marker>
            <symbol val="none"/>
            <spPr>
              <a:ln xmlns:a="http://schemas.openxmlformats.org/drawingml/2006/main">
                <a:prstDash val="solid"/>
              </a:ln>
            </spPr>
          </marker>
          <cat>
            <numRef>
              <f>'Overview'!$R$7:$V$7</f>
            </numRef>
          </cat>
          <val>
            <numRef>
              <f>'Overview'!$R$11:$V$11</f>
            </numRef>
          </val>
          <smooth val="0"/>
        </ser>
        <ser>
          <idx val="4"/>
          <order val="4"/>
          <tx>
            <strRef>
              <f>'Overview'!Q12</f>
            </strRef>
          </tx>
          <spPr>
            <a:ln xmlns:a="http://schemas.openxmlformats.org/drawingml/2006/main">
              <a:prstDash val="solid"/>
            </a:ln>
          </spPr>
          <marker>
            <symbol val="none"/>
            <spPr>
              <a:ln xmlns:a="http://schemas.openxmlformats.org/drawingml/2006/main">
                <a:prstDash val="solid"/>
              </a:ln>
            </spPr>
          </marker>
          <cat>
            <numRef>
              <f>'Overview'!$R$7:$V$7</f>
            </numRef>
          </cat>
          <val>
            <numRef>
              <f>'Overview'!$R$12:$V$12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16</row>
      <rowOff>0</rowOff>
    </from>
    <ext cx="864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Morgan Stanley Bank International Limited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FY2025</t>
        </is>
      </c>
      <c r="C7" s="4" t="inlineStr">
        <is>
          <t>FY2024</t>
        </is>
      </c>
      <c r="D7" s="4" t="inlineStr">
        <is>
          <t>FY2023</t>
        </is>
      </c>
      <c r="E7" s="4" t="inlineStr">
        <is>
          <t>FY2022</t>
        </is>
      </c>
      <c r="F7" s="4" t="inlineStr">
        <is>
          <t>FY2021</t>
        </is>
      </c>
      <c r="R7" t="inlineStr">
        <is>
          <t>FY2021</t>
        </is>
      </c>
      <c r="S7" t="inlineStr">
        <is>
          <t>FY2022</t>
        </is>
      </c>
      <c r="T7" t="inlineStr">
        <is>
          <t>FY2023</t>
        </is>
      </c>
      <c r="U7" t="inlineStr">
        <is>
          <t>FY2024</t>
        </is>
      </c>
      <c r="V7" t="inlineStr">
        <is>
          <t>FY2025</t>
        </is>
      </c>
    </row>
    <row r="8">
      <c r="A8" s="5" t="inlineStr">
        <is>
          <t>CET1 Ratio</t>
        </is>
      </c>
      <c r="B8" s="5" t="inlineStr">
        <is>
          <t>42.6%</t>
        </is>
      </c>
      <c r="C8" s="5" t="inlineStr">
        <is>
          <t>46.7%</t>
        </is>
      </c>
      <c r="D8" s="5" t="inlineStr">
        <is>
          <t>31.7%</t>
        </is>
      </c>
      <c r="E8" s="5" t="inlineStr">
        <is>
          <t>34.0%</t>
        </is>
      </c>
      <c r="F8" s="5" t="inlineStr">
        <is>
          <t>34.4%</t>
        </is>
      </c>
      <c r="Q8" t="inlineStr">
        <is>
          <t>CET1 Ratio</t>
        </is>
      </c>
      <c r="R8" t="n">
        <v>34.4</v>
      </c>
      <c r="S8" t="n">
        <v>34</v>
      </c>
      <c r="T8" t="n">
        <v>31.7</v>
      </c>
      <c r="U8" t="n">
        <v>46.7</v>
      </c>
      <c r="V8" t="n">
        <v>42.6</v>
      </c>
    </row>
    <row r="9">
      <c r="A9" s="5" t="inlineStr">
        <is>
          <t>Total Capital Ratio</t>
        </is>
      </c>
      <c r="B9" s="5" t="inlineStr">
        <is>
          <t>58.9%</t>
        </is>
      </c>
      <c r="C9" s="5" t="inlineStr">
        <is>
          <t>59.8%</t>
        </is>
      </c>
      <c r="D9" s="5" t="inlineStr">
        <is>
          <t>43.3%</t>
        </is>
      </c>
      <c r="E9" s="5" t="inlineStr">
        <is>
          <t>48.5%</t>
        </is>
      </c>
      <c r="F9" s="5" t="inlineStr">
        <is>
          <t>44.0%</t>
        </is>
      </c>
      <c r="Q9" t="inlineStr">
        <is>
          <t>Total Capital Ratio</t>
        </is>
      </c>
      <c r="R9" t="n">
        <v>44</v>
      </c>
      <c r="S9" t="n">
        <v>48.5</v>
      </c>
      <c r="T9" t="n">
        <v>43.3</v>
      </c>
      <c r="U9" t="n">
        <v>59.8</v>
      </c>
      <c r="V9" t="n">
        <v>58.9</v>
      </c>
    </row>
    <row r="10">
      <c r="A10" s="5" t="inlineStr">
        <is>
          <t>Leverage Ratio</t>
        </is>
      </c>
      <c r="B10" s="5" t="inlineStr">
        <is>
          <t>30.3%</t>
        </is>
      </c>
      <c r="C10" s="5" t="inlineStr">
        <is>
          <t>29.1%</t>
        </is>
      </c>
      <c r="D10" s="5" t="inlineStr">
        <is>
          <t>23.9%</t>
        </is>
      </c>
      <c r="E10" s="5" t="inlineStr">
        <is>
          <t>18.5%</t>
        </is>
      </c>
      <c r="F10" s="5" t="inlineStr">
        <is>
          <t>30.1%</t>
        </is>
      </c>
      <c r="Q10" t="inlineStr">
        <is>
          <t>Leverage Ratio</t>
        </is>
      </c>
      <c r="R10" t="n">
        <v>30.1</v>
      </c>
      <c r="S10" t="n">
        <v>18.5</v>
      </c>
      <c r="T10" t="n">
        <v>23.9</v>
      </c>
      <c r="U10" t="n">
        <v>29.1</v>
      </c>
      <c r="V10" t="n">
        <v>30.3</v>
      </c>
    </row>
    <row r="11">
      <c r="A11" s="5" t="inlineStr">
        <is>
          <t>LCR</t>
        </is>
      </c>
      <c r="B11" s="5" t="inlineStr">
        <is>
          <t>412%</t>
        </is>
      </c>
      <c r="C11" s="5" t="inlineStr">
        <is>
          <t>417%</t>
        </is>
      </c>
      <c r="D11" s="5" t="inlineStr">
        <is>
          <t>250%</t>
        </is>
      </c>
      <c r="E11" s="5" t="inlineStr">
        <is>
          <t>191%</t>
        </is>
      </c>
      <c r="F11" s="5" t="inlineStr">
        <is>
          <t>226%</t>
        </is>
      </c>
      <c r="Q11" t="inlineStr">
        <is>
          <t>LCR</t>
        </is>
      </c>
      <c r="R11" t="n">
        <v>226</v>
      </c>
      <c r="S11" t="n">
        <v>191</v>
      </c>
      <c r="T11" t="n">
        <v>250</v>
      </c>
      <c r="U11" t="n">
        <v>417</v>
      </c>
      <c r="V11" t="n">
        <v>412</v>
      </c>
    </row>
    <row r="12">
      <c r="A12" s="5" t="inlineStr">
        <is>
          <t>NSFR</t>
        </is>
      </c>
      <c r="B12" s="5" t="inlineStr">
        <is>
          <t>263%</t>
        </is>
      </c>
      <c r="C12" s="5" t="inlineStr">
        <is>
          <t>223%</t>
        </is>
      </c>
      <c r="D12" s="5" t="inlineStr">
        <is>
          <t>163%</t>
        </is>
      </c>
      <c r="E12" s="5" t="inlineStr">
        <is>
          <t>165%</t>
        </is>
      </c>
      <c r="F12" s="5" t="inlineStr">
        <is>
          <t>Not disclosed</t>
        </is>
      </c>
      <c r="Q12" t="inlineStr">
        <is>
          <t>NSFR</t>
        </is>
      </c>
      <c r="S12" t="n">
        <v>165</v>
      </c>
      <c r="T12" t="n">
        <v>163</v>
      </c>
      <c r="U12" t="n">
        <v>223</v>
      </c>
      <c r="V12" t="n">
        <v>263</v>
      </c>
    </row>
    <row r="14" ht="45" customHeight="1">
      <c r="A14" s="6" t="inlineStr">
        <is>
          <t>Note: The Company takes the FRS 101 exemption from presenting a cash-flow statement. Interim Morgan Stanley International Pillar 3 reports are group-level and do not provide defensible standalone MSBIL interim data, so this is a standard annual 13-sheet workbook.</t>
        </is>
      </c>
    </row>
  </sheetData>
  <mergeCells count="1">
    <mergeCell ref="A14:F1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Statement of Cash Flows</t>
        </is>
      </c>
    </row>
    <row r="2">
      <c r="A2" s="2" t="inlineStr">
        <is>
          <t>Standalone Company basis; cash-flow statement not presented under the FRS 101 reduced-disclosure exemption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Cash-flow statement not separately disclosed under FRS 101</t>
        </is>
      </c>
      <c r="B4" s="5" t="n"/>
      <c r="C4" s="5" t="n"/>
      <c r="D4" s="5" t="n"/>
      <c r="E4" s="5" t="n"/>
      <c r="F4" s="5" t="n"/>
    </row>
    <row r="6" ht="220" customHeight="1">
      <c r="A6" s="7"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capital</t>
        </is>
      </c>
      <c r="B4" s="5" t="n">
        <v>676229</v>
      </c>
      <c r="C4" s="5" t="n">
        <v>709078</v>
      </c>
      <c r="D4" s="5" t="n">
        <v>685522</v>
      </c>
      <c r="E4" s="5" t="n">
        <v>702944</v>
      </c>
      <c r="F4" s="5" t="n">
        <v>717693</v>
      </c>
    </row>
    <row r="6" ht="220" customHeight="1">
      <c r="A6" s="7"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CET1 capital ratio</t>
        </is>
      </c>
      <c r="B4" s="5" t="inlineStr">
        <is>
          <t>42.6%</t>
        </is>
      </c>
      <c r="C4" s="5" t="inlineStr">
        <is>
          <t>46.7%</t>
        </is>
      </c>
      <c r="D4" s="5" t="inlineStr">
        <is>
          <t>31.7%</t>
        </is>
      </c>
      <c r="E4" s="5" t="inlineStr">
        <is>
          <t>34.0%</t>
        </is>
      </c>
      <c r="F4" s="5" t="inlineStr">
        <is>
          <t>34.4%</t>
        </is>
      </c>
    </row>
    <row r="6" ht="220" customHeight="1">
      <c r="A6" s="7"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t>
        </is>
      </c>
      <c r="B4" s="5" t="n">
        <v>676229</v>
      </c>
      <c r="C4" s="5" t="n">
        <v>709078</v>
      </c>
      <c r="D4" s="5" t="n">
        <v>685522</v>
      </c>
      <c r="E4" s="5" t="n">
        <v>702944</v>
      </c>
      <c r="F4" s="5" t="n">
        <v>717693</v>
      </c>
    </row>
    <row r="6" ht="220" customHeight="1">
      <c r="A6" s="7"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 ratio</t>
        </is>
      </c>
      <c r="B4" s="5" t="inlineStr">
        <is>
          <t>42.6%</t>
        </is>
      </c>
      <c r="C4" s="5" t="inlineStr">
        <is>
          <t>46.7%</t>
        </is>
      </c>
      <c r="D4" s="5" t="inlineStr">
        <is>
          <t>31.7%</t>
        </is>
      </c>
      <c r="E4" s="5" t="inlineStr">
        <is>
          <t>34.0%</t>
        </is>
      </c>
      <c r="F4" s="5" t="inlineStr">
        <is>
          <t>34.4%</t>
        </is>
      </c>
    </row>
    <row r="6" ht="220" customHeight="1">
      <c r="A6" s="7"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 resources</t>
        </is>
      </c>
      <c r="B4" s="5" t="n">
        <v>934449</v>
      </c>
      <c r="C4" s="5" t="n">
        <v>908739</v>
      </c>
      <c r="D4" s="5" t="n">
        <v>935655</v>
      </c>
      <c r="E4" s="5" t="n">
        <v>1003410</v>
      </c>
      <c r="F4" s="5" t="n">
        <v>916488</v>
      </c>
    </row>
    <row r="6" ht="220" customHeight="1">
      <c r="A6" s="7"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 ratio</t>
        </is>
      </c>
      <c r="B4" s="5" t="inlineStr">
        <is>
          <t>58.9%</t>
        </is>
      </c>
      <c r="C4" s="5" t="inlineStr">
        <is>
          <t>59.8%</t>
        </is>
      </c>
      <c r="D4" s="5" t="inlineStr">
        <is>
          <t>43.3%</t>
        </is>
      </c>
      <c r="E4" s="5" t="inlineStr">
        <is>
          <t>48.5%</t>
        </is>
      </c>
      <c r="F4" s="5" t="inlineStr">
        <is>
          <t>44.0%</t>
        </is>
      </c>
    </row>
    <row r="6" ht="220" customHeight="1">
      <c r="A6" s="7"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risk-weighted assets</t>
        </is>
      </c>
      <c r="B4" s="5" t="n">
        <v>1586014</v>
      </c>
      <c r="C4" s="5" t="n">
        <v>1519269</v>
      </c>
      <c r="D4" s="5" t="n">
        <v>2161713</v>
      </c>
      <c r="E4" s="5" t="n">
        <v>2068356</v>
      </c>
      <c r="F4" s="5" t="n">
        <v>2081783</v>
      </c>
    </row>
    <row r="6" ht="220" customHeight="1">
      <c r="A6" s="7"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5" t="inlineStr">
        <is>
          <t>Leverage exposure</t>
        </is>
      </c>
      <c r="B4" s="5" t="n">
        <v>2233488</v>
      </c>
      <c r="C4" s="5" t="n">
        <v>2436257</v>
      </c>
      <c r="D4" s="5" t="n">
        <v>2874295</v>
      </c>
      <c r="E4" s="5" t="n">
        <v>3795132</v>
      </c>
      <c r="F4" s="5" t="n">
        <v>2384965</v>
      </c>
    </row>
    <row r="5">
      <c r="A5" s="5" t="inlineStr">
        <is>
          <t>Leverage ratio</t>
        </is>
      </c>
      <c r="B5" s="5" t="inlineStr">
        <is>
          <t>30.3%</t>
        </is>
      </c>
      <c r="C5" s="5" t="inlineStr">
        <is>
          <t>29.1%</t>
        </is>
      </c>
      <c r="D5" s="5" t="inlineStr">
        <is>
          <t>23.9%</t>
        </is>
      </c>
      <c r="E5" s="5" t="inlineStr">
        <is>
          <t>18.5%</t>
        </is>
      </c>
      <c r="F5" s="5" t="inlineStr">
        <is>
          <t>30.1%</t>
        </is>
      </c>
    </row>
    <row r="7" ht="220" customHeight="1">
      <c r="A7" s="7"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1">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5" t="inlineStr">
        <is>
          <t>Liquidity buffer — HQLA</t>
        </is>
      </c>
      <c r="B4" s="5" t="n">
        <v>1110032</v>
      </c>
      <c r="C4" s="5" t="n">
        <v>1825386</v>
      </c>
      <c r="D4" s="5" t="n">
        <v>1190200</v>
      </c>
      <c r="E4" s="5" t="n">
        <v>1230539</v>
      </c>
      <c r="F4" s="5" t="n">
        <v>1240953</v>
      </c>
    </row>
    <row r="5">
      <c r="A5" s="5" t="inlineStr">
        <is>
          <t>Liquidity coverage ratio</t>
        </is>
      </c>
      <c r="B5" s="5" t="inlineStr">
        <is>
          <t>412%</t>
        </is>
      </c>
      <c r="C5" s="5" t="inlineStr">
        <is>
          <t>417%</t>
        </is>
      </c>
      <c r="D5" s="5" t="inlineStr">
        <is>
          <t>250%</t>
        </is>
      </c>
      <c r="E5" s="5" t="inlineStr">
        <is>
          <t>191%</t>
        </is>
      </c>
      <c r="F5" s="5" t="inlineStr">
        <is>
          <t>226%</t>
        </is>
      </c>
    </row>
    <row r="6" ht="60" customHeight="1">
      <c r="A6" s="6" t="inlineStr">
        <is>
          <t>Note: The reports state that the HQLA amounts are reported to the regulator in USD and converted to GBP using an average annual exchange rate; the ratios are calculated using the preceding twelve months.</t>
        </is>
      </c>
    </row>
    <row r="8" ht="220" customHeight="1">
      <c r="A8" s="7"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5" t="inlineStr">
        <is>
          <t>Available stable funding</t>
        </is>
      </c>
      <c r="B4" s="5" t="n">
        <v>1485790</v>
      </c>
      <c r="C4" s="5" t="n">
        <v>1597110</v>
      </c>
      <c r="D4" s="5" t="n">
        <v>2191000</v>
      </c>
      <c r="E4" s="5" t="n">
        <v>2344000</v>
      </c>
      <c r="F4" s="5" t="inlineStr">
        <is>
          <t>Not disclosed</t>
        </is>
      </c>
    </row>
    <row r="5">
      <c r="A5" s="5" t="inlineStr">
        <is>
          <t>Required stable funding</t>
        </is>
      </c>
      <c r="B5" s="5" t="n">
        <v>574724</v>
      </c>
      <c r="C5" s="5" t="n">
        <v>716541</v>
      </c>
      <c r="D5" s="5" t="n">
        <v>1346000</v>
      </c>
      <c r="E5" s="5" t="n">
        <v>1417000</v>
      </c>
      <c r="F5" s="5" t="inlineStr">
        <is>
          <t>Not disclosed</t>
        </is>
      </c>
    </row>
    <row r="6">
      <c r="A6" s="5" t="inlineStr">
        <is>
          <t>Net Stable Funding Ratio</t>
        </is>
      </c>
      <c r="B6" s="5" t="inlineStr">
        <is>
          <t>263%</t>
        </is>
      </c>
      <c r="C6" s="5" t="inlineStr">
        <is>
          <t>223%</t>
        </is>
      </c>
      <c r="D6" s="5" t="inlineStr">
        <is>
          <t>163%</t>
        </is>
      </c>
      <c r="E6" s="5" t="inlineStr">
        <is>
          <t>165%</t>
        </is>
      </c>
      <c r="F6" s="5" t="inlineStr">
        <is>
          <t>Not disclosed</t>
        </is>
      </c>
    </row>
    <row r="7" ht="60" customHeight="1">
      <c r="A7" s="6" t="inlineStr">
        <is>
          <t>Note: The Company states that NSFR became a PRA requirement from 1 January 2022; no FY2021 NSFR was disclosed.</t>
        </is>
      </c>
    </row>
    <row r="9" ht="220" customHeight="1">
      <c r="A9" s="7"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MREL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6" ht="150" customHeight="1">
      <c r="A6" s="7"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The annual reports state that the Company takes the FRS 101 reduced-disclosure exemption from presenting a cash-flow statement. Blank or non-disclosed entries are not estimates or zeros.
No standalone MREL ratio was numerically disclosed in the five annual reports reviewed; group-level resolution disclosures were not substituted.</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2026-08-29T10:26:42Z</dcterms:created>
  <dcterms:modified xmlns:dcterms="http://purl.org/dc/terms/" xmlns:xsi="http://www.w3.org/2001/XMLSchema-instance" xsi:type="dcterms:W3CDTF">2026-08-29T10:26:42Z</dcterms:modified>
</cp:coreProperties>
</file>