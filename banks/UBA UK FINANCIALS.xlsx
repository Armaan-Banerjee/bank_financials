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-11861.2</v>
      </c>
      <c r="C14" s="5" t="n">
        <v>-10672.1</v>
      </c>
      <c r="D14" s="5" t="n">
        <v>-8362.700000000001</v>
      </c>
      <c r="E14" s="5" t="n">
        <v>-7233.1</v>
      </c>
      <c r="F14" s="5" t="n">
        <v>-7694.3</v>
      </c>
      <c r="G14" s="5" t="n">
        <v>-6846.4</v>
      </c>
      <c r="H14" s="5" t="n">
        <v>-6057.7</v>
      </c>
      <c r="U14" t="inlineStr">
        <is>
          <t>Total operating expense</t>
        </is>
      </c>
      <c r="V14" t="n">
        <v>-6057.7</v>
      </c>
      <c r="W14" t="n">
        <v>-6846.4</v>
      </c>
      <c r="X14" t="n">
        <v>-7694.3</v>
      </c>
      <c r="Y14" t="n">
        <v>-7233.1</v>
      </c>
      <c r="Z14" t="n">
        <v>-8362.700000000001</v>
      </c>
      <c r="AA14" t="n">
        <v>-10672.1</v>
      </c>
      <c r="AB14" t="n">
        <v>-11861.2</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Total investment securities</t>
        </is>
      </c>
      <c r="B9" s="6" t="n">
        <v>144796.6</v>
      </c>
      <c r="C9" s="6" t="n">
        <v>115753.2</v>
      </c>
      <c r="D9" s="6" t="n">
        <v>115940.3</v>
      </c>
      <c r="E9" s="6" t="n">
        <v>98978.60000000001</v>
      </c>
      <c r="F9" s="6" t="n">
        <v>87169.3</v>
      </c>
      <c r="G9" s="6" t="n">
        <v>60654.8</v>
      </c>
      <c r="H9" s="6" t="n">
        <v>48358.7</v>
      </c>
    </row>
    <row r="10">
      <c r="A10" s="6" t="inlineStr">
        <is>
          <t>Investment securities - Debt securities at amortised cost (gross)</t>
        </is>
      </c>
      <c r="B10" s="6" t="n">
        <v>18606.5</v>
      </c>
      <c r="C10" s="6" t="n">
        <v>34978.8</v>
      </c>
      <c r="D10" s="6" t="n">
        <v>38626.1</v>
      </c>
      <c r="E10" s="6" t="n">
        <v>24506.3</v>
      </c>
      <c r="F10" s="6" t="n">
        <v>30018.3</v>
      </c>
      <c r="G10" s="6" t="n">
        <v>18180.2</v>
      </c>
      <c r="H10" s="6" t="n"/>
    </row>
    <row r="11">
      <c r="A11" s="6" t="inlineStr">
        <is>
          <t>Investment securities - Debt securities at FVOCI (gross)</t>
        </is>
      </c>
      <c r="B11" s="6" t="n">
        <v>88309.2</v>
      </c>
      <c r="C11" s="6" t="n">
        <v>51361.1</v>
      </c>
      <c r="D11" s="6" t="n">
        <v>58972.5</v>
      </c>
      <c r="E11" s="6" t="n">
        <v>66193.3</v>
      </c>
      <c r="F11" s="6" t="n">
        <v>55984.2</v>
      </c>
      <c r="G11" s="6" t="n">
        <v>42586.7</v>
      </c>
      <c r="H11" s="6" t="n"/>
    </row>
    <row r="12">
      <c r="A12" s="6" t="inlineStr">
        <is>
          <t>Investment securities - FVTPL / Collective Investment Undertaking (gross)</t>
        </is>
      </c>
      <c r="B12" s="6" t="n">
        <v>38868.6</v>
      </c>
      <c r="C12" s="6" t="n">
        <v>33525</v>
      </c>
      <c r="D12" s="6" t="n">
        <v>22360.9</v>
      </c>
      <c r="E12" s="6" t="n">
        <v>9246.4</v>
      </c>
      <c r="F12" s="6" t="n">
        <v>1464</v>
      </c>
      <c r="G12" s="6" t="n">
        <v>0</v>
      </c>
      <c r="H12" s="6" t="n"/>
    </row>
    <row r="13">
      <c r="A13" s="6" t="inlineStr">
        <is>
          <t>Investment securities - Less: ECL impairment provision</t>
        </is>
      </c>
      <c r="B13" s="6" t="n">
        <v>-987.6</v>
      </c>
      <c r="C13" s="6" t="n">
        <v>-4111.7</v>
      </c>
      <c r="D13" s="6" t="n">
        <v>-3385.1</v>
      </c>
      <c r="E13" s="6" t="n">
        <v>-903</v>
      </c>
      <c r="F13" s="6" t="n">
        <v>-297.2</v>
      </c>
      <c r="G13" s="6" t="n">
        <v>-112</v>
      </c>
      <c r="H13" s="6" t="n"/>
    </row>
    <row r="14">
      <c r="A14" s="6" t="inlineStr">
        <is>
          <t>Investment securities - Less: FX movement</t>
        </is>
      </c>
      <c r="B14" s="6" t="n"/>
      <c r="C14" s="6" t="n"/>
      <c r="D14" s="6" t="n">
        <v>-634</v>
      </c>
      <c r="E14" s="6" t="n">
        <v>-64.3</v>
      </c>
      <c r="F14" s="6" t="n"/>
      <c r="G14" s="6" t="n"/>
      <c r="H14" s="6" t="n"/>
    </row>
    <row r="15">
      <c r="A15" s="6" t="inlineStr">
        <is>
          <t>Property, plant and equipment</t>
        </is>
      </c>
      <c r="B15" s="6" t="n">
        <v>1390.3</v>
      </c>
      <c r="C15" s="6" t="n">
        <v>1256.7</v>
      </c>
      <c r="D15" s="6" t="n">
        <v>1513.6</v>
      </c>
      <c r="E15" s="6" t="n">
        <v>1774.3</v>
      </c>
      <c r="F15" s="6" t="n">
        <v>2067.9</v>
      </c>
      <c r="G15" s="6" t="n">
        <v>2385.3</v>
      </c>
      <c r="H15" s="6" t="n">
        <v>599.1</v>
      </c>
    </row>
    <row r="16">
      <c r="A16" s="6" t="inlineStr">
        <is>
          <t>Intangible assets</t>
        </is>
      </c>
      <c r="B16" s="6" t="n">
        <v>1138.6</v>
      </c>
      <c r="C16" s="6" t="n">
        <v>1269.2</v>
      </c>
      <c r="D16" s="6" t="n">
        <v>1583.9</v>
      </c>
      <c r="E16" s="6" t="n">
        <v>1528</v>
      </c>
      <c r="F16" s="6" t="n">
        <v>1704.9</v>
      </c>
      <c r="G16" s="6" t="n">
        <v>1965.9</v>
      </c>
      <c r="H16" s="6" t="n">
        <v>2199.7</v>
      </c>
    </row>
    <row r="17">
      <c r="A17" s="6" t="inlineStr">
        <is>
          <t>Current tax asset</t>
        </is>
      </c>
      <c r="B17" s="6" t="n">
        <v>210.9</v>
      </c>
      <c r="C17" s="6" t="n"/>
      <c r="D17" s="6" t="n"/>
      <c r="E17" s="6" t="n"/>
      <c r="F17" s="6" t="n"/>
      <c r="G17" s="6" t="n"/>
      <c r="H17" s="6" t="n"/>
    </row>
    <row r="18">
      <c r="A18" s="6" t="inlineStr">
        <is>
          <t>Other assets</t>
        </is>
      </c>
      <c r="B18" s="6" t="n">
        <v>4692</v>
      </c>
      <c r="C18" s="6" t="n">
        <v>2988.5</v>
      </c>
      <c r="D18" s="6" t="n">
        <v>1862.4</v>
      </c>
      <c r="E18" s="6" t="n">
        <v>1636</v>
      </c>
      <c r="F18" s="6" t="n">
        <v>719.6</v>
      </c>
      <c r="G18" s="6" t="n">
        <v>1074.9</v>
      </c>
      <c r="H18" s="6" t="n">
        <v>515.3</v>
      </c>
    </row>
    <row r="19">
      <c r="A19" s="6" t="inlineStr">
        <is>
          <t>Deferred tax asset</t>
        </is>
      </c>
      <c r="B19" s="6" t="n">
        <v>1323.2</v>
      </c>
      <c r="C19" s="6" t="n"/>
      <c r="D19" s="6" t="n"/>
      <c r="E19" s="6" t="n"/>
      <c r="F19" s="6" t="n"/>
      <c r="G19" s="6" t="n"/>
      <c r="H19" s="6" t="n"/>
    </row>
    <row r="20">
      <c r="A20" s="5" t="inlineStr">
        <is>
          <t>Total assets</t>
        </is>
      </c>
      <c r="B20" s="5" t="n">
        <v>375311.2</v>
      </c>
      <c r="C20" s="5" t="n">
        <v>480409.2</v>
      </c>
      <c r="D20" s="5" t="n">
        <v>492550.2</v>
      </c>
      <c r="E20" s="5" t="n">
        <v>386463.3</v>
      </c>
      <c r="F20" s="5" t="n">
        <v>180911.4</v>
      </c>
      <c r="G20" s="5" t="n">
        <v>167738.1</v>
      </c>
      <c r="H20" s="5" t="n">
        <v>130127.6</v>
      </c>
    </row>
    <row r="21">
      <c r="A21" s="5" t="inlineStr">
        <is>
          <t>Liabilities</t>
        </is>
      </c>
      <c r="B21" s="6" t="n"/>
      <c r="C21" s="6" t="n"/>
      <c r="D21" s="6" t="n"/>
      <c r="E21" s="6" t="n"/>
      <c r="F21" s="6" t="n"/>
      <c r="G21" s="6" t="n"/>
      <c r="H21" s="6" t="n"/>
    </row>
    <row r="22">
      <c r="A22" s="6" t="inlineStr">
        <is>
          <t>Deposits from banks</t>
        </is>
      </c>
      <c r="B22" s="6" t="n">
        <v>298364.4</v>
      </c>
      <c r="C22" s="6" t="n">
        <v>387381.4</v>
      </c>
      <c r="D22" s="6" t="n">
        <v>445573.3</v>
      </c>
      <c r="E22" s="6" t="n">
        <v>352376.3</v>
      </c>
      <c r="F22" s="6" t="n">
        <v>138017.7</v>
      </c>
      <c r="G22" s="6" t="n">
        <v>128551.9</v>
      </c>
      <c r="H22" s="6" t="n">
        <v>86745.5</v>
      </c>
    </row>
    <row r="23">
      <c r="A23" s="6" t="inlineStr">
        <is>
          <t>Deposits from customers</t>
        </is>
      </c>
      <c r="B23" s="6" t="n">
        <v>7859.4</v>
      </c>
      <c r="C23" s="6" t="n">
        <v>29359.1</v>
      </c>
      <c r="D23" s="6" t="n">
        <v>3980.3</v>
      </c>
      <c r="E23" s="6" t="n">
        <v>12.6</v>
      </c>
      <c r="F23" s="6" t="n">
        <v>9859.5</v>
      </c>
      <c r="G23" s="6" t="n">
        <v>1621.5</v>
      </c>
      <c r="H23" s="6" t="n">
        <v>6772.9</v>
      </c>
    </row>
    <row r="24">
      <c r="A24" s="6" t="inlineStr">
        <is>
          <t>Derivative financial instruments</t>
        </is>
      </c>
      <c r="B24" s="6" t="n"/>
      <c r="C24" s="6" t="n"/>
      <c r="D24" s="6" t="n"/>
      <c r="E24" s="6" t="n"/>
      <c r="F24" s="6" t="n">
        <v>125.9</v>
      </c>
      <c r="G24" s="6" t="n">
        <v>74.90000000000001</v>
      </c>
      <c r="H24" s="6" t="n">
        <v>129.2</v>
      </c>
    </row>
    <row r="25">
      <c r="A25" s="6" t="inlineStr">
        <is>
          <t>Deferred tax liability</t>
        </is>
      </c>
      <c r="B25" s="6" t="n"/>
      <c r="C25" s="6" t="n"/>
      <c r="D25" s="6" t="n"/>
      <c r="E25" s="6" t="n">
        <v>49.6</v>
      </c>
      <c r="F25" s="6" t="n">
        <v>49</v>
      </c>
      <c r="G25" s="6" t="n">
        <v>40.9</v>
      </c>
      <c r="H25" s="6" t="n">
        <v>66.59999999999999</v>
      </c>
    </row>
    <row r="26">
      <c r="A26" s="6" t="inlineStr">
        <is>
          <t>Corporation tax liability</t>
        </is>
      </c>
      <c r="B26" s="6" t="n"/>
      <c r="C26" s="6" t="n">
        <v>138.2</v>
      </c>
      <c r="D26" s="6" t="n">
        <v>553</v>
      </c>
      <c r="E26" s="6" t="n"/>
      <c r="F26" s="6" t="n"/>
      <c r="G26" s="6" t="n"/>
      <c r="H26" s="6" t="n"/>
    </row>
    <row r="27">
      <c r="A27" s="6" t="inlineStr">
        <is>
          <t>Other liabilities</t>
        </is>
      </c>
      <c r="B27" s="6" t="n">
        <v>5716.3</v>
      </c>
      <c r="C27" s="6" t="n">
        <v>4571.2</v>
      </c>
      <c r="D27" s="6" t="n">
        <v>4084.5</v>
      </c>
      <c r="E27" s="6" t="n">
        <v>4817</v>
      </c>
      <c r="F27" s="6" t="n">
        <v>2694.5</v>
      </c>
      <c r="G27" s="6" t="n">
        <v>3197.6</v>
      </c>
      <c r="H27" s="6" t="n">
        <v>1391.5</v>
      </c>
    </row>
    <row r="28">
      <c r="A28" s="5" t="inlineStr">
        <is>
          <t>Total liabilities</t>
        </is>
      </c>
      <c r="B28" s="5" t="n">
        <v>311940.1</v>
      </c>
      <c r="C28" s="5" t="n">
        <v>421449.9</v>
      </c>
      <c r="D28" s="5" t="n">
        <v>454191.1</v>
      </c>
      <c r="E28" s="5" t="n">
        <v>357255.4</v>
      </c>
      <c r="F28" s="5" t="n">
        <v>150746.7</v>
      </c>
      <c r="G28" s="5" t="n">
        <v>133486.8</v>
      </c>
      <c r="H28" s="5" t="n">
        <v>95105.7</v>
      </c>
    </row>
    <row r="29">
      <c r="A29" s="5" t="inlineStr">
        <is>
          <t>Equity</t>
        </is>
      </c>
      <c r="B29" s="6" t="n"/>
      <c r="C29" s="6" t="n"/>
      <c r="D29" s="6" t="n"/>
      <c r="E29" s="6" t="n"/>
      <c r="F29" s="6" t="n"/>
      <c r="G29" s="6" t="n"/>
      <c r="H29" s="6" t="n"/>
    </row>
    <row r="30">
      <c r="A30" s="6" t="inlineStr">
        <is>
          <t>Share capital</t>
        </is>
      </c>
      <c r="B30" s="6" t="n">
        <v>57727.5</v>
      </c>
      <c r="C30" s="6" t="n">
        <v>56743.6</v>
      </c>
      <c r="D30" s="6" t="n">
        <v>49802.4</v>
      </c>
      <c r="E30" s="6" t="n">
        <v>44557.4</v>
      </c>
      <c r="F30" s="6" t="n">
        <v>44100.7</v>
      </c>
      <c r="G30" s="6" t="n">
        <v>45606.4</v>
      </c>
      <c r="H30" s="6" t="n">
        <v>47177.8</v>
      </c>
    </row>
    <row r="31">
      <c r="A31" s="6" t="inlineStr">
        <is>
          <t>Share premium account</t>
        </is>
      </c>
      <c r="B31" s="6" t="n">
        <v>160.6</v>
      </c>
      <c r="C31" s="6" t="n">
        <v>157.9</v>
      </c>
      <c r="D31" s="6" t="n">
        <v>166.2</v>
      </c>
      <c r="E31" s="6" t="n">
        <v>148.7</v>
      </c>
      <c r="F31" s="6" t="n">
        <v>147.1</v>
      </c>
      <c r="G31" s="6" t="n">
        <v>152.2</v>
      </c>
      <c r="H31" s="6" t="n">
        <v>157.4</v>
      </c>
    </row>
    <row r="32">
      <c r="A32" s="6" t="inlineStr">
        <is>
          <t>Retained earnings/(Accumulated losses)</t>
        </is>
      </c>
      <c r="B32" s="6" t="n">
        <v>5826.6</v>
      </c>
      <c r="C32" s="6" t="n">
        <v>4589.2</v>
      </c>
      <c r="D32" s="6" t="n">
        <v>-7010</v>
      </c>
      <c r="E32" s="6" t="n">
        <v>-14740</v>
      </c>
      <c r="F32" s="6" t="n">
        <v>-13823.3</v>
      </c>
      <c r="G32" s="6" t="n">
        <v>-11401.2</v>
      </c>
      <c r="H32" s="6" t="n">
        <v>-12280.3</v>
      </c>
    </row>
    <row r="33">
      <c r="A33" s="6" t="inlineStr">
        <is>
          <t>Other reserves</t>
        </is>
      </c>
      <c r="B33" s="6" t="n">
        <v>-343.6</v>
      </c>
      <c r="C33" s="6" t="n">
        <v>-2531.4</v>
      </c>
      <c r="D33" s="6" t="n">
        <v>-4599.5</v>
      </c>
      <c r="E33" s="6" t="n">
        <v>-758.1</v>
      </c>
      <c r="F33" s="6" t="n">
        <v>-259.9</v>
      </c>
      <c r="G33" s="6" t="n">
        <v>-106</v>
      </c>
      <c r="H33" s="6" t="n">
        <v>-32.9</v>
      </c>
    </row>
    <row r="34">
      <c r="A34" s="6" t="inlineStr">
        <is>
          <t>AFS reserves</t>
        </is>
      </c>
      <c r="B34" s="6" t="n"/>
      <c r="C34" s="6" t="n"/>
      <c r="D34" s="6" t="n"/>
      <c r="E34" s="6" t="n"/>
      <c r="F34" s="6" t="n"/>
      <c r="G34" s="6" t="n"/>
      <c r="H34" s="6" t="n">
        <v>0</v>
      </c>
    </row>
    <row r="35">
      <c r="A35" s="5" t="inlineStr">
        <is>
          <t>Total equity</t>
        </is>
      </c>
      <c r="B35" s="5" t="n">
        <v>63371.2</v>
      </c>
      <c r="C35" s="5" t="n">
        <v>58959.3</v>
      </c>
      <c r="D35" s="5" t="n">
        <v>38359.1</v>
      </c>
      <c r="E35" s="5" t="n">
        <v>29207.9</v>
      </c>
      <c r="F35" s="5" t="n">
        <v>30164.7</v>
      </c>
      <c r="G35" s="5" t="n">
        <v>34251.3</v>
      </c>
      <c r="H35" s="5" t="n">
        <v>35021.9</v>
      </c>
    </row>
    <row r="36">
      <c r="A36" s="5" t="inlineStr">
        <is>
          <t>Total liabilities and equity</t>
        </is>
      </c>
      <c r="B36" s="5" t="n">
        <v>375311.2</v>
      </c>
      <c r="C36" s="5" t="n">
        <v>480409.2</v>
      </c>
      <c r="D36" s="5" t="n">
        <v>492550.2</v>
      </c>
      <c r="E36" s="5" t="n">
        <v>386463.3</v>
      </c>
      <c r="F36" s="5" t="n">
        <v>180911.4</v>
      </c>
      <c r="G36" s="5" t="n">
        <v>167738.1</v>
      </c>
      <c r="H36" s="5" t="n">
        <v>130127.6</v>
      </c>
    </row>
    <row r="38" ht="480" customHeight="1">
      <c r="A38"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https://www.ubagroup.com/uk/wp-content/uploads/sites/29/2019/07/UBA-UK-Ltd-Report-and-Accts-31-Dec-2018.pdf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INVESTMENT SECURITIES BREAKDOWN: the 'Investment securities - ...' sub-rows below the renamed 'Total investment securities' line are transcribed from each year's own Note 'Investment securities' (numbered differently by vintage), which splits the balance by measurement basis - debt securities at amortised cost, debt securities at FVOCI, and a FVTPL/Collective Investment Undertaking ('CIU') bucket (the Bank's own investment in the BlackRock ICS US Treasury Fund, which invests solely in US Government securities and is held to meet Level 1 HQLA requirements) - each shown gross, with a deduction for the ECL impairment provision (and, in FY2022/FY2021 only, a further 'FX Movement' deduction the source note itself states separately) so the sub-rows sum EXACTLY to that year's own 'Total investment securities' line:
FY2024 &amp; FY2023: Annual Report and Accounts 2024, Note 17 'Investment securities', p.72 - https://www.ubauk.com/wp-content/uploads/sites/29/2025/07/UBA-UK-2024-AR-1.pdf
FY2022 &amp; FY2021: Annual Report and Accounts 2022, Note 14 'Investment securities', p.53 - https://www.ubauk.com/wp-content/uploads/sites/29/2023/09/UBA-UK-FIN-A-Ann-Rpt-and-Accts-31-Dec-2022.pdf
FY2020 &amp; FY2019: Annual Report and Accounts 2020, Note 14 'Investment securities', p.54 - https://www.ubauk.com/wp-content/uploads/sites/29/2018/10/UBA-UK-FIN-Ann-Rpt-and-Accts-31-Dec-2020-009-1.pdf
FY2018: no equivalent breakdown available - the FY2018 Annual Report's own source URL (previously cited for this workbook's other sheets) now 404s and no archived copy could be located, so FY2018's single lump 'Total investment securities' figure is retained with its sub-rows left blank rather than guessed.
ISSUER-TYPE NOTE: none of the 4 report vintages disclose investment securities by issuer type (e.g. UK government/gilts vs corporate/other) as a reconciling £/$ table - UBA UK is a wholesale/treasury bank with no UK government gilt holdings in this book at all. Qualitatively, the FY2024 Annual Report's credit risk section states the amortised-cost and FVOCI buckets 'consist[] of emerging market Eurobonds' (Ghana and Egypt sovereign Eurobonds, and a Nigeria-issued Ecobank Eurobond, per that same report's credit risk narrative), while the FVTPL/CIU bucket is explicitly identified (FY2020 onward) as the BlackRock ICS US Treasury Fund, holding US (not UK) Government securities - so no further per-year $ split by issuer type is available; only the measurement-basis split above is added.</t>
        </is>
      </c>
    </row>
  </sheetData>
  <mergeCells count="1">
    <mergeCell ref="A38:H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42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https://www.ubagroup.com/uk/wp-content/uploads/sites/29/2019/07/UBA-UK-Ltd-Report-and-Accts-31-Dec-2018.pdf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460"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https://www.ubagroup.com/uk/wp-content/uploads/sites/29/2019/07/UBA-UK-Ltd-Report-and-Accts-31-Dec-2018.pdf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340"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https://www.ubagroup.com/uk/wp-content/uploads/sites/29/2019/07/UBA-UK-Ltd-Report-and-Accts-31-Dec-2018.pdf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t>
        </is>
      </c>
    </row>
  </sheetData>
  <mergeCells count="1">
    <mergeCell ref="A50:H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38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https://www.ubagroup.com/uk/wp-content/uploads/sites/29/2019/07/UBA-UK-Ltd-Report-and-Accts-31-Dec-2018.pdf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sheetData>
  <mergeCells count="1">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60" customHeight="1">
      <c r="A5" s="7" t="inlineStr">
        <is>
          <t>Note: Equal to CET1 capital in every year - the Bank holds no Additional Tier 1 (AT1) instruments.</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60" customHeight="1">
      <c r="A5" s="7" t="inlineStr">
        <is>
          <t>Note: Equal to CET1/Tier 1 capital in every year - the Bank holds no AT1 or Tier 2 instruments.</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60" customHeight="1">
      <c r="A5" s="7" t="inlineStr">
        <is>
          <t>Note: FY2020/FY2019/FY2018 figures are derived (not printed as a single line) - see p3_sources' PRE-2021 FORMAT NOTE for the exact derivation.</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£'000, converted from USD (see FX conversion note on the Cash Flow Statement sheet). FY2024-FY2021 as disclosed (UK OV1 template); FY2020-FY2018 derived from disclosed Pillar 1 capital requirement x 12.5 - see the two SECTION blocks below and the sources note. NOTE FY2022/FY2021 do NOT tie to the Total RWAs sheet: the Bank's own Key Metrics table omits market and operational risk from its total. See the sources note - do not cross-divide the two sheets.</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c r="H3" s="4" t="inlineStr">
        <is>
          <t>FY2018 (£'000)</t>
        </is>
      </c>
    </row>
    <row r="4">
      <c r="A4" s="5" t="inlineStr">
        <is>
          <t>UK OV1 — Overview of risk weighted exposure amounts (as disclosed)</t>
        </is>
      </c>
      <c r="B4" s="6" t="n"/>
      <c r="C4" s="6" t="n"/>
      <c r="D4" s="6" t="n"/>
      <c r="E4" s="6" t="n"/>
      <c r="F4" s="6" t="n"/>
      <c r="G4" s="6" t="n"/>
      <c r="H4" s="6" t="n"/>
    </row>
    <row r="5">
      <c r="A5" s="6" t="inlineStr">
        <is>
          <t>Credit risk (excluding CCR)</t>
        </is>
      </c>
      <c r="B5" s="6" t="n">
        <v>84459.10000000001</v>
      </c>
      <c r="C5" s="6" t="n">
        <v>76701.60000000001</v>
      </c>
      <c r="D5" s="6" t="n">
        <v>113923.4</v>
      </c>
      <c r="E5" s="6" t="n">
        <v>68983.2</v>
      </c>
      <c r="F5" s="6" t="n"/>
      <c r="G5" s="6" t="n"/>
      <c r="H5" s="6" t="n"/>
    </row>
    <row r="6">
      <c r="A6" s="6" t="inlineStr">
        <is>
          <t>Counterparty credit risk (CCR)</t>
        </is>
      </c>
      <c r="B6" s="6" t="n">
        <v>0</v>
      </c>
      <c r="C6" s="6" t="n">
        <v>0</v>
      </c>
      <c r="D6" s="6" t="n">
        <v>17.1</v>
      </c>
      <c r="E6" s="6" t="n">
        <v>0.1</v>
      </c>
      <c r="F6" s="6" t="n"/>
      <c r="G6" s="6" t="n"/>
      <c r="H6" s="6" t="n"/>
    </row>
    <row r="7">
      <c r="A7" s="6" t="inlineStr">
        <is>
          <t>Settlement risk</t>
        </is>
      </c>
      <c r="B7" s="6" t="n">
        <v>0</v>
      </c>
      <c r="C7" s="6" t="n">
        <v>951.7</v>
      </c>
      <c r="D7" s="6" t="n"/>
      <c r="E7" s="6" t="n"/>
      <c r="F7" s="6" t="n"/>
      <c r="G7" s="6" t="n"/>
      <c r="H7" s="6" t="n"/>
    </row>
    <row r="8">
      <c r="A8" s="6" t="inlineStr">
        <is>
          <t>Market risk (position, FX and commodities)</t>
        </is>
      </c>
      <c r="B8" s="6" t="n">
        <v>1415.8</v>
      </c>
      <c r="C8" s="6" t="n">
        <v>2055.8</v>
      </c>
      <c r="D8" s="6" t="n">
        <v>3144.9</v>
      </c>
      <c r="E8" s="6" t="n">
        <v>5989.6</v>
      </c>
      <c r="F8" s="6" t="n"/>
      <c r="G8" s="6" t="n"/>
      <c r="H8" s="6" t="n"/>
    </row>
    <row r="9">
      <c r="A9" s="6" t="inlineStr">
        <is>
          <t>Operational risk</t>
        </is>
      </c>
      <c r="B9" s="6" t="n">
        <v>41484.5</v>
      </c>
      <c r="C9" s="6" t="n">
        <v>20771.7</v>
      </c>
      <c r="D9" s="6" t="n">
        <v>12614.2</v>
      </c>
      <c r="E9" s="6" t="n">
        <v>9476.1</v>
      </c>
      <c r="F9" s="6" t="n"/>
      <c r="G9" s="6" t="n"/>
      <c r="H9" s="6" t="n"/>
    </row>
    <row r="10">
      <c r="A10" s="5" t="inlineStr">
        <is>
          <t>Total risk weighted exposure amount</t>
        </is>
      </c>
      <c r="B10" s="5" t="n">
        <v>127359.4</v>
      </c>
      <c r="C10" s="5" t="n">
        <v>100480.8</v>
      </c>
      <c r="D10" s="5" t="n">
        <v>129699.5</v>
      </c>
      <c r="E10" s="5" t="n">
        <v>84449</v>
      </c>
      <c r="F10" s="5" t="n"/>
      <c r="G10" s="5" t="n"/>
      <c r="H10" s="5" t="n"/>
    </row>
    <row r="11">
      <c r="A11" s="5" t="inlineStr">
        <is>
          <t>Pillar 1 capital requirement × 12.5 (derived from disclosed capital requirement)</t>
        </is>
      </c>
      <c r="B11" s="6" t="n"/>
      <c r="C11" s="6" t="n"/>
      <c r="D11" s="6" t="n"/>
      <c r="E11" s="6" t="n"/>
      <c r="F11" s="6" t="n"/>
      <c r="G11" s="6" t="n"/>
      <c r="H11" s="6" t="n"/>
    </row>
    <row r="12">
      <c r="A12" s="6" t="inlineStr">
        <is>
          <t>Credit risk</t>
        </is>
      </c>
      <c r="B12" s="6" t="n"/>
      <c r="C12" s="6" t="n"/>
      <c r="D12" s="6" t="n"/>
      <c r="E12" s="6" t="n"/>
      <c r="F12" s="6" t="n">
        <v>35081.6</v>
      </c>
      <c r="G12" s="6" t="n">
        <v>39629.1</v>
      </c>
      <c r="H12" s="6" t="n">
        <v>39359.8</v>
      </c>
    </row>
    <row r="13">
      <c r="A13" s="6" t="inlineStr">
        <is>
          <t>Market risk</t>
        </is>
      </c>
      <c r="B13" s="6" t="n"/>
      <c r="C13" s="6" t="n"/>
      <c r="D13" s="6" t="n"/>
      <c r="E13" s="6" t="n"/>
      <c r="F13" s="6" t="n">
        <v>6588.1</v>
      </c>
      <c r="G13" s="6" t="n">
        <v>3472.7</v>
      </c>
      <c r="H13" s="6" t="n">
        <v>2261.2</v>
      </c>
    </row>
    <row r="14">
      <c r="A14" s="6" t="inlineStr">
        <is>
          <t>Operational risk</t>
        </is>
      </c>
      <c r="B14" s="6" t="n"/>
      <c r="C14" s="6" t="n"/>
      <c r="D14" s="6" t="n"/>
      <c r="E14" s="6" t="n"/>
      <c r="F14" s="6" t="n">
        <v>9259.9</v>
      </c>
      <c r="G14" s="6" t="n">
        <v>8232.4</v>
      </c>
      <c r="H14" s="6" t="n">
        <v>7879.8</v>
      </c>
    </row>
    <row r="15">
      <c r="A15" s="5" t="inlineStr">
        <is>
          <t>Total risk weighted exposure amount (derived)</t>
        </is>
      </c>
      <c r="B15" s="5" t="n"/>
      <c r="C15" s="5" t="n"/>
      <c r="D15" s="5" t="n"/>
      <c r="E15" s="5" t="n"/>
      <c r="F15" s="5" t="n">
        <v>50929.6</v>
      </c>
      <c r="G15" s="5" t="n">
        <v>51334.2</v>
      </c>
      <c r="H15" s="5" t="n">
        <v>49500.8</v>
      </c>
    </row>
    <row r="17" ht="340" customHeight="1">
      <c r="A17" s="8" t="inlineStr">
        <is>
          <t>Sources - United Bank for Africa (UK) Limited Pillar 3 Disclosures, converted from USD to £ (see FX conversion note on the Cash Flow Statement sheet):
FY2024 &amp; FY2023 (DIRECTLY DISCLOSED, as reported): Pillar 3 Disclosures - 31 Dec 2024, Section 3, 'Template UK OV1 - Overview of risk weighted exposure amounts', p.9 - https://www.ubauk.com/wp-content/uploads/sites/29/2026/05/UBA-UK-Pillar-3-Disclosures-31-Dec-2024.pdf. This table's own Total row (159,390,258 / 127,932,133) ties exactly to the Total RWAs sheet's FY2024/FY2023 figures.
FY2020 &amp; FY2019 (DERIVED, not directly disclosed as RWA): Pillar 3 Disclosures - 31 Dec 2020, section 4.4 'Pillar 1 Minimum Capital Requirement' table, p.11 - https://www.ubauk.com/wp-content/uploads/sites/29/2018/10/uba-uk-pillar-3-disclosures-31-dec-2020.pdf
FY2018 (DERIVED, not directly disclosed as RWA): Pillar 3 Disclosures - 31 Dec 2018, section 4.4 'Pillar 1 Minimum Capital Requirement' table, p.10 - https://www.ubagroup.com/uk/wp-content/uploads/sites/29/2019/11/UBA-UK-Pillar-3-Disclosures-31-Dec-2018-3.pdf
FY2022 &amp; FY2021 (DIRECTLY DISCLOSED, as reported; ADDED 2026-09-15): Pillar 3 Disclosures - 31 Dec 2022, Section 3, 'Template UK OV1 - Overview of risk weighted exposure amounts', p.8 - https://www.ubauk.com/wp-content/uploads/sites/29/2023/08/UBA-UK-Pillar-3-Disclosures-31-Dec-2022_final-clean-trotter-comments.1-1.pdf. That one table prints both years side by side (columns headed 2022 and 2021). Its categories sum exactly to its own printed Total in both years: 137,813,079 + 20,686 + 3,804,405 + 15,259,365 = 156,897,535 (FY2022), and 93,272,178 + 108 + 8,098,575 + 12,812,625 = 114,183,486 (FY2021). The table prints no Settlement risk row for either year (unlike FY2023/FY2024), so that row is left blank here rather than recorded as zero. Figures were read visually from a 400 dpi render, NOT from OCR alone - tesseract misread the FY2022 Total as '856,897,535' at 300 dpi, and the correct leading digit was confirmed by eye.
DECISION REVERSED 2026-09-15 - THESE TWO YEARS WERE PREVIOUSLY WITHHELD. The reasoning below is retained because the underlying inconsistency it describes is real, reproducible and still unresolved; what changed is the treatment, not the facts. The data is now included, with the mismatch documented in place, for three reasons: (1) UK OV1 is the designated RWA-breakdown template and is the correct source for THIS sheet, whereas the Key Metrics total is a summary line elsewhere in the same document; (2) the prior analysis itself concluded the Key Metrics row is the erroneous one, and the arithmetic below demonstrates exactly how it was mis-populated; (3) this workbook set already carries the same pattern elsewhere - see KEXIM Bank (UK) Limited, whose RWA Breakdown sits on the Pillar 3 basis while its Total RWAs sheet sits on the statutory-accounts basis, with the two kept on separate sheets and a 'do not cross-divide' note rather than one being suppressed. Withholding published, internally consistent, twice-verified figures loses real data; the Total RWAs sheet is unchanged and still carries the Bank's own Key Metrics figure.
THE INCONSISTENCY ITSELF: the FY2022 Pillar 3 Disclosures document contains a 'Template UK OV1' risk-type breakdown (Section 3, p.8) for both FY2022 and FY2021 - Credit risk (excl. CCR) 137,813,079 / 93,272,178 + CCR 20,686/108 + Market risk 3,804,405/8,098,575 + Operational risk 15,259,365/12,812,625 = OV1's own Total 156,897,535/114,183,486 - but that OV1 Total does NOT reconcile with the SAME document's own Section 4 'Key Metrics' table (p.9), which states 'Total risk-weighted exposure amount' as 137,833,765/93,272,286 for the same two years (the figure this workbook's Total RWAs sheet uses) - a difference of ~13.8%/~21.9%, not a rounding gap. The Key Metrics total exactly equals the OV1 table's Credit risk + CCR rows only (137,813,079 + 20,686 = 137,833,765; 93,272,178 + 108 = 93,272,286), strongly suggesting the Key Metrics table's 'Total RWEA' row was mis-populated in UBA UK's own source document (omitting market and operational risk) rather than the OV1 table being wrong. Nothing has been blended: the OV1 breakdown is recorded on this sheet exactly as the Bank printed it, the Total RWAs sheet still carries the Bank's own Key Metrics figure exactly as printed, and neither has been adjusted toward the other. DO NOT CROSS-DIVIDE THE TWO SHEETS - a category sum from this sheet over a capital figure derived against the Total RWAs sheet will not reproduce any ratio the Bank published. A restatement of the Total RWAs sheet onto the OV1 basis remains a separate open question, unchanged by this edit.
RE-VERIFIED (2026-09-12, independent re-check): re-downloaded the FY2022 Pillar 3 Disclosures directly and OCR'd the OV1 table (p.8) and Key Metrics table (p.10) myself - both figures above confirmed character-for-character correct, the inconsistency is real and reproducible, not a prior transcription error. Checked for a resolving source: the FY2024 Pillar 3 Disclosures' own OV1 table only carries a FY2023 comparative column (not FY2022 or FY2021), so it cannot help; no restated or corrected FY2022 Pillar 3 document was found anywhere. The decision not to add this data stands.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sheetData>
  <mergeCells count="1">
    <mergeCell ref="A17:H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60"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120" customHeight="1">
      <c r="A10"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8:H8"/>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60" customHeight="1">
      <c r="A7" s="7" t="inlineStr">
        <is>
          <t>Note: FY2020/FY2019/FY2018's own Pillar 3 reports disclose only the LCR ratio itself, not the underlying HQLA / net cash outflow $ amounts - those two rows are blank for those 3 years (see p3_sources' PRE-2021 FORMAT NOTE).</t>
        </is>
      </c>
    </row>
    <row r="9" ht="12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6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12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2026-09-15T15:04:47Z</dcterms:created>
  <dcterms:modified xmlns:dcterms="http://purl.org/dc/terms/" xmlns:xsi="http://www.w3.org/2001/XMLSchema-instance" xsi:type="dcterms:W3CDTF">2026-09-15T15:04:47Z</dcterms:modified>
</cp:coreProperties>
</file>