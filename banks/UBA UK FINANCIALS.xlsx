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805B10"/>
        <bgColor rgb="00805B1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United Bank for Africa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United Bank for Africa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United Bank for Africa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'Overview'!$AF$18:$AL$18</f>
            </numRef>
          </cat>
          <val>
            <numRef>
              <f>'Overview'!$AF$19:$AL$19</f>
            </numRef>
          </val>
        </ser>
        <ser>
          <idx val="1"/>
          <order val="1"/>
          <tx>
            <strRef>
              <f>'Overview'!AE20</f>
            </strRef>
          </tx>
          <spPr>
            <a:ln xmlns:a="http://schemas.openxmlformats.org/drawingml/2006/main">
              <a:prstDash val="solid"/>
            </a:ln>
          </spPr>
          <cat>
            <numRef>
              <f>'Overview'!$AF$18:$AL$18</f>
            </numRef>
          </cat>
          <val>
            <numRef>
              <f>'Overview'!$AF$20:$AL$20</f>
            </numRef>
          </val>
        </ser>
        <ser>
          <idx val="2"/>
          <order val="2"/>
          <tx>
            <strRef>
              <f>'Overview'!AE21</f>
            </strRef>
          </tx>
          <spPr>
            <a:ln xmlns:a="http://schemas.openxmlformats.org/drawingml/2006/main">
              <a:prstDash val="solid"/>
            </a:ln>
          </spPr>
          <cat>
            <numRef>
              <f>'Overview'!$AF$18:$AL$18</f>
            </numRef>
          </cat>
          <val>
            <numRef>
              <f>'Overview'!$AF$21:$AL$21</f>
            </numRef>
          </val>
        </ser>
        <ser>
          <idx val="3"/>
          <order val="3"/>
          <tx>
            <strRef>
              <f>'Overview'!AE22</f>
            </strRef>
          </tx>
          <spPr>
            <a:ln xmlns:a="http://schemas.openxmlformats.org/drawingml/2006/main">
              <a:prstDash val="solid"/>
            </a:ln>
          </spPr>
          <cat>
            <numRef>
              <f>'Overview'!$AF$18:$AL$18</f>
            </numRef>
          </cat>
          <val>
            <numRef>
              <f>'Overview'!$AF$22:$AL$22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US$'000 (native, not converted - see Statement of Changes in Equity source note)</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United Bank for Africa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'Overview'!AO26</f>
            </strRef>
          </tx>
          <spPr>
            <a:ln xmlns:a="http://schemas.openxmlformats.org/drawingml/2006/main">
              <a:prstDash val="solid"/>
            </a:ln>
          </spPr>
          <cat>
            <numRef>
              <f>'Overview'!$AP$25:$AV$25</f>
            </numRef>
          </cat>
          <val>
            <numRef>
              <f>'Overview'!$AP$26:$AV$26</f>
            </numRef>
          </val>
        </ser>
        <ser>
          <idx val="1"/>
          <order val="1"/>
          <tx>
            <strRef>
              <f>'Overview'!AO27</f>
            </strRef>
          </tx>
          <spPr>
            <a:ln xmlns:a="http://schemas.openxmlformats.org/drawingml/2006/main">
              <a:prstDash val="solid"/>
            </a:ln>
          </spPr>
          <cat>
            <numRef>
              <f>'Overview'!$AP$25:$AV$25</f>
            </numRef>
          </cat>
          <val>
            <numRef>
              <f>'Overview'!$AP$27:$AV$27</f>
            </numRef>
          </val>
        </ser>
        <ser>
          <idx val="2"/>
          <order val="2"/>
          <tx>
            <strRef>
              <f>'Overview'!AO28</f>
            </strRef>
          </tx>
          <spPr>
            <a:ln xmlns:a="http://schemas.openxmlformats.org/drawingml/2006/main">
              <a:prstDash val="solid"/>
            </a:ln>
          </spPr>
          <cat>
            <numRef>
              <f>'Overview'!$AP$25:$AV$25</f>
            </numRef>
          </cat>
          <val>
            <numRef>
              <f>'Overview'!$AP$28:$AV$28</f>
            </numRef>
          </val>
        </ser>
        <ser>
          <idx val="3"/>
          <order val="3"/>
          <tx>
            <strRef>
              <f>'Overview'!AO29</f>
            </strRef>
          </tx>
          <spPr>
            <a:ln xmlns:a="http://schemas.openxmlformats.org/drawingml/2006/main">
              <a:prstDash val="solid"/>
            </a:ln>
          </spPr>
          <cat>
            <numRef>
              <f>'Overview'!$AP$25:$AV$25</f>
            </numRef>
          </cat>
          <val>
            <numRef>
              <f>'Overview'!$AP$29:$AV$29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United Bank for Africa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'Overview'!AY6</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'Overview'!$AZ$6:$BF$6</f>
            </numRef>
          </val>
          <smooth val="0"/>
        </ser>
        <ser>
          <idx val="1"/>
          <order val="1"/>
          <tx>
            <strRef>
              <f>'Overview'!AY7</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'Overview'!$AZ$7:$BF$7</f>
            </numRef>
          </val>
          <smooth val="0"/>
        </ser>
        <ser>
          <idx val="2"/>
          <order val="2"/>
          <tx>
            <strRef>
              <f>'Overview'!AY8</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'Overview'!$AZ$8:$BF$8</f>
            </numRef>
          </val>
          <smooth val="0"/>
        </ser>
        <ser>
          <idx val="3"/>
          <order val="3"/>
          <tx>
            <strRef>
              <f>'Overview'!AY9</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'Overview'!$AZ$9:$BF$9</f>
            </numRef>
          </val>
          <smooth val="0"/>
        </ser>
        <ser>
          <idx val="4"/>
          <order val="4"/>
          <tx>
            <strRef>
              <f>'Overview'!AY10</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'Overview'!$AZ$10:$BF$10</f>
            </numRef>
          </val>
          <smooth val="0"/>
        </ser>
        <ser>
          <idx val="5"/>
          <order val="5"/>
          <tx>
            <strRef>
              <f>'Overview'!AY11</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'Overview'!$AZ$11:$BF$11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F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s>
  <sheetData>
    <row r="1">
      <c r="A1" s="1" t="inlineStr">
        <is>
          <t>United Bank for Africa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FY2024</t>
        </is>
      </c>
      <c r="C5" s="4" t="inlineStr">
        <is>
          <t>FY2023</t>
        </is>
      </c>
      <c r="D5" s="4" t="inlineStr">
        <is>
          <t>FY2022</t>
        </is>
      </c>
      <c r="E5" s="4" t="inlineStr">
        <is>
          <t>FY2021</t>
        </is>
      </c>
      <c r="F5" s="4" t="inlineStr">
        <is>
          <t>FY2020</t>
        </is>
      </c>
      <c r="G5" s="4" t="inlineStr">
        <is>
          <t>FY2019</t>
        </is>
      </c>
      <c r="H5" s="4" t="inlineStr">
        <is>
          <t>FY2018</t>
        </is>
      </c>
      <c r="L5" t="inlineStr">
        <is>
          <t>FY2018</t>
        </is>
      </c>
      <c r="M5" t="inlineStr">
        <is>
          <t>FY2019</t>
        </is>
      </c>
      <c r="N5" t="inlineStr">
        <is>
          <t>FY2020</t>
        </is>
      </c>
      <c r="O5" t="inlineStr">
        <is>
          <t>FY2021</t>
        </is>
      </c>
      <c r="P5" t="inlineStr">
        <is>
          <t>FY2022</t>
        </is>
      </c>
      <c r="Q5" t="inlineStr">
        <is>
          <t>FY2023</t>
        </is>
      </c>
      <c r="R5" t="inlineStr">
        <is>
          <t>FY2024</t>
        </is>
      </c>
      <c r="AZ5" t="inlineStr">
        <is>
          <t>FY2018</t>
        </is>
      </c>
      <c r="BA5" t="inlineStr">
        <is>
          <t>FY2019</t>
        </is>
      </c>
      <c r="BB5" t="inlineStr">
        <is>
          <t>FY2020</t>
        </is>
      </c>
      <c r="BC5" t="inlineStr">
        <is>
          <t>FY2021</t>
        </is>
      </c>
      <c r="BD5" t="inlineStr">
        <is>
          <t>FY2022</t>
        </is>
      </c>
      <c r="BE5" t="inlineStr">
        <is>
          <t>FY2023</t>
        </is>
      </c>
      <c r="BF5" t="inlineStr">
        <is>
          <t>FY2024</t>
        </is>
      </c>
    </row>
    <row r="6">
      <c r="A6" s="5" t="inlineStr">
        <is>
          <t>Total assets</t>
        </is>
      </c>
      <c r="B6" s="5" t="n">
        <v>375311.2</v>
      </c>
      <c r="C6" s="5" t="n">
        <v>480409.2</v>
      </c>
      <c r="D6" s="5" t="n">
        <v>492550.2</v>
      </c>
      <c r="E6" s="5" t="n">
        <v>386463.3</v>
      </c>
      <c r="F6" s="5" t="n">
        <v>180911.4</v>
      </c>
      <c r="G6" s="5" t="n">
        <v>167738.1</v>
      </c>
      <c r="H6" s="5" t="n">
        <v>130127.6</v>
      </c>
      <c r="K6" t="inlineStr">
        <is>
          <t>Total assets</t>
        </is>
      </c>
      <c r="L6" t="n">
        <v>130127.6</v>
      </c>
      <c r="M6" t="n">
        <v>167738.1</v>
      </c>
      <c r="N6" t="n">
        <v>180911.4</v>
      </c>
      <c r="O6" t="n">
        <v>386463.3</v>
      </c>
      <c r="P6" t="n">
        <v>492550.2</v>
      </c>
      <c r="Q6" t="n">
        <v>480409.2</v>
      </c>
      <c r="R6" t="n">
        <v>375311.2</v>
      </c>
      <c r="AY6" t="inlineStr">
        <is>
          <t>CET1 Ratio</t>
        </is>
      </c>
      <c r="AZ6" t="n">
        <v>67.55</v>
      </c>
      <c r="BA6" t="n">
        <v>62.49</v>
      </c>
      <c r="BB6" t="n">
        <v>56.47</v>
      </c>
      <c r="BC6" t="n">
        <v>33.56</v>
      </c>
      <c r="BD6" t="n">
        <v>23.27</v>
      </c>
      <c r="BE6" t="n">
        <v>47.6</v>
      </c>
      <c r="BF6" t="n">
        <v>49.04</v>
      </c>
    </row>
    <row r="7">
      <c r="A7" s="5" t="inlineStr">
        <is>
          <t>Loans and advances to customers</t>
        </is>
      </c>
      <c r="B7" s="5" t="n">
        <v>0</v>
      </c>
      <c r="C7" s="5" t="n">
        <v>2011.5</v>
      </c>
      <c r="D7" s="5" t="n"/>
      <c r="E7" s="5" t="n"/>
      <c r="F7" s="5" t="n"/>
      <c r="G7" s="5" t="n"/>
      <c r="H7" s="5" t="n"/>
      <c r="K7" t="inlineStr">
        <is>
          <t>Loans and advances to customers</t>
        </is>
      </c>
      <c r="Q7" t="n">
        <v>2011.5</v>
      </c>
      <c r="R7" t="n">
        <v>0</v>
      </c>
      <c r="AY7" t="inlineStr">
        <is>
          <t>Tier 1 Ratio</t>
        </is>
      </c>
      <c r="AZ7" t="n">
        <v>67.55</v>
      </c>
      <c r="BA7" t="n">
        <v>62.49</v>
      </c>
      <c r="BB7" t="n">
        <v>56.47</v>
      </c>
      <c r="BC7" t="n">
        <v>33.56</v>
      </c>
      <c r="BD7" t="n">
        <v>23.27</v>
      </c>
      <c r="BE7" t="n">
        <v>47.6</v>
      </c>
      <c r="BF7" t="n">
        <v>49.04</v>
      </c>
    </row>
    <row r="8">
      <c r="A8" s="5" t="inlineStr">
        <is>
          <t>Deposits from customers</t>
        </is>
      </c>
      <c r="B8" s="5" t="n">
        <v>7859.4</v>
      </c>
      <c r="C8" s="5" t="n">
        <v>29359.1</v>
      </c>
      <c r="D8" s="5" t="n">
        <v>3980.3</v>
      </c>
      <c r="E8" s="5" t="n">
        <v>12.6</v>
      </c>
      <c r="F8" s="5" t="n">
        <v>9859.5</v>
      </c>
      <c r="G8" s="5" t="n">
        <v>1621.5</v>
      </c>
      <c r="H8" s="5" t="n">
        <v>6772.9</v>
      </c>
      <c r="K8" t="inlineStr">
        <is>
          <t>Deposits from customers</t>
        </is>
      </c>
      <c r="L8" t="n">
        <v>6772.9</v>
      </c>
      <c r="M8" t="n">
        <v>1621.5</v>
      </c>
      <c r="N8" t="n">
        <v>9859.5</v>
      </c>
      <c r="O8" t="n">
        <v>12.6</v>
      </c>
      <c r="P8" t="n">
        <v>3980.3</v>
      </c>
      <c r="Q8" t="n">
        <v>29359.1</v>
      </c>
      <c r="R8" t="n">
        <v>7859.4</v>
      </c>
      <c r="AY8" t="inlineStr">
        <is>
          <t>Total Capital Ratio</t>
        </is>
      </c>
      <c r="AZ8" t="n">
        <v>67.55</v>
      </c>
      <c r="BA8" t="n">
        <v>62.49</v>
      </c>
      <c r="BB8" t="n">
        <v>56.47</v>
      </c>
      <c r="BC8" t="n">
        <v>33.56</v>
      </c>
      <c r="BD8" t="n">
        <v>23.27</v>
      </c>
      <c r="BE8" t="n">
        <v>47.6</v>
      </c>
      <c r="BF8" t="n">
        <v>49.04</v>
      </c>
    </row>
    <row r="9">
      <c r="A9" s="5" t="inlineStr">
        <is>
          <t>Total equity</t>
        </is>
      </c>
      <c r="B9" s="5" t="n">
        <v>63371.2</v>
      </c>
      <c r="C9" s="5" t="n">
        <v>58959.3</v>
      </c>
      <c r="D9" s="5" t="n">
        <v>38359.1</v>
      </c>
      <c r="E9" s="5" t="n">
        <v>29207.9</v>
      </c>
      <c r="F9" s="5" t="n">
        <v>30164.7</v>
      </c>
      <c r="G9" s="5" t="n">
        <v>34251.3</v>
      </c>
      <c r="H9" s="5" t="n">
        <v>35021.9</v>
      </c>
      <c r="K9" t="inlineStr">
        <is>
          <t>Total equity</t>
        </is>
      </c>
      <c r="L9" t="n">
        <v>35021.9</v>
      </c>
      <c r="M9" t="n">
        <v>34251.3</v>
      </c>
      <c r="N9" t="n">
        <v>30164.7</v>
      </c>
      <c r="O9" t="n">
        <v>29207.9</v>
      </c>
      <c r="P9" t="n">
        <v>38359.1</v>
      </c>
      <c r="Q9" t="n">
        <v>58959.3</v>
      </c>
      <c r="R9" t="n">
        <v>63371.2</v>
      </c>
      <c r="AY9" t="inlineStr">
        <is>
          <t>Leverage Ratio</t>
        </is>
      </c>
      <c r="AZ9" t="n">
        <v>24</v>
      </c>
      <c r="BA9" t="n">
        <v>19</v>
      </c>
      <c r="BB9" t="n">
        <v>15</v>
      </c>
      <c r="BC9" t="n">
        <v>7</v>
      </c>
      <c r="BD9" t="n">
        <v>6</v>
      </c>
      <c r="BE9" t="n">
        <v>9.720000000000001</v>
      </c>
      <c r="BF9" t="n">
        <v>16.16</v>
      </c>
    </row>
    <row r="10">
      <c r="AY10" t="inlineStr">
        <is>
          <t>LCR</t>
        </is>
      </c>
      <c r="AZ10" t="n">
        <v>466</v>
      </c>
      <c r="BA10" t="n">
        <v>499</v>
      </c>
      <c r="BB10" t="n">
        <v>413</v>
      </c>
      <c r="BC10" t="n">
        <v>361.44</v>
      </c>
      <c r="BD10" t="n">
        <v>224.15</v>
      </c>
      <c r="BE10" t="n">
        <v>228.83</v>
      </c>
      <c r="BF10" t="n">
        <v>352.77</v>
      </c>
    </row>
    <row r="11">
      <c r="A11" s="3" t="inlineStr">
        <is>
          <t>Profit &amp; Loss Summary (£'000)</t>
        </is>
      </c>
      <c r="AY11" t="inlineStr">
        <is>
          <t>NSFR</t>
        </is>
      </c>
      <c r="AZ11" t="n">
        <v>113</v>
      </c>
      <c r="BA11" t="n">
        <v>221</v>
      </c>
      <c r="BB11" t="n">
        <v>137</v>
      </c>
      <c r="BC11" t="n">
        <v>147.77</v>
      </c>
      <c r="BD11" t="n">
        <v>181.33</v>
      </c>
      <c r="BE11" t="n">
        <v>153.07</v>
      </c>
      <c r="BF11" t="n">
        <v>182.68</v>
      </c>
    </row>
    <row r="12">
      <c r="A12" s="4" t="inlineStr">
        <is>
          <t>Line item</t>
        </is>
      </c>
      <c r="B12" s="4" t="inlineStr">
        <is>
          <t>FY2024</t>
        </is>
      </c>
      <c r="C12" s="4" t="inlineStr">
        <is>
          <t>FY2023</t>
        </is>
      </c>
      <c r="D12" s="4" t="inlineStr">
        <is>
          <t>FY2022</t>
        </is>
      </c>
      <c r="E12" s="4" t="inlineStr">
        <is>
          <t>FY2021</t>
        </is>
      </c>
      <c r="F12" s="4" t="inlineStr">
        <is>
          <t>FY2020</t>
        </is>
      </c>
      <c r="G12" s="4" t="inlineStr">
        <is>
          <t>FY2019</t>
        </is>
      </c>
      <c r="H12" s="4" t="inlineStr">
        <is>
          <t>FY2018</t>
        </is>
      </c>
      <c r="V12" t="inlineStr">
        <is>
          <t>FY2018</t>
        </is>
      </c>
      <c r="W12" t="inlineStr">
        <is>
          <t>FY2019</t>
        </is>
      </c>
      <c r="X12" t="inlineStr">
        <is>
          <t>FY2020</t>
        </is>
      </c>
      <c r="Y12" t="inlineStr">
        <is>
          <t>FY2021</t>
        </is>
      </c>
      <c r="Z12" t="inlineStr">
        <is>
          <t>FY2022</t>
        </is>
      </c>
      <c r="AA12" t="inlineStr">
        <is>
          <t>FY2023</t>
        </is>
      </c>
      <c r="AB12" t="inlineStr">
        <is>
          <t>FY2024</t>
        </is>
      </c>
    </row>
    <row r="13">
      <c r="A13" s="5" t="inlineStr">
        <is>
          <t>Operating income</t>
        </is>
      </c>
      <c r="B13" s="5" t="n">
        <v>21968.4</v>
      </c>
      <c r="C13" s="5" t="n">
        <v>25058.3</v>
      </c>
      <c r="D13" s="5" t="n">
        <v>18112.8</v>
      </c>
      <c r="E13" s="5" t="n">
        <v>6471.8</v>
      </c>
      <c r="F13" s="5" t="n">
        <v>4723.6</v>
      </c>
      <c r="G13" s="5" t="n">
        <v>7302.7</v>
      </c>
      <c r="H13" s="5" t="n">
        <v>4645.7</v>
      </c>
      <c r="U13" t="inlineStr">
        <is>
          <t>Operating income</t>
        </is>
      </c>
      <c r="V13" t="n">
        <v>4645.7</v>
      </c>
      <c r="W13" t="n">
        <v>7302.7</v>
      </c>
      <c r="X13" t="n">
        <v>4723.6</v>
      </c>
      <c r="Y13" t="n">
        <v>6471.8</v>
      </c>
      <c r="Z13" t="n">
        <v>18112.8</v>
      </c>
      <c r="AA13" t="n">
        <v>25058.3</v>
      </c>
      <c r="AB13" t="n">
        <v>21968.4</v>
      </c>
    </row>
    <row r="14">
      <c r="A14" s="5" t="inlineStr">
        <is>
          <t>Total operating expense</t>
        </is>
      </c>
      <c r="B14" s="5" t="n">
        <v>-11861.1</v>
      </c>
      <c r="C14" s="5" t="n">
        <v>-10672.1</v>
      </c>
      <c r="D14" s="5" t="n">
        <v>-8362.799999999999</v>
      </c>
      <c r="E14" s="5" t="n">
        <v>-7233.2</v>
      </c>
      <c r="F14" s="5" t="n">
        <v>-7694.3</v>
      </c>
      <c r="G14" s="5" t="n">
        <v>-6846.5</v>
      </c>
      <c r="H14" s="5" t="n">
        <v>-6057.8</v>
      </c>
      <c r="U14" t="inlineStr">
        <is>
          <t>Total operating expense</t>
        </is>
      </c>
      <c r="V14" t="n">
        <v>-6057.8</v>
      </c>
      <c r="W14" t="n">
        <v>-6846.5</v>
      </c>
      <c r="X14" t="n">
        <v>-7694.3</v>
      </c>
      <c r="Y14" t="n">
        <v>-7233.2</v>
      </c>
      <c r="Z14" t="n">
        <v>-8362.799999999999</v>
      </c>
      <c r="AA14" t="n">
        <v>-10672.1</v>
      </c>
      <c r="AB14" t="n">
        <v>-11861.1</v>
      </c>
    </row>
    <row r="15">
      <c r="A15" s="5" t="inlineStr">
        <is>
          <t>Profit/(loss) for the year</t>
        </is>
      </c>
      <c r="B15" s="5" t="n">
        <v>8957.1</v>
      </c>
      <c r="C15" s="5" t="n">
        <v>11514.6</v>
      </c>
      <c r="D15" s="5" t="n">
        <v>9263.1</v>
      </c>
      <c r="E15" s="5" t="n">
        <v>-761.3</v>
      </c>
      <c r="F15" s="5" t="n">
        <v>-2980.9</v>
      </c>
      <c r="G15" s="5" t="n">
        <v>486.8</v>
      </c>
      <c r="H15" s="5" t="n">
        <v>-1410.6</v>
      </c>
      <c r="U15" t="inlineStr">
        <is>
          <t>Profit/(loss) for the year</t>
        </is>
      </c>
      <c r="V15" t="n">
        <v>-1410.6</v>
      </c>
      <c r="W15" t="n">
        <v>486.8</v>
      </c>
      <c r="X15" t="n">
        <v>-2980.9</v>
      </c>
      <c r="Y15" t="n">
        <v>-761.3</v>
      </c>
      <c r="Z15" t="n">
        <v>9263.1</v>
      </c>
      <c r="AA15" t="n">
        <v>11514.6</v>
      </c>
      <c r="AB15" t="n">
        <v>8957.1</v>
      </c>
    </row>
    <row r="17">
      <c r="A17" s="3" t="inlineStr">
        <is>
          <t>Statement of Changes in Equity Summary (US$'000 (native, not converted - see Statement of Changes in Equity source note))</t>
        </is>
      </c>
    </row>
    <row r="18">
      <c r="A18" s="4" t="inlineStr">
        <is>
          <t>Line item</t>
        </is>
      </c>
      <c r="B18" s="4" t="inlineStr">
        <is>
          <t>FY2024</t>
        </is>
      </c>
      <c r="C18" s="4" t="inlineStr">
        <is>
          <t>FY2023</t>
        </is>
      </c>
      <c r="D18" s="4" t="inlineStr">
        <is>
          <t>FY2022</t>
        </is>
      </c>
      <c r="E18" s="4" t="inlineStr">
        <is>
          <t>FY2021</t>
        </is>
      </c>
      <c r="F18" s="4" t="inlineStr">
        <is>
          <t>FY2020</t>
        </is>
      </c>
      <c r="G18" s="4" t="inlineStr">
        <is>
          <t>FY2019</t>
        </is>
      </c>
      <c r="H18" s="4" t="inlineStr">
        <is>
          <t>FY2018</t>
        </is>
      </c>
      <c r="AF18" t="inlineStr">
        <is>
          <t>FY2018</t>
        </is>
      </c>
      <c r="AG18" t="inlineStr">
        <is>
          <t>FY2019</t>
        </is>
      </c>
      <c r="AH18" t="inlineStr">
        <is>
          <t>FY2020</t>
        </is>
      </c>
      <c r="AI18" t="inlineStr">
        <is>
          <t>FY2021</t>
        </is>
      </c>
      <c r="AJ18" t="inlineStr">
        <is>
          <t>FY2022</t>
        </is>
      </c>
      <c r="AK18" t="inlineStr">
        <is>
          <t>FY2023</t>
        </is>
      </c>
      <c r="AL18" t="inlineStr">
        <is>
          <t>FY2024</t>
        </is>
      </c>
    </row>
    <row r="19">
      <c r="A19" s="5" t="inlineStr">
        <is>
          <t>Opening equity</t>
        </is>
      </c>
      <c r="B19" s="5" t="n">
        <v>75067</v>
      </c>
      <c r="C19" s="5" t="n">
        <v>46403</v>
      </c>
      <c r="D19" s="5" t="n">
        <v>39492</v>
      </c>
      <c r="E19" s="5" t="n">
        <v>41208</v>
      </c>
      <c r="F19" s="5" t="n">
        <v>45246</v>
      </c>
      <c r="G19" s="5" t="n">
        <v>44723</v>
      </c>
      <c r="H19" s="5" t="n">
        <v>47292</v>
      </c>
      <c r="AE19" t="inlineStr">
        <is>
          <t>Opening equity</t>
        </is>
      </c>
      <c r="AF19" t="n">
        <v>47292</v>
      </c>
      <c r="AG19" t="n">
        <v>44723</v>
      </c>
      <c r="AH19" t="n">
        <v>45246</v>
      </c>
      <c r="AI19" t="n">
        <v>41208</v>
      </c>
      <c r="AJ19" t="n">
        <v>39492</v>
      </c>
      <c r="AK19" t="n">
        <v>46403</v>
      </c>
      <c r="AL19" t="n">
        <v>75067</v>
      </c>
    </row>
    <row r="20">
      <c r="A20" s="5" t="inlineStr">
        <is>
          <t>Total comprehensive income/(loss) for the year</t>
        </is>
      </c>
      <c r="B20" s="5" t="n">
        <v>14242</v>
      </c>
      <c r="C20" s="5" t="n">
        <v>16664</v>
      </c>
      <c r="D20" s="5" t="n">
        <v>6911</v>
      </c>
      <c r="E20" s="5" t="n">
        <v>-1716</v>
      </c>
      <c r="F20" s="5" t="n">
        <v>-4038</v>
      </c>
      <c r="G20" s="5" t="n">
        <v>523</v>
      </c>
      <c r="H20" s="5" t="n">
        <v>-1919</v>
      </c>
      <c r="AE20" t="inlineStr">
        <is>
          <t>Total comprehensive income/(loss) for the year</t>
        </is>
      </c>
      <c r="AF20" t="n">
        <v>-1919</v>
      </c>
      <c r="AG20" t="n">
        <v>523</v>
      </c>
      <c r="AH20" t="n">
        <v>-4038</v>
      </c>
      <c r="AI20" t="n">
        <v>-1716</v>
      </c>
      <c r="AJ20" t="n">
        <v>6911</v>
      </c>
      <c r="AK20" t="n">
        <v>16664</v>
      </c>
      <c r="AL20" t="n">
        <v>14242</v>
      </c>
    </row>
    <row r="21">
      <c r="A21" s="5" t="inlineStr">
        <is>
          <t>Other equity movements, net (issuances/dividends/IFRS 9 transition)</t>
        </is>
      </c>
      <c r="B21" s="5" t="n">
        <v>-10000</v>
      </c>
      <c r="C21" s="5" t="n">
        <v>12000</v>
      </c>
      <c r="D21" s="5" t="n">
        <v>0</v>
      </c>
      <c r="E21" s="5" t="n">
        <v>0</v>
      </c>
      <c r="F21" s="5" t="n">
        <v>0</v>
      </c>
      <c r="G21" s="5" t="n">
        <v>0</v>
      </c>
      <c r="H21" s="5" t="n">
        <v>-650</v>
      </c>
      <c r="AE21" t="inlineStr">
        <is>
          <t>Other equity movements, net (issuances/dividends/IFRS 9 transition)</t>
        </is>
      </c>
      <c r="AF21" t="n">
        <v>-650</v>
      </c>
      <c r="AG21" t="n">
        <v>0</v>
      </c>
      <c r="AH21" t="n">
        <v>0</v>
      </c>
      <c r="AI21" t="n">
        <v>0</v>
      </c>
      <c r="AJ21" t="n">
        <v>0</v>
      </c>
      <c r="AK21" t="n">
        <v>12000</v>
      </c>
      <c r="AL21" t="n">
        <v>-10000</v>
      </c>
    </row>
    <row r="22">
      <c r="A22" s="5" t="inlineStr">
        <is>
          <t>Closing equity</t>
        </is>
      </c>
      <c r="B22" s="5" t="n">
        <v>79309</v>
      </c>
      <c r="C22" s="5" t="n">
        <v>75067</v>
      </c>
      <c r="D22" s="5" t="n">
        <v>46403</v>
      </c>
      <c r="E22" s="5" t="n">
        <v>39492</v>
      </c>
      <c r="F22" s="5" t="n">
        <v>41208</v>
      </c>
      <c r="G22" s="5" t="n">
        <v>45246</v>
      </c>
      <c r="H22" s="5" t="n">
        <v>44723</v>
      </c>
      <c r="AE22" t="inlineStr">
        <is>
          <t>Closing equity</t>
        </is>
      </c>
      <c r="AF22" t="n">
        <v>44723</v>
      </c>
      <c r="AG22" t="n">
        <v>45246</v>
      </c>
      <c r="AH22" t="n">
        <v>41208</v>
      </c>
      <c r="AI22" t="n">
        <v>39492</v>
      </c>
      <c r="AJ22" t="n">
        <v>46403</v>
      </c>
      <c r="AK22" t="n">
        <v>75067</v>
      </c>
      <c r="AL22" t="n">
        <v>79309</v>
      </c>
    </row>
    <row r="24">
      <c r="A24" s="3" t="inlineStr">
        <is>
          <t>Cash Flow Summary (£'000)</t>
        </is>
      </c>
    </row>
    <row r="25">
      <c r="A25" s="4" t="inlineStr">
        <is>
          <t>Line item</t>
        </is>
      </c>
      <c r="B25" s="4" t="inlineStr">
        <is>
          <t>FY2024</t>
        </is>
      </c>
      <c r="C25" s="4" t="inlineStr">
        <is>
          <t>FY2023</t>
        </is>
      </c>
      <c r="D25" s="4" t="inlineStr">
        <is>
          <t>FY2022</t>
        </is>
      </c>
      <c r="E25" s="4" t="inlineStr">
        <is>
          <t>FY2021</t>
        </is>
      </c>
      <c r="F25" s="4" t="inlineStr">
        <is>
          <t>FY2020</t>
        </is>
      </c>
      <c r="G25" s="4" t="inlineStr">
        <is>
          <t>FY2019</t>
        </is>
      </c>
      <c r="H25" s="4" t="inlineStr">
        <is>
          <t>FY2018</t>
        </is>
      </c>
      <c r="AP25" t="inlineStr">
        <is>
          <t>FY2018</t>
        </is>
      </c>
      <c r="AQ25" t="inlineStr">
        <is>
          <t>FY2019</t>
        </is>
      </c>
      <c r="AR25" t="inlineStr">
        <is>
          <t>FY2020</t>
        </is>
      </c>
      <c r="AS25" t="inlineStr">
        <is>
          <t>FY2021</t>
        </is>
      </c>
      <c r="AT25" t="inlineStr">
        <is>
          <t>FY2022</t>
        </is>
      </c>
      <c r="AU25" t="inlineStr">
        <is>
          <t>FY2023</t>
        </is>
      </c>
      <c r="AV25" t="inlineStr">
        <is>
          <t>FY2024</t>
        </is>
      </c>
    </row>
    <row r="26">
      <c r="A26" s="5" t="inlineStr">
        <is>
          <t>Net cash flows from/(used in) operating activities</t>
        </is>
      </c>
      <c r="B26" s="5" t="n">
        <v>40782.4</v>
      </c>
      <c r="C26" s="5" t="n">
        <v>42791.2</v>
      </c>
      <c r="D26" s="5" t="n">
        <v>-6406.7</v>
      </c>
      <c r="E26" s="5" t="n">
        <v>19246.7</v>
      </c>
      <c r="F26" s="5" t="n">
        <v>47318.5</v>
      </c>
      <c r="G26" s="5" t="n">
        <v>13263.3</v>
      </c>
      <c r="H26" s="5" t="n">
        <v>13424.8</v>
      </c>
      <c r="AO26" t="inlineStr">
        <is>
          <t>Net cash flows from/(used in) operating activities</t>
        </is>
      </c>
      <c r="AP26" t="n">
        <v>13424.8</v>
      </c>
      <c r="AQ26" t="n">
        <v>13263.3</v>
      </c>
      <c r="AR26" t="n">
        <v>47318.5</v>
      </c>
      <c r="AS26" t="n">
        <v>19246.7</v>
      </c>
      <c r="AT26" t="n">
        <v>-6406.7</v>
      </c>
      <c r="AU26" t="n">
        <v>42791.2</v>
      </c>
      <c r="AV26" t="n">
        <v>40782.4</v>
      </c>
    </row>
    <row r="27">
      <c r="A27" s="5" t="inlineStr">
        <is>
          <t>Net cash flows from/(used in) investing activities</t>
        </is>
      </c>
      <c r="B27" s="5" t="n">
        <v>-24128.5</v>
      </c>
      <c r="C27" s="5" t="n">
        <v>-4803.4</v>
      </c>
      <c r="D27" s="5" t="n">
        <v>-12844.2</v>
      </c>
      <c r="E27" s="5" t="n">
        <v>-11258</v>
      </c>
      <c r="F27" s="5" t="n">
        <v>-30604.3</v>
      </c>
      <c r="G27" s="5" t="n">
        <v>-14810.7</v>
      </c>
      <c r="H27" s="5" t="n">
        <v>-22064.5</v>
      </c>
      <c r="AO27" t="inlineStr">
        <is>
          <t>Net cash flows from/(used in) investing activities</t>
        </is>
      </c>
      <c r="AP27" t="n">
        <v>-22064.5</v>
      </c>
      <c r="AQ27" t="n">
        <v>-14810.7</v>
      </c>
      <c r="AR27" t="n">
        <v>-30604.3</v>
      </c>
      <c r="AS27" t="n">
        <v>-11258</v>
      </c>
      <c r="AT27" t="n">
        <v>-12844.2</v>
      </c>
      <c r="AU27" t="n">
        <v>-4803.4</v>
      </c>
      <c r="AV27" t="n">
        <v>-24128.5</v>
      </c>
    </row>
    <row r="28">
      <c r="A28" s="5" t="inlineStr">
        <is>
          <t>Net cash flow (used in)/from financing activities</t>
        </is>
      </c>
      <c r="B28" s="5" t="n">
        <v>-8030</v>
      </c>
      <c r="C28" s="5" t="n">
        <v>9449.299999999999</v>
      </c>
      <c r="D28" s="5" t="n">
        <v>-190.1</v>
      </c>
      <c r="E28" s="5" t="n">
        <v>-205.8</v>
      </c>
      <c r="F28" s="5" t="n">
        <v>0</v>
      </c>
      <c r="G28" s="5" t="n">
        <v>0</v>
      </c>
      <c r="H28" s="5" t="n">
        <v>0</v>
      </c>
      <c r="AO28" t="inlineStr">
        <is>
          <t>Net cash flow (used in)/from financing activities</t>
        </is>
      </c>
      <c r="AP28" t="n">
        <v>0</v>
      </c>
      <c r="AQ28" t="n">
        <v>0</v>
      </c>
      <c r="AR28" t="n">
        <v>0</v>
      </c>
      <c r="AS28" t="n">
        <v>-205.8</v>
      </c>
      <c r="AT28" t="n">
        <v>-190.1</v>
      </c>
      <c r="AU28" t="n">
        <v>9449.299999999999</v>
      </c>
      <c r="AV28" t="n">
        <v>-8030</v>
      </c>
    </row>
    <row r="29">
      <c r="A29" s="5" t="inlineStr">
        <is>
          <t>Cash and cash equivalents at end of period</t>
        </is>
      </c>
      <c r="B29" s="5" t="n">
        <v>81764.3</v>
      </c>
      <c r="C29" s="5" t="n">
        <v>71669.8</v>
      </c>
      <c r="D29" s="5" t="n">
        <v>25950.2</v>
      </c>
      <c r="E29" s="5" t="n">
        <v>40991.8</v>
      </c>
      <c r="F29" s="5" t="n">
        <v>32737</v>
      </c>
      <c r="G29" s="5" t="n">
        <v>17627.6</v>
      </c>
      <c r="H29" s="5" t="n">
        <v>19780.7</v>
      </c>
      <c r="AO29" t="inlineStr">
        <is>
          <t>Cash and cash equivalents at end of period</t>
        </is>
      </c>
      <c r="AP29" t="n">
        <v>19780.7</v>
      </c>
      <c r="AQ29" t="n">
        <v>17627.6</v>
      </c>
      <c r="AR29" t="n">
        <v>32737</v>
      </c>
      <c r="AS29" t="n">
        <v>40991.8</v>
      </c>
      <c r="AT29" t="n">
        <v>25950.2</v>
      </c>
      <c r="AU29" t="n">
        <v>71669.8</v>
      </c>
      <c r="AV29" t="n">
        <v>81764.3</v>
      </c>
    </row>
    <row r="31">
      <c r="A31" s="3" t="inlineStr">
        <is>
          <t>Pillar 3 Key Metrics</t>
        </is>
      </c>
    </row>
    <row r="32">
      <c r="A32" s="4" t="inlineStr">
        <is>
          <t>Line item</t>
        </is>
      </c>
      <c r="B32" s="4" t="inlineStr">
        <is>
          <t>FY2024</t>
        </is>
      </c>
      <c r="C32" s="4" t="inlineStr">
        <is>
          <t>FY2023</t>
        </is>
      </c>
      <c r="D32" s="4" t="inlineStr">
        <is>
          <t>FY2022</t>
        </is>
      </c>
      <c r="E32" s="4" t="inlineStr">
        <is>
          <t>FY2021</t>
        </is>
      </c>
      <c r="F32" s="4" t="inlineStr">
        <is>
          <t>FY2020</t>
        </is>
      </c>
      <c r="G32" s="4" t="inlineStr">
        <is>
          <t>FY2019</t>
        </is>
      </c>
      <c r="H32" s="4" t="inlineStr">
        <is>
          <t>FY2018</t>
        </is>
      </c>
    </row>
    <row r="33">
      <c r="A33" s="6" t="inlineStr">
        <is>
          <t>CET1 Ratio</t>
        </is>
      </c>
      <c r="B33" s="6" t="inlineStr">
        <is>
          <t>49.04%</t>
        </is>
      </c>
      <c r="C33" s="6" t="inlineStr">
        <is>
          <t>47.60%</t>
        </is>
      </c>
      <c r="D33" s="6" t="inlineStr">
        <is>
          <t>23.27%</t>
        </is>
      </c>
      <c r="E33" s="6" t="inlineStr">
        <is>
          <t>33.56%</t>
        </is>
      </c>
      <c r="F33" s="6" t="inlineStr">
        <is>
          <t>56.47%</t>
        </is>
      </c>
      <c r="G33" s="6" t="inlineStr">
        <is>
          <t>62.49%</t>
        </is>
      </c>
      <c r="H33" s="6" t="inlineStr">
        <is>
          <t>67.55%</t>
        </is>
      </c>
    </row>
    <row r="34">
      <c r="A34" s="6" t="inlineStr">
        <is>
          <t>Tier 1 Ratio</t>
        </is>
      </c>
      <c r="B34" s="6" t="inlineStr">
        <is>
          <t>49.04%</t>
        </is>
      </c>
      <c r="C34" s="6" t="inlineStr">
        <is>
          <t>47.60%</t>
        </is>
      </c>
      <c r="D34" s="6" t="inlineStr">
        <is>
          <t>23.27%</t>
        </is>
      </c>
      <c r="E34" s="6" t="inlineStr">
        <is>
          <t>33.56%</t>
        </is>
      </c>
      <c r="F34" s="6" t="inlineStr">
        <is>
          <t>56.47%</t>
        </is>
      </c>
      <c r="G34" s="6" t="inlineStr">
        <is>
          <t>62.49%</t>
        </is>
      </c>
      <c r="H34" s="6" t="inlineStr">
        <is>
          <t>67.55%</t>
        </is>
      </c>
    </row>
    <row r="35">
      <c r="A35" s="6" t="inlineStr">
        <is>
          <t>Total Capital Ratio</t>
        </is>
      </c>
      <c r="B35" s="6" t="inlineStr">
        <is>
          <t>49.04%</t>
        </is>
      </c>
      <c r="C35" s="6" t="inlineStr">
        <is>
          <t>47.60%</t>
        </is>
      </c>
      <c r="D35" s="6" t="inlineStr">
        <is>
          <t>23.27%</t>
        </is>
      </c>
      <c r="E35" s="6" t="inlineStr">
        <is>
          <t>33.56%</t>
        </is>
      </c>
      <c r="F35" s="6" t="inlineStr">
        <is>
          <t>56.47%</t>
        </is>
      </c>
      <c r="G35" s="6" t="inlineStr">
        <is>
          <t>62.49%</t>
        </is>
      </c>
      <c r="H35" s="6" t="inlineStr">
        <is>
          <t>67.55%</t>
        </is>
      </c>
    </row>
    <row r="36">
      <c r="A36" s="6" t="inlineStr">
        <is>
          <t>Leverage Ratio</t>
        </is>
      </c>
      <c r="B36" s="6" t="inlineStr">
        <is>
          <t>16.16%</t>
        </is>
      </c>
      <c r="C36" s="6" t="inlineStr">
        <is>
          <t>9.72%</t>
        </is>
      </c>
      <c r="D36" s="6" t="inlineStr">
        <is>
          <t>6%</t>
        </is>
      </c>
      <c r="E36" s="6" t="inlineStr">
        <is>
          <t>7%</t>
        </is>
      </c>
      <c r="F36" s="6" t="inlineStr">
        <is>
          <t>15%</t>
        </is>
      </c>
      <c r="G36" s="6" t="inlineStr">
        <is>
          <t>19%</t>
        </is>
      </c>
      <c r="H36" s="6" t="inlineStr">
        <is>
          <t>24%</t>
        </is>
      </c>
    </row>
    <row r="37">
      <c r="A37" s="6" t="inlineStr">
        <is>
          <t>LCR</t>
        </is>
      </c>
      <c r="B37" s="6" t="inlineStr">
        <is>
          <t>352.77%</t>
        </is>
      </c>
      <c r="C37" s="6" t="inlineStr">
        <is>
          <t>228.83%</t>
        </is>
      </c>
      <c r="D37" s="6" t="inlineStr">
        <is>
          <t>224.15%</t>
        </is>
      </c>
      <c r="E37" s="6" t="inlineStr">
        <is>
          <t>361.44%</t>
        </is>
      </c>
      <c r="F37" s="6" t="inlineStr">
        <is>
          <t>413%</t>
        </is>
      </c>
      <c r="G37" s="6" t="inlineStr">
        <is>
          <t>499%</t>
        </is>
      </c>
      <c r="H37" s="6" t="inlineStr">
        <is>
          <t>466%</t>
        </is>
      </c>
    </row>
    <row r="38">
      <c r="A38" s="6" t="inlineStr">
        <is>
          <t>NSFR</t>
        </is>
      </c>
      <c r="B38" s="6" t="inlineStr">
        <is>
          <t>182.68%</t>
        </is>
      </c>
      <c r="C38" s="6" t="inlineStr">
        <is>
          <t>153.07%</t>
        </is>
      </c>
      <c r="D38" s="6" t="inlineStr">
        <is>
          <t>181.33%</t>
        </is>
      </c>
      <c r="E38" s="6" t="inlineStr">
        <is>
          <t>147.77%</t>
        </is>
      </c>
      <c r="F38" s="6" t="inlineStr">
        <is>
          <t>137%</t>
        </is>
      </c>
      <c r="G38" s="6" t="inlineStr">
        <is>
          <t>221%</t>
        </is>
      </c>
      <c r="H38" s="6" t="inlineStr">
        <is>
          <t>113%</t>
        </is>
      </c>
    </row>
    <row r="40" ht="78" customHeight="1">
      <c r="A40" s="7" t="inlineStr">
        <is>
          <t>Note: Figures are duplicated from the detail sheets for at-a-glance trend viewing; see each sheet's own source citation. Balance Sheet/Profit &amp; Loss/Cash Flow £ figures are converted from the Bank's native USD reporting (see Cash Flow Statement sheet's FX conversion note) - this conversion was not explicitly requested for this bank but applied for consistency with the rest of the series, following the same call already confirmed for Zenith Bank UK. The Statement of Changes in Equity summary above is shown in the Bank's native US$'000 (NOT converted), matching that detail sheet - see its own source note for why; FY2018's 'Other equity movements' figure is the $650k IFRS 9 transition adjustment (charged to Accumulated losses on 1 January 2018), not an issuance or dividend. CET1/Tier 1/Total Capital ratios and Leverage Ratio for FY2018-FY2020 use a different Pillar 3 disclosure methodology than FY2021 onward - see the Leverage Ratio and Total RWAs detail sheets' own notes. No FY2025 Annual Report or Pillar 3 disclosure has been published yet, so this workbook covers FY2018-FY2024 (7 years) rather than FY2025.</t>
        </is>
      </c>
    </row>
  </sheetData>
  <mergeCells count="1">
    <mergeCell ref="A40:H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Statement of Financial Position</t>
        </is>
      </c>
    </row>
    <row r="2">
      <c r="A2" s="2" t="inlineStr">
        <is>
          <t>£'000, converted from USD - see source note at bottom for FX methodology and rates used.</t>
        </is>
      </c>
    </row>
    <row r="3">
      <c r="A3" s="4" t="inlineStr">
        <is>
          <t>Line item</t>
        </is>
      </c>
      <c r="B3" s="4" t="inlineStr">
        <is>
          <t>FY2024 (£'000, conv. from USD)</t>
        </is>
      </c>
      <c r="C3" s="4" t="inlineStr">
        <is>
          <t>FY2023 (£'000, conv. from USD)</t>
        </is>
      </c>
      <c r="D3" s="4" t="inlineStr">
        <is>
          <t>FY2022 (£'000, conv. from USD)</t>
        </is>
      </c>
      <c r="E3" s="4" t="inlineStr">
        <is>
          <t>FY2021 (£'000, conv. from USD)</t>
        </is>
      </c>
      <c r="F3" s="4" t="inlineStr">
        <is>
          <t>FY2020 (£'000, conv. from USD)</t>
        </is>
      </c>
      <c r="G3" s="4" t="inlineStr">
        <is>
          <t>FY2019 (£'000, conv. from USD)</t>
        </is>
      </c>
      <c r="H3" s="4" t="inlineStr">
        <is>
          <t>FY2018 (£'000, conv. from USD)</t>
        </is>
      </c>
    </row>
    <row r="4">
      <c r="A4" s="5" t="inlineStr">
        <is>
          <t>Assets</t>
        </is>
      </c>
      <c r="B4" s="6" t="n"/>
      <c r="C4" s="6" t="n"/>
      <c r="D4" s="6" t="n"/>
      <c r="E4" s="6" t="n"/>
      <c r="F4" s="6" t="n"/>
      <c r="G4" s="6" t="n"/>
      <c r="H4" s="6" t="n"/>
    </row>
    <row r="5">
      <c r="A5" s="6" t="inlineStr">
        <is>
          <t>Cash and cash equivalents</t>
        </is>
      </c>
      <c r="B5" s="6" t="n">
        <v>81764.3</v>
      </c>
      <c r="C5" s="6" t="n">
        <v>71669.8</v>
      </c>
      <c r="D5" s="6" t="n">
        <v>25918.8</v>
      </c>
      <c r="E5" s="6" t="n">
        <v>40991.8</v>
      </c>
      <c r="F5" s="6" t="n">
        <v>32737</v>
      </c>
      <c r="G5" s="6" t="n">
        <v>17627.6</v>
      </c>
      <c r="H5" s="6" t="n">
        <v>19780.7</v>
      </c>
    </row>
    <row r="6">
      <c r="A6" s="6" t="inlineStr">
        <is>
          <t>Due from banks</t>
        </is>
      </c>
      <c r="B6" s="6" t="n">
        <v>68905.3</v>
      </c>
      <c r="C6" s="6" t="n"/>
      <c r="D6" s="6" t="n"/>
      <c r="E6" s="6" t="n"/>
      <c r="F6" s="6" t="n"/>
      <c r="G6" s="6" t="n"/>
      <c r="H6" s="6" t="n"/>
    </row>
    <row r="7">
      <c r="A7" s="6" t="inlineStr">
        <is>
          <t>Loans and advances to banks</t>
        </is>
      </c>
      <c r="B7" s="6" t="n">
        <v>71089.89999999999</v>
      </c>
      <c r="C7" s="6" t="n">
        <v>285460.3</v>
      </c>
      <c r="D7" s="6" t="n">
        <v>345731.2</v>
      </c>
      <c r="E7" s="6" t="n">
        <v>241554.6</v>
      </c>
      <c r="F7" s="6" t="n">
        <v>56512.7</v>
      </c>
      <c r="G7" s="6" t="n">
        <v>84029.5</v>
      </c>
      <c r="H7" s="6" t="n">
        <v>58674.2</v>
      </c>
    </row>
    <row r="8">
      <c r="A8" s="6" t="inlineStr">
        <is>
          <t>Loans and advances to customers</t>
        </is>
      </c>
      <c r="B8" s="6" t="n">
        <v>0</v>
      </c>
      <c r="C8" s="6" t="n">
        <v>2011.5</v>
      </c>
      <c r="D8" s="6" t="n"/>
      <c r="E8" s="6" t="n"/>
      <c r="F8" s="6" t="n"/>
      <c r="G8" s="6" t="n"/>
      <c r="H8" s="6" t="n"/>
    </row>
    <row r="9">
      <c r="A9" s="6" t="inlineStr">
        <is>
          <t>Total investment securities</t>
        </is>
      </c>
      <c r="B9" s="6" t="n">
        <v>144796.6</v>
      </c>
      <c r="C9" s="6" t="n">
        <v>115753.2</v>
      </c>
      <c r="D9" s="6" t="n">
        <v>115940.3</v>
      </c>
      <c r="E9" s="6" t="n">
        <v>98978.60000000001</v>
      </c>
      <c r="F9" s="6" t="n">
        <v>87169.3</v>
      </c>
      <c r="G9" s="6" t="n">
        <v>60654.8</v>
      </c>
      <c r="H9" s="6" t="n">
        <v>48358.7</v>
      </c>
    </row>
    <row r="10">
      <c r="A10" s="6" t="inlineStr">
        <is>
          <t>Investment securities - Debt securities at amortised cost (gross)</t>
        </is>
      </c>
      <c r="B10" s="6" t="n">
        <v>18606.5</v>
      </c>
      <c r="C10" s="6" t="n">
        <v>34978.8</v>
      </c>
      <c r="D10" s="6" t="n">
        <v>38626.1</v>
      </c>
      <c r="E10" s="6" t="n">
        <v>24506.3</v>
      </c>
      <c r="F10" s="6" t="n">
        <v>30018.3</v>
      </c>
      <c r="G10" s="6" t="n">
        <v>18180.2</v>
      </c>
      <c r="H10" s="6" t="n">
        <v>27029</v>
      </c>
    </row>
    <row r="11">
      <c r="A11" s="6" t="inlineStr">
        <is>
          <t>Investment securities - Debt securities at FVOCI (gross)</t>
        </is>
      </c>
      <c r="B11" s="6" t="n">
        <v>88309.2</v>
      </c>
      <c r="C11" s="6" t="n">
        <v>51361.1</v>
      </c>
      <c r="D11" s="6" t="n">
        <v>58972.5</v>
      </c>
      <c r="E11" s="6" t="n">
        <v>66193.3</v>
      </c>
      <c r="F11" s="6" t="n">
        <v>55984.2</v>
      </c>
      <c r="G11" s="6" t="n">
        <v>42586.7</v>
      </c>
      <c r="H11" s="6" t="n">
        <v>21757.2</v>
      </c>
    </row>
    <row r="12">
      <c r="A12" s="6" t="inlineStr">
        <is>
          <t>Investment securities - FVTPL / Collective Investment Undertaking (gross)</t>
        </is>
      </c>
      <c r="B12" s="6" t="n">
        <v>38868.6</v>
      </c>
      <c r="C12" s="6" t="n">
        <v>33525</v>
      </c>
      <c r="D12" s="6" t="n">
        <v>22360.9</v>
      </c>
      <c r="E12" s="6" t="n">
        <v>9246.4</v>
      </c>
      <c r="F12" s="6" t="n">
        <v>1464</v>
      </c>
      <c r="G12" s="6" t="n">
        <v>0</v>
      </c>
      <c r="H12" s="6" t="n"/>
    </row>
    <row r="13">
      <c r="A13" s="6" t="inlineStr">
        <is>
          <t>Investment securities - Less: ECL impairment provision</t>
        </is>
      </c>
      <c r="B13" s="6" t="n">
        <v>-987.6</v>
      </c>
      <c r="C13" s="6" t="n">
        <v>-4111.7</v>
      </c>
      <c r="D13" s="6" t="n">
        <v>-3385.1</v>
      </c>
      <c r="E13" s="6" t="n">
        <v>-903</v>
      </c>
      <c r="F13" s="6" t="n">
        <v>-297.2</v>
      </c>
      <c r="G13" s="6" t="n">
        <v>-112</v>
      </c>
      <c r="H13" s="6" t="n">
        <v>-427.6</v>
      </c>
    </row>
    <row r="14">
      <c r="A14" s="6" t="inlineStr">
        <is>
          <t>Investment securities - Less: FX movement</t>
        </is>
      </c>
      <c r="B14" s="6" t="n"/>
      <c r="C14" s="6" t="n"/>
      <c r="D14" s="6" t="n">
        <v>-634</v>
      </c>
      <c r="E14" s="6" t="n">
        <v>-64.3</v>
      </c>
      <c r="F14" s="6" t="n"/>
      <c r="G14" s="6" t="n"/>
      <c r="H14" s="6" t="n"/>
    </row>
    <row r="15">
      <c r="A15" s="6" t="inlineStr">
        <is>
          <t>Property, plant and equipment</t>
        </is>
      </c>
      <c r="B15" s="6" t="n">
        <v>1390.3</v>
      </c>
      <c r="C15" s="6" t="n">
        <v>1256.7</v>
      </c>
      <c r="D15" s="6" t="n">
        <v>1513.6</v>
      </c>
      <c r="E15" s="6" t="n">
        <v>1774.3</v>
      </c>
      <c r="F15" s="6" t="n">
        <v>2067.9</v>
      </c>
      <c r="G15" s="6" t="n">
        <v>2385.3</v>
      </c>
      <c r="H15" s="6" t="n">
        <v>599.1</v>
      </c>
    </row>
    <row r="16">
      <c r="A16" s="6" t="inlineStr">
        <is>
          <t>Intangible assets</t>
        </is>
      </c>
      <c r="B16" s="6" t="n">
        <v>1138.6</v>
      </c>
      <c r="C16" s="6" t="n">
        <v>1269.2</v>
      </c>
      <c r="D16" s="6" t="n">
        <v>1583.9</v>
      </c>
      <c r="E16" s="6" t="n">
        <v>1528</v>
      </c>
      <c r="F16" s="6" t="n">
        <v>1704.9</v>
      </c>
      <c r="G16" s="6" t="n">
        <v>1965.9</v>
      </c>
      <c r="H16" s="6" t="n">
        <v>2199.7</v>
      </c>
    </row>
    <row r="17">
      <c r="A17" s="6" t="inlineStr">
        <is>
          <t>Current tax asset</t>
        </is>
      </c>
      <c r="B17" s="6" t="n">
        <v>210.9</v>
      </c>
      <c r="C17" s="6" t="n"/>
      <c r="D17" s="6" t="n"/>
      <c r="E17" s="6" t="n"/>
      <c r="F17" s="6" t="n"/>
      <c r="G17" s="6" t="n"/>
      <c r="H17" s="6" t="n"/>
    </row>
    <row r="18">
      <c r="A18" s="6" t="inlineStr">
        <is>
          <t>Other assets</t>
        </is>
      </c>
      <c r="B18" s="6" t="n">
        <v>4692</v>
      </c>
      <c r="C18" s="6" t="n">
        <v>2988.5</v>
      </c>
      <c r="D18" s="6" t="n">
        <v>1862.4</v>
      </c>
      <c r="E18" s="6" t="n">
        <v>1636</v>
      </c>
      <c r="F18" s="6" t="n">
        <v>719.6</v>
      </c>
      <c r="G18" s="6" t="n">
        <v>1074.9</v>
      </c>
      <c r="H18" s="6" t="n">
        <v>515.3</v>
      </c>
    </row>
    <row r="19">
      <c r="A19" s="6" t="inlineStr">
        <is>
          <t>Deferred tax asset</t>
        </is>
      </c>
      <c r="B19" s="6" t="n">
        <v>1323.2</v>
      </c>
      <c r="C19" s="6" t="n"/>
      <c r="D19" s="6" t="n"/>
      <c r="E19" s="6" t="n"/>
      <c r="F19" s="6" t="n"/>
      <c r="G19" s="6" t="n"/>
      <c r="H19" s="6" t="n"/>
    </row>
    <row r="20">
      <c r="A20" s="5" t="inlineStr">
        <is>
          <t>Total assets</t>
        </is>
      </c>
      <c r="B20" s="5" t="n">
        <v>375311.2</v>
      </c>
      <c r="C20" s="5" t="n">
        <v>480409.2</v>
      </c>
      <c r="D20" s="5" t="n">
        <v>492550.2</v>
      </c>
      <c r="E20" s="5" t="n">
        <v>386463.3</v>
      </c>
      <c r="F20" s="5" t="n">
        <v>180911.4</v>
      </c>
      <c r="G20" s="5" t="n">
        <v>167738.1</v>
      </c>
      <c r="H20" s="5" t="n">
        <v>130127.6</v>
      </c>
    </row>
    <row r="21">
      <c r="A21" s="5" t="inlineStr">
        <is>
          <t>Liabilities</t>
        </is>
      </c>
      <c r="B21" s="6" t="n"/>
      <c r="C21" s="6" t="n"/>
      <c r="D21" s="6" t="n"/>
      <c r="E21" s="6" t="n"/>
      <c r="F21" s="6" t="n"/>
      <c r="G21" s="6" t="n"/>
      <c r="H21" s="6" t="n"/>
    </row>
    <row r="22">
      <c r="A22" s="6" t="inlineStr">
        <is>
          <t>Deposits from banks</t>
        </is>
      </c>
      <c r="B22" s="6" t="n">
        <v>298364.4</v>
      </c>
      <c r="C22" s="6" t="n">
        <v>387381.4</v>
      </c>
      <c r="D22" s="6" t="n">
        <v>445573.3</v>
      </c>
      <c r="E22" s="6" t="n">
        <v>352376.3</v>
      </c>
      <c r="F22" s="6" t="n">
        <v>138017.7</v>
      </c>
      <c r="G22" s="6" t="n">
        <v>128551.9</v>
      </c>
      <c r="H22" s="6" t="n">
        <v>86745.5</v>
      </c>
    </row>
    <row r="23">
      <c r="A23" s="6" t="inlineStr">
        <is>
          <t>Deposits from customers</t>
        </is>
      </c>
      <c r="B23" s="6" t="n">
        <v>7859.4</v>
      </c>
      <c r="C23" s="6" t="n">
        <v>29359.1</v>
      </c>
      <c r="D23" s="6" t="n">
        <v>3980.3</v>
      </c>
      <c r="E23" s="6" t="n">
        <v>12.6</v>
      </c>
      <c r="F23" s="6" t="n">
        <v>9859.5</v>
      </c>
      <c r="G23" s="6" t="n">
        <v>1621.5</v>
      </c>
      <c r="H23" s="6" t="n">
        <v>6772.9</v>
      </c>
    </row>
    <row r="24">
      <c r="A24" s="6" t="inlineStr">
        <is>
          <t>Derivative financial instruments</t>
        </is>
      </c>
      <c r="B24" s="6" t="n"/>
      <c r="C24" s="6" t="n"/>
      <c r="D24" s="6" t="n"/>
      <c r="E24" s="6" t="n"/>
      <c r="F24" s="6" t="n">
        <v>125.9</v>
      </c>
      <c r="G24" s="6" t="n">
        <v>74.90000000000001</v>
      </c>
      <c r="H24" s="6" t="n">
        <v>129.2</v>
      </c>
    </row>
    <row r="25">
      <c r="A25" s="6" t="inlineStr">
        <is>
          <t>Deferred tax liability</t>
        </is>
      </c>
      <c r="B25" s="6" t="n"/>
      <c r="C25" s="6" t="n"/>
      <c r="D25" s="6" t="n"/>
      <c r="E25" s="6" t="n">
        <v>49.6</v>
      </c>
      <c r="F25" s="6" t="n">
        <v>49</v>
      </c>
      <c r="G25" s="6" t="n">
        <v>40.9</v>
      </c>
      <c r="H25" s="6" t="n">
        <v>66.59999999999999</v>
      </c>
    </row>
    <row r="26">
      <c r="A26" s="6" t="inlineStr">
        <is>
          <t>Corporation tax liability</t>
        </is>
      </c>
      <c r="B26" s="6" t="n"/>
      <c r="C26" s="6" t="n">
        <v>138.2</v>
      </c>
      <c r="D26" s="6" t="n">
        <v>553</v>
      </c>
      <c r="E26" s="6" t="n"/>
      <c r="F26" s="6" t="n"/>
      <c r="G26" s="6" t="n"/>
      <c r="H26" s="6" t="n"/>
    </row>
    <row r="27">
      <c r="A27" s="6" t="inlineStr">
        <is>
          <t>Other liabilities</t>
        </is>
      </c>
      <c r="B27" s="6" t="n">
        <v>5716.3</v>
      </c>
      <c r="C27" s="6" t="n">
        <v>4571.2</v>
      </c>
      <c r="D27" s="6" t="n">
        <v>4084.5</v>
      </c>
      <c r="E27" s="6" t="n">
        <v>4817</v>
      </c>
      <c r="F27" s="6" t="n">
        <v>2694.5</v>
      </c>
      <c r="G27" s="6" t="n">
        <v>3197.6</v>
      </c>
      <c r="H27" s="6" t="n">
        <v>1391.5</v>
      </c>
    </row>
    <row r="28">
      <c r="A28" s="5" t="inlineStr">
        <is>
          <t>Total liabilities</t>
        </is>
      </c>
      <c r="B28" s="5" t="n">
        <v>311940.1</v>
      </c>
      <c r="C28" s="5" t="n">
        <v>421449.9</v>
      </c>
      <c r="D28" s="5" t="n">
        <v>454191.1</v>
      </c>
      <c r="E28" s="5" t="n">
        <v>357255.4</v>
      </c>
      <c r="F28" s="5" t="n">
        <v>150746.7</v>
      </c>
      <c r="G28" s="5" t="n">
        <v>133486.8</v>
      </c>
      <c r="H28" s="5" t="n">
        <v>95105.7</v>
      </c>
    </row>
    <row r="29">
      <c r="A29" s="5" t="inlineStr">
        <is>
          <t>Equity</t>
        </is>
      </c>
      <c r="B29" s="6" t="n"/>
      <c r="C29" s="6" t="n"/>
      <c r="D29" s="6" t="n"/>
      <c r="E29" s="6" t="n"/>
      <c r="F29" s="6" t="n"/>
      <c r="G29" s="6" t="n"/>
      <c r="H29" s="6" t="n"/>
    </row>
    <row r="30">
      <c r="A30" s="6" t="inlineStr">
        <is>
          <t>Share capital</t>
        </is>
      </c>
      <c r="B30" s="6" t="n">
        <v>57727.5</v>
      </c>
      <c r="C30" s="6" t="n">
        <v>56743.6</v>
      </c>
      <c r="D30" s="6" t="n">
        <v>49802.4</v>
      </c>
      <c r="E30" s="6" t="n">
        <v>44557.4</v>
      </c>
      <c r="F30" s="6" t="n">
        <v>44100.7</v>
      </c>
      <c r="G30" s="6" t="n">
        <v>45606.4</v>
      </c>
      <c r="H30" s="6" t="n">
        <v>47177.8</v>
      </c>
    </row>
    <row r="31">
      <c r="A31" s="6" t="inlineStr">
        <is>
          <t>Share premium account</t>
        </is>
      </c>
      <c r="B31" s="6" t="n">
        <v>160.6</v>
      </c>
      <c r="C31" s="6" t="n">
        <v>157.9</v>
      </c>
      <c r="D31" s="6" t="n">
        <v>166.2</v>
      </c>
      <c r="E31" s="6" t="n">
        <v>148.7</v>
      </c>
      <c r="F31" s="6" t="n">
        <v>147.1</v>
      </c>
      <c r="G31" s="6" t="n">
        <v>152.2</v>
      </c>
      <c r="H31" s="6" t="n">
        <v>157.4</v>
      </c>
    </row>
    <row r="32">
      <c r="A32" s="6" t="inlineStr">
        <is>
          <t>Retained earnings/(Accumulated losses)</t>
        </is>
      </c>
      <c r="B32" s="6" t="n">
        <v>5826.6</v>
      </c>
      <c r="C32" s="6" t="n">
        <v>4589.2</v>
      </c>
      <c r="D32" s="6" t="n">
        <v>-7010</v>
      </c>
      <c r="E32" s="6" t="n">
        <v>-14740</v>
      </c>
      <c r="F32" s="6" t="n">
        <v>-13823.3</v>
      </c>
      <c r="G32" s="6" t="n">
        <v>-11401.2</v>
      </c>
      <c r="H32" s="6" t="n">
        <v>-12280.3</v>
      </c>
    </row>
    <row r="33">
      <c r="A33" s="6" t="inlineStr">
        <is>
          <t>Other reserves</t>
        </is>
      </c>
      <c r="B33" s="6" t="n">
        <v>-343.6</v>
      </c>
      <c r="C33" s="6" t="n">
        <v>-2531.4</v>
      </c>
      <c r="D33" s="6" t="n">
        <v>-4599.5</v>
      </c>
      <c r="E33" s="6" t="n">
        <v>-758.1</v>
      </c>
      <c r="F33" s="6" t="n">
        <v>-259.9</v>
      </c>
      <c r="G33" s="6" t="n">
        <v>-106</v>
      </c>
      <c r="H33" s="6" t="n">
        <v>-32.9</v>
      </c>
    </row>
    <row r="34">
      <c r="A34" s="6" t="inlineStr">
        <is>
          <t>AFS reserves</t>
        </is>
      </c>
      <c r="B34" s="6" t="n"/>
      <c r="C34" s="6" t="n"/>
      <c r="D34" s="6" t="n"/>
      <c r="E34" s="6" t="n"/>
      <c r="F34" s="6" t="n"/>
      <c r="G34" s="6" t="n"/>
      <c r="H34" s="6" t="n">
        <v>0</v>
      </c>
    </row>
    <row r="35">
      <c r="A35" s="5" t="inlineStr">
        <is>
          <t>Total equity</t>
        </is>
      </c>
      <c r="B35" s="5" t="n">
        <v>63371.2</v>
      </c>
      <c r="C35" s="5" t="n">
        <v>58959.3</v>
      </c>
      <c r="D35" s="5" t="n">
        <v>38359.1</v>
      </c>
      <c r="E35" s="5" t="n">
        <v>29207.9</v>
      </c>
      <c r="F35" s="5" t="n">
        <v>30164.7</v>
      </c>
      <c r="G35" s="5" t="n">
        <v>34251.3</v>
      </c>
      <c r="H35" s="5" t="n">
        <v>35021.9</v>
      </c>
    </row>
    <row r="36">
      <c r="A36" s="5" t="inlineStr">
        <is>
          <t>Total liabilities and equity</t>
        </is>
      </c>
      <c r="B36" s="5" t="n">
        <v>375311.2</v>
      </c>
      <c r="C36" s="5" t="n">
        <v>480409.2</v>
      </c>
      <c r="D36" s="5" t="n">
        <v>492550.2</v>
      </c>
      <c r="E36" s="5" t="n">
        <v>386463.3</v>
      </c>
      <c r="F36" s="5" t="n">
        <v>180911.4</v>
      </c>
      <c r="G36" s="5" t="n">
        <v>167738.1</v>
      </c>
      <c r="H36" s="5" t="n">
        <v>130127.6</v>
      </c>
    </row>
    <row r="38" ht="409" customHeight="1">
      <c r="A38" s="8" t="inlineStr">
        <is>
          <t>Sources - all figures are United Bank for Africa (UK) Limited's own primary financial statements (converted from USD to £, see FX conversion note below):
FY2024 &amp; FY2023: Annual Report and Accounts 2024, p.47 (Statement of Profit or Loss and Other Comprehensive Income), p.48 (Statement of Financial Position) - https://www.ubauk.com/wp-content/uploads/sites/29/2025/07/UBA-UK-2024-AR-1.pdf
FY2022 &amp; FY2021: Annual Report and Accounts 2022, p.36 (Statement of Comprehensive Income), p.37 (Statement of Financial Position) - https://www.ubauk.com/wp-content/uploads/sites/29/2023/09/UBA-UK-FIN-A-Ann-Rpt-and-Accts-31-Dec-2022.pdf
FY2020 &amp; FY2019: Annual Report and Accounts 2020, p.41 (Statement of Comprehensive Income), p.42 (Statement of Financial Position) - https://www.ubauk.com/wp-content/uploads/sites/29/2018/10/UBA-UK-FIN-Ann-Rpt-and-Accts-31-Dec-2020-009-1.pdf
FY2018: Annual Report and Accounts 2018, p.25 (Statement of Comprehensive Income), p.26 (Statement of Financial Position) - https://www.ubauk.com/wp-content/uploads/sites/29/2019/07/UBA-UK-Ltd-Report-and-Accounts-31-Dec-2018.pdf
Presentation differs between report vintages: FY2024/FY2023 split interest income into 'calculated using the effective interest method' and 'other interest and similar income' lines and separately disclose 'Due from banks', a Deferred tax asset, and a Current tax asset; FY2022/FY2021 show a single 'Interest receivable and similar income' line, no 'Due from banks' split, and a Deferred TAX LIABILITY instead (FY2021 only, £nil FY2022) rather than an asset; FY2020/FY2019 use the same single 'Interest receivable and similar income' line and a Deferred TAX LIABILITY in both years; FY2018's own statement instead labels this line simply 'Interest income' and its impairment line 'Credit impairment gains/(losses)' (FY2020/FY2019: 'Credit impairment (loss)/reversal'; FY2022 onward: 'Provision for expected credit losses') - the same underlying net ECL P&amp;L charge/release, shown on the same row for continuity. FY2018's own Balance Sheet also labels cash 'Cash at bank' (later years: 'Cash and cash equivalents'), property 'Property and equipment' (later: 'Property, plant and equipment'), the deposit-taking liability 'Loans from banks' (later: 'Deposits from banks'), and share capital 'Called up share capital' (later: 'Share capital') - again the same underlying items, shown on the same rows for continuity rather than fragmented by a pure relabelling. FY2018's Balance Sheet also splits its combined reserve into two separate lines ('Other reserves' and 'AFS reserves') where every other year shows a single combined 'Other reserves' line - both are shown as reported, with 'AFS reserves' blank in every other year. FY2018's OCI section similarly labels its two lines 'Unrealised loss on hedging derivative measured at FVOCI' and 'Net gains on investments in debt instruments measured at FVOCI' - the same underlying hedging/FVOCI gain-or-loss concepts as later years' 'Hedging derivative unrealised gain/(loss)' and 'Net loss on financial assets measured at FVOCI' rows (sign convention is consistent across all years), so FY2018's figures are shown on those same two rows rather than duplicated. Each year's own as-reported line items and labels are preserved rather than forced into a common shape; blank cells indicate that year's report did not disclose that specific split.
OCI DISCREPANCY NOTE: FY2024's Statement of Profit or Loss and OCI shows 4 separate OCI detail lines summing to the stated 'Total items that may be reclassified to profit or loss' ($1,086k + $740k + $618k + $349k = $2,793k) - but the Statement of Changes in Equity's own FY2024 roll-forward shows a DIFFERENT 3-line OCI component split ($1,435k fair value change + $740k reclassification + $618k ECL allowance change = the same $2,793k total). Both statements' totals agree exactly ($2,793k / £2,185.1k), but their component breakdowns do not reconcile line-for-line - an unresolved labelling inconsistency in the source document itself, reproduced here exactly as each statement presents it rather than silently reconciled or picked one over the other.
ENTITY NOTE: United Bank for Africa (UK) Limited (Companies House 03104974, FRN 695048) is a UK subsidiary of United Bank for Africa Plc (Nigeria). Unlike several other foreign-subsidiary banks in this workbook series (ICICI Bank UK, Philippine National Bank Europe, Citibank UK, State Bank of India UK),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No FY2025 Annual Report or Pillar 3 disclosure has been published yet (as of this workbook's build date), so this workbook covers FY2018-FY2024 (7 years) rather than FY2025.</t>
        </is>
      </c>
    </row>
    <row r="40" ht="409" customHeight="1">
      <c r="A40" s="8" t="inlineStr">
        <is>
          <t>(continued)
RE-CHECKED 19 SEPTEMBER 2026 (GA-020) - STILL NO FY2025 DOCUMENT OF EITHER KIND. (1) Companies House filing history for 03104974, read UNFILTERED on page 1: newest rows TM01 (6 Aug 2026) and AP01s (29 Jun 2026); the newest AA is still 'Full accounts made up to 31 December 2024', filed 24 Apr 2025 (FY2023 was filed 9 May 2024, so FY2025 is later than this bank's own cadence). The profile reads 'Next accounts made up to 31 December 2025 due by 31 DECEMBER 2026', i.e. the filing period has been extended beyond the usual nine months, and flags the confirmation statement as overdue. (2) https://www.ubauk.com/financial-reports/ (fetched as static HTML) still links the FY2024 Annual Report and FY2024 Pillar 3 as the newest reports, while carrying other uploads dated as late as 2026/08, so the page is maintained. Direct probes of UBA-UK-2025-AR.pdf and UBA-UK-2025-AR-1.pdf under /wp-content/uploads/sites/29/2026/04/ to /2026/09/ all return a genuine 404, against a 200/application/pdf/%PDF control on the FY2024 AR URL. The WordPress media API is closed on this host (returns an error object), so it could not be used. (3) Wayback CDX for ubauk.com from 2026 onward: 6 PDF captures, none an FY2025 report.
FX CONVERSION NOTE: United Bank for Africa (UK) Limited reports in US Dollars (its functional currency, per its own foreign currency risk note - 'Revenues, assets and liabilities are primarily in the functional currency US dollar'). This workbook converts every $ amount to £ for consistency with the rest of this series, following the same methodology established for SMBC Bank International plc and Zenith Bank (UK) Limited: point-in-time/balance figures (capital, RWA, leverage exposure, HQLA, cash balances) use the Bank of England GBP/USD SPOT rate as at that fiscal year-end (31 December); flow figures (every cash flow statement line item) use the AVERAGE of Bank of England rates over that calendar year - both via poundsterlinglive.com's published Bank of England archive (FY2020-FY2024), and identical to the rates used for Zenith Bank UK since both banks share the same 31 December fiscal year-end. FY2017-FY2019 rates (added for the HD-058 FY2018 extension) are the same figures already used for Zenith Bank UK's own FY2017-FY2019, sourced from the Bank of England's own Interactive Statistical Database (series XUDLGBD). Rates used (£1 = $X): 29 Dec 2017 spot 1.3510 (FY2018 opening cash only); FY2018 spot 1.2770 / average 1.3335; FY2019 spot 1.3210 / average 1.2757; FY2020 spot 1.3661 / average 1.2825; FY2021 spot 1.3521 / average 1.3752; FY2022 spot 1.2097 / average 1.2362; FY2023 spot 1.2732 / average 1.2439; FY2024 spot 1.2515 / average 1.2782.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so opening + all flows + this line = closing exactly in £ terms - this line is purely an artefact of £ translation and has no bearing on the Bank's underlying USD results. This conversion was not explicitly requested for this bank (unlike SMBC) - applied for consistency with the rest of the series, following the same call already confirmed for Zenith Bank UK; flag if £'000 rather than the Bank's native US$'000 presentation is not what's wanted here.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t>
        </is>
      </c>
    </row>
    <row r="42" ht="409" customHeight="1">
      <c r="A42" s="8" t="inlineStr">
        <is>
          <t>(continued)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
INVESTMENT SECURITIES BREAKDOWN: the 'Investment securities - ...' sub-rows below the renamed 'Total investment securities' line are transcribed from each year's own Note 'Investment securities' (numbered differently by vintage), which splits the balance by measurement basis - debt securities at amortised cost, debt securities at FVOCI, and a FVTPL/Collective Investment Undertaking ('CIU') bucket (the Bank's own investment in the BlackRock ICS US Treasury Fund, which invests solely in US Government securities and is held to meet Level 1 HQLA requirements) - each shown gross, with a deduction for the ECL impairment provision (and, in FY2022/FY2021 only, a further 'FX Movement' deduction the source note itself states separately) so the sub-rows sum EXACTLY to that year's own 'Total investment securities' line as reported in US$. In the converted £ columns shown here the sub-rows can miss the total by £0.1k (FY2019 and FY2018 do), purely because each line is converted and rounded independently at that year's spot rate - it is a display-rounding artefact, not an unreconciled balance:
FY2024 &amp; FY2023: Annual Report and Accounts 2024, Note 17 'Investment securities', p.72 - https://www.ubauk.com/wp-content/uploads/sites/29/2025/07/UBA-UK-2024-AR-1.pdf
FY2022 &amp; FY2021: Annual Report and Accounts 2022, Note 14 'Investment securities', p.53 - https://www.ubauk.com/wp-content/uploads/sites/29/2023/09/UBA-UK-FIN-A-Ann-Rpt-and-Accts-31-Dec-2022.pdf
FY2020 &amp; FY2019: Annual Report and Accounts 2020, Note 14 'Investment securities', p.54 - https://www.ubauk.com/wp-content/uploads/sites/29/2018/10/UBA-UK-FIN-Ann-Rpt-and-Accts-31-Dec-2020-009-1.pdf
FY2018: Annual Report and Accounts 2018, Note 5.7.11 'Investment securities', p.39 - https://www.ubauk.com/wp-content/uploads/sites/29/2019/07/UBA-UK-Ltd-Report-and-Accounts-31-Dec-2018.pdf
  GAP CLOSED 15 September 2026. This line previously read 'no equivalent breakdown available - the FY2018 Annual Report's own source URL now 404s and no archived copy could be located', and FY2018's sub-rows were left blank. That 404 turned out to be a filename error in the cited URL rather than a lost document (see the LINK PROVENANCE note on this sheet); the correctly-named file is live, and its Note 5.7.11 does disclose the measurement-basis split. It is now transcribed: 'Debt instruments held at amortised cost' $34,516k, 'Less impairment provision' $(546)k, 'Debt instruments held at FVOCI' $27,784k - footing exactly to that year's own disclosed 'Total investment securities' of $61,754k (34,516 - 546 + 27,784 = 61,754). FY2018's note carries no FVTPL/Collective Investment Undertaking line at all (the BlackRock ICS US Treasury Fund holding first appears in FY2020), so that sub-row is left BLANK for FY2018 rather than written as zero, and there is no 'FX movement' line either. The FY2017 comparative in the same note uses the pre-IFRS 9 labels 'Debt instruments held to maturity' $13,913k and 'Debt instruments held for available for sale' $19,955k; FY2017 is outside this workbook's window and is not recorded.
ISSUER-TYPE NOTE: none of the 4 report vintages disclose investment securities by issuer type (e.g. UK government/gilts vs corporate/other) as a reconciling £/$ table - UBA UK is a wholesale/treasury bank with no UK government gilt holdings in this book at all. Qualitatively, the FY2024 Annual Report's credit risk section states the amortised-cost and FVOCI buckets 'consist[] of emerging market Eurobonds' (Ghana and Egypt sovereign Eurobonds, and a Nigeria-issued Ecobank Eurobond, per that same report's credit risk narrative), while the FVTPL/CIU bucket is explicitly identified (FY2020 onward) as the BlackRock ICS US Treasury Fund, holding US (not UK) Government securities - so no further per-year $ split by issuer type is available; only the measurement-basis split above is added.</t>
        </is>
      </c>
    </row>
  </sheetData>
  <mergeCells count="3">
    <mergeCell ref="A42:H42"/>
    <mergeCell ref="A38:H38"/>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Statement of Profit or Loss and Other Comprehensive Income</t>
        </is>
      </c>
    </row>
    <row r="2">
      <c r="A2" s="2" t="inlineStr">
        <is>
          <t>£'000, converted from USD - see source note at bottom for FX methodology and rates used.</t>
        </is>
      </c>
    </row>
    <row r="3">
      <c r="A3" s="4" t="inlineStr">
        <is>
          <t>Line item</t>
        </is>
      </c>
      <c r="B3" s="4" t="inlineStr">
        <is>
          <t>FY2024 (£'000, conv. from USD)</t>
        </is>
      </c>
      <c r="C3" s="4" t="inlineStr">
        <is>
          <t>FY2023 (£'000, conv. from USD)</t>
        </is>
      </c>
      <c r="D3" s="4" t="inlineStr">
        <is>
          <t>FY2022 (£'000, conv. from USD)</t>
        </is>
      </c>
      <c r="E3" s="4" t="inlineStr">
        <is>
          <t>FY2021 (£'000, conv. from USD)</t>
        </is>
      </c>
      <c r="F3" s="4" t="inlineStr">
        <is>
          <t>FY2020 (£'000, conv. from USD)</t>
        </is>
      </c>
      <c r="G3" s="4" t="inlineStr">
        <is>
          <t>FY2019 (£'000, conv. from USD)</t>
        </is>
      </c>
      <c r="H3" s="4" t="inlineStr">
        <is>
          <t>FY2018 (£'000, conv. from USD)</t>
        </is>
      </c>
    </row>
    <row r="4">
      <c r="A4" s="5" t="inlineStr">
        <is>
          <t>Income</t>
        </is>
      </c>
      <c r="B4" s="6" t="n"/>
      <c r="C4" s="6" t="n"/>
      <c r="D4" s="6" t="n"/>
      <c r="E4" s="6" t="n"/>
      <c r="F4" s="6" t="n"/>
      <c r="G4" s="6" t="n"/>
      <c r="H4" s="6" t="n"/>
    </row>
    <row r="5">
      <c r="A5" s="6" t="inlineStr">
        <is>
          <t>Interest income calculated using the effective interest method</t>
        </is>
      </c>
      <c r="B5" s="6" t="n">
        <v>34090.9</v>
      </c>
      <c r="C5" s="6" t="n">
        <v>39262.8</v>
      </c>
      <c r="D5" s="6" t="n"/>
      <c r="E5" s="6" t="n"/>
      <c r="F5" s="6" t="n"/>
      <c r="G5" s="6" t="n"/>
      <c r="H5" s="6" t="n"/>
    </row>
    <row r="6">
      <c r="A6" s="6" t="inlineStr">
        <is>
          <t>Other interest and similar income</t>
        </is>
      </c>
      <c r="B6" s="6" t="n">
        <v>1272.9</v>
      </c>
      <c r="C6" s="6" t="n">
        <v>1127.9</v>
      </c>
      <c r="D6" s="6" t="n"/>
      <c r="E6" s="6" t="n"/>
      <c r="F6" s="6" t="n"/>
      <c r="G6" s="6" t="n"/>
      <c r="H6" s="6" t="n"/>
    </row>
    <row r="7">
      <c r="A7" s="6" t="inlineStr">
        <is>
          <t>Interest receivable and similar income</t>
        </is>
      </c>
      <c r="B7" s="6" t="n"/>
      <c r="C7" s="6" t="n"/>
      <c r="D7" s="6" t="n">
        <v>33260</v>
      </c>
      <c r="E7" s="6" t="n">
        <v>12007.7</v>
      </c>
      <c r="F7" s="6" t="n">
        <v>9118.9</v>
      </c>
      <c r="G7" s="6" t="n">
        <v>10745.5</v>
      </c>
      <c r="H7" s="6" t="n">
        <v>7396.3</v>
      </c>
    </row>
    <row r="8">
      <c r="A8" s="6" t="inlineStr">
        <is>
          <t>Interest expense</t>
        </is>
      </c>
      <c r="B8" s="6" t="n">
        <v>-15237.8</v>
      </c>
      <c r="C8" s="6" t="n">
        <v>-17327</v>
      </c>
      <c r="D8" s="6" t="n">
        <v>-13692.8</v>
      </c>
      <c r="E8" s="6" t="n">
        <v>-6577.2</v>
      </c>
      <c r="F8" s="6" t="n">
        <v>-5092.4</v>
      </c>
      <c r="G8" s="6" t="n">
        <v>-5074.1</v>
      </c>
      <c r="H8" s="6" t="n">
        <v>-3697</v>
      </c>
    </row>
    <row r="9">
      <c r="A9" s="5" t="inlineStr">
        <is>
          <t>Net interest income</t>
        </is>
      </c>
      <c r="B9" s="5" t="n">
        <v>20126</v>
      </c>
      <c r="C9" s="5" t="n">
        <v>23063.8</v>
      </c>
      <c r="D9" s="5" t="n">
        <v>19567.2</v>
      </c>
      <c r="E9" s="5" t="n">
        <v>5430.5</v>
      </c>
      <c r="F9" s="5" t="n">
        <v>4026.5</v>
      </c>
      <c r="G9" s="5" t="n">
        <v>5671.4</v>
      </c>
      <c r="H9" s="5" t="n">
        <v>3699.3</v>
      </c>
    </row>
    <row r="10">
      <c r="A10" s="6" t="inlineStr">
        <is>
          <t>Fee and commission income</t>
        </is>
      </c>
      <c r="B10" s="6" t="n">
        <v>316.9</v>
      </c>
      <c r="C10" s="6" t="n">
        <v>448.6</v>
      </c>
      <c r="D10" s="6" t="n">
        <v>1426.1</v>
      </c>
      <c r="E10" s="6" t="n">
        <v>1180.9</v>
      </c>
      <c r="F10" s="6" t="n">
        <v>319.7</v>
      </c>
      <c r="G10" s="6" t="n">
        <v>362.9</v>
      </c>
      <c r="H10" s="6" t="n">
        <v>659.9</v>
      </c>
    </row>
    <row r="11">
      <c r="A11" s="6" t="inlineStr">
        <is>
          <t>Provision for expected credit losses</t>
        </is>
      </c>
      <c r="B11" s="6" t="n">
        <v>-25.8</v>
      </c>
      <c r="C11" s="6" t="n">
        <v>-197.8</v>
      </c>
      <c r="D11" s="6" t="n">
        <v>-3150</v>
      </c>
      <c r="E11" s="6" t="n">
        <v>-936.6</v>
      </c>
      <c r="F11" s="6" t="n">
        <v>-184</v>
      </c>
      <c r="G11" s="6" t="n">
        <v>124.6</v>
      </c>
      <c r="H11" s="6" t="n">
        <v>21</v>
      </c>
    </row>
    <row r="12">
      <c r="A12" s="6" t="inlineStr">
        <is>
          <t>Net gains/(losses) on derecognition of debt instruments at amortised cost</t>
        </is>
      </c>
      <c r="B12" s="6" t="n">
        <v>819.1</v>
      </c>
      <c r="C12" s="6" t="n">
        <v>-99.7</v>
      </c>
      <c r="D12" s="6" t="n"/>
      <c r="E12" s="6" t="n"/>
      <c r="F12" s="6" t="n"/>
      <c r="G12" s="6" t="n"/>
      <c r="H12" s="6" t="n"/>
    </row>
    <row r="13">
      <c r="A13" s="6" t="inlineStr">
        <is>
          <t>Net gains on derecognition of debt instruments at FVOCI</t>
        </is>
      </c>
      <c r="B13" s="6" t="n">
        <v>159.6</v>
      </c>
      <c r="C13" s="6" t="n">
        <v>9.6</v>
      </c>
      <c r="D13" s="6" t="n"/>
      <c r="E13" s="6" t="n"/>
      <c r="F13" s="6" t="n"/>
      <c r="G13" s="6" t="n"/>
      <c r="H13" s="6" t="n"/>
    </row>
    <row r="14">
      <c r="A14" s="6" t="inlineStr">
        <is>
          <t>Loss on disposal of investments at FVOCI</t>
        </is>
      </c>
      <c r="B14" s="6" t="n"/>
      <c r="C14" s="6" t="n"/>
      <c r="D14" s="6" t="n">
        <v>-277.5</v>
      </c>
      <c r="E14" s="6" t="n">
        <v>-13.1</v>
      </c>
      <c r="F14" s="6" t="n"/>
      <c r="G14" s="6" t="n"/>
      <c r="H14" s="6" t="n"/>
    </row>
    <row r="15">
      <c r="A15" s="6" t="inlineStr">
        <is>
          <t>Other income</t>
        </is>
      </c>
      <c r="B15" s="6" t="n">
        <v>572.7</v>
      </c>
      <c r="C15" s="6" t="n">
        <v>1833.7</v>
      </c>
      <c r="D15" s="6" t="n">
        <v>546.8</v>
      </c>
      <c r="E15" s="6" t="n">
        <v>810.1</v>
      </c>
      <c r="F15" s="6" t="n">
        <v>561.4</v>
      </c>
      <c r="G15" s="6" t="n">
        <v>1143.7</v>
      </c>
      <c r="H15" s="6" t="n">
        <v>265.5</v>
      </c>
    </row>
    <row r="16">
      <c r="A16" s="5" t="inlineStr">
        <is>
          <t>Operating income</t>
        </is>
      </c>
      <c r="B16" s="5" t="n">
        <v>21968.4</v>
      </c>
      <c r="C16" s="5" t="n">
        <v>25058.3</v>
      </c>
      <c r="D16" s="5" t="n">
        <v>18112.8</v>
      </c>
      <c r="E16" s="5" t="n">
        <v>6471.8</v>
      </c>
      <c r="F16" s="5" t="n">
        <v>4723.6</v>
      </c>
      <c r="G16" s="5" t="n">
        <v>7302.7</v>
      </c>
      <c r="H16" s="5" t="n">
        <v>4645.7</v>
      </c>
    </row>
    <row r="17">
      <c r="A17" s="6" t="inlineStr">
        <is>
          <t>Staff costs</t>
        </is>
      </c>
      <c r="B17" s="6" t="n">
        <v>-7379.1</v>
      </c>
      <c r="C17" s="6" t="n">
        <v>-6212.7</v>
      </c>
      <c r="D17" s="6" t="n">
        <v>-5748.3</v>
      </c>
      <c r="E17" s="6" t="n">
        <v>-4130.3</v>
      </c>
      <c r="F17" s="6" t="n">
        <v>-4090.4</v>
      </c>
      <c r="G17" s="6" t="n">
        <v>-4588.1</v>
      </c>
      <c r="H17" s="6" t="n">
        <v>-3930.3</v>
      </c>
    </row>
    <row r="18">
      <c r="A18" s="6" t="inlineStr">
        <is>
          <t>Administrative expenses</t>
        </is>
      </c>
      <c r="B18" s="6" t="n">
        <v>-3828.8</v>
      </c>
      <c r="C18" s="6" t="n">
        <v>-3115.2</v>
      </c>
      <c r="D18" s="6" t="n">
        <v>-2341</v>
      </c>
      <c r="E18" s="6" t="n">
        <v>-1460.2</v>
      </c>
      <c r="F18" s="6" t="n">
        <v>-1263.9</v>
      </c>
      <c r="G18" s="6" t="n">
        <v>-1615.6</v>
      </c>
      <c r="H18" s="6" t="n">
        <v>-1757</v>
      </c>
    </row>
    <row r="19">
      <c r="A19" s="6" t="inlineStr">
        <is>
          <t>Other operating (expenses)/income</t>
        </is>
      </c>
      <c r="B19" s="6" t="n">
        <v>-43</v>
      </c>
      <c r="C19" s="6" t="n">
        <v>-714.7</v>
      </c>
      <c r="D19" s="6" t="n">
        <v>338.1</v>
      </c>
      <c r="E19" s="6" t="n">
        <v>-1086.4</v>
      </c>
      <c r="F19" s="6" t="n">
        <v>-1727.1</v>
      </c>
      <c r="G19" s="6" t="n">
        <v>0</v>
      </c>
      <c r="H19" s="6" t="n"/>
    </row>
    <row r="20">
      <c r="A20" s="6" t="inlineStr">
        <is>
          <t>Depreciation and amortisation</t>
        </is>
      </c>
      <c r="B20" s="6" t="n">
        <v>-610.2</v>
      </c>
      <c r="C20" s="6" t="n">
        <v>-629.5</v>
      </c>
      <c r="D20" s="6" t="n">
        <v>-611.6</v>
      </c>
      <c r="E20" s="6" t="n">
        <v>-556.3</v>
      </c>
      <c r="F20" s="6" t="n">
        <v>-612.9</v>
      </c>
      <c r="G20" s="6" t="n">
        <v>-642.8</v>
      </c>
      <c r="H20" s="6" t="n">
        <v>-370.5</v>
      </c>
    </row>
    <row r="21">
      <c r="A21" s="5" t="inlineStr">
        <is>
          <t>Profit/(loss) before taxation</t>
        </is>
      </c>
      <c r="B21" s="5" t="n">
        <v>10107.2</v>
      </c>
      <c r="C21" s="5" t="n">
        <v>14386.2</v>
      </c>
      <c r="D21" s="5" t="n">
        <v>9750</v>
      </c>
      <c r="E21" s="5" t="n">
        <v>-761.3</v>
      </c>
      <c r="F21" s="5" t="n">
        <v>-2970.8</v>
      </c>
      <c r="G21" s="5" t="n">
        <v>456.2</v>
      </c>
      <c r="H21" s="5" t="n">
        <v>-1412.1</v>
      </c>
    </row>
    <row r="22">
      <c r="A22" s="6" t="inlineStr">
        <is>
          <t>Income tax (expense)/credit</t>
        </is>
      </c>
      <c r="B22" s="6" t="n">
        <v>-1150.1</v>
      </c>
      <c r="C22" s="6" t="n">
        <v>-2871.6</v>
      </c>
      <c r="D22" s="6" t="n">
        <v>-487</v>
      </c>
      <c r="E22" s="6" t="n">
        <v>0</v>
      </c>
      <c r="F22" s="6" t="n">
        <v>-10.1</v>
      </c>
      <c r="G22" s="6" t="n">
        <v>30.6</v>
      </c>
      <c r="H22" s="6" t="n">
        <v>1.5</v>
      </c>
    </row>
    <row r="23">
      <c r="A23" s="5" t="inlineStr">
        <is>
          <t>Profit/(loss) for the year</t>
        </is>
      </c>
      <c r="B23" s="5" t="n">
        <v>8957.1</v>
      </c>
      <c r="C23" s="5" t="n">
        <v>11514.6</v>
      </c>
      <c r="D23" s="5" t="n">
        <v>9263.1</v>
      </c>
      <c r="E23" s="5" t="n">
        <v>-761.3</v>
      </c>
      <c r="F23" s="5" t="n">
        <v>-2980.9</v>
      </c>
      <c r="G23" s="5" t="n">
        <v>486.8</v>
      </c>
      <c r="H23" s="5" t="n">
        <v>-1410.6</v>
      </c>
    </row>
    <row r="24">
      <c r="A24" s="5" t="inlineStr">
        <is>
          <t>Other comprehensive income/(expense)</t>
        </is>
      </c>
      <c r="B24" s="6" t="n"/>
      <c r="C24" s="6" t="n"/>
      <c r="D24" s="6" t="n"/>
      <c r="E24" s="6" t="n"/>
      <c r="F24" s="6" t="n"/>
      <c r="G24" s="6" t="n"/>
      <c r="H24" s="6" t="n"/>
    </row>
    <row r="25">
      <c r="A25" s="6" t="inlineStr">
        <is>
          <t>Items that may be reclassified to profit or loss (as printed - see OCI discrepancy note)</t>
        </is>
      </c>
      <c r="B25" s="6" t="n">
        <v>849.6</v>
      </c>
      <c r="C25" s="6" t="n">
        <v>1882</v>
      </c>
      <c r="D25" s="6" t="n"/>
      <c r="E25" s="6" t="n"/>
      <c r="F25" s="6" t="n"/>
      <c r="G25" s="6" t="n"/>
      <c r="H25" s="6" t="n"/>
    </row>
    <row r="26">
      <c r="A26" s="6" t="inlineStr">
        <is>
          <t>Net change in fair value of investment securities at FVOCI</t>
        </is>
      </c>
      <c r="B26" s="6" t="n">
        <v>578.9</v>
      </c>
      <c r="C26" s="6" t="n"/>
      <c r="D26" s="6" t="n"/>
      <c r="E26" s="6" t="n"/>
      <c r="F26" s="6" t="n"/>
      <c r="G26" s="6" t="n"/>
      <c r="H26" s="6" t="n"/>
    </row>
    <row r="27">
      <c r="A27" s="6" t="inlineStr">
        <is>
          <t>Net change in allowances for expected credit losses of investment securities at FVOCI</t>
        </is>
      </c>
      <c r="B27" s="6" t="n">
        <v>483.5</v>
      </c>
      <c r="C27" s="6" t="n"/>
      <c r="D27" s="6" t="n"/>
      <c r="E27" s="6" t="n"/>
      <c r="F27" s="6" t="n"/>
      <c r="G27" s="6" t="n"/>
      <c r="H27" s="6" t="n"/>
    </row>
    <row r="28">
      <c r="A28" s="6" t="inlineStr">
        <is>
          <t>Income tax related to the above</t>
        </is>
      </c>
      <c r="B28" s="6" t="n">
        <v>273</v>
      </c>
      <c r="C28" s="6" t="n"/>
      <c r="D28" s="6" t="n"/>
      <c r="E28" s="6" t="n"/>
      <c r="F28" s="6" t="n"/>
      <c r="G28" s="6" t="n"/>
      <c r="H28" s="6" t="n"/>
    </row>
    <row r="29">
      <c r="A29" s="6" t="inlineStr">
        <is>
          <t>Hedging derivative unrealised gain/(loss)</t>
        </is>
      </c>
      <c r="B29" s="6" t="n"/>
      <c r="C29" s="6" t="n"/>
      <c r="D29" s="6" t="n">
        <v>0</v>
      </c>
      <c r="E29" s="6" t="n">
        <v>125.1</v>
      </c>
      <c r="F29" s="6" t="n">
        <v>-56.9</v>
      </c>
      <c r="G29" s="6" t="n">
        <v>51.7</v>
      </c>
      <c r="H29" s="6" t="n">
        <v>-123.7</v>
      </c>
    </row>
    <row r="30">
      <c r="A30" s="6" t="inlineStr">
        <is>
          <t>Net loss on financial assets measured at FVOCI</t>
        </is>
      </c>
      <c r="B30" s="6" t="n"/>
      <c r="C30" s="6" t="n"/>
      <c r="D30" s="6" t="n">
        <v>-3672.5</v>
      </c>
      <c r="E30" s="6" t="n">
        <v>-611.5</v>
      </c>
      <c r="F30" s="6" t="n">
        <v>-110.7</v>
      </c>
      <c r="G30" s="6" t="n">
        <v>-128.6</v>
      </c>
      <c r="H30" s="6" t="n">
        <v>95.2</v>
      </c>
    </row>
    <row r="31">
      <c r="A31" s="5" t="inlineStr">
        <is>
          <t>Total comprehensive income/(loss) for the year</t>
        </is>
      </c>
      <c r="B31" s="5" t="n">
        <v>11142.2</v>
      </c>
      <c r="C31" s="5" t="n">
        <v>13396.6</v>
      </c>
      <c r="D31" s="5" t="n">
        <v>5590.5</v>
      </c>
      <c r="E31" s="5" t="n">
        <v>-1247.8</v>
      </c>
      <c r="F31" s="5" t="n">
        <v>-3148.5</v>
      </c>
      <c r="G31" s="5" t="n">
        <v>410</v>
      </c>
      <c r="H31" s="5" t="n">
        <v>-1439.1</v>
      </c>
    </row>
    <row r="33" ht="409" customHeight="1">
      <c r="A33" s="8" t="inlineStr">
        <is>
          <t>Sources - all figures are United Bank for Africa (UK) Limited's own primary financial statements (converted from USD to £, see FX conversion note below):
FY2024 &amp; FY2023: Annual Report and Accounts 2024, p.47 (Statement of Profit or Loss and Other Comprehensive Income), p.48 (Statement of Financial Position) - https://www.ubauk.com/wp-content/uploads/sites/29/2025/07/UBA-UK-2024-AR-1.pdf
FY2022 &amp; FY2021: Annual Report and Accounts 2022, p.36 (Statement of Comprehensive Income), p.37 (Statement of Financial Position) - https://www.ubauk.com/wp-content/uploads/sites/29/2023/09/UBA-UK-FIN-A-Ann-Rpt-and-Accts-31-Dec-2022.pdf
FY2020 &amp; FY2019: Annual Report and Accounts 2020, p.41 (Statement of Comprehensive Income), p.42 (Statement of Financial Position) - https://www.ubauk.com/wp-content/uploads/sites/29/2018/10/UBA-UK-FIN-Ann-Rpt-and-Accts-31-Dec-2020-009-1.pdf
FY2018: Annual Report and Accounts 2018, p.25 (Statement of Comprehensive Income), p.26 (Statement of Financial Position) - https://www.ubauk.com/wp-content/uploads/sites/29/2019/07/UBA-UK-Ltd-Report-and-Accounts-31-Dec-2018.pdf
Presentation differs between report vintages: FY2024/FY2023 split interest income into 'calculated using the effective interest method' and 'other interest and similar income' lines and separately disclose 'Due from banks', a Deferred tax asset, and a Current tax asset; FY2022/FY2021 show a single 'Interest receivable and similar income' line, no 'Due from banks' split, and a Deferred TAX LIABILITY instead (FY2021 only, £nil FY2022) rather than an asset; FY2020/FY2019 use the same single 'Interest receivable and similar income' line and a Deferred TAX LIABILITY in both years; FY2018's own statement instead labels this line simply 'Interest income' and its impairment line 'Credit impairment gains/(losses)' (FY2020/FY2019: 'Credit impairment (loss)/reversal'; FY2022 onward: 'Provision for expected credit losses') - the same underlying net ECL P&amp;L charge/release, shown on the same row for continuity. FY2018's own Balance Sheet also labels cash 'Cash at bank' (later years: 'Cash and cash equivalents'), property 'Property and equipment' (later: 'Property, plant and equipment'), the deposit-taking liability 'Loans from banks' (later: 'Deposits from banks'), and share capital 'Called up share capital' (later: 'Share capital') - again the same underlying items, shown on the same rows for continuity rather than fragmented by a pure relabelling. FY2018's Balance Sheet also splits its combined reserve into two separate lines ('Other reserves' and 'AFS reserves') where every other year shows a single combined 'Other reserves' line - both are shown as reported, with 'AFS reserves' blank in every other year. FY2018's OCI section similarly labels its two lines 'Unrealised loss on hedging derivative measured at FVOCI' and 'Net gains on investments in debt instruments measured at FVOCI' - the same underlying hedging/FVOCI gain-or-loss concepts as later years' 'Hedging derivative unrealised gain/(loss)' and 'Net loss on financial assets measured at FVOCI' rows (sign convention is consistent across all years), so FY2018's figures are shown on those same two rows rather than duplicated. Each year's own as-reported line items and labels are preserved rather than forced into a common shape; blank cells indicate that year's report did not disclose that specific split.
OCI DISCREPANCY NOTE: FY2024's Statement of Profit or Loss and OCI shows 4 separate OCI detail lines summing to the stated 'Total items that may be reclassified to profit or loss' ($1,086k + $740k + $618k + $349k = $2,793k) - but the Statement of Changes in Equity's own FY2024 roll-forward shows a DIFFERENT 3-line OCI component split ($1,435k fair value change + $740k reclassification + $618k ECL allowance change = the same $2,793k total). Both statements' totals agree exactly ($2,793k / £2,185.1k), but their component breakdowns do not reconcile line-for-line - an unresolved labelling inconsistency in the source document itself, reproduced here exactly as each statement presents it rather than silently reconciled or picked one over the other.
ENTITY NOTE: United Bank for Africa (UK) Limited (Companies House 03104974, FRN 695048) is a UK subsidiary of United Bank for Africa Plc (Nigeria). Unlike several other foreign-subsidiary banks in this workbook series (ICICI Bank UK, Philippine National Bank Europe, Citibank UK, State Bank of India UK),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No FY2025 Annual Report or Pillar 3 disclosure has been published yet (as of this workbook's build date), so this workbook covers FY2018-FY2024 (7 years) rather than FY2025.
RE-CHECKED 19 SEPTEMBER 2026 (GA-020) - STILL NO FY2025 DOCUMENT OF EITHER KIND. (1) Companies House filing history for 03104974, read UNFILTERED on page 1: newest rows TM01 (6 Aug 2026) and AP01s (29 Jun 2026); the newest AA is still 'Full accounts made up to 31 December 2024', filed 24 Apr 2025 (FY2023 was filed 9 May 2024, so FY2025 is later than this bank's own cadence). The profile reads 'Next accounts made up to 31 December 2025 due by 31 DECEMBER 2026', i.e. the filing period has been extended beyond the usual nine months, and flags the confirmation statement as overdue. (2) https://www.ubauk.com/financial-reports/ (fetched as static HTML) still links the FY2024 Annual Report and FY2024 Pillar 3 as the newest reports, while carrying other uploads dated as late as 2026/08, so the page is maintained. Direct probes of UBA-UK-2025-AR.pdf and UBA-UK-2025-AR-1.pdf under /wp-content/uploads/sites/29/2026/04/ to /2026/09/ all return a genuine 404, against a 200/application/pdf/%PDF control on the FY2024 AR URL. The WordPress media API is closed on this host (returns an error object), so it could not be used. (3) Wayback CDX for ubauk.com from 2026 onward: 6 PDF captures, none an FY2025 report.</t>
        </is>
      </c>
    </row>
    <row r="35" ht="409" customHeight="1">
      <c r="A35" s="8" t="inlineStr">
        <is>
          <t>(continued)
FX CONVERSION NOTE: United Bank for Africa (UK) Limited reports in US Dollars (its functional currency, per its own foreign currency risk note - 'Revenues, assets and liabilities are primarily in the functional currency US dollar'). This workbook converts every $ amount to £ for consistency with the rest of this series, following the same methodology established for SMBC Bank International plc and Zenith Bank (UK) Limited: point-in-time/balance figures (capital, RWA, leverage exposure, HQLA, cash balances) use the Bank of England GBP/USD SPOT rate as at that fiscal year-end (31 December); flow figures (every cash flow statement line item) use the AVERAGE of Bank of England rates over that calendar year - both via poundsterlinglive.com's published Bank of England archive (FY2020-FY2024), and identical to the rates used for Zenith Bank UK since both banks share the same 31 December fiscal year-end. FY2017-FY2019 rates (added for the HD-058 FY2018 extension) are the same figures already used for Zenith Bank UK's own FY2017-FY2019, sourced from the Bank of England's own Interactive Statistical Database (series XUDLGBD). Rates used (£1 = $X): 29 Dec 2017 spot 1.3510 (FY2018 opening cash only); FY2018 spot 1.2770 / average 1.3335; FY2019 spot 1.3210 / average 1.2757; FY2020 spot 1.3661 / average 1.2825; FY2021 spot 1.3521 / average 1.3752; FY2022 spot 1.2097 / average 1.2362; FY2023 spot 1.2732 / average 1.2439; FY2024 spot 1.2515 / average 1.2782.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so opening + all flows + this line = closing exactly in £ terms - this line is purely an artefact of £ translation and has no bearing on the Bank's underlying USD results. This conversion was not explicitly requested for this bank (unlike SMBC) - applied for consistency with the rest of the series, following the same call already confirmed for Zenith Bank UK; flag if £'000 rather than the Bank's native US$'000 presentation is not what's wanted here.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2">
    <mergeCell ref="A33:H33"/>
    <mergeCell ref="A35:H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United Bank for Africa (UK) Limited — Statement of Changes in Equity</t>
        </is>
      </c>
    </row>
    <row r="2">
      <c r="A2" s="2" t="inlineStr">
        <is>
          <t>US$'000 (NOT converted to £ - see source note at bottom for why).</t>
        </is>
      </c>
    </row>
    <row r="3">
      <c r="A3" s="4" t="inlineStr">
        <is>
          <t>Movement</t>
        </is>
      </c>
      <c r="B3" s="4" t="inlineStr">
        <is>
          <t>Share capital</t>
        </is>
      </c>
      <c r="C3" s="4" t="inlineStr">
        <is>
          <t>Share premium account</t>
        </is>
      </c>
      <c r="D3" s="4" t="inlineStr">
        <is>
          <t>Fair value &amp; hedging reserve</t>
        </is>
      </c>
      <c r="E3" s="4" t="inlineStr">
        <is>
          <t>Retained earnings/(Accumulated losses)</t>
        </is>
      </c>
      <c r="F3" s="4" t="inlineStr">
        <is>
          <t>Total equity</t>
        </is>
      </c>
    </row>
    <row r="4">
      <c r="A4" s="5" t="inlineStr">
        <is>
          <t>Balance at 1 January 2018 (unrestated)</t>
        </is>
      </c>
      <c r="B4" s="5" t="n">
        <v>60246</v>
      </c>
      <c r="C4" s="5" t="n">
        <v>201</v>
      </c>
      <c r="D4" s="5" t="n">
        <v>-4</v>
      </c>
      <c r="E4" s="5" t="n">
        <v>-13151</v>
      </c>
      <c r="F4" s="5" t="n">
        <v>47292</v>
      </c>
    </row>
    <row r="5">
      <c r="A5" s="6" t="inlineStr">
        <is>
          <t>Changes on initial application of IFRS 9</t>
        </is>
      </c>
      <c r="B5" s="6" t="n"/>
      <c r="C5" s="6" t="n"/>
      <c r="D5" s="6" t="n">
        <v>0</v>
      </c>
      <c r="E5" s="6" t="n">
        <v>-650</v>
      </c>
      <c r="F5" s="6" t="n">
        <v>-650</v>
      </c>
    </row>
    <row r="6">
      <c r="A6" s="5" t="inlineStr">
        <is>
          <t>Restated balance at 1 January 2018</t>
        </is>
      </c>
      <c r="B6" s="5" t="n">
        <v>60246</v>
      </c>
      <c r="C6" s="5" t="n">
        <v>201</v>
      </c>
      <c r="D6" s="5" t="n">
        <v>-4</v>
      </c>
      <c r="E6" s="5" t="n">
        <v>-13801</v>
      </c>
      <c r="F6" s="5" t="n">
        <v>46642</v>
      </c>
    </row>
    <row r="7">
      <c r="A7" s="6" t="inlineStr">
        <is>
          <t>Loss for the year</t>
        </is>
      </c>
      <c r="B7" s="6" t="n"/>
      <c r="C7" s="6" t="n"/>
      <c r="D7" s="6" t="n"/>
      <c r="E7" s="6" t="n">
        <v>-1881</v>
      </c>
      <c r="F7" s="6" t="n">
        <v>-1881</v>
      </c>
    </row>
    <row r="8">
      <c r="A8" s="6" t="inlineStr">
        <is>
          <t>Other comprehensive expense (hedging + FVOCI)</t>
        </is>
      </c>
      <c r="B8" s="6" t="n"/>
      <c r="C8" s="6" t="n"/>
      <c r="D8" s="6" t="n">
        <v>-38</v>
      </c>
      <c r="E8" s="6" t="n"/>
      <c r="F8" s="6" t="n">
        <v>-38</v>
      </c>
    </row>
    <row r="9">
      <c r="A9" s="5" t="inlineStr">
        <is>
          <t>Balance at 31 December 2018 / 1 January 2019</t>
        </is>
      </c>
      <c r="B9" s="5" t="n">
        <v>60246</v>
      </c>
      <c r="C9" s="5" t="n">
        <v>201</v>
      </c>
      <c r="D9" s="5" t="n">
        <v>-42</v>
      </c>
      <c r="E9" s="5" t="n">
        <v>-15682</v>
      </c>
      <c r="F9" s="5" t="n">
        <v>44723</v>
      </c>
    </row>
    <row r="10">
      <c r="A10" s="6" t="inlineStr">
        <is>
          <t>Profit for the year</t>
        </is>
      </c>
      <c r="B10" s="6" t="n"/>
      <c r="C10" s="6" t="n"/>
      <c r="D10" s="6" t="n"/>
      <c r="E10" s="6" t="n">
        <v>621</v>
      </c>
      <c r="F10" s="6" t="n">
        <v>621</v>
      </c>
    </row>
    <row r="11">
      <c r="A11" s="6" t="inlineStr">
        <is>
          <t>Other comprehensive income/(expense) (hedging + FVOCI)</t>
        </is>
      </c>
      <c r="B11" s="6" t="n"/>
      <c r="C11" s="6" t="n"/>
      <c r="D11" s="6" t="n">
        <v>-98</v>
      </c>
      <c r="E11" s="6" t="n"/>
      <c r="F11" s="6" t="n">
        <v>-98</v>
      </c>
    </row>
    <row r="12">
      <c r="A12" s="5" t="inlineStr">
        <is>
          <t>Balance at 31 December 2019 / 1 January 2020</t>
        </is>
      </c>
      <c r="B12" s="5" t="n">
        <v>60246</v>
      </c>
      <c r="C12" s="5" t="n">
        <v>201</v>
      </c>
      <c r="D12" s="5" t="n">
        <v>-140</v>
      </c>
      <c r="E12" s="5" t="n">
        <v>-15061</v>
      </c>
      <c r="F12" s="5" t="n">
        <v>45246</v>
      </c>
    </row>
    <row r="13">
      <c r="A13" s="6" t="inlineStr">
        <is>
          <t>Loss for the year</t>
        </is>
      </c>
      <c r="B13" s="6" t="n"/>
      <c r="C13" s="6" t="n"/>
      <c r="D13" s="6" t="n"/>
      <c r="E13" s="6" t="n">
        <v>-3823</v>
      </c>
      <c r="F13" s="6" t="n">
        <v>-3823</v>
      </c>
    </row>
    <row r="14">
      <c r="A14" s="6" t="inlineStr">
        <is>
          <t>Other comprehensive expense (hedging + FVOCI)</t>
        </is>
      </c>
      <c r="B14" s="6" t="n"/>
      <c r="C14" s="6" t="n"/>
      <c r="D14" s="6" t="n">
        <v>-215</v>
      </c>
      <c r="E14" s="6" t="n"/>
      <c r="F14" s="6" t="n">
        <v>-215</v>
      </c>
    </row>
    <row r="15">
      <c r="A15" s="5" t="inlineStr">
        <is>
          <t>Balance at 31 December 2020 / 1 January 2021</t>
        </is>
      </c>
      <c r="B15" s="5" t="n">
        <v>60246</v>
      </c>
      <c r="C15" s="5" t="n">
        <v>201</v>
      </c>
      <c r="D15" s="5" t="n">
        <v>-355</v>
      </c>
      <c r="E15" s="5" t="n">
        <v>-18884</v>
      </c>
      <c r="F15" s="5" t="n">
        <v>41208</v>
      </c>
    </row>
    <row r="16">
      <c r="A16" s="6" t="inlineStr">
        <is>
          <t>Loss for the year</t>
        </is>
      </c>
      <c r="B16" s="6" t="n"/>
      <c r="C16" s="6" t="n"/>
      <c r="D16" s="6" t="n"/>
      <c r="E16" s="6" t="n">
        <v>-1047</v>
      </c>
      <c r="F16" s="6" t="n">
        <v>-1047</v>
      </c>
    </row>
    <row r="17">
      <c r="A17" s="6" t="inlineStr">
        <is>
          <t>Other comprehensive expense (hedging + FVOCI)</t>
        </is>
      </c>
      <c r="B17" s="6" t="n"/>
      <c r="C17" s="6" t="n"/>
      <c r="D17" s="6" t="n">
        <v>-669</v>
      </c>
      <c r="E17" s="6" t="n"/>
      <c r="F17" s="6" t="n">
        <v>-669</v>
      </c>
    </row>
    <row r="18">
      <c r="A18" s="5" t="inlineStr">
        <is>
          <t>Balance at 31 December 2021 / 1 January 2022</t>
        </is>
      </c>
      <c r="B18" s="5" t="n">
        <v>60246</v>
      </c>
      <c r="C18" s="5" t="n">
        <v>201</v>
      </c>
      <c r="D18" s="5" t="n">
        <v>-1024</v>
      </c>
      <c r="E18" s="5" t="n">
        <v>-19931</v>
      </c>
      <c r="F18" s="5" t="n">
        <v>39492</v>
      </c>
    </row>
    <row r="19">
      <c r="A19" s="6" t="inlineStr">
        <is>
          <t>Profit for the year</t>
        </is>
      </c>
      <c r="B19" s="6" t="n"/>
      <c r="C19" s="6" t="n"/>
      <c r="D19" s="6" t="n"/>
      <c r="E19" s="6" t="n">
        <v>11451</v>
      </c>
      <c r="F19" s="6" t="n">
        <v>11451</v>
      </c>
    </row>
    <row r="20">
      <c r="A20" s="6" t="inlineStr">
        <is>
          <t>Other comprehensive expense (FVOCI)</t>
        </is>
      </c>
      <c r="B20" s="6" t="n"/>
      <c r="C20" s="6" t="n"/>
      <c r="D20" s="6" t="n">
        <v>-4540</v>
      </c>
      <c r="E20" s="6" t="n"/>
      <c r="F20" s="6" t="n">
        <v>-4540</v>
      </c>
    </row>
    <row r="21">
      <c r="A21" s="5" t="inlineStr">
        <is>
          <t>Balance at 31 December 2022 / 1 January 2023</t>
        </is>
      </c>
      <c r="B21" s="5" t="n">
        <v>60246</v>
      </c>
      <c r="C21" s="5" t="n">
        <v>201</v>
      </c>
      <c r="D21" s="5" t="n">
        <v>-5564</v>
      </c>
      <c r="E21" s="5" t="n">
        <v>-8480</v>
      </c>
      <c r="F21" s="5" t="n">
        <v>46403</v>
      </c>
    </row>
    <row r="22">
      <c r="A22" s="6" t="inlineStr">
        <is>
          <t>Issuance of share capital</t>
        </is>
      </c>
      <c r="B22" s="6" t="n">
        <v>12000</v>
      </c>
      <c r="C22" s="6" t="n"/>
      <c r="D22" s="6" t="n"/>
      <c r="E22" s="6" t="n"/>
      <c r="F22" s="6" t="n">
        <v>12000</v>
      </c>
    </row>
    <row r="23">
      <c r="A23" s="6" t="inlineStr">
        <is>
          <t>Profit for the year</t>
        </is>
      </c>
      <c r="B23" s="6" t="n"/>
      <c r="C23" s="6" t="n"/>
      <c r="D23" s="6" t="n"/>
      <c r="E23" s="6" t="n">
        <v>14323</v>
      </c>
      <c r="F23" s="6" t="n">
        <v>14323</v>
      </c>
    </row>
    <row r="24">
      <c r="A24" s="6" t="inlineStr">
        <is>
          <t>Net change in fair value of financial instruments at FVOCI</t>
        </is>
      </c>
      <c r="B24" s="6" t="n"/>
      <c r="C24" s="6" t="n"/>
      <c r="D24" s="6" t="n">
        <v>2341</v>
      </c>
      <c r="E24" s="6" t="n"/>
      <c r="F24" s="6" t="n">
        <v>2341</v>
      </c>
    </row>
    <row r="25">
      <c r="A25" s="5" t="inlineStr">
        <is>
          <t>Balance at 31 December 2023 / 1 January 2024</t>
        </is>
      </c>
      <c r="B25" s="5" t="n">
        <v>72246</v>
      </c>
      <c r="C25" s="5" t="n">
        <v>201</v>
      </c>
      <c r="D25" s="5" t="n">
        <v>-3223</v>
      </c>
      <c r="E25" s="5" t="n">
        <v>5843</v>
      </c>
      <c r="F25" s="5" t="n">
        <v>75067</v>
      </c>
    </row>
    <row r="26">
      <c r="A26" s="6" t="inlineStr">
        <is>
          <t>Profit for the year</t>
        </is>
      </c>
      <c r="B26" s="6" t="n"/>
      <c r="C26" s="6" t="n"/>
      <c r="D26" s="6" t="n"/>
      <c r="E26" s="6" t="n">
        <v>11449</v>
      </c>
      <c r="F26" s="6" t="n">
        <v>11449</v>
      </c>
    </row>
    <row r="27">
      <c r="A27" s="6" t="inlineStr">
        <is>
          <t>Total items that may be reclassified to profit or loss (OCI, net)</t>
        </is>
      </c>
      <c r="B27" s="6" t="n"/>
      <c r="C27" s="6" t="n"/>
      <c r="D27" s="6" t="n">
        <v>2793</v>
      </c>
      <c r="E27" s="6" t="n"/>
      <c r="F27" s="6" t="n">
        <v>2793</v>
      </c>
    </row>
    <row r="28">
      <c r="A28" s="6" t="inlineStr">
        <is>
          <t>Dividends</t>
        </is>
      </c>
      <c r="B28" s="6" t="n"/>
      <c r="C28" s="6" t="n"/>
      <c r="D28" s="6" t="n"/>
      <c r="E28" s="6" t="n">
        <v>-10000</v>
      </c>
      <c r="F28" s="6" t="n">
        <v>-10000</v>
      </c>
    </row>
    <row r="29">
      <c r="A29" s="5" t="inlineStr">
        <is>
          <t>Balance at 31 December 2024</t>
        </is>
      </c>
      <c r="B29" s="5" t="n">
        <v>72246</v>
      </c>
      <c r="C29" s="5" t="n">
        <v>201</v>
      </c>
      <c r="D29" s="5" t="n">
        <v>-430</v>
      </c>
      <c r="E29" s="5" t="n">
        <v>7292</v>
      </c>
      <c r="F29" s="5" t="n">
        <v>79309</v>
      </c>
    </row>
    <row r="31" ht="409" customHeight="1">
      <c r="A31" s="8" t="inlineStr">
        <is>
          <t>Sources - United Bank for Africa (UK) Limited's own Statement of Changes in Equity, presented in the Bank's native US$'000 (NOT converted to £, unlike every other sheet in this workbook):
FY2024 &amp; FY2023: Annual Report and Accounts 2024, p.49 (Statement of Changes in Equity) - https://www.ubauk.com/wp-content/uploads/sites/29/2025/07/UBA-UK-2024-AR-1.pdf
FY2022 &amp; FY2021: Annual Report and Accounts 2022, p.38 (Statement of Changes in Equity) - https://www.ubauk.com/wp-content/uploads/sites/29/2023/09/UBA-UK-FIN-A-Ann-Rpt-and-Accts-31-Dec-2022.pdf
FY2020 &amp; FY2019: Annual Report and Accounts 2020, p.43 (Statement of Changes in Equity) - https://www.ubauk.com/wp-content/uploads/sites/29/2018/10/UBA-UK-FIN-Ann-Rpt-and-Accts-31-Dec-2020-009-1.pdf
FY2018: Annual Report and Accounts 2018, p.27 (Statement of Changes in Equity) - https://www.ubauk.com/wp-content/uploads/sites/29/2019/07/UBA-UK-Ltd-Report-and-Accounts-31-Dec-2018.pdf
WHY NOT CONVERTED: unlike the Balance Sheet (a point-in-time snapshot, convertible at that date's spot rate) and the Profit &amp; Loss (a single year's flow, convertible at that year's average rate), this sheet is a multi-year chronological ROLL-FORWARD chaining 7 years of opening/movement/closing balances together. Converting each balance at its own date's spot rate while converting each movement at that year's average rate would introduce a distinct, unexplained 'FX translation' gap into every reserve column at every year boundary (verified: gaps of several hundred to several thousand £'000 per column per year, driven entirely by USD/GBP rate movement, not by any real accounting entry) - materially different from the Cash Flow Statement sheet's single-line, whole-statement translation plug, and not cleanly representable as one reconciling row across 5 equity-component columns. Rather than fabricate a misleadingly precise-looking £ conversion that would obscure this, the ladder is shown in the Bank's own native USD, exactly as reported, on every row. Convert any individual balance to £ using this sheet's own year-end spot rate (see FX conversion note on the Cash Flow Statement sheet) if needed for cross-reference.
RECONCILIATION NOTE: FY2022, FY2023, and FY2024 all tie exactly to that year's own Balance Sheet Total equity and to the next year's opening balance. FY2021's closing balance as shown in this equity statement ($39,492k total; Accumulated losses $(19,931)k; Fair value + Hedging reserve $(1,024)k combined) differs from the FY2021 Balance Sheet's own independently-stated figures (Accumulated losses $(19,930)k; Other reserves $(1,025)k) by exactly $1k in each of two lines (Total equity itself, $39,492k, matches exactly) - a genuine $1k rounding artefact between the two primary statements in the FY2022 Annual Report, reproduced exactly as each statement states rather than forced to tie. FY2018-FY2020's own closing/opening balances tie exactly year-to-year with no such discrepancy (verified against both the FY2018 Annual Report directly and the FY2020 Annual Report's own FY2019 comparative column, which agree exactly).
IFRS 9 TRANSITION NOTE: FY2018's own Statement of Changes in Equity shows an unrestated 'Balance at 1 January 2018' (carried forward from the FY2017 Annual Report) followed by a 'Changes on initial application of IFRS 9' adjustment (a $650k net increase to the accumulated ECL allowance, charged to Accumulated losses) and a 'Restated balance at 1 January 2018' - both the unrestated and restated opening balances are shown as separate rows, exactly as the Bank's own statement presents them.</t>
        </is>
      </c>
    </row>
    <row r="33" ht="409" customHeight="1">
      <c r="A33" s="8" t="inlineStr">
        <is>
          <t>(continued)
FY2018's own Statement of Changes in Equity presents its fair value/hedging movement across THREE separate columns (Available for sale reserve, Other reserves, Hedging reserves) where FY2019 onward use two (Fair value reserve, Hedging reserve) - combined into this sheet's single 'Fair value &amp; hedging reserve' column for every year, consistent with how every other year on this sheet is already shown (see 'WHY NOT CONVERTED' above); the combined FY2018 closing figure ($(42)k) ties exactly to the FY2019 Annual Report's own FY2019 opening balance.
ENTITY NOTE: United Bank for Africa (UK) Limited (Companies House 03104974, FRN 695048) is a UK subsidiary of United Bank for Africa Plc (Nigeria). Unlike several other foreign-subsidiary banks in this workbook series (ICICI Bank UK, Philippine National Bank Europe, Citibank UK, State Bank of India UK),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No FY2025 Annual Report or Pillar 3 disclosure has been published yet (as of this workbook's build date), so this workbook covers FY2018-FY2024 (7 years) rather than FY2025.
RE-CHECKED 19 SEPTEMBER 2026 (GA-020) - STILL NO FY2025 DOCUMENT OF EITHER KIND. (1) Companies House filing history for 03104974, read UNFILTERED on page 1: newest rows TM01 (6 Aug 2026) and AP01s (29 Jun 2026); the newest AA is still 'Full accounts made up to 31 December 2024', filed 24 Apr 2025 (FY2023 was filed 9 May 2024, so FY2025 is later than this bank's own cadence). The profile reads 'Next accounts made up to 31 December 2025 due by 31 DECEMBER 2026', i.e. the filing period has been extended beyond the usual nine months, and flags the confirmation statement as overdue. (2) https://www.ubauk.com/financial-reports/ (fetched as static HTML) still links the FY2024 Annual Report and FY2024 Pillar 3 as the newest reports, while carrying other uploads dated as late as 2026/08, so the page is maintained. Direct probes of UBA-UK-2025-AR.pdf and UBA-UK-2025-AR-1.pdf under /wp-content/uploads/sites/29/2026/04/ to /2026/09/ all return a genuine 404, against a 200/application/pdf/%PDF control on the FY2024 AR URL. The WordPress media API is closed on this host (returns an error object), so it could not be used. (3) Wayback CDX for ubauk.com from 2026 onward: 6 PDF captures, none an FY2025 report.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35" ht="409" customHeight="1">
      <c r="A35"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3">
    <mergeCell ref="A31:F31"/>
    <mergeCell ref="A33:F33"/>
    <mergeCell ref="A35:F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Statement of Cash Flows</t>
        </is>
      </c>
    </row>
    <row r="2">
      <c r="A2" s="2" t="inlineStr">
        <is>
          <t>£'000, converted from USD - see source note at bottom for FX methodology and rates used.</t>
        </is>
      </c>
    </row>
    <row r="3">
      <c r="A3" s="4" t="inlineStr">
        <is>
          <t>Line item</t>
        </is>
      </c>
      <c r="B3" s="4" t="inlineStr">
        <is>
          <t>FY2024 (£'000, conv. from USD)</t>
        </is>
      </c>
      <c r="C3" s="4" t="inlineStr">
        <is>
          <t>FY2023 (£'000, conv. from USD)</t>
        </is>
      </c>
      <c r="D3" s="4" t="inlineStr">
        <is>
          <t>FY2022 (£'000, conv. from USD)</t>
        </is>
      </c>
      <c r="E3" s="4" t="inlineStr">
        <is>
          <t>FY2021 (£'000, conv. from USD)</t>
        </is>
      </c>
      <c r="F3" s="4" t="inlineStr">
        <is>
          <t>FY2020 (£'000, conv. from USD)</t>
        </is>
      </c>
      <c r="G3" s="4" t="inlineStr">
        <is>
          <t>FY2019 (£'000, conv. from USD)</t>
        </is>
      </c>
      <c r="H3" s="4" t="inlineStr">
        <is>
          <t>FY2018 (£'000, conv. from USD)</t>
        </is>
      </c>
    </row>
    <row r="4">
      <c r="A4" s="5" t="inlineStr">
        <is>
          <t>Operating activities</t>
        </is>
      </c>
      <c r="B4" s="6" t="n"/>
      <c r="C4" s="6" t="n"/>
      <c r="D4" s="6" t="n"/>
      <c r="E4" s="6" t="n"/>
      <c r="F4" s="6" t="n"/>
      <c r="G4" s="6" t="n"/>
      <c r="H4" s="6" t="n"/>
    </row>
    <row r="5">
      <c r="A5" s="6" t="inlineStr">
        <is>
          <t>Profit/(loss) before tax</t>
        </is>
      </c>
      <c r="B5" s="6" t="n">
        <v>10107.2</v>
      </c>
      <c r="C5" s="6" t="n">
        <v>14386.2</v>
      </c>
      <c r="D5" s="6" t="n">
        <v>9750</v>
      </c>
      <c r="E5" s="6" t="n">
        <v>-761.3</v>
      </c>
      <c r="F5" s="6" t="n"/>
      <c r="G5" s="6" t="n"/>
      <c r="H5" s="6" t="n"/>
    </row>
    <row r="6">
      <c r="A6" s="6" t="inlineStr">
        <is>
          <t>Profit/(loss) for the year (FY2020/FY2019/FY2018 cash flow starts from the POST-tax figure, not pre-tax - see note)</t>
        </is>
      </c>
      <c r="B6" s="6" t="n"/>
      <c r="C6" s="6" t="n"/>
      <c r="D6" s="6" t="n"/>
      <c r="E6" s="6" t="n"/>
      <c r="F6" s="6" t="n">
        <v>-2980.9</v>
      </c>
      <c r="G6" s="6" t="n">
        <v>486.8</v>
      </c>
      <c r="H6" s="6" t="n">
        <v>-1410.6</v>
      </c>
    </row>
    <row r="7">
      <c r="A7" s="6" t="inlineStr">
        <is>
          <t>Depreciation and amortisation</t>
        </is>
      </c>
      <c r="B7" s="6" t="n">
        <v>610.2</v>
      </c>
      <c r="C7" s="6" t="n">
        <v>629.5</v>
      </c>
      <c r="D7" s="6" t="n">
        <v>611.6</v>
      </c>
      <c r="E7" s="6" t="n">
        <v>556.3</v>
      </c>
      <c r="F7" s="6" t="n">
        <v>612.9</v>
      </c>
      <c r="G7" s="6" t="n">
        <v>642.8</v>
      </c>
      <c r="H7" s="6" t="n">
        <v>370.5</v>
      </c>
    </row>
    <row r="8">
      <c r="A8" s="6" t="inlineStr">
        <is>
          <t>Net gain/(loss) on derecognition of debt instruments measured at amortised cost</t>
        </is>
      </c>
      <c r="B8" s="6" t="n">
        <v>-819.1</v>
      </c>
      <c r="C8" s="6" t="n">
        <v>99.7</v>
      </c>
      <c r="D8" s="6" t="n"/>
      <c r="E8" s="6" t="n"/>
      <c r="F8" s="6" t="n"/>
      <c r="G8" s="6" t="n"/>
      <c r="H8" s="6" t="n"/>
    </row>
    <row r="9">
      <c r="A9" s="6" t="inlineStr">
        <is>
          <t>Net gain/(loss) on derecognition of debt instruments measured at FVOCI</t>
        </is>
      </c>
      <c r="B9" s="6" t="n">
        <v>-159.6</v>
      </c>
      <c r="C9" s="6" t="n">
        <v>-9.6</v>
      </c>
      <c r="D9" s="6" t="n"/>
      <c r="E9" s="6" t="n"/>
      <c r="F9" s="6" t="n"/>
      <c r="G9" s="6" t="n"/>
      <c r="H9" s="6" t="n"/>
    </row>
    <row r="10">
      <c r="A10" s="6" t="inlineStr">
        <is>
          <t>Loss on disposal of investments at FVOCI</t>
        </is>
      </c>
      <c r="B10" s="6" t="n"/>
      <c r="C10" s="6" t="n"/>
      <c r="D10" s="6" t="n">
        <v>277.5</v>
      </c>
      <c r="E10" s="6" t="n">
        <v>13.1</v>
      </c>
      <c r="F10" s="6" t="n"/>
      <c r="G10" s="6" t="n"/>
      <c r="H10" s="6" t="n"/>
    </row>
    <row r="11">
      <c r="A11" s="6" t="inlineStr">
        <is>
          <t>Other non-cash items included in profit before tax</t>
        </is>
      </c>
      <c r="B11" s="6" t="n">
        <v>72.8</v>
      </c>
      <c r="C11" s="6" t="n">
        <v>-1098.2</v>
      </c>
      <c r="D11" s="6" t="n"/>
      <c r="E11" s="6" t="n"/>
      <c r="F11" s="6" t="n"/>
      <c r="G11" s="6" t="n"/>
      <c r="H11" s="6" t="n"/>
    </row>
    <row r="12">
      <c r="A12" s="6" t="inlineStr">
        <is>
          <t>Increase in other non-cash movements</t>
        </is>
      </c>
      <c r="B12" s="6" t="n"/>
      <c r="C12" s="6" t="n"/>
      <c r="D12" s="6" t="n">
        <v>3707.3</v>
      </c>
      <c r="E12" s="6" t="n">
        <v>-146.2</v>
      </c>
      <c r="F12" s="6" t="n"/>
      <c r="G12" s="6" t="n"/>
      <c r="H12" s="6" t="n"/>
    </row>
    <row r="13">
      <c r="A13" s="6" t="inlineStr">
        <is>
          <t>Other non-cash movements</t>
        </is>
      </c>
      <c r="B13" s="6" t="n"/>
      <c r="C13" s="6" t="n"/>
      <c r="D13" s="6" t="n"/>
      <c r="E13" s="6" t="n"/>
      <c r="F13" s="6" t="n">
        <v>-148.1</v>
      </c>
      <c r="G13" s="6" t="n">
        <v>-152.9</v>
      </c>
      <c r="H13" s="6" t="n">
        <v>95.2</v>
      </c>
    </row>
    <row r="14">
      <c r="A14" s="6" t="inlineStr">
        <is>
          <t>Change in due from banks</t>
        </is>
      </c>
      <c r="B14" s="6" t="n">
        <v>-67523.89999999999</v>
      </c>
      <c r="C14" s="6" t="n"/>
      <c r="D14" s="6" t="n"/>
      <c r="E14" s="6" t="n"/>
      <c r="F14" s="6" t="n"/>
      <c r="G14" s="6" t="n"/>
      <c r="H14" s="6" t="n"/>
    </row>
    <row r="15">
      <c r="A15" s="6" t="inlineStr">
        <is>
          <t>Change in loans and advances to banks</t>
        </is>
      </c>
      <c r="B15" s="6" t="n">
        <v>214511.8</v>
      </c>
      <c r="C15" s="6" t="n">
        <v>45211.8</v>
      </c>
      <c r="D15" s="6" t="n">
        <v>-74826.89999999999</v>
      </c>
      <c r="E15" s="6" t="n">
        <v>-181358.3</v>
      </c>
      <c r="F15" s="6" t="n">
        <v>26355.6</v>
      </c>
      <c r="G15" s="6" t="n">
        <v>-28278.6</v>
      </c>
      <c r="H15" s="6" t="n">
        <v>3117.4</v>
      </c>
    </row>
    <row r="16">
      <c r="A16" s="6" t="inlineStr">
        <is>
          <t>Change in loans and advances to customers</t>
        </is>
      </c>
      <c r="B16" s="6" t="n">
        <v>2003.6</v>
      </c>
      <c r="C16" s="6" t="n">
        <v>-2058.8</v>
      </c>
      <c r="D16" s="6" t="n"/>
      <c r="E16" s="6" t="n"/>
      <c r="F16" s="6" t="n"/>
      <c r="G16" s="6" t="n"/>
      <c r="H16" s="6" t="n"/>
    </row>
    <row r="17">
      <c r="A17" s="6" t="inlineStr">
        <is>
          <t>Change in other assets</t>
        </is>
      </c>
      <c r="B17" s="6" t="n">
        <v>-1660.1</v>
      </c>
      <c r="C17" s="6" t="n">
        <v>-1247.7</v>
      </c>
      <c r="D17" s="6" t="n">
        <v>596.2</v>
      </c>
      <c r="E17" s="6" t="n">
        <v>-893</v>
      </c>
      <c r="F17" s="6" t="n">
        <v>341.5</v>
      </c>
      <c r="G17" s="6" t="n">
        <v>-597.3</v>
      </c>
      <c r="H17" s="6" t="n">
        <v>710.2</v>
      </c>
    </row>
    <row r="18">
      <c r="A18" s="6" t="inlineStr">
        <is>
          <t>Change in deposit from banks</t>
        </is>
      </c>
      <c r="B18" s="6" t="n">
        <v>-93734.89999999999</v>
      </c>
      <c r="C18" s="6" t="n">
        <v>-36816.5</v>
      </c>
      <c r="D18" s="6" t="n">
        <v>50608.3</v>
      </c>
      <c r="E18" s="6" t="n">
        <v>209352.8</v>
      </c>
      <c r="F18" s="6" t="n">
        <v>14603.5</v>
      </c>
      <c r="G18" s="6" t="n">
        <v>46282.8</v>
      </c>
      <c r="H18" s="6" t="n">
        <v>3952.8</v>
      </c>
    </row>
    <row r="19">
      <c r="A19" s="6" t="inlineStr">
        <is>
          <t>Change in deposit from customers</t>
        </is>
      </c>
      <c r="B19" s="6" t="n">
        <v>-21549.1</v>
      </c>
      <c r="C19" s="6" t="n">
        <v>26179.8</v>
      </c>
      <c r="D19" s="6" t="n">
        <v>3881.2</v>
      </c>
      <c r="E19" s="6" t="n">
        <v>-9781.799999999999</v>
      </c>
      <c r="F19" s="6" t="n">
        <v>8832</v>
      </c>
      <c r="G19" s="6" t="n">
        <v>-5100.7</v>
      </c>
      <c r="H19" s="6" t="n">
        <v>6191.2</v>
      </c>
    </row>
    <row r="20">
      <c r="A20" s="6" t="inlineStr">
        <is>
          <t>Change/increase in other liabilities</t>
        </is>
      </c>
      <c r="B20" s="6" t="n">
        <v>1440.3</v>
      </c>
      <c r="C20" s="6" t="n">
        <v>782.2</v>
      </c>
      <c r="D20" s="6" t="n">
        <v>-1012</v>
      </c>
      <c r="E20" s="6" t="n">
        <v>2265.1</v>
      </c>
      <c r="F20" s="6" t="n">
        <v>-297.9</v>
      </c>
      <c r="G20" s="6" t="n">
        <v>-19.6</v>
      </c>
      <c r="H20" s="6" t="n">
        <v>398.2</v>
      </c>
    </row>
    <row r="21">
      <c r="A21" s="6" t="inlineStr">
        <is>
          <t>Tax paid</t>
        </is>
      </c>
      <c r="B21" s="6" t="n">
        <v>-2516.8</v>
      </c>
      <c r="C21" s="6" t="n">
        <v>-3267.1</v>
      </c>
      <c r="D21" s="6" t="n"/>
      <c r="E21" s="6" t="n"/>
      <c r="F21" s="6" t="n">
        <v>0</v>
      </c>
      <c r="G21" s="6" t="n">
        <v>0</v>
      </c>
      <c r="H21" s="6" t="n">
        <v>0</v>
      </c>
    </row>
    <row r="22">
      <c r="A22" s="5" t="inlineStr">
        <is>
          <t>Net cash flows from/(used in) operating activities</t>
        </is>
      </c>
      <c r="B22" s="5" t="n">
        <v>40782.4</v>
      </c>
      <c r="C22" s="5" t="n">
        <v>42791.2</v>
      </c>
      <c r="D22" s="5" t="n">
        <v>-6406.7</v>
      </c>
      <c r="E22" s="5" t="n">
        <v>19246.7</v>
      </c>
      <c r="F22" s="5" t="n">
        <v>47318.5</v>
      </c>
      <c r="G22" s="5" t="n">
        <v>13263.3</v>
      </c>
      <c r="H22" s="5" t="n">
        <v>13424.8</v>
      </c>
    </row>
    <row r="23">
      <c r="A23" s="5" t="inlineStr">
        <is>
          <t>Investing activities</t>
        </is>
      </c>
      <c r="B23" s="6" t="n"/>
      <c r="C23" s="6" t="n"/>
      <c r="D23" s="6" t="n"/>
      <c r="E23" s="6" t="n"/>
      <c r="F23" s="6" t="n"/>
      <c r="G23" s="6" t="n"/>
      <c r="H23" s="6" t="n"/>
    </row>
    <row r="24">
      <c r="A24" s="6" t="inlineStr">
        <is>
          <t>Purchase of property, plant and equipment</t>
        </is>
      </c>
      <c r="B24" s="6" t="n">
        <v>-427.2</v>
      </c>
      <c r="C24" s="6" t="n">
        <v>-53.9</v>
      </c>
      <c r="D24" s="6" t="n"/>
      <c r="E24" s="6" t="n"/>
      <c r="F24" s="6" t="n">
        <v>-8.6</v>
      </c>
      <c r="G24" s="6" t="n">
        <v>-115.2</v>
      </c>
      <c r="H24" s="6" t="n">
        <v>-111</v>
      </c>
    </row>
    <row r="25">
      <c r="A25" s="6" t="inlineStr">
        <is>
          <t>Purchase and sale of property, plant and equipment (net)</t>
        </is>
      </c>
      <c r="B25" s="6" t="n"/>
      <c r="C25" s="6" t="n"/>
      <c r="D25" s="6" t="n">
        <v>-19.4</v>
      </c>
      <c r="E25" s="6" t="n"/>
      <c r="F25" s="6" t="n"/>
      <c r="G25" s="6" t="n"/>
      <c r="H25" s="6" t="n"/>
    </row>
    <row r="26">
      <c r="A26" s="6" t="inlineStr">
        <is>
          <t>Purchase of intangible assets</t>
        </is>
      </c>
      <c r="B26" s="6" t="n">
        <v>-161.9</v>
      </c>
      <c r="C26" s="6" t="n">
        <v>-76.40000000000001</v>
      </c>
      <c r="D26" s="6" t="n">
        <v>-185.2</v>
      </c>
      <c r="E26" s="6" t="n">
        <v>-88.7</v>
      </c>
      <c r="F26" s="6" t="n">
        <v>-94.3</v>
      </c>
      <c r="G26" s="6" t="n">
        <v>-101.1</v>
      </c>
      <c r="H26" s="6" t="n">
        <v>-554.2</v>
      </c>
    </row>
    <row r="27">
      <c r="A27" s="6" t="inlineStr">
        <is>
          <t>Lease payments (classified within INVESTING activities in FY2020/FY2019 - see note)</t>
        </is>
      </c>
      <c r="B27" s="6" t="n"/>
      <c r="C27" s="6" t="n"/>
      <c r="D27" s="6" t="n"/>
      <c r="E27" s="6" t="n"/>
      <c r="F27" s="6" t="n">
        <v>-125.5</v>
      </c>
      <c r="G27" s="6" t="n">
        <v>-193.6</v>
      </c>
      <c r="H27" s="6" t="n"/>
    </row>
    <row r="28">
      <c r="A28" s="6" t="inlineStr">
        <is>
          <t>Payments for investment securities at FVOCI</t>
        </is>
      </c>
      <c r="B28" s="6" t="n">
        <v>-58767.8</v>
      </c>
      <c r="C28" s="6" t="n">
        <v>-7924.3</v>
      </c>
      <c r="D28" s="6" t="n">
        <v>-4034.9</v>
      </c>
      <c r="E28" s="6" t="n">
        <v>-62881</v>
      </c>
      <c r="F28" s="6" t="n"/>
      <c r="G28" s="6" t="n"/>
      <c r="H28" s="6" t="n"/>
    </row>
    <row r="29">
      <c r="A29" s="6" t="inlineStr">
        <is>
          <t>Net payment for subscription/redemption of investment securities at FVTPL</t>
        </is>
      </c>
      <c r="B29" s="6" t="n">
        <v>-4663.6</v>
      </c>
      <c r="C29" s="6" t="n">
        <v>-12558.1</v>
      </c>
      <c r="D29" s="6" t="n"/>
      <c r="E29" s="6" t="n"/>
      <c r="F29" s="6" t="n"/>
      <c r="G29" s="6" t="n"/>
      <c r="H29" s="6" t="n"/>
    </row>
    <row r="30">
      <c r="A30" s="6" t="inlineStr">
        <is>
          <t>Payments for investment securities at FVTPL</t>
        </is>
      </c>
      <c r="B30" s="6" t="n"/>
      <c r="C30" s="6" t="n"/>
      <c r="D30" s="6" t="n">
        <v>-21876.7</v>
      </c>
      <c r="E30" s="6" t="n">
        <v>-9091</v>
      </c>
      <c r="F30" s="6" t="n"/>
      <c r="G30" s="6" t="n"/>
      <c r="H30" s="6" t="n"/>
    </row>
    <row r="31">
      <c r="A31" s="6" t="inlineStr">
        <is>
          <t>Payments for investment securities at amortised cost</t>
        </is>
      </c>
      <c r="B31" s="6" t="n"/>
      <c r="C31" s="6" t="n"/>
      <c r="D31" s="6" t="n">
        <v>-10947.3</v>
      </c>
      <c r="E31" s="6" t="n">
        <v>-24094.7</v>
      </c>
      <c r="F31" s="6" t="n"/>
      <c r="G31" s="6" t="n"/>
      <c r="H31" s="6" t="n"/>
    </row>
    <row r="32">
      <c r="A32" s="6" t="inlineStr">
        <is>
          <t>Purchase of investment securities (undifferentiated by classification - FY2020/FY2019/FY2018)</t>
        </is>
      </c>
      <c r="B32" s="6" t="n"/>
      <c r="C32" s="6" t="n"/>
      <c r="D32" s="6" t="n"/>
      <c r="E32" s="6" t="n"/>
      <c r="F32" s="6" t="n">
        <v>-30375.8</v>
      </c>
      <c r="G32" s="6" t="n">
        <v>-14400.7</v>
      </c>
      <c r="H32" s="6" t="n">
        <v>-21399.3</v>
      </c>
    </row>
    <row r="33">
      <c r="A33" s="6" t="inlineStr">
        <is>
          <t>Proceeds from sale of investment securities at FVOCI</t>
        </is>
      </c>
      <c r="B33" s="6" t="n">
        <v>25291.8</v>
      </c>
      <c r="C33" s="6" t="n">
        <v>14170.8</v>
      </c>
      <c r="D33" s="6" t="n">
        <v>14106.1</v>
      </c>
      <c r="E33" s="6" t="n">
        <v>53623.5</v>
      </c>
      <c r="F33" s="6" t="n"/>
      <c r="G33" s="6" t="n"/>
      <c r="H33" s="6" t="n"/>
    </row>
    <row r="34">
      <c r="A34" s="6" t="inlineStr">
        <is>
          <t>Proceeds from sale of investment securities at amortised cost</t>
        </is>
      </c>
      <c r="B34" s="6" t="n">
        <v>14600.2</v>
      </c>
      <c r="C34" s="6" t="n">
        <v>1638.4</v>
      </c>
      <c r="D34" s="6" t="n"/>
      <c r="E34" s="6" t="n"/>
      <c r="F34" s="6" t="n"/>
      <c r="G34" s="6" t="n"/>
      <c r="H34" s="6" t="n"/>
    </row>
    <row r="35">
      <c r="A35" s="6" t="inlineStr">
        <is>
          <t>Proceeds from sale of investment securities at FVTPL</t>
        </is>
      </c>
      <c r="B35" s="6" t="n"/>
      <c r="C35" s="6" t="n"/>
      <c r="D35" s="6" t="n">
        <v>10113.3</v>
      </c>
      <c r="E35" s="6" t="n">
        <v>1454.3</v>
      </c>
      <c r="F35" s="6" t="n"/>
      <c r="G35" s="6" t="n"/>
      <c r="H35" s="6" t="n"/>
    </row>
    <row r="36">
      <c r="A36" s="6" t="inlineStr">
        <is>
          <t>Proceeds from maturity of investment securities at amortised cost</t>
        </is>
      </c>
      <c r="B36" s="6" t="n"/>
      <c r="C36" s="6" t="n"/>
      <c r="D36" s="6" t="n"/>
      <c r="E36" s="6" t="n">
        <v>29819.7</v>
      </c>
      <c r="F36" s="6" t="n"/>
      <c r="G36" s="6" t="n"/>
      <c r="H36" s="6" t="n"/>
    </row>
    <row r="37">
      <c r="A37" s="5" t="inlineStr">
        <is>
          <t>Net cash flows from/(used in) investing activities</t>
        </is>
      </c>
      <c r="B37" s="5" t="n">
        <v>-24128.5</v>
      </c>
      <c r="C37" s="5" t="n">
        <v>-4803.4</v>
      </c>
      <c r="D37" s="5" t="n">
        <v>-12844.2</v>
      </c>
      <c r="E37" s="5" t="n">
        <v>-11258</v>
      </c>
      <c r="F37" s="5" t="n">
        <v>-30604.3</v>
      </c>
      <c r="G37" s="5" t="n">
        <v>-14810.7</v>
      </c>
      <c r="H37" s="5" t="n">
        <v>-22064.5</v>
      </c>
    </row>
    <row r="38">
      <c r="A38" s="5" t="inlineStr">
        <is>
          <t>Financing activities</t>
        </is>
      </c>
      <c r="B38" s="6" t="n"/>
      <c r="C38" s="6" t="n"/>
      <c r="D38" s="6" t="n"/>
      <c r="E38" s="6" t="n"/>
      <c r="F38" s="6" t="n"/>
      <c r="G38" s="6" t="n"/>
      <c r="H38" s="6" t="n"/>
    </row>
    <row r="39">
      <c r="A39" s="6" t="inlineStr">
        <is>
          <t>Payments of lease liabilities</t>
        </is>
      </c>
      <c r="B39" s="6" t="n">
        <v>-199.5</v>
      </c>
      <c r="C39" s="6" t="n">
        <v>-188.9</v>
      </c>
      <c r="D39" s="6" t="n">
        <v>-190.1</v>
      </c>
      <c r="E39" s="6" t="n">
        <v>-205.8</v>
      </c>
      <c r="F39" s="6" t="n"/>
      <c r="G39" s="6" t="n"/>
      <c r="H39" s="6" t="n"/>
    </row>
    <row r="40">
      <c r="A40" s="6" t="inlineStr">
        <is>
          <t>Payments of interest on leases</t>
        </is>
      </c>
      <c r="B40" s="6" t="n">
        <v>-7</v>
      </c>
      <c r="C40" s="6" t="n">
        <v>-8.800000000000001</v>
      </c>
      <c r="D40" s="6" t="n"/>
      <c r="E40" s="6" t="n"/>
      <c r="F40" s="6" t="n"/>
      <c r="G40" s="6" t="n"/>
      <c r="H40" s="6" t="n"/>
    </row>
    <row r="41">
      <c r="A41" s="6" t="inlineStr">
        <is>
          <t>Dividend paid</t>
        </is>
      </c>
      <c r="B41" s="6" t="n">
        <v>-7823.5</v>
      </c>
      <c r="C41" s="6" t="n"/>
      <c r="D41" s="6" t="n"/>
      <c r="E41" s="6" t="n"/>
      <c r="F41" s="6" t="n"/>
      <c r="G41" s="6" t="n"/>
      <c r="H41" s="6" t="n"/>
    </row>
    <row r="42">
      <c r="A42" s="6" t="inlineStr">
        <is>
          <t>Proceeds from issuance of share capital</t>
        </is>
      </c>
      <c r="B42" s="6" t="n"/>
      <c r="C42" s="6" t="n">
        <v>9647.1</v>
      </c>
      <c r="D42" s="6" t="n"/>
      <c r="E42" s="6" t="n"/>
      <c r="F42" s="6" t="n"/>
      <c r="G42" s="6" t="n"/>
      <c r="H42" s="6" t="n"/>
    </row>
    <row r="43">
      <c r="A43" s="5" t="inlineStr">
        <is>
          <t>Net cash flow (used in)/from financing activities</t>
        </is>
      </c>
      <c r="B43" s="5" t="n">
        <v>-8030</v>
      </c>
      <c r="C43" s="5" t="n">
        <v>9449.299999999999</v>
      </c>
      <c r="D43" s="5" t="n">
        <v>-190.1</v>
      </c>
      <c r="E43" s="5" t="n">
        <v>-205.8</v>
      </c>
      <c r="F43" s="5" t="n">
        <v>0</v>
      </c>
      <c r="G43" s="5" t="n">
        <v>0</v>
      </c>
      <c r="H43" s="5" t="n">
        <v>0</v>
      </c>
    </row>
    <row r="44">
      <c r="A44" s="5" t="inlineStr">
        <is>
          <t>Net increase/(decrease) in cash and cash equivalents</t>
        </is>
      </c>
      <c r="B44" s="5" t="n">
        <v>8623.799999999999</v>
      </c>
      <c r="C44" s="5" t="n">
        <v>47437.1</v>
      </c>
      <c r="D44" s="5" t="n">
        <v>-19441</v>
      </c>
      <c r="E44" s="5" t="n">
        <v>7782.9</v>
      </c>
      <c r="F44" s="5" t="n">
        <v>16714.2</v>
      </c>
      <c r="G44" s="5" t="n">
        <v>-1547.4</v>
      </c>
      <c r="H44" s="5" t="n">
        <v>-8639.700000000001</v>
      </c>
    </row>
    <row r="45">
      <c r="A45" s="6" t="inlineStr">
        <is>
          <t>Net foreign exchange difference</t>
        </is>
      </c>
      <c r="B45" s="6" t="n">
        <v>43</v>
      </c>
      <c r="C45" s="6" t="n">
        <v>714.7</v>
      </c>
      <c r="D45" s="6" t="n"/>
      <c r="E45" s="6" t="n"/>
      <c r="F45" s="6" t="n"/>
      <c r="G45" s="6" t="n"/>
      <c r="H45" s="6" t="n"/>
    </row>
    <row r="46">
      <c r="A46" s="6" t="inlineStr">
        <is>
          <t>Effect of GBP/USD translation (£ conversion artefact - see FX note)</t>
        </is>
      </c>
      <c r="B46" s="6" t="n">
        <v>1427.6</v>
      </c>
      <c r="C46" s="6" t="n">
        <v>-2400.8</v>
      </c>
      <c r="D46" s="6" t="n">
        <v>4399.5</v>
      </c>
      <c r="E46" s="6" t="n">
        <v>471.9</v>
      </c>
      <c r="F46" s="6" t="n">
        <v>-1604.8</v>
      </c>
      <c r="G46" s="6" t="n">
        <v>-605.7</v>
      </c>
      <c r="H46" s="6" t="n">
        <v>1195.4</v>
      </c>
    </row>
    <row r="47">
      <c r="A47" s="6" t="inlineStr">
        <is>
          <t>Cash and cash equivalents at beginning of period</t>
        </is>
      </c>
      <c r="B47" s="6" t="n">
        <v>71669.8</v>
      </c>
      <c r="C47" s="6" t="n">
        <v>25918.8</v>
      </c>
      <c r="D47" s="6" t="n">
        <v>40991.8</v>
      </c>
      <c r="E47" s="6" t="n">
        <v>32737</v>
      </c>
      <c r="F47" s="6" t="n">
        <v>17627.6</v>
      </c>
      <c r="G47" s="6" t="n">
        <v>19780.7</v>
      </c>
      <c r="H47" s="6" t="n">
        <v>27225</v>
      </c>
    </row>
    <row r="48">
      <c r="A48" s="5" t="inlineStr">
        <is>
          <t>Cash and cash equivalents at end of period</t>
        </is>
      </c>
      <c r="B48" s="5" t="n">
        <v>81764.3</v>
      </c>
      <c r="C48" s="5" t="n">
        <v>71669.8</v>
      </c>
      <c r="D48" s="5" t="n">
        <v>25950.2</v>
      </c>
      <c r="E48" s="5" t="n">
        <v>40991.8</v>
      </c>
      <c r="F48" s="5" t="n">
        <v>32737</v>
      </c>
      <c r="G48" s="5" t="n">
        <v>17627.6</v>
      </c>
      <c r="H48" s="5" t="n">
        <v>19780.7</v>
      </c>
    </row>
    <row r="50" ht="409" customHeight="1">
      <c r="A50" s="8" t="inlineStr">
        <is>
          <t>Sources - all figures are United Bank for Africa (UK) Limited's own Statement of Cash Flows (converted from USD to £, see FX conversion note below):
FY2024 &amp; FY2023: Annual Report and Accounts 2024, p.50 (Statements of Cash Flows) - https://www.ubauk.com/wp-content/uploads/sites/29/2025/07/UBA-UK-2024-AR-1.pdf
FY2022 &amp; FY2021: Annual Report and Accounts 2022, p.39 (Statement of Cash Flows) - https://www.ubauk.com/wp-content/uploads/sites/29/2023/09/UBA-UK-FIN-A-Ann-Rpt-and-Accts-31-Dec-2022.pdf
FY2020 &amp; FY2019: Annual Report and Accounts 2020, p.44 (Statement of Cash Flows) - https://www.ubauk.com/wp-content/uploads/sites/29/2018/10/UBA-UK-FIN-Ann-Rpt-and-Accts-31-Dec-2020-009-1.pdf
FY2018: Annual Report and Accounts 2018, p.28 (Statement of Cash Flow) - https://www.ubauk.com/wp-content/uploads/sites/29/2019/07/UBA-UK-Ltd-Report-and-Accounts-31-Dec-2018.pdf
Note: presentation differs between report vintages - FY2024/FY2023 separately disclose 'Change in due from banks', a combined FVTPL subscription/redemption line, and split FVOCI/amortised-cost gain-on-derecognition lines; FY2022/FY2021 instead show a single combined 'Loss on disposal of investments at FVOCI' line and separate FVTPL/amortised-cost purchase and proceeds lines; FY2020/FY2019/FY2018 are simpler still, showing a single undifferentiated 'Purchase of investment securities' line with no classification split at all (shown on its own row, blank in every other year) and no proceeds/disposal line in any of the 3 years (the Bank made no disposals in FY2018-FY2020, per its own statements). FY2019/FY2020 show a single combined 'Lease payments' line (principal + interest together, reflecting the Bank's first two years under IFRS 16, adopted 1 January 2019) - and, genuinely differing from every other year on this sheet, the Bank's own FY2020 Annual Report places this line within INVESTING activities rather than financing activities (shown on its own row under Investing activities, blank in every other year, rather than forced onto the later years' 'Payments of lease liabilities' financing-activities row); FY2018 (pre-IFRS 16) has no lease line at all. FY2018's own statement labels the deposit-taking liability 'Loans from banks' (FY2019 onward: 'Deposits from banks') and 'Changes in loans from banks' - the same underlying funding line, shown on the same 'Change in deposit from banks' row for continuity. BASIS NOTE: FY2024-FY2021's own cash flow statements start their operating activities reconciliation from 'Profit/(loss) BEFORE tax' (with no separate tax line needed further down, since none is disclosed as a reconciling operating item in those years); FY2020/FY2019/FY2018's own cash flow statements instead start from 'Profit/(Loss) for the year' - i.e. the POST-tax figure - with no separate tax add-back line at all (taxation paid is shown as its own 'Taxation paid' row, but the reconciliation's starting point is genuinely post-tax in these 3 years). Both are shown exactly as reported, on two separate rows, since using the wrong one for either group would break that year's own operating-activities subtotal. Each year's own as-reported line items and labels are preserved rather than forced into a common shape; blank cells indicate that year's report did not disclose that specific split.
ENTITY NOTE: United Bank for Africa (UK) Limited (Companies House 03104974, FRN 695048) is a UK subsidiary of United Bank for Africa Plc (Nigeria). Unlike several other foreign-subsidiary banks in this workbook series (ICICI Bank UK, Philippine National Bank Europe, Citibank UK, State Bank of India UK),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No FY2025 Annual Report or Pillar 3 disclosure has been published yet (as of this workbook's build date), so this workbook covers FY2018-FY2024 (7 years) rather than FY2025.
RE-CHECKED 19 SEPTEMBER 2026 (GA-020) - STILL NO FY2025 DOCUMENT OF EITHER KIND. (1) Companies House filing history for 03104974, read UNFILTERED on page 1: newest rows TM01 (6 Aug 2026) and AP01s (29 Jun 2026); the newest AA is still 'Full accounts made up to 31 December 2024', filed 24 Apr 2025 (FY2023 was filed 9 May 2024, so FY2025 is later than this bank's own cadence). The profile reads 'Next accounts made up to 31 December 2025 due by 31 DECEMBER 2026', i.e. the filing period has been extended beyond the usual nine months, and flags the confirmation statement as overdue. (2) https://www.ubauk.com/financial-reports/ (fetched as static HTML) still links the FY2024 Annual Report and FY2024 Pillar 3 as the newest reports, while carrying other uploads dated as late as 2026/08, so the page is maintained. Direct probes of UBA-UK-2025-AR.pdf and UBA-UK-2025-AR-1.pdf under /wp-content/uploads/sites/29/2026/04/ to /2026/09/ all return a genuine 404, against a 200/application/pdf/%PDF control on the FY2024 AR URL. The WordPress media API is closed on this host (returns an error object), so it could not be used. (3) Wayback CDX for ubauk.com from 2026 onward: 6 PDF captures, none an FY2025 report.</t>
        </is>
      </c>
    </row>
    <row r="52" ht="409" customHeight="1">
      <c r="A52" s="8" t="inlineStr">
        <is>
          <t>(continued)
FX CONVERSION NOTE: United Bank for Africa (UK) Limited reports in US Dollars (its functional currency, per its own foreign currency risk note - 'Revenues, assets and liabilities are primarily in the functional currency US dollar'). This workbook converts every $ amount to £ for consistency with the rest of this series, following the same methodology established for SMBC Bank International plc and Zenith Bank (UK) Limited: point-in-time/balance figures (capital, RWA, leverage exposure, HQLA, cash balances) use the Bank of England GBP/USD SPOT rate as at that fiscal year-end (31 December); flow figures (every cash flow statement line item) use the AVERAGE of Bank of England rates over that calendar year - both via poundsterlinglive.com's published Bank of England archive (FY2020-FY2024), and identical to the rates used for Zenith Bank UK since both banks share the same 31 December fiscal year-end. FY2017-FY2019 rates (added for the HD-058 FY2018 extension) are the same figures already used for Zenith Bank UK's own FY2017-FY2019, sourced from the Bank of England's own Interactive Statistical Database (series XUDLGBD). Rates used (£1 = $X): 29 Dec 2017 spot 1.3510 (FY2018 opening cash only); FY2018 spot 1.2770 / average 1.3335; FY2019 spot 1.3210 / average 1.2757; FY2020 spot 1.3661 / average 1.2825; FY2021 spot 1.3521 / average 1.3752; FY2022 spot 1.2097 / average 1.2362; FY2023 spot 1.2732 / average 1.2439; FY2024 spot 1.2515 / average 1.2782. All % ratios (CET1/Tier 1/Total Capital/Leverage/LCR/NSFR ratios) are shown EXACTLY as reported in USD and were NOT converted - a ratio is dimensionless and currency-invariant. Because stocks and flows are converted at different rates, the cash flow statement includes an explicit 'Effect of GBP/USD translation' reconciling line so opening + all flows + this line = closing exactly in £ terms - this line is purely an artefact of £ translation and has no bearing on the Bank's underlying USD results. This conversion was not explicitly requested for this bank (unlike SMBC) - applied for consistency with the rest of the series, following the same call already confirmed for Zenith Bank UK; flag if £'000 rather than the Bank's native US$'000 presentation is not what's wanted here.
RECONCILIATION NOTE: the FY2022 Annual Report's Statement of Cash Flows shows the FY2022 closing balance as US$31,392k, but a supplementary 'cash and cash equivalent reconciliation' note in that same report nets this down to US$31,354k (deducting a US$38k expected credit loss allowance) - and it is this US$31,354k figure that the FY2023 Annual Report actually carries forward as its own FY2023 opening balance. Both figures are used exactly as each report presents them (FY2022's own closing balance from its primary statement; FY2023's own opening balance from its primary statement) rather than forcing them to match, so there is a small (~£31k) presentational discontinuity between the FY2022 closing and FY2023 opening £ balances shown here - not a data error, the underlying US$38k difference is fully explained by the source reconciliation note.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2">
    <mergeCell ref="A50:H50"/>
    <mergeCell ref="A52:H5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Asset Quality / Credit Risk Disclosures</t>
        </is>
      </c>
    </row>
    <row r="2">
      <c r="A2" s="2" t="inlineStr">
        <is>
          <t>£'000, converted from USD - see source note at bottom. UBA UK is a wholesale/treasury bank with an essentially nil customer loan book; figures cover all financial assets subject to IFRS 9 ECL.</t>
        </is>
      </c>
    </row>
    <row r="3">
      <c r="A3" s="4" t="inlineStr">
        <is>
          <t>Line item</t>
        </is>
      </c>
      <c r="B3" s="4" t="inlineStr">
        <is>
          <t>FY2024 (£'000, conv. from USD)</t>
        </is>
      </c>
      <c r="C3" s="4" t="inlineStr">
        <is>
          <t>FY2023 (£'000, conv. from USD)</t>
        </is>
      </c>
      <c r="D3" s="4" t="inlineStr">
        <is>
          <t>FY2022 (£'000, conv. from USD)</t>
        </is>
      </c>
      <c r="E3" s="4" t="inlineStr">
        <is>
          <t>FY2021 (£'000, conv. from USD)</t>
        </is>
      </c>
      <c r="F3" s="4" t="inlineStr">
        <is>
          <t>FY2020 (£'000, conv. from USD)</t>
        </is>
      </c>
      <c r="G3" s="4" t="inlineStr">
        <is>
          <t>FY2019 (£'000, conv. from USD)</t>
        </is>
      </c>
      <c r="H3" s="4" t="inlineStr">
        <is>
          <t>FY2018 (£'000, conv. from USD)</t>
        </is>
      </c>
    </row>
    <row r="4">
      <c r="A4" s="5" t="inlineStr">
        <is>
          <t>Credit quality (IFRS 9 ECL by stage, all financial assets subject to ECL)</t>
        </is>
      </c>
      <c r="B4" s="6" t="n"/>
      <c r="C4" s="6" t="n"/>
      <c r="D4" s="6" t="n"/>
      <c r="E4" s="6" t="n"/>
      <c r="F4" s="6" t="n"/>
      <c r="G4" s="6" t="n"/>
      <c r="H4" s="6" t="n"/>
    </row>
    <row r="5">
      <c r="A5" s="6" t="inlineStr">
        <is>
          <t>Total gross exposure subject to ECL</t>
        </is>
      </c>
      <c r="B5" s="6" t="n">
        <v>349802.6</v>
      </c>
      <c r="C5" s="6" t="n">
        <v>459520.1</v>
      </c>
      <c r="D5" s="6" t="n"/>
      <c r="E5" s="6" t="n"/>
      <c r="F5" s="6" t="n"/>
      <c r="G5" s="6" t="n"/>
      <c r="H5" s="6" t="n"/>
    </row>
    <row r="6">
      <c r="A6" s="6" t="inlineStr">
        <is>
          <t>Stage 1 ECL allowance</t>
        </is>
      </c>
      <c r="B6" s="6" t="n">
        <v>1417.5</v>
      </c>
      <c r="C6" s="6" t="n">
        <v>2203.1</v>
      </c>
      <c r="D6" s="6" t="n"/>
      <c r="E6" s="6" t="n"/>
      <c r="F6" s="6" t="n"/>
      <c r="G6" s="6" t="n"/>
      <c r="H6" s="6" t="n"/>
    </row>
    <row r="7">
      <c r="A7" s="6" t="inlineStr">
        <is>
          <t>Stage 2 ECL allowance</t>
        </is>
      </c>
      <c r="B7" s="6" t="n">
        <v>413.1</v>
      </c>
      <c r="C7" s="6" t="n">
        <v>750.9</v>
      </c>
      <c r="D7" s="6" t="n"/>
      <c r="E7" s="6" t="n"/>
      <c r="F7" s="6" t="n"/>
      <c r="G7" s="6" t="n"/>
      <c r="H7" s="6" t="n"/>
    </row>
    <row r="8">
      <c r="A8" s="6" t="inlineStr">
        <is>
          <t>Stage 3 ECL allowance</t>
        </is>
      </c>
      <c r="B8" s="6" t="n">
        <v>0</v>
      </c>
      <c r="C8" s="6" t="n">
        <v>1858.3</v>
      </c>
      <c r="D8" s="6" t="n"/>
      <c r="E8" s="6" t="n"/>
      <c r="F8" s="6" t="n"/>
      <c r="G8" s="6" t="n"/>
      <c r="H8" s="6" t="n"/>
    </row>
    <row r="9">
      <c r="A9" s="6" t="inlineStr">
        <is>
          <t>POCI ECL allowance</t>
        </is>
      </c>
      <c r="B9" s="6" t="n">
        <v>76.7</v>
      </c>
      <c r="C9" s="6" t="n">
        <v>0</v>
      </c>
      <c r="D9" s="6" t="n"/>
      <c r="E9" s="6" t="n"/>
      <c r="F9" s="6" t="n"/>
      <c r="G9" s="6" t="n"/>
      <c r="H9" s="6" t="n"/>
    </row>
    <row r="10">
      <c r="A10" s="5" t="inlineStr">
        <is>
          <t>Total ECL allowance</t>
        </is>
      </c>
      <c r="B10" s="5" t="n">
        <v>1907.3</v>
      </c>
      <c r="C10" s="5" t="n">
        <v>4812.3</v>
      </c>
      <c r="D10" s="5" t="n"/>
      <c r="E10" s="5" t="n"/>
      <c r="F10" s="5" t="n">
        <v>511.7</v>
      </c>
      <c r="G10" s="5" t="n">
        <v>350.5</v>
      </c>
      <c r="H10" s="5" t="n">
        <v>487.1</v>
      </c>
    </row>
    <row r="11">
      <c r="A11" s="6" t="inlineStr">
        <is>
          <t>ECL charge for the year (P&amp;L)</t>
        </is>
      </c>
      <c r="B11" s="6" t="n">
        <v>-25.8</v>
      </c>
      <c r="C11" s="6" t="n">
        <v>-197.8</v>
      </c>
      <c r="D11" s="6" t="n">
        <v>-3150</v>
      </c>
      <c r="E11" s="6" t="n">
        <v>-936.6</v>
      </c>
      <c r="F11" s="6" t="n">
        <v>-184</v>
      </c>
      <c r="G11" s="6" t="n">
        <v>124.6</v>
      </c>
      <c r="H11" s="6" t="n">
        <v>21</v>
      </c>
    </row>
    <row r="12">
      <c r="A12" s="6" t="inlineStr">
        <is>
          <t>Stage 3 / non-performing gross exposure</t>
        </is>
      </c>
      <c r="B12" s="6" t="n">
        <v>0</v>
      </c>
      <c r="C12" s="6" t="n">
        <v>3470</v>
      </c>
      <c r="D12" s="6" t="n">
        <v>3306.6</v>
      </c>
      <c r="E12" s="6" t="n">
        <v>0</v>
      </c>
      <c r="F12" s="6" t="n"/>
      <c r="G12" s="6" t="n"/>
      <c r="H12" s="6" t="n"/>
    </row>
    <row r="13">
      <c r="A13" s="6" t="inlineStr">
        <is>
          <t>Coverage ratio (Total ECL allowance / total gross exposure)</t>
        </is>
      </c>
      <c r="B13" s="6" t="inlineStr">
        <is>
          <t>0.55%</t>
        </is>
      </c>
      <c r="C13" s="6" t="inlineStr">
        <is>
          <t>1.05%</t>
        </is>
      </c>
      <c r="D13" s="6" t="n"/>
      <c r="E13" s="6" t="n"/>
      <c r="F13" s="6" t="n"/>
      <c r="G13" s="6" t="n"/>
      <c r="H13" s="6" t="n"/>
    </row>
    <row r="14">
      <c r="A14" s="6" t="inlineStr">
        <is>
          <t>Memo: Ghana sovereign Eurobond nominal value (FY2022 Stage 3 exposure)</t>
        </is>
      </c>
      <c r="B14" s="6" t="n"/>
      <c r="C14" s="6" t="n"/>
      <c r="D14" s="6" t="n">
        <v>4133.3</v>
      </c>
      <c r="E14" s="6" t="n"/>
      <c r="F14" s="6" t="n"/>
      <c r="G14" s="6" t="n"/>
      <c r="H14" s="6" t="n"/>
    </row>
    <row r="16" ht="409" customHeight="1">
      <c r="A16" s="8" t="inlineStr">
        <is>
          <t>Sources - United Bank for Africa (UK) Limited's own credit risk / ECL disclosures (converted from USD to £ where a $ amount; see FX conversion note on the Cash Flow Statement sheet):
FY2024 &amp; FY2023: Annual Report and Accounts 2024, p.59 (ECL scenario/stage summary table), p.85-86 (maximum exposure to credit risk by stage and credit rating) - https://www.ubauk.com/wp-content/uploads/sites/29/2025/07/UBA-UK-2024-AR-1.pdf
FY2022 &amp; FY2021: Annual Report and Accounts 2022, p.44 (ECL scenario note), p.54 (Ghana Stage 3 exposure note) - https://www.ubauk.com/wp-content/uploads/sites/29/2023/09/UBA-UK-FIN-A-Ann-Rpt-and-Accts-31-Dec-2022.pdf
FY2020 &amp; FY2019: Annual Report and Accounts 2020, p.63 (Note 27, Provisions for expected credit losses) - https://www.ubauk.com/wp-content/uploads/sites/29/2018/10/UBA-UK-FIN-Ann-Rpt-and-Accts-31-Dec-2020-009-1.pdf
FY2018: Annual Report and Accounts 2018, p.48 (IFRS 9 transition note, expected credit losses) - https://www.ubauk.com/wp-content/uploads/sites/29/2019/07/UBA-UK-Ltd-Report-and-Accounts-31-Dec-2018.pdf
GRANULARITY NOTE: UBA UK is a wholesale/treasury bank with an essentially nil customer loan book (£0-2.6m across all 7 years) - its real credit risk sits in interbank placements and investment securities, so this sheet is built from the Bank's own IFRS 9 stage-tagged ECL disclosure across ALL financial assets subject to ECL (cash, due from banks, loans and advances to banks/customers, debt instruments, investment securities at FVOCI, financial commitments), not a conventional retail/commercial loan book split. FY2024/FY2023 disclose a full stage-by-stage gross exposure and ECL allowance table (summed across all asset classes here); FY2022/FY2021's Annual Report describes the same 3-stage ECL methodology only QUALITATIVELY, with no consolidated numeric stage-tagged table anywhere in the document (confirmed via full review of the credit risk note and all ECL-related notes) - a genuine confirmed non-disclosure at this granularity, not an access gap. FY2022's one disclosed Stage 3 item (a Ghanaian sovereign Eurobond, $5m nominal / $4m carrying amount, following a Fitch default downgrade) and FY2021's explicit 'Stage 3: Nil' are shown as the only stage-level data points available for those two years. FY2020/FY2019/FY2018 are confirmed non-disclosures at EVEN this reduced (all-asset-class, no-stage-split) granularity too - each year's own report discloses only a single aggregate ECL allowance roll-forward (opening balance, movement, closing balance) with a by-asset-class split of the CLOSING balance only, no stage tagging anywhere and no gross exposure figure at all (confirmed via full review of both the FY2020 Annual Report's Note 27 and the FY2018 Annual Report's IFRS 9 transition note - the only ECL disclosures in either document); 'Total gross exposure subject to ECL', all 4 stage/POCI allowance rows, 'Stage 3 / non-performing gross exposure', and 'Coverage ratio' are therefore blank for all 3 years, leaving only 'Total ECL allowance' and 'ECL charge for the year' populated. FY2018's $622k closing ECL allowance is not printed as a single figure in any FY2018 document - it is derived as the FY2018 Annual Report's own $650k IFRS 9 transition-date opening allowance (1 January 2018) less the $28k net credit impairment gain recognised in the FY2018 Statement of Comprehensive Income (per that same report), and independently cross-checked against the FY2020 Annual Report's Note 27, which shows an identical $622k 'Balance as at 1 January 2019' (i.e. UBA UK's own FY2019 opening balance, carried forward from its FY2018 closing position) - both routes agree exactly.
ENTITY NOTE: United Bank for Africa (UK) Limited (Companies House 03104974, FRN 695048) is a UK subsidiary of United Bank for Africa Plc (Nigeria). Unlike several other foreign-subsidiary banks in this workbook series (ICICI Bank UK, Philippine National Bank Europe, Citibank UK, State Bank of India UK),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No FY2025 Annual Report or Pillar 3 disclosure has been published yet (as of this workbook's build date), so this workbook covers FY2018-FY2024 (7 years) rather than FY2025.
RE-CHECKED 19 SEPTEMBER 2026 (GA-020) - STILL NO FY2025 DOCUMENT OF EITHER KIND. (1) Companies House filing history for 03104974, read UNFILTERED on page 1: newest rows TM01 (6 Aug 2026) and AP01s (29 Jun 2026); the newest AA is still 'Full accounts made up to 31 December 2024', filed 24 Apr 2025 (FY2023 was filed 9 May 2024, so FY2025 is later than this bank's own cadence). The profile reads 'Next accounts made up to 31 December 2025 due by 31 DECEMBER 2026', i.e. the filing period has been extended beyond the usual nine months, and flags the confirmation statement as overdue. (2) https://www.ubauk.com/financial-reports/ (fetched as static HTML) still links the FY2024 Annual Report and FY2024 Pillar 3 as the newest reports, while carrying other uploads dated as late as 2026/08, so the page is maintained. Direct probes of UBA-UK-2025-AR.pdf and UBA-UK-2025-AR-1.pdf under /wp-content/uploads/sites/29/2026/04/ to /2026/09/ all return a genuine 404, against a 200/application/pdf/%PDF control on the FY2024 AR URL. The WordPress media API is closed on this host (returns an error object), so it could not be used. (3) Wayback CDX for ubauk.com from 2026 onward: 6 PDF captures, none an FY2025 report.</t>
        </is>
      </c>
    </row>
    <row r="18" ht="409" customHeight="1">
      <c r="A18" s="8" t="inlineStr">
        <is>
          <t>(continued)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2">
    <mergeCell ref="A18:H18"/>
    <mergeCell ref="A16:H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Profitability</t>
        </is>
      </c>
    </row>
    <row r="2">
      <c r="A2" s="2" t="inlineStr">
        <is>
          <t>Return on equity and return on assets in per cent, computed from this workbook's own Balance Sheet and Profit &amp; Loss sheets.</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c r="G4" s="6" t="inlineStr">
        <is>
          <t>Not computed</t>
        </is>
      </c>
      <c r="H4" s="6" t="inlineStr">
        <is>
          <t>Not computed</t>
        </is>
      </c>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c r="G5" s="6" t="inlineStr">
        <is>
          <t>Not computed</t>
        </is>
      </c>
      <c r="H5" s="6" t="inlineStr">
        <is>
          <t>Not computed</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c r="G6" s="6" t="inlineStr">
        <is>
          <t>Not computed</t>
        </is>
      </c>
      <c r="H6" s="6" t="inlineStr">
        <is>
          <t>Not computed</t>
        </is>
      </c>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c r="G7" s="6" t="inlineStr">
        <is>
          <t>Not computed</t>
        </is>
      </c>
      <c r="H7" s="6" t="inlineStr">
        <is>
          <t>Not computed</t>
        </is>
      </c>
    </row>
    <row r="8">
      <c r="A8" s="6" t="inlineStr">
        <is>
          <t>Pre-tax return on equity (as published)</t>
        </is>
      </c>
      <c r="B8" s="6" t="inlineStr">
        <is>
          <t>16%</t>
        </is>
      </c>
      <c r="C8" s="6" t="inlineStr">
        <is>
          <t>Not published</t>
        </is>
      </c>
      <c r="D8" s="6" t="n"/>
      <c r="E8" s="6" t="n"/>
      <c r="F8" s="6" t="n"/>
      <c r="G8" s="6" t="n"/>
      <c r="H8" s="6" t="n"/>
    </row>
    <row r="9">
      <c r="A9" s="6" t="inlineStr">
        <is>
          <t>Return on total assets (as published)</t>
        </is>
      </c>
      <c r="B9" s="6" t="inlineStr">
        <is>
          <t>2.75%</t>
        </is>
      </c>
      <c r="C9" s="6" t="inlineStr">
        <is>
          <t>Not published</t>
        </is>
      </c>
      <c r="D9" s="6" t="n"/>
      <c r="E9" s="6" t="n"/>
      <c r="F9" s="6" t="n"/>
      <c r="G9" s="6" t="n"/>
      <c r="H9" s="6" t="n"/>
    </row>
    <row r="10" ht="325"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Pre-tax return on equity: the document states no definition, and none is supplied here. Return on total assets: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FY2018 HAS NO AVERAGE-BASIS RATIO, AND THAT IS CORRECT. An average denominator needs an opening balance, and FY2018 is the oldest column this workbook carries, so there is no prior year to open from. The blank is structural, not a missing figure. The year-end basis is shown for FY2018 because it needs only the closing balance.
WHY SOME CELLS SAY 'NOT COMPUTED'. Every year above is marked 'Not computed' rather than given a number, and the reason is a unit problem, not a missing figure. This workbook's statement sheets print (£'000, conv. from USD):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
FIGURES THE BANK PUBLISHED ONLY AS A LATER EDITION'S COMPARATIVE, AND WHY THEY ARE NOT IN THE CELLS ABOVE. FY2023 Pre-tax return on equity 24%; FY2023 Return on total assets 2.93%.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United Bank for Africa (UK) Limited's Annual Report and Accounts for each year; see the source cells on the Balance Sheet and Profit &amp; Loss sheets for the exact document, page and table behind every input to every percentage above.
The '(as published)' rows are quoted verbatim from United Bank for Africa (UK) Limited's own disclosures and are recorded, with the exact document, page and verification state for each, in research/profitability/published_returns.jsonl under ‘UBA UK’.</t>
        </is>
      </c>
    </row>
  </sheetData>
  <mergeCells count="2">
    <mergeCell ref="A12:H12"/>
    <mergeCell ref="A10:H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s>
  <sheetData>
    <row r="1">
      <c r="A1" s="1" t="inlineStr">
        <is>
          <t>United Bank for Africa (UK) Limited — KM1 Key Metrics</t>
        </is>
      </c>
    </row>
    <row r="2">
      <c r="A2" s="2" t="inlineStr">
        <is>
          <t>The Bank's own 'Key metrics' UK KM1 template, reproduced whole in its own row order, row numbers, labels and precision. IN US DOLLARS AS PUBLISHED, in single dollars - unlike every other Pillar 3 sheet in this workbook, which is converted to sterling. FY2024, FY2023 and FY2022 come from their own editions; FY2021 from the FY2022 edition's comparative, the only printing of that year. FY2020 and earlier carry no column - the Key Metrics section does not exist before the FY2022 edition.</t>
        </is>
      </c>
    </row>
    <row r="3">
      <c r="A3" s="4" t="inlineStr">
        <is>
          <t>Line item</t>
        </is>
      </c>
      <c r="B3" s="4" t="inlineStr">
        <is>
          <t>FY2024</t>
        </is>
      </c>
      <c r="C3" s="4" t="inlineStr">
        <is>
          <t>FY2023</t>
        </is>
      </c>
      <c r="D3" s="4" t="inlineStr">
        <is>
          <t>FY2022</t>
        </is>
      </c>
      <c r="E3" s="4" t="inlineStr">
        <is>
          <t>FY2021</t>
        </is>
      </c>
    </row>
    <row r="4">
      <c r="A4" s="5" t="inlineStr">
        <is>
          <t>Available own funds (amounts)</t>
        </is>
      </c>
      <c r="B4" s="6" t="n"/>
      <c r="C4" s="6" t="n"/>
      <c r="D4" s="6" t="n"/>
      <c r="E4" s="6" t="n"/>
    </row>
    <row r="5">
      <c r="A5" s="6" t="inlineStr">
        <is>
          <t>1  Common Equity Tier 1 (CET1) capital ($, single dollars as printed)</t>
        </is>
      </c>
      <c r="B5" s="6" t="n">
        <v>78168563</v>
      </c>
      <c r="C5" s="6" t="n">
        <v>60900368</v>
      </c>
      <c r="D5" s="6" t="n">
        <v>36513246</v>
      </c>
      <c r="E5" s="6" t="n">
        <v>38317917</v>
      </c>
    </row>
    <row r="6">
      <c r="A6" s="6" t="inlineStr">
        <is>
          <t>2  Tier 1 capital ($, single dollars as printed)</t>
        </is>
      </c>
      <c r="B6" s="6" t="n">
        <v>78168563</v>
      </c>
      <c r="C6" s="6" t="n">
        <v>60900368</v>
      </c>
      <c r="D6" s="6" t="n">
        <v>36513246</v>
      </c>
      <c r="E6" s="6" t="n">
        <v>38317917</v>
      </c>
    </row>
    <row r="7">
      <c r="A7" s="6" t="inlineStr">
        <is>
          <t>3  Total capital ($, single dollars as printed)</t>
        </is>
      </c>
      <c r="B7" s="6" t="n">
        <v>78168563</v>
      </c>
      <c r="C7" s="6" t="n">
        <v>60900368</v>
      </c>
      <c r="D7" s="6" t="n">
        <v>36513246</v>
      </c>
      <c r="E7" s="6" t="n">
        <v>38317917</v>
      </c>
    </row>
    <row r="8">
      <c r="A8" s="5" t="inlineStr">
        <is>
          <t>Risk-weighted exposure amounts</t>
        </is>
      </c>
      <c r="B8" s="6" t="n"/>
      <c r="C8" s="6" t="n"/>
      <c r="D8" s="6" t="n"/>
      <c r="E8" s="6" t="n"/>
    </row>
    <row r="9">
      <c r="A9" s="6" t="inlineStr">
        <is>
          <t>4  Total risk-weighted exposure amount ($, single dollars as printed)</t>
        </is>
      </c>
      <c r="B9" s="6" t="n">
        <v>159390258</v>
      </c>
      <c r="C9" s="6" t="n">
        <v>127932133</v>
      </c>
      <c r="D9" s="6" t="n">
        <v>137833765</v>
      </c>
      <c r="E9" s="6" t="n">
        <v>93272286</v>
      </c>
    </row>
    <row r="10">
      <c r="A10" s="5" t="inlineStr">
        <is>
          <t>Capital ratios (as a percentage of risk-weighted exposure amount)</t>
        </is>
      </c>
      <c r="B10" s="6" t="n"/>
      <c r="C10" s="6" t="n"/>
      <c r="D10" s="6" t="n"/>
      <c r="E10" s="6" t="n"/>
    </row>
    <row r="11">
      <c r="A11" s="6" t="inlineStr">
        <is>
          <t>5  Common Equity Tier 1 ratio (%)</t>
        </is>
      </c>
      <c r="B11" s="6" t="inlineStr">
        <is>
          <t>49.04</t>
        </is>
      </c>
      <c r="C11" s="6" t="inlineStr">
        <is>
          <t>47.60</t>
        </is>
      </c>
      <c r="D11" s="6" t="inlineStr">
        <is>
          <t>23.27</t>
        </is>
      </c>
      <c r="E11" s="6" t="inlineStr">
        <is>
          <t>33.56</t>
        </is>
      </c>
    </row>
    <row r="12">
      <c r="A12" s="6" t="inlineStr">
        <is>
          <t>6  Tier 1 ratio (%)</t>
        </is>
      </c>
      <c r="B12" s="6" t="inlineStr">
        <is>
          <t>49.04</t>
        </is>
      </c>
      <c r="C12" s="6" t="inlineStr">
        <is>
          <t>47.60</t>
        </is>
      </c>
      <c r="D12" s="6" t="inlineStr">
        <is>
          <t>23.27</t>
        </is>
      </c>
      <c r="E12" s="6" t="inlineStr">
        <is>
          <t>33.56</t>
        </is>
      </c>
    </row>
    <row r="13">
      <c r="A13" s="6" t="inlineStr">
        <is>
          <t>7  Total capital ratio (%)</t>
        </is>
      </c>
      <c r="B13" s="6" t="inlineStr">
        <is>
          <t>49.04</t>
        </is>
      </c>
      <c r="C13" s="6" t="inlineStr">
        <is>
          <t>47.60</t>
        </is>
      </c>
      <c r="D13" s="6" t="inlineStr">
        <is>
          <t>23.27</t>
        </is>
      </c>
      <c r="E13" s="6" t="inlineStr">
        <is>
          <t>33.56</t>
        </is>
      </c>
    </row>
    <row r="14">
      <c r="A14" s="5" t="inlineStr">
        <is>
          <t>Additional own funds requirements based on SREP (as a percentage of risk-weighted exposure amount)</t>
        </is>
      </c>
      <c r="B14" s="6" t="n"/>
      <c r="C14" s="6" t="n"/>
      <c r="D14" s="6" t="n"/>
      <c r="E14" s="6" t="n"/>
    </row>
    <row r="15">
      <c r="A15" s="6" t="inlineStr">
        <is>
          <t>UK 7a  Additional CET1 SREP requirements (%)</t>
        </is>
      </c>
      <c r="B15" s="6" t="inlineStr">
        <is>
          <t>8.06</t>
        </is>
      </c>
      <c r="C15" s="6" t="inlineStr">
        <is>
          <t>8.06</t>
        </is>
      </c>
      <c r="D15" s="6" t="inlineStr">
        <is>
          <t>5.12</t>
        </is>
      </c>
      <c r="E15" s="6" t="inlineStr">
        <is>
          <t>5.12</t>
        </is>
      </c>
    </row>
    <row r="16">
      <c r="A16" s="6" t="inlineStr">
        <is>
          <t>UK 7d  Total SREP own funds requirements (%)</t>
        </is>
      </c>
      <c r="B16" s="6" t="inlineStr">
        <is>
          <t>16.06</t>
        </is>
      </c>
      <c r="C16" s="6" t="inlineStr">
        <is>
          <t>16.06</t>
        </is>
      </c>
      <c r="D16" s="6" t="inlineStr">
        <is>
          <t>13.12</t>
        </is>
      </c>
      <c r="E16" s="6" t="inlineStr">
        <is>
          <t>13.12</t>
        </is>
      </c>
    </row>
    <row r="17">
      <c r="A17" s="5" t="inlineStr">
        <is>
          <t>Combined buffer requirement (as a percentage of risk-weighted exposure amount)</t>
        </is>
      </c>
      <c r="B17" s="6" t="n"/>
      <c r="C17" s="6" t="n"/>
      <c r="D17" s="6" t="n"/>
      <c r="E17" s="6" t="n"/>
    </row>
    <row r="18">
      <c r="A18" s="6" t="inlineStr">
        <is>
          <t>8  Capital conservation buffer (%)</t>
        </is>
      </c>
      <c r="B18" s="6" t="inlineStr">
        <is>
          <t>2.50</t>
        </is>
      </c>
      <c r="C18" s="6" t="inlineStr">
        <is>
          <t>2.50</t>
        </is>
      </c>
      <c r="D18" s="6" t="inlineStr">
        <is>
          <t>2.50</t>
        </is>
      </c>
      <c r="E18" s="6" t="inlineStr">
        <is>
          <t>2.50</t>
        </is>
      </c>
    </row>
    <row r="19">
      <c r="A19" s="6" t="inlineStr">
        <is>
          <t>9  Institution specific countercyclical capital buffer (%)</t>
        </is>
      </c>
      <c r="B19" s="6" t="inlineStr">
        <is>
          <t>0.50</t>
        </is>
      </c>
      <c r="C19" s="6" t="inlineStr">
        <is>
          <t>0.20</t>
        </is>
      </c>
      <c r="D19" s="6" t="inlineStr">
        <is>
          <t>0.04</t>
        </is>
      </c>
      <c r="E19" s="6" t="inlineStr">
        <is>
          <t>0.00</t>
        </is>
      </c>
    </row>
    <row r="20">
      <c r="A20" s="6" t="inlineStr">
        <is>
          <t>11  Combined buffer requirement (%)</t>
        </is>
      </c>
      <c r="B20" s="6" t="inlineStr">
        <is>
          <t>3.00</t>
        </is>
      </c>
      <c r="C20" s="6" t="inlineStr">
        <is>
          <t>2.70</t>
        </is>
      </c>
      <c r="D20" s="6" t="inlineStr">
        <is>
          <t>2.54</t>
        </is>
      </c>
      <c r="E20" s="6" t="inlineStr">
        <is>
          <t>2.50</t>
        </is>
      </c>
    </row>
    <row r="21">
      <c r="A21" s="6" t="inlineStr">
        <is>
          <t>UK 11a  Overall capital requirements (%)</t>
        </is>
      </c>
      <c r="B21" s="6" t="inlineStr">
        <is>
          <t>20.39</t>
        </is>
      </c>
      <c r="C21" s="6" t="inlineStr">
        <is>
          <t>21.17</t>
        </is>
      </c>
      <c r="D21" s="6" t="inlineStr">
        <is>
          <t>16.26</t>
        </is>
      </c>
      <c r="E21" s="6" t="inlineStr">
        <is>
          <t>16.22</t>
        </is>
      </c>
    </row>
    <row r="22">
      <c r="A22" s="6" t="inlineStr">
        <is>
          <t>12  CET1 available after meeting the total SREP own funds requirements (%)</t>
        </is>
      </c>
      <c r="B22" s="6" t="inlineStr">
        <is>
          <t>32.98</t>
        </is>
      </c>
      <c r="C22" s="6" t="inlineStr">
        <is>
          <t>31.54</t>
        </is>
      </c>
      <c r="D22" s="6" t="inlineStr">
        <is>
          <t>10.15</t>
        </is>
      </c>
      <c r="E22" s="6" t="inlineStr">
        <is>
          <t>20.44</t>
        </is>
      </c>
    </row>
    <row r="23">
      <c r="A23" s="5" t="inlineStr">
        <is>
          <t>Leverage ratio</t>
        </is>
      </c>
      <c r="B23" s="6" t="n"/>
      <c r="C23" s="6" t="n"/>
      <c r="D23" s="6" t="n"/>
      <c r="E23" s="6" t="n"/>
    </row>
    <row r="24">
      <c r="A24" s="6" t="inlineStr">
        <is>
          <t>13  Total exposure measure excluding claims on central banks ($, single dollars as printed)</t>
        </is>
      </c>
      <c r="B24" s="6" t="n">
        <v>483630135</v>
      </c>
      <c r="C24" s="6" t="n">
        <v>626525876</v>
      </c>
      <c r="D24" s="6" t="n">
        <v>613889918</v>
      </c>
      <c r="E24" s="6" t="n">
        <v>573663805</v>
      </c>
    </row>
    <row r="25">
      <c r="A25" s="6" t="inlineStr">
        <is>
          <t>14  Leverage ratio excluding claims on central banks (%)</t>
        </is>
      </c>
      <c r="B25" s="6" t="inlineStr">
        <is>
          <t>16.16</t>
        </is>
      </c>
      <c r="C25" s="6" t="inlineStr">
        <is>
          <t>9.72</t>
        </is>
      </c>
      <c r="D25" s="6" t="inlineStr">
        <is>
          <t>6</t>
        </is>
      </c>
      <c r="E25" s="6" t="inlineStr">
        <is>
          <t>7</t>
        </is>
      </c>
    </row>
    <row r="26">
      <c r="A26" s="5" t="inlineStr">
        <is>
          <t>Liquidity Coverage Ratio</t>
        </is>
      </c>
      <c r="B26" s="6" t="n"/>
      <c r="C26" s="6" t="n"/>
      <c r="D26" s="6" t="n"/>
      <c r="E26" s="6" t="n"/>
    </row>
    <row r="27">
      <c r="A27" s="6" t="inlineStr">
        <is>
          <t>15  Total high-quality liquid assets (HQLA) (Weighted value -average) ($, single dollars as printed)</t>
        </is>
      </c>
      <c r="B27" s="6" t="n">
        <v>110851365</v>
      </c>
      <c r="C27" s="6" t="n">
        <v>100502936</v>
      </c>
      <c r="D27" s="6" t="n">
        <v>91179217</v>
      </c>
      <c r="E27" s="6" t="n">
        <v>92773320</v>
      </c>
    </row>
    <row r="28">
      <c r="A28" s="6" t="inlineStr">
        <is>
          <t>UK 16a  Cash outflows - Total weighted value ($, single dollars as printed)</t>
        </is>
      </c>
      <c r="B28" s="6" t="n">
        <v>125691341</v>
      </c>
      <c r="C28" s="6" t="n">
        <v>175678323</v>
      </c>
      <c r="D28" s="6" t="n">
        <v>162714060</v>
      </c>
      <c r="E28" s="6" t="n">
        <v>102670481</v>
      </c>
    </row>
    <row r="29">
      <c r="A29" s="6" t="inlineStr">
        <is>
          <t>UK 16b  Cash inflows - Total weighted value ($, single dollars as printed)</t>
        </is>
      </c>
      <c r="B29" s="6" t="n">
        <v>94268506</v>
      </c>
      <c r="C29" s="6" t="n">
        <v>131758742</v>
      </c>
      <c r="D29" s="6" t="n">
        <v>122035545</v>
      </c>
      <c r="E29" s="6" t="n">
        <v>77002861</v>
      </c>
    </row>
    <row r="30">
      <c r="A30" s="6" t="inlineStr">
        <is>
          <t>16  Total net cash outflows (adjusted value) ($, single dollars as printed)</t>
        </is>
      </c>
      <c r="B30" s="6" t="n">
        <v>31422835</v>
      </c>
      <c r="C30" s="6" t="n">
        <v>43919581</v>
      </c>
      <c r="D30" s="6" t="n">
        <v>40678515</v>
      </c>
      <c r="E30" s="6" t="n">
        <v>25667620</v>
      </c>
    </row>
    <row r="31">
      <c r="A31" s="6" t="inlineStr">
        <is>
          <t>17  Liquidity coverage ratio (%)</t>
        </is>
      </c>
      <c r="B31" s="6" t="inlineStr">
        <is>
          <t>352.77</t>
        </is>
      </c>
      <c r="C31" s="6" t="inlineStr">
        <is>
          <t>228.83</t>
        </is>
      </c>
      <c r="D31" s="6" t="inlineStr">
        <is>
          <t>224.15</t>
        </is>
      </c>
      <c r="E31" s="6" t="inlineStr">
        <is>
          <t>361.44</t>
        </is>
      </c>
    </row>
    <row r="32">
      <c r="A32" s="5" t="inlineStr">
        <is>
          <t>Net Stable Funding Ratio</t>
        </is>
      </c>
      <c r="B32" s="6" t="n"/>
      <c r="C32" s="6" t="n"/>
      <c r="D32" s="6" t="n"/>
      <c r="E32" s="6" t="n"/>
    </row>
    <row r="33">
      <c r="A33" s="6" t="inlineStr">
        <is>
          <t>18  Total available stable funding ($, single dollars as printed)</t>
        </is>
      </c>
      <c r="B33" s="6" t="n">
        <v>122954356</v>
      </c>
      <c r="C33" s="6" t="n">
        <v>138256344</v>
      </c>
      <c r="D33" s="6" t="n">
        <v>167040341</v>
      </c>
      <c r="E33" s="6" t="n">
        <v>152043116</v>
      </c>
    </row>
    <row r="34">
      <c r="A34" s="6" t="inlineStr">
        <is>
          <t>19  Total required stable funding ($, single dollars as printed)</t>
        </is>
      </c>
      <c r="B34" s="6" t="n">
        <v>67305335</v>
      </c>
      <c r="C34" s="6" t="n">
        <v>90321851</v>
      </c>
      <c r="D34" s="6" t="n">
        <v>92117147</v>
      </c>
      <c r="E34" s="6" t="n">
        <v>102891413</v>
      </c>
    </row>
    <row r="35">
      <c r="A35" s="6" t="inlineStr">
        <is>
          <t>20  NSFR ratio (%)</t>
        </is>
      </c>
      <c r="B35" s="6" t="inlineStr">
        <is>
          <t>182.68</t>
        </is>
      </c>
      <c r="C35" s="6" t="inlineStr">
        <is>
          <t>153.07</t>
        </is>
      </c>
      <c r="D35" s="6" t="inlineStr">
        <is>
          <t>181.33</t>
        </is>
      </c>
      <c r="E35" s="6" t="inlineStr">
        <is>
          <t>147.77</t>
        </is>
      </c>
    </row>
    <row r="37" ht="338" customHeight="1">
      <c r="A37" s="8" t="inlineStr">
        <is>
          <t>Sources - United Bank for Africa (UK) Limited, entity-level basis, the Bank's own 'Key metrics' UK KM1 template. Each column comes from the edition in which that date is the reporting date, except FY2021 - see below.
FY2024: Pillar 3 Disclosures - 31 Dec 2024, p.10 (section 4 Key Metrics), '2024' column - https://www.ubauk.com/wp-content/uploads/sites/29/2026/05/UBA-UK-Pillar-3-Disclosures-31-Dec-2024.pdf
FY2023: Pillar 3 Disclosures - 31 Dec 2023, p.9 (section 04 Key Metrics), '2023' column - https://www.ubauk.com/wp-content/uploads/sites/29/2024/08/Pillar-3-Disclosures-–-31-Dec-2023.pdf
FY2022: Pillar 3 Disclosures - 31 Dec 2022, p.9 (section 4 Key Metrics), '2022' column - https://www.ubauk.com/wp-content/uploads/sites/29/2023/08/UBA-UK-Pillar-3-Disclosures-31-Dec-2022_final-clean-trotter-comments.1-1.pdf
FY2021: the FY2022 edition's own '2021' COMPARATIVE column, p.9 of https://www.ubauk.com/wp-content/uploads/sites/29/2023/08/UBA-UK-Pillar-3-Disclosures-31-Dec-2022_final-clean-trotter-comments.1-1.pdf - see below for why.
LATEST-EDITION CHECK, 2026-09-18: the Bank's own financial-reports index (https://www.ubauk.com/financial-reports/) was fetched directly as static HTML and every PDF href extracted - not Wayback, not the URLs already cited here. The newest Pillar 3 Disclosures listed is the 31 December 2024 edition and the newest Annual Report is the 31 December 2024 one, both already carried in this workbook. No FY2025 document of either kind is published. Checked, none newer.
THIS SHEET IS IN US DOLLARS, UNCONVERTED, AND THE REST OF THIS WORKBOOK IS NOT. The Bank reports in USD and every other Pillar 3 sheet here is converted to sterling at the rates set out in this workbook's FX note. A KM1 sheet reproduces a published disclosure rather than deriving a view from it, so it stays in the currency and the units the Bank printed. Those units are SINGLE DOLLARS, not thousands: the template prints CET1 as '78,168,563' where the same edition's own Capital Resources table on the next page is headed $'000. Read the amount rows as dollars and the ratio rows as percentages.
WHY FY2021 IS A COMPARATIVE AND WHY FY2020, FY2019 AND FY2018 CARRY NO COLUMN. The Key Metrics section does not exist before the FY2022 edition. The FY2018, FY2019, FY2020 and FY2021 editions were each downloaded and opened on 2026-09-18, and each one's OWN table of contents runs '2.3 Three Lines of Defence / 3. Capital Resources / 3.1 Leverage Ratio / 4. Capital Adequacy' - there is no key-metrics section to find. The section first appears as '4. Key Metrics' in the FY2022 edition. FY2021 is therefore filled from the FY2022 edition's comparative column, which is the only published printing of that year's template. FY2020, FY2019 and FY2018 stay empty: no edition prints a template for them, and the FY2022 edition's earliest column is 2021, so no comparative exists either. Those years' capital, leverage and liquidity figures on the metric sheets come from the older editions' own differently-shaped capital-resources and ratio disclosures, which are not this template and are deliberately not mapped onto its row numbers.</t>
        </is>
      </c>
    </row>
    <row r="39" ht="330" customHeight="1">
      <c r="A39" s="8" t="inlineStr">
        <is>
          <t>(continued)
THE FY2022 EDITION'S TABLE IS A BITMAP, AND THE INVENTORY'S 'NO KM1 FOUND' VERDICT FOR IT WAS WRONG. That edition's section 4 extracts as a heading, a sentence and nothing else, because the whole table is an embedded image on the page (confirmed with pdfimages: two image objects on that page and no table text between the heading and the page number). It was transcribed TWICE from two independent renderings - the full page rasterised at 300dpi, and the embedded image extracted at its native resolution and enlarged - and the two agree digit for digit on all 48 cells. The FY2023 edition is also image-based with an OCR text layer; its figures were likewise confirmed against a 200dpi rendering of the page, and independently again by the FY2024 edition's own 2023 comparative column, which reproduces every one of the 24 rows identically.
THREE SOURCE DEFECTS, REPRODUCED OR RECORDED, NOT CORRECTED.
1. The FY2023 edition misprints row 1 as 'Common Equity Tier 1 (CH1) capital' - CH1 for CET1. This is not an extraction artefact: the rendered page shows 'CH1' in the published document. The FY2022 and FY2024 editions both print 'CET1' and that is the label used on this sheet.
2. The FY2023 edition also misprints row 14 as 'Leverage ratio excuding claims on central banks (%)' and appends a stray comma to row UK 11a, 'Overall capital requirements (%),'. Both confirmed on the rendered page.
3. Row 14 is printed to a DIFFERENT PRECISION in different editions for the same date, and this sheet keeps each year's own. The FY2022 edition prints whole numbers - '6' for 2022 and '7' for 2021 - while the FY2023 edition's comparative prints 5.95 for that same 2022 date. 36,513,246 over 613,889,918 is 5.95%, so the '6' is the Bank's own rounding in its own edition, not a different measure. The same applies to the 2021 column's '7' against a computed 6.68%. Nothing is recomputed here.
ROWS THE BANK DOES NOT PRINT. All three editions print the same 24 rows and omit the rest of the template entirely - UK 7b, UK 7c, UK 8a, UK 9a, 10, UK 10a, 14a, 14b, 14c, 14d and 14e never appear, in any edition, in any column. They are absent from this sheet rather than shown blank, because the Bank prints no such rows at all; the rows it does print, it fills in every column.
ENTITY. United Bank for Africa (UK) Limited on its own, unconsolidated - the document prints one entity's columns and the Bank has no subsidiaries. Its parent, United Bank for Africa Plc (Nigeria), is not a UK or EU CRR filer and publishes no UK KM1 for this subsidiary. See the entity note elsewhere in this workbook.</t>
        </is>
      </c>
    </row>
  </sheetData>
  <mergeCells count="2">
    <mergeCell ref="A39:E39"/>
    <mergeCell ref="A37:E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CET1 Capital</t>
        </is>
      </c>
    </row>
    <row r="2">
      <c r="A2" s="2" t="inlineStr">
        <is>
          <t>£'000 (conv. from USD)</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Common Equity Tier 1 (CET1) capital</t>
        </is>
      </c>
      <c r="B4" s="6" t="n">
        <v>62459.9</v>
      </c>
      <c r="C4" s="6" t="n">
        <v>47832.5</v>
      </c>
      <c r="D4" s="6" t="n">
        <v>30183.7</v>
      </c>
      <c r="E4" s="6" t="n">
        <v>28339.6</v>
      </c>
      <c r="F4" s="6" t="n">
        <v>28760.7</v>
      </c>
      <c r="G4" s="6" t="n">
        <v>32079.5</v>
      </c>
      <c r="H4" s="6" t="n">
        <v>33435.4</v>
      </c>
    </row>
    <row r="6" ht="400" customHeight="1">
      <c r="A6"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8" ht="400" customHeight="1">
      <c r="A8"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2">
    <mergeCell ref="A8:H8"/>
    <mergeCell ref="A6:H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CET1 Ratio</t>
        </is>
      </c>
    </row>
    <row r="2">
      <c r="A2" s="2" t="inlineStr">
        <is>
          <t>% of RWA</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Common Equity Tier 1 (CET1) ratio</t>
        </is>
      </c>
      <c r="B4" s="6" t="inlineStr">
        <is>
          <t>49.04%</t>
        </is>
      </c>
      <c r="C4" s="6" t="inlineStr">
        <is>
          <t>47.60%</t>
        </is>
      </c>
      <c r="D4" s="6" t="inlineStr">
        <is>
          <t>23.27%</t>
        </is>
      </c>
      <c r="E4" s="6" t="inlineStr">
        <is>
          <t>33.56%</t>
        </is>
      </c>
      <c r="F4" s="6" t="inlineStr">
        <is>
          <t>56.47%</t>
        </is>
      </c>
      <c r="G4" s="6" t="inlineStr">
        <is>
          <t>62.49%</t>
        </is>
      </c>
      <c r="H4" s="6" t="inlineStr">
        <is>
          <t>67.55%</t>
        </is>
      </c>
    </row>
    <row r="6" ht="400" customHeight="1">
      <c r="A6"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8" ht="400" customHeight="1">
      <c r="A8"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2">
    <mergeCell ref="A8:H8"/>
    <mergeCell ref="A6:H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Tier 1 Capital</t>
        </is>
      </c>
    </row>
    <row r="2">
      <c r="A2" s="2" t="inlineStr">
        <is>
          <t>£'000 (conv. from USD)</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Tier 1 capital</t>
        </is>
      </c>
      <c r="B4" s="6" t="n">
        <v>62459.9</v>
      </c>
      <c r="C4" s="6" t="n">
        <v>47832.5</v>
      </c>
      <c r="D4" s="6" t="n">
        <v>30183.7</v>
      </c>
      <c r="E4" s="6" t="n">
        <v>28339.6</v>
      </c>
      <c r="F4" s="6" t="n">
        <v>28760.7</v>
      </c>
      <c r="G4" s="6" t="n">
        <v>32079.5</v>
      </c>
      <c r="H4" s="6" t="n">
        <v>33435.4</v>
      </c>
    </row>
    <row r="5" ht="30" customHeight="1">
      <c r="A5" s="7" t="inlineStr">
        <is>
          <t>Note: Equal to CET1 capital in every year - the Bank holds no Additional Tier 1 (AT1) instruments.</t>
        </is>
      </c>
    </row>
    <row r="7" ht="400" customHeight="1">
      <c r="A7"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9" ht="400" customHeight="1">
      <c r="A9"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3">
    <mergeCell ref="A7:H7"/>
    <mergeCell ref="A9:H9"/>
    <mergeCell ref="A5:H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Tier 1 Ratio</t>
        </is>
      </c>
    </row>
    <row r="2">
      <c r="A2" s="2" t="inlineStr">
        <is>
          <t>% of RWA</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Tier 1 ratio</t>
        </is>
      </c>
      <c r="B4" s="6" t="inlineStr">
        <is>
          <t>49.04%</t>
        </is>
      </c>
      <c r="C4" s="6" t="inlineStr">
        <is>
          <t>47.60%</t>
        </is>
      </c>
      <c r="D4" s="6" t="inlineStr">
        <is>
          <t>23.27%</t>
        </is>
      </c>
      <c r="E4" s="6" t="inlineStr">
        <is>
          <t>33.56%</t>
        </is>
      </c>
      <c r="F4" s="6" t="inlineStr">
        <is>
          <t>56.47%</t>
        </is>
      </c>
      <c r="G4" s="6" t="inlineStr">
        <is>
          <t>62.49%</t>
        </is>
      </c>
      <c r="H4" s="6" t="inlineStr">
        <is>
          <t>67.55%</t>
        </is>
      </c>
    </row>
    <row r="6" ht="400" customHeight="1">
      <c r="A6"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8" ht="400" customHeight="1">
      <c r="A8"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2">
    <mergeCell ref="A8:H8"/>
    <mergeCell ref="A6:H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Total Capital</t>
        </is>
      </c>
    </row>
    <row r="2">
      <c r="A2" s="2" t="inlineStr">
        <is>
          <t>£'000 (conv. from USD)</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Total capital</t>
        </is>
      </c>
      <c r="B4" s="6" t="n">
        <v>62459.9</v>
      </c>
      <c r="C4" s="6" t="n">
        <v>47832.5</v>
      </c>
      <c r="D4" s="6" t="n">
        <v>30183.7</v>
      </c>
      <c r="E4" s="6" t="n">
        <v>28339.6</v>
      </c>
      <c r="F4" s="6" t="n">
        <v>28760.7</v>
      </c>
      <c r="G4" s="6" t="n">
        <v>32079.5</v>
      </c>
      <c r="H4" s="6" t="n">
        <v>33435.4</v>
      </c>
    </row>
    <row r="5" ht="30" customHeight="1">
      <c r="A5" s="7" t="inlineStr">
        <is>
          <t>Note: Equal to CET1/Tier 1 capital in every year - the Bank holds no AT1 or Tier 2 instruments.</t>
        </is>
      </c>
    </row>
    <row r="7" ht="400" customHeight="1">
      <c r="A7"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9" ht="400" customHeight="1">
      <c r="A9"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3">
    <mergeCell ref="A7:H7"/>
    <mergeCell ref="A9:H9"/>
    <mergeCell ref="A5:H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Total Capital Ratio</t>
        </is>
      </c>
    </row>
    <row r="2">
      <c r="A2" s="2" t="inlineStr">
        <is>
          <t>% of RWA</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Total capital ratio</t>
        </is>
      </c>
      <c r="B4" s="6" t="inlineStr">
        <is>
          <t>49.04%</t>
        </is>
      </c>
      <c r="C4" s="6" t="inlineStr">
        <is>
          <t>47.60%</t>
        </is>
      </c>
      <c r="D4" s="6" t="inlineStr">
        <is>
          <t>23.27%</t>
        </is>
      </c>
      <c r="E4" s="6" t="inlineStr">
        <is>
          <t>33.56%</t>
        </is>
      </c>
      <c r="F4" s="6" t="inlineStr">
        <is>
          <t>56.47%</t>
        </is>
      </c>
      <c r="G4" s="6" t="inlineStr">
        <is>
          <t>62.49%</t>
        </is>
      </c>
      <c r="H4" s="6" t="inlineStr">
        <is>
          <t>67.55%</t>
        </is>
      </c>
    </row>
    <row r="6" ht="400" customHeight="1">
      <c r="A6"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8" ht="400" customHeight="1">
      <c r="A8"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2">
    <mergeCell ref="A8:H8"/>
    <mergeCell ref="A6:H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Total RWAs</t>
        </is>
      </c>
    </row>
    <row r="2">
      <c r="A2" s="2" t="inlineStr">
        <is>
          <t>£'000 (conv. from USD)</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Total risk-weighted exposure amount</t>
        </is>
      </c>
      <c r="B4" s="6" t="n">
        <v>127359.4</v>
      </c>
      <c r="C4" s="6" t="n">
        <v>100480.8</v>
      </c>
      <c r="D4" s="6" t="n">
        <v>113940.5</v>
      </c>
      <c r="E4" s="6" t="n">
        <v>68983.3</v>
      </c>
      <c r="F4" s="6" t="n">
        <v>50929.7</v>
      </c>
      <c r="G4" s="6" t="n">
        <v>51334.2</v>
      </c>
      <c r="H4" s="6" t="n">
        <v>49500.8</v>
      </c>
    </row>
    <row r="5" ht="30" customHeight="1">
      <c r="A5" s="7" t="inlineStr">
        <is>
          <t>Note: FY2020/FY2019/FY2018 figures are derived (not printed as a single line) - see p3_sources' PRE-2021 FORMAT NOTE for the exact derivation.</t>
        </is>
      </c>
    </row>
    <row r="7" ht="400" customHeight="1">
      <c r="A7"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9" ht="400" customHeight="1">
      <c r="A9"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3">
    <mergeCell ref="A7:H7"/>
    <mergeCell ref="A9:H9"/>
    <mergeCell ref="A5:H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RWA Breakdown</t>
        </is>
      </c>
    </row>
    <row r="2">
      <c r="A2" s="2" t="inlineStr">
        <is>
          <t>£'000, converted from USD (see FX conversion note on the Cash Flow Statement sheet). FY2024-FY2021 as disclosed (UK OV1 template); FY2020-FY2018 derived from disclosed Pillar 1 capital requirement x 12.5 - see the two SECTION blocks below and the sources note. NOTE FY2022/FY2021 do NOT tie to the Total RWAs sheet: the Bank's own Key Metrics table omits market and operational risk from its total. See the sources note - do not cross-divide the two sheets.</t>
        </is>
      </c>
    </row>
    <row r="3">
      <c r="A3" s="4" t="inlineStr">
        <is>
          <t>Line item</t>
        </is>
      </c>
      <c r="B3" s="4" t="inlineStr">
        <is>
          <t>FY2024 (£'000)</t>
        </is>
      </c>
      <c r="C3" s="4" t="inlineStr">
        <is>
          <t>FY2023 (£'000)</t>
        </is>
      </c>
      <c r="D3" s="4" t="inlineStr">
        <is>
          <t>FY2022 (£'000)</t>
        </is>
      </c>
      <c r="E3" s="4" t="inlineStr">
        <is>
          <t>FY2021 (£'000)</t>
        </is>
      </c>
      <c r="F3" s="4" t="inlineStr">
        <is>
          <t>FY2020 (£'000)</t>
        </is>
      </c>
      <c r="G3" s="4" t="inlineStr">
        <is>
          <t>FY2019 (£'000)</t>
        </is>
      </c>
      <c r="H3" s="4" t="inlineStr">
        <is>
          <t>FY2018 (£'000)</t>
        </is>
      </c>
    </row>
    <row r="4">
      <c r="A4" s="5" t="inlineStr">
        <is>
          <t>UK OV1 — Overview of risk weighted exposure amounts (as disclosed)</t>
        </is>
      </c>
      <c r="B4" s="6" t="n"/>
      <c r="C4" s="6" t="n"/>
      <c r="D4" s="6" t="n"/>
      <c r="E4" s="6" t="n"/>
      <c r="F4" s="6" t="n"/>
      <c r="G4" s="6" t="n"/>
      <c r="H4" s="6" t="n"/>
    </row>
    <row r="5">
      <c r="A5" s="6" t="inlineStr">
        <is>
          <t>Credit risk (excluding CCR)</t>
        </is>
      </c>
      <c r="B5" s="6" t="n">
        <v>84459.10000000001</v>
      </c>
      <c r="C5" s="6" t="n">
        <v>76701.60000000001</v>
      </c>
      <c r="D5" s="6" t="n">
        <v>113923.4</v>
      </c>
      <c r="E5" s="6" t="n">
        <v>68983.2</v>
      </c>
      <c r="F5" s="6" t="n"/>
      <c r="G5" s="6" t="n"/>
      <c r="H5" s="6" t="n"/>
    </row>
    <row r="6">
      <c r="A6" s="6" t="inlineStr">
        <is>
          <t>Counterparty credit risk (CCR)</t>
        </is>
      </c>
      <c r="B6" s="6" t="n">
        <v>0</v>
      </c>
      <c r="C6" s="6" t="n">
        <v>0</v>
      </c>
      <c r="D6" s="6" t="n">
        <v>17.1</v>
      </c>
      <c r="E6" s="6" t="n">
        <v>0.1</v>
      </c>
      <c r="F6" s="6" t="n"/>
      <c r="G6" s="6" t="n"/>
      <c r="H6" s="6" t="n"/>
    </row>
    <row r="7">
      <c r="A7" s="6" t="inlineStr">
        <is>
          <t>Settlement risk</t>
        </is>
      </c>
      <c r="B7" s="6" t="n">
        <v>0</v>
      </c>
      <c r="C7" s="6" t="n">
        <v>951.7</v>
      </c>
      <c r="D7" s="6" t="n"/>
      <c r="E7" s="6" t="n"/>
      <c r="F7" s="6" t="n"/>
      <c r="G7" s="6" t="n"/>
      <c r="H7" s="6" t="n"/>
    </row>
    <row r="8">
      <c r="A8" s="6" t="inlineStr">
        <is>
          <t>Market risk (position, FX and commodities)</t>
        </is>
      </c>
      <c r="B8" s="6" t="n">
        <v>1415.8</v>
      </c>
      <c r="C8" s="6" t="n">
        <v>2055.8</v>
      </c>
      <c r="D8" s="6" t="n">
        <v>3144.9</v>
      </c>
      <c r="E8" s="6" t="n">
        <v>5989.6</v>
      </c>
      <c r="F8" s="6" t="n"/>
      <c r="G8" s="6" t="n"/>
      <c r="H8" s="6" t="n"/>
    </row>
    <row r="9">
      <c r="A9" s="6" t="inlineStr">
        <is>
          <t>Operational risk</t>
        </is>
      </c>
      <c r="B9" s="6" t="n">
        <v>41484.5</v>
      </c>
      <c r="C9" s="6" t="n">
        <v>20771.7</v>
      </c>
      <c r="D9" s="6" t="n">
        <v>12614.2</v>
      </c>
      <c r="E9" s="6" t="n">
        <v>9476.1</v>
      </c>
      <c r="F9" s="6" t="n"/>
      <c r="G9" s="6" t="n"/>
      <c r="H9" s="6" t="n"/>
    </row>
    <row r="10">
      <c r="A10" s="5" t="inlineStr">
        <is>
          <t>Total risk weighted exposure amount</t>
        </is>
      </c>
      <c r="B10" s="5" t="n">
        <v>127359.4</v>
      </c>
      <c r="C10" s="5" t="n">
        <v>100480.8</v>
      </c>
      <c r="D10" s="5" t="n">
        <v>129699.5</v>
      </c>
      <c r="E10" s="5" t="n">
        <v>84449</v>
      </c>
      <c r="F10" s="5" t="n"/>
      <c r="G10" s="5" t="n"/>
      <c r="H10" s="5" t="n"/>
    </row>
    <row r="11">
      <c r="A11" s="5" t="inlineStr">
        <is>
          <t>Pillar 1 capital requirement × 12.5 (derived from disclosed capital requirement)</t>
        </is>
      </c>
      <c r="B11" s="6" t="n"/>
      <c r="C11" s="6" t="n"/>
      <c r="D11" s="6" t="n"/>
      <c r="E11" s="6" t="n"/>
      <c r="F11" s="6" t="n"/>
      <c r="G11" s="6" t="n"/>
      <c r="H11" s="6" t="n"/>
    </row>
    <row r="12">
      <c r="A12" s="6" t="inlineStr">
        <is>
          <t>Credit risk</t>
        </is>
      </c>
      <c r="B12" s="6" t="n"/>
      <c r="C12" s="6" t="n"/>
      <c r="D12" s="6" t="n"/>
      <c r="E12" s="6" t="n"/>
      <c r="F12" s="6" t="n">
        <v>35081.6</v>
      </c>
      <c r="G12" s="6" t="n">
        <v>39629.1</v>
      </c>
      <c r="H12" s="6" t="n">
        <v>39359.8</v>
      </c>
    </row>
    <row r="13">
      <c r="A13" s="6" t="inlineStr">
        <is>
          <t>Market risk</t>
        </is>
      </c>
      <c r="B13" s="6" t="n"/>
      <c r="C13" s="6" t="n"/>
      <c r="D13" s="6" t="n"/>
      <c r="E13" s="6" t="n"/>
      <c r="F13" s="6" t="n">
        <v>6588.1</v>
      </c>
      <c r="G13" s="6" t="n">
        <v>3472.7</v>
      </c>
      <c r="H13" s="6" t="n">
        <v>2261.2</v>
      </c>
    </row>
    <row r="14">
      <c r="A14" s="6" t="inlineStr">
        <is>
          <t>Operational risk</t>
        </is>
      </c>
      <c r="B14" s="6" t="n"/>
      <c r="C14" s="6" t="n"/>
      <c r="D14" s="6" t="n"/>
      <c r="E14" s="6" t="n"/>
      <c r="F14" s="6" t="n">
        <v>9259.9</v>
      </c>
      <c r="G14" s="6" t="n">
        <v>8232.4</v>
      </c>
      <c r="H14" s="6" t="n">
        <v>7879.8</v>
      </c>
    </row>
    <row r="15">
      <c r="A15" s="5" t="inlineStr">
        <is>
          <t>Total risk weighted exposure amount (derived)</t>
        </is>
      </c>
      <c r="B15" s="5" t="n"/>
      <c r="C15" s="5" t="n"/>
      <c r="D15" s="5" t="n"/>
      <c r="E15" s="5" t="n"/>
      <c r="F15" s="5" t="n">
        <v>50929.6</v>
      </c>
      <c r="G15" s="5" t="n">
        <v>51334.2</v>
      </c>
      <c r="H15" s="5" t="n">
        <v>49500.8</v>
      </c>
    </row>
    <row r="17" ht="409" customHeight="1">
      <c r="A17" s="8" t="inlineStr">
        <is>
          <t>Sources - United Bank for Africa (UK) Limited Pillar 3 Disclosures, converted from USD to £ (see FX conversion note on the Cash Flow Statement sheet):
FY2024 &amp; FY2023 (DIRECTLY DISCLOSED, as reported): Pillar 3 Disclosures - 31 Dec 2024, Section 3, 'Template UK OV1 - Overview of risk weighted exposure amounts', p.9 - https://www.ubauk.com/wp-content/uploads/sites/29/2026/05/UBA-UK-Pillar-3-Disclosures-31-Dec-2024.pdf. This table's own Total row (159,390,258 / 127,932,133) ties exactly to the Total RWAs sheet's FY2024/FY2023 figures.
FY2020 &amp; FY2019 (DERIVED, not directly disclosed as RWA): Pillar 3 Disclosures - 31 Dec 2020, section 4.4 'Pillar 1 Minimum Capital Requirement' table, p.11 - https://www.ubauk.com/wp-content/uploads/sites/29/2018/10/uba-uk-pillar-3-disclosures-31-dec-2020.pdf
FY2018 (DERIVED, not directly disclosed as RWA): Pillar 3 Disclosures - 31 Dec 2018, section 4.4 'Pillar 1 Minimum Capital Requirement' table, p.10 - https://www.ubauk.com/wp-content/uploads/sites/29/2019/11/UBA-UK-Pillar-3-Disclosures-31-Dec-2018-3.pdf
FY2022 &amp; FY2021 (DIRECTLY DISCLOSED, as reported; ADDED 2026-09-15): Pillar 3 Disclosures - 31 Dec 2022, Section 3, 'Template UK OV1 - Overview of risk weighted exposure amounts', p.8 - https://www.ubauk.com/wp-content/uploads/sites/29/2023/08/UBA-UK-Pillar-3-Disclosures-31-Dec-2022_final-clean-trotter-comments.1-1.pdf. That one table prints both years side by side (columns headed 2022 and 2021). Its categories sum exactly to its own printed Total in both years: 137,813,079 + 20,686 + 3,804,405 + 15,259,365 = 156,897,535 (FY2022), and 93,272,178 + 108 + 8,098,575 + 12,812,625 = 114,183,486 (FY2021). The table prints no Settlement risk row for either year (unlike FY2023/FY2024), so that row is left blank here rather than recorded as zero. Figures were read visually from a 400 dpi render, NOT from OCR alone - tesseract misread the FY2022 Total as '856,897,535' at 300 dpi, and the correct leading digit was confirmed by eye.
DECISION REVERSED 2026-09-15 - THESE TWO YEARS WERE PREVIOUSLY WITHHELD. The reasoning below is retained because the underlying inconsistency it describes is real, reproducible and still unresolved; what changed is the treatment, not the facts. The data is now included, with the mismatch documented in place, for three reasons: (1) UK OV1 is the designated RWA-breakdown template and is the correct source for THIS sheet, whereas the Key Metrics total is a summary line elsewhere in the same document; (2) the prior analysis itself concluded the Key Metrics row is the erroneous one, and the arithmetic below demonstrates exactly how it was mis-populated; (3) this workbook set already carries the same pattern elsewhere - see KEXIM Bank (UK) Limited, whose RWA Breakdown sits on the Pillar 3 basis while its Total RWAs sheet sits on the statutory-accounts basis, with the two kept on separate sheets and a 'do not cross-divide' note rather than one being suppressed. Withholding published, internally consistent, twice-verified figures loses real data; the Total RWAs sheet is unchanged and still carries the Bank's own Key Metrics figure.
THE INCONSISTENCY ITSELF: the FY2022 Pillar 3 Disclosures document contains a 'Template UK OV1' risk-type breakdown (Section 3, p.8) for both FY2022 and FY2021 - Credit risk (excl. CCR) 137,813,079 / 93,272,178 + CCR 20,686/108 + Market risk 3,804,405/8,098,575 + Operational risk 15,259,365/12,812,625 = OV1's own Total 156,897,535/114,183,486 - but that OV1 Total does NOT reconcile with the SAME document's own Section 4 'Key Metrics' table (p.9), which states 'Total risk-weighted exposure amount' as 137,833,765/93,272,286 for the same two years (the figure this workbook's Total RWAs sheet uses) - a difference of ~13.8%/~21.9%, not a rounding gap. The Key Metrics total exactly equals the OV1 table's Credit risk + CCR rows only (137,813,079 + 20,686 = 137,833,765; 93,272,178 + 108 = 93,272,286), strongly suggesting the Key Metrics table's 'Total RWEA' row was mis-populated in UBA UK's own source document (omitting market and operational risk) rather than the OV1 table being wrong. Nothing has been blended: the OV1 breakdown is recorded on this sheet exactly as the Bank printed it, the Total RWAs sheet still carries the Bank's own Key Metrics figure exactly as printed, and neither has been adjusted toward the other. DO NOT CROSS-DIVIDE THE TWO SHEETS - a category sum from this sheet over a capital figure derived against the Total RWAs sheet will not reproduce any ratio the Bank published. A restatement of the Total RWAs sheet onto the OV1 basis remains a separate open question, unchanged by this edit.</t>
        </is>
      </c>
    </row>
    <row r="19" ht="409" customHeight="1">
      <c r="A19" s="8" t="inlineStr">
        <is>
          <t>(continued)
RE-VERIFIED (2026-09-12, independent re-check): re-downloaded the FY2022 Pillar 3 Disclosures directly and OCR'd the OV1 table (p.8) and Key Metrics table (p.10) myself - both figures above confirmed character-for-character correct, the inconsistency is real and reproducible, not a prior transcription error. Checked for a resolving source: the FY2024 Pillar 3 Disclosures' own OV1 table only carries a FY2023 comparative column (not FY2022 or FY2021), so it cannot help; no restated or corrected FY2022 Pillar 3 document was found anywhere. The decision not to add this data stands.
ENTITY NOTE: United Bank for Africa (UK) Limited (Companies House 03104974, FRN 695048) is a UK subsidiary of United Bank for Africa Plc (Nigeria). Unlike several other foreign-subsidiary banks in this workbook series (ICICI Bank UK, Philippine National Bank Europe, Citibank UK, State Bank of India UK), it prepares full IFRS financial statements with a genuine Statement of Cash Flows every year - no FRS 101/102 cash-flow exemption applies. The Bank's Own Funds consist entirely of Common Equity Tier 1 (CET1) capital (no AT1 or Tier 2 instruments), so CET1 capital = Tier 1 capital = Total capital in every year shown. No FY2025 Annual Report or Pillar 3 disclosure has been published yet (as of this workbook's build date), so this workbook covers FY2018-FY2024 (7 years) rather than FY2025.
RE-CHECKED 19 SEPTEMBER 2026 (GA-020) - STILL NO FY2025 DOCUMENT OF EITHER KIND. (1) Companies House filing history for 03104974, read UNFILTERED on page 1: newest rows TM01 (6 Aug 2026) and AP01s (29 Jun 2026); the newest AA is still 'Full accounts made up to 31 December 2024', filed 24 Apr 2025 (FY2023 was filed 9 May 2024, so FY2025 is later than this bank's own cadence). The profile reads 'Next accounts made up to 31 December 2025 due by 31 DECEMBER 2026', i.e. the filing period has been extended beyond the usual nine months, and flags the confirmation statement as overdue. (2) https://www.ubauk.com/financial-reports/ (fetched as static HTML) still links the FY2024 Annual Report and FY2024 Pillar 3 as the newest reports, while carrying other uploads dated as late as 2026/08, so the page is maintained. Direct probes of UBA-UK-2025-AR.pdf and UBA-UK-2025-AR-1.pdf under /wp-content/uploads/sites/29/2026/04/ to /2026/09/ all return a genuine 404, against a 200/application/pdf/%PDF control on the FY2024 AR URL. The WordPress media API is closed on this host (returns an error object), so it could not be used. (3) Wayback CDX for ubauk.com from 2026 onward: 6 PDF captures, none an FY2025 report.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t>
        </is>
      </c>
    </row>
    <row r="21" ht="409" customHeight="1">
      <c r="A21" s="8" t="inlineStr">
        <is>
          <t>(continued)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3">
    <mergeCell ref="A19:H19"/>
    <mergeCell ref="A21:H21"/>
    <mergeCell ref="A17:H1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Leverage Ratio</t>
        </is>
      </c>
    </row>
    <row r="2">
      <c r="A2" s="2" t="inlineStr">
        <is>
          <t>£'000 / % (conv. from USD)</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Total exposure measure excluding claims on central banks</t>
        </is>
      </c>
      <c r="B4" s="6" t="n">
        <v>386440.4</v>
      </c>
      <c r="C4" s="6" t="n">
        <v>492087.6</v>
      </c>
      <c r="D4" s="6" t="n">
        <v>507472.9</v>
      </c>
      <c r="E4" s="6" t="n">
        <v>424276.2</v>
      </c>
      <c r="F4" s="6" t="n"/>
      <c r="G4" s="6" t="n"/>
      <c r="H4" s="6" t="n"/>
    </row>
    <row r="5">
      <c r="A5" s="6" t="inlineStr">
        <is>
          <t>Exposure value of assets, INCLUDING claims on central banks (FY2018-FY2020 methodology, see note)</t>
        </is>
      </c>
      <c r="B5" s="6" t="n"/>
      <c r="C5" s="6" t="n"/>
      <c r="D5" s="6" t="n"/>
      <c r="E5" s="6" t="n"/>
      <c r="F5" s="6" t="n">
        <v>195187.8</v>
      </c>
      <c r="G5" s="6" t="n">
        <v>173008.3</v>
      </c>
      <c r="H5" s="6" t="n">
        <v>136420.5</v>
      </c>
    </row>
    <row r="6">
      <c r="A6" s="6" t="inlineStr">
        <is>
          <t>Leverage ratio excluding claims on central banks (%)</t>
        </is>
      </c>
      <c r="B6" s="6" t="inlineStr">
        <is>
          <t>16.16%</t>
        </is>
      </c>
      <c r="C6" s="6" t="inlineStr">
        <is>
          <t>9.72%</t>
        </is>
      </c>
      <c r="D6" s="6" t="inlineStr">
        <is>
          <t>6%</t>
        </is>
      </c>
      <c r="E6" s="6" t="inlineStr">
        <is>
          <t>7%</t>
        </is>
      </c>
      <c r="F6" s="6" t="n"/>
      <c r="G6" s="6" t="n"/>
      <c r="H6" s="6" t="n"/>
    </row>
    <row r="7">
      <c r="A7" s="6" t="inlineStr">
        <is>
          <t>Leverage ratio, FY2018-FY2020 methodology (%)</t>
        </is>
      </c>
      <c r="B7" s="6" t="n"/>
      <c r="C7" s="6" t="n"/>
      <c r="D7" s="6" t="n"/>
      <c r="E7" s="6" t="n"/>
      <c r="F7" s="6" t="inlineStr">
        <is>
          <t>15%</t>
        </is>
      </c>
      <c r="G7" s="6" t="inlineStr">
        <is>
          <t>19%</t>
        </is>
      </c>
      <c r="H7" s="6" t="inlineStr">
        <is>
          <t>24%</t>
        </is>
      </c>
    </row>
    <row r="8" ht="39" customHeight="1">
      <c r="A8" s="7" t="inlineStr">
        <is>
          <t>Note: FY2022/FY2021 leverage ratios are printed to whole-percent precision only in the source document (6% and 7%), unlike FY2024/FY2023's two-decimal precision - transcribed exactly as shown, not rounded further or given false precision. FY2018-FY2020 used a genuinely different leverage ratio methodology (pre-CRR2, INCLUDING central government/central bank claims in the exposure measure) to FY2021 onward's UK KM1 template (EXCLUDING them) - shown as two separate exposure/ratio row pairs rather than one continuous row, since the two are not the same measure; see p3_sources' PRE-2021 FORMAT NOTE.</t>
        </is>
      </c>
    </row>
    <row r="10" ht="400" customHeight="1">
      <c r="A10"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12" ht="400" customHeight="1">
      <c r="A12"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3">
    <mergeCell ref="A12:H12"/>
    <mergeCell ref="A8:H8"/>
    <mergeCell ref="A10:H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LCR</t>
        </is>
      </c>
    </row>
    <row r="2">
      <c r="A2" s="2" t="inlineStr">
        <is>
          <t>£'000 / % (conv. from USD)</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Total high-quality liquid assets (HQLA), weighted value (average)</t>
        </is>
      </c>
      <c r="B4" s="6" t="n">
        <v>88574.8</v>
      </c>
      <c r="C4" s="6" t="n">
        <v>78937.3</v>
      </c>
      <c r="D4" s="6" t="n">
        <v>75373.39999999999</v>
      </c>
      <c r="E4" s="6" t="n">
        <v>68614.2</v>
      </c>
      <c r="F4" s="6" t="n"/>
      <c r="G4" s="6" t="n"/>
      <c r="H4" s="6" t="n"/>
    </row>
    <row r="5">
      <c r="A5" s="6" t="inlineStr">
        <is>
          <t>Total net cash outflows, adjusted value</t>
        </is>
      </c>
      <c r="B5" s="6" t="n">
        <v>25108.1</v>
      </c>
      <c r="C5" s="6" t="n">
        <v>34495.4</v>
      </c>
      <c r="D5" s="6" t="n">
        <v>33626.9</v>
      </c>
      <c r="E5" s="6" t="n">
        <v>18983.5</v>
      </c>
      <c r="F5" s="6" t="n"/>
      <c r="G5" s="6" t="n"/>
      <c r="H5" s="6" t="n"/>
    </row>
    <row r="6">
      <c r="A6" s="6" t="inlineStr">
        <is>
          <t>Liquidity Coverage Ratio (%)</t>
        </is>
      </c>
      <c r="B6" s="6" t="inlineStr">
        <is>
          <t>352.77%</t>
        </is>
      </c>
      <c r="C6" s="6" t="inlineStr">
        <is>
          <t>228.83%</t>
        </is>
      </c>
      <c r="D6" s="6" t="inlineStr">
        <is>
          <t>224.15%</t>
        </is>
      </c>
      <c r="E6" s="6" t="inlineStr">
        <is>
          <t>361.44%</t>
        </is>
      </c>
      <c r="F6" s="6" t="inlineStr">
        <is>
          <t>413%</t>
        </is>
      </c>
      <c r="G6" s="6" t="inlineStr">
        <is>
          <t>499%</t>
        </is>
      </c>
      <c r="H6" s="6" t="inlineStr">
        <is>
          <t>466%</t>
        </is>
      </c>
    </row>
    <row r="7" ht="30" customHeight="1">
      <c r="A7" s="7" t="inlineStr">
        <is>
          <t>Note: FY2020/FY2019/FY2018's own Pillar 3 reports disclose only the LCR ratio itself, not the underlying HQLA / net cash outflow $ amounts - those two rows are blank for those 3 years (see p3_sources' PRE-2021 FORMAT NOTE).</t>
        </is>
      </c>
    </row>
    <row r="9" ht="400" customHeight="1">
      <c r="A9"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11" ht="400" customHeight="1">
      <c r="A11"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3">
    <mergeCell ref="A7:H7"/>
    <mergeCell ref="A11:H11"/>
    <mergeCell ref="A9:H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NSFR</t>
        </is>
      </c>
    </row>
    <row r="2">
      <c r="A2" s="2" t="inlineStr">
        <is>
          <t>£'000 / % (conv. from USD)</t>
        </is>
      </c>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Total available stable funding</t>
        </is>
      </c>
      <c r="B4" s="6" t="n">
        <v>98245.60000000001</v>
      </c>
      <c r="C4" s="6" t="n">
        <v>108589.7</v>
      </c>
      <c r="D4" s="6" t="n">
        <v>138084.1</v>
      </c>
      <c r="E4" s="6" t="n">
        <v>112449.6</v>
      </c>
      <c r="F4" s="6" t="n"/>
      <c r="G4" s="6" t="n"/>
      <c r="H4" s="6" t="n"/>
    </row>
    <row r="5">
      <c r="A5" s="6" t="inlineStr">
        <is>
          <t>Total required stable funding</t>
        </is>
      </c>
      <c r="B5" s="6" t="n">
        <v>53779.7</v>
      </c>
      <c r="C5" s="6" t="n">
        <v>70940.8</v>
      </c>
      <c r="D5" s="6" t="n">
        <v>76148.8</v>
      </c>
      <c r="E5" s="6" t="n">
        <v>76097.5</v>
      </c>
      <c r="F5" s="6" t="n"/>
      <c r="G5" s="6" t="n"/>
      <c r="H5" s="6" t="n"/>
    </row>
    <row r="6">
      <c r="A6" s="6" t="inlineStr">
        <is>
          <t>NSFR ratio (%)</t>
        </is>
      </c>
      <c r="B6" s="6" t="inlineStr">
        <is>
          <t>182.68%</t>
        </is>
      </c>
      <c r="C6" s="6" t="inlineStr">
        <is>
          <t>153.07%</t>
        </is>
      </c>
      <c r="D6" s="6" t="inlineStr">
        <is>
          <t>181.33%</t>
        </is>
      </c>
      <c r="E6" s="6" t="inlineStr">
        <is>
          <t>147.77%</t>
        </is>
      </c>
      <c r="F6" s="6" t="inlineStr">
        <is>
          <t>137%</t>
        </is>
      </c>
      <c r="G6" s="6" t="inlineStr">
        <is>
          <t>221%</t>
        </is>
      </c>
      <c r="H6" s="6" t="inlineStr">
        <is>
          <t>113%</t>
        </is>
      </c>
    </row>
    <row r="7" ht="30" customHeight="1">
      <c r="A7" s="7" t="inlineStr">
        <is>
          <t>Note: FY2020/FY2019/FY2018's own Pillar 3 reports disclose only the NSFR ratio itself, not the underlying available/required stable funding $ amounts - those two rows are blank for those 3 years (see p3_sources' PRE-2021 FORMAT NOTE).</t>
        </is>
      </c>
    </row>
    <row r="9" ht="400" customHeight="1">
      <c r="A9"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11" ht="400" customHeight="1">
      <c r="A11"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3">
    <mergeCell ref="A7:H7"/>
    <mergeCell ref="A11:H11"/>
    <mergeCell ref="A9:H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United Bank for Africa (UK) Limited — MREL Ratio</t>
        </is>
      </c>
    </row>
    <row r="2">
      <c r="A2" s="2" t="inlineStr"/>
    </row>
    <row r="3">
      <c r="A3" s="4" t="inlineStr">
        <is>
          <t>Metric</t>
        </is>
      </c>
      <c r="B3" s="4" t="inlineStr">
        <is>
          <t>FY2024</t>
        </is>
      </c>
      <c r="C3" s="4" t="inlineStr">
        <is>
          <t>FY2023</t>
        </is>
      </c>
      <c r="D3" s="4" t="inlineStr">
        <is>
          <t>FY2022</t>
        </is>
      </c>
      <c r="E3" s="4" t="inlineStr">
        <is>
          <t>FY2021</t>
        </is>
      </c>
      <c r="F3" s="4" t="inlineStr">
        <is>
          <t>FY2020</t>
        </is>
      </c>
      <c r="G3" s="4" t="inlineStr">
        <is>
          <t>FY2019</t>
        </is>
      </c>
      <c r="H3" s="4" t="inlineStr">
        <is>
          <t>FY2018</t>
        </is>
      </c>
    </row>
    <row r="4">
      <c r="A4" s="6" t="inlineStr">
        <is>
          <t>MREL Ratio</t>
        </is>
      </c>
      <c r="B4" s="6" t="inlineStr">
        <is>
          <t>Not published – no MREL figure, statement or UK KM2 in this year's own Pillar 3 disclosures (text-searched 2026-09-19)</t>
        </is>
      </c>
      <c r="C4" s="6" t="inlineStr">
        <is>
          <t>Not published – no MREL figure, statement or UK KM2 in this year's own Pillar 3 disclosures (text-searched 2026-09-19)</t>
        </is>
      </c>
      <c r="D4" s="6" t="inlineStr">
        <is>
          <t>Not published – no MREL figure, statement or UK KM2 in this year's own Pillar 3 disclosures (text-searched 2026-09-19)</t>
        </is>
      </c>
      <c r="E4" s="6" t="inlineStr">
        <is>
          <t>Not published – no MREL figure, statement or UK KM2 in this year's own Pillar 3 disclosures (text-searched 2026-09-19)</t>
        </is>
      </c>
      <c r="F4" s="6" t="inlineStr">
        <is>
          <t>Not published – no MREL figure, statement or UK KM2 in this year's own Pillar 3 disclosures (text-searched 2026-09-19)</t>
        </is>
      </c>
      <c r="G4" s="6" t="inlineStr">
        <is>
          <t>Not published – no MREL figure, statement or UK KM2 in this year's own Pillar 3 disclosures (text-searched 2026-09-19)</t>
        </is>
      </c>
      <c r="H4" s="6" t="inlineStr">
        <is>
          <t>Not published – no MREL figure, statement or UK KM2 in this year's own Pillar 3 disclosures (text-searched 2026-09-19)</t>
        </is>
      </c>
    </row>
    <row r="5" ht="30" customHeight="1">
      <c r="A5" s="7" t="inlineStr">
        <is>
          <t>Note: No MREL disclosure (numeric or qualitative) or UK KM2 template found anywhere in any year's Pillar 3 report - not explicitly stated as an exemption, but consistent with the Bank's small size relative to typical MREL-in-scope thresholds.</t>
        </is>
      </c>
    </row>
    <row r="7" ht="390" customHeight="1">
      <c r="A7" s="8" t="inlineStr">
        <is>
          <t>Sources - United Bank for Africa (UK) Limited Pillar 3 Disclosures, converted from USD to £ where a $ amount (see FX conversion note on the Cash Flow Statement sheet; % ratios are unconverted):
FY2024: Pillar 3 Disclosures - 31 Dec 2024, p.10 (Section 4, Key Metrics) - https://www.ubauk.com/wp-content/uploads/sites/29/2026/05/UBA-UK-Pillar-3-Disclosures-31-Dec-2024.pdf
FY2023: Pillar 3 Disclosures - 31 Dec 2023, p.9 (Section 04, Key Metrics) - https://www.ubauk.com/wp-content/uploads/sites/29/2024/08/Pillar-3-Disclosures-–-31-Dec-2023.pdf (this edition was added to the workbook on 2026-09-18; the FY2024 edition's own 2023 comparative column reproduces all 24 of its key-metrics rows identically, so no figure changed)
FY2022: Pillar 3 Disclosures - 31 Dec 2022, p.9 (Section 4, Key Metrics) - https://www.ubauk.com/wp-content/uploads/sites/29/2023/08/UBA-UK-Pillar-3-Disclosures-31-Dec-2022_final-clean-trotter-comments.1-1.pdf
FY2021: the FY2022 edition's own 2021 comparative column, p.9 - https://www.ubauk.com/wp-content/uploads/sites/29/2023/08/UBA-UK-Pillar-3-Disclosures-31-Dec-2022_final-clean-trotter-comments.1-1.pdf. The FY2021 edition itself publishes no key-metrics table: its own contents page runs '3. Capital Resources / 3.1 Leverage Ratio / 4. Capital Adequacy' with no Key Metrics section, which first appears in the FY2022 edition
FY2020 &amp; FY2019: Pillar 3 Disclosures - 31 Dec 2020, p.9 (Capital Resources), p.10 (Leverage Ratio), p.12 (Pillar 1 Minimum Capital Requirement / RWA), p.17 (Liquidity ratios) - https://www.ubauk.com/wp-content/uploads/sites/29/2018/10/uba-uk-pillar-3-disclosures-31-dec-2020.pdf
FY2018: Pillar 3 Disclosures - 31 Dec 2018, p.7 (Capital Resources), p.8 (Leverage Ratio), p.9 (Pillar 1 Minimum Capital Requirement / RWA), p.15 (Liquidity ratios) - https://www.ubauk.com/wp-content/uploads/sites/29/2019/11/UBA-UK-Pillar-3-Disclosures-31-Dec-2018-3.pdf
PRE-2022 FORMAT NOTE: FY2018/FY2019/FY2020/FY2021's Pillar 3 reports pre-date the current 'Key Metrics' (UK KM1) template, which the Bank first publishes in its FY2022 edition (with a 2021 comparative column) - they instead disclose capital resources, the leverage ratio, and liquidity ratios as separate narrative tables under Basel III / CRR headings. The leverage ratio methodology also genuinely differs: FY2018-FY2020 disclose a single 'Exposure value of assets' figure that INCLUDES central government and central bank claims, where FY2021 onward's UK KM1 template explicitly excludes them (per CRR2) - both are shown exactly as each year's own report defines and labels its leverage ratio denominator, not force-aligned to one methodology. Total RWAs for FY2018-FY2020 are not printed as a single figure in either source document - each is derived as that year's own disclosed 'Minimum Capital Resource Requirement' (aggregating credit, market, and operational risk capital) divided by 8%, per the Standardised Approach relationship the same document states explicitly ('Minimum Capital Resource Requirement... at 8% of total risk weighted assets'); CET1/Tier 1/Total Capital ratios for these 3 years are likewise derived as Total own funds / this derived RWA figure, since none of the three years' own reports print a capital ratio percentage directly. HQLA, net cash outflow, available stable funding, and required stable funding £ amounts are not disclosed in any of the 3 years' Pillar 3 reports - only the LCR/NSFR ratios themselves - so the LCR and NSFR sheets show only the ratio row for FY2018-FY2020, with the underlying $ amount rows blank.
LINK PROVENANCE (checked 15 September 2026). UBA UK's documents moved from the parent group's site path www.ubagroup.com/uk/ to the Bank's own domain www.ubauk.com; the /wp-content/uploads/sites/29/... path is unchanged, and the two hosts serve BYTE-IDENTICAL files (verified by MD5 below). Both FY2018 URLs in this script have been moved to www.ubauk.com. Every replacement was fetched and confirmed to be a real PDF (%PDF magic bytes, not merely HTTP 200) with its cover and entity read.
1) FY2018 ANNUAL REPORT - the URL previously cited here was DEAD, but NOT for the reason previously recorded in this script. It 404s because of a FILENAME error, not the domain move: it says '...Report-and-Accts-...' where the file UBA actually published is '...Report-and-Accounts-...' (spelled out). Confirmed HTTP 404 on BOTH hosts on 15 September 2026, with a genuine 404 body (409 and 329 bytes of HTML respectively), not a soft-404 and not a 403/block. Dead original: https://www.ubagroup.com/uk/wp-content/uploads/sites/29/2019/07/UBA-UK-Ltd-Report-and-Accts-31-Dec-2018.pdf -&gt; live replacement: https://www.ubauk.com/wp-content/uploads/sites/29/2019/07/UBA-UK-Ltd-Report-and-Accounts-31-Dec-2018.pdf (HTTP 200, %PDF, 956,558 bytes, 52 pages, cover 'UNITED BANK for AFRICA (UK) LIMITED / ANNUAL REPORT AND ACCOUNTS / 31 DECEMBER 2018'). The correctly-named file is ALSO still live on the legacy ubagroup.com path and is byte-identical to the ubauk.com copy (both MD5 7e97b0f5364393ce657b0b796bb170b8), so there is no question of a different edition having been substituted.</t>
        </is>
      </c>
    </row>
    <row r="9" ht="150" customHeight="1">
      <c r="A9" s="8" t="inlineStr">
        <is>
          <t>(continued)
CONSEQUENCE - a data gap this re-pointing CLOSED, not merely a citation fix: because the FY2018 Annual Report was believed unobtainable, this workbook previously left FY2018's investment-securities measurement-basis sub-rows blank, with a note saying no copy could be located. The recovered document's Note 5.7.11 'Investment securities' (p.39) does disclose that split, and it is now transcribed onto those rows - see the Balance Sheet source note.
2) FY2018 PILLAR 3 - this URL was NOT dead. https://www.ubagroup.com/uk/wp-content/uploads/sites/29/2019/11/UBA-UK-Pillar-3-Disclosures-31-Dec-2018-3.pdf still returns HTTP 200 and a real PDF as at 15 September 2026, and is byte-identical to the ubauk.com copy now cited (both MD5 975b3403146028c16184ca72958332e8, 363,778 bytes, 19 pages). It has been migrated to www.ubauk.com pre-emptively, for consistency with the other six source URLs in this script and because ubagroup.com/uk/ is the legacy path the Bank has moved off. The legacy URL is recorded here rather than discarded.
REPRODUCTION CHECK: every FY2018 figure in this workbook was re-read from the two ubauk.com documents and all reproduce exactly, with no restatement. Statement of Financial Position p.26 (Total assets $166,173k; total shareholders' equity $44,723k; loans from banks $110,774k); Statement of Comprehensive Income p.25 (interest income $9,863k; loss after tax $(1,881)k); Pillar 3 section 3 p.7 (TOTAL OWN FUNDS $42,697k), section 3.1 p.8 (exposure value of assets $174,209k; leverage ratio 24%), section 4.4 p.9 (credit risk $4,021k, market risk $231k, operational risk $805k, Minimum Capital Resource Requirement $5,057k) and the liquidity-ratios table (LCR 466%, NSFR 113%). Digits were checked visually, not taken from OCR - both documents carry a real text layer, so no OCR step was involved.</t>
        </is>
      </c>
    </row>
  </sheetData>
  <mergeCells count="3">
    <mergeCell ref="A7:H7"/>
    <mergeCell ref="A9:H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2026-10-26T09:36:18Z</dcterms:created>
  <dcterms:modified xmlns:dcterms="http://purl.org/dc/terms/" xmlns:xsi="http://www.w3.org/2001/XMLSchema-instance" xsi:type="dcterms:W3CDTF">2026-10-26T09:36:19Z</dcterms:modified>
</cp:coreProperties>
</file>