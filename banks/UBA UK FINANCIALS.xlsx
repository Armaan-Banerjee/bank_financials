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ser>
          <idx val="3"/>
          <order val="3"/>
          <tx>
            <strRef>
              <f>'Overview'!O9</f>
            </strRef>
          </tx>
          <spPr>
            <a:ln>
              <a:prstDash val="solid"/>
            </a:ln>
          </spPr>
          <marker>
            <symbol val="none"/>
            <spPr>
              <a:ln>
                <a:prstDash val="solid"/>
              </a:ln>
            </spPr>
          </marker>
          <cat>
            <numRef>
              <f>'Overview'!$P$5:$S$5</f>
            </numRef>
          </cat>
          <val>
            <numRef>
              <f>'Overview'!$P$9:$S$9</f>
            </numRef>
          </val>
          <smooth val="0"/>
        </ser>
        <ser>
          <idx val="4"/>
          <order val="4"/>
          <tx>
            <strRef>
              <f>'Overview'!O10</f>
            </strRef>
          </tx>
          <spPr>
            <a:ln>
              <a:prstDash val="solid"/>
            </a:ln>
          </spPr>
          <marker>
            <symbol val="none"/>
            <spPr>
              <a:ln>
                <a:prstDash val="solid"/>
              </a:ln>
            </spPr>
          </marker>
          <cat>
            <numRef>
              <f>'Overview'!$P$5:$S$5</f>
            </numRef>
          </cat>
          <val>
            <numRef>
              <f>'Overview'!$P$10:$S$10</f>
            </numRef>
          </val>
          <smooth val="0"/>
        </ser>
        <ser>
          <idx val="5"/>
          <order val="5"/>
          <tx>
            <strRef>
              <f>'Overview'!O11</f>
            </strRef>
          </tx>
          <spPr>
            <a:ln>
              <a:prstDash val="solid"/>
            </a:ln>
          </spPr>
          <marker>
            <symbol val="none"/>
            <spPr>
              <a:ln>
                <a:prstDash val="solid"/>
              </a:ln>
            </spPr>
          </marker>
          <cat>
            <numRef>
              <f>'Overview'!$P$5:$S$5</f>
            </numRef>
          </cat>
          <val>
            <numRef>
              <f>'Overview'!$P$11:$S$11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United Bank for Africa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P5" t="inlineStr">
        <is>
          <t>FY2021</t>
        </is>
      </c>
      <c r="Q5" t="inlineStr">
        <is>
          <t>FY2022</t>
        </is>
      </c>
      <c r="R5" t="inlineStr">
        <is>
          <t>FY2023</t>
        </is>
      </c>
      <c r="S5" t="inlineStr">
        <is>
          <t>FY2024</t>
        </is>
      </c>
    </row>
    <row r="6">
      <c r="A6" s="5" t="inlineStr">
        <is>
          <t>Net cash flows from/(used in) operating activities</t>
        </is>
      </c>
      <c r="B6" s="5" t="n">
        <v>40782.4</v>
      </c>
      <c r="C6" s="5" t="n">
        <v>42791.2</v>
      </c>
      <c r="D6" s="5" t="n">
        <v>-6406.7</v>
      </c>
      <c r="E6" s="5" t="n">
        <v>19246.7</v>
      </c>
      <c r="H6" t="inlineStr">
        <is>
          <t>Net cash flows from/(used in) operating activities</t>
        </is>
      </c>
      <c r="I6" t="n">
        <v>19246.7</v>
      </c>
      <c r="J6" t="n">
        <v>-6406.7</v>
      </c>
      <c r="K6" t="n">
        <v>42791.2</v>
      </c>
      <c r="L6" t="n">
        <v>40782.4</v>
      </c>
      <c r="O6" t="inlineStr">
        <is>
          <t>CET1 Ratio</t>
        </is>
      </c>
      <c r="P6" t="n">
        <v>33.56</v>
      </c>
      <c r="Q6" t="n">
        <v>23.27</v>
      </c>
      <c r="R6" t="n">
        <v>47.6</v>
      </c>
      <c r="S6" t="n">
        <v>49.04</v>
      </c>
    </row>
    <row r="7">
      <c r="A7" s="5" t="inlineStr">
        <is>
          <t>Net cash flows from/(used in) investing activities</t>
        </is>
      </c>
      <c r="B7" s="5" t="n">
        <v>-24128.5</v>
      </c>
      <c r="C7" s="5" t="n">
        <v>-4803.4</v>
      </c>
      <c r="D7" s="5" t="n">
        <v>-12844.2</v>
      </c>
      <c r="E7" s="5" t="n">
        <v>-11258</v>
      </c>
      <c r="H7" t="inlineStr">
        <is>
          <t>Net cash flows from/(used in) investing activities</t>
        </is>
      </c>
      <c r="I7" t="n">
        <v>-11258</v>
      </c>
      <c r="J7" t="n">
        <v>-12844.2</v>
      </c>
      <c r="K7" t="n">
        <v>-4803.4</v>
      </c>
      <c r="L7" t="n">
        <v>-24128.5</v>
      </c>
      <c r="O7" t="inlineStr">
        <is>
          <t>Tier 1 Ratio</t>
        </is>
      </c>
      <c r="P7" t="n">
        <v>33.56</v>
      </c>
      <c r="Q7" t="n">
        <v>23.27</v>
      </c>
      <c r="R7" t="n">
        <v>47.6</v>
      </c>
      <c r="S7" t="n">
        <v>49.04</v>
      </c>
    </row>
    <row r="8">
      <c r="A8" s="5" t="inlineStr">
        <is>
          <t>Net cash flow (used in)/from financing activities</t>
        </is>
      </c>
      <c r="B8" s="5" t="n">
        <v>-8030</v>
      </c>
      <c r="C8" s="5" t="n">
        <v>9449.299999999999</v>
      </c>
      <c r="D8" s="5" t="n">
        <v>-190.1</v>
      </c>
      <c r="E8" s="5" t="n">
        <v>-205.8</v>
      </c>
      <c r="H8" t="inlineStr">
        <is>
          <t>Net cash flow (used in)/from financing activities</t>
        </is>
      </c>
      <c r="I8" t="n">
        <v>-205.8</v>
      </c>
      <c r="J8" t="n">
        <v>-190.1</v>
      </c>
      <c r="K8" t="n">
        <v>9449.299999999999</v>
      </c>
      <c r="L8" t="n">
        <v>-8030</v>
      </c>
      <c r="O8" t="inlineStr">
        <is>
          <t>Total Capital Ratio</t>
        </is>
      </c>
      <c r="P8" t="n">
        <v>33.56</v>
      </c>
      <c r="Q8" t="n">
        <v>23.27</v>
      </c>
      <c r="R8" t="n">
        <v>47.6</v>
      </c>
      <c r="S8" t="n">
        <v>49.04</v>
      </c>
    </row>
    <row r="9">
      <c r="A9" s="5" t="inlineStr">
        <is>
          <t>Cash and cash equivalents at end of period</t>
        </is>
      </c>
      <c r="B9" s="5" t="n">
        <v>81764.3</v>
      </c>
      <c r="C9" s="5" t="n">
        <v>71669.8</v>
      </c>
      <c r="D9" s="5" t="n">
        <v>25950.2</v>
      </c>
      <c r="E9" s="5" t="n">
        <v>40991.8</v>
      </c>
      <c r="H9" t="inlineStr">
        <is>
          <t>Cash and cash equivalents at end of period</t>
        </is>
      </c>
      <c r="I9" t="n">
        <v>40991.8</v>
      </c>
      <c r="J9" t="n">
        <v>25950.2</v>
      </c>
      <c r="K9" t="n">
        <v>71669.8</v>
      </c>
      <c r="L9" t="n">
        <v>81764.3</v>
      </c>
      <c r="O9" t="inlineStr">
        <is>
          <t>Leverage Ratio</t>
        </is>
      </c>
      <c r="P9" t="n">
        <v>7</v>
      </c>
      <c r="Q9" t="n">
        <v>6</v>
      </c>
      <c r="R9" t="n">
        <v>9.720000000000001</v>
      </c>
      <c r="S9" t="n">
        <v>16.16</v>
      </c>
    </row>
    <row r="10">
      <c r="O10" t="inlineStr">
        <is>
          <t>LCR</t>
        </is>
      </c>
      <c r="P10" t="n">
        <v>361.44</v>
      </c>
      <c r="Q10" t="n">
        <v>224.15</v>
      </c>
      <c r="R10" t="n">
        <v>228.83</v>
      </c>
      <c r="S10" t="n">
        <v>352.77</v>
      </c>
    </row>
    <row r="11">
      <c r="A11" s="3" t="inlineStr">
        <is>
          <t>Pillar 3 Key Metrics</t>
        </is>
      </c>
      <c r="O11" t="inlineStr">
        <is>
          <t>NSFR</t>
        </is>
      </c>
      <c r="P11" t="n">
        <v>147.77</v>
      </c>
      <c r="Q11" t="n">
        <v>181.33</v>
      </c>
      <c r="R11" t="n">
        <v>153.07</v>
      </c>
      <c r="S11" t="n">
        <v>182.68</v>
      </c>
    </row>
    <row r="12">
      <c r="A12" s="4" t="inlineStr">
        <is>
          <t>Line item</t>
        </is>
      </c>
      <c r="B12" s="4" t="inlineStr">
        <is>
          <t>FY2024</t>
        </is>
      </c>
      <c r="C12" s="4" t="inlineStr">
        <is>
          <t>FY2023</t>
        </is>
      </c>
      <c r="D12" s="4" t="inlineStr">
        <is>
          <t>FY2022</t>
        </is>
      </c>
      <c r="E12" s="4" t="inlineStr">
        <is>
          <t>FY2021</t>
        </is>
      </c>
    </row>
    <row r="13">
      <c r="A13" s="6" t="inlineStr">
        <is>
          <t>CET1 Ratio</t>
        </is>
      </c>
      <c r="B13" s="6" t="inlineStr">
        <is>
          <t>49.04%</t>
        </is>
      </c>
      <c r="C13" s="6" t="inlineStr">
        <is>
          <t>47.60%</t>
        </is>
      </c>
      <c r="D13" s="6" t="inlineStr">
        <is>
          <t>23.27%</t>
        </is>
      </c>
      <c r="E13" s="6" t="inlineStr">
        <is>
          <t>33.56%</t>
        </is>
      </c>
    </row>
    <row r="14">
      <c r="A14" s="6" t="inlineStr">
        <is>
          <t>Tier 1 Ratio</t>
        </is>
      </c>
      <c r="B14" s="6" t="inlineStr">
        <is>
          <t>49.04%</t>
        </is>
      </c>
      <c r="C14" s="6" t="inlineStr">
        <is>
          <t>47.60%</t>
        </is>
      </c>
      <c r="D14" s="6" t="inlineStr">
        <is>
          <t>23.27%</t>
        </is>
      </c>
      <c r="E14" s="6" t="inlineStr">
        <is>
          <t>33.56%</t>
        </is>
      </c>
    </row>
    <row r="15">
      <c r="A15" s="6" t="inlineStr">
        <is>
          <t>Total Capital Ratio</t>
        </is>
      </c>
      <c r="B15" s="6" t="inlineStr">
        <is>
          <t>49.04%</t>
        </is>
      </c>
      <c r="C15" s="6" t="inlineStr">
        <is>
          <t>47.60%</t>
        </is>
      </c>
      <c r="D15" s="6" t="inlineStr">
        <is>
          <t>23.27%</t>
        </is>
      </c>
      <c r="E15" s="6" t="inlineStr">
        <is>
          <t>33.56%</t>
        </is>
      </c>
    </row>
    <row r="16">
      <c r="A16" s="6" t="inlineStr">
        <is>
          <t>Leverage Ratio</t>
        </is>
      </c>
      <c r="B16" s="6" t="inlineStr">
        <is>
          <t>16.16%</t>
        </is>
      </c>
      <c r="C16" s="6" t="inlineStr">
        <is>
          <t>9.72%</t>
        </is>
      </c>
      <c r="D16" s="6" t="inlineStr">
        <is>
          <t>6%</t>
        </is>
      </c>
      <c r="E16" s="6" t="inlineStr">
        <is>
          <t>7%</t>
        </is>
      </c>
    </row>
    <row r="17">
      <c r="A17" s="6" t="inlineStr">
        <is>
          <t>LCR</t>
        </is>
      </c>
      <c r="B17" s="6" t="inlineStr">
        <is>
          <t>352.77%</t>
        </is>
      </c>
      <c r="C17" s="6" t="inlineStr">
        <is>
          <t>228.83%</t>
        </is>
      </c>
      <c r="D17" s="6" t="inlineStr">
        <is>
          <t>224.15%</t>
        </is>
      </c>
      <c r="E17" s="6" t="inlineStr">
        <is>
          <t>361.44%</t>
        </is>
      </c>
    </row>
    <row r="18">
      <c r="A18" s="6" t="inlineStr">
        <is>
          <t>NSFR</t>
        </is>
      </c>
      <c r="B18" s="6" t="inlineStr">
        <is>
          <t>182.68%</t>
        </is>
      </c>
      <c r="C18" s="6" t="inlineStr">
        <is>
          <t>153.07%</t>
        </is>
      </c>
      <c r="D18" s="6" t="inlineStr">
        <is>
          <t>181.33%</t>
        </is>
      </c>
      <c r="E18" s="6" t="inlineStr">
        <is>
          <t>147.77%</t>
        </is>
      </c>
    </row>
    <row r="20" ht="45" customHeight="1">
      <c r="A2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No FY2025 Annual Report or Pillar 3 disclosure has been published yet, so this workbook covers FY2021-FY2024 (4 years) rather than the usual 5.</t>
        </is>
      </c>
    </row>
  </sheetData>
  <mergeCells count="1">
    <mergeCell ref="A20:E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row>
    <row r="4">
      <c r="A4" s="5" t="inlineStr">
        <is>
          <t>Operating activities</t>
        </is>
      </c>
      <c r="B4" s="6" t="n"/>
      <c r="C4" s="6" t="n"/>
      <c r="D4" s="6" t="n"/>
      <c r="E4" s="6" t="n"/>
    </row>
    <row r="5">
      <c r="A5" s="6" t="inlineStr">
        <is>
          <t>Profit/(loss) before tax</t>
        </is>
      </c>
      <c r="B5" s="6" t="n">
        <v>10107.2</v>
      </c>
      <c r="C5" s="6" t="n">
        <v>14386.2</v>
      </c>
      <c r="D5" s="6" t="n">
        <v>9750</v>
      </c>
      <c r="E5" s="6" t="n">
        <v>-761.3</v>
      </c>
    </row>
    <row r="6">
      <c r="A6" s="6" t="inlineStr">
        <is>
          <t>Depreciation and amortisation</t>
        </is>
      </c>
      <c r="B6" s="6" t="n">
        <v>610.2</v>
      </c>
      <c r="C6" s="6" t="n">
        <v>629.5</v>
      </c>
      <c r="D6" s="6" t="n">
        <v>611.6</v>
      </c>
      <c r="E6" s="6" t="n">
        <v>556.3</v>
      </c>
    </row>
    <row r="7">
      <c r="A7" s="6" t="inlineStr">
        <is>
          <t>Net gain/(loss) on derecognition of debt instruments measured at amortised cost</t>
        </is>
      </c>
      <c r="B7" s="6" t="n">
        <v>-819.1</v>
      </c>
      <c r="C7" s="6" t="n">
        <v>99.7</v>
      </c>
      <c r="D7" s="6" t="n"/>
      <c r="E7" s="6" t="n"/>
    </row>
    <row r="8">
      <c r="A8" s="6" t="inlineStr">
        <is>
          <t>Net gain/(loss) on derecognition of debt instruments measured at FVOCI</t>
        </is>
      </c>
      <c r="B8" s="6" t="n">
        <v>-159.6</v>
      </c>
      <c r="C8" s="6" t="n">
        <v>-9.6</v>
      </c>
      <c r="D8" s="6" t="n"/>
      <c r="E8" s="6" t="n"/>
    </row>
    <row r="9">
      <c r="A9" s="6" t="inlineStr">
        <is>
          <t>Loss on disposal of investments at FVOCI</t>
        </is>
      </c>
      <c r="B9" s="6" t="n"/>
      <c r="C9" s="6" t="n"/>
      <c r="D9" s="6" t="n">
        <v>277.5</v>
      </c>
      <c r="E9" s="6" t="n">
        <v>13.1</v>
      </c>
    </row>
    <row r="10">
      <c r="A10" s="6" t="inlineStr">
        <is>
          <t>Other non-cash items included in profit before tax</t>
        </is>
      </c>
      <c r="B10" s="6" t="n">
        <v>72.8</v>
      </c>
      <c r="C10" s="6" t="n">
        <v>-1098.2</v>
      </c>
      <c r="D10" s="6" t="n"/>
      <c r="E10" s="6" t="n"/>
    </row>
    <row r="11">
      <c r="A11" s="6" t="inlineStr">
        <is>
          <t>Increase in other non-cash movements</t>
        </is>
      </c>
      <c r="B11" s="6" t="n"/>
      <c r="C11" s="6" t="n"/>
      <c r="D11" s="6" t="n">
        <v>3707.3</v>
      </c>
      <c r="E11" s="6" t="n">
        <v>-146.2</v>
      </c>
    </row>
    <row r="12">
      <c r="A12" s="6" t="inlineStr">
        <is>
          <t>Change in due from banks</t>
        </is>
      </c>
      <c r="B12" s="6" t="n">
        <v>-67523.89999999999</v>
      </c>
      <c r="C12" s="6" t="n"/>
      <c r="D12" s="6" t="n"/>
      <c r="E12" s="6" t="n"/>
    </row>
    <row r="13">
      <c r="A13" s="6" t="inlineStr">
        <is>
          <t>Change in loans and advances to banks</t>
        </is>
      </c>
      <c r="B13" s="6" t="n">
        <v>214511.8</v>
      </c>
      <c r="C13" s="6" t="n">
        <v>45211.8</v>
      </c>
      <c r="D13" s="6" t="n">
        <v>-74826.89999999999</v>
      </c>
      <c r="E13" s="6" t="n">
        <v>-181358.3</v>
      </c>
    </row>
    <row r="14">
      <c r="A14" s="6" t="inlineStr">
        <is>
          <t>Change in loans and advances to customers</t>
        </is>
      </c>
      <c r="B14" s="6" t="n">
        <v>2003.6</v>
      </c>
      <c r="C14" s="6" t="n">
        <v>-2058.8</v>
      </c>
      <c r="D14" s="6" t="n"/>
      <c r="E14" s="6" t="n"/>
    </row>
    <row r="15">
      <c r="A15" s="6" t="inlineStr">
        <is>
          <t>Change in other assets</t>
        </is>
      </c>
      <c r="B15" s="6" t="n">
        <v>-1660.1</v>
      </c>
      <c r="C15" s="6" t="n">
        <v>-1247.7</v>
      </c>
      <c r="D15" s="6" t="n">
        <v>596.2</v>
      </c>
      <c r="E15" s="6" t="n">
        <v>-893</v>
      </c>
    </row>
    <row r="16">
      <c r="A16" s="6" t="inlineStr">
        <is>
          <t>Change in deposit from banks</t>
        </is>
      </c>
      <c r="B16" s="6" t="n">
        <v>-93734.89999999999</v>
      </c>
      <c r="C16" s="6" t="n">
        <v>-36816.5</v>
      </c>
      <c r="D16" s="6" t="n">
        <v>50608.3</v>
      </c>
      <c r="E16" s="6" t="n">
        <v>209352.8</v>
      </c>
    </row>
    <row r="17">
      <c r="A17" s="6" t="inlineStr">
        <is>
          <t>Change in deposit from customers</t>
        </is>
      </c>
      <c r="B17" s="6" t="n">
        <v>-21549.1</v>
      </c>
      <c r="C17" s="6" t="n">
        <v>26179.8</v>
      </c>
      <c r="D17" s="6" t="n">
        <v>3881.2</v>
      </c>
      <c r="E17" s="6" t="n">
        <v>-9781.799999999999</v>
      </c>
    </row>
    <row r="18">
      <c r="A18" s="6" t="inlineStr">
        <is>
          <t>Change/increase in other liabilities</t>
        </is>
      </c>
      <c r="B18" s="6" t="n">
        <v>1440.3</v>
      </c>
      <c r="C18" s="6" t="n">
        <v>782.2</v>
      </c>
      <c r="D18" s="6" t="n">
        <v>-1012</v>
      </c>
      <c r="E18" s="6" t="n">
        <v>2265.1</v>
      </c>
    </row>
    <row r="19">
      <c r="A19" s="6" t="inlineStr">
        <is>
          <t>Tax paid</t>
        </is>
      </c>
      <c r="B19" s="6" t="n">
        <v>-2516.8</v>
      </c>
      <c r="C19" s="6" t="n">
        <v>-3267.1</v>
      </c>
      <c r="D19" s="6" t="n"/>
      <c r="E19" s="6" t="n"/>
    </row>
    <row r="20">
      <c r="A20" s="5" t="inlineStr">
        <is>
          <t>Net cash flows from/(used in) operating activities</t>
        </is>
      </c>
      <c r="B20" s="5" t="n">
        <v>40782.4</v>
      </c>
      <c r="C20" s="5" t="n">
        <v>42791.2</v>
      </c>
      <c r="D20" s="5" t="n">
        <v>-6406.7</v>
      </c>
      <c r="E20" s="5" t="n">
        <v>19246.7</v>
      </c>
    </row>
    <row r="21">
      <c r="A21" s="5" t="inlineStr">
        <is>
          <t>Investing activities</t>
        </is>
      </c>
      <c r="B21" s="6" t="n"/>
      <c r="C21" s="6" t="n"/>
      <c r="D21" s="6" t="n"/>
      <c r="E21" s="6" t="n"/>
    </row>
    <row r="22">
      <c r="A22" s="6" t="inlineStr">
        <is>
          <t>Purchase of property, plant and equipment</t>
        </is>
      </c>
      <c r="B22" s="6" t="n">
        <v>-427.2</v>
      </c>
      <c r="C22" s="6" t="n">
        <v>-53.9</v>
      </c>
      <c r="D22" s="6" t="n"/>
      <c r="E22" s="6" t="n"/>
    </row>
    <row r="23">
      <c r="A23" s="6" t="inlineStr">
        <is>
          <t>Purchase and sale of property, plant and equipment (net)</t>
        </is>
      </c>
      <c r="B23" s="6" t="n"/>
      <c r="C23" s="6" t="n"/>
      <c r="D23" s="6" t="n">
        <v>-19.4</v>
      </c>
      <c r="E23" s="6" t="n"/>
    </row>
    <row r="24">
      <c r="A24" s="6" t="inlineStr">
        <is>
          <t>Purchase of intangible assets</t>
        </is>
      </c>
      <c r="B24" s="6" t="n">
        <v>-161.9</v>
      </c>
      <c r="C24" s="6" t="n">
        <v>-76.40000000000001</v>
      </c>
      <c r="D24" s="6" t="n">
        <v>-185.2</v>
      </c>
      <c r="E24" s="6" t="n">
        <v>-88.7</v>
      </c>
    </row>
    <row r="25">
      <c r="A25" s="6" t="inlineStr">
        <is>
          <t>Payments for investment securities at FVOCI</t>
        </is>
      </c>
      <c r="B25" s="6" t="n">
        <v>-58767.8</v>
      </c>
      <c r="C25" s="6" t="n">
        <v>-7924.3</v>
      </c>
      <c r="D25" s="6" t="n">
        <v>-4034.9</v>
      </c>
      <c r="E25" s="6" t="n">
        <v>-62881</v>
      </c>
    </row>
    <row r="26">
      <c r="A26" s="6" t="inlineStr">
        <is>
          <t>Net payment for subscription/redemption of investment securities at FVTPL</t>
        </is>
      </c>
      <c r="B26" s="6" t="n">
        <v>-4663.6</v>
      </c>
      <c r="C26" s="6" t="n">
        <v>-12558.1</v>
      </c>
      <c r="D26" s="6" t="n"/>
      <c r="E26" s="6" t="n"/>
    </row>
    <row r="27">
      <c r="A27" s="6" t="inlineStr">
        <is>
          <t>Payments for investment securities at FVTPL</t>
        </is>
      </c>
      <c r="B27" s="6" t="n"/>
      <c r="C27" s="6" t="n"/>
      <c r="D27" s="6" t="n">
        <v>-21876.7</v>
      </c>
      <c r="E27" s="6" t="n">
        <v>-9091</v>
      </c>
    </row>
    <row r="28">
      <c r="A28" s="6" t="inlineStr">
        <is>
          <t>Payments for investment securities at amortised cost</t>
        </is>
      </c>
      <c r="B28" s="6" t="n"/>
      <c r="C28" s="6" t="n"/>
      <c r="D28" s="6" t="n">
        <v>-10947.3</v>
      </c>
      <c r="E28" s="6" t="n">
        <v>-24094.7</v>
      </c>
    </row>
    <row r="29">
      <c r="A29" s="6" t="inlineStr">
        <is>
          <t>Proceeds from sale of investment securities at FVOCI</t>
        </is>
      </c>
      <c r="B29" s="6" t="n">
        <v>25291.8</v>
      </c>
      <c r="C29" s="6" t="n">
        <v>14170.8</v>
      </c>
      <c r="D29" s="6" t="n">
        <v>14106.1</v>
      </c>
      <c r="E29" s="6" t="n">
        <v>53623.5</v>
      </c>
    </row>
    <row r="30">
      <c r="A30" s="6" t="inlineStr">
        <is>
          <t>Proceeds from sale of investment securities at amortised cost</t>
        </is>
      </c>
      <c r="B30" s="6" t="n">
        <v>14600.2</v>
      </c>
      <c r="C30" s="6" t="n">
        <v>1638.4</v>
      </c>
      <c r="D30" s="6" t="n"/>
      <c r="E30" s="6" t="n"/>
    </row>
    <row r="31">
      <c r="A31" s="6" t="inlineStr">
        <is>
          <t>Proceeds from sale of investment securities at FVTPL</t>
        </is>
      </c>
      <c r="B31" s="6" t="n"/>
      <c r="C31" s="6" t="n"/>
      <c r="D31" s="6" t="n">
        <v>10113.3</v>
      </c>
      <c r="E31" s="6" t="n">
        <v>1454.3</v>
      </c>
    </row>
    <row r="32">
      <c r="A32" s="6" t="inlineStr">
        <is>
          <t>Proceeds from maturity of investment securities at amortised cost</t>
        </is>
      </c>
      <c r="B32" s="6" t="n"/>
      <c r="C32" s="6" t="n"/>
      <c r="D32" s="6" t="n"/>
      <c r="E32" s="6" t="n">
        <v>29819.7</v>
      </c>
    </row>
    <row r="33">
      <c r="A33" s="5" t="inlineStr">
        <is>
          <t>Net cash flows from/(used in) investing activities</t>
        </is>
      </c>
      <c r="B33" s="5" t="n">
        <v>-24128.5</v>
      </c>
      <c r="C33" s="5" t="n">
        <v>-4803.4</v>
      </c>
      <c r="D33" s="5" t="n">
        <v>-12844.2</v>
      </c>
      <c r="E33" s="5" t="n">
        <v>-11258</v>
      </c>
    </row>
    <row r="34">
      <c r="A34" s="5" t="inlineStr">
        <is>
          <t>Financing activities</t>
        </is>
      </c>
      <c r="B34" s="6" t="n"/>
      <c r="C34" s="6" t="n"/>
      <c r="D34" s="6" t="n"/>
      <c r="E34" s="6" t="n"/>
    </row>
    <row r="35">
      <c r="A35" s="6" t="inlineStr">
        <is>
          <t>Payments of lease liabilities</t>
        </is>
      </c>
      <c r="B35" s="6" t="n">
        <v>-199.5</v>
      </c>
      <c r="C35" s="6" t="n">
        <v>-188.9</v>
      </c>
      <c r="D35" s="6" t="n">
        <v>-190.1</v>
      </c>
      <c r="E35" s="6" t="n">
        <v>-205.8</v>
      </c>
    </row>
    <row r="36">
      <c r="A36" s="6" t="inlineStr">
        <is>
          <t>Payments of interest on leases</t>
        </is>
      </c>
      <c r="B36" s="6" t="n">
        <v>-7</v>
      </c>
      <c r="C36" s="6" t="n">
        <v>-8.800000000000001</v>
      </c>
      <c r="D36" s="6" t="n"/>
      <c r="E36" s="6" t="n"/>
    </row>
    <row r="37">
      <c r="A37" s="6" t="inlineStr">
        <is>
          <t>Dividend paid</t>
        </is>
      </c>
      <c r="B37" s="6" t="n">
        <v>-7823.5</v>
      </c>
      <c r="C37" s="6" t="n"/>
      <c r="D37" s="6" t="n"/>
      <c r="E37" s="6" t="n"/>
    </row>
    <row r="38">
      <c r="A38" s="6" t="inlineStr">
        <is>
          <t>Proceeds from issuance of share capital</t>
        </is>
      </c>
      <c r="B38" s="6" t="n"/>
      <c r="C38" s="6" t="n">
        <v>9647.1</v>
      </c>
      <c r="D38" s="6" t="n"/>
      <c r="E38" s="6" t="n"/>
    </row>
    <row r="39">
      <c r="A39" s="5" t="inlineStr">
        <is>
          <t>Net cash flow (used in)/from financing activities</t>
        </is>
      </c>
      <c r="B39" s="5" t="n">
        <v>-8030</v>
      </c>
      <c r="C39" s="5" t="n">
        <v>9449.299999999999</v>
      </c>
      <c r="D39" s="5" t="n">
        <v>-190.1</v>
      </c>
      <c r="E39" s="5" t="n">
        <v>-205.8</v>
      </c>
    </row>
    <row r="40">
      <c r="A40" s="5" t="inlineStr">
        <is>
          <t>Net increase/(decrease) in cash and cash equivalents</t>
        </is>
      </c>
      <c r="B40" s="5" t="n">
        <v>8623.799999999999</v>
      </c>
      <c r="C40" s="5" t="n">
        <v>47437.1</v>
      </c>
      <c r="D40" s="5" t="n">
        <v>-19441</v>
      </c>
      <c r="E40" s="5" t="n">
        <v>7782.9</v>
      </c>
    </row>
    <row r="41">
      <c r="A41" s="6" t="inlineStr">
        <is>
          <t>Net foreign exchange difference</t>
        </is>
      </c>
      <c r="B41" s="6" t="n">
        <v>43</v>
      </c>
      <c r="C41" s="6" t="n">
        <v>714.7</v>
      </c>
      <c r="D41" s="6" t="n"/>
      <c r="E41" s="6" t="n"/>
    </row>
    <row r="42">
      <c r="A42" s="6" t="inlineStr">
        <is>
          <t>Effect of GBP/USD translation (£ conversion artefact - see FX note)</t>
        </is>
      </c>
      <c r="B42" s="6" t="n">
        <v>1427.6</v>
      </c>
      <c r="C42" s="6" t="n">
        <v>-2400.8</v>
      </c>
      <c r="D42" s="6" t="n">
        <v>4399.5</v>
      </c>
      <c r="E42" s="6" t="n">
        <v>471.9</v>
      </c>
    </row>
    <row r="43">
      <c r="A43" s="6" t="inlineStr">
        <is>
          <t>Cash and cash equivalents at beginning of period</t>
        </is>
      </c>
      <c r="B43" s="6" t="n">
        <v>71669.8</v>
      </c>
      <c r="C43" s="6" t="n">
        <v>25918.8</v>
      </c>
      <c r="D43" s="6" t="n">
        <v>40991.8</v>
      </c>
      <c r="E43" s="6" t="n">
        <v>32737</v>
      </c>
    </row>
    <row r="44">
      <c r="A44" s="5" t="inlineStr">
        <is>
          <t>Cash and cash equivalents at end of period</t>
        </is>
      </c>
      <c r="B44" s="5" t="n">
        <v>81764.3</v>
      </c>
      <c r="C44" s="5" t="n">
        <v>71669.8</v>
      </c>
      <c r="D44" s="5" t="n">
        <v>25950.2</v>
      </c>
      <c r="E44" s="5" t="n">
        <v>40991.8</v>
      </c>
    </row>
    <row r="46" ht="340" customHeight="1">
      <c r="A46"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FY2021-FY2024 only (4 years) rather than the usual 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and identical to the rates used for Zenith Bank UK since both banks share the same 31 December fiscal year-end. Rates used (£1 = $X): 31 Dec 2020 spot 1.3661 (FY2021 opening cash only);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t>
        </is>
      </c>
    </row>
  </sheetData>
  <mergeCells count="1">
    <mergeCell ref="A46:E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62459.9</v>
      </c>
      <c r="C4" s="6" t="n">
        <v>47832.5</v>
      </c>
      <c r="D4" s="6" t="n">
        <v>30183.7</v>
      </c>
      <c r="E4" s="6" t="n">
        <v>28339.6</v>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Tier 1 capital</t>
        </is>
      </c>
      <c r="B4" s="6" t="n">
        <v>62459.9</v>
      </c>
      <c r="C4" s="6" t="n">
        <v>47832.5</v>
      </c>
      <c r="D4" s="6" t="n">
        <v>30183.7</v>
      </c>
      <c r="E4" s="6" t="n">
        <v>28339.6</v>
      </c>
    </row>
    <row r="5" ht="60" customHeight="1">
      <c r="A5" s="7" t="inlineStr">
        <is>
          <t>Note: Equal to CET1 capital in every year - the Bank holds no Additional Tier 1 (AT1) instruments.</t>
        </is>
      </c>
    </row>
    <row r="7" ht="12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Total capital</t>
        </is>
      </c>
      <c r="B4" s="6" t="n">
        <v>62459.9</v>
      </c>
      <c r="C4" s="6" t="n">
        <v>47832.5</v>
      </c>
      <c r="D4" s="6" t="n">
        <v>30183.7</v>
      </c>
      <c r="E4" s="6" t="n">
        <v>28339.6</v>
      </c>
    </row>
    <row r="5" ht="60" customHeight="1">
      <c r="A5" s="7" t="inlineStr">
        <is>
          <t>Note: Equal to CET1/Tier 1 capital in every year - the Bank holds no AT1 or Tier 2 instruments.</t>
        </is>
      </c>
    </row>
    <row r="7" ht="12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49.04%</t>
        </is>
      </c>
      <c r="C4" s="6" t="inlineStr">
        <is>
          <t>47.60%</t>
        </is>
      </c>
      <c r="D4" s="6" t="inlineStr">
        <is>
          <t>23.27%</t>
        </is>
      </c>
      <c r="E4" s="6" t="inlineStr">
        <is>
          <t>33.56%</t>
        </is>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127359.4</v>
      </c>
      <c r="C4" s="6" t="n">
        <v>100480.8</v>
      </c>
      <c r="D4" s="6" t="n">
        <v>113940.5</v>
      </c>
      <c r="E4" s="6" t="n">
        <v>68983.3</v>
      </c>
    </row>
    <row r="6" ht="120" customHeight="1">
      <c r="A6"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386440.4</v>
      </c>
      <c r="C4" s="6" t="n">
        <v>492087.6</v>
      </c>
      <c r="D4" s="6" t="n">
        <v>507472.9</v>
      </c>
      <c r="E4" s="6" t="n">
        <v>424276.2</v>
      </c>
    </row>
    <row r="5">
      <c r="A5" s="6" t="inlineStr">
        <is>
          <t>Leverage ratio excluding claims on central banks (%)</t>
        </is>
      </c>
      <c r="B5" s="6" t="inlineStr">
        <is>
          <t>16.16%</t>
        </is>
      </c>
      <c r="C5" s="6" t="inlineStr">
        <is>
          <t>9.72%</t>
        </is>
      </c>
      <c r="D5" s="6" t="inlineStr">
        <is>
          <t>6%</t>
        </is>
      </c>
      <c r="E5" s="6" t="inlineStr">
        <is>
          <t>7%</t>
        </is>
      </c>
    </row>
    <row r="6" ht="60" customHeight="1">
      <c r="A6" s="7" t="inlineStr">
        <is>
          <t>Note: FY2022/FY2021 leverage ratios are printed to whole-percent precision only in the source document (6% and 7%), unlike FY2024/FY2023's two-decimal precision - transcribed exactly as shown, not rounded further or given false precision.</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6:E6"/>
    <mergeCell ref="A8:E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(average)</t>
        </is>
      </c>
      <c r="B4" s="6" t="n">
        <v>88574.8</v>
      </c>
      <c r="C4" s="6" t="n">
        <v>78937.3</v>
      </c>
      <c r="D4" s="6" t="n">
        <v>75373.39999999999</v>
      </c>
      <c r="E4" s="6" t="n">
        <v>68614.2</v>
      </c>
    </row>
    <row r="5">
      <c r="A5" s="6" t="inlineStr">
        <is>
          <t>Total net cash outflows, adjusted value</t>
        </is>
      </c>
      <c r="B5" s="6" t="n">
        <v>25108.1</v>
      </c>
      <c r="C5" s="6" t="n">
        <v>34495.4</v>
      </c>
      <c r="D5" s="6" t="n">
        <v>33626.9</v>
      </c>
      <c r="E5" s="6" t="n">
        <v>18983.5</v>
      </c>
    </row>
    <row r="6">
      <c r="A6" s="6" t="inlineStr">
        <is>
          <t>Liquidity Coverage Ratio (%)</t>
        </is>
      </c>
      <c r="B6" s="6" t="inlineStr">
        <is>
          <t>352.77%</t>
        </is>
      </c>
      <c r="C6" s="6" t="inlineStr">
        <is>
          <t>228.83%</t>
        </is>
      </c>
      <c r="D6" s="6" t="inlineStr">
        <is>
          <t>224.15%</t>
        </is>
      </c>
      <c r="E6" s="6" t="inlineStr">
        <is>
          <t>361.44%</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8:E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98245.60000000001</v>
      </c>
      <c r="C4" s="6" t="n">
        <v>108589.7</v>
      </c>
      <c r="D4" s="6" t="n">
        <v>138084.1</v>
      </c>
      <c r="E4" s="6" t="n">
        <v>112449.6</v>
      </c>
    </row>
    <row r="5">
      <c r="A5" s="6" t="inlineStr">
        <is>
          <t>Total required stable funding</t>
        </is>
      </c>
      <c r="B5" s="6" t="n">
        <v>53779.7</v>
      </c>
      <c r="C5" s="6" t="n">
        <v>70940.8</v>
      </c>
      <c r="D5" s="6" t="n">
        <v>76148.8</v>
      </c>
      <c r="E5" s="6" t="n">
        <v>76097.5</v>
      </c>
    </row>
    <row r="6">
      <c r="A6" s="6" t="inlineStr">
        <is>
          <t>NSFR ratio (%)</t>
        </is>
      </c>
      <c r="B6" s="6" t="inlineStr">
        <is>
          <t>182.68%</t>
        </is>
      </c>
      <c r="C6" s="6" t="inlineStr">
        <is>
          <t>153.07%</t>
        </is>
      </c>
      <c r="D6" s="6" t="inlineStr">
        <is>
          <t>181.33%</t>
        </is>
      </c>
      <c r="E6" s="6" t="inlineStr">
        <is>
          <t>147.77%</t>
        </is>
      </c>
    </row>
    <row r="8" ht="120" customHeight="1">
      <c r="A8"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1">
    <mergeCell ref="A8:E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(Key Metrics table),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2026-08-26T15:06:08Z</dcterms:created>
  <dcterms:modified xsi:type="dcterms:W3CDTF">2026-08-26T15:06:08Z</dcterms:modified>
</cp:coreProperties>
</file>