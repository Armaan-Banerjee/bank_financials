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05B10"/>
        <bgColor rgb="00805B1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ser>
          <idx val="3"/>
          <order val="3"/>
          <tx>
            <strRef>
              <f>'Overview'!H9</f>
            </strRef>
          </tx>
          <spPr>
            <a:ln xmlns:a="http://schemas.openxmlformats.org/drawingml/2006/mai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'Overview'!O13</f>
            </strRef>
          </tx>
          <spPr>
            <a:ln xmlns:a="http://schemas.openxmlformats.org/drawingml/2006/main">
              <a:prstDash val="solid"/>
            </a:ln>
          </spPr>
          <cat>
            <numRef>
              <f>'Overview'!$P$12:$S$12</f>
            </numRef>
          </cat>
          <val>
            <numRef>
              <f>'Overview'!$P$13:$S$13</f>
            </numRef>
          </val>
        </ser>
        <ser>
          <idx val="1"/>
          <order val="1"/>
          <tx>
            <strRef>
              <f>'Overview'!O14</f>
            </strRef>
          </tx>
          <spPr>
            <a:ln xmlns:a="http://schemas.openxmlformats.org/drawingml/2006/main">
              <a:prstDash val="solid"/>
            </a:ln>
          </spPr>
          <cat>
            <numRef>
              <f>'Overview'!$P$12:$S$12</f>
            </numRef>
          </cat>
          <val>
            <numRef>
              <f>'Overview'!$P$14:$S$14</f>
            </numRef>
          </val>
        </ser>
        <ser>
          <idx val="2"/>
          <order val="2"/>
          <tx>
            <strRef>
              <f>'Overview'!O15</f>
            </strRef>
          </tx>
          <spPr>
            <a:ln xmlns:a="http://schemas.openxmlformats.org/drawingml/2006/main">
              <a:prstDash val="solid"/>
            </a:ln>
          </spPr>
          <cat>
            <numRef>
              <f>'Overview'!$P$12:$S$12</f>
            </numRef>
          </cat>
          <val>
            <numRef>
              <f>'Overview'!$P$15:$S$15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'Overview'!V19</f>
            </strRef>
          </tx>
          <spPr>
            <a:ln xmlns:a="http://schemas.openxmlformats.org/drawingml/2006/main">
              <a:prstDash val="solid"/>
            </a:ln>
          </spPr>
          <cat>
            <numRef>
              <f>'Overview'!$W$18:$Z$18</f>
            </numRef>
          </cat>
          <val>
            <numRef>
              <f>'Overview'!$W$19:$Z$19</f>
            </numRef>
          </val>
        </ser>
        <ser>
          <idx val="1"/>
          <order val="1"/>
          <tx>
            <strRef>
              <f>'Overview'!V20</f>
            </strRef>
          </tx>
          <spPr>
            <a:ln xmlns:a="http://schemas.openxmlformats.org/drawingml/2006/main">
              <a:prstDash val="solid"/>
            </a:ln>
          </spPr>
          <cat>
            <numRef>
              <f>'Overview'!$W$18:$Z$18</f>
            </numRef>
          </cat>
          <val>
            <numRef>
              <f>'Overview'!$W$20:$Z$20</f>
            </numRef>
          </val>
        </ser>
        <ser>
          <idx val="2"/>
          <order val="2"/>
          <tx>
            <strRef>
              <f>'Overview'!V21</f>
            </strRef>
          </tx>
          <spPr>
            <a:ln xmlns:a="http://schemas.openxmlformats.org/drawingml/2006/main">
              <a:prstDash val="solid"/>
            </a:ln>
          </spPr>
          <cat>
            <numRef>
              <f>'Overview'!$W$18:$Z$18</f>
            </numRef>
          </cat>
          <val>
            <numRef>
              <f>'Overview'!$W$21:$Z$21</f>
            </numRef>
          </val>
        </ser>
        <ser>
          <idx val="3"/>
          <order val="3"/>
          <tx>
            <strRef>
              <f>'Overview'!V22</f>
            </strRef>
          </tx>
          <spPr>
            <a:ln xmlns:a="http://schemas.openxmlformats.org/drawingml/2006/main">
              <a:prstDash val="solid"/>
            </a:ln>
          </spPr>
          <cat>
            <numRef>
              <f>'Overview'!$W$18:$Z$18</f>
            </numRef>
          </cat>
          <val>
            <numRef>
              <f>'Overview'!$W$22:$Z$22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 (native, not converted - see Statement of Changes in Equity source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'Overview'!AC26</f>
            </strRef>
          </tx>
          <spPr>
            <a:ln xmlns:a="http://schemas.openxmlformats.org/drawingml/2006/main">
              <a:prstDash val="solid"/>
            </a:ln>
          </spPr>
          <cat>
            <numRef>
              <f>'Overview'!$AD$25:$AG$25</f>
            </numRef>
          </cat>
          <val>
            <numRef>
              <f>'Overview'!$AD$26:$AG$26</f>
            </numRef>
          </val>
        </ser>
        <ser>
          <idx val="1"/>
          <order val="1"/>
          <tx>
            <strRef>
              <f>'Overview'!AC27</f>
            </strRef>
          </tx>
          <spPr>
            <a:ln xmlns:a="http://schemas.openxmlformats.org/drawingml/2006/main">
              <a:prstDash val="solid"/>
            </a:ln>
          </spPr>
          <cat>
            <numRef>
              <f>'Overview'!$AD$25:$AG$25</f>
            </numRef>
          </cat>
          <val>
            <numRef>
              <f>'Overview'!$AD$27:$AG$27</f>
            </numRef>
          </val>
        </ser>
        <ser>
          <idx val="2"/>
          <order val="2"/>
          <tx>
            <strRef>
              <f>'Overview'!AC28</f>
            </strRef>
          </tx>
          <spPr>
            <a:ln xmlns:a="http://schemas.openxmlformats.org/drawingml/2006/main">
              <a:prstDash val="solid"/>
            </a:ln>
          </spPr>
          <cat>
            <numRef>
              <f>'Overview'!$AD$25:$AG$25</f>
            </numRef>
          </cat>
          <val>
            <numRef>
              <f>'Overview'!$AD$28:$AG$28</f>
            </numRef>
          </val>
        </ser>
        <ser>
          <idx val="3"/>
          <order val="3"/>
          <tx>
            <strRef>
              <f>'Overview'!AC29</f>
            </strRef>
          </tx>
          <spPr>
            <a:ln xmlns:a="http://schemas.openxmlformats.org/drawingml/2006/main">
              <a:prstDash val="solid"/>
            </a:ln>
          </spPr>
          <cat>
            <numRef>
              <f>'Overview'!$AD$25:$AG$25</f>
            </numRef>
          </cat>
          <val>
            <numRef>
              <f>'Overview'!$AD$29:$AG$29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ser>
          <idx val="3"/>
          <order val="3"/>
          <tx>
            <strRef>
              <f>'Overview'!AJ9</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'Overview'!$AK$9:$AN$9</f>
            </numRef>
          </val>
          <smooth val="0"/>
        </ser>
        <ser>
          <idx val="4"/>
          <order val="4"/>
          <tx>
            <strRef>
              <f>'Overview'!AJ10</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'Overview'!$AK$10:$AN$10</f>
            </numRef>
          </val>
          <smooth val="0"/>
        </ser>
        <ser>
          <idx val="5"/>
          <order val="5"/>
          <tx>
            <strRef>
              <f>'Overview'!AJ11</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'Overview'!$AK$11:$AN$11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United Bank for Africa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375311.2</v>
      </c>
      <c r="C6" s="5" t="n">
        <v>480409.2</v>
      </c>
      <c r="D6" s="5" t="n">
        <v>492550.2</v>
      </c>
      <c r="E6" s="5" t="n">
        <v>386463.3</v>
      </c>
      <c r="H6" t="inlineStr">
        <is>
          <t>Total assets</t>
        </is>
      </c>
      <c r="I6" t="n">
        <v>386463.3</v>
      </c>
      <c r="J6" t="n">
        <v>492550.2</v>
      </c>
      <c r="K6" t="n">
        <v>480409.2</v>
      </c>
      <c r="L6" t="n">
        <v>375311.2</v>
      </c>
      <c r="AJ6" t="inlineStr">
        <is>
          <t>CET1 Ratio</t>
        </is>
      </c>
      <c r="AK6" t="n">
        <v>33.56</v>
      </c>
      <c r="AL6" t="n">
        <v>23.27</v>
      </c>
      <c r="AM6" t="n">
        <v>47.6</v>
      </c>
      <c r="AN6" t="n">
        <v>49.04</v>
      </c>
    </row>
    <row r="7">
      <c r="A7" s="5" t="inlineStr">
        <is>
          <t>Loans and advances to customers</t>
        </is>
      </c>
      <c r="B7" s="5" t="n">
        <v>0</v>
      </c>
      <c r="C7" s="5" t="n">
        <v>2011.5</v>
      </c>
      <c r="D7" s="5" t="n"/>
      <c r="E7" s="5" t="n"/>
      <c r="H7" t="inlineStr">
        <is>
          <t>Loans and advances to customers</t>
        </is>
      </c>
      <c r="K7" t="n">
        <v>2011.5</v>
      </c>
      <c r="L7" t="n">
        <v>0</v>
      </c>
      <c r="AJ7" t="inlineStr">
        <is>
          <t>Tier 1 Ratio</t>
        </is>
      </c>
      <c r="AK7" t="n">
        <v>33.56</v>
      </c>
      <c r="AL7" t="n">
        <v>23.27</v>
      </c>
      <c r="AM7" t="n">
        <v>47.6</v>
      </c>
      <c r="AN7" t="n">
        <v>49.04</v>
      </c>
    </row>
    <row r="8">
      <c r="A8" s="5" t="inlineStr">
        <is>
          <t>Deposits from customers</t>
        </is>
      </c>
      <c r="B8" s="5" t="n">
        <v>7859.4</v>
      </c>
      <c r="C8" s="5" t="n">
        <v>29359.1</v>
      </c>
      <c r="D8" s="5" t="n">
        <v>3980.3</v>
      </c>
      <c r="E8" s="5" t="n">
        <v>12.6</v>
      </c>
      <c r="H8" t="inlineStr">
        <is>
          <t>Deposits from customers</t>
        </is>
      </c>
      <c r="I8" t="n">
        <v>12.6</v>
      </c>
      <c r="J8" t="n">
        <v>3980.3</v>
      </c>
      <c r="K8" t="n">
        <v>29359.1</v>
      </c>
      <c r="L8" t="n">
        <v>7859.4</v>
      </c>
      <c r="AJ8" t="inlineStr">
        <is>
          <t>Total Capital Ratio</t>
        </is>
      </c>
      <c r="AK8" t="n">
        <v>33.56</v>
      </c>
      <c r="AL8" t="n">
        <v>23.27</v>
      </c>
      <c r="AM8" t="n">
        <v>47.6</v>
      </c>
      <c r="AN8" t="n">
        <v>49.04</v>
      </c>
    </row>
    <row r="9">
      <c r="A9" s="5" t="inlineStr">
        <is>
          <t>Total equity</t>
        </is>
      </c>
      <c r="B9" s="5" t="n">
        <v>63371.2</v>
      </c>
      <c r="C9" s="5" t="n">
        <v>58959.3</v>
      </c>
      <c r="D9" s="5" t="n">
        <v>38359.1</v>
      </c>
      <c r="E9" s="5" t="n">
        <v>29207.9</v>
      </c>
      <c r="H9" t="inlineStr">
        <is>
          <t>Total equity</t>
        </is>
      </c>
      <c r="I9" t="n">
        <v>29207.9</v>
      </c>
      <c r="J9" t="n">
        <v>38359.1</v>
      </c>
      <c r="K9" t="n">
        <v>58959.3</v>
      </c>
      <c r="L9" t="n">
        <v>63371.2</v>
      </c>
      <c r="AJ9" t="inlineStr">
        <is>
          <t>Leverage Ratio</t>
        </is>
      </c>
      <c r="AK9" t="n">
        <v>7</v>
      </c>
      <c r="AL9" t="n">
        <v>6</v>
      </c>
      <c r="AM9" t="n">
        <v>9.720000000000001</v>
      </c>
      <c r="AN9" t="n">
        <v>16.16</v>
      </c>
    </row>
    <row r="10">
      <c r="AJ10" t="inlineStr">
        <is>
          <t>LCR</t>
        </is>
      </c>
      <c r="AK10" t="n">
        <v>361.44</v>
      </c>
      <c r="AL10" t="n">
        <v>224.15</v>
      </c>
      <c r="AM10" t="n">
        <v>228.83</v>
      </c>
      <c r="AN10" t="n">
        <v>352.77</v>
      </c>
    </row>
    <row r="11">
      <c r="A11" s="3" t="inlineStr">
        <is>
          <t>Profit &amp; Loss Summary (£'000)</t>
        </is>
      </c>
      <c r="AJ11" t="inlineStr">
        <is>
          <t>NSFR</t>
        </is>
      </c>
      <c r="AK11" t="n">
        <v>147.77</v>
      </c>
      <c r="AL11" t="n">
        <v>181.33</v>
      </c>
      <c r="AM11" t="n">
        <v>153.07</v>
      </c>
      <c r="AN11" t="n">
        <v>182.68</v>
      </c>
    </row>
    <row r="12">
      <c r="A12" s="4" t="inlineStr">
        <is>
          <t>Line item</t>
        </is>
      </c>
      <c r="B12" s="4" t="inlineStr">
        <is>
          <t>FY2024</t>
        </is>
      </c>
      <c r="C12" s="4" t="inlineStr">
        <is>
          <t>FY2023</t>
        </is>
      </c>
      <c r="D12" s="4" t="inlineStr">
        <is>
          <t>FY2022</t>
        </is>
      </c>
      <c r="E12" s="4" t="inlineStr">
        <is>
          <t>FY2021</t>
        </is>
      </c>
      <c r="P12" t="inlineStr">
        <is>
          <t>FY2021</t>
        </is>
      </c>
      <c r="Q12" t="inlineStr">
        <is>
          <t>FY2022</t>
        </is>
      </c>
      <c r="R12" t="inlineStr">
        <is>
          <t>FY2023</t>
        </is>
      </c>
      <c r="S12" t="inlineStr">
        <is>
          <t>FY2024</t>
        </is>
      </c>
    </row>
    <row r="13">
      <c r="A13" s="5" t="inlineStr">
        <is>
          <t>Operating income</t>
        </is>
      </c>
      <c r="B13" s="5" t="n">
        <v>21968.4</v>
      </c>
      <c r="C13" s="5" t="n">
        <v>25058.3</v>
      </c>
      <c r="D13" s="5" t="n">
        <v>18112.8</v>
      </c>
      <c r="E13" s="5" t="n">
        <v>6471.8</v>
      </c>
      <c r="O13" t="inlineStr">
        <is>
          <t>Operating income</t>
        </is>
      </c>
      <c r="P13" t="n">
        <v>6471.8</v>
      </c>
      <c r="Q13" t="n">
        <v>18112.8</v>
      </c>
      <c r="R13" t="n">
        <v>25058.3</v>
      </c>
      <c r="S13" t="n">
        <v>21968.4</v>
      </c>
    </row>
    <row r="14">
      <c r="A14" s="5" t="inlineStr">
        <is>
          <t>Total operating expense</t>
        </is>
      </c>
      <c r="B14" s="5" t="n">
        <v>-11861.2</v>
      </c>
      <c r="C14" s="5" t="n">
        <v>-10672.1</v>
      </c>
      <c r="D14" s="5" t="n">
        <v>-8362.700000000001</v>
      </c>
      <c r="E14" s="5" t="n">
        <v>-7233.1</v>
      </c>
      <c r="O14" t="inlineStr">
        <is>
          <t>Total operating expense</t>
        </is>
      </c>
      <c r="P14" t="n">
        <v>-7233.1</v>
      </c>
      <c r="Q14" t="n">
        <v>-8362.700000000001</v>
      </c>
      <c r="R14" t="n">
        <v>-10672.1</v>
      </c>
      <c r="S14" t="n">
        <v>-11861.2</v>
      </c>
    </row>
    <row r="15">
      <c r="A15" s="5" t="inlineStr">
        <is>
          <t>Profit/(loss) for the year</t>
        </is>
      </c>
      <c r="B15" s="5" t="n">
        <v>8957.1</v>
      </c>
      <c r="C15" s="5" t="n">
        <v>11514.6</v>
      </c>
      <c r="D15" s="5" t="n">
        <v>9263.1</v>
      </c>
      <c r="E15" s="5" t="n">
        <v>-761.3</v>
      </c>
      <c r="O15" t="inlineStr">
        <is>
          <t>Profit/(loss) for the year</t>
        </is>
      </c>
      <c r="P15" t="n">
        <v>-761.3</v>
      </c>
      <c r="Q15" t="n">
        <v>9263.1</v>
      </c>
      <c r="R15" t="n">
        <v>11514.6</v>
      </c>
      <c r="S15" t="n">
        <v>8957.1</v>
      </c>
    </row>
    <row r="17">
      <c r="A17" s="3" t="inlineStr">
        <is>
          <t>Statement of Changes in Equity Summary (US$'000 (native, not converted - see Statement of Changes in Equity source note))</t>
        </is>
      </c>
    </row>
    <row r="18">
      <c r="A18" s="4" t="inlineStr">
        <is>
          <t>Line item</t>
        </is>
      </c>
      <c r="B18" s="4" t="inlineStr">
        <is>
          <t>FY2024</t>
        </is>
      </c>
      <c r="C18" s="4" t="inlineStr">
        <is>
          <t>FY2023</t>
        </is>
      </c>
      <c r="D18" s="4" t="inlineStr">
        <is>
          <t>FY2022</t>
        </is>
      </c>
      <c r="E18" s="4" t="inlineStr">
        <is>
          <t>FY2021</t>
        </is>
      </c>
      <c r="W18" t="inlineStr">
        <is>
          <t>FY2021</t>
        </is>
      </c>
      <c r="X18" t="inlineStr">
        <is>
          <t>FY2022</t>
        </is>
      </c>
      <c r="Y18" t="inlineStr">
        <is>
          <t>FY2023</t>
        </is>
      </c>
      <c r="Z18" t="inlineStr">
        <is>
          <t>FY2024</t>
        </is>
      </c>
    </row>
    <row r="19">
      <c r="A19" s="5" t="inlineStr">
        <is>
          <t>Opening equity</t>
        </is>
      </c>
      <c r="B19" s="5" t="n">
        <v>75067</v>
      </c>
      <c r="C19" s="5" t="n">
        <v>46403</v>
      </c>
      <c r="D19" s="5" t="n">
        <v>39492</v>
      </c>
      <c r="E19" s="5" t="n">
        <v>41208</v>
      </c>
      <c r="V19" t="inlineStr">
        <is>
          <t>Opening equity</t>
        </is>
      </c>
      <c r="W19" t="n">
        <v>41208</v>
      </c>
      <c r="X19" t="n">
        <v>39492</v>
      </c>
      <c r="Y19" t="n">
        <v>46403</v>
      </c>
      <c r="Z19" t="n">
        <v>75067</v>
      </c>
    </row>
    <row r="20">
      <c r="A20" s="5" t="inlineStr">
        <is>
          <t>Total comprehensive income/(loss) for the year</t>
        </is>
      </c>
      <c r="B20" s="5" t="n">
        <v>14242</v>
      </c>
      <c r="C20" s="5" t="n">
        <v>16664</v>
      </c>
      <c r="D20" s="5" t="n">
        <v>6911</v>
      </c>
      <c r="E20" s="5" t="n">
        <v>-1716</v>
      </c>
      <c r="V20" t="inlineStr">
        <is>
          <t>Total comprehensive income/(loss) for the year</t>
        </is>
      </c>
      <c r="W20" t="n">
        <v>-1716</v>
      </c>
      <c r="X20" t="n">
        <v>6911</v>
      </c>
      <c r="Y20" t="n">
        <v>16664</v>
      </c>
      <c r="Z20" t="n">
        <v>14242</v>
      </c>
    </row>
    <row r="21">
      <c r="A21" s="5" t="inlineStr">
        <is>
          <t>Other equity movements, net (issuances/dividends)</t>
        </is>
      </c>
      <c r="B21" s="5" t="n">
        <v>-10000</v>
      </c>
      <c r="C21" s="5" t="n">
        <v>12000</v>
      </c>
      <c r="D21" s="5" t="n">
        <v>0</v>
      </c>
      <c r="E21" s="5" t="n">
        <v>0</v>
      </c>
      <c r="V21" t="inlineStr">
        <is>
          <t>Other equity movements, net (issuances/dividends)</t>
        </is>
      </c>
      <c r="W21" t="n">
        <v>0</v>
      </c>
      <c r="X21" t="n">
        <v>0</v>
      </c>
      <c r="Y21" t="n">
        <v>12000</v>
      </c>
      <c r="Z21" t="n">
        <v>-10000</v>
      </c>
    </row>
    <row r="22">
      <c r="A22" s="5" t="inlineStr">
        <is>
          <t>Closing equity</t>
        </is>
      </c>
      <c r="B22" s="5" t="n">
        <v>79309</v>
      </c>
      <c r="C22" s="5" t="n">
        <v>75067</v>
      </c>
      <c r="D22" s="5" t="n">
        <v>46403</v>
      </c>
      <c r="E22" s="5" t="n">
        <v>39492</v>
      </c>
      <c r="V22" t="inlineStr">
        <is>
          <t>Closing equity</t>
        </is>
      </c>
      <c r="W22" t="n">
        <v>39492</v>
      </c>
      <c r="X22" t="n">
        <v>46403</v>
      </c>
      <c r="Y22" t="n">
        <v>75067</v>
      </c>
      <c r="Z22" t="n">
        <v>79309</v>
      </c>
    </row>
    <row r="24">
      <c r="A24" s="3" t="inlineStr">
        <is>
          <t>Cash Flow Summary (£'000)</t>
        </is>
      </c>
    </row>
    <row r="25">
      <c r="A25" s="4" t="inlineStr">
        <is>
          <t>Line item</t>
        </is>
      </c>
      <c r="B25" s="4" t="inlineStr">
        <is>
          <t>FY2024</t>
        </is>
      </c>
      <c r="C25" s="4" t="inlineStr">
        <is>
          <t>FY2023</t>
        </is>
      </c>
      <c r="D25" s="4" t="inlineStr">
        <is>
          <t>FY2022</t>
        </is>
      </c>
      <c r="E25" s="4" t="inlineStr">
        <is>
          <t>FY2021</t>
        </is>
      </c>
      <c r="AD25" t="inlineStr">
        <is>
          <t>FY2021</t>
        </is>
      </c>
      <c r="AE25" t="inlineStr">
        <is>
          <t>FY2022</t>
        </is>
      </c>
      <c r="AF25" t="inlineStr">
        <is>
          <t>FY2023</t>
        </is>
      </c>
      <c r="AG25" t="inlineStr">
        <is>
          <t>FY2024</t>
        </is>
      </c>
    </row>
    <row r="26">
      <c r="A26" s="5" t="inlineStr">
        <is>
          <t>Net cash flows from/(used in) operating activities</t>
        </is>
      </c>
      <c r="B26" s="5" t="n">
        <v>40782.4</v>
      </c>
      <c r="C26" s="5" t="n">
        <v>42791.2</v>
      </c>
      <c r="D26" s="5" t="n">
        <v>-6406.7</v>
      </c>
      <c r="E26" s="5" t="n">
        <v>19246.7</v>
      </c>
      <c r="AC26" t="inlineStr">
        <is>
          <t>Net cash flows from/(used in) operating activities</t>
        </is>
      </c>
      <c r="AD26" t="n">
        <v>19246.7</v>
      </c>
      <c r="AE26" t="n">
        <v>-6406.7</v>
      </c>
      <c r="AF26" t="n">
        <v>42791.2</v>
      </c>
      <c r="AG26" t="n">
        <v>40782.4</v>
      </c>
    </row>
    <row r="27">
      <c r="A27" s="5" t="inlineStr">
        <is>
          <t>Net cash flows from/(used in) investing activities</t>
        </is>
      </c>
      <c r="B27" s="5" t="n">
        <v>-24128.5</v>
      </c>
      <c r="C27" s="5" t="n">
        <v>-4803.4</v>
      </c>
      <c r="D27" s="5" t="n">
        <v>-12844.2</v>
      </c>
      <c r="E27" s="5" t="n">
        <v>-11258</v>
      </c>
      <c r="AC27" t="inlineStr">
        <is>
          <t>Net cash flows from/(used in) investing activities</t>
        </is>
      </c>
      <c r="AD27" t="n">
        <v>-11258</v>
      </c>
      <c r="AE27" t="n">
        <v>-12844.2</v>
      </c>
      <c r="AF27" t="n">
        <v>-4803.4</v>
      </c>
      <c r="AG27" t="n">
        <v>-24128.5</v>
      </c>
    </row>
    <row r="28">
      <c r="A28" s="5" t="inlineStr">
        <is>
          <t>Net cash flow (used in)/from financing activities</t>
        </is>
      </c>
      <c r="B28" s="5" t="n">
        <v>-8030</v>
      </c>
      <c r="C28" s="5" t="n">
        <v>9449.299999999999</v>
      </c>
      <c r="D28" s="5" t="n">
        <v>-190.1</v>
      </c>
      <c r="E28" s="5" t="n">
        <v>-205.8</v>
      </c>
      <c r="AC28" t="inlineStr">
        <is>
          <t>Net cash flow (used in)/from financing activities</t>
        </is>
      </c>
      <c r="AD28" t="n">
        <v>-205.8</v>
      </c>
      <c r="AE28" t="n">
        <v>-190.1</v>
      </c>
      <c r="AF28" t="n">
        <v>9449.299999999999</v>
      </c>
      <c r="AG28" t="n">
        <v>-8030</v>
      </c>
    </row>
    <row r="29">
      <c r="A29" s="5" t="inlineStr">
        <is>
          <t>Cash and cash equivalents at end of period</t>
        </is>
      </c>
      <c r="B29" s="5" t="n">
        <v>81764.3</v>
      </c>
      <c r="C29" s="5" t="n">
        <v>71669.8</v>
      </c>
      <c r="D29" s="5" t="n">
        <v>25950.2</v>
      </c>
      <c r="E29" s="5" t="n">
        <v>40991.8</v>
      </c>
      <c r="AC29" t="inlineStr">
        <is>
          <t>Cash and cash equivalents at end of period</t>
        </is>
      </c>
      <c r="AD29" t="n">
        <v>40991.8</v>
      </c>
      <c r="AE29" t="n">
        <v>25950.2</v>
      </c>
      <c r="AF29" t="n">
        <v>71669.8</v>
      </c>
      <c r="AG29" t="n">
        <v>81764.3</v>
      </c>
    </row>
    <row r="31">
      <c r="A31" s="3" t="inlineStr">
        <is>
          <t>Pillar 3 Key Metrics</t>
        </is>
      </c>
    </row>
    <row r="32">
      <c r="A32" s="4" t="inlineStr">
        <is>
          <t>Line item</t>
        </is>
      </c>
      <c r="B32" s="4" t="inlineStr">
        <is>
          <t>FY2024</t>
        </is>
      </c>
      <c r="C32" s="4" t="inlineStr">
        <is>
          <t>FY2023</t>
        </is>
      </c>
      <c r="D32" s="4" t="inlineStr">
        <is>
          <t>FY2022</t>
        </is>
      </c>
      <c r="E32" s="4" t="inlineStr">
        <is>
          <t>FY2021</t>
        </is>
      </c>
    </row>
    <row r="33">
      <c r="A33" s="6" t="inlineStr">
        <is>
          <t>CET1 Ratio</t>
        </is>
      </c>
      <c r="B33" s="6" t="inlineStr">
        <is>
          <t>49.04%</t>
        </is>
      </c>
      <c r="C33" s="6" t="inlineStr">
        <is>
          <t>47.60%</t>
        </is>
      </c>
      <c r="D33" s="6" t="inlineStr">
        <is>
          <t>23.27%</t>
        </is>
      </c>
      <c r="E33" s="6" t="inlineStr">
        <is>
          <t>33.56%</t>
        </is>
      </c>
    </row>
    <row r="34">
      <c r="A34" s="6" t="inlineStr">
        <is>
          <t>Tier 1 Ratio</t>
        </is>
      </c>
      <c r="B34" s="6" t="inlineStr">
        <is>
          <t>49.04%</t>
        </is>
      </c>
      <c r="C34" s="6" t="inlineStr">
        <is>
          <t>47.60%</t>
        </is>
      </c>
      <c r="D34" s="6" t="inlineStr">
        <is>
          <t>23.27%</t>
        </is>
      </c>
      <c r="E34" s="6" t="inlineStr">
        <is>
          <t>33.56%</t>
        </is>
      </c>
    </row>
    <row r="35">
      <c r="A35" s="6" t="inlineStr">
        <is>
          <t>Total Capital Ratio</t>
        </is>
      </c>
      <c r="B35" s="6" t="inlineStr">
        <is>
          <t>49.04%</t>
        </is>
      </c>
      <c r="C35" s="6" t="inlineStr">
        <is>
          <t>47.60%</t>
        </is>
      </c>
      <c r="D35" s="6" t="inlineStr">
        <is>
          <t>23.27%</t>
        </is>
      </c>
      <c r="E35" s="6" t="inlineStr">
        <is>
          <t>33.56%</t>
        </is>
      </c>
    </row>
    <row r="36">
      <c r="A36" s="6" t="inlineStr">
        <is>
          <t>Leverage Ratio</t>
        </is>
      </c>
      <c r="B36" s="6" t="inlineStr">
        <is>
          <t>16.16%</t>
        </is>
      </c>
      <c r="C36" s="6" t="inlineStr">
        <is>
          <t>9.72%</t>
        </is>
      </c>
      <c r="D36" s="6" t="inlineStr">
        <is>
          <t>6%</t>
        </is>
      </c>
      <c r="E36" s="6" t="inlineStr">
        <is>
          <t>7%</t>
        </is>
      </c>
    </row>
    <row r="37">
      <c r="A37" s="6" t="inlineStr">
        <is>
          <t>LCR</t>
        </is>
      </c>
      <c r="B37" s="6" t="inlineStr">
        <is>
          <t>352.77%</t>
        </is>
      </c>
      <c r="C37" s="6" t="inlineStr">
        <is>
          <t>228.83%</t>
        </is>
      </c>
      <c r="D37" s="6" t="inlineStr">
        <is>
          <t>224.15%</t>
        </is>
      </c>
      <c r="E37" s="6" t="inlineStr">
        <is>
          <t>361.44%</t>
        </is>
      </c>
    </row>
    <row r="38">
      <c r="A38" s="6" t="inlineStr">
        <is>
          <t>NSFR</t>
        </is>
      </c>
      <c r="B38" s="6" t="inlineStr">
        <is>
          <t>182.68%</t>
        </is>
      </c>
      <c r="C38" s="6" t="inlineStr">
        <is>
          <t>153.07%</t>
        </is>
      </c>
      <c r="D38" s="6" t="inlineStr">
        <is>
          <t>181.33%</t>
        </is>
      </c>
      <c r="E38" s="6" t="inlineStr">
        <is>
          <t>147.77%</t>
        </is>
      </c>
    </row>
    <row r="40" ht="45" customHeight="1">
      <c r="A40" s="7" t="inlineStr">
        <is>
          <t>Note: Figures are duplicated from the detail sheets for at-a-glance trend viewing; see each sheet's own source citation. Balance Sheet/Profit &amp; Loss/Cash Flow £ figures are converted from the Bank's native USD reporting (see Cash Flow Statement sheet's FX conversion note) - this conversion was not explicitly requested for this bank but applied for consistency with the rest of the series, following the same call already confirmed for Zenith Bank UK. The Statement of Changes in Equity summary above is shown in the Bank's native US$'000 (NOT converted), matching that detail sheet - see its own source note for why. No FY2025 Annual Report or Pillar 3 disclosure has been published yet, so this workbook covers FY2021-FY2024 (4 years) rather than the usual 5.</t>
        </is>
      </c>
    </row>
  </sheetData>
  <mergeCells count="1">
    <mergeCell ref="A40:E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United Bank for Africa (UK) Limited — Statement of Financial Position</t>
        </is>
      </c>
    </row>
    <row r="2">
      <c r="A2" s="2" t="inlineStr">
        <is>
          <t>£'000, converted from USD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row>
    <row r="4">
      <c r="A4" s="5" t="inlineStr">
        <is>
          <t>Assets</t>
        </is>
      </c>
      <c r="B4" s="6" t="n"/>
      <c r="C4" s="6" t="n"/>
      <c r="D4" s="6" t="n"/>
      <c r="E4" s="6" t="n"/>
    </row>
    <row r="5">
      <c r="A5" s="6" t="inlineStr">
        <is>
          <t>Cash and cash equivalents</t>
        </is>
      </c>
      <c r="B5" s="6" t="n">
        <v>81764.3</v>
      </c>
      <c r="C5" s="6" t="n">
        <v>71669.8</v>
      </c>
      <c r="D5" s="6" t="n">
        <v>25918.8</v>
      </c>
      <c r="E5" s="6" t="n">
        <v>40991.8</v>
      </c>
    </row>
    <row r="6">
      <c r="A6" s="6" t="inlineStr">
        <is>
          <t>Due from banks</t>
        </is>
      </c>
      <c r="B6" s="6" t="n">
        <v>68905.3</v>
      </c>
      <c r="C6" s="6" t="n"/>
      <c r="D6" s="6" t="n"/>
      <c r="E6" s="6" t="n"/>
    </row>
    <row r="7">
      <c r="A7" s="6" t="inlineStr">
        <is>
          <t>Loans and advances to banks</t>
        </is>
      </c>
      <c r="B7" s="6" t="n">
        <v>71089.89999999999</v>
      </c>
      <c r="C7" s="6" t="n">
        <v>285460.3</v>
      </c>
      <c r="D7" s="6" t="n">
        <v>345731.2</v>
      </c>
      <c r="E7" s="6" t="n">
        <v>241554.6</v>
      </c>
    </row>
    <row r="8">
      <c r="A8" s="6" t="inlineStr">
        <is>
          <t>Loans and advances to customers</t>
        </is>
      </c>
      <c r="B8" s="6" t="n">
        <v>0</v>
      </c>
      <c r="C8" s="6" t="n">
        <v>2011.5</v>
      </c>
      <c r="D8" s="6" t="n"/>
      <c r="E8" s="6" t="n"/>
    </row>
    <row r="9">
      <c r="A9" s="6" t="inlineStr">
        <is>
          <t>Investment securities</t>
        </is>
      </c>
      <c r="B9" s="6" t="n">
        <v>144796.6</v>
      </c>
      <c r="C9" s="6" t="n">
        <v>115753.2</v>
      </c>
      <c r="D9" s="6" t="n">
        <v>115940.3</v>
      </c>
      <c r="E9" s="6" t="n">
        <v>98978.60000000001</v>
      </c>
    </row>
    <row r="10">
      <c r="A10" s="6" t="inlineStr">
        <is>
          <t>Property, plant and equipment</t>
        </is>
      </c>
      <c r="B10" s="6" t="n">
        <v>1390.3</v>
      </c>
      <c r="C10" s="6" t="n">
        <v>1256.7</v>
      </c>
      <c r="D10" s="6" t="n">
        <v>1513.6</v>
      </c>
      <c r="E10" s="6" t="n">
        <v>1774.3</v>
      </c>
    </row>
    <row r="11">
      <c r="A11" s="6" t="inlineStr">
        <is>
          <t>Intangible assets</t>
        </is>
      </c>
      <c r="B11" s="6" t="n">
        <v>1138.6</v>
      </c>
      <c r="C11" s="6" t="n">
        <v>1269.2</v>
      </c>
      <c r="D11" s="6" t="n">
        <v>1583.9</v>
      </c>
      <c r="E11" s="6" t="n">
        <v>1528</v>
      </c>
    </row>
    <row r="12">
      <c r="A12" s="6" t="inlineStr">
        <is>
          <t>Current tax asset</t>
        </is>
      </c>
      <c r="B12" s="6" t="n">
        <v>210.9</v>
      </c>
      <c r="C12" s="6" t="n"/>
      <c r="D12" s="6" t="n"/>
      <c r="E12" s="6" t="n"/>
    </row>
    <row r="13">
      <c r="A13" s="6" t="inlineStr">
        <is>
          <t>Other assets</t>
        </is>
      </c>
      <c r="B13" s="6" t="n">
        <v>4692</v>
      </c>
      <c r="C13" s="6" t="n">
        <v>2988.5</v>
      </c>
      <c r="D13" s="6" t="n">
        <v>1862.4</v>
      </c>
      <c r="E13" s="6" t="n">
        <v>1636</v>
      </c>
    </row>
    <row r="14">
      <c r="A14" s="6" t="inlineStr">
        <is>
          <t>Deferred tax asset</t>
        </is>
      </c>
      <c r="B14" s="6" t="n">
        <v>1323.2</v>
      </c>
      <c r="C14" s="6" t="n"/>
      <c r="D14" s="6" t="n"/>
      <c r="E14" s="6" t="n"/>
    </row>
    <row r="15">
      <c r="A15" s="5" t="inlineStr">
        <is>
          <t>Total assets</t>
        </is>
      </c>
      <c r="B15" s="5" t="n">
        <v>375311.2</v>
      </c>
      <c r="C15" s="5" t="n">
        <v>480409.2</v>
      </c>
      <c r="D15" s="5" t="n">
        <v>492550.2</v>
      </c>
      <c r="E15" s="5" t="n">
        <v>386463.3</v>
      </c>
    </row>
    <row r="16">
      <c r="A16" s="5" t="inlineStr">
        <is>
          <t>Liabilities</t>
        </is>
      </c>
      <c r="B16" s="6" t="n"/>
      <c r="C16" s="6" t="n"/>
      <c r="D16" s="6" t="n"/>
      <c r="E16" s="6" t="n"/>
    </row>
    <row r="17">
      <c r="A17" s="6" t="inlineStr">
        <is>
          <t>Deposits from banks</t>
        </is>
      </c>
      <c r="B17" s="6" t="n">
        <v>298364.4</v>
      </c>
      <c r="C17" s="6" t="n">
        <v>387381.4</v>
      </c>
      <c r="D17" s="6" t="n">
        <v>445573.3</v>
      </c>
      <c r="E17" s="6" t="n">
        <v>352376.3</v>
      </c>
    </row>
    <row r="18">
      <c r="A18" s="6" t="inlineStr">
        <is>
          <t>Deposits from customers</t>
        </is>
      </c>
      <c r="B18" s="6" t="n">
        <v>7859.4</v>
      </c>
      <c r="C18" s="6" t="n">
        <v>29359.1</v>
      </c>
      <c r="D18" s="6" t="n">
        <v>3980.3</v>
      </c>
      <c r="E18" s="6" t="n">
        <v>12.6</v>
      </c>
    </row>
    <row r="19">
      <c r="A19" s="6" t="inlineStr">
        <is>
          <t>Deferred tax liability</t>
        </is>
      </c>
      <c r="B19" s="6" t="n"/>
      <c r="C19" s="6" t="n"/>
      <c r="D19" s="6" t="n"/>
      <c r="E19" s="6" t="n">
        <v>49.6</v>
      </c>
    </row>
    <row r="20">
      <c r="A20" s="6" t="inlineStr">
        <is>
          <t>Corporation tax liability</t>
        </is>
      </c>
      <c r="B20" s="6" t="n"/>
      <c r="C20" s="6" t="n">
        <v>138.2</v>
      </c>
      <c r="D20" s="6" t="n">
        <v>553</v>
      </c>
      <c r="E20" s="6" t="n"/>
    </row>
    <row r="21">
      <c r="A21" s="6" t="inlineStr">
        <is>
          <t>Other liabilities</t>
        </is>
      </c>
      <c r="B21" s="6" t="n">
        <v>5716.3</v>
      </c>
      <c r="C21" s="6" t="n">
        <v>4571.2</v>
      </c>
      <c r="D21" s="6" t="n">
        <v>4084.5</v>
      </c>
      <c r="E21" s="6" t="n">
        <v>4817</v>
      </c>
    </row>
    <row r="22">
      <c r="A22" s="5" t="inlineStr">
        <is>
          <t>Total liabilities</t>
        </is>
      </c>
      <c r="B22" s="5" t="n">
        <v>311940.1</v>
      </c>
      <c r="C22" s="5" t="n">
        <v>421449.9</v>
      </c>
      <c r="D22" s="5" t="n">
        <v>454191.1</v>
      </c>
      <c r="E22" s="5" t="n">
        <v>357255.4</v>
      </c>
    </row>
    <row r="23">
      <c r="A23" s="5" t="inlineStr">
        <is>
          <t>Equity</t>
        </is>
      </c>
      <c r="B23" s="6" t="n"/>
      <c r="C23" s="6" t="n"/>
      <c r="D23" s="6" t="n"/>
      <c r="E23" s="6" t="n"/>
    </row>
    <row r="24">
      <c r="A24" s="6" t="inlineStr">
        <is>
          <t>Share capital</t>
        </is>
      </c>
      <c r="B24" s="6" t="n">
        <v>57727.5</v>
      </c>
      <c r="C24" s="6" t="n">
        <v>56743.6</v>
      </c>
      <c r="D24" s="6" t="n">
        <v>49802.4</v>
      </c>
      <c r="E24" s="6" t="n">
        <v>44557.4</v>
      </c>
    </row>
    <row r="25">
      <c r="A25" s="6" t="inlineStr">
        <is>
          <t>Share premium account</t>
        </is>
      </c>
      <c r="B25" s="6" t="n">
        <v>160.6</v>
      </c>
      <c r="C25" s="6" t="n">
        <v>157.9</v>
      </c>
      <c r="D25" s="6" t="n">
        <v>166.2</v>
      </c>
      <c r="E25" s="6" t="n">
        <v>148.7</v>
      </c>
    </row>
    <row r="26">
      <c r="A26" s="6" t="inlineStr">
        <is>
          <t>Retained earnings/(Accumulated losses)</t>
        </is>
      </c>
      <c r="B26" s="6" t="n">
        <v>5826.6</v>
      </c>
      <c r="C26" s="6" t="n">
        <v>4589.2</v>
      </c>
      <c r="D26" s="6" t="n">
        <v>-7010</v>
      </c>
      <c r="E26" s="6" t="n">
        <v>-14740</v>
      </c>
    </row>
    <row r="27">
      <c r="A27" s="6" t="inlineStr">
        <is>
          <t>Other reserves</t>
        </is>
      </c>
      <c r="B27" s="6" t="n">
        <v>-343.6</v>
      </c>
      <c r="C27" s="6" t="n">
        <v>-2531.4</v>
      </c>
      <c r="D27" s="6" t="n">
        <v>-4599.5</v>
      </c>
      <c r="E27" s="6" t="n">
        <v>-758.1</v>
      </c>
    </row>
    <row r="28">
      <c r="A28" s="5" t="inlineStr">
        <is>
          <t>Total equity</t>
        </is>
      </c>
      <c r="B28" s="5" t="n">
        <v>63371.2</v>
      </c>
      <c r="C28" s="5" t="n">
        <v>58959.3</v>
      </c>
      <c r="D28" s="5" t="n">
        <v>38359.1</v>
      </c>
      <c r="E28" s="5" t="n">
        <v>29207.9</v>
      </c>
    </row>
    <row r="29">
      <c r="A29" s="5" t="inlineStr">
        <is>
          <t>Total liabilities and equity</t>
        </is>
      </c>
      <c r="B29" s="5" t="n">
        <v>375311.2</v>
      </c>
      <c r="C29" s="5" t="n">
        <v>480409.2</v>
      </c>
      <c r="D29" s="5" t="n">
        <v>492550.2</v>
      </c>
      <c r="E29" s="5" t="n">
        <v>386463.3</v>
      </c>
    </row>
    <row r="31" ht="420" customHeight="1">
      <c r="A31" s="8" t="inlineStr">
        <is>
          <t>Sources - all figures are United Bank for Africa (UK) Limited's own primary financial statements (converted from USD to £, see FX conversion note below):
FY2024 &amp; FY2023: Annual Report and Accounts 2024, p.47 (Statement of Profit or Loss and Other Comprehensive Income), p.48 (Statement of Financial Position) - https://www.ubauk.com/wp-content/uploads/sites/29/2025/07/UBA-UK-2024-AR-1.pdf
FY2022 &amp; FY2021: Annual Report and Accounts 2022, p.36 (Statement of Comprehensive Income), p.37 (Statement of Financial Position) - https://www.ubauk.com/wp-content/uploads/sites/29/2023/09/UBA-UK-FIN-A-Ann-Rpt-and-Accts-31-Dec-2022.pdf
Presentation differs between report vintages: FY2024/FY2023 split interest income into 'calculated using the effective interest method' and 'other interest and similar income' lines and separately disclose 'Due from banks', a Deferred tax asset, and a Current tax asset; FY2022/FY2021 show a single 'Interest receivable and similar income' line, no 'Due from banks' split, and a Deferred TAX LIABILITY instead (FY2021 only, £nil FY2022) rather than an asset. Each year's own as-reported line items and labels are preserved rather than forced into a common shape; blank cells indicate that year's report did not disclose that specific split.
OCI DISCREPANCY NOTE: FY2024's Statement of Profit or Loss and OCI shows 4 separate OCI detail lines summing to the stated 'Total items that may be reclassified to profit or loss' ($1,086k + $740k + $618k + $349k = $2,793k) - but the Statement of Changes in Equity's own FY2024 roll-forward shows a DIFFERENT 3-line OCI component split ($1,435k fair value change + $740k reclassification + $618k ECL allowance change = the same $2,793k total). Both statements' totals agree exactly ($2,793k / £2,185.1k), but their component breakdowns do not reconcile line-for-line - an unresolved labelling inconsistency in the source document itself, reproduced here exactly as each statement presents it rather than silently reconciled or picked one over the other.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FY2021-FY2024 only (4 years) rather than the usual 5.
FX CONVERSION NOTE: United Bank for Africa (UK) Limited reports in US Dollars (its functional currency, per its own foreign currency risk note - 'Revenues, assets and liabilities are primarily in the functional currency US dollar'). This workbook converts every $ amount to £ for consistency with the rest of this series, following the same methodology established for SMBC Bank International plc and Zenith Bank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and identical to the rates used for Zenith Bank UK since both banks share the same 31 December fiscal year-end. Rates used (£1 = $X): 31 Dec 2020 spot 1.3661 (FY2021 opening cash only); FY2021 spot 1.3521 / average 1.3752; FY2022 spot 1.2097 / average 1.2362; FY2023 spot 1.2732 / average 1.2439; FY2024 spot 1.2515 / average 1.2782.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following the same call already confirmed for Zenith Bank UK; flag if £'000 rather than the Bank's native US$'000 presentation is not what's wanted here.</t>
        </is>
      </c>
    </row>
  </sheetData>
  <mergeCells count="1">
    <mergeCell ref="A31:E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United Bank for Africa (UK) Limited — Statement of Profit or Loss and Other Comprehensive Income</t>
        </is>
      </c>
    </row>
    <row r="2">
      <c r="A2" s="2" t="inlineStr">
        <is>
          <t>£'000, converted from USD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row>
    <row r="4">
      <c r="A4" s="5" t="inlineStr">
        <is>
          <t>Income</t>
        </is>
      </c>
      <c r="B4" s="6" t="n"/>
      <c r="C4" s="6" t="n"/>
      <c r="D4" s="6" t="n"/>
      <c r="E4" s="6" t="n"/>
    </row>
    <row r="5">
      <c r="A5" s="6" t="inlineStr">
        <is>
          <t>Interest income calculated using the effective interest method</t>
        </is>
      </c>
      <c r="B5" s="6" t="n">
        <v>34090.9</v>
      </c>
      <c r="C5" s="6" t="n">
        <v>39262.8</v>
      </c>
      <c r="D5" s="6" t="n"/>
      <c r="E5" s="6" t="n"/>
    </row>
    <row r="6">
      <c r="A6" s="6" t="inlineStr">
        <is>
          <t>Other interest and similar income</t>
        </is>
      </c>
      <c r="B6" s="6" t="n">
        <v>1272.9</v>
      </c>
      <c r="C6" s="6" t="n">
        <v>1127.9</v>
      </c>
      <c r="D6" s="6" t="n"/>
      <c r="E6" s="6" t="n"/>
    </row>
    <row r="7">
      <c r="A7" s="6" t="inlineStr">
        <is>
          <t>Interest receivable and similar income</t>
        </is>
      </c>
      <c r="B7" s="6" t="n"/>
      <c r="C7" s="6" t="n"/>
      <c r="D7" s="6" t="n">
        <v>33260</v>
      </c>
      <c r="E7" s="6" t="n">
        <v>12007.7</v>
      </c>
    </row>
    <row r="8">
      <c r="A8" s="6" t="inlineStr">
        <is>
          <t>Interest expense</t>
        </is>
      </c>
      <c r="B8" s="6" t="n">
        <v>-15237.8</v>
      </c>
      <c r="C8" s="6" t="n">
        <v>-17327</v>
      </c>
      <c r="D8" s="6" t="n">
        <v>-13692.8</v>
      </c>
      <c r="E8" s="6" t="n">
        <v>-6577.2</v>
      </c>
    </row>
    <row r="9">
      <c r="A9" s="5" t="inlineStr">
        <is>
          <t>Net interest income</t>
        </is>
      </c>
      <c r="B9" s="5" t="n">
        <v>20126</v>
      </c>
      <c r="C9" s="5" t="n">
        <v>23063.8</v>
      </c>
      <c r="D9" s="5" t="n">
        <v>19567.2</v>
      </c>
      <c r="E9" s="5" t="n">
        <v>5430.5</v>
      </c>
    </row>
    <row r="10">
      <c r="A10" s="6" t="inlineStr">
        <is>
          <t>Fee and commission income</t>
        </is>
      </c>
      <c r="B10" s="6" t="n">
        <v>316.9</v>
      </c>
      <c r="C10" s="6" t="n">
        <v>448.6</v>
      </c>
      <c r="D10" s="6" t="n">
        <v>1426.1</v>
      </c>
      <c r="E10" s="6" t="n">
        <v>1180.9</v>
      </c>
    </row>
    <row r="11">
      <c r="A11" s="6" t="inlineStr">
        <is>
          <t>Provision for expected credit losses</t>
        </is>
      </c>
      <c r="B11" s="6" t="n">
        <v>-25.8</v>
      </c>
      <c r="C11" s="6" t="n">
        <v>-197.8</v>
      </c>
      <c r="D11" s="6" t="n">
        <v>-3150</v>
      </c>
      <c r="E11" s="6" t="n">
        <v>-936.6</v>
      </c>
    </row>
    <row r="12">
      <c r="A12" s="6" t="inlineStr">
        <is>
          <t>Net gains/(losses) on derecognition of debt instruments at amortised cost</t>
        </is>
      </c>
      <c r="B12" s="6" t="n">
        <v>819.1</v>
      </c>
      <c r="C12" s="6" t="n">
        <v>-99.7</v>
      </c>
      <c r="D12" s="6" t="n"/>
      <c r="E12" s="6" t="n"/>
    </row>
    <row r="13">
      <c r="A13" s="6" t="inlineStr">
        <is>
          <t>Net gains on derecognition of debt instruments at FVOCI</t>
        </is>
      </c>
      <c r="B13" s="6" t="n">
        <v>159.6</v>
      </c>
      <c r="C13" s="6" t="n">
        <v>9.6</v>
      </c>
      <c r="D13" s="6" t="n"/>
      <c r="E13" s="6" t="n"/>
    </row>
    <row r="14">
      <c r="A14" s="6" t="inlineStr">
        <is>
          <t>Loss on disposal of investments at FVOCI</t>
        </is>
      </c>
      <c r="B14" s="6" t="n"/>
      <c r="C14" s="6" t="n"/>
      <c r="D14" s="6" t="n">
        <v>-277.5</v>
      </c>
      <c r="E14" s="6" t="n">
        <v>-13.1</v>
      </c>
    </row>
    <row r="15">
      <c r="A15" s="6" t="inlineStr">
        <is>
          <t>Other income</t>
        </is>
      </c>
      <c r="B15" s="6" t="n">
        <v>572.7</v>
      </c>
      <c r="C15" s="6" t="n">
        <v>1833.7</v>
      </c>
      <c r="D15" s="6" t="n">
        <v>546.8</v>
      </c>
      <c r="E15" s="6" t="n">
        <v>810.1</v>
      </c>
    </row>
    <row r="16">
      <c r="A16" s="5" t="inlineStr">
        <is>
          <t>Operating income</t>
        </is>
      </c>
      <c r="B16" s="5" t="n">
        <v>21968.4</v>
      </c>
      <c r="C16" s="5" t="n">
        <v>25058.3</v>
      </c>
      <c r="D16" s="5" t="n">
        <v>18112.8</v>
      </c>
      <c r="E16" s="5" t="n">
        <v>6471.8</v>
      </c>
    </row>
    <row r="17">
      <c r="A17" s="6" t="inlineStr">
        <is>
          <t>Staff costs</t>
        </is>
      </c>
      <c r="B17" s="6" t="n">
        <v>-7379.1</v>
      </c>
      <c r="C17" s="6" t="n">
        <v>-6212.7</v>
      </c>
      <c r="D17" s="6" t="n">
        <v>-5748.3</v>
      </c>
      <c r="E17" s="6" t="n">
        <v>-4130.3</v>
      </c>
    </row>
    <row r="18">
      <c r="A18" s="6" t="inlineStr">
        <is>
          <t>Administrative expenses</t>
        </is>
      </c>
      <c r="B18" s="6" t="n">
        <v>-3828.8</v>
      </c>
      <c r="C18" s="6" t="n">
        <v>-3115.2</v>
      </c>
      <c r="D18" s="6" t="n">
        <v>-2341</v>
      </c>
      <c r="E18" s="6" t="n">
        <v>-1460.2</v>
      </c>
    </row>
    <row r="19">
      <c r="A19" s="6" t="inlineStr">
        <is>
          <t>Other operating (expenses)/income</t>
        </is>
      </c>
      <c r="B19" s="6" t="n">
        <v>-43</v>
      </c>
      <c r="C19" s="6" t="n">
        <v>-714.7</v>
      </c>
      <c r="D19" s="6" t="n">
        <v>338.1</v>
      </c>
      <c r="E19" s="6" t="n">
        <v>-1086.4</v>
      </c>
    </row>
    <row r="20">
      <c r="A20" s="6" t="inlineStr">
        <is>
          <t>Depreciation and amortisation</t>
        </is>
      </c>
      <c r="B20" s="6" t="n">
        <v>-610.2</v>
      </c>
      <c r="C20" s="6" t="n">
        <v>-629.5</v>
      </c>
      <c r="D20" s="6" t="n">
        <v>-611.6</v>
      </c>
      <c r="E20" s="6" t="n">
        <v>-556.3</v>
      </c>
    </row>
    <row r="21">
      <c r="A21" s="5" t="inlineStr">
        <is>
          <t>Profit/(loss) before taxation</t>
        </is>
      </c>
      <c r="B21" s="5" t="n">
        <v>10107.2</v>
      </c>
      <c r="C21" s="5" t="n">
        <v>14386.2</v>
      </c>
      <c r="D21" s="5" t="n">
        <v>9750</v>
      </c>
      <c r="E21" s="5" t="n">
        <v>-761.3</v>
      </c>
    </row>
    <row r="22">
      <c r="A22" s="6" t="inlineStr">
        <is>
          <t>Income tax (expense)/credit</t>
        </is>
      </c>
      <c r="B22" s="6" t="n">
        <v>-1150.1</v>
      </c>
      <c r="C22" s="6" t="n">
        <v>-2871.6</v>
      </c>
      <c r="D22" s="6" t="n">
        <v>-487</v>
      </c>
      <c r="E22" s="6" t="n">
        <v>0</v>
      </c>
    </row>
    <row r="23">
      <c r="A23" s="5" t="inlineStr">
        <is>
          <t>Profit/(loss) for the year</t>
        </is>
      </c>
      <c r="B23" s="5" t="n">
        <v>8957.1</v>
      </c>
      <c r="C23" s="5" t="n">
        <v>11514.6</v>
      </c>
      <c r="D23" s="5" t="n">
        <v>9263.1</v>
      </c>
      <c r="E23" s="5" t="n">
        <v>-761.3</v>
      </c>
    </row>
    <row r="24">
      <c r="A24" s="5" t="inlineStr">
        <is>
          <t>Other comprehensive income/(expense)</t>
        </is>
      </c>
      <c r="B24" s="6" t="n"/>
      <c r="C24" s="6" t="n"/>
      <c r="D24" s="6" t="n"/>
      <c r="E24" s="6" t="n"/>
    </row>
    <row r="25">
      <c r="A25" s="6" t="inlineStr">
        <is>
          <t>Items that may be reclassified to profit or loss (as printed - see OCI discrepancy note)</t>
        </is>
      </c>
      <c r="B25" s="6" t="n">
        <v>849.6</v>
      </c>
      <c r="C25" s="6" t="n">
        <v>1882</v>
      </c>
      <c r="D25" s="6" t="n"/>
      <c r="E25" s="6" t="n"/>
    </row>
    <row r="26">
      <c r="A26" s="6" t="inlineStr">
        <is>
          <t>Net change in fair value of investment securities at FVOCI</t>
        </is>
      </c>
      <c r="B26" s="6" t="n">
        <v>578.9</v>
      </c>
      <c r="C26" s="6" t="n"/>
      <c r="D26" s="6" t="n"/>
      <c r="E26" s="6" t="n"/>
    </row>
    <row r="27">
      <c r="A27" s="6" t="inlineStr">
        <is>
          <t>Net change in allowances for expected credit losses of investment securities at FVOCI</t>
        </is>
      </c>
      <c r="B27" s="6" t="n">
        <v>483.5</v>
      </c>
      <c r="C27" s="6" t="n"/>
      <c r="D27" s="6" t="n"/>
      <c r="E27" s="6" t="n"/>
    </row>
    <row r="28">
      <c r="A28" s="6" t="inlineStr">
        <is>
          <t>Income tax related to the above</t>
        </is>
      </c>
      <c r="B28" s="6" t="n">
        <v>273</v>
      </c>
      <c r="C28" s="6" t="n"/>
      <c r="D28" s="6" t="n"/>
      <c r="E28" s="6" t="n"/>
    </row>
    <row r="29">
      <c r="A29" s="6" t="inlineStr">
        <is>
          <t>Hedging derivative unrealised gain/(loss)</t>
        </is>
      </c>
      <c r="B29" s="6" t="n"/>
      <c r="C29" s="6" t="n"/>
      <c r="D29" s="6" t="n">
        <v>0</v>
      </c>
      <c r="E29" s="6" t="n">
        <v>125.1</v>
      </c>
    </row>
    <row r="30">
      <c r="A30" s="6" t="inlineStr">
        <is>
          <t>Net loss on financial assets measured at FVOCI</t>
        </is>
      </c>
      <c r="B30" s="6" t="n"/>
      <c r="C30" s="6" t="n"/>
      <c r="D30" s="6" t="n">
        <v>-3672.5</v>
      </c>
      <c r="E30" s="6" t="n">
        <v>-611.5</v>
      </c>
    </row>
    <row r="31">
      <c r="A31" s="5" t="inlineStr">
        <is>
          <t>Total comprehensive income/(loss) for the year</t>
        </is>
      </c>
      <c r="B31" s="5" t="n">
        <v>11142.2</v>
      </c>
      <c r="C31" s="5" t="n">
        <v>13396.6</v>
      </c>
      <c r="D31" s="5" t="n">
        <v>5590.5</v>
      </c>
      <c r="E31" s="5" t="n">
        <v>-1247.8</v>
      </c>
    </row>
    <row r="33" ht="420" customHeight="1">
      <c r="A33" s="8" t="inlineStr">
        <is>
          <t>Sources - all figures are United Bank for Africa (UK) Limited's own primary financial statements (converted from USD to £, see FX conversion note below):
FY2024 &amp; FY2023: Annual Report and Accounts 2024, p.47 (Statement of Profit or Loss and Other Comprehensive Income), p.48 (Statement of Financial Position) - https://www.ubauk.com/wp-content/uploads/sites/29/2025/07/UBA-UK-2024-AR-1.pdf
FY2022 &amp; FY2021: Annual Report and Accounts 2022, p.36 (Statement of Comprehensive Income), p.37 (Statement of Financial Position) - https://www.ubauk.com/wp-content/uploads/sites/29/2023/09/UBA-UK-FIN-A-Ann-Rpt-and-Accts-31-Dec-2022.pdf
Presentation differs between report vintages: FY2024/FY2023 split interest income into 'calculated using the effective interest method' and 'other interest and similar income' lines and separately disclose 'Due from banks', a Deferred tax asset, and a Current tax asset; FY2022/FY2021 show a single 'Interest receivable and similar income' line, no 'Due from banks' split, and a Deferred TAX LIABILITY instead (FY2021 only, £nil FY2022) rather than an asset. Each year's own as-reported line items and labels are preserved rather than forced into a common shape; blank cells indicate that year's report did not disclose that specific split.
OCI DISCREPANCY NOTE: FY2024's Statement of Profit or Loss and OCI shows 4 separate OCI detail lines summing to the stated 'Total items that may be reclassified to profit or loss' ($1,086k + $740k + $618k + $349k = $2,793k) - but the Statement of Changes in Equity's own FY2024 roll-forward shows a DIFFERENT 3-line OCI component split ($1,435k fair value change + $740k reclassification + $618k ECL allowance change = the same $2,793k total). Both statements' totals agree exactly ($2,793k / £2,185.1k), but their component breakdowns do not reconcile line-for-line - an unresolved labelling inconsistency in the source document itself, reproduced here exactly as each statement presents it rather than silently reconciled or picked one over the other.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FY2021-FY2024 only (4 years) rather than the usual 5.
FX CONVERSION NOTE: United Bank for Africa (UK) Limited reports in US Dollars (its functional currency, per its own foreign currency risk note - 'Revenues, assets and liabilities are primarily in the functional currency US dollar'). This workbook converts every $ amount to £ for consistency with the rest of this series, following the same methodology established for SMBC Bank International plc and Zenith Bank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and identical to the rates used for Zenith Bank UK since both banks share the same 31 December fiscal year-end. Rates used (£1 = $X): 31 Dec 2020 spot 1.3661 (FY2021 opening cash only); FY2021 spot 1.3521 / average 1.3752; FY2022 spot 1.2097 / average 1.2362; FY2023 spot 1.2732 / average 1.2439; FY2024 spot 1.2515 / average 1.2782.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following the same call already confirmed for Zenith Bank UK; flag if £'000 rather than the Bank's native US$'000 presentation is not what's wanted here.</t>
        </is>
      </c>
    </row>
  </sheetData>
  <mergeCells count="1">
    <mergeCell ref="A33:E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United Bank for Africa (UK) Limited — Statement of Changes in Equity</t>
        </is>
      </c>
    </row>
    <row r="2">
      <c r="A2" s="2" t="inlineStr">
        <is>
          <t>US$'000 (NOT converted to £ - see source note at bottom for why).</t>
        </is>
      </c>
    </row>
    <row r="3">
      <c r="A3" s="4" t="inlineStr">
        <is>
          <t>Movement</t>
        </is>
      </c>
      <c r="B3" s="4" t="inlineStr">
        <is>
          <t>Share capital</t>
        </is>
      </c>
      <c r="C3" s="4" t="inlineStr">
        <is>
          <t>Share premium account</t>
        </is>
      </c>
      <c r="D3" s="4" t="inlineStr">
        <is>
          <t>Fair value &amp; hedging reserve</t>
        </is>
      </c>
      <c r="E3" s="4" t="inlineStr">
        <is>
          <t>Retained earnings/(Accumulated losses)</t>
        </is>
      </c>
      <c r="F3" s="4" t="inlineStr">
        <is>
          <t>Total equity</t>
        </is>
      </c>
    </row>
    <row r="4">
      <c r="A4" s="5" t="inlineStr">
        <is>
          <t>Balance as at 1 January 2021</t>
        </is>
      </c>
      <c r="B4" s="5" t="n">
        <v>60246</v>
      </c>
      <c r="C4" s="5" t="n">
        <v>201</v>
      </c>
      <c r="D4" s="5" t="n">
        <v>-355</v>
      </c>
      <c r="E4" s="5" t="n">
        <v>-18884</v>
      </c>
      <c r="F4" s="5" t="n">
        <v>41208</v>
      </c>
    </row>
    <row r="5">
      <c r="A5" s="6" t="inlineStr">
        <is>
          <t>Loss for the year</t>
        </is>
      </c>
      <c r="B5" s="6" t="n"/>
      <c r="C5" s="6" t="n"/>
      <c r="D5" s="6" t="n"/>
      <c r="E5" s="6" t="n">
        <v>-1047</v>
      </c>
      <c r="F5" s="6" t="n">
        <v>-1047</v>
      </c>
    </row>
    <row r="6">
      <c r="A6" s="6" t="inlineStr">
        <is>
          <t>Other comprehensive expense (hedging + FVOCI)</t>
        </is>
      </c>
      <c r="B6" s="6" t="n"/>
      <c r="C6" s="6" t="n"/>
      <c r="D6" s="6" t="n">
        <v>-669</v>
      </c>
      <c r="E6" s="6" t="n"/>
      <c r="F6" s="6" t="n">
        <v>-669</v>
      </c>
    </row>
    <row r="7">
      <c r="A7" s="5" t="inlineStr">
        <is>
          <t>Balance at 31 December 2021 / 1 January 2022</t>
        </is>
      </c>
      <c r="B7" s="5" t="n">
        <v>60246</v>
      </c>
      <c r="C7" s="5" t="n">
        <v>201</v>
      </c>
      <c r="D7" s="5" t="n">
        <v>-1024</v>
      </c>
      <c r="E7" s="5" t="n">
        <v>-19931</v>
      </c>
      <c r="F7" s="5" t="n">
        <v>39492</v>
      </c>
    </row>
    <row r="8">
      <c r="A8" s="6" t="inlineStr">
        <is>
          <t>Profit for the year</t>
        </is>
      </c>
      <c r="B8" s="6" t="n"/>
      <c r="C8" s="6" t="n"/>
      <c r="D8" s="6" t="n"/>
      <c r="E8" s="6" t="n">
        <v>11451</v>
      </c>
      <c r="F8" s="6" t="n">
        <v>11451</v>
      </c>
    </row>
    <row r="9">
      <c r="A9" s="6" t="inlineStr">
        <is>
          <t>Other comprehensive expense (FVOCI)</t>
        </is>
      </c>
      <c r="B9" s="6" t="n"/>
      <c r="C9" s="6" t="n"/>
      <c r="D9" s="6" t="n">
        <v>-4540</v>
      </c>
      <c r="E9" s="6" t="n"/>
      <c r="F9" s="6" t="n">
        <v>-4540</v>
      </c>
    </row>
    <row r="10">
      <c r="A10" s="5" t="inlineStr">
        <is>
          <t>Balance at 31 December 2022 / 1 January 2023</t>
        </is>
      </c>
      <c r="B10" s="5" t="n">
        <v>60246</v>
      </c>
      <c r="C10" s="5" t="n">
        <v>201</v>
      </c>
      <c r="D10" s="5" t="n">
        <v>-5564</v>
      </c>
      <c r="E10" s="5" t="n">
        <v>-8480</v>
      </c>
      <c r="F10" s="5" t="n">
        <v>46403</v>
      </c>
    </row>
    <row r="11">
      <c r="A11" s="6" t="inlineStr">
        <is>
          <t>Issuance of share capital</t>
        </is>
      </c>
      <c r="B11" s="6" t="n">
        <v>12000</v>
      </c>
      <c r="C11" s="6" t="n"/>
      <c r="D11" s="6" t="n"/>
      <c r="E11" s="6" t="n"/>
      <c r="F11" s="6" t="n">
        <v>12000</v>
      </c>
    </row>
    <row r="12">
      <c r="A12" s="6" t="inlineStr">
        <is>
          <t>Profit for the year</t>
        </is>
      </c>
      <c r="B12" s="6" t="n"/>
      <c r="C12" s="6" t="n"/>
      <c r="D12" s="6" t="n"/>
      <c r="E12" s="6" t="n">
        <v>14323</v>
      </c>
      <c r="F12" s="6" t="n">
        <v>14323</v>
      </c>
    </row>
    <row r="13">
      <c r="A13" s="6" t="inlineStr">
        <is>
          <t>Net change in fair value of financial instruments at FVOCI</t>
        </is>
      </c>
      <c r="B13" s="6" t="n"/>
      <c r="C13" s="6" t="n"/>
      <c r="D13" s="6" t="n">
        <v>2341</v>
      </c>
      <c r="E13" s="6" t="n"/>
      <c r="F13" s="6" t="n">
        <v>2341</v>
      </c>
    </row>
    <row r="14">
      <c r="A14" s="5" t="inlineStr">
        <is>
          <t>Balance at 31 December 2023 / 1 January 2024</t>
        </is>
      </c>
      <c r="B14" s="5" t="n">
        <v>72246</v>
      </c>
      <c r="C14" s="5" t="n">
        <v>201</v>
      </c>
      <c r="D14" s="5" t="n">
        <v>-3223</v>
      </c>
      <c r="E14" s="5" t="n">
        <v>5843</v>
      </c>
      <c r="F14" s="5" t="n">
        <v>75067</v>
      </c>
    </row>
    <row r="15">
      <c r="A15" s="6" t="inlineStr">
        <is>
          <t>Profit for the year</t>
        </is>
      </c>
      <c r="B15" s="6" t="n"/>
      <c r="C15" s="6" t="n"/>
      <c r="D15" s="6" t="n"/>
      <c r="E15" s="6" t="n">
        <v>11449</v>
      </c>
      <c r="F15" s="6" t="n">
        <v>11449</v>
      </c>
    </row>
    <row r="16">
      <c r="A16" s="6" t="inlineStr">
        <is>
          <t>Total items that may be reclassified to profit or loss (OCI, net)</t>
        </is>
      </c>
      <c r="B16" s="6" t="n"/>
      <c r="C16" s="6" t="n"/>
      <c r="D16" s="6" t="n">
        <v>2793</v>
      </c>
      <c r="E16" s="6" t="n"/>
      <c r="F16" s="6" t="n">
        <v>2793</v>
      </c>
    </row>
    <row r="17">
      <c r="A17" s="6" t="inlineStr">
        <is>
          <t>Dividends</t>
        </is>
      </c>
      <c r="B17" s="6" t="n"/>
      <c r="C17" s="6" t="n"/>
      <c r="D17" s="6" t="n"/>
      <c r="E17" s="6" t="n">
        <v>-10000</v>
      </c>
      <c r="F17" s="6" t="n">
        <v>-10000</v>
      </c>
    </row>
    <row r="18">
      <c r="A18" s="5" t="inlineStr">
        <is>
          <t>Balance at 31 December 2024</t>
        </is>
      </c>
      <c r="B18" s="5" t="n">
        <v>72246</v>
      </c>
      <c r="C18" s="5" t="n">
        <v>201</v>
      </c>
      <c r="D18" s="5" t="n">
        <v>-430</v>
      </c>
      <c r="E18" s="5" t="n">
        <v>7292</v>
      </c>
      <c r="F18" s="5" t="n">
        <v>79309</v>
      </c>
    </row>
    <row r="20" ht="460" customHeight="1">
      <c r="A20" s="8" t="inlineStr">
        <is>
          <t>Sources - United Bank for Africa (UK) Limited's own Statement of Changes in Equity, presented in the Bank's native US$'000 (NOT converted to £, unlike every other sheet in this workbook):
FY2024 &amp; FY2023: Annual Report and Accounts 2024, p.49 (Statement of Changes in Equity) - https://www.ubauk.com/wp-content/uploads/sites/29/2025/07/UBA-UK-2024-AR-1.pdf
FY2022 &amp; FY2021: Annual Report and Accounts 2022, p.38 (Statement of Changes in Equity) - https://www.ubauk.com/wp-content/uploads/sites/29/2023/09/UBA-UK-FIN-A-Ann-Rpt-and-Accts-31-Dec-2022.pdf
WHY NOT CONVERTED: unlike the Balance Sheet (a point-in-time snapshot, convertible at that date's spot rate) and the Profit &amp; Loss (a single year's flow, convertible at that year's average rate), this sheet is a multi-year chronological ROLL-FORWARD chaining 4 years of opening/movement/closing balances together. Converting each balance at its own date's spot rate while converting each movement at that year's average rate would introduce a distinct, unexplained 'FX translation' gap into every reserve column at every year boundary (verified: gaps of several hundred to several thousand £'000 per column per year, driven entirely by USD/GBP rate movement, not by any real accounting entry) - materially different from the Cash Flow Statement sheet's single-line, whole-statement translation plug, and not cleanly representable as one reconciling row across 5 equity-component columns. Rather than fabricate a misleadingly precise-looking £ conversion that would obscure this, the ladder is shown in the Bank's own native USD, exactly as reported, on every row. Convert any individual balance to £ using this sheet's own year-end spot rate (see FX conversion note on the Cash Flow Statement sheet) if needed for cross-reference.
RECONCILIATION NOTE: FY2022, FY2023, and FY2024 all tie exactly to that year's own Balance Sheet Total equity and to the next year's opening balance. FY2021's closing balance as shown in this equity statement ($39,492k total; Accumulated losses $(19,931)k; Fair value + Hedging reserve $(1,024)k combined) differs from the FY2021 Balance Sheet's own independently-stated figures (Accumulated losses $(19,930)k; Other reserves $(1,025)k) by exactly $1k in each of two lines (Total equity itself, $39,492k, matches exactly) - a genuine $1k rounding artefact between the two primary statements in the FY2022 Annual Report, reproduced exactly as each statement states rather than forced to tie.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FY2021-FY2024 only (4 years) rather than the usual 5.</t>
        </is>
      </c>
    </row>
  </sheetData>
  <mergeCells count="1">
    <mergeCell ref="A20:F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United Bank for Africa (UK) Limited — Statement of Cash Flows</t>
        </is>
      </c>
    </row>
    <row r="2">
      <c r="A2" s="2" t="inlineStr">
        <is>
          <t>£'000, converted from USD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row>
    <row r="4">
      <c r="A4" s="5" t="inlineStr">
        <is>
          <t>Operating activities</t>
        </is>
      </c>
      <c r="B4" s="6" t="n"/>
      <c r="C4" s="6" t="n"/>
      <c r="D4" s="6" t="n"/>
      <c r="E4" s="6" t="n"/>
    </row>
    <row r="5">
      <c r="A5" s="6" t="inlineStr">
        <is>
          <t>Profit/(loss) before tax</t>
        </is>
      </c>
      <c r="B5" s="6" t="n">
        <v>10107.2</v>
      </c>
      <c r="C5" s="6" t="n">
        <v>14386.2</v>
      </c>
      <c r="D5" s="6" t="n">
        <v>9750</v>
      </c>
      <c r="E5" s="6" t="n">
        <v>-761.3</v>
      </c>
    </row>
    <row r="6">
      <c r="A6" s="6" t="inlineStr">
        <is>
          <t>Depreciation and amortisation</t>
        </is>
      </c>
      <c r="B6" s="6" t="n">
        <v>610.2</v>
      </c>
      <c r="C6" s="6" t="n">
        <v>629.5</v>
      </c>
      <c r="D6" s="6" t="n">
        <v>611.6</v>
      </c>
      <c r="E6" s="6" t="n">
        <v>556.3</v>
      </c>
    </row>
    <row r="7">
      <c r="A7" s="6" t="inlineStr">
        <is>
          <t>Net gain/(loss) on derecognition of debt instruments measured at amortised cost</t>
        </is>
      </c>
      <c r="B7" s="6" t="n">
        <v>-819.1</v>
      </c>
      <c r="C7" s="6" t="n">
        <v>99.7</v>
      </c>
      <c r="D7" s="6" t="n"/>
      <c r="E7" s="6" t="n"/>
    </row>
    <row r="8">
      <c r="A8" s="6" t="inlineStr">
        <is>
          <t>Net gain/(loss) on derecognition of debt instruments measured at FVOCI</t>
        </is>
      </c>
      <c r="B8" s="6" t="n">
        <v>-159.6</v>
      </c>
      <c r="C8" s="6" t="n">
        <v>-9.6</v>
      </c>
      <c r="D8" s="6" t="n"/>
      <c r="E8" s="6" t="n"/>
    </row>
    <row r="9">
      <c r="A9" s="6" t="inlineStr">
        <is>
          <t>Loss on disposal of investments at FVOCI</t>
        </is>
      </c>
      <c r="B9" s="6" t="n"/>
      <c r="C9" s="6" t="n"/>
      <c r="D9" s="6" t="n">
        <v>277.5</v>
      </c>
      <c r="E9" s="6" t="n">
        <v>13.1</v>
      </c>
    </row>
    <row r="10">
      <c r="A10" s="6" t="inlineStr">
        <is>
          <t>Other non-cash items included in profit before tax</t>
        </is>
      </c>
      <c r="B10" s="6" t="n">
        <v>72.8</v>
      </c>
      <c r="C10" s="6" t="n">
        <v>-1098.2</v>
      </c>
      <c r="D10" s="6" t="n"/>
      <c r="E10" s="6" t="n"/>
    </row>
    <row r="11">
      <c r="A11" s="6" t="inlineStr">
        <is>
          <t>Increase in other non-cash movements</t>
        </is>
      </c>
      <c r="B11" s="6" t="n"/>
      <c r="C11" s="6" t="n"/>
      <c r="D11" s="6" t="n">
        <v>3707.3</v>
      </c>
      <c r="E11" s="6" t="n">
        <v>-146.2</v>
      </c>
    </row>
    <row r="12">
      <c r="A12" s="6" t="inlineStr">
        <is>
          <t>Change in due from banks</t>
        </is>
      </c>
      <c r="B12" s="6" t="n">
        <v>-67523.89999999999</v>
      </c>
      <c r="C12" s="6" t="n"/>
      <c r="D12" s="6" t="n"/>
      <c r="E12" s="6" t="n"/>
    </row>
    <row r="13">
      <c r="A13" s="6" t="inlineStr">
        <is>
          <t>Change in loans and advances to banks</t>
        </is>
      </c>
      <c r="B13" s="6" t="n">
        <v>214511.8</v>
      </c>
      <c r="C13" s="6" t="n">
        <v>45211.8</v>
      </c>
      <c r="D13" s="6" t="n">
        <v>-74826.89999999999</v>
      </c>
      <c r="E13" s="6" t="n">
        <v>-181358.3</v>
      </c>
    </row>
    <row r="14">
      <c r="A14" s="6" t="inlineStr">
        <is>
          <t>Change in loans and advances to customers</t>
        </is>
      </c>
      <c r="B14" s="6" t="n">
        <v>2003.6</v>
      </c>
      <c r="C14" s="6" t="n">
        <v>-2058.8</v>
      </c>
      <c r="D14" s="6" t="n"/>
      <c r="E14" s="6" t="n"/>
    </row>
    <row r="15">
      <c r="A15" s="6" t="inlineStr">
        <is>
          <t>Change in other assets</t>
        </is>
      </c>
      <c r="B15" s="6" t="n">
        <v>-1660.1</v>
      </c>
      <c r="C15" s="6" t="n">
        <v>-1247.7</v>
      </c>
      <c r="D15" s="6" t="n">
        <v>596.2</v>
      </c>
      <c r="E15" s="6" t="n">
        <v>-893</v>
      </c>
    </row>
    <row r="16">
      <c r="A16" s="6" t="inlineStr">
        <is>
          <t>Change in deposit from banks</t>
        </is>
      </c>
      <c r="B16" s="6" t="n">
        <v>-93734.89999999999</v>
      </c>
      <c r="C16" s="6" t="n">
        <v>-36816.5</v>
      </c>
      <c r="D16" s="6" t="n">
        <v>50608.3</v>
      </c>
      <c r="E16" s="6" t="n">
        <v>209352.8</v>
      </c>
    </row>
    <row r="17">
      <c r="A17" s="6" t="inlineStr">
        <is>
          <t>Change in deposit from customers</t>
        </is>
      </c>
      <c r="B17" s="6" t="n">
        <v>-21549.1</v>
      </c>
      <c r="C17" s="6" t="n">
        <v>26179.8</v>
      </c>
      <c r="D17" s="6" t="n">
        <v>3881.2</v>
      </c>
      <c r="E17" s="6" t="n">
        <v>-9781.799999999999</v>
      </c>
    </row>
    <row r="18">
      <c r="A18" s="6" t="inlineStr">
        <is>
          <t>Change/increase in other liabilities</t>
        </is>
      </c>
      <c r="B18" s="6" t="n">
        <v>1440.3</v>
      </c>
      <c r="C18" s="6" t="n">
        <v>782.2</v>
      </c>
      <c r="D18" s="6" t="n">
        <v>-1012</v>
      </c>
      <c r="E18" s="6" t="n">
        <v>2265.1</v>
      </c>
    </row>
    <row r="19">
      <c r="A19" s="6" t="inlineStr">
        <is>
          <t>Tax paid</t>
        </is>
      </c>
      <c r="B19" s="6" t="n">
        <v>-2516.8</v>
      </c>
      <c r="C19" s="6" t="n">
        <v>-3267.1</v>
      </c>
      <c r="D19" s="6" t="n"/>
      <c r="E19" s="6" t="n"/>
    </row>
    <row r="20">
      <c r="A20" s="5" t="inlineStr">
        <is>
          <t>Net cash flows from/(used in) operating activities</t>
        </is>
      </c>
      <c r="B20" s="5" t="n">
        <v>40782.4</v>
      </c>
      <c r="C20" s="5" t="n">
        <v>42791.2</v>
      </c>
      <c r="D20" s="5" t="n">
        <v>-6406.7</v>
      </c>
      <c r="E20" s="5" t="n">
        <v>19246.7</v>
      </c>
    </row>
    <row r="21">
      <c r="A21" s="5" t="inlineStr">
        <is>
          <t>Investing activities</t>
        </is>
      </c>
      <c r="B21" s="6" t="n"/>
      <c r="C21" s="6" t="n"/>
      <c r="D21" s="6" t="n"/>
      <c r="E21" s="6" t="n"/>
    </row>
    <row r="22">
      <c r="A22" s="6" t="inlineStr">
        <is>
          <t>Purchase of property, plant and equipment</t>
        </is>
      </c>
      <c r="B22" s="6" t="n">
        <v>-427.2</v>
      </c>
      <c r="C22" s="6" t="n">
        <v>-53.9</v>
      </c>
      <c r="D22" s="6" t="n"/>
      <c r="E22" s="6" t="n"/>
    </row>
    <row r="23">
      <c r="A23" s="6" t="inlineStr">
        <is>
          <t>Purchase and sale of property, plant and equipment (net)</t>
        </is>
      </c>
      <c r="B23" s="6" t="n"/>
      <c r="C23" s="6" t="n"/>
      <c r="D23" s="6" t="n">
        <v>-19.4</v>
      </c>
      <c r="E23" s="6" t="n"/>
    </row>
    <row r="24">
      <c r="A24" s="6" t="inlineStr">
        <is>
          <t>Purchase of intangible assets</t>
        </is>
      </c>
      <c r="B24" s="6" t="n">
        <v>-161.9</v>
      </c>
      <c r="C24" s="6" t="n">
        <v>-76.40000000000001</v>
      </c>
      <c r="D24" s="6" t="n">
        <v>-185.2</v>
      </c>
      <c r="E24" s="6" t="n">
        <v>-88.7</v>
      </c>
    </row>
    <row r="25">
      <c r="A25" s="6" t="inlineStr">
        <is>
          <t>Payments for investment securities at FVOCI</t>
        </is>
      </c>
      <c r="B25" s="6" t="n">
        <v>-58767.8</v>
      </c>
      <c r="C25" s="6" t="n">
        <v>-7924.3</v>
      </c>
      <c r="D25" s="6" t="n">
        <v>-4034.9</v>
      </c>
      <c r="E25" s="6" t="n">
        <v>-62881</v>
      </c>
    </row>
    <row r="26">
      <c r="A26" s="6" t="inlineStr">
        <is>
          <t>Net payment for subscription/redemption of investment securities at FVTPL</t>
        </is>
      </c>
      <c r="B26" s="6" t="n">
        <v>-4663.6</v>
      </c>
      <c r="C26" s="6" t="n">
        <v>-12558.1</v>
      </c>
      <c r="D26" s="6" t="n"/>
      <c r="E26" s="6" t="n"/>
    </row>
    <row r="27">
      <c r="A27" s="6" t="inlineStr">
        <is>
          <t>Payments for investment securities at FVTPL</t>
        </is>
      </c>
      <c r="B27" s="6" t="n"/>
      <c r="C27" s="6" t="n"/>
      <c r="D27" s="6" t="n">
        <v>-21876.7</v>
      </c>
      <c r="E27" s="6" t="n">
        <v>-9091</v>
      </c>
    </row>
    <row r="28">
      <c r="A28" s="6" t="inlineStr">
        <is>
          <t>Payments for investment securities at amortised cost</t>
        </is>
      </c>
      <c r="B28" s="6" t="n"/>
      <c r="C28" s="6" t="n"/>
      <c r="D28" s="6" t="n">
        <v>-10947.3</v>
      </c>
      <c r="E28" s="6" t="n">
        <v>-24094.7</v>
      </c>
    </row>
    <row r="29">
      <c r="A29" s="6" t="inlineStr">
        <is>
          <t>Proceeds from sale of investment securities at FVOCI</t>
        </is>
      </c>
      <c r="B29" s="6" t="n">
        <v>25291.8</v>
      </c>
      <c r="C29" s="6" t="n">
        <v>14170.8</v>
      </c>
      <c r="D29" s="6" t="n">
        <v>14106.1</v>
      </c>
      <c r="E29" s="6" t="n">
        <v>53623.5</v>
      </c>
    </row>
    <row r="30">
      <c r="A30" s="6" t="inlineStr">
        <is>
          <t>Proceeds from sale of investment securities at amortised cost</t>
        </is>
      </c>
      <c r="B30" s="6" t="n">
        <v>14600.2</v>
      </c>
      <c r="C30" s="6" t="n">
        <v>1638.4</v>
      </c>
      <c r="D30" s="6" t="n"/>
      <c r="E30" s="6" t="n"/>
    </row>
    <row r="31">
      <c r="A31" s="6" t="inlineStr">
        <is>
          <t>Proceeds from sale of investment securities at FVTPL</t>
        </is>
      </c>
      <c r="B31" s="6" t="n"/>
      <c r="C31" s="6" t="n"/>
      <c r="D31" s="6" t="n">
        <v>10113.3</v>
      </c>
      <c r="E31" s="6" t="n">
        <v>1454.3</v>
      </c>
    </row>
    <row r="32">
      <c r="A32" s="6" t="inlineStr">
        <is>
          <t>Proceeds from maturity of investment securities at amortised cost</t>
        </is>
      </c>
      <c r="B32" s="6" t="n"/>
      <c r="C32" s="6" t="n"/>
      <c r="D32" s="6" t="n"/>
      <c r="E32" s="6" t="n">
        <v>29819.7</v>
      </c>
    </row>
    <row r="33">
      <c r="A33" s="5" t="inlineStr">
        <is>
          <t>Net cash flows from/(used in) investing activities</t>
        </is>
      </c>
      <c r="B33" s="5" t="n">
        <v>-24128.5</v>
      </c>
      <c r="C33" s="5" t="n">
        <v>-4803.4</v>
      </c>
      <c r="D33" s="5" t="n">
        <v>-12844.2</v>
      </c>
      <c r="E33" s="5" t="n">
        <v>-11258</v>
      </c>
    </row>
    <row r="34">
      <c r="A34" s="5" t="inlineStr">
        <is>
          <t>Financing activities</t>
        </is>
      </c>
      <c r="B34" s="6" t="n"/>
      <c r="C34" s="6" t="n"/>
      <c r="D34" s="6" t="n"/>
      <c r="E34" s="6" t="n"/>
    </row>
    <row r="35">
      <c r="A35" s="6" t="inlineStr">
        <is>
          <t>Payments of lease liabilities</t>
        </is>
      </c>
      <c r="B35" s="6" t="n">
        <v>-199.5</v>
      </c>
      <c r="C35" s="6" t="n">
        <v>-188.9</v>
      </c>
      <c r="D35" s="6" t="n">
        <v>-190.1</v>
      </c>
      <c r="E35" s="6" t="n">
        <v>-205.8</v>
      </c>
    </row>
    <row r="36">
      <c r="A36" s="6" t="inlineStr">
        <is>
          <t>Payments of interest on leases</t>
        </is>
      </c>
      <c r="B36" s="6" t="n">
        <v>-7</v>
      </c>
      <c r="C36" s="6" t="n">
        <v>-8.800000000000001</v>
      </c>
      <c r="D36" s="6" t="n"/>
      <c r="E36" s="6" t="n"/>
    </row>
    <row r="37">
      <c r="A37" s="6" t="inlineStr">
        <is>
          <t>Dividend paid</t>
        </is>
      </c>
      <c r="B37" s="6" t="n">
        <v>-7823.5</v>
      </c>
      <c r="C37" s="6" t="n"/>
      <c r="D37" s="6" t="n"/>
      <c r="E37" s="6" t="n"/>
    </row>
    <row r="38">
      <c r="A38" s="6" t="inlineStr">
        <is>
          <t>Proceeds from issuance of share capital</t>
        </is>
      </c>
      <c r="B38" s="6" t="n"/>
      <c r="C38" s="6" t="n">
        <v>9647.1</v>
      </c>
      <c r="D38" s="6" t="n"/>
      <c r="E38" s="6" t="n"/>
    </row>
    <row r="39">
      <c r="A39" s="5" t="inlineStr">
        <is>
          <t>Net cash flow (used in)/from financing activities</t>
        </is>
      </c>
      <c r="B39" s="5" t="n">
        <v>-8030</v>
      </c>
      <c r="C39" s="5" t="n">
        <v>9449.299999999999</v>
      </c>
      <c r="D39" s="5" t="n">
        <v>-190.1</v>
      </c>
      <c r="E39" s="5" t="n">
        <v>-205.8</v>
      </c>
    </row>
    <row r="40">
      <c r="A40" s="5" t="inlineStr">
        <is>
          <t>Net increase/(decrease) in cash and cash equivalents</t>
        </is>
      </c>
      <c r="B40" s="5" t="n">
        <v>8623.799999999999</v>
      </c>
      <c r="C40" s="5" t="n">
        <v>47437.1</v>
      </c>
      <c r="D40" s="5" t="n">
        <v>-19441</v>
      </c>
      <c r="E40" s="5" t="n">
        <v>7782.9</v>
      </c>
    </row>
    <row r="41">
      <c r="A41" s="6" t="inlineStr">
        <is>
          <t>Net foreign exchange difference</t>
        </is>
      </c>
      <c r="B41" s="6" t="n">
        <v>43</v>
      </c>
      <c r="C41" s="6" t="n">
        <v>714.7</v>
      </c>
      <c r="D41" s="6" t="n"/>
      <c r="E41" s="6" t="n"/>
    </row>
    <row r="42">
      <c r="A42" s="6" t="inlineStr">
        <is>
          <t>Effect of GBP/USD translation (£ conversion artefact - see FX note)</t>
        </is>
      </c>
      <c r="B42" s="6" t="n">
        <v>1427.6</v>
      </c>
      <c r="C42" s="6" t="n">
        <v>-2400.8</v>
      </c>
      <c r="D42" s="6" t="n">
        <v>4399.5</v>
      </c>
      <c r="E42" s="6" t="n">
        <v>471.9</v>
      </c>
    </row>
    <row r="43">
      <c r="A43" s="6" t="inlineStr">
        <is>
          <t>Cash and cash equivalents at beginning of period</t>
        </is>
      </c>
      <c r="B43" s="6" t="n">
        <v>71669.8</v>
      </c>
      <c r="C43" s="6" t="n">
        <v>25918.8</v>
      </c>
      <c r="D43" s="6" t="n">
        <v>40991.8</v>
      </c>
      <c r="E43" s="6" t="n">
        <v>32737</v>
      </c>
    </row>
    <row r="44">
      <c r="A44" s="5" t="inlineStr">
        <is>
          <t>Cash and cash equivalents at end of period</t>
        </is>
      </c>
      <c r="B44" s="5" t="n">
        <v>81764.3</v>
      </c>
      <c r="C44" s="5" t="n">
        <v>71669.8</v>
      </c>
      <c r="D44" s="5" t="n">
        <v>25950.2</v>
      </c>
      <c r="E44" s="5" t="n">
        <v>40991.8</v>
      </c>
    </row>
    <row r="46" ht="340" customHeight="1">
      <c r="A46" s="8" t="inlineStr">
        <is>
          <t>Sources - all figures are United Bank for Africa (UK) Limited's own Statement of Cash Flows (converted from USD to £, see FX conversion note below):
FY2024 &amp; FY2023: Annual Report and Accounts 2024, p.50 (Statements of Cash Flows) - https://www.ubauk.com/wp-content/uploads/sites/29/2025/07/UBA-UK-2024-AR-1.pdf
FY2022 &amp; FY2021: Annual Report and Accounts 2022, p.39 (Statement of Cash Flows) - https://www.ubauk.com/wp-content/uploads/sites/29/2023/09/UBA-UK-FIN-A-Ann-Rpt-and-Accts-31-Dec-2022.pdf
Note: presentation differs between report vintages - FY2024/FY2023 separately disclose 'Change in due from banks', a combined FVTPL subscription/redemption line, and split FVOCI/amortised-cost gain-on-derecognition lines; FY2022/FY2021 instead show a single combined 'Loss on disposal of investments at FVOCI' line and separate FVTPL/amortised-cost purchase and proceeds lines. Each year's own as-reported line items and labels are preserved rather than forced into a common shape; blank cells indicate that year's report did not disclose that specific split.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FY2021-FY2024 only (4 years) rather than the usual 5.
FX CONVERSION NOTE: United Bank for Africa (UK) Limited reports in US Dollars (its functional currency, per its own foreign currency risk note - 'Revenues, assets and liabilities are primarily in the functional currency US dollar'). This workbook converts every $ amount to £ for consistency with the rest of this series, following the same methodology established for SMBC Bank International plc and Zenith Bank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and identical to the rates used for Zenith Bank UK since both banks share the same 31 December fiscal year-end. Rates used (£1 = $X): 31 Dec 2020 spot 1.3661 (FY2021 opening cash only); FY2021 spot 1.3521 / average 1.3752; FY2022 spot 1.2097 / average 1.2362; FY2023 spot 1.2732 / average 1.2439; FY2024 spot 1.2515 / average 1.2782.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following the same call already confirmed for Zenith Bank UK; flag if £'000 rather than the Bank's native US$'000 presentation is not what's wanted here.
RECONCILIATION NOTE: the FY2022 Annual Report's Statement of Cash Flows shows the FY2022 closing balance as US$31,392k, but a supplementary 'cash and cash equivalent reconciliation' note in that same report nets this down to US$31,354k (deducting a US$38k expected credit loss allowance) - and it is this US$31,354k figure that the FY2023 Annual Report actually carries forward as its own FY2023 opening balance. Both figures are used exactly as each report presents them (FY2022's own closing balance from its primary statement; FY2023's own opening balance from its primary statement) rather than forcing them to match, so there is a small (~£31k) presentational discontinuity between the FY2022 closing and FY2023 opening £ balances shown here - not a data error, the underlying US$38k difference is fully explained by the source reconciliation note.</t>
        </is>
      </c>
    </row>
  </sheetData>
  <mergeCells count="1">
    <mergeCell ref="A46:E4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United Bank for Africa (UK) Limited — Asset Quality / Credit Risk Disclosures</t>
        </is>
      </c>
    </row>
    <row r="2">
      <c r="A2" s="2" t="inlineStr">
        <is>
          <t>£'000, converted from USD - see source note at bottom. UBA UK is a wholesale/treasury bank with an essentially nil customer loan book; figures cover all financial assets subject to IFRS 9 ECL.</t>
        </is>
      </c>
    </row>
    <row r="3">
      <c r="A3" s="4" t="inlineStr">
        <is>
          <t>Line item</t>
        </is>
      </c>
      <c r="B3" s="4" t="inlineStr">
        <is>
          <t>FY2024 (£'000, conv. from USD)</t>
        </is>
      </c>
      <c r="C3" s="4" t="inlineStr">
        <is>
          <t>FY2023 (£'000, conv. from USD)</t>
        </is>
      </c>
      <c r="D3" s="4" t="inlineStr">
        <is>
          <t>FY2022 (£'000, conv. from USD)</t>
        </is>
      </c>
      <c r="E3" s="4" t="inlineStr">
        <is>
          <t>FY2021 (£'000, conv. from USD)</t>
        </is>
      </c>
    </row>
    <row r="4">
      <c r="A4" s="5" t="inlineStr">
        <is>
          <t>Credit quality (IFRS 9 ECL by stage, all financial assets subject to ECL)</t>
        </is>
      </c>
      <c r="B4" s="6" t="n"/>
      <c r="C4" s="6" t="n"/>
      <c r="D4" s="6" t="n"/>
      <c r="E4" s="6" t="n"/>
    </row>
    <row r="5">
      <c r="A5" s="6" t="inlineStr">
        <is>
          <t>Total gross exposure subject to ECL</t>
        </is>
      </c>
      <c r="B5" s="6" t="n">
        <v>349802.6</v>
      </c>
      <c r="C5" s="6" t="n">
        <v>459520.1</v>
      </c>
      <c r="D5" s="6" t="n"/>
      <c r="E5" s="6" t="n"/>
    </row>
    <row r="6">
      <c r="A6" s="6" t="inlineStr">
        <is>
          <t>Stage 1 ECL allowance</t>
        </is>
      </c>
      <c r="B6" s="6" t="n">
        <v>1417.5</v>
      </c>
      <c r="C6" s="6" t="n">
        <v>2203.1</v>
      </c>
      <c r="D6" s="6" t="n"/>
      <c r="E6" s="6" t="n"/>
    </row>
    <row r="7">
      <c r="A7" s="6" t="inlineStr">
        <is>
          <t>Stage 2 ECL allowance</t>
        </is>
      </c>
      <c r="B7" s="6" t="n">
        <v>413.1</v>
      </c>
      <c r="C7" s="6" t="n">
        <v>750.9</v>
      </c>
      <c r="D7" s="6" t="n"/>
      <c r="E7" s="6" t="n"/>
    </row>
    <row r="8">
      <c r="A8" s="6" t="inlineStr">
        <is>
          <t>Stage 3 ECL allowance</t>
        </is>
      </c>
      <c r="B8" s="6" t="n">
        <v>0</v>
      </c>
      <c r="C8" s="6" t="n">
        <v>1858.3</v>
      </c>
      <c r="D8" s="6" t="n"/>
      <c r="E8" s="6" t="n"/>
    </row>
    <row r="9">
      <c r="A9" s="6" t="inlineStr">
        <is>
          <t>POCI ECL allowance</t>
        </is>
      </c>
      <c r="B9" s="6" t="n">
        <v>76.7</v>
      </c>
      <c r="C9" s="6" t="n">
        <v>0</v>
      </c>
      <c r="D9" s="6" t="n"/>
      <c r="E9" s="6" t="n"/>
    </row>
    <row r="10">
      <c r="A10" s="5" t="inlineStr">
        <is>
          <t>Total ECL allowance</t>
        </is>
      </c>
      <c r="B10" s="5" t="n">
        <v>1907.3</v>
      </c>
      <c r="C10" s="5" t="n">
        <v>4812.3</v>
      </c>
      <c r="D10" s="5" t="n"/>
      <c r="E10" s="5" t="n"/>
    </row>
    <row r="11">
      <c r="A11" s="6" t="inlineStr">
        <is>
          <t>ECL charge for the year (P&amp;L)</t>
        </is>
      </c>
      <c r="B11" s="6" t="n">
        <v>-25.8</v>
      </c>
      <c r="C11" s="6" t="n">
        <v>-197.8</v>
      </c>
      <c r="D11" s="6" t="n">
        <v>-3150</v>
      </c>
      <c r="E11" s="6" t="n">
        <v>-936.6</v>
      </c>
    </row>
    <row r="12">
      <c r="A12" s="6" t="inlineStr">
        <is>
          <t>Stage 3 / non-performing gross exposure</t>
        </is>
      </c>
      <c r="B12" s="6" t="n">
        <v>0</v>
      </c>
      <c r="C12" s="6" t="n">
        <v>3470</v>
      </c>
      <c r="D12" s="6" t="n">
        <v>3306.6</v>
      </c>
      <c r="E12" s="6" t="n">
        <v>0</v>
      </c>
    </row>
    <row r="13">
      <c r="A13" s="6" t="inlineStr">
        <is>
          <t>Coverage ratio (Total ECL allowance / total gross exposure)</t>
        </is>
      </c>
      <c r="B13" s="6" t="inlineStr">
        <is>
          <t>0.55%</t>
        </is>
      </c>
      <c r="C13" s="6" t="inlineStr">
        <is>
          <t>1.05%</t>
        </is>
      </c>
      <c r="D13" s="6" t="n"/>
      <c r="E13" s="6" t="n"/>
    </row>
    <row r="14">
      <c r="A14" s="6" t="inlineStr">
        <is>
          <t>Memo: Ghana sovereign Eurobond nominal value (FY2022 Stage 3 exposure)</t>
        </is>
      </c>
      <c r="B14" s="6" t="n"/>
      <c r="C14" s="6" t="n"/>
      <c r="D14" s="6" t="n">
        <v>4133.3</v>
      </c>
      <c r="E14" s="6" t="n"/>
    </row>
    <row r="16" ht="380" customHeight="1">
      <c r="A16" s="8" t="inlineStr">
        <is>
          <t>Sources - United Bank for Africa (UK) Limited's own credit risk / ECL disclosures (converted from USD to £ where a $ amount; see FX conversion note on the Cash Flow Statement sheet):
FY2024 &amp; FY2023: Annual Report and Accounts 2024, p.59 (ECL scenario/stage summary table), p.85-86 (maximum exposure to credit risk by stage and credit rating) - https://www.ubauk.com/wp-content/uploads/sites/29/2025/07/UBA-UK-2024-AR-1.pdf
FY2022 &amp; FY2021: Annual Report and Accounts 2022, p.44 (ECL scenario note), p.54 (Ghana Stage 3 exposure note) - https://www.ubauk.com/wp-content/uploads/sites/29/2023/09/UBA-UK-FIN-A-Ann-Rpt-and-Accts-31-Dec-2022.pdf
GRANULARITY NOTE: UBA UK is a wholesale/treasury bank with an essentially nil customer loan book (£0-2.6m across all 4 years) - its real credit risk sits in interbank placements and investment securities, so this sheet is built from the Bank's own IFRS 9 stage-tagged ECL disclosure across ALL financial assets subject to ECL (cash, due from banks, loans and advances to banks/customers, debt instruments, investment securities at FVOCI, financial commitments), not a conventional retail/commercial loan book split. FY2024/FY2023 disclose a full stage-by-stage gross exposure and ECL allowance table (summed across all asset classes here); FY2022/FY2021's Annual Report describes the same 3-stage ECL methodology only QUALITATIVELY, with no consolidated numeric stage-tagged table anywhere in the document (confirmed via full review of the credit risk note and all ECL-related notes) - a genuine confirmed non-disclosure at this granularity, not an access gap. FY2022's one disclosed Stage 3 item (a Ghanaian sovereign Eurobond, $5m nominal / $4m carrying amount, following a Fitch default downgrade) and FY2021's explicit 'Stage 3: Nil' are shown as the only stage-level data points available for those two years.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FY2021-FY2024 only (4 years) rather than the usual 5.</t>
        </is>
      </c>
    </row>
  </sheetData>
  <mergeCells count="1">
    <mergeCell ref="A16:E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Bank for Africa (UK) Limited — CET1 Capital</t>
        </is>
      </c>
    </row>
    <row r="2">
      <c r="A2" s="2" t="inlineStr">
        <is>
          <t>£'000 (conv. from USD)</t>
        </is>
      </c>
    </row>
    <row r="3">
      <c r="A3" s="4" t="inlineStr">
        <is>
          <t>Metric</t>
        </is>
      </c>
      <c r="B3" s="4" t="inlineStr">
        <is>
          <t>FY2024</t>
        </is>
      </c>
      <c r="C3" s="4" t="inlineStr">
        <is>
          <t>FY2023</t>
        </is>
      </c>
      <c r="D3" s="4" t="inlineStr">
        <is>
          <t>FY2022</t>
        </is>
      </c>
      <c r="E3" s="4" t="inlineStr">
        <is>
          <t>FY2021</t>
        </is>
      </c>
    </row>
    <row r="4">
      <c r="A4" s="6" t="inlineStr">
        <is>
          <t>Common Equity Tier 1 (CET1) capital</t>
        </is>
      </c>
      <c r="B4" s="6" t="n">
        <v>62459.9</v>
      </c>
      <c r="C4" s="6" t="n">
        <v>47832.5</v>
      </c>
      <c r="D4" s="6" t="n">
        <v>30183.7</v>
      </c>
      <c r="E4" s="6" t="n">
        <v>28339.6</v>
      </c>
    </row>
    <row r="6" ht="120" customHeight="1">
      <c r="A6" s="8" t="inlineStr">
        <is>
          <t>Sources - United Bank for Africa (UK) Limited Pillar 3 Disclosures (Key Metrics table),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t>
        </is>
      </c>
    </row>
  </sheetData>
  <mergeCells count="1">
    <mergeCell ref="A6:E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Bank for Africa (UK) Limited — CET1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Common Equity Tier 1 (CET1) ratio</t>
        </is>
      </c>
      <c r="B4" s="6" t="inlineStr">
        <is>
          <t>49.04%</t>
        </is>
      </c>
      <c r="C4" s="6" t="inlineStr">
        <is>
          <t>47.60%</t>
        </is>
      </c>
      <c r="D4" s="6" t="inlineStr">
        <is>
          <t>23.27%</t>
        </is>
      </c>
      <c r="E4" s="6" t="inlineStr">
        <is>
          <t>33.56%</t>
        </is>
      </c>
    </row>
    <row r="6" ht="120" customHeight="1">
      <c r="A6" s="8" t="inlineStr">
        <is>
          <t>Sources - United Bank for Africa (UK) Limited Pillar 3 Disclosures (Key Metrics table),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t>
        </is>
      </c>
    </row>
  </sheetData>
  <mergeCells count="1">
    <mergeCell ref="A6:E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Bank for Africa (UK) Limited — Tier 1 Capital</t>
        </is>
      </c>
    </row>
    <row r="2">
      <c r="A2" s="2" t="inlineStr">
        <is>
          <t>£'000 (conv. from USD)</t>
        </is>
      </c>
    </row>
    <row r="3">
      <c r="A3" s="4" t="inlineStr">
        <is>
          <t>Metric</t>
        </is>
      </c>
      <c r="B3" s="4" t="inlineStr">
        <is>
          <t>FY2024</t>
        </is>
      </c>
      <c r="C3" s="4" t="inlineStr">
        <is>
          <t>FY2023</t>
        </is>
      </c>
      <c r="D3" s="4" t="inlineStr">
        <is>
          <t>FY2022</t>
        </is>
      </c>
      <c r="E3" s="4" t="inlineStr">
        <is>
          <t>FY2021</t>
        </is>
      </c>
    </row>
    <row r="4">
      <c r="A4" s="6" t="inlineStr">
        <is>
          <t>Tier 1 capital</t>
        </is>
      </c>
      <c r="B4" s="6" t="n">
        <v>62459.9</v>
      </c>
      <c r="C4" s="6" t="n">
        <v>47832.5</v>
      </c>
      <c r="D4" s="6" t="n">
        <v>30183.7</v>
      </c>
      <c r="E4" s="6" t="n">
        <v>28339.6</v>
      </c>
    </row>
    <row r="5" ht="60" customHeight="1">
      <c r="A5" s="7" t="inlineStr">
        <is>
          <t>Note: Equal to CET1 capital in every year - the Bank holds no Additional Tier 1 (AT1) instruments.</t>
        </is>
      </c>
    </row>
    <row r="7" ht="120" customHeight="1">
      <c r="A7" s="8" t="inlineStr">
        <is>
          <t>Sources - United Bank for Africa (UK) Limited Pillar 3 Disclosures (Key Metrics table),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Bank for Africa (UK) Limited — Tier 1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Tier 1 ratio</t>
        </is>
      </c>
      <c r="B4" s="6" t="inlineStr">
        <is>
          <t>49.04%</t>
        </is>
      </c>
      <c r="C4" s="6" t="inlineStr">
        <is>
          <t>47.60%</t>
        </is>
      </c>
      <c r="D4" s="6" t="inlineStr">
        <is>
          <t>23.27%</t>
        </is>
      </c>
      <c r="E4" s="6" t="inlineStr">
        <is>
          <t>33.56%</t>
        </is>
      </c>
    </row>
    <row r="6" ht="120" customHeight="1">
      <c r="A6" s="8" t="inlineStr">
        <is>
          <t>Sources - United Bank for Africa (UK) Limited Pillar 3 Disclosures (Key Metrics table),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t>
        </is>
      </c>
    </row>
  </sheetData>
  <mergeCells count="1">
    <mergeCell ref="A6:E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Bank for Africa (UK) Limited — Total Capital</t>
        </is>
      </c>
    </row>
    <row r="2">
      <c r="A2" s="2" t="inlineStr">
        <is>
          <t>£'000 (conv. from USD)</t>
        </is>
      </c>
    </row>
    <row r="3">
      <c r="A3" s="4" t="inlineStr">
        <is>
          <t>Metric</t>
        </is>
      </c>
      <c r="B3" s="4" t="inlineStr">
        <is>
          <t>FY2024</t>
        </is>
      </c>
      <c r="C3" s="4" t="inlineStr">
        <is>
          <t>FY2023</t>
        </is>
      </c>
      <c r="D3" s="4" t="inlineStr">
        <is>
          <t>FY2022</t>
        </is>
      </c>
      <c r="E3" s="4" t="inlineStr">
        <is>
          <t>FY2021</t>
        </is>
      </c>
    </row>
    <row r="4">
      <c r="A4" s="6" t="inlineStr">
        <is>
          <t>Total capital</t>
        </is>
      </c>
      <c r="B4" s="6" t="n">
        <v>62459.9</v>
      </c>
      <c r="C4" s="6" t="n">
        <v>47832.5</v>
      </c>
      <c r="D4" s="6" t="n">
        <v>30183.7</v>
      </c>
      <c r="E4" s="6" t="n">
        <v>28339.6</v>
      </c>
    </row>
    <row r="5" ht="60" customHeight="1">
      <c r="A5" s="7" t="inlineStr">
        <is>
          <t>Note: Equal to CET1/Tier 1 capital in every year - the Bank holds no AT1 or Tier 2 instruments.</t>
        </is>
      </c>
    </row>
    <row r="7" ht="120" customHeight="1">
      <c r="A7" s="8" t="inlineStr">
        <is>
          <t>Sources - United Bank for Africa (UK) Limited Pillar 3 Disclosures (Key Metrics table),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Bank for Africa (UK)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Total capital ratio</t>
        </is>
      </c>
      <c r="B4" s="6" t="inlineStr">
        <is>
          <t>49.04%</t>
        </is>
      </c>
      <c r="C4" s="6" t="inlineStr">
        <is>
          <t>47.60%</t>
        </is>
      </c>
      <c r="D4" s="6" t="inlineStr">
        <is>
          <t>23.27%</t>
        </is>
      </c>
      <c r="E4" s="6" t="inlineStr">
        <is>
          <t>33.56%</t>
        </is>
      </c>
    </row>
    <row r="6" ht="120" customHeight="1">
      <c r="A6" s="8" t="inlineStr">
        <is>
          <t>Sources - United Bank for Africa (UK) Limited Pillar 3 Disclosures (Key Metrics table),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t>
        </is>
      </c>
    </row>
  </sheetData>
  <mergeCells count="1">
    <mergeCell ref="A6:E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Bank for Africa (UK) Limited — Total RWAs</t>
        </is>
      </c>
    </row>
    <row r="2">
      <c r="A2" s="2" t="inlineStr">
        <is>
          <t>£'000 (conv. from USD)</t>
        </is>
      </c>
    </row>
    <row r="3">
      <c r="A3" s="4" t="inlineStr">
        <is>
          <t>Metric</t>
        </is>
      </c>
      <c r="B3" s="4" t="inlineStr">
        <is>
          <t>FY2024</t>
        </is>
      </c>
      <c r="C3" s="4" t="inlineStr">
        <is>
          <t>FY2023</t>
        </is>
      </c>
      <c r="D3" s="4" t="inlineStr">
        <is>
          <t>FY2022</t>
        </is>
      </c>
      <c r="E3" s="4" t="inlineStr">
        <is>
          <t>FY2021</t>
        </is>
      </c>
    </row>
    <row r="4">
      <c r="A4" s="6" t="inlineStr">
        <is>
          <t>Total risk-weighted exposure amount</t>
        </is>
      </c>
      <c r="B4" s="6" t="n">
        <v>127359.4</v>
      </c>
      <c r="C4" s="6" t="n">
        <v>100480.8</v>
      </c>
      <c r="D4" s="6" t="n">
        <v>113940.5</v>
      </c>
      <c r="E4" s="6" t="n">
        <v>68983.3</v>
      </c>
    </row>
    <row r="6" ht="120" customHeight="1">
      <c r="A6" s="8" t="inlineStr">
        <is>
          <t>Sources - United Bank for Africa (UK) Limited Pillar 3 Disclosures (Key Metrics table),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United Bank for Africa (UK) Limited — RWA Breakdown</t>
        </is>
      </c>
    </row>
    <row r="2">
      <c r="A2" s="2" t="inlineStr">
        <is>
          <t>Not publicly disclosed.</t>
        </is>
      </c>
    </row>
    <row r="3">
      <c r="A3" s="4" t="inlineStr">
        <is>
          <t>Line item</t>
        </is>
      </c>
      <c r="B3" s="4" t="inlineStr">
        <is>
          <t>FY2024</t>
        </is>
      </c>
      <c r="C3" s="4" t="inlineStr">
        <is>
          <t>FY2023</t>
        </is>
      </c>
      <c r="D3" s="4" t="inlineStr">
        <is>
          <t>FY2022</t>
        </is>
      </c>
      <c r="E3" s="4" t="inlineStr">
        <is>
          <t>FY2021</t>
        </is>
      </c>
    </row>
    <row r="4">
      <c r="A4" s="6" t="inlineStr">
        <is>
          <t>RWA Breakdown</t>
        </is>
      </c>
      <c r="B4" s="6" t="inlineStr">
        <is>
          <t>Not publicly disclosed</t>
        </is>
      </c>
      <c r="C4" s="6" t="inlineStr">
        <is>
          <t>Not publicly disclosed</t>
        </is>
      </c>
      <c r="D4" s="6" t="inlineStr">
        <is>
          <t>Not publicly disclosed</t>
        </is>
      </c>
      <c r="E4" s="6" t="inlineStr">
        <is>
          <t>Not publicly disclosed</t>
        </is>
      </c>
    </row>
    <row r="6" ht="140" customHeight="1">
      <c r="A6" s="8" t="inlineStr">
        <is>
          <t>Sources - United Bank for Africa (UK) Limited Pillar 3 Disclosures (Key Metrics table),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No UK OV1 (or equivalent RWA-by-category) template was found in either Pillar 3 Disclosures document - only a single Total RWA figure is disclosed in each year's Key Metrics table (see Total RWAs sheet), with no risk-category breakdown (credit risk, market risk, operational risk, etc.) anywhere in either document. Confirmed via full review of both Pillar 3 reports, not an access gap.</t>
        </is>
      </c>
    </row>
  </sheetData>
  <mergeCells count="1">
    <mergeCell ref="A6:E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Bank for Africa (UK) Limited — Leverage Ratio</t>
        </is>
      </c>
    </row>
    <row r="2">
      <c r="A2" s="2" t="inlineStr">
        <is>
          <t>£'000 / % (conv. from USD)</t>
        </is>
      </c>
    </row>
    <row r="3">
      <c r="A3" s="4" t="inlineStr">
        <is>
          <t>Metric</t>
        </is>
      </c>
      <c r="B3" s="4" t="inlineStr">
        <is>
          <t>FY2024</t>
        </is>
      </c>
      <c r="C3" s="4" t="inlineStr">
        <is>
          <t>FY2023</t>
        </is>
      </c>
      <c r="D3" s="4" t="inlineStr">
        <is>
          <t>FY2022</t>
        </is>
      </c>
      <c r="E3" s="4" t="inlineStr">
        <is>
          <t>FY2021</t>
        </is>
      </c>
    </row>
    <row r="4">
      <c r="A4" s="6" t="inlineStr">
        <is>
          <t>Total exposure measure excluding claims on central banks</t>
        </is>
      </c>
      <c r="B4" s="6" t="n">
        <v>386440.4</v>
      </c>
      <c r="C4" s="6" t="n">
        <v>492087.6</v>
      </c>
      <c r="D4" s="6" t="n">
        <v>507472.9</v>
      </c>
      <c r="E4" s="6" t="n">
        <v>424276.2</v>
      </c>
    </row>
    <row r="5">
      <c r="A5" s="6" t="inlineStr">
        <is>
          <t>Leverage ratio excluding claims on central banks (%)</t>
        </is>
      </c>
      <c r="B5" s="6" t="inlineStr">
        <is>
          <t>16.16%</t>
        </is>
      </c>
      <c r="C5" s="6" t="inlineStr">
        <is>
          <t>9.72%</t>
        </is>
      </c>
      <c r="D5" s="6" t="inlineStr">
        <is>
          <t>6%</t>
        </is>
      </c>
      <c r="E5" s="6" t="inlineStr">
        <is>
          <t>7%</t>
        </is>
      </c>
    </row>
    <row r="6" ht="60" customHeight="1">
      <c r="A6" s="7" t="inlineStr">
        <is>
          <t>Note: FY2022/FY2021 leverage ratios are printed to whole-percent precision only in the source document (6% and 7%), unlike FY2024/FY2023's two-decimal precision - transcribed exactly as shown, not rounded further or given false precision.</t>
        </is>
      </c>
    </row>
    <row r="8" ht="120" customHeight="1">
      <c r="A8" s="8" t="inlineStr">
        <is>
          <t>Sources - United Bank for Africa (UK) Limited Pillar 3 Disclosures (Key Metrics table),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t>
        </is>
      </c>
    </row>
  </sheetData>
  <mergeCells count="2">
    <mergeCell ref="A6:E6"/>
    <mergeCell ref="A8:E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Bank for Africa (UK) Limited — LCR</t>
        </is>
      </c>
    </row>
    <row r="2">
      <c r="A2" s="2" t="inlineStr">
        <is>
          <t>£'000 / % (conv. from USD)</t>
        </is>
      </c>
    </row>
    <row r="3">
      <c r="A3" s="4" t="inlineStr">
        <is>
          <t>Metric</t>
        </is>
      </c>
      <c r="B3" s="4" t="inlineStr">
        <is>
          <t>FY2024</t>
        </is>
      </c>
      <c r="C3" s="4" t="inlineStr">
        <is>
          <t>FY2023</t>
        </is>
      </c>
      <c r="D3" s="4" t="inlineStr">
        <is>
          <t>FY2022</t>
        </is>
      </c>
      <c r="E3" s="4" t="inlineStr">
        <is>
          <t>FY2021</t>
        </is>
      </c>
    </row>
    <row r="4">
      <c r="A4" s="6" t="inlineStr">
        <is>
          <t>Total high-quality liquid assets (HQLA), weighted value (average)</t>
        </is>
      </c>
      <c r="B4" s="6" t="n">
        <v>88574.8</v>
      </c>
      <c r="C4" s="6" t="n">
        <v>78937.3</v>
      </c>
      <c r="D4" s="6" t="n">
        <v>75373.39999999999</v>
      </c>
      <c r="E4" s="6" t="n">
        <v>68614.2</v>
      </c>
    </row>
    <row r="5">
      <c r="A5" s="6" t="inlineStr">
        <is>
          <t>Total net cash outflows, adjusted value</t>
        </is>
      </c>
      <c r="B5" s="6" t="n">
        <v>25108.1</v>
      </c>
      <c r="C5" s="6" t="n">
        <v>34495.4</v>
      </c>
      <c r="D5" s="6" t="n">
        <v>33626.9</v>
      </c>
      <c r="E5" s="6" t="n">
        <v>18983.5</v>
      </c>
    </row>
    <row r="6">
      <c r="A6" s="6" t="inlineStr">
        <is>
          <t>Liquidity Coverage Ratio (%)</t>
        </is>
      </c>
      <c r="B6" s="6" t="inlineStr">
        <is>
          <t>352.77%</t>
        </is>
      </c>
      <c r="C6" s="6" t="inlineStr">
        <is>
          <t>228.83%</t>
        </is>
      </c>
      <c r="D6" s="6" t="inlineStr">
        <is>
          <t>224.15%</t>
        </is>
      </c>
      <c r="E6" s="6" t="inlineStr">
        <is>
          <t>361.44%</t>
        </is>
      </c>
    </row>
    <row r="8" ht="120" customHeight="1">
      <c r="A8" s="8" t="inlineStr">
        <is>
          <t>Sources - United Bank for Africa (UK) Limited Pillar 3 Disclosures (Key Metrics table),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t>
        </is>
      </c>
    </row>
  </sheetData>
  <mergeCells count="1">
    <mergeCell ref="A8:E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Bank for Africa (UK) Limited — NSFR</t>
        </is>
      </c>
    </row>
    <row r="2">
      <c r="A2" s="2" t="inlineStr">
        <is>
          <t>£'000 / % (conv. from USD)</t>
        </is>
      </c>
    </row>
    <row r="3">
      <c r="A3" s="4" t="inlineStr">
        <is>
          <t>Metric</t>
        </is>
      </c>
      <c r="B3" s="4" t="inlineStr">
        <is>
          <t>FY2024</t>
        </is>
      </c>
      <c r="C3" s="4" t="inlineStr">
        <is>
          <t>FY2023</t>
        </is>
      </c>
      <c r="D3" s="4" t="inlineStr">
        <is>
          <t>FY2022</t>
        </is>
      </c>
      <c r="E3" s="4" t="inlineStr">
        <is>
          <t>FY2021</t>
        </is>
      </c>
    </row>
    <row r="4">
      <c r="A4" s="6" t="inlineStr">
        <is>
          <t>Total available stable funding</t>
        </is>
      </c>
      <c r="B4" s="6" t="n">
        <v>98245.60000000001</v>
      </c>
      <c r="C4" s="6" t="n">
        <v>108589.7</v>
      </c>
      <c r="D4" s="6" t="n">
        <v>138084.1</v>
      </c>
      <c r="E4" s="6" t="n">
        <v>112449.6</v>
      </c>
    </row>
    <row r="5">
      <c r="A5" s="6" t="inlineStr">
        <is>
          <t>Total required stable funding</t>
        </is>
      </c>
      <c r="B5" s="6" t="n">
        <v>53779.7</v>
      </c>
      <c r="C5" s="6" t="n">
        <v>70940.8</v>
      </c>
      <c r="D5" s="6" t="n">
        <v>76148.8</v>
      </c>
      <c r="E5" s="6" t="n">
        <v>76097.5</v>
      </c>
    </row>
    <row r="6">
      <c r="A6" s="6" t="inlineStr">
        <is>
          <t>NSFR ratio (%)</t>
        </is>
      </c>
      <c r="B6" s="6" t="inlineStr">
        <is>
          <t>182.68%</t>
        </is>
      </c>
      <c r="C6" s="6" t="inlineStr">
        <is>
          <t>153.07%</t>
        </is>
      </c>
      <c r="D6" s="6" t="inlineStr">
        <is>
          <t>181.33%</t>
        </is>
      </c>
      <c r="E6" s="6" t="inlineStr">
        <is>
          <t>147.77%</t>
        </is>
      </c>
    </row>
    <row r="8" ht="120" customHeight="1">
      <c r="A8" s="8" t="inlineStr">
        <is>
          <t>Sources - United Bank for Africa (UK) Limited Pillar 3 Disclosures (Key Metrics table),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t>
        </is>
      </c>
    </row>
  </sheetData>
  <mergeCells count="1">
    <mergeCell ref="A8:E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United Bank for Africa (UK) Limited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 MREL disclosure (numeric or qualitative) or UK KM2 template found anywhere in any year's Pillar 3 report - not explicitly stated as an exemption, but consistent with the Bank's small size relative to typical MREL-in-scope thresholds.</t>
        </is>
      </c>
    </row>
    <row r="7" ht="150" customHeight="1">
      <c r="A7" s="8" t="inlineStr">
        <is>
          <t>Sources - United Bank for Africa (UK) Limited Pillar 3 Disclosures (Key Metrics table),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2026-09-03T22:32:04Z</dcterms:created>
  <dcterms:modified xmlns:dcterms="http://purl.org/dc/terms/" xmlns:xsi="http://www.w3.org/2001/XMLSchema-instance" xsi:type="dcterms:W3CDTF">2026-09-03T22:32:04Z</dcterms:modified>
</cp:coreProperties>
</file>