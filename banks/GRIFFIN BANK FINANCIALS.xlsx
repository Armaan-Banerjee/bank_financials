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3480C7"/>
        <bgColor rgb="003480C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Griffin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'Overview'!G6</f>
            </strRef>
          </tx>
          <spPr>
            <a:ln>
              <a:prstDash val="solid"/>
            </a:ln>
          </spPr>
          <cat>
            <numRef>
              <f>'Overview'!$H$5:$J$5</f>
            </numRef>
          </cat>
          <val>
            <numRef>
              <f>'Overview'!$H$6:$J$6</f>
            </numRef>
          </val>
        </ser>
        <ser>
          <idx val="1"/>
          <order val="1"/>
          <tx>
            <strRef>
              <f>'Overview'!G7</f>
            </strRef>
          </tx>
          <spPr>
            <a:ln>
              <a:prstDash val="solid"/>
            </a:ln>
          </spPr>
          <cat>
            <numRef>
              <f>'Overview'!$H$5:$J$5</f>
            </numRef>
          </cat>
          <val>
            <numRef>
              <f>'Overview'!$H$7:$J$7</f>
            </numRef>
          </val>
        </ser>
        <ser>
          <idx val="2"/>
          <order val="2"/>
          <tx>
            <strRef>
              <f>'Overview'!G8</f>
            </strRef>
          </tx>
          <spPr>
            <a:ln>
              <a:prstDash val="solid"/>
            </a:ln>
          </spPr>
          <cat>
            <numRef>
              <f>'Overview'!$H$5:$J$5</f>
            </numRef>
          </cat>
          <val>
            <numRef>
              <f>'Overview'!$H$8:$J$8</f>
            </numRef>
          </val>
        </ser>
        <ser>
          <idx val="3"/>
          <order val="3"/>
          <tx>
            <strRef>
              <f>'Overview'!G9</f>
            </strRef>
          </tx>
          <spPr>
            <a:ln>
              <a:prstDash val="solid"/>
            </a:ln>
          </spPr>
          <cat>
            <numRef>
              <f>'Overview'!$H$5:$J$5</f>
            </numRef>
          </cat>
          <val>
            <numRef>
              <f>'Overview'!$H$9:$J$9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Griffin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'Overview'!M6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'Overview'!$N$6:$P$6</f>
            </numRef>
          </val>
          <smooth val="0"/>
        </ser>
        <ser>
          <idx val="1"/>
          <order val="1"/>
          <tx>
            <strRef>
              <f>'Overview'!M7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'Overview'!$N$7:$P$7</f>
            </numRef>
          </val>
          <smooth val="0"/>
        </ser>
        <ser>
          <idx val="2"/>
          <order val="2"/>
          <tx>
            <strRef>
              <f>'Overview'!M8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'Overview'!$N$8:$P$8</f>
            </numRef>
          </val>
          <smooth val="0"/>
        </ser>
        <ser>
          <idx val="3"/>
          <order val="3"/>
          <tx>
            <strRef>
              <f>'Overview'!M9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'Overview'!$N$9:$P$9</f>
            </numRef>
          </val>
          <smooth val="0"/>
        </ser>
        <ser>
          <idx val="4"/>
          <order val="4"/>
          <tx>
            <strRef>
              <f>'Overview'!M10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'Overview'!$N$10:$P$10</f>
            </numRef>
          </val>
          <smooth val="0"/>
        </ser>
        <ser>
          <idx val="5"/>
          <order val="5"/>
          <tx>
            <strRef>
              <f>'Overview'!M11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'Overview'!$N$5:$P$5</f>
            </numRef>
          </cat>
          <val>
            <numRef>
              <f>'Overview'!$N$11:$P$11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1" t="inlineStr">
        <is>
          <t>Griffin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 (15mo)</t>
        </is>
      </c>
      <c r="H5" t="inlineStr">
        <is>
          <t>FY2023 (15mo)</t>
        </is>
      </c>
      <c r="I5" t="inlineStr">
        <is>
          <t>FY2024</t>
        </is>
      </c>
      <c r="J5" t="inlineStr">
        <is>
          <t>FY2025</t>
        </is>
      </c>
      <c r="N5" t="inlineStr">
        <is>
          <t>FY2023 (15mo)</t>
        </is>
      </c>
      <c r="O5" t="inlineStr">
        <is>
          <t>FY2024</t>
        </is>
      </c>
      <c r="P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89261779</v>
      </c>
      <c r="C6" s="5" t="n">
        <v>-10464980</v>
      </c>
      <c r="D6" s="5" t="n">
        <v>-12063952</v>
      </c>
      <c r="G6" t="inlineStr">
        <is>
          <t>Net cash from/(used in) operating activities</t>
        </is>
      </c>
      <c r="H6" t="n">
        <v>-12063952</v>
      </c>
      <c r="I6" t="n">
        <v>-10464980</v>
      </c>
      <c r="J6" t="n">
        <v>89261779</v>
      </c>
      <c r="M6" t="inlineStr">
        <is>
          <t>CET1 Ratio</t>
        </is>
      </c>
      <c r="N6" t="n">
        <v>456</v>
      </c>
    </row>
    <row r="7">
      <c r="A7" s="5" t="inlineStr">
        <is>
          <t>Net cash from/(used in) investing activities</t>
        </is>
      </c>
      <c r="B7" s="5" t="n">
        <v>-94044573</v>
      </c>
      <c r="C7" s="5" t="n">
        <v>-5540942</v>
      </c>
      <c r="D7" s="5" t="n">
        <v>-8527971</v>
      </c>
      <c r="G7" t="inlineStr">
        <is>
          <t>Net cash from/(used in) investing activities</t>
        </is>
      </c>
      <c r="H7" t="n">
        <v>-8527971</v>
      </c>
      <c r="I7" t="n">
        <v>-5540942</v>
      </c>
      <c r="J7" t="n">
        <v>-94044573</v>
      </c>
      <c r="M7" t="inlineStr">
        <is>
          <t>Tier 1 Ratio</t>
        </is>
      </c>
      <c r="N7" t="n">
        <v>456</v>
      </c>
    </row>
    <row r="8">
      <c r="A8" s="5" t="inlineStr">
        <is>
          <t>Net cash from/(used in) financing activities</t>
        </is>
      </c>
      <c r="B8" s="5" t="n">
        <v>9744844</v>
      </c>
      <c r="C8" s="5" t="n">
        <v>18093063</v>
      </c>
      <c r="D8" s="5" t="n">
        <v>9814533</v>
      </c>
      <c r="G8" t="inlineStr">
        <is>
          <t>Net cash from/(used in) financing activities</t>
        </is>
      </c>
      <c r="H8" t="n">
        <v>9814533</v>
      </c>
      <c r="I8" t="n">
        <v>18093063</v>
      </c>
      <c r="J8" t="n">
        <v>9744844</v>
      </c>
      <c r="M8" t="inlineStr">
        <is>
          <t>Total Capital Ratio</t>
        </is>
      </c>
      <c r="N8" t="n">
        <v>456</v>
      </c>
    </row>
    <row r="9">
      <c r="A9" s="5" t="inlineStr">
        <is>
          <t>Cash and cash equivalents at end of year/period</t>
        </is>
      </c>
      <c r="B9" s="5" t="n">
        <v>7326998</v>
      </c>
      <c r="C9" s="5" t="n">
        <v>2364540</v>
      </c>
      <c r="D9" s="5" t="n">
        <v>270150</v>
      </c>
      <c r="G9" t="inlineStr">
        <is>
          <t>Cash and cash equivalents at end of year/period</t>
        </is>
      </c>
      <c r="H9" t="n">
        <v>270150</v>
      </c>
      <c r="I9" t="n">
        <v>2364540</v>
      </c>
      <c r="J9" t="n">
        <v>7326998</v>
      </c>
      <c r="M9" t="inlineStr">
        <is>
          <t>Leverage Ratio</t>
        </is>
      </c>
      <c r="N9" t="n">
        <v>91</v>
      </c>
    </row>
    <row r="10">
      <c r="M10" t="inlineStr">
        <is>
          <t>LCR</t>
        </is>
      </c>
      <c r="N10" t="n">
        <v>2675</v>
      </c>
    </row>
    <row r="11">
      <c r="A11" s="3" t="inlineStr">
        <is>
          <t>Pillar 3 Key Metrics</t>
        </is>
      </c>
      <c r="M11" t="inlineStr">
        <is>
          <t>NSFR</t>
        </is>
      </c>
      <c r="N11" t="n">
        <v>1034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 (15mo)</t>
        </is>
      </c>
    </row>
    <row r="13">
      <c r="A13" s="6" t="inlineStr">
        <is>
          <t>CET1 Ratio</t>
        </is>
      </c>
      <c r="B13" s="6" t="n"/>
      <c r="C13" s="6" t="n"/>
      <c r="D13" s="6" t="inlineStr">
        <is>
          <t>456%</t>
        </is>
      </c>
    </row>
    <row r="14">
      <c r="A14" s="6" t="inlineStr">
        <is>
          <t>Tier 1 Ratio</t>
        </is>
      </c>
      <c r="B14" s="6" t="n"/>
      <c r="C14" s="6" t="n"/>
      <c r="D14" s="6" t="inlineStr">
        <is>
          <t>456%</t>
        </is>
      </c>
    </row>
    <row r="15">
      <c r="A15" s="6" t="inlineStr">
        <is>
          <t>Total Capital Ratio</t>
        </is>
      </c>
      <c r="B15" s="6" t="n"/>
      <c r="C15" s="6" t="n"/>
      <c r="D15" s="6" t="inlineStr">
        <is>
          <t>456%</t>
        </is>
      </c>
    </row>
    <row r="16">
      <c r="A16" s="6" t="inlineStr">
        <is>
          <t>Leverage Ratio</t>
        </is>
      </c>
      <c r="B16" s="6" t="n"/>
      <c r="C16" s="6" t="n"/>
      <c r="D16" s="6" t="inlineStr">
        <is>
          <t>91%</t>
        </is>
      </c>
    </row>
    <row r="17">
      <c r="A17" s="6" t="inlineStr">
        <is>
          <t>LCR</t>
        </is>
      </c>
      <c r="B17" s="6" t="n"/>
      <c r="C17" s="6" t="n"/>
      <c r="D17" s="6" t="inlineStr">
        <is>
          <t>2,675%</t>
        </is>
      </c>
    </row>
    <row r="18">
      <c r="A18" s="6" t="inlineStr">
        <is>
          <t>NSFR</t>
        </is>
      </c>
      <c r="B18" s="6" t="n"/>
      <c r="C18" s="6" t="n"/>
      <c r="D18" s="6" t="inlineStr">
        <is>
          <t>1,034%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Only FY2023 has any Pillar 3 data - no Pillar 3 report has been published for FY2024 or FY2025 (confirmed, not an access gap).</t>
        </is>
      </c>
    </row>
  </sheetData>
  <mergeCells count="1">
    <mergeCell ref="A20:D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Statement of Cash Flows</t>
        </is>
      </c>
    </row>
    <row r="2">
      <c r="A2" s="2" t="inlineStr">
        <is>
          <t>Bank-only (no group); FY2023 covers a 15-month period ended 30 September 2023 and is labelled unaudited in the source; see the source note below</t>
        </is>
      </c>
    </row>
    <row r="3">
      <c r="A3" s="4" t="inlineStr">
        <is>
          <t>Line item</t>
        </is>
      </c>
      <c r="B3" s="4" t="inlineStr">
        <is>
          <t>FY2025 (£)</t>
        </is>
      </c>
      <c r="C3" s="4" t="inlineStr">
        <is>
          <t>FY2024 (£)</t>
        </is>
      </c>
      <c r="D3" s="4" t="inlineStr">
        <is>
          <t>FY2023 (15mo) (£)</t>
        </is>
      </c>
    </row>
    <row r="4">
      <c r="A4" s="5" t="inlineStr">
        <is>
          <t>Operating activities</t>
        </is>
      </c>
      <c r="B4" s="6" t="n"/>
      <c r="C4" s="6" t="n"/>
      <c r="D4" s="6" t="n"/>
    </row>
    <row r="5">
      <c r="A5" s="6" t="inlineStr">
        <is>
          <t>Loss for the year/period after taxation</t>
        </is>
      </c>
      <c r="B5" s="6" t="n">
        <v>-12058149</v>
      </c>
      <c r="C5" s="6" t="n">
        <v>-12889929</v>
      </c>
      <c r="D5" s="6" t="n">
        <v>-12719584</v>
      </c>
    </row>
    <row r="6">
      <c r="A6" s="6" t="inlineStr">
        <is>
          <t>Finance income</t>
        </is>
      </c>
      <c r="B6" s="6" t="n">
        <v>-787929</v>
      </c>
      <c r="C6" s="6" t="n">
        <v>-661153</v>
      </c>
      <c r="D6" s="6" t="n">
        <v>-207121</v>
      </c>
    </row>
    <row r="7">
      <c r="A7" s="6" t="inlineStr">
        <is>
          <t>Fair value on warrants expense</t>
        </is>
      </c>
      <c r="B7" s="6" t="n">
        <v>0</v>
      </c>
      <c r="C7" s="6" t="n">
        <v>0</v>
      </c>
      <c r="D7" s="6" t="n">
        <v>101283</v>
      </c>
    </row>
    <row r="8">
      <c r="A8" s="6" t="inlineStr">
        <is>
          <t>Depreciation of property, plant and equipment</t>
        </is>
      </c>
      <c r="B8" s="6" t="n">
        <v>89059</v>
      </c>
      <c r="C8" s="6" t="n">
        <v>87363</v>
      </c>
      <c r="D8" s="6" t="n">
        <v>82107</v>
      </c>
    </row>
    <row r="9">
      <c r="A9" s="6" t="inlineStr">
        <is>
          <t>Loss on disposal of property, plant and equipment</t>
        </is>
      </c>
      <c r="B9" s="6" t="n"/>
      <c r="C9" s="6" t="n"/>
      <c r="D9" s="6" t="n">
        <v>0</v>
      </c>
    </row>
    <row r="10">
      <c r="A10" s="6" t="inlineStr">
        <is>
          <t>Amortisation of intangible assets</t>
        </is>
      </c>
      <c r="B10" s="6" t="n">
        <v>427397</v>
      </c>
      <c r="C10" s="6" t="n">
        <v>69323</v>
      </c>
      <c r="D10" s="6" t="n">
        <v>22797</v>
      </c>
    </row>
    <row r="11">
      <c r="A11" s="6" t="inlineStr">
        <is>
          <t>Share-based payment expense</t>
        </is>
      </c>
      <c r="B11" s="6" t="n">
        <v>2048775</v>
      </c>
      <c r="C11" s="6" t="n">
        <v>613878</v>
      </c>
      <c r="D11" s="6" t="n">
        <v>1039179</v>
      </c>
    </row>
    <row r="12">
      <c r="A12" s="5" t="inlineStr">
        <is>
          <t>Operating cash flows before movements in working capital</t>
        </is>
      </c>
      <c r="B12" s="5" t="n">
        <v>-10280847</v>
      </c>
      <c r="C12" s="5" t="n">
        <v>-12780518</v>
      </c>
      <c r="D12" s="5" t="n">
        <v>-11681339</v>
      </c>
    </row>
    <row r="13">
      <c r="A13" s="6" t="inlineStr">
        <is>
          <t>Change/(increase) in trade and other receivables</t>
        </is>
      </c>
      <c r="B13" s="6" t="n">
        <v>50140</v>
      </c>
      <c r="C13" s="6" t="n">
        <v>-344399</v>
      </c>
      <c r="D13" s="6" t="n">
        <v>-337582</v>
      </c>
    </row>
    <row r="14">
      <c r="A14" s="6" t="inlineStr">
        <is>
          <t>Change/(increase) in customer deposits</t>
        </is>
      </c>
      <c r="B14" s="6" t="n">
        <v>99713285</v>
      </c>
      <c r="C14" s="6" t="n">
        <v>2070144</v>
      </c>
      <c r="D14" s="6" t="n"/>
    </row>
    <row r="15">
      <c r="A15" s="6" t="inlineStr">
        <is>
          <t>Change/(increase) in trade and other payables</t>
        </is>
      </c>
      <c r="B15" s="6" t="n">
        <v>-250442</v>
      </c>
      <c r="C15" s="6" t="n">
        <v>595809</v>
      </c>
      <c r="D15" s="6" t="n">
        <v>-160031</v>
      </c>
    </row>
    <row r="16">
      <c r="A16" s="6" t="inlineStr">
        <is>
          <t>Change in contract liabilities</t>
        </is>
      </c>
      <c r="B16" s="6" t="n">
        <v>29643</v>
      </c>
      <c r="C16" s="6" t="n">
        <v>-6016</v>
      </c>
      <c r="D16" s="6" t="n">
        <v>115000</v>
      </c>
    </row>
    <row r="17">
      <c r="A17" s="5" t="inlineStr">
        <is>
          <t>Net cash from/(used in) operating activities</t>
        </is>
      </c>
      <c r="B17" s="5" t="n">
        <v>89261779</v>
      </c>
      <c r="C17" s="5" t="n">
        <v>-10464980</v>
      </c>
      <c r="D17" s="5" t="n">
        <v>-12063952</v>
      </c>
    </row>
    <row r="18">
      <c r="A18" s="5" t="inlineStr">
        <is>
          <t>Investing activities</t>
        </is>
      </c>
      <c r="B18" s="6" t="n"/>
      <c r="C18" s="6" t="n"/>
      <c r="D18" s="6" t="n"/>
    </row>
    <row r="19">
      <c r="A19" s="6" t="inlineStr">
        <is>
          <t>Interest received</t>
        </is>
      </c>
      <c r="B19" s="6" t="n">
        <v>2385325</v>
      </c>
      <c r="C19" s="6" t="n">
        <v>670900</v>
      </c>
      <c r="D19" s="6" t="n">
        <v>370741</v>
      </c>
    </row>
    <row r="20">
      <c r="A20" s="6" t="inlineStr">
        <is>
          <t>Purchases of debt securities</t>
        </is>
      </c>
      <c r="B20" s="6" t="n">
        <v>-297626768</v>
      </c>
      <c r="C20" s="6" t="n">
        <v>-37188716</v>
      </c>
      <c r="D20" s="6" t="n">
        <v>-14891308</v>
      </c>
    </row>
    <row r="21">
      <c r="A21" s="6" t="inlineStr">
        <is>
          <t>Proceeds on disposal of debt securities</t>
        </is>
      </c>
      <c r="B21" s="6" t="n">
        <v>209748720</v>
      </c>
      <c r="C21" s="6" t="n">
        <v>33030785</v>
      </c>
      <c r="D21" s="6" t="n">
        <v>6340000</v>
      </c>
    </row>
    <row r="22">
      <c r="A22" s="6" t="inlineStr">
        <is>
          <t>Purchases of Treasury bills</t>
        </is>
      </c>
      <c r="B22" s="6" t="n">
        <v>-20713633</v>
      </c>
      <c r="C22" s="6" t="n"/>
      <c r="D22" s="6" t="n"/>
    </row>
    <row r="23">
      <c r="A23" s="6" t="inlineStr">
        <is>
          <t>Proceeds on disposal and maturity of Treasury bills</t>
        </is>
      </c>
      <c r="B23" s="6" t="n">
        <v>14789751</v>
      </c>
      <c r="C23" s="6" t="n"/>
      <c r="D23" s="6" t="n"/>
    </row>
    <row r="24">
      <c r="A24" s="6" t="inlineStr">
        <is>
          <t>Purchases of supranational bonds</t>
        </is>
      </c>
      <c r="B24" s="6" t="n">
        <v>-3122866</v>
      </c>
      <c r="C24" s="6" t="n"/>
      <c r="D24" s="6" t="n"/>
    </row>
    <row r="25">
      <c r="A25" s="6" t="inlineStr">
        <is>
          <t>Proceeds on disposal and maturity of supranational bonds</t>
        </is>
      </c>
      <c r="B25" s="6" t="n">
        <v>3122866</v>
      </c>
      <c r="C25" s="6" t="n"/>
      <c r="D25" s="6" t="n"/>
    </row>
    <row r="26">
      <c r="A26" s="6" t="inlineStr">
        <is>
          <t>Proceeds on disposal of property, plant and equipment</t>
        </is>
      </c>
      <c r="B26" s="6" t="n">
        <v>5011</v>
      </c>
      <c r="C26" s="6" t="n">
        <v>1107</v>
      </c>
      <c r="D26" s="6" t="n"/>
    </row>
    <row r="27">
      <c r="A27" s="6" t="inlineStr">
        <is>
          <t>Purchases of property, plant and equipment</t>
        </is>
      </c>
      <c r="B27" s="6" t="n">
        <v>-84119</v>
      </c>
      <c r="C27" s="6" t="n">
        <v>-110110</v>
      </c>
      <c r="D27" s="6" t="n">
        <v>-144868</v>
      </c>
    </row>
    <row r="28">
      <c r="A28" s="6" t="inlineStr">
        <is>
          <t>Capitalisation of intangible assets / purchases of patents and trademarks</t>
        </is>
      </c>
      <c r="B28" s="6" t="n">
        <v>-2548860</v>
      </c>
      <c r="C28" s="6" t="n">
        <v>-1944908</v>
      </c>
      <c r="D28" s="6" t="n">
        <v>-202536</v>
      </c>
    </row>
    <row r="29">
      <c r="A29" s="5" t="inlineStr">
        <is>
          <t>Net cash from/(used in) investing activities</t>
        </is>
      </c>
      <c r="B29" s="5" t="n">
        <v>-94044573</v>
      </c>
      <c r="C29" s="5" t="n">
        <v>-5540942</v>
      </c>
      <c r="D29" s="5" t="n">
        <v>-8527971</v>
      </c>
    </row>
    <row r="30">
      <c r="A30" s="5" t="inlineStr">
        <is>
          <t>Financing activities</t>
        </is>
      </c>
      <c r="B30" s="6" t="n"/>
      <c r="C30" s="6" t="n"/>
      <c r="D30" s="6" t="n"/>
    </row>
    <row r="31">
      <c r="A31" s="6" t="inlineStr">
        <is>
          <t>Interest paid</t>
        </is>
      </c>
      <c r="B31" s="6" t="n">
        <v>-1597396</v>
      </c>
      <c r="C31" s="6" t="n">
        <v>-9747</v>
      </c>
      <c r="D31" s="6" t="n">
        <v>-163620</v>
      </c>
    </row>
    <row r="32">
      <c r="A32" s="6" t="inlineStr">
        <is>
          <t>Repayments of loans and borrowings</t>
        </is>
      </c>
      <c r="B32" s="6" t="n"/>
      <c r="C32" s="6" t="n">
        <v>-579173</v>
      </c>
      <c r="D32" s="6" t="n">
        <v>-777435</v>
      </c>
    </row>
    <row r="33">
      <c r="A33" s="6" t="inlineStr">
        <is>
          <t>Transaction costs related to issuing shares</t>
        </is>
      </c>
      <c r="B33" s="6" t="n">
        <v>-213963</v>
      </c>
      <c r="C33" s="6" t="n">
        <v>-454668</v>
      </c>
      <c r="D33" s="6" t="n">
        <v>-411555</v>
      </c>
    </row>
    <row r="34">
      <c r="A34" s="6" t="inlineStr">
        <is>
          <t>Proceeds on issue of shares</t>
        </is>
      </c>
      <c r="B34" s="6" t="n">
        <v>11556203</v>
      </c>
      <c r="C34" s="6" t="n">
        <v>19136651</v>
      </c>
      <c r="D34" s="6" t="n">
        <v>11167143</v>
      </c>
    </row>
    <row r="35">
      <c r="A35" s="5" t="inlineStr">
        <is>
          <t>Net cash from/(used in) financing activities</t>
        </is>
      </c>
      <c r="B35" s="5" t="n">
        <v>9744844</v>
      </c>
      <c r="C35" s="5" t="n">
        <v>18093063</v>
      </c>
      <c r="D35" s="5" t="n">
        <v>9814533</v>
      </c>
    </row>
    <row r="36">
      <c r="A36" s="5" t="inlineStr">
        <is>
          <t>Net increase/(decrease) in cash and cash equivalents</t>
        </is>
      </c>
      <c r="B36" s="5" t="n">
        <v>4962049</v>
      </c>
      <c r="C36" s="5" t="n">
        <v>2087140</v>
      </c>
      <c r="D36" s="5" t="n">
        <v>-10777390</v>
      </c>
    </row>
    <row r="37">
      <c r="A37" s="6" t="inlineStr">
        <is>
          <t>Cash and cash equivalents at the beginning of the year/period</t>
        </is>
      </c>
      <c r="B37" s="6" t="n">
        <v>2364540</v>
      </c>
      <c r="C37" s="6" t="n">
        <v>270150</v>
      </c>
      <c r="D37" s="6" t="n">
        <v>11048648</v>
      </c>
    </row>
    <row r="38">
      <c r="A38" s="6" t="inlineStr">
        <is>
          <t>Effect of foreign exchange rate changes</t>
        </is>
      </c>
      <c r="B38" s="6" t="n">
        <v>409</v>
      </c>
      <c r="C38" s="6" t="n">
        <v>7250</v>
      </c>
      <c r="D38" s="6" t="n">
        <v>-1108</v>
      </c>
    </row>
    <row r="39">
      <c r="A39" s="5" t="inlineStr">
        <is>
          <t>Cash and cash equivalents at the end of the year/period</t>
        </is>
      </c>
      <c r="B39" s="5" t="n">
        <v>7326998</v>
      </c>
      <c r="C39" s="5" t="n">
        <v>2364540</v>
      </c>
      <c r="D39" s="5" t="n">
        <v>270150</v>
      </c>
    </row>
    <row r="41" ht="170" customHeight="1">
      <c r="A41" s="8" t="inlineStr">
        <is>
          <t>Sources - all figures are Griffin Bank Limited's own Statement of Cash Flows:
FY2025: Annual Report and Financial Statements 2025, p.53-54 (Statement of cash flows) - https://cms.griffin.com/griffin-assets/Griffin_Bank_Ltd_Annual_Report_2025_edeb37eca7.pdf
FY2024: Annual Report and Financial Statements 2024, p.61 (Statement of cash flows; cross-checked against its own restated comparative in the 2025 Annual Report, p.53-54 - figures match exactly, no restatement) - https://cms.griffin.com/griffin-assets/Griffin_Bank_Ltd_Annual_Report_2024_b98c8d4c38.pdf
FY2023 (15mo): Annual Report and Financial Statements 2023, p.47 (Statement of cash flows, unaudited, 15 months ended 30 September 2023) - https://cms.griffin.com/griffin-assets/Griffin_Bank_Ltd_2023_Annual_Report_and_Financial_Statements_9c92dd2876.pdf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1">
    <mergeCell ref="A41:D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Common Equity Tier 1 (CET1) capital</t>
        </is>
      </c>
      <c r="B4" s="6" t="n"/>
      <c r="C4" s="6" t="n"/>
      <c r="D4" s="6" t="n">
        <v>8564</v>
      </c>
    </row>
    <row r="6" ht="130" customHeight="1">
      <c r="A6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1">
    <mergeCell ref="A6:D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CET1 ratio</t>
        </is>
      </c>
      <c r="B4" s="6" t="n"/>
      <c r="C4" s="6" t="n"/>
      <c r="D4" s="6" t="inlineStr">
        <is>
          <t>456%</t>
        </is>
      </c>
    </row>
    <row r="5" ht="60" customHeight="1">
      <c r="A5" s="7" t="inlineStr">
        <is>
          <t>Note: An extreme ratio reflecting the Bank's genuine early-mobilisation position (capital raised ahead of loan-book/RWA growth, per the Bank's own FY2023 Pillar 3 report), not a transcription error - the KM1 table's own RWA figure (£1,879k) against £8,564k of CET1 capital is internally consistent.</t>
        </is>
      </c>
    </row>
    <row r="7" ht="130" customHeight="1">
      <c r="A7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2">
    <mergeCell ref="A5:D5"/>
    <mergeCell ref="A7:D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Tier 1 capital</t>
        </is>
      </c>
      <c r="B4" s="6" t="n"/>
      <c r="C4" s="6" t="n"/>
      <c r="D4" s="6" t="n">
        <v>8564</v>
      </c>
    </row>
    <row r="5" ht="60" customHeight="1">
      <c r="A5" s="7" t="inlineStr">
        <is>
          <t>Note: No Additional Tier 1 instruments - Tier 1 capital equals CET1 capital in the source.</t>
        </is>
      </c>
    </row>
    <row r="7" ht="130" customHeight="1">
      <c r="A7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2">
    <mergeCell ref="A5:D5"/>
    <mergeCell ref="A7:D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Tier 1 ratio</t>
        </is>
      </c>
      <c r="B4" s="6" t="n"/>
      <c r="C4" s="6" t="n"/>
      <c r="D4" s="6" t="inlineStr">
        <is>
          <t>456%</t>
        </is>
      </c>
    </row>
    <row r="6" ht="130" customHeight="1">
      <c r="A6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1">
    <mergeCell ref="A6:D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Total capital</t>
        </is>
      </c>
      <c r="B4" s="6" t="n"/>
      <c r="C4" s="6" t="n"/>
      <c r="D4" s="6" t="n">
        <v>8564</v>
      </c>
    </row>
    <row r="5" ht="60" customHeight="1">
      <c r="A5" s="7" t="inlineStr">
        <is>
          <t>Note: No Tier 2 instruments - Total capital equals CET1/Tier 1 capital in the source.</t>
        </is>
      </c>
    </row>
    <row r="7" ht="130" customHeight="1">
      <c r="A7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2">
    <mergeCell ref="A5:D5"/>
    <mergeCell ref="A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Total capital ratio</t>
        </is>
      </c>
      <c r="B4" s="6" t="n"/>
      <c r="C4" s="6" t="n"/>
      <c r="D4" s="6" t="inlineStr">
        <is>
          <t>456%</t>
        </is>
      </c>
    </row>
    <row r="6" ht="130" customHeight="1">
      <c r="A6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1">
    <mergeCell ref="A6:D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Total risk-weighted exposure amount</t>
        </is>
      </c>
      <c r="B4" s="6" t="n"/>
      <c r="C4" s="6" t="n"/>
      <c r="D4" s="6" t="n">
        <v>1879</v>
      </c>
    </row>
    <row r="6" ht="130" customHeight="1">
      <c r="A6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1">
    <mergeCell ref="A6:D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Leverage ratio excluding claims on central banks</t>
        </is>
      </c>
      <c r="B4" s="6" t="n"/>
      <c r="C4" s="6" t="n"/>
      <c r="D4" s="6" t="inlineStr">
        <is>
          <t>91%</t>
        </is>
      </c>
    </row>
    <row r="6" ht="130" customHeight="1">
      <c r="A6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1">
    <mergeCell ref="A6:D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Liquidity coverage ratio (average of 8 months reported LCR post-authorisation)</t>
        </is>
      </c>
      <c r="B4" s="6" t="n"/>
      <c r="C4" s="6" t="n"/>
      <c r="D4" s="6" t="inlineStr">
        <is>
          <t>2,675%</t>
        </is>
      </c>
    </row>
    <row r="5" ht="60" customHeight="1">
      <c r="A5" s="7" t="inlineStr">
        <is>
          <t>Note: An extreme ratio for the same genuine early-mobilisation reason as the capital ratios above - the Bank held far more high-quality liquid assets (£10,387k weighted) than its tiny net cash outflow (£388k) required this early in its life.</t>
        </is>
      </c>
    </row>
    <row r="7" ht="130" customHeight="1">
      <c r="A7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2">
    <mergeCell ref="A5:D5"/>
    <mergeCell ref="A7:D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Net stable funding ratio (average of 8 months reported NSFR post-authorisation)</t>
        </is>
      </c>
      <c r="B4" s="6" t="n"/>
      <c r="C4" s="6" t="n"/>
      <c r="D4" s="6" t="inlineStr">
        <is>
          <t>1,034%</t>
        </is>
      </c>
    </row>
    <row r="6" ht="130" customHeight="1">
      <c r="A6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1">
    <mergeCell ref="A6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Griffin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 (15mo)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</row>
    <row r="6" ht="150" customHeight="1">
      <c r="A6" s="8" t="inlineStr">
        <is>
          <t>Sources - Griffin Bank Limited Pillar 3 basis:
FY2023: 2023 Pillar 3 Report (30 September 2023), p.21 (4.1 Disclosure of key metrics - KM1) - https://cms.griffin.com/griffin-assets/Griffin_Bank_Ltd_Pillar_3_30_Sept_2023_df3ca44acc.pdf
FY2024/FY2025: no Pillar 3 disclosure document has been published for either period - only the 2023 Pillar 3 Report exists on the Bank's own site (checked https://griffin.com/reports, which lists exactly 6 documents across FY2023-FY2025 and only one Pillar 3 report). Not a data-access gap - confirmed genuinely unpublished, not guessed. The Bank's own FY2023 KM1 table notes it does not provide comparative information for the prior (pre-authorisation) period either, since it was first authorised as a bank (with restrictions) only in 2023.
Griffin Bank Limited (Companies House 10842931) was renamed from Griffin Financial Technology Limited on 12 April 2023 and held only an Authorisation-with-Restrictions (mobilisation) banking licence until it obtained a full unrestricted licence on 29 February 2024. During the mobilisation period the Company also changed its financial year-end from 30 June to 30 September, so its first published period (FY2023) is a 15-month period from 1 July 2022 to 30 September 2023, not a standard 12-month year - both figures are as originally reported, not annualised. FY2023's cash flow statement is itself labelled 'Unaudited' in the source Annual Report. Only 3 Annual Reports have ever been published for this entity (FY2023/FY2024/FY2025) - no FY2021/FY2022 data exists.</t>
        </is>
      </c>
    </row>
  </sheetData>
  <mergeCells count="1">
    <mergeCell ref="A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2026-08-28T09:36:28Z</dcterms:created>
  <dcterms:modified xsi:type="dcterms:W3CDTF">2026-08-28T09:36:28Z</dcterms:modified>
</cp:coreProperties>
</file>