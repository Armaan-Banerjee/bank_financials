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480C7"/>
        <bgColor rgb="003480C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Griffin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'Overview'!G6</f>
            </strRef>
          </tx>
          <spPr>
            <a:ln xmlns:a="http://schemas.openxmlformats.org/drawingml/2006/main">
              <a:prstDash val="solid"/>
            </a:ln>
          </spPr>
          <cat>
            <numRef>
              <f>'Overview'!$H$5:$J$5</f>
            </numRef>
          </cat>
          <val>
            <numRef>
              <f>'Overview'!$H$6:$J$6</f>
            </numRef>
          </val>
        </ser>
        <ser>
          <idx val="1"/>
          <order val="1"/>
          <tx>
            <strRef>
              <f>'Overview'!G7</f>
            </strRef>
          </tx>
          <spPr>
            <a:ln xmlns:a="http://schemas.openxmlformats.org/drawingml/2006/main">
              <a:prstDash val="solid"/>
            </a:ln>
          </spPr>
          <cat>
            <numRef>
              <f>'Overview'!$H$5:$J$5</f>
            </numRef>
          </cat>
          <val>
            <numRef>
              <f>'Overview'!$H$7:$J$7</f>
            </numRef>
          </val>
        </ser>
        <ser>
          <idx val="2"/>
          <order val="2"/>
          <tx>
            <strRef>
              <f>'Overview'!G8</f>
            </strRef>
          </tx>
          <spPr>
            <a:ln xmlns:a="http://schemas.openxmlformats.org/drawingml/2006/main">
              <a:prstDash val="solid"/>
            </a:ln>
          </spPr>
          <cat>
            <numRef>
              <f>'Overview'!$H$5:$J$5</f>
            </numRef>
          </cat>
          <val>
            <numRef>
              <f>'Overview'!$H$8:$J$8</f>
            </numRef>
          </val>
        </ser>
        <ser>
          <idx val="3"/>
          <order val="3"/>
          <tx>
            <strRef>
              <f>'Overview'!G9</f>
            </strRef>
          </tx>
          <spPr>
            <a:ln xmlns:a="http://schemas.openxmlformats.org/drawingml/2006/main">
              <a:prstDash val="solid"/>
            </a:ln>
          </spPr>
          <cat>
            <numRef>
              <f>'Overview'!$H$5:$J$5</f>
            </numRef>
          </cat>
          <val>
            <numRef>
              <f>'Overview'!$H$9:$J$9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Griffin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'Overview'!M13</f>
            </strRef>
          </tx>
          <spPr>
            <a:ln xmlns:a="http://schemas.openxmlformats.org/drawingml/2006/main">
              <a:prstDash val="solid"/>
            </a:ln>
          </spPr>
          <cat>
            <numRef>
              <f>'Overview'!$N$12:$P$12</f>
            </numRef>
          </cat>
          <val>
            <numRef>
              <f>'Overview'!$N$13:$P$13</f>
            </numRef>
          </val>
        </ser>
        <ser>
          <idx val="1"/>
          <order val="1"/>
          <tx>
            <strRef>
              <f>'Overview'!M14</f>
            </strRef>
          </tx>
          <spPr>
            <a:ln xmlns:a="http://schemas.openxmlformats.org/drawingml/2006/main">
              <a:prstDash val="solid"/>
            </a:ln>
          </spPr>
          <cat>
            <numRef>
              <f>'Overview'!$N$12:$P$12</f>
            </numRef>
          </cat>
          <val>
            <numRef>
              <f>'Overview'!$N$14:$P$14</f>
            </numRef>
          </val>
        </ser>
        <ser>
          <idx val="2"/>
          <order val="2"/>
          <tx>
            <strRef>
              <f>'Overview'!M15</f>
            </strRef>
          </tx>
          <spPr>
            <a:ln xmlns:a="http://schemas.openxmlformats.org/drawingml/2006/main">
              <a:prstDash val="solid"/>
            </a:ln>
          </spPr>
          <cat>
            <numRef>
              <f>'Overview'!$N$12:$P$12</f>
            </numRef>
          </cat>
          <val>
            <numRef>
              <f>'Overview'!$N$15:$P$15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Griffin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'Overview'!S19</f>
            </strRef>
          </tx>
          <spPr>
            <a:ln xmlns:a="http://schemas.openxmlformats.org/drawingml/2006/main">
              <a:prstDash val="solid"/>
            </a:ln>
          </spPr>
          <cat>
            <numRef>
              <f>'Overview'!$T$18:$V$18</f>
            </numRef>
          </cat>
          <val>
            <numRef>
              <f>'Overview'!$T$19:$V$19</f>
            </numRef>
          </val>
        </ser>
        <ser>
          <idx val="1"/>
          <order val="1"/>
          <tx>
            <strRef>
              <f>'Overview'!S20</f>
            </strRef>
          </tx>
          <spPr>
            <a:ln xmlns:a="http://schemas.openxmlformats.org/drawingml/2006/main">
              <a:prstDash val="solid"/>
            </a:ln>
          </spPr>
          <cat>
            <numRef>
              <f>'Overview'!$T$18:$V$18</f>
            </numRef>
          </cat>
          <val>
            <numRef>
              <f>'Overview'!$T$20:$V$20</f>
            </numRef>
          </val>
        </ser>
        <ser>
          <idx val="2"/>
          <order val="2"/>
          <tx>
            <strRef>
              <f>'Overview'!S21</f>
            </strRef>
          </tx>
          <spPr>
            <a:ln xmlns:a="http://schemas.openxmlformats.org/drawingml/2006/main">
              <a:prstDash val="solid"/>
            </a:ln>
          </spPr>
          <cat>
            <numRef>
              <f>'Overview'!$T$18:$V$18</f>
            </numRef>
          </cat>
          <val>
            <numRef>
              <f>'Overview'!$T$21:$V$21</f>
            </numRef>
          </val>
        </ser>
        <ser>
          <idx val="3"/>
          <order val="3"/>
          <tx>
            <strRef>
              <f>'Overview'!S22</f>
            </strRef>
          </tx>
          <spPr>
            <a:ln xmlns:a="http://schemas.openxmlformats.org/drawingml/2006/main">
              <a:prstDash val="solid"/>
            </a:ln>
          </spPr>
          <cat>
            <numRef>
              <f>'Overview'!$T$18:$V$18</f>
            </numRef>
          </cat>
          <val>
            <numRef>
              <f>'Overview'!$T$22:$V$22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Griffin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'Overview'!Y26</f>
            </strRef>
          </tx>
          <spPr>
            <a:ln xmlns:a="http://schemas.openxmlformats.org/drawingml/2006/main">
              <a:prstDash val="solid"/>
            </a:ln>
          </spPr>
          <cat>
            <numRef>
              <f>'Overview'!$Z$25:$AB$25</f>
            </numRef>
          </cat>
          <val>
            <numRef>
              <f>'Overview'!$Z$26:$AB$26</f>
            </numRef>
          </val>
        </ser>
        <ser>
          <idx val="1"/>
          <order val="1"/>
          <tx>
            <strRef>
              <f>'Overview'!Y27</f>
            </strRef>
          </tx>
          <spPr>
            <a:ln xmlns:a="http://schemas.openxmlformats.org/drawingml/2006/main">
              <a:prstDash val="solid"/>
            </a:ln>
          </spPr>
          <cat>
            <numRef>
              <f>'Overview'!$Z$25:$AB$25</f>
            </numRef>
          </cat>
          <val>
            <numRef>
              <f>'Overview'!$Z$27:$AB$27</f>
            </numRef>
          </val>
        </ser>
        <ser>
          <idx val="2"/>
          <order val="2"/>
          <tx>
            <strRef>
              <f>'Overview'!Y28</f>
            </strRef>
          </tx>
          <spPr>
            <a:ln xmlns:a="http://schemas.openxmlformats.org/drawingml/2006/main">
              <a:prstDash val="solid"/>
            </a:ln>
          </spPr>
          <cat>
            <numRef>
              <f>'Overview'!$Z$25:$AB$25</f>
            </numRef>
          </cat>
          <val>
            <numRef>
              <f>'Overview'!$Z$28:$AB$28</f>
            </numRef>
          </val>
        </ser>
        <ser>
          <idx val="3"/>
          <order val="3"/>
          <tx>
            <strRef>
              <f>'Overview'!Y29</f>
            </strRef>
          </tx>
          <spPr>
            <a:ln xmlns:a="http://schemas.openxmlformats.org/drawingml/2006/main">
              <a:prstDash val="solid"/>
            </a:ln>
          </spPr>
          <cat>
            <numRef>
              <f>'Overview'!$Z$25:$AB$25</f>
            </numRef>
          </cat>
          <val>
            <numRef>
              <f>'Overview'!$Z$29:$AB$29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Griffin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'Overview'!AE6</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'Overview'!$AF$6:$AH$6</f>
            </numRef>
          </val>
          <smooth val="0"/>
        </ser>
        <ser>
          <idx val="1"/>
          <order val="1"/>
          <tx>
            <strRef>
              <f>'Overview'!AE7</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'Overview'!$AF$7:$AH$7</f>
            </numRef>
          </val>
          <smooth val="0"/>
        </ser>
        <ser>
          <idx val="2"/>
          <order val="2"/>
          <tx>
            <strRef>
              <f>'Overview'!AE8</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'Overview'!$AF$8:$AH$8</f>
            </numRef>
          </val>
          <smooth val="0"/>
        </ser>
        <ser>
          <idx val="3"/>
          <order val="3"/>
          <tx>
            <strRef>
              <f>'Overview'!AE9</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'Overview'!$AF$9:$AH$9</f>
            </numRef>
          </val>
          <smooth val="0"/>
        </ser>
        <ser>
          <idx val="4"/>
          <order val="4"/>
          <tx>
            <strRef>
              <f>'Overview'!AE10</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'Overview'!$AF$10:$AH$10</f>
            </numRef>
          </val>
          <smooth val="0"/>
        </ser>
        <ser>
          <idx val="5"/>
          <order val="5"/>
          <tx>
            <strRef>
              <f>'Overview'!AE11</f>
            </strRef>
          </tx>
          <spPr>
            <a:ln xmlns:a="http://schemas.openxmlformats.org/drawingml/2006/main">
              <a:prstDash val="solid"/>
            </a:ln>
          </spPr>
          <marker>
            <symbol val="none"/>
            <spPr>
              <a:ln xmlns:a="http://schemas.openxmlformats.org/drawingml/2006/main">
                <a:prstDash val="solid"/>
              </a:ln>
            </spPr>
          </marker>
          <cat>
            <numRef>
              <f>'Overview'!$AF$5:$AH$5</f>
            </numRef>
          </cat>
          <val>
            <numRef>
              <f>'Overview'!$AF$11:$AH$11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hidden="1" width="13" customWidth="1" min="7" max="7"/>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c r="A1" s="1" t="inlineStr">
        <is>
          <t>Griffin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 (15mo)</t>
        </is>
      </c>
      <c r="H5" t="inlineStr">
        <is>
          <t>FY2023 (15mo)</t>
        </is>
      </c>
      <c r="I5" t="inlineStr">
        <is>
          <t>FY2024</t>
        </is>
      </c>
      <c r="J5" t="inlineStr">
        <is>
          <t>FY2025</t>
        </is>
      </c>
      <c r="AF5" t="inlineStr">
        <is>
          <t>FY2023 (15mo)</t>
        </is>
      </c>
      <c r="AG5" t="inlineStr">
        <is>
          <t>FY2024</t>
        </is>
      </c>
      <c r="AH5" t="inlineStr">
        <is>
          <t>FY2025</t>
        </is>
      </c>
    </row>
    <row r="6">
      <c r="A6" s="5" t="inlineStr">
        <is>
          <t>Total assets</t>
        </is>
      </c>
      <c r="B6" s="5" t="n">
        <v>119551420</v>
      </c>
      <c r="C6" s="5" t="n">
        <v>18725660</v>
      </c>
      <c r="D6" s="5" t="n">
        <v>10231714</v>
      </c>
      <c r="G6" t="inlineStr">
        <is>
          <t>Total assets</t>
        </is>
      </c>
      <c r="H6" t="n">
        <v>10231714</v>
      </c>
      <c r="I6" t="n">
        <v>18725660</v>
      </c>
      <c r="J6" t="n">
        <v>119551420</v>
      </c>
      <c r="AE6" t="inlineStr">
        <is>
          <t>CET1 Ratio</t>
        </is>
      </c>
      <c r="AF6" t="n">
        <v>456</v>
      </c>
    </row>
    <row r="7">
      <c r="A7" s="5" t="inlineStr">
        <is>
          <t>Debt securities</t>
        </is>
      </c>
      <c r="B7" s="5" t="n">
        <v>106511170</v>
      </c>
      <c r="C7" s="5" t="n">
        <v>12709240</v>
      </c>
      <c r="D7" s="5" t="n">
        <v>8551308</v>
      </c>
      <c r="G7" t="inlineStr">
        <is>
          <t>Debt securities</t>
        </is>
      </c>
      <c r="H7" t="n">
        <v>8551308</v>
      </c>
      <c r="I7" t="n">
        <v>12709240</v>
      </c>
      <c r="J7" t="n">
        <v>106511170</v>
      </c>
      <c r="AE7" t="inlineStr">
        <is>
          <t>Tier 1 Ratio</t>
        </is>
      </c>
      <c r="AF7" t="n">
        <v>456</v>
      </c>
    </row>
    <row r="8">
      <c r="A8" s="5" t="inlineStr">
        <is>
          <t>Customer deposits</t>
        </is>
      </c>
      <c r="B8" s="5" t="n">
        <v>101783429</v>
      </c>
      <c r="C8" s="5" t="n">
        <v>2070144</v>
      </c>
      <c r="D8" s="5" t="n"/>
      <c r="G8" t="inlineStr">
        <is>
          <t>Customer deposits</t>
        </is>
      </c>
      <c r="I8" t="n">
        <v>2070144</v>
      </c>
      <c r="J8" t="n">
        <v>101783429</v>
      </c>
      <c r="AE8" t="inlineStr">
        <is>
          <t>Total Capital Ratio</t>
        </is>
      </c>
      <c r="AF8" t="n">
        <v>456</v>
      </c>
    </row>
    <row r="9">
      <c r="A9" s="5" t="inlineStr">
        <is>
          <t>Total equity</t>
        </is>
      </c>
      <c r="B9" s="5" t="n">
        <v>16507699</v>
      </c>
      <c r="C9" s="5" t="n">
        <v>15174425</v>
      </c>
      <c r="D9" s="5" t="n">
        <v>8761243</v>
      </c>
      <c r="G9" t="inlineStr">
        <is>
          <t>Total equity</t>
        </is>
      </c>
      <c r="H9" t="n">
        <v>8761243</v>
      </c>
      <c r="I9" t="n">
        <v>15174425</v>
      </c>
      <c r="J9" t="n">
        <v>16507699</v>
      </c>
      <c r="AE9" t="inlineStr">
        <is>
          <t>Leverage Ratio</t>
        </is>
      </c>
      <c r="AF9" t="n">
        <v>91</v>
      </c>
    </row>
    <row r="10">
      <c r="AE10" t="inlineStr">
        <is>
          <t>LCR</t>
        </is>
      </c>
      <c r="AF10" t="n">
        <v>2675</v>
      </c>
    </row>
    <row r="11">
      <c r="A11" s="3" t="inlineStr">
        <is>
          <t>Profit &amp; Loss Summary (£)</t>
        </is>
      </c>
      <c r="AE11" t="inlineStr">
        <is>
          <t>NSFR</t>
        </is>
      </c>
      <c r="AF11" t="n">
        <v>1034</v>
      </c>
    </row>
    <row r="12">
      <c r="A12" s="4" t="inlineStr">
        <is>
          <t>Line item</t>
        </is>
      </c>
      <c r="B12" s="4" t="inlineStr">
        <is>
          <t>FY2025</t>
        </is>
      </c>
      <c r="C12" s="4" t="inlineStr">
        <is>
          <t>FY2024</t>
        </is>
      </c>
      <c r="D12" s="4" t="inlineStr">
        <is>
          <t>FY2023 (15mo)</t>
        </is>
      </c>
      <c r="N12" t="inlineStr">
        <is>
          <t>FY2023 (15mo)</t>
        </is>
      </c>
      <c r="O12" t="inlineStr">
        <is>
          <t>FY2024</t>
        </is>
      </c>
      <c r="P12" t="inlineStr">
        <is>
          <t>FY2025</t>
        </is>
      </c>
    </row>
    <row r="13">
      <c r="A13" s="5" t="inlineStr">
        <is>
          <t>Total net revenue</t>
        </is>
      </c>
      <c r="B13" s="5" t="n">
        <v>1925815</v>
      </c>
      <c r="C13" s="5" t="n">
        <v>744633</v>
      </c>
      <c r="D13" s="5" t="n">
        <v>291456</v>
      </c>
      <c r="M13" t="inlineStr">
        <is>
          <t>Total net revenue</t>
        </is>
      </c>
      <c r="N13" t="n">
        <v>291456</v>
      </c>
      <c r="O13" t="n">
        <v>744633</v>
      </c>
      <c r="P13" t="n">
        <v>1925815</v>
      </c>
    </row>
    <row r="14">
      <c r="A14" s="5" t="inlineStr">
        <is>
          <t>Total operating costs</t>
        </is>
      </c>
      <c r="B14" s="5" t="n">
        <v>-13983964</v>
      </c>
      <c r="C14" s="5" t="n">
        <v>-13634562</v>
      </c>
      <c r="D14" s="5" t="n">
        <v>-13011040</v>
      </c>
      <c r="M14" t="inlineStr">
        <is>
          <t>Total operating costs</t>
        </is>
      </c>
      <c r="N14" t="n">
        <v>-13011040</v>
      </c>
      <c r="O14" t="n">
        <v>-13634562</v>
      </c>
      <c r="P14" t="n">
        <v>-13983964</v>
      </c>
    </row>
    <row r="15">
      <c r="A15" s="5" t="inlineStr">
        <is>
          <t>Loss for the year/period after taxation</t>
        </is>
      </c>
      <c r="B15" s="5" t="n">
        <v>-12058149</v>
      </c>
      <c r="C15" s="5" t="n">
        <v>-12889929</v>
      </c>
      <c r="D15" s="5" t="n">
        <v>-12719584</v>
      </c>
      <c r="M15" t="inlineStr">
        <is>
          <t>Loss for the year/period after taxation</t>
        </is>
      </c>
      <c r="N15" t="n">
        <v>-12719584</v>
      </c>
      <c r="O15" t="n">
        <v>-12889929</v>
      </c>
      <c r="P15" t="n">
        <v>-12058149</v>
      </c>
    </row>
    <row r="17">
      <c r="A17" s="3" t="inlineStr">
        <is>
          <t>Statement of Changes in Equity Summary (£)</t>
        </is>
      </c>
    </row>
    <row r="18">
      <c r="A18" s="4" t="inlineStr">
        <is>
          <t>Line item</t>
        </is>
      </c>
      <c r="B18" s="4" t="inlineStr">
        <is>
          <t>FY2025</t>
        </is>
      </c>
      <c r="C18" s="4" t="inlineStr">
        <is>
          <t>FY2024</t>
        </is>
      </c>
      <c r="D18" s="4" t="inlineStr">
        <is>
          <t>FY2023 (15mo)</t>
        </is>
      </c>
      <c r="T18" t="inlineStr">
        <is>
          <t>FY2023 (15mo)</t>
        </is>
      </c>
      <c r="U18" t="inlineStr">
        <is>
          <t>FY2024</t>
        </is>
      </c>
      <c r="V18" t="inlineStr">
        <is>
          <t>FY2025</t>
        </is>
      </c>
    </row>
    <row r="19">
      <c r="A19" s="5" t="inlineStr">
        <is>
          <t>Opening equity</t>
        </is>
      </c>
      <c r="B19" s="5" t="n">
        <v>15174425</v>
      </c>
      <c r="C19" s="5" t="n">
        <v>8761243</v>
      </c>
      <c r="D19" s="5" t="n">
        <v>9585885</v>
      </c>
      <c r="S19" t="inlineStr">
        <is>
          <t>Opening equity</t>
        </is>
      </c>
      <c r="T19" t="n">
        <v>9585885</v>
      </c>
      <c r="U19" t="n">
        <v>8761243</v>
      </c>
      <c r="V19" t="n">
        <v>15174425</v>
      </c>
    </row>
    <row r="20">
      <c r="A20" s="5" t="inlineStr">
        <is>
          <t>Loss for the year/period</t>
        </is>
      </c>
      <c r="B20" s="5" t="n">
        <v>-12058149</v>
      </c>
      <c r="C20" s="5" t="n">
        <v>-12889929</v>
      </c>
      <c r="D20" s="5" t="n">
        <v>-12719584</v>
      </c>
      <c r="S20" t="inlineStr">
        <is>
          <t>Loss for the year/period</t>
        </is>
      </c>
      <c r="T20" t="n">
        <v>-12719584</v>
      </c>
      <c r="U20" t="n">
        <v>-12889929</v>
      </c>
      <c r="V20" t="n">
        <v>-12058149</v>
      </c>
    </row>
    <row r="21">
      <c r="A21" s="5" t="inlineStr">
        <is>
          <t>Other movements, net</t>
        </is>
      </c>
      <c r="B21" s="5" t="n">
        <v>13391423</v>
      </c>
      <c r="C21" s="5" t="n">
        <v>19303111</v>
      </c>
      <c r="D21" s="5" t="n">
        <v>11894942</v>
      </c>
      <c r="S21" t="inlineStr">
        <is>
          <t>Other movements, net</t>
        </is>
      </c>
      <c r="T21" t="n">
        <v>11894942</v>
      </c>
      <c r="U21" t="n">
        <v>19303111</v>
      </c>
      <c r="V21" t="n">
        <v>13391423</v>
      </c>
    </row>
    <row r="22">
      <c r="A22" s="5" t="inlineStr">
        <is>
          <t>Closing equity</t>
        </is>
      </c>
      <c r="B22" s="5" t="n">
        <v>16507699</v>
      </c>
      <c r="C22" s="5" t="n">
        <v>15174425</v>
      </c>
      <c r="D22" s="5" t="n">
        <v>8761243</v>
      </c>
      <c r="S22" t="inlineStr">
        <is>
          <t>Closing equity</t>
        </is>
      </c>
      <c r="T22" t="n">
        <v>8761243</v>
      </c>
      <c r="U22" t="n">
        <v>15174425</v>
      </c>
      <c r="V22" t="n">
        <v>16507699</v>
      </c>
    </row>
    <row r="24">
      <c r="A24" s="3" t="inlineStr">
        <is>
          <t>Cash Flow Summary (£)</t>
        </is>
      </c>
    </row>
    <row r="25">
      <c r="A25" s="4" t="inlineStr">
        <is>
          <t>Line item</t>
        </is>
      </c>
      <c r="B25" s="4" t="inlineStr">
        <is>
          <t>FY2025</t>
        </is>
      </c>
      <c r="C25" s="4" t="inlineStr">
        <is>
          <t>FY2024</t>
        </is>
      </c>
      <c r="D25" s="4" t="inlineStr">
        <is>
          <t>FY2023 (15mo)</t>
        </is>
      </c>
      <c r="Z25" t="inlineStr">
        <is>
          <t>FY2023 (15mo)</t>
        </is>
      </c>
      <c r="AA25" t="inlineStr">
        <is>
          <t>FY2024</t>
        </is>
      </c>
      <c r="AB25" t="inlineStr">
        <is>
          <t>FY2025</t>
        </is>
      </c>
    </row>
    <row r="26">
      <c r="A26" s="5" t="inlineStr">
        <is>
          <t>Net cash from/(used in) operating activities</t>
        </is>
      </c>
      <c r="B26" s="5" t="n">
        <v>89261779</v>
      </c>
      <c r="C26" s="5" t="n">
        <v>-10464980</v>
      </c>
      <c r="D26" s="5" t="n">
        <v>-12063952</v>
      </c>
      <c r="Y26" t="inlineStr">
        <is>
          <t>Net cash from/(used in) operating activities</t>
        </is>
      </c>
      <c r="Z26" t="n">
        <v>-12063952</v>
      </c>
      <c r="AA26" t="n">
        <v>-10464980</v>
      </c>
      <c r="AB26" t="n">
        <v>89261779</v>
      </c>
    </row>
    <row r="27">
      <c r="A27" s="5" t="inlineStr">
        <is>
          <t>Net cash from/(used in) investing activities</t>
        </is>
      </c>
      <c r="B27" s="5" t="n">
        <v>-94044573</v>
      </c>
      <c r="C27" s="5" t="n">
        <v>-5540942</v>
      </c>
      <c r="D27" s="5" t="n">
        <v>-8527971</v>
      </c>
      <c r="Y27" t="inlineStr">
        <is>
          <t>Net cash from/(used in) investing activities</t>
        </is>
      </c>
      <c r="Z27" t="n">
        <v>-8527971</v>
      </c>
      <c r="AA27" t="n">
        <v>-5540942</v>
      </c>
      <c r="AB27" t="n">
        <v>-94044573</v>
      </c>
    </row>
    <row r="28">
      <c r="A28" s="5" t="inlineStr">
        <is>
          <t>Net cash from/(used in) financing activities</t>
        </is>
      </c>
      <c r="B28" s="5" t="n">
        <v>9744844</v>
      </c>
      <c r="C28" s="5" t="n">
        <v>18093063</v>
      </c>
      <c r="D28" s="5" t="n">
        <v>9814533</v>
      </c>
      <c r="Y28" t="inlineStr">
        <is>
          <t>Net cash from/(used in) financing activities</t>
        </is>
      </c>
      <c r="Z28" t="n">
        <v>9814533</v>
      </c>
      <c r="AA28" t="n">
        <v>18093063</v>
      </c>
      <c r="AB28" t="n">
        <v>9744844</v>
      </c>
    </row>
    <row r="29">
      <c r="A29" s="5" t="inlineStr">
        <is>
          <t>Cash and cash equivalents at end of year/period</t>
        </is>
      </c>
      <c r="B29" s="5" t="n">
        <v>7326998</v>
      </c>
      <c r="C29" s="5" t="n">
        <v>2364540</v>
      </c>
      <c r="D29" s="5" t="n">
        <v>270150</v>
      </c>
      <c r="Y29" t="inlineStr">
        <is>
          <t>Cash and cash equivalents at end of year/period</t>
        </is>
      </c>
      <c r="Z29" t="n">
        <v>270150</v>
      </c>
      <c r="AA29" t="n">
        <v>2364540</v>
      </c>
      <c r="AB29" t="n">
        <v>7326998</v>
      </c>
    </row>
    <row r="31">
      <c r="A31" s="3" t="inlineStr">
        <is>
          <t>Pillar 3 Key Metrics</t>
        </is>
      </c>
    </row>
    <row r="32">
      <c r="A32" s="4" t="inlineStr">
        <is>
          <t>Line item</t>
        </is>
      </c>
      <c r="B32" s="4" t="inlineStr">
        <is>
          <t>FY2025</t>
        </is>
      </c>
      <c r="C32" s="4" t="inlineStr">
        <is>
          <t>FY2024</t>
        </is>
      </c>
      <c r="D32" s="4" t="inlineStr">
        <is>
          <t>FY2023 (15mo)</t>
        </is>
      </c>
    </row>
    <row r="33">
      <c r="A33" s="6" t="inlineStr">
        <is>
          <t>CET1 Ratio</t>
        </is>
      </c>
      <c r="B33" s="6" t="n"/>
      <c r="C33" s="6" t="n"/>
      <c r="D33" s="6" t="inlineStr">
        <is>
          <t>456%</t>
        </is>
      </c>
    </row>
    <row r="34">
      <c r="A34" s="6" t="inlineStr">
        <is>
          <t>Tier 1 Ratio</t>
        </is>
      </c>
      <c r="B34" s="6" t="n"/>
      <c r="C34" s="6" t="n"/>
      <c r="D34" s="6" t="inlineStr">
        <is>
          <t>456%</t>
        </is>
      </c>
    </row>
    <row r="35">
      <c r="A35" s="6" t="inlineStr">
        <is>
          <t>Total Capital Ratio</t>
        </is>
      </c>
      <c r="B35" s="6" t="n"/>
      <c r="C35" s="6" t="n"/>
      <c r="D35" s="6" t="inlineStr">
        <is>
          <t>456%</t>
        </is>
      </c>
    </row>
    <row r="36">
      <c r="A36" s="6" t="inlineStr">
        <is>
          <t>Leverage Ratio</t>
        </is>
      </c>
      <c r="B36" s="6" t="n"/>
      <c r="C36" s="6" t="n"/>
      <c r="D36" s="6" t="inlineStr">
        <is>
          <t>91%</t>
        </is>
      </c>
    </row>
    <row r="37">
      <c r="A37" s="6" t="inlineStr">
        <is>
          <t>LCR</t>
        </is>
      </c>
      <c r="B37" s="6" t="n"/>
      <c r="C37" s="6" t="n"/>
      <c r="D37" s="6" t="inlineStr">
        <is>
          <t>2,675%</t>
        </is>
      </c>
    </row>
    <row r="38">
      <c r="A38" s="6" t="inlineStr">
        <is>
          <t>NSFR</t>
        </is>
      </c>
      <c r="B38" s="6" t="n"/>
      <c r="C38" s="6" t="n"/>
      <c r="D38" s="6" t="inlineStr">
        <is>
          <t>1,034%</t>
        </is>
      </c>
    </row>
    <row r="40" ht="45" customHeight="1">
      <c r="A40" s="7" t="inlineStr">
        <is>
          <t>Note: Figures are duplicated from the detail sheets for at-a-glance trend viewing; see each sheet's own source citation for the underlying document/page. Only FY2023 has any Pillar 3 data - no Pillar 3 report has been published for FY2024 or FY2025 (confirmed, not an access gap). The Bank has no customer lending at all in any of the 3 published years - Asset Quality is 'Not publicly disclosed' for this genuine reason (see that sheet's own source note).</t>
        </is>
      </c>
    </row>
  </sheetData>
  <mergeCells count="1">
    <mergeCell ref="A40:D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Balance Sheet</t>
        </is>
      </c>
    </row>
    <row r="2">
      <c r="A2" s="2" t="inlineStr">
        <is>
          <t>Bank-only (no group); FY2023 covers a 15-month period ended 30 September 2023 and is labelled unaudited in the source. £.</t>
        </is>
      </c>
    </row>
    <row r="3">
      <c r="A3" s="4" t="inlineStr">
        <is>
          <t>Line item</t>
        </is>
      </c>
      <c r="B3" s="4" t="inlineStr">
        <is>
          <t>FY2025 (£)</t>
        </is>
      </c>
      <c r="C3" s="4" t="inlineStr">
        <is>
          <t>FY2024 (£)</t>
        </is>
      </c>
      <c r="D3" s="4" t="inlineStr">
        <is>
          <t>FY2023 (15mo) (£)</t>
        </is>
      </c>
    </row>
    <row r="4">
      <c r="A4" s="5" t="inlineStr">
        <is>
          <t>Assets</t>
        </is>
      </c>
      <c r="B4" s="6" t="n"/>
      <c r="C4" s="6" t="n"/>
      <c r="D4" s="6" t="n"/>
    </row>
    <row r="5">
      <c r="A5" s="6" t="inlineStr">
        <is>
          <t>Cash and cash equivalents</t>
        </is>
      </c>
      <c r="B5" s="6" t="n">
        <v>7326998</v>
      </c>
      <c r="C5" s="6" t="n">
        <v>2364540</v>
      </c>
      <c r="D5" s="6" t="n">
        <v>270150</v>
      </c>
    </row>
    <row r="6">
      <c r="A6" s="5" t="inlineStr">
        <is>
          <t>Total debt securities</t>
        </is>
      </c>
      <c r="B6" s="5" t="n">
        <v>106511170</v>
      </c>
      <c r="C6" s="5" t="n">
        <v>12709240</v>
      </c>
      <c r="D6" s="5" t="n">
        <v>8551308</v>
      </c>
    </row>
    <row r="7">
      <c r="A7" s="6" t="inlineStr">
        <is>
          <t>Money market funds, FVTPL (UK gilts/sovereign-backed)</t>
        </is>
      </c>
      <c r="B7" s="6" t="n">
        <v>100587287</v>
      </c>
      <c r="C7" s="6" t="n">
        <v>12709240</v>
      </c>
      <c r="D7" s="6" t="n">
        <v>8551308</v>
      </c>
    </row>
    <row r="8">
      <c r="A8" s="6" t="inlineStr">
        <is>
          <t>UK Treasury bills, FVTPL</t>
        </is>
      </c>
      <c r="B8" s="6" t="n">
        <v>5923883</v>
      </c>
      <c r="C8" s="6" t="n">
        <v>0</v>
      </c>
      <c r="D8" s="6" t="n">
        <v>0</v>
      </c>
    </row>
    <row r="9">
      <c r="A9" s="6" t="inlineStr">
        <is>
          <t>Trade and other receivables</t>
        </is>
      </c>
      <c r="B9" s="6" t="n">
        <v>1380080</v>
      </c>
      <c r="C9" s="6" t="n">
        <v>1430220</v>
      </c>
      <c r="D9" s="6" t="n">
        <v>1085821</v>
      </c>
    </row>
    <row r="10">
      <c r="A10" s="6" t="inlineStr">
        <is>
          <t>Intangible assets</t>
        </is>
      </c>
      <c r="B10" s="6" t="n">
        <v>4194662</v>
      </c>
      <c r="C10" s="6" t="n">
        <v>2073199</v>
      </c>
      <c r="D10" s="6" t="n">
        <v>197614</v>
      </c>
    </row>
    <row r="11">
      <c r="A11" s="6" t="inlineStr">
        <is>
          <t>Property, plant and equipment</t>
        </is>
      </c>
      <c r="B11" s="6" t="n">
        <v>138510</v>
      </c>
      <c r="C11" s="6" t="n">
        <v>148461</v>
      </c>
      <c r="D11" s="6" t="n">
        <v>126821</v>
      </c>
    </row>
    <row r="12">
      <c r="A12" s="5" t="inlineStr">
        <is>
          <t>Total assets</t>
        </is>
      </c>
      <c r="B12" s="5" t="n">
        <v>119551420</v>
      </c>
      <c r="C12" s="5" t="n">
        <v>18725660</v>
      </c>
      <c r="D12" s="5" t="n">
        <v>10231714</v>
      </c>
    </row>
    <row r="13">
      <c r="A13" s="5" t="inlineStr">
        <is>
          <t>Liabilities</t>
        </is>
      </c>
      <c r="B13" s="6" t="n"/>
      <c r="C13" s="6" t="n"/>
      <c r="D13" s="6" t="n"/>
    </row>
    <row r="14">
      <c r="A14" s="6" t="inlineStr">
        <is>
          <t>Customer deposits</t>
        </is>
      </c>
      <c r="B14" s="6" t="n">
        <v>101783429</v>
      </c>
      <c r="C14" s="6" t="n">
        <v>2070144</v>
      </c>
      <c r="D14" s="6" t="n"/>
    </row>
    <row r="15">
      <c r="A15" s="6" t="inlineStr">
        <is>
          <t>Trade and other payables</t>
        </is>
      </c>
      <c r="B15" s="6" t="n">
        <v>1121665</v>
      </c>
      <c r="C15" s="6" t="n">
        <v>1372107</v>
      </c>
      <c r="D15" s="6" t="n">
        <v>776298</v>
      </c>
    </row>
    <row r="16">
      <c r="A16" s="6" t="inlineStr">
        <is>
          <t>Contract liabilities</t>
        </is>
      </c>
      <c r="B16" s="6" t="n">
        <v>138627</v>
      </c>
      <c r="C16" s="6" t="n">
        <v>108984</v>
      </c>
      <c r="D16" s="6" t="n">
        <v>115000</v>
      </c>
    </row>
    <row r="17">
      <c r="A17" s="6" t="inlineStr">
        <is>
          <t>Borrowings</t>
        </is>
      </c>
      <c r="B17" s="6" t="n">
        <v>0</v>
      </c>
      <c r="C17" s="6" t="n">
        <v>0</v>
      </c>
      <c r="D17" s="6" t="n">
        <v>579173</v>
      </c>
    </row>
    <row r="18">
      <c r="A18" s="5" t="inlineStr">
        <is>
          <t>Total liabilities</t>
        </is>
      </c>
      <c r="B18" s="5" t="n">
        <v>103043721</v>
      </c>
      <c r="C18" s="5" t="n">
        <v>3551235</v>
      </c>
      <c r="D18" s="5" t="n">
        <v>1470471</v>
      </c>
    </row>
    <row r="19">
      <c r="A19" s="5" t="inlineStr">
        <is>
          <t>Equity</t>
        </is>
      </c>
      <c r="B19" s="6" t="n"/>
      <c r="C19" s="6" t="n"/>
      <c r="D19" s="6" t="n"/>
    </row>
    <row r="20">
      <c r="A20" s="6" t="inlineStr">
        <is>
          <t>Share capital</t>
        </is>
      </c>
      <c r="B20" s="6" t="n">
        <v>23</v>
      </c>
      <c r="C20" s="6" t="n">
        <v>16</v>
      </c>
      <c r="D20" s="6" t="n">
        <v>13</v>
      </c>
    </row>
    <row r="21">
      <c r="A21" s="6" t="inlineStr">
        <is>
          <t>Share premium account</t>
        </is>
      </c>
      <c r="B21" s="6" t="n">
        <v>60901935</v>
      </c>
      <c r="C21" s="6" t="n">
        <v>49559702</v>
      </c>
      <c r="D21" s="6" t="n">
        <v>30877722</v>
      </c>
    </row>
    <row r="22">
      <c r="A22" s="6" t="inlineStr">
        <is>
          <t>Employee share option reserve</t>
        </is>
      </c>
      <c r="B22" s="6" t="n">
        <v>3701831</v>
      </c>
      <c r="C22" s="6" t="n">
        <v>1653057</v>
      </c>
      <c r="D22" s="6" t="n">
        <v>1039179</v>
      </c>
    </row>
    <row r="23">
      <c r="A23" s="6" t="inlineStr">
        <is>
          <t>Warrant reserve</t>
        </is>
      </c>
      <c r="B23" s="6" t="n">
        <v>101283</v>
      </c>
      <c r="C23" s="6" t="n">
        <v>101283</v>
      </c>
      <c r="D23" s="6" t="n">
        <v>101283</v>
      </c>
    </row>
    <row r="24">
      <c r="A24" s="6" t="inlineStr">
        <is>
          <t>Accumulated losses</t>
        </is>
      </c>
      <c r="B24" s="6" t="n">
        <v>-48197373</v>
      </c>
      <c r="C24" s="6" t="n">
        <v>-36139633</v>
      </c>
      <c r="D24" s="6" t="n">
        <v>-23256954</v>
      </c>
    </row>
    <row r="25">
      <c r="A25" s="5" t="inlineStr">
        <is>
          <t>Total equity</t>
        </is>
      </c>
      <c r="B25" s="5" t="n">
        <v>16507699</v>
      </c>
      <c r="C25" s="5" t="n">
        <v>15174425</v>
      </c>
      <c r="D25" s="5" t="n">
        <v>8761243</v>
      </c>
    </row>
    <row r="26">
      <c r="A26" s="5" t="inlineStr">
        <is>
          <t>Total liabilities and equity</t>
        </is>
      </c>
      <c r="B26" s="5" t="n">
        <v>119551420</v>
      </c>
      <c r="C26" s="5" t="n">
        <v>18725660</v>
      </c>
      <c r="D26" s="5" t="n">
        <v>10231714</v>
      </c>
    </row>
    <row r="28" ht="340" customHeight="1">
      <c r="A28"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PRESENTATION NOTE: Customer deposits first appear as a Balance Sheet line in FY2024 - the Bank held no customer deposits at all as at 30 September 2023, its first full period as an authorised bank (confirmed by that year's own Balance Sheet having no such line) - genuinely nil, not a gap.
DEBT SECURITIES BREAKDOWN (Note 12, 'Investments in financial assets'): FY2025: Annual Report and Financial Statements 2025, p.73-74 - https://cms.griffin.com/griffin-assets/Griffin_Bank_Ltd_Annual_Report_2025_edeb37eca7.pdf - splits the FY2025/FY2024 comparative into 'Debt securities (solely Money Market Funds)' 100,587,287 / 12,709,240 and 'Treasury bills' 5,923,883 / 0, both classified as 'Financial assets recorded as FVTPL', reconciling exactly to the Total investments row (106,511,170 / 12,709,240). The note explains the Money Market Funds invest in government bonds, notes and bills issued or guaranteed by the UK government (or another sovereign government), and that Treasury bills are issued by the UK government via the Debt Management Office - both sub-rows are UK government/sovereign-backed, all FVTPL. FY2024: Annual Report and Financial Statements 2024, p.77-78 - https://cms.griffin.com/griffin-assets/Griffin_Bank_Ltd_Annual_Report_2024_b98c8d4c38.pdf - shows the FY2024/FY2023 comparative as 100% 'Debt securities (solely Money Market Funds)' (12,709,240 / 8,551,308, no Treasury bills held in either year - genuinely nil, not a gap), describing the fund as a 'UK Sovereign Gilt Money Market Fund'. FY2023 (15mo): Annual Report and Financial Statements 2023, p.65-66 - https://cms.griffin.com/griffin-assets/Griffin_Bank_Ltd_2023_Annual_Report_and_Financial_Statements_9c92dd2876.pdf - confirms the same, 100% in a single 'UK Sovereign Gilt Money Market Fund' (8,551,308), also described elsewhere in that report (p.66/4184) as valued at an active quoted market price. No amortised-cost or held-to-maturity/AFS portion is disclosed in any year - the entire debt securities book is FVTPL in every published Annual Report.</t>
        </is>
      </c>
    </row>
  </sheetData>
  <mergeCells count="1">
    <mergeCell ref="A28:D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Profit &amp; Loss</t>
        </is>
      </c>
    </row>
    <row r="2">
      <c r="A2" s="2" t="inlineStr">
        <is>
          <t>Bank-only (no group); FY2023 covers a 15-month period ended 30 September 2023 and is labelled unaudited in the source. All results are from continuing operations. £.</t>
        </is>
      </c>
    </row>
    <row r="3">
      <c r="A3" s="4" t="inlineStr">
        <is>
          <t>Line item</t>
        </is>
      </c>
      <c r="B3" s="4" t="inlineStr">
        <is>
          <t>FY2025 (£)</t>
        </is>
      </c>
      <c r="C3" s="4" t="inlineStr">
        <is>
          <t>FY2024 (£)</t>
        </is>
      </c>
      <c r="D3" s="4" t="inlineStr">
        <is>
          <t>FY2023 (15mo) (£)</t>
        </is>
      </c>
    </row>
    <row r="4">
      <c r="A4" s="5" t="inlineStr">
        <is>
          <t>Revenue</t>
        </is>
      </c>
      <c r="B4" s="6" t="n"/>
      <c r="C4" s="6" t="n"/>
      <c r="D4" s="6" t="n"/>
    </row>
    <row r="5">
      <c r="A5" s="6" t="inlineStr">
        <is>
          <t>Net interest income</t>
        </is>
      </c>
      <c r="B5" s="6" t="n">
        <v>787929</v>
      </c>
      <c r="C5" s="6" t="n">
        <v>661153</v>
      </c>
      <c r="D5" s="6" t="n">
        <v>207121</v>
      </c>
    </row>
    <row r="6">
      <c r="A6" s="6" t="inlineStr">
        <is>
          <t>Net fees and commissions</t>
        </is>
      </c>
      <c r="B6" s="6" t="n">
        <v>1137886</v>
      </c>
      <c r="C6" s="6" t="n">
        <v>83480</v>
      </c>
      <c r="D6" s="6" t="n">
        <v>84335</v>
      </c>
    </row>
    <row r="7">
      <c r="A7" s="5" t="inlineStr">
        <is>
          <t>Total net revenue</t>
        </is>
      </c>
      <c r="B7" s="5" t="n">
        <v>1925815</v>
      </c>
      <c r="C7" s="5" t="n">
        <v>744633</v>
      </c>
      <c r="D7" s="5" t="n">
        <v>291456</v>
      </c>
    </row>
    <row r="8">
      <c r="A8" s="5" t="inlineStr">
        <is>
          <t>Operating costs</t>
        </is>
      </c>
      <c r="B8" s="6" t="n"/>
      <c r="C8" s="6" t="n"/>
      <c r="D8" s="6" t="n"/>
    </row>
    <row r="9">
      <c r="A9" s="6" t="inlineStr">
        <is>
          <t>Administrative expenses</t>
        </is>
      </c>
      <c r="B9" s="6" t="n">
        <v>-13467508</v>
      </c>
      <c r="C9" s="6" t="n">
        <v>-13477876</v>
      </c>
      <c r="D9" s="6" t="n">
        <v>-12906136</v>
      </c>
    </row>
    <row r="10">
      <c r="A10" s="6" t="inlineStr">
        <is>
          <t>Other expenses</t>
        </is>
      </c>
      <c r="B10" s="6" t="n">
        <v>-516456</v>
      </c>
      <c r="C10" s="6" t="n">
        <v>-156686</v>
      </c>
      <c r="D10" s="6" t="n">
        <v>-104904</v>
      </c>
    </row>
    <row r="11">
      <c r="A11" s="5" t="inlineStr">
        <is>
          <t>Total operating costs</t>
        </is>
      </c>
      <c r="B11" s="5" t="n">
        <v>-13983964</v>
      </c>
      <c r="C11" s="5" t="n">
        <v>-13634562</v>
      </c>
      <c r="D11" s="5" t="n">
        <v>-13011040</v>
      </c>
    </row>
    <row r="12">
      <c r="A12" s="5" t="inlineStr">
        <is>
          <t>Loss before tax</t>
        </is>
      </c>
      <c r="B12" s="5" t="n">
        <v>-12058149</v>
      </c>
      <c r="C12" s="5" t="n">
        <v>-12889929</v>
      </c>
      <c r="D12" s="5" t="n">
        <v>-12719584</v>
      </c>
    </row>
    <row r="13">
      <c r="A13" s="6" t="inlineStr">
        <is>
          <t>Tax</t>
        </is>
      </c>
      <c r="B13" s="6" t="n">
        <v>0</v>
      </c>
      <c r="C13" s="6" t="n">
        <v>0</v>
      </c>
      <c r="D13" s="6" t="n">
        <v>0</v>
      </c>
    </row>
    <row r="14">
      <c r="A14" s="5" t="inlineStr">
        <is>
          <t>Loss for the year/period after taxation</t>
        </is>
      </c>
      <c r="B14" s="5" t="n">
        <v>-12058149</v>
      </c>
      <c r="C14" s="5" t="n">
        <v>-12889929</v>
      </c>
      <c r="D14" s="5" t="n">
        <v>-12719584</v>
      </c>
    </row>
    <row r="15">
      <c r="A15" s="5" t="inlineStr">
        <is>
          <t>Other comprehensive income</t>
        </is>
      </c>
      <c r="B15" s="6" t="n"/>
      <c r="C15" s="6" t="n"/>
      <c r="D15" s="6" t="n"/>
    </row>
    <row r="16">
      <c r="A16" s="6" t="inlineStr">
        <is>
          <t>Other gains and losses</t>
        </is>
      </c>
      <c r="B16" s="6" t="n">
        <v>409</v>
      </c>
      <c r="C16" s="6" t="n">
        <v>7250</v>
      </c>
      <c r="D16" s="6" t="n">
        <v>-1108</v>
      </c>
    </row>
    <row r="17">
      <c r="A17" s="5" t="inlineStr">
        <is>
          <t>Total comprehensive income/(loss) for the year/period</t>
        </is>
      </c>
      <c r="B17" s="5" t="n">
        <v>-12057740</v>
      </c>
      <c r="C17" s="5" t="n">
        <v>-12882679</v>
      </c>
      <c r="D17" s="5" t="n">
        <v>-12720692</v>
      </c>
    </row>
    <row r="19" ht="260" customHeight="1">
      <c r="A19"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Tax was £nil in all 3 periods (no tax charge or credit disclosed - confirmed by reading each year's own P&amp;L in full).</t>
        </is>
      </c>
    </row>
  </sheetData>
  <mergeCells count="1">
    <mergeCell ref="A19:D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Griffin Bank Limited — Statement of Changes in Equity</t>
        </is>
      </c>
    </row>
    <row r="2">
      <c r="A2" s="2" t="inlineStr">
        <is>
          <t>Bank-only (no group); FY2023 opening/period figures cover the 15 months ended 30 September 2023 and are labelled unaudited in the source. £. Ties exactly to the Balance Sheet's own Total equity at every year-end - no plug rows needed.</t>
        </is>
      </c>
    </row>
    <row r="3">
      <c r="A3" s="4" t="inlineStr">
        <is>
          <t>Movement</t>
        </is>
      </c>
      <c r="B3" s="4" t="inlineStr">
        <is>
          <t>Share capital</t>
        </is>
      </c>
      <c r="C3" s="4" t="inlineStr">
        <is>
          <t>Share premium account</t>
        </is>
      </c>
      <c r="D3" s="4" t="inlineStr">
        <is>
          <t>Employee share option reserve</t>
        </is>
      </c>
      <c r="E3" s="4" t="inlineStr">
        <is>
          <t>Warrant reserve</t>
        </is>
      </c>
      <c r="F3" s="4" t="inlineStr">
        <is>
          <t>Accumulated losses</t>
        </is>
      </c>
      <c r="G3" s="4" t="inlineStr">
        <is>
          <t>Total equity</t>
        </is>
      </c>
    </row>
    <row r="4">
      <c r="A4" s="5" t="inlineStr">
        <is>
          <t>Balance at 1 July 2022</t>
        </is>
      </c>
      <c r="B4" s="5" t="n">
        <v>10</v>
      </c>
      <c r="C4" s="5" t="n">
        <v>20122137</v>
      </c>
      <c r="D4" s="5" t="n"/>
      <c r="E4" s="5" t="n"/>
      <c r="F4" s="5" t="n">
        <v>-10536262</v>
      </c>
      <c r="G4" s="5" t="n">
        <v>9585885</v>
      </c>
    </row>
    <row r="5">
      <c r="A5" s="6" t="inlineStr">
        <is>
          <t>Loss for the period (FY2023, 15mo)</t>
        </is>
      </c>
      <c r="B5" s="6" t="n"/>
      <c r="C5" s="6" t="n"/>
      <c r="D5" s="6" t="n"/>
      <c r="E5" s="6" t="n"/>
      <c r="F5" s="6" t="n">
        <v>-12719584</v>
      </c>
      <c r="G5" s="6" t="n">
        <v>-12719584</v>
      </c>
    </row>
    <row r="6">
      <c r="A6" s="6" t="inlineStr">
        <is>
          <t>Other comprehensive loss for the period (FY2023)</t>
        </is>
      </c>
      <c r="B6" s="6" t="n"/>
      <c r="C6" s="6" t="n"/>
      <c r="D6" s="6" t="n"/>
      <c r="E6" s="6" t="n"/>
      <c r="F6" s="6" t="n">
        <v>-1108</v>
      </c>
      <c r="G6" s="6" t="n">
        <v>-1108</v>
      </c>
    </row>
    <row r="7">
      <c r="A7" s="6" t="inlineStr">
        <is>
          <t>Net issue of share capital (FY2023)</t>
        </is>
      </c>
      <c r="B7" s="6" t="n">
        <v>3</v>
      </c>
      <c r="C7" s="6" t="n">
        <v>10755585</v>
      </c>
      <c r="D7" s="6" t="n"/>
      <c r="E7" s="6" t="n"/>
      <c r="F7" s="6" t="n"/>
      <c r="G7" s="6" t="n">
        <v>10755588</v>
      </c>
    </row>
    <row r="8">
      <c r="A8" s="6" t="inlineStr">
        <is>
          <t>Issue of employee share options (FY2023)</t>
        </is>
      </c>
      <c r="B8" s="6" t="n"/>
      <c r="C8" s="6" t="n"/>
      <c r="D8" s="6" t="n">
        <v>1039179</v>
      </c>
      <c r="E8" s="6" t="n"/>
      <c r="F8" s="6" t="n"/>
      <c r="G8" s="6" t="n">
        <v>1039179</v>
      </c>
    </row>
    <row r="9">
      <c r="A9" s="6" t="inlineStr">
        <is>
          <t>Net issue/(release) of warrants (FY2023)</t>
        </is>
      </c>
      <c r="B9" s="6" t="n"/>
      <c r="C9" s="6" t="n"/>
      <c r="D9" s="6" t="n"/>
      <c r="E9" s="6" t="n">
        <v>101283</v>
      </c>
      <c r="F9" s="6" t="n"/>
      <c r="G9" s="6" t="n">
        <v>101283</v>
      </c>
    </row>
    <row r="10">
      <c r="A10" s="5" t="inlineStr">
        <is>
          <t>Balance at 30 September 2023</t>
        </is>
      </c>
      <c r="B10" s="5" t="n">
        <v>13</v>
      </c>
      <c r="C10" s="5" t="n">
        <v>30877722</v>
      </c>
      <c r="D10" s="5" t="n">
        <v>1039179</v>
      </c>
      <c r="E10" s="5" t="n">
        <v>101283</v>
      </c>
      <c r="F10" s="5" t="n">
        <v>-23256954</v>
      </c>
      <c r="G10" s="5" t="n">
        <v>8761243</v>
      </c>
    </row>
    <row r="11">
      <c r="A11" s="6" t="inlineStr">
        <is>
          <t>Loss for the year (FY2024)</t>
        </is>
      </c>
      <c r="B11" s="6" t="n"/>
      <c r="C11" s="6" t="n"/>
      <c r="D11" s="6" t="n"/>
      <c r="E11" s="6" t="n"/>
      <c r="F11" s="6" t="n">
        <v>-12889929</v>
      </c>
      <c r="G11" s="6" t="n">
        <v>-12889929</v>
      </c>
    </row>
    <row r="12">
      <c r="A12" s="6" t="inlineStr">
        <is>
          <t>Other comprehensive income for the year (FY2024)</t>
        </is>
      </c>
      <c r="B12" s="6" t="n"/>
      <c r="C12" s="6" t="n"/>
      <c r="D12" s="6" t="n"/>
      <c r="E12" s="6" t="n"/>
      <c r="F12" s="6" t="n">
        <v>7250</v>
      </c>
      <c r="G12" s="6" t="n">
        <v>7250</v>
      </c>
    </row>
    <row r="13">
      <c r="A13" s="6" t="inlineStr">
        <is>
          <t>Net issue of share capital (FY2024)</t>
        </is>
      </c>
      <c r="B13" s="6" t="n">
        <v>3</v>
      </c>
      <c r="C13" s="6" t="n">
        <v>18681980</v>
      </c>
      <c r="D13" s="6" t="n"/>
      <c r="E13" s="6" t="n"/>
      <c r="F13" s="6" t="n"/>
      <c r="G13" s="6" t="n">
        <v>18681983</v>
      </c>
    </row>
    <row r="14">
      <c r="A14" s="6" t="inlineStr">
        <is>
          <t>Issue of employee share options (FY2024)</t>
        </is>
      </c>
      <c r="B14" s="6" t="n"/>
      <c r="C14" s="6" t="n"/>
      <c r="D14" s="6" t="n">
        <v>613878</v>
      </c>
      <c r="E14" s="6" t="n"/>
      <c r="F14" s="6" t="n"/>
      <c r="G14" s="6" t="n">
        <v>613878</v>
      </c>
    </row>
    <row r="15">
      <c r="A15" s="5" t="inlineStr">
        <is>
          <t>Balance at 30 September 2024</t>
        </is>
      </c>
      <c r="B15" s="5" t="n">
        <v>16</v>
      </c>
      <c r="C15" s="5" t="n">
        <v>49559702</v>
      </c>
      <c r="D15" s="5" t="n">
        <v>1653057</v>
      </c>
      <c r="E15" s="5" t="n">
        <v>101283</v>
      </c>
      <c r="F15" s="5" t="n">
        <v>-36139633</v>
      </c>
      <c r="G15" s="5" t="n">
        <v>15174425</v>
      </c>
    </row>
    <row r="16">
      <c r="A16" s="6" t="inlineStr">
        <is>
          <t>Loss for the year (FY2025)</t>
        </is>
      </c>
      <c r="B16" s="6" t="n"/>
      <c r="C16" s="6" t="n"/>
      <c r="D16" s="6" t="n"/>
      <c r="E16" s="6" t="n"/>
      <c r="F16" s="6" t="n">
        <v>-12058149</v>
      </c>
      <c r="G16" s="6" t="n">
        <v>-12058149</v>
      </c>
    </row>
    <row r="17">
      <c r="A17" s="6" t="inlineStr">
        <is>
          <t>Other comprehensive income for the year (FY2025)</t>
        </is>
      </c>
      <c r="B17" s="6" t="n"/>
      <c r="C17" s="6" t="n"/>
      <c r="D17" s="6" t="n"/>
      <c r="E17" s="6" t="n"/>
      <c r="F17" s="6" t="n">
        <v>409</v>
      </c>
      <c r="G17" s="6" t="n">
        <v>409</v>
      </c>
    </row>
    <row r="18">
      <c r="A18" s="6" t="inlineStr">
        <is>
          <t>Net issue of share capital (FY2025)</t>
        </is>
      </c>
      <c r="B18" s="6" t="n">
        <v>7</v>
      </c>
      <c r="C18" s="6" t="n">
        <v>11342233</v>
      </c>
      <c r="D18" s="6" t="n"/>
      <c r="E18" s="6" t="n"/>
      <c r="F18" s="6" t="n"/>
      <c r="G18" s="6" t="n">
        <v>11342240</v>
      </c>
    </row>
    <row r="19">
      <c r="A19" s="6" t="inlineStr">
        <is>
          <t>Issue of employee share options (FY2025)</t>
        </is>
      </c>
      <c r="B19" s="6" t="n"/>
      <c r="C19" s="6" t="n"/>
      <c r="D19" s="6" t="n">
        <v>2048774</v>
      </c>
      <c r="E19" s="6" t="n"/>
      <c r="F19" s="6" t="n"/>
      <c r="G19" s="6" t="n">
        <v>2048774</v>
      </c>
    </row>
    <row r="20">
      <c r="A20" s="5" t="inlineStr">
        <is>
          <t>Balance at 30 September 2025</t>
        </is>
      </c>
      <c r="B20" s="5" t="n">
        <v>23</v>
      </c>
      <c r="C20" s="5" t="n">
        <v>60901935</v>
      </c>
      <c r="D20" s="5" t="n">
        <v>3701831</v>
      </c>
      <c r="E20" s="5" t="n">
        <v>101283</v>
      </c>
      <c r="F20" s="5" t="n">
        <v>-48197373</v>
      </c>
      <c r="G20" s="5" t="n">
        <v>16507699</v>
      </c>
    </row>
    <row r="22" ht="260" customHeight="1">
      <c r="A22" s="8" t="inlineStr">
        <is>
          <t>Sources - all figures are Griffin Bank Limited's own primary financial statements:
FY2025: Annual Report and Financial Statements 2025, p.51 (Statement of Financial Position), p.50 (Statement of comprehensive income), p.52 (Statement of changes in equity) - https://cms.griffin.com/griffin-assets/Griffin_Bank_Ltd_Annual_Report_2025_edeb37eca7.pdf
FY2024: Annual Report and Financial Statements 2024, p.59 (Statement of financial position), p.58 (Statement of comprehensive income), p.60-61 (Statement of changes in equity) - https://cms.griffin.com/griffin-assets/Griffin_Bank_Ltd_Annual_Report_2024_b98c8d4c38.pdf
FY2023 (15mo, unaudited): Annual Report and Financial Statements 2023, p.45 (Statement of financial position), p.44 (Statement of comprehensive income), p.46 (Statement of changes in equity) - https://cms.griffin.com/griffin-assets/Griffin_Bank_Ltd_2023_Annual_Report_and_Financial_Statements_9c92dd2876.pdf
All 3 documents are text-native (no scanned/image-only pages) - transcribed directly from extracted text, cross-checked against each later report's own comparative column where available (all agree exactly, no restatements found).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22:G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s>
  <sheetData>
    <row r="1">
      <c r="A1" s="1" t="inlineStr">
        <is>
          <t>Griffin Bank Limited — Statement of Cash Flows</t>
        </is>
      </c>
    </row>
    <row r="2">
      <c r="A2" s="2" t="inlineStr">
        <is>
          <t>Bank-only (no group); FY2023 covers a 15-month period ended 30 September 2023 and is labelled unaudited in the source; see the source note below</t>
        </is>
      </c>
    </row>
    <row r="3">
      <c r="A3" s="4" t="inlineStr">
        <is>
          <t>Line item</t>
        </is>
      </c>
      <c r="B3" s="4" t="inlineStr">
        <is>
          <t>FY2025 (£)</t>
        </is>
      </c>
      <c r="C3" s="4" t="inlineStr">
        <is>
          <t>FY2024 (£)</t>
        </is>
      </c>
      <c r="D3" s="4" t="inlineStr">
        <is>
          <t>FY2023 (15mo) (£)</t>
        </is>
      </c>
    </row>
    <row r="4">
      <c r="A4" s="5" t="inlineStr">
        <is>
          <t>Operating activities</t>
        </is>
      </c>
      <c r="B4" s="6" t="n"/>
      <c r="C4" s="6" t="n"/>
      <c r="D4" s="6" t="n"/>
    </row>
    <row r="5">
      <c r="A5" s="6" t="inlineStr">
        <is>
          <t>Loss for the year/period after taxation</t>
        </is>
      </c>
      <c r="B5" s="6" t="n">
        <v>-12058149</v>
      </c>
      <c r="C5" s="6" t="n">
        <v>-12889929</v>
      </c>
      <c r="D5" s="6" t="n">
        <v>-12719584</v>
      </c>
    </row>
    <row r="6">
      <c r="A6" s="6" t="inlineStr">
        <is>
          <t>Finance income</t>
        </is>
      </c>
      <c r="B6" s="6" t="n">
        <v>-787929</v>
      </c>
      <c r="C6" s="6" t="n">
        <v>-661153</v>
      </c>
      <c r="D6" s="6" t="n">
        <v>-207121</v>
      </c>
    </row>
    <row r="7">
      <c r="A7" s="6" t="inlineStr">
        <is>
          <t>Fair value on warrants expense</t>
        </is>
      </c>
      <c r="B7" s="6" t="n">
        <v>0</v>
      </c>
      <c r="C7" s="6" t="n">
        <v>0</v>
      </c>
      <c r="D7" s="6" t="n">
        <v>101283</v>
      </c>
    </row>
    <row r="8">
      <c r="A8" s="6" t="inlineStr">
        <is>
          <t>Depreciation of property, plant and equipment</t>
        </is>
      </c>
      <c r="B8" s="6" t="n">
        <v>89059</v>
      </c>
      <c r="C8" s="6" t="n">
        <v>87363</v>
      </c>
      <c r="D8" s="6" t="n">
        <v>82107</v>
      </c>
    </row>
    <row r="9">
      <c r="A9" s="6" t="inlineStr">
        <is>
          <t>Loss on disposal of property, plant and equipment</t>
        </is>
      </c>
      <c r="B9" s="6" t="n"/>
      <c r="C9" s="6" t="n"/>
      <c r="D9" s="6" t="n">
        <v>0</v>
      </c>
    </row>
    <row r="10">
      <c r="A10" s="6" t="inlineStr">
        <is>
          <t>Amortisation of intangible assets</t>
        </is>
      </c>
      <c r="B10" s="6" t="n">
        <v>427397</v>
      </c>
      <c r="C10" s="6" t="n">
        <v>69323</v>
      </c>
      <c r="D10" s="6" t="n">
        <v>22797</v>
      </c>
    </row>
    <row r="11">
      <c r="A11" s="6" t="inlineStr">
        <is>
          <t>Share-based payment expense</t>
        </is>
      </c>
      <c r="B11" s="6" t="n">
        <v>2048775</v>
      </c>
      <c r="C11" s="6" t="n">
        <v>613878</v>
      </c>
      <c r="D11" s="6" t="n">
        <v>1039179</v>
      </c>
    </row>
    <row r="12">
      <c r="A12" s="5" t="inlineStr">
        <is>
          <t>Operating cash flows before movements in working capital</t>
        </is>
      </c>
      <c r="B12" s="5" t="n">
        <v>-10280847</v>
      </c>
      <c r="C12" s="5" t="n">
        <v>-12780518</v>
      </c>
      <c r="D12" s="5" t="n">
        <v>-11681339</v>
      </c>
    </row>
    <row r="13">
      <c r="A13" s="6" t="inlineStr">
        <is>
          <t>Change/(increase) in trade and other receivables</t>
        </is>
      </c>
      <c r="B13" s="6" t="n">
        <v>50140</v>
      </c>
      <c r="C13" s="6" t="n">
        <v>-344399</v>
      </c>
      <c r="D13" s="6" t="n">
        <v>-337582</v>
      </c>
    </row>
    <row r="14">
      <c r="A14" s="6" t="inlineStr">
        <is>
          <t>Change/(increase) in customer deposits</t>
        </is>
      </c>
      <c r="B14" s="6" t="n">
        <v>99713285</v>
      </c>
      <c r="C14" s="6" t="n">
        <v>2070144</v>
      </c>
      <c r="D14" s="6" t="n"/>
    </row>
    <row r="15">
      <c r="A15" s="6" t="inlineStr">
        <is>
          <t>Change/(increase) in trade and other payables</t>
        </is>
      </c>
      <c r="B15" s="6" t="n">
        <v>-250442</v>
      </c>
      <c r="C15" s="6" t="n">
        <v>595809</v>
      </c>
      <c r="D15" s="6" t="n">
        <v>-160031</v>
      </c>
    </row>
    <row r="16">
      <c r="A16" s="6" t="inlineStr">
        <is>
          <t>Change in contract liabilities</t>
        </is>
      </c>
      <c r="B16" s="6" t="n">
        <v>29643</v>
      </c>
      <c r="C16" s="6" t="n">
        <v>-6016</v>
      </c>
      <c r="D16" s="6" t="n">
        <v>115000</v>
      </c>
    </row>
    <row r="17">
      <c r="A17" s="5" t="inlineStr">
        <is>
          <t>Net cash from/(used in) operating activities</t>
        </is>
      </c>
      <c r="B17" s="5" t="n">
        <v>89261779</v>
      </c>
      <c r="C17" s="5" t="n">
        <v>-10464980</v>
      </c>
      <c r="D17" s="5" t="n">
        <v>-12063952</v>
      </c>
    </row>
    <row r="18">
      <c r="A18" s="5" t="inlineStr">
        <is>
          <t>Investing activities</t>
        </is>
      </c>
      <c r="B18" s="6" t="n"/>
      <c r="C18" s="6" t="n"/>
      <c r="D18" s="6" t="n"/>
    </row>
    <row r="19">
      <c r="A19" s="6" t="inlineStr">
        <is>
          <t>Interest received</t>
        </is>
      </c>
      <c r="B19" s="6" t="n">
        <v>2385325</v>
      </c>
      <c r="C19" s="6" t="n">
        <v>670900</v>
      </c>
      <c r="D19" s="6" t="n">
        <v>370741</v>
      </c>
    </row>
    <row r="20">
      <c r="A20" s="6" t="inlineStr">
        <is>
          <t>Purchases of debt securities</t>
        </is>
      </c>
      <c r="B20" s="6" t="n">
        <v>-297626768</v>
      </c>
      <c r="C20" s="6" t="n">
        <v>-37188716</v>
      </c>
      <c r="D20" s="6" t="n">
        <v>-14891308</v>
      </c>
    </row>
    <row r="21">
      <c r="A21" s="6" t="inlineStr">
        <is>
          <t>Proceeds on disposal of debt securities</t>
        </is>
      </c>
      <c r="B21" s="6" t="n">
        <v>209748720</v>
      </c>
      <c r="C21" s="6" t="n">
        <v>33030785</v>
      </c>
      <c r="D21" s="6" t="n">
        <v>6340000</v>
      </c>
    </row>
    <row r="22">
      <c r="A22" s="6" t="inlineStr">
        <is>
          <t>Purchases of Treasury bills</t>
        </is>
      </c>
      <c r="B22" s="6" t="n">
        <v>-20713633</v>
      </c>
      <c r="C22" s="6" t="n"/>
      <c r="D22" s="6" t="n"/>
    </row>
    <row r="23">
      <c r="A23" s="6" t="inlineStr">
        <is>
          <t>Proceeds on disposal and maturity of Treasury bills</t>
        </is>
      </c>
      <c r="B23" s="6" t="n">
        <v>14789751</v>
      </c>
      <c r="C23" s="6" t="n"/>
      <c r="D23" s="6" t="n"/>
    </row>
    <row r="24">
      <c r="A24" s="6" t="inlineStr">
        <is>
          <t>Purchases of supranational bonds</t>
        </is>
      </c>
      <c r="B24" s="6" t="n">
        <v>-3122866</v>
      </c>
      <c r="C24" s="6" t="n"/>
      <c r="D24" s="6" t="n"/>
    </row>
    <row r="25">
      <c r="A25" s="6" t="inlineStr">
        <is>
          <t>Proceeds on disposal and maturity of supranational bonds</t>
        </is>
      </c>
      <c r="B25" s="6" t="n">
        <v>3122866</v>
      </c>
      <c r="C25" s="6" t="n"/>
      <c r="D25" s="6" t="n"/>
    </row>
    <row r="26">
      <c r="A26" s="6" t="inlineStr">
        <is>
          <t>Proceeds on disposal of property, plant and equipment</t>
        </is>
      </c>
      <c r="B26" s="6" t="n">
        <v>5011</v>
      </c>
      <c r="C26" s="6" t="n">
        <v>1107</v>
      </c>
      <c r="D26" s="6" t="n"/>
    </row>
    <row r="27">
      <c r="A27" s="6" t="inlineStr">
        <is>
          <t>Purchases of property, plant and equipment</t>
        </is>
      </c>
      <c r="B27" s="6" t="n">
        <v>-84119</v>
      </c>
      <c r="C27" s="6" t="n">
        <v>-110110</v>
      </c>
      <c r="D27" s="6" t="n">
        <v>-144868</v>
      </c>
    </row>
    <row r="28">
      <c r="A28" s="6" t="inlineStr">
        <is>
          <t>Capitalisation of intangible assets / purchases of patents and trademarks</t>
        </is>
      </c>
      <c r="B28" s="6" t="n">
        <v>-2548860</v>
      </c>
      <c r="C28" s="6" t="n">
        <v>-1944908</v>
      </c>
      <c r="D28" s="6" t="n">
        <v>-202536</v>
      </c>
    </row>
    <row r="29">
      <c r="A29" s="5" t="inlineStr">
        <is>
          <t>Net cash from/(used in) investing activities</t>
        </is>
      </c>
      <c r="B29" s="5" t="n">
        <v>-94044573</v>
      </c>
      <c r="C29" s="5" t="n">
        <v>-5540942</v>
      </c>
      <c r="D29" s="5" t="n">
        <v>-8527971</v>
      </c>
    </row>
    <row r="30">
      <c r="A30" s="5" t="inlineStr">
        <is>
          <t>Financing activities</t>
        </is>
      </c>
      <c r="B30" s="6" t="n"/>
      <c r="C30" s="6" t="n"/>
      <c r="D30" s="6" t="n"/>
    </row>
    <row r="31">
      <c r="A31" s="6" t="inlineStr">
        <is>
          <t>Interest paid</t>
        </is>
      </c>
      <c r="B31" s="6" t="n">
        <v>-1597396</v>
      </c>
      <c r="C31" s="6" t="n">
        <v>-9747</v>
      </c>
      <c r="D31" s="6" t="n">
        <v>-163620</v>
      </c>
    </row>
    <row r="32">
      <c r="A32" s="6" t="inlineStr">
        <is>
          <t>Repayments of loans and borrowings</t>
        </is>
      </c>
      <c r="B32" s="6" t="n"/>
      <c r="C32" s="6" t="n">
        <v>-579173</v>
      </c>
      <c r="D32" s="6" t="n">
        <v>-777435</v>
      </c>
    </row>
    <row r="33">
      <c r="A33" s="6" t="inlineStr">
        <is>
          <t>Transaction costs related to issuing shares</t>
        </is>
      </c>
      <c r="B33" s="6" t="n">
        <v>-213963</v>
      </c>
      <c r="C33" s="6" t="n">
        <v>-454668</v>
      </c>
      <c r="D33" s="6" t="n">
        <v>-411555</v>
      </c>
    </row>
    <row r="34">
      <c r="A34" s="6" t="inlineStr">
        <is>
          <t>Proceeds on issue of shares</t>
        </is>
      </c>
      <c r="B34" s="6" t="n">
        <v>11556203</v>
      </c>
      <c r="C34" s="6" t="n">
        <v>19136651</v>
      </c>
      <c r="D34" s="6" t="n">
        <v>11167143</v>
      </c>
    </row>
    <row r="35">
      <c r="A35" s="5" t="inlineStr">
        <is>
          <t>Net cash from/(used in) financing activities</t>
        </is>
      </c>
      <c r="B35" s="5" t="n">
        <v>9744844</v>
      </c>
      <c r="C35" s="5" t="n">
        <v>18093063</v>
      </c>
      <c r="D35" s="5" t="n">
        <v>9814533</v>
      </c>
    </row>
    <row r="36">
      <c r="A36" s="5" t="inlineStr">
        <is>
          <t>Net increase/(decrease) in cash and cash equivalents</t>
        </is>
      </c>
      <c r="B36" s="5" t="n">
        <v>4962049</v>
      </c>
      <c r="C36" s="5" t="n">
        <v>2087140</v>
      </c>
      <c r="D36" s="5" t="n">
        <v>-10777390</v>
      </c>
    </row>
    <row r="37">
      <c r="A37" s="6" t="inlineStr">
        <is>
          <t>Cash and cash equivalents at the beginning of the year/period</t>
        </is>
      </c>
      <c r="B37" s="6" t="n">
        <v>2364540</v>
      </c>
      <c r="C37" s="6" t="n">
        <v>270150</v>
      </c>
      <c r="D37" s="6" t="n">
        <v>11048648</v>
      </c>
    </row>
    <row r="38">
      <c r="A38" s="6" t="inlineStr">
        <is>
          <t>Effect of foreign exchange rate changes</t>
        </is>
      </c>
      <c r="B38" s="6" t="n">
        <v>409</v>
      </c>
      <c r="C38" s="6" t="n">
        <v>7250</v>
      </c>
      <c r="D38" s="6" t="n">
        <v>-1108</v>
      </c>
    </row>
    <row r="39">
      <c r="A39" s="5" t="inlineStr">
        <is>
          <t>Cash and cash equivalents at the end of the year/period</t>
        </is>
      </c>
      <c r="B39" s="5" t="n">
        <v>7326998</v>
      </c>
      <c r="C39" s="5" t="n">
        <v>2364540</v>
      </c>
      <c r="D39" s="5" t="n">
        <v>270150</v>
      </c>
    </row>
    <row r="41" ht="170" customHeight="1">
      <c r="A41" s="8" t="inlineStr">
        <is>
          <t>Sources - all figures are Griffin Bank Limited's own Statement of Cash Flows:
FY2025: Annual Report and Financial Statements 2025, p.53-54 (Statement of cash flows) - https://cms.griffin.com/griffin-assets/Griffin_Bank_Ltd_Annual_Report_2025_edeb37eca7.pdf
FY2024: Annual Report and Financial Statements 2024, p.61 (Statement of cash flows; cross-checked against its own restated comparative in the 2025 Annual Report, p.53-54 - figures match exactly, no restatement) - https://cms.griffin.com/griffin-assets/Griffin_Bank_Ltd_Annual_Report_2024_b98c8d4c38.pdf
FY2023 (15mo): Annual Report and Financial Statements 2023, p.47 (Statement of cash flows, unaudited, 15 months ended 30 September 2023) - https://cms.griffin.com/griffin-assets/Griffin_Bank_Ltd_2023_Annual_Report_and_Financial_Statements_9c92dd2876.pdf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41:D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s>
  <sheetData>
    <row r="1">
      <c r="A1" s="1" t="inlineStr">
        <is>
          <t>Griffin Bank Limited — Asset Quality / Credit Risk Disclosures</t>
        </is>
      </c>
    </row>
    <row r="2">
      <c r="A2" s="2" t="inlineStr">
        <is>
          <t>No customer lending exists at all in FY2023-FY2025 - see source note.</t>
        </is>
      </c>
    </row>
    <row r="3">
      <c r="A3" s="4" t="inlineStr">
        <is>
          <t>Line item</t>
        </is>
      </c>
      <c r="B3" s="4" t="inlineStr">
        <is>
          <t>FY2025 (£'000)</t>
        </is>
      </c>
      <c r="C3" s="4" t="inlineStr">
        <is>
          <t>FY2024 (£'000)</t>
        </is>
      </c>
      <c r="D3" s="4" t="inlineStr">
        <is>
          <t>FY2023 (15mo) (£'000)</t>
        </is>
      </c>
    </row>
    <row r="4">
      <c r="A4" s="6" t="inlineStr">
        <is>
          <t>Not publicly disclosed - the Bank has no customer lending in any of the 3 published years (confirmed explicitly in its own Note 28 'Financial risk management, Credit risk' and by the absence of any loan line on the Balance Sheet) - see source note.</t>
        </is>
      </c>
      <c r="B4" s="6" t="n"/>
      <c r="C4" s="6" t="n"/>
      <c r="D4" s="6" t="n"/>
    </row>
    <row r="6" ht="200" customHeight="1">
      <c r="A6" s="8" t="inlineStr">
        <is>
          <t>Sources - Griffin Bank Limited's own Note 28 'Financial risk management' (Annual Report and Financial Statements 2025, p.93, Credit risk section) - https://cms.griffin.com/griffin-assets/Griffin_Bank_Ltd_Annual_Report_2025_edeb37eca7.pdf - states: "As the Bank has no customer lending at this stage, the main credit risk to which the Bank is exposed is counterparty risk associated with its placements at banks and its investments." Confirmed against all 3 years' own Balance Sheets (FY2023-FY2025), none of which show a Loans and advances to customers line at all - the Bank's only interest-bearing assets are cash/bank placements and debt securities/Treasury bills/supranational bonds (see Balance Sheet sheet).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Capital</t>
        </is>
      </c>
    </row>
    <row r="2">
      <c r="A2" s="2" t="inlineStr">
        <is>
          <t>£'000</t>
        </is>
      </c>
    </row>
    <row r="3">
      <c r="A3" s="4" t="inlineStr">
        <is>
          <t>Metric</t>
        </is>
      </c>
      <c r="B3" s="4" t="inlineStr">
        <is>
          <t>FY2025</t>
        </is>
      </c>
      <c r="C3" s="4" t="inlineStr">
        <is>
          <t>FY2024</t>
        </is>
      </c>
      <c r="D3" s="4" t="inlineStr">
        <is>
          <t>FY2023 (15mo)</t>
        </is>
      </c>
    </row>
    <row r="4">
      <c r="A4" s="6" t="inlineStr">
        <is>
          <t>Common Equity Tier 1 (CET1) capital</t>
        </is>
      </c>
      <c r="B4" s="6" t="n"/>
      <c r="C4" s="6" t="n"/>
      <c r="D4" s="6" t="n">
        <v>8564</v>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CET1 Ratio</t>
        </is>
      </c>
    </row>
    <row r="2">
      <c r="A2" s="2" t="inlineStr">
        <is>
          <t>%</t>
        </is>
      </c>
    </row>
    <row r="3">
      <c r="A3" s="4" t="inlineStr">
        <is>
          <t>Metric</t>
        </is>
      </c>
      <c r="B3" s="4" t="inlineStr">
        <is>
          <t>FY2025</t>
        </is>
      </c>
      <c r="C3" s="4" t="inlineStr">
        <is>
          <t>FY2024</t>
        </is>
      </c>
      <c r="D3" s="4" t="inlineStr">
        <is>
          <t>FY2023 (15mo)</t>
        </is>
      </c>
    </row>
    <row r="4">
      <c r="A4" s="6" t="inlineStr">
        <is>
          <t>CET1 ratio</t>
        </is>
      </c>
      <c r="B4" s="6" t="n"/>
      <c r="C4" s="6" t="n"/>
      <c r="D4" s="6" t="inlineStr">
        <is>
          <t>456%</t>
        </is>
      </c>
    </row>
    <row r="5" ht="60" customHeight="1">
      <c r="A5" s="7" t="inlineStr">
        <is>
          <t>Note: An extreme ratio reflecting the Bank's genuine early-mobilisation position (capital raised ahead of loan-book/RWA growth, per the Bank's own FY2023 Pillar 3 report), not a transcription error - the KM1 table's own RWA figure (£1,879k) against £8,564k of CET1 capital is internally consistent.</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Capital</t>
        </is>
      </c>
    </row>
    <row r="2">
      <c r="A2" s="2" t="inlineStr">
        <is>
          <t>£'000</t>
        </is>
      </c>
    </row>
    <row r="3">
      <c r="A3" s="4" t="inlineStr">
        <is>
          <t>Metric</t>
        </is>
      </c>
      <c r="B3" s="4" t="inlineStr">
        <is>
          <t>FY2025</t>
        </is>
      </c>
      <c r="C3" s="4" t="inlineStr">
        <is>
          <t>FY2024</t>
        </is>
      </c>
      <c r="D3" s="4" t="inlineStr">
        <is>
          <t>FY2023 (15mo)</t>
        </is>
      </c>
    </row>
    <row r="4">
      <c r="A4" s="6" t="inlineStr">
        <is>
          <t>Tier 1 capital</t>
        </is>
      </c>
      <c r="B4" s="6" t="n"/>
      <c r="C4" s="6" t="n"/>
      <c r="D4" s="6" t="n">
        <v>8564</v>
      </c>
    </row>
    <row r="5" ht="60" customHeight="1">
      <c r="A5" s="7" t="inlineStr">
        <is>
          <t>Note: No Additional Tier 1 instruments - Tier 1 capital equals CET1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Tier 1 Ratio</t>
        </is>
      </c>
    </row>
    <row r="2">
      <c r="A2" s="2" t="inlineStr">
        <is>
          <t>%</t>
        </is>
      </c>
    </row>
    <row r="3">
      <c r="A3" s="4" t="inlineStr">
        <is>
          <t>Metric</t>
        </is>
      </c>
      <c r="B3" s="4" t="inlineStr">
        <is>
          <t>FY2025</t>
        </is>
      </c>
      <c r="C3" s="4" t="inlineStr">
        <is>
          <t>FY2024</t>
        </is>
      </c>
      <c r="D3" s="4" t="inlineStr">
        <is>
          <t>FY2023 (15mo)</t>
        </is>
      </c>
    </row>
    <row r="4">
      <c r="A4" s="6" t="inlineStr">
        <is>
          <t>Tier 1 ratio</t>
        </is>
      </c>
      <c r="B4" s="6" t="n"/>
      <c r="C4" s="6" t="n"/>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t>
        </is>
      </c>
    </row>
    <row r="2">
      <c r="A2" s="2" t="inlineStr">
        <is>
          <t>£'000</t>
        </is>
      </c>
    </row>
    <row r="3">
      <c r="A3" s="4" t="inlineStr">
        <is>
          <t>Metric</t>
        </is>
      </c>
      <c r="B3" s="4" t="inlineStr">
        <is>
          <t>FY2025</t>
        </is>
      </c>
      <c r="C3" s="4" t="inlineStr">
        <is>
          <t>FY2024</t>
        </is>
      </c>
      <c r="D3" s="4" t="inlineStr">
        <is>
          <t>FY2023 (15mo)</t>
        </is>
      </c>
    </row>
    <row r="4">
      <c r="A4" s="6" t="inlineStr">
        <is>
          <t>Total capital</t>
        </is>
      </c>
      <c r="B4" s="6" t="n"/>
      <c r="C4" s="6" t="n"/>
      <c r="D4" s="6" t="n">
        <v>8564</v>
      </c>
    </row>
    <row r="5" ht="60" customHeight="1">
      <c r="A5" s="7" t="inlineStr">
        <is>
          <t>Note: No Tier 2 instruments - Total capital equals CET1/Tier 1 capital in the source.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Capital Ratio</t>
        </is>
      </c>
    </row>
    <row r="2">
      <c r="A2" s="2" t="inlineStr">
        <is>
          <t>%</t>
        </is>
      </c>
    </row>
    <row r="3">
      <c r="A3" s="4" t="inlineStr">
        <is>
          <t>Metric</t>
        </is>
      </c>
      <c r="B3" s="4" t="inlineStr">
        <is>
          <t>FY2025</t>
        </is>
      </c>
      <c r="C3" s="4" t="inlineStr">
        <is>
          <t>FY2024</t>
        </is>
      </c>
      <c r="D3" s="4" t="inlineStr">
        <is>
          <t>FY2023 (15mo)</t>
        </is>
      </c>
    </row>
    <row r="4">
      <c r="A4" s="6" t="inlineStr">
        <is>
          <t>Total capital ratio</t>
        </is>
      </c>
      <c r="B4" s="6" t="n"/>
      <c r="C4" s="6" t="n"/>
      <c r="D4" s="6" t="inlineStr">
        <is>
          <t>456%</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Total RWAs</t>
        </is>
      </c>
    </row>
    <row r="2">
      <c r="A2" s="2" t="inlineStr">
        <is>
          <t>£'000</t>
        </is>
      </c>
    </row>
    <row r="3">
      <c r="A3" s="4" t="inlineStr">
        <is>
          <t>Metric</t>
        </is>
      </c>
      <c r="B3" s="4" t="inlineStr">
        <is>
          <t>FY2025</t>
        </is>
      </c>
      <c r="C3" s="4" t="inlineStr">
        <is>
          <t>FY2024</t>
        </is>
      </c>
      <c r="D3" s="4" t="inlineStr">
        <is>
          <t>FY2023 (15mo)</t>
        </is>
      </c>
    </row>
    <row r="4">
      <c r="A4" s="6" t="inlineStr">
        <is>
          <t>Total risk-weighted exposure amount</t>
        </is>
      </c>
      <c r="B4" s="6" t="n"/>
      <c r="C4" s="6" t="n"/>
      <c r="D4" s="6" t="n">
        <v>1879</v>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Griffin Bank Limited — RWA Breakdown</t>
        </is>
      </c>
    </row>
    <row r="2">
      <c r="A2" s="2" t="inlineStr">
        <is>
          <t>Only FY2023 has a published Pillar 3 report - see source note.</t>
        </is>
      </c>
    </row>
    <row r="3">
      <c r="A3" s="4" t="inlineStr">
        <is>
          <t>Line item</t>
        </is>
      </c>
      <c r="B3" s="4" t="inlineStr">
        <is>
          <t>FY2025 (£'000)</t>
        </is>
      </c>
      <c r="C3" s="4" t="inlineStr">
        <is>
          <t>FY2024 (£'000)</t>
        </is>
      </c>
      <c r="D3" s="4" t="inlineStr">
        <is>
          <t>FY2023 (15mo) (£'000)</t>
        </is>
      </c>
    </row>
    <row r="4">
      <c r="A4" s="6" t="inlineStr">
        <is>
          <t>Credit risk (excluding counterparty credit risk)</t>
        </is>
      </c>
      <c r="B4" s="6" t="n"/>
      <c r="C4" s="6" t="n"/>
      <c r="D4" s="6" t="n">
        <v>706</v>
      </c>
    </row>
    <row r="5">
      <c r="A5" s="6" t="inlineStr">
        <is>
          <t>Operational risk</t>
        </is>
      </c>
      <c r="B5" s="6" t="n"/>
      <c r="C5" s="6" t="n"/>
      <c r="D5" s="6" t="n">
        <v>1174</v>
      </c>
    </row>
    <row r="6">
      <c r="A6" s="5" t="inlineStr">
        <is>
          <t>Total risk-weighted exposure amount</t>
        </is>
      </c>
      <c r="B6" s="5" t="n"/>
      <c r="C6" s="5" t="n"/>
      <c r="D6" s="5" t="n">
        <v>1879</v>
      </c>
    </row>
    <row r="8" ht="200" customHeight="1">
      <c r="A8"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
GENUINE £1k ROUNDING GAP, not force-reconciled: the OV1 table's own category figures (Credit risk £706k + Operational risk £1,174k = £1,880k) sum to £1k more than the same document's own KM1 table Total risk-weighted exposure amount (£1,879k) - both reproduced as disclosed; the KM1 total is used on the Total RWAs sheet per project convention.</t>
        </is>
      </c>
    </row>
  </sheetData>
  <mergeCells count="1">
    <mergeCell ref="A8:D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Leverage Ratio</t>
        </is>
      </c>
    </row>
    <row r="2">
      <c r="A2" s="2" t="inlineStr">
        <is>
          <t>%</t>
        </is>
      </c>
    </row>
    <row r="3">
      <c r="A3" s="4" t="inlineStr">
        <is>
          <t>Metric</t>
        </is>
      </c>
      <c r="B3" s="4" t="inlineStr">
        <is>
          <t>FY2025</t>
        </is>
      </c>
      <c r="C3" s="4" t="inlineStr">
        <is>
          <t>FY2024</t>
        </is>
      </c>
      <c r="D3" s="4" t="inlineStr">
        <is>
          <t>FY2023 (15mo)</t>
        </is>
      </c>
    </row>
    <row r="4">
      <c r="A4" s="6" t="inlineStr">
        <is>
          <t>Leverage ratio excluding claims on central banks</t>
        </is>
      </c>
      <c r="B4" s="6" t="n"/>
      <c r="C4" s="6" t="n"/>
      <c r="D4" s="6" t="inlineStr">
        <is>
          <t>91%</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LCR</t>
        </is>
      </c>
    </row>
    <row r="2">
      <c r="A2" s="2" t="inlineStr">
        <is>
          <t>%</t>
        </is>
      </c>
    </row>
    <row r="3">
      <c r="A3" s="4" t="inlineStr">
        <is>
          <t>Metric</t>
        </is>
      </c>
      <c r="B3" s="4" t="inlineStr">
        <is>
          <t>FY2025</t>
        </is>
      </c>
      <c r="C3" s="4" t="inlineStr">
        <is>
          <t>FY2024</t>
        </is>
      </c>
      <c r="D3" s="4" t="inlineStr">
        <is>
          <t>FY2023 (15mo)</t>
        </is>
      </c>
    </row>
    <row r="4">
      <c r="A4" s="6" t="inlineStr">
        <is>
          <t>Liquidity coverage ratio (average of 8 months reported LCR post-authorisation)</t>
        </is>
      </c>
      <c r="B4" s="6" t="n"/>
      <c r="C4" s="6" t="n"/>
      <c r="D4" s="6" t="inlineStr">
        <is>
          <t>2,675%</t>
        </is>
      </c>
    </row>
    <row r="5" ht="60" customHeight="1">
      <c r="A5" s="7" t="inlineStr">
        <is>
          <t>Note: An extreme ratio for the same genuine early-mobilisation reason as the capital ratios above - the Bank held far more high-quality liquid assets (£10,387k weighted) than its tiny net cash outflow (£388k) required this early in its life.</t>
        </is>
      </c>
    </row>
    <row r="7" ht="130" customHeight="1">
      <c r="A7"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Griffin Bank Limited — NSFR</t>
        </is>
      </c>
    </row>
    <row r="2">
      <c r="A2" s="2" t="inlineStr">
        <is>
          <t>%</t>
        </is>
      </c>
    </row>
    <row r="3">
      <c r="A3" s="4" t="inlineStr">
        <is>
          <t>Metric</t>
        </is>
      </c>
      <c r="B3" s="4" t="inlineStr">
        <is>
          <t>FY2025</t>
        </is>
      </c>
      <c r="C3" s="4" t="inlineStr">
        <is>
          <t>FY2024</t>
        </is>
      </c>
      <c r="D3" s="4" t="inlineStr">
        <is>
          <t>FY2023 (15mo)</t>
        </is>
      </c>
    </row>
    <row r="4">
      <c r="A4" s="6" t="inlineStr">
        <is>
          <t>Net stable funding ratio (average of 8 months reported NSFR post-authorisation)</t>
        </is>
      </c>
      <c r="B4" s="6" t="n"/>
      <c r="C4" s="6" t="n"/>
      <c r="D4" s="6" t="inlineStr">
        <is>
          <t>1,034%</t>
        </is>
      </c>
    </row>
    <row r="6" ht="13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Griffin Bank Limited — MREL Ratio</t>
        </is>
      </c>
    </row>
    <row r="2">
      <c r="A2" s="2" t="inlineStr"/>
    </row>
    <row r="3">
      <c r="A3" s="4" t="inlineStr">
        <is>
          <t>Metric</t>
        </is>
      </c>
      <c r="B3" s="4" t="inlineStr">
        <is>
          <t>FY2025</t>
        </is>
      </c>
      <c r="C3" s="4" t="inlineStr">
        <is>
          <t>FY2024</t>
        </is>
      </c>
      <c r="D3" s="4" t="inlineStr">
        <is>
          <t>FY2023 (15mo)</t>
        </is>
      </c>
    </row>
    <row r="4">
      <c r="A4" s="6" t="inlineStr">
        <is>
          <t>MREL Ratio</t>
        </is>
      </c>
      <c r="B4" s="6" t="inlineStr">
        <is>
          <t>Not publicly disclosed</t>
        </is>
      </c>
      <c r="C4" s="6" t="inlineStr">
        <is>
          <t>Not publicly disclosed</t>
        </is>
      </c>
      <c r="D4" s="6" t="inlineStr">
        <is>
          <t>Not publicly disclosed</t>
        </is>
      </c>
    </row>
    <row r="6" ht="150" customHeight="1">
      <c r="A6" s="8" t="inlineStr">
        <is>
          <t>Sources - Griffin Bank Limited Pillar 3 basis:
FY2023: 2023 Pillar 3 Report (30 September 2023), p.21 (4.1 Disclosure of key metrics - KM1) - https://cms.griffin.com/griffin-assets/Griffin_Bank_Ltd_Pillar_3_30_Sept_2023_df3ca44acc.pdf
FY2024/FY2025: no Pillar 3 disclosure document has been published for either period - only the 2023 Pillar 3 Report exists on the Bank's own site (checked https://griffin.com/reports, which lists exactly 6 documents across FY2023-FY2025 and only one Pillar 3 report). Not a data-access gap - confirmed genuinely unpublished, not guessed. The Bank's own FY2023 KM1 table notes it does not provide comparative information for the prior (pre-authorisation) period either, since it was first authorised as a bank (with restrictions) only in 2023.
Griffin Bank Limited (Companies House 10842931) was renamed from Griffin Financial Technology Limited on 12 April 2023 and held only an Authorisation-with-Restrictions (mobilisation) banking licence until it obtained a full unrestricted licence on 29 February 2024. During the mobilisation period the Company also changed its financial year-end from 30 June to 30 September, so its first published period (FY2023) is a 15-month period from 1 July 2022 to 30 September 2023, not a standard 12-month year - both figures are as originally reported, not annualised. FY2023's cash flow statement is itself labelled 'Unaudited' in the source Annual Report. Only 3 Annual Reports have ever been published for this entity (FY2023/FY2024/FY2025) - no FY2021/FY2022 data exists.</t>
        </is>
      </c>
    </row>
  </sheetData>
  <mergeCells count="1">
    <mergeCell ref="A6:D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2026-09-07T18:21:08Z</dcterms:created>
  <dcterms:modified xmlns:dcterms="http://purl.org/dc/terms/" xmlns:xsi="http://www.w3.org/2001/XMLSchema-instance" xsi:type="dcterms:W3CDTF">2026-09-07T18:21:09Z</dcterms:modified>
</cp:coreProperties>
</file>