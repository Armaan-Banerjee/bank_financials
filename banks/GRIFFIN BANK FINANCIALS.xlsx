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3480C7"/>
        <bgColor rgb="003480C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Griffin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'Overview'!G6</f>
            </strRef>
          </tx>
          <spPr>
            <a:ln xmlns:a="http://schemas.openxmlformats.org/drawingml/2006/main">
              <a:prstDash val="solid"/>
            </a:ln>
          </spPr>
          <cat>
            <numRef>
              <f>'Overview'!$H$5:$J$5</f>
            </numRef>
          </cat>
          <val>
            <numRef>
              <f>'Overview'!$H$6:$J$6</f>
            </numRef>
          </val>
        </ser>
        <ser>
          <idx val="1"/>
          <order val="1"/>
          <tx>
            <strRef>
              <f>'Overview'!G7</f>
            </strRef>
          </tx>
          <spPr>
            <a:ln xmlns:a="http://schemas.openxmlformats.org/drawingml/2006/main">
              <a:prstDash val="solid"/>
            </a:ln>
          </spPr>
          <cat>
            <numRef>
              <f>'Overview'!$H$5:$J$5</f>
            </numRef>
          </cat>
          <val>
            <numRef>
              <f>'Overview'!$H$7:$J$7</f>
            </numRef>
          </val>
        </ser>
        <ser>
          <idx val="2"/>
          <order val="2"/>
          <tx>
            <strRef>
              <f>'Overview'!G8</f>
            </strRef>
          </tx>
          <spPr>
            <a:ln xmlns:a="http://schemas.openxmlformats.org/drawingml/2006/main">
              <a:prstDash val="solid"/>
            </a:ln>
          </spPr>
          <cat>
            <numRef>
              <f>'Overview'!$H$5:$J$5</f>
            </numRef>
          </cat>
          <val>
            <numRef>
              <f>'Overview'!$H$8:$J$8</f>
            </numRef>
          </val>
        </ser>
        <ser>
          <idx val="3"/>
          <order val="3"/>
          <tx>
            <strRef>
              <f>'Overview'!G9</f>
            </strRef>
          </tx>
          <spPr>
            <a:ln xmlns:a="http://schemas.openxmlformats.org/drawingml/2006/main">
              <a:prstDash val="solid"/>
            </a:ln>
          </spPr>
          <cat>
            <numRef>
              <f>'Overview'!$H$5:$J$5</f>
            </numRef>
          </cat>
          <val>
            <numRef>
              <f>'Overview'!$H$9:$J$9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Griffin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'Overview'!M13</f>
            </strRef>
          </tx>
          <spPr>
            <a:ln xmlns:a="http://schemas.openxmlformats.org/drawingml/2006/main">
              <a:prstDash val="solid"/>
            </a:ln>
          </spPr>
          <cat>
            <numRef>
              <f>'Overview'!$N$12:$P$12</f>
            </numRef>
          </cat>
          <val>
            <numRef>
              <f>'Overview'!$N$13:$P$13</f>
            </numRef>
          </val>
        </ser>
        <ser>
          <idx val="1"/>
          <order val="1"/>
          <tx>
            <strRef>
              <f>'Overview'!M14</f>
            </strRef>
          </tx>
          <spPr>
            <a:ln xmlns:a="http://schemas.openxmlformats.org/drawingml/2006/main">
              <a:prstDash val="solid"/>
            </a:ln>
          </spPr>
          <cat>
            <numRef>
              <f>'Overview'!$N$12:$P$12</f>
            </numRef>
          </cat>
          <val>
            <numRef>
              <f>'Overview'!$N$14:$P$14</f>
            </numRef>
          </val>
        </ser>
        <ser>
          <idx val="2"/>
          <order val="2"/>
          <tx>
            <strRef>
              <f>'Overview'!M15</f>
            </strRef>
          </tx>
          <spPr>
            <a:ln xmlns:a="http://schemas.openxmlformats.org/drawingml/2006/main">
              <a:prstDash val="solid"/>
            </a:ln>
          </spPr>
          <cat>
            <numRef>
              <f>'Overview'!$N$12:$P$12</f>
            </numRef>
          </cat>
          <val>
            <numRef>
              <f>'Overview'!$N$15:$P$15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Griffin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'Overview'!S19</f>
            </strRef>
          </tx>
          <spPr>
            <a:ln xmlns:a="http://schemas.openxmlformats.org/drawingml/2006/main">
              <a:prstDash val="solid"/>
            </a:ln>
          </spPr>
          <cat>
            <numRef>
              <f>'Overview'!$T$18:$V$18</f>
            </numRef>
          </cat>
          <val>
            <numRef>
              <f>'Overview'!$T$19:$V$19</f>
            </numRef>
          </val>
        </ser>
        <ser>
          <idx val="1"/>
          <order val="1"/>
          <tx>
            <strRef>
              <f>'Overview'!S20</f>
            </strRef>
          </tx>
          <spPr>
            <a:ln xmlns:a="http://schemas.openxmlformats.org/drawingml/2006/main">
              <a:prstDash val="solid"/>
            </a:ln>
          </spPr>
          <cat>
            <numRef>
              <f>'Overview'!$T$18:$V$18</f>
            </numRef>
          </cat>
          <val>
            <numRef>
              <f>'Overview'!$T$20:$V$20</f>
            </numRef>
          </val>
        </ser>
        <ser>
          <idx val="2"/>
          <order val="2"/>
          <tx>
            <strRef>
              <f>'Overview'!S21</f>
            </strRef>
          </tx>
          <spPr>
            <a:ln xmlns:a="http://schemas.openxmlformats.org/drawingml/2006/main">
              <a:prstDash val="solid"/>
            </a:ln>
          </spPr>
          <cat>
            <numRef>
              <f>'Overview'!$T$18:$V$18</f>
            </numRef>
          </cat>
          <val>
            <numRef>
              <f>'Overview'!$T$21:$V$21</f>
            </numRef>
          </val>
        </ser>
        <ser>
          <idx val="3"/>
          <order val="3"/>
          <tx>
            <strRef>
              <f>'Overview'!S22</f>
            </strRef>
          </tx>
          <spPr>
            <a:ln xmlns:a="http://schemas.openxmlformats.org/drawingml/2006/main">
              <a:prstDash val="solid"/>
            </a:ln>
          </spPr>
          <cat>
            <numRef>
              <f>'Overview'!$T$18:$V$18</f>
            </numRef>
          </cat>
          <val>
            <numRef>
              <f>'Overview'!$T$22:$V$22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Griffin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'Overview'!Y26</f>
            </strRef>
          </tx>
          <spPr>
            <a:ln xmlns:a="http://schemas.openxmlformats.org/drawingml/2006/main">
              <a:prstDash val="solid"/>
            </a:ln>
          </spPr>
          <cat>
            <numRef>
              <f>'Overview'!$Z$25:$AB$25</f>
            </numRef>
          </cat>
          <val>
            <numRef>
              <f>'Overview'!$Z$26:$AB$26</f>
            </numRef>
          </val>
        </ser>
        <ser>
          <idx val="1"/>
          <order val="1"/>
          <tx>
            <strRef>
              <f>'Overview'!Y27</f>
            </strRef>
          </tx>
          <spPr>
            <a:ln xmlns:a="http://schemas.openxmlformats.org/drawingml/2006/main">
              <a:prstDash val="solid"/>
            </a:ln>
          </spPr>
          <cat>
            <numRef>
              <f>'Overview'!$Z$25:$AB$25</f>
            </numRef>
          </cat>
          <val>
            <numRef>
              <f>'Overview'!$Z$27:$AB$27</f>
            </numRef>
          </val>
        </ser>
        <ser>
          <idx val="2"/>
          <order val="2"/>
          <tx>
            <strRef>
              <f>'Overview'!Y28</f>
            </strRef>
          </tx>
          <spPr>
            <a:ln xmlns:a="http://schemas.openxmlformats.org/drawingml/2006/main">
              <a:prstDash val="solid"/>
            </a:ln>
          </spPr>
          <cat>
            <numRef>
              <f>'Overview'!$Z$25:$AB$25</f>
            </numRef>
          </cat>
          <val>
            <numRef>
              <f>'Overview'!$Z$28:$AB$28</f>
            </numRef>
          </val>
        </ser>
        <ser>
          <idx val="3"/>
          <order val="3"/>
          <tx>
            <strRef>
              <f>'Overview'!Y29</f>
            </strRef>
          </tx>
          <spPr>
            <a:ln xmlns:a="http://schemas.openxmlformats.org/drawingml/2006/main">
              <a:prstDash val="solid"/>
            </a:ln>
          </spPr>
          <cat>
            <numRef>
              <f>'Overview'!$Z$25:$AB$25</f>
            </numRef>
          </cat>
          <val>
            <numRef>
              <f>'Overview'!$Z$29:$AB$29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Griffin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'Overview'!AE6</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'Overview'!$AF$6:$AH$6</f>
            </numRef>
          </val>
          <smooth val="0"/>
        </ser>
        <ser>
          <idx val="1"/>
          <order val="1"/>
          <tx>
            <strRef>
              <f>'Overview'!AE7</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'Overview'!$AF$7:$AH$7</f>
            </numRef>
          </val>
          <smooth val="0"/>
        </ser>
        <ser>
          <idx val="2"/>
          <order val="2"/>
          <tx>
            <strRef>
              <f>'Overview'!AE8</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'Overview'!$AF$8:$AH$8</f>
            </numRef>
          </val>
          <smooth val="0"/>
        </ser>
        <ser>
          <idx val="3"/>
          <order val="3"/>
          <tx>
            <strRef>
              <f>'Overview'!AE9</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'Overview'!$AF$9:$AH$9</f>
            </numRef>
          </val>
          <smooth val="0"/>
        </ser>
        <ser>
          <idx val="4"/>
          <order val="4"/>
          <tx>
            <strRef>
              <f>'Overview'!AE10</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'Overview'!$AF$10:$AH$10</f>
            </numRef>
          </val>
          <smooth val="0"/>
        </ser>
        <ser>
          <idx val="5"/>
          <order val="5"/>
          <tx>
            <strRef>
              <f>'Overview'!AE11</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'Overview'!$AF$11:$AH$11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H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c r="A1" s="1" t="inlineStr">
        <is>
          <t>Griffin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 (15mo)</t>
        </is>
      </c>
      <c r="H5" t="inlineStr">
        <is>
          <t>FY2023 (15mo)</t>
        </is>
      </c>
      <c r="I5" t="inlineStr">
        <is>
          <t>FY2024</t>
        </is>
      </c>
      <c r="J5" t="inlineStr">
        <is>
          <t>FY2025</t>
        </is>
      </c>
      <c r="AF5" t="inlineStr">
        <is>
          <t>FY2023 (15mo)</t>
        </is>
      </c>
      <c r="AG5" t="inlineStr">
        <is>
          <t>FY2024</t>
        </is>
      </c>
      <c r="AH5" t="inlineStr">
        <is>
          <t>FY2025</t>
        </is>
      </c>
    </row>
    <row r="6">
      <c r="A6" s="5" t="inlineStr">
        <is>
          <t>Total assets</t>
        </is>
      </c>
      <c r="B6" s="5" t="n">
        <v>119551420</v>
      </c>
      <c r="C6" s="5" t="n">
        <v>18725660</v>
      </c>
      <c r="D6" s="5" t="n">
        <v>10231714</v>
      </c>
      <c r="G6" t="inlineStr">
        <is>
          <t>Total assets</t>
        </is>
      </c>
      <c r="H6" t="n">
        <v>10231714</v>
      </c>
      <c r="I6" t="n">
        <v>18725660</v>
      </c>
      <c r="J6" t="n">
        <v>119551420</v>
      </c>
      <c r="AE6" t="inlineStr">
        <is>
          <t>CET1 Ratio</t>
        </is>
      </c>
      <c r="AF6" t="n">
        <v>456</v>
      </c>
      <c r="AG6" t="n">
        <v>64</v>
      </c>
      <c r="AH6" t="n">
        <v>112</v>
      </c>
    </row>
    <row r="7">
      <c r="A7" s="5" t="inlineStr">
        <is>
          <t>Debt securities</t>
        </is>
      </c>
      <c r="B7" s="5" t="n">
        <v>106511170</v>
      </c>
      <c r="C7" s="5" t="n">
        <v>12709240</v>
      </c>
      <c r="D7" s="5" t="n">
        <v>8551308</v>
      </c>
      <c r="G7" t="inlineStr">
        <is>
          <t>Debt securities</t>
        </is>
      </c>
      <c r="H7" t="n">
        <v>8551308</v>
      </c>
      <c r="I7" t="n">
        <v>12709240</v>
      </c>
      <c r="J7" t="n">
        <v>106511170</v>
      </c>
      <c r="AE7" t="inlineStr">
        <is>
          <t>Tier 1 Ratio</t>
        </is>
      </c>
      <c r="AF7" t="n">
        <v>456</v>
      </c>
    </row>
    <row r="8">
      <c r="A8" s="5" t="inlineStr">
        <is>
          <t>Customer deposits</t>
        </is>
      </c>
      <c r="B8" s="5" t="n">
        <v>101783429</v>
      </c>
      <c r="C8" s="5" t="n">
        <v>2070144</v>
      </c>
      <c r="D8" s="5" t="n"/>
      <c r="G8" t="inlineStr">
        <is>
          <t>Customer deposits</t>
        </is>
      </c>
      <c r="I8" t="n">
        <v>2070144</v>
      </c>
      <c r="J8" t="n">
        <v>101783429</v>
      </c>
      <c r="AE8" t="inlineStr">
        <is>
          <t>Total Capital Ratio</t>
        </is>
      </c>
      <c r="AF8" t="n">
        <v>456</v>
      </c>
    </row>
    <row r="9">
      <c r="A9" s="5" t="inlineStr">
        <is>
          <t>Total equity</t>
        </is>
      </c>
      <c r="B9" s="5" t="n">
        <v>16507699</v>
      </c>
      <c r="C9" s="5" t="n">
        <v>15174425</v>
      </c>
      <c r="D9" s="5" t="n">
        <v>8761243</v>
      </c>
      <c r="G9" t="inlineStr">
        <is>
          <t>Total equity</t>
        </is>
      </c>
      <c r="H9" t="n">
        <v>8761243</v>
      </c>
      <c r="I9" t="n">
        <v>15174425</v>
      </c>
      <c r="J9" t="n">
        <v>16507699</v>
      </c>
      <c r="AE9" t="inlineStr">
        <is>
          <t>Leverage Ratio</t>
        </is>
      </c>
      <c r="AF9" t="n">
        <v>91</v>
      </c>
    </row>
    <row r="10">
      <c r="AE10" t="inlineStr">
        <is>
          <t>LCR</t>
        </is>
      </c>
      <c r="AF10" t="n">
        <v>2675</v>
      </c>
    </row>
    <row r="11">
      <c r="A11" s="3" t="inlineStr">
        <is>
          <t>Profit &amp; Loss Summary (£)</t>
        </is>
      </c>
      <c r="AE11" t="inlineStr">
        <is>
          <t>NSFR</t>
        </is>
      </c>
      <c r="AF11" t="n">
        <v>1034</v>
      </c>
    </row>
    <row r="12">
      <c r="A12" s="4" t="inlineStr">
        <is>
          <t>Line item</t>
        </is>
      </c>
      <c r="B12" s="4" t="inlineStr">
        <is>
          <t>FY2025</t>
        </is>
      </c>
      <c r="C12" s="4" t="inlineStr">
        <is>
          <t>FY2024</t>
        </is>
      </c>
      <c r="D12" s="4" t="inlineStr">
        <is>
          <t>FY2023 (15mo)</t>
        </is>
      </c>
      <c r="N12" t="inlineStr">
        <is>
          <t>FY2023 (15mo)</t>
        </is>
      </c>
      <c r="O12" t="inlineStr">
        <is>
          <t>FY2024</t>
        </is>
      </c>
      <c r="P12" t="inlineStr">
        <is>
          <t>FY2025</t>
        </is>
      </c>
    </row>
    <row r="13">
      <c r="A13" s="5" t="inlineStr">
        <is>
          <t>Total net revenue</t>
        </is>
      </c>
      <c r="B13" s="5" t="n">
        <v>1925815</v>
      </c>
      <c r="C13" s="5" t="n">
        <v>744633</v>
      </c>
      <c r="D13" s="5" t="n">
        <v>291456</v>
      </c>
      <c r="M13" t="inlineStr">
        <is>
          <t>Total net revenue</t>
        </is>
      </c>
      <c r="N13" t="n">
        <v>291456</v>
      </c>
      <c r="O13" t="n">
        <v>744633</v>
      </c>
      <c r="P13" t="n">
        <v>1925815</v>
      </c>
    </row>
    <row r="14">
      <c r="A14" s="5" t="inlineStr">
        <is>
          <t>Total operating costs</t>
        </is>
      </c>
      <c r="B14" s="5" t="n">
        <v>-13983964</v>
      </c>
      <c r="C14" s="5" t="n">
        <v>-13634562</v>
      </c>
      <c r="D14" s="5" t="n">
        <v>-13011040</v>
      </c>
      <c r="M14" t="inlineStr">
        <is>
          <t>Total operating costs</t>
        </is>
      </c>
      <c r="N14" t="n">
        <v>-13011040</v>
      </c>
      <c r="O14" t="n">
        <v>-13634562</v>
      </c>
      <c r="P14" t="n">
        <v>-13983964</v>
      </c>
    </row>
    <row r="15">
      <c r="A15" s="5" t="inlineStr">
        <is>
          <t>Loss for the year/period after taxation</t>
        </is>
      </c>
      <c r="B15" s="5" t="n">
        <v>-12058149</v>
      </c>
      <c r="C15" s="5" t="n">
        <v>-12889929</v>
      </c>
      <c r="D15" s="5" t="n">
        <v>-12719584</v>
      </c>
      <c r="M15" t="inlineStr">
        <is>
          <t>Loss for the year/period after taxation</t>
        </is>
      </c>
      <c r="N15" t="n">
        <v>-12719584</v>
      </c>
      <c r="O15" t="n">
        <v>-12889929</v>
      </c>
      <c r="P15" t="n">
        <v>-12058149</v>
      </c>
    </row>
    <row r="17">
      <c r="A17" s="3" t="inlineStr">
        <is>
          <t>Statement of Changes in Equity Summary (£)</t>
        </is>
      </c>
    </row>
    <row r="18">
      <c r="A18" s="4" t="inlineStr">
        <is>
          <t>Line item</t>
        </is>
      </c>
      <c r="B18" s="4" t="inlineStr">
        <is>
          <t>FY2025</t>
        </is>
      </c>
      <c r="C18" s="4" t="inlineStr">
        <is>
          <t>FY2024</t>
        </is>
      </c>
      <c r="D18" s="4" t="inlineStr">
        <is>
          <t>FY2023 (15mo)</t>
        </is>
      </c>
      <c r="T18" t="inlineStr">
        <is>
          <t>FY2023 (15mo)</t>
        </is>
      </c>
      <c r="U18" t="inlineStr">
        <is>
          <t>FY2024</t>
        </is>
      </c>
      <c r="V18" t="inlineStr">
        <is>
          <t>FY2025</t>
        </is>
      </c>
    </row>
    <row r="19">
      <c r="A19" s="5" t="inlineStr">
        <is>
          <t>Opening equity</t>
        </is>
      </c>
      <c r="B19" s="5" t="n">
        <v>15174425</v>
      </c>
      <c r="C19" s="5" t="n">
        <v>8761243</v>
      </c>
      <c r="D19" s="5" t="n">
        <v>9585885</v>
      </c>
      <c r="S19" t="inlineStr">
        <is>
          <t>Opening equity</t>
        </is>
      </c>
      <c r="T19" t="n">
        <v>9585885</v>
      </c>
      <c r="U19" t="n">
        <v>8761243</v>
      </c>
      <c r="V19" t="n">
        <v>15174425</v>
      </c>
    </row>
    <row r="20">
      <c r="A20" s="5" t="inlineStr">
        <is>
          <t>Loss for the year/period</t>
        </is>
      </c>
      <c r="B20" s="5" t="n">
        <v>-12058149</v>
      </c>
      <c r="C20" s="5" t="n">
        <v>-12889929</v>
      </c>
      <c r="D20" s="5" t="n">
        <v>-12719584</v>
      </c>
      <c r="S20" t="inlineStr">
        <is>
          <t>Loss for the year/period</t>
        </is>
      </c>
      <c r="T20" t="n">
        <v>-12719584</v>
      </c>
      <c r="U20" t="n">
        <v>-12889929</v>
      </c>
      <c r="V20" t="n">
        <v>-12058149</v>
      </c>
    </row>
    <row r="21">
      <c r="A21" s="5" t="inlineStr">
        <is>
          <t>Other movements, net</t>
        </is>
      </c>
      <c r="B21" s="5" t="n">
        <v>13391423</v>
      </c>
      <c r="C21" s="5" t="n">
        <v>19303111</v>
      </c>
      <c r="D21" s="5" t="n">
        <v>11894942</v>
      </c>
      <c r="S21" t="inlineStr">
        <is>
          <t>Other movements, net</t>
        </is>
      </c>
      <c r="T21" t="n">
        <v>11894942</v>
      </c>
      <c r="U21" t="n">
        <v>19303111</v>
      </c>
      <c r="V21" t="n">
        <v>13391423</v>
      </c>
    </row>
    <row r="22">
      <c r="A22" s="5" t="inlineStr">
        <is>
          <t>Closing equity</t>
        </is>
      </c>
      <c r="B22" s="5" t="n">
        <v>16507699</v>
      </c>
      <c r="C22" s="5" t="n">
        <v>15174425</v>
      </c>
      <c r="D22" s="5" t="n">
        <v>8761243</v>
      </c>
      <c r="S22" t="inlineStr">
        <is>
          <t>Closing equity</t>
        </is>
      </c>
      <c r="T22" t="n">
        <v>8761243</v>
      </c>
      <c r="U22" t="n">
        <v>15174425</v>
      </c>
      <c r="V22" t="n">
        <v>16507699</v>
      </c>
    </row>
    <row r="24">
      <c r="A24" s="3" t="inlineStr">
        <is>
          <t>Cash Flow Summary (£)</t>
        </is>
      </c>
    </row>
    <row r="25">
      <c r="A25" s="4" t="inlineStr">
        <is>
          <t>Line item</t>
        </is>
      </c>
      <c r="B25" s="4" t="inlineStr">
        <is>
          <t>FY2025</t>
        </is>
      </c>
      <c r="C25" s="4" t="inlineStr">
        <is>
          <t>FY2024</t>
        </is>
      </c>
      <c r="D25" s="4" t="inlineStr">
        <is>
          <t>FY2023 (15mo)</t>
        </is>
      </c>
      <c r="Z25" t="inlineStr">
        <is>
          <t>FY2023 (15mo)</t>
        </is>
      </c>
      <c r="AA25" t="inlineStr">
        <is>
          <t>FY2024</t>
        </is>
      </c>
      <c r="AB25" t="inlineStr">
        <is>
          <t>FY2025</t>
        </is>
      </c>
    </row>
    <row r="26">
      <c r="A26" s="5" t="inlineStr">
        <is>
          <t>Net cash from/(used in) operating activities</t>
        </is>
      </c>
      <c r="B26" s="5" t="n">
        <v>89261779</v>
      </c>
      <c r="C26" s="5" t="n">
        <v>-10464980</v>
      </c>
      <c r="D26" s="5" t="n">
        <v>-12063952</v>
      </c>
      <c r="Y26" t="inlineStr">
        <is>
          <t>Net cash from/(used in) operating activities</t>
        </is>
      </c>
      <c r="Z26" t="n">
        <v>-12063952</v>
      </c>
      <c r="AA26" t="n">
        <v>-10464980</v>
      </c>
      <c r="AB26" t="n">
        <v>89261779</v>
      </c>
    </row>
    <row r="27">
      <c r="A27" s="5" t="inlineStr">
        <is>
          <t>Net cash from/(used in) investing activities</t>
        </is>
      </c>
      <c r="B27" s="5" t="n">
        <v>-94044573</v>
      </c>
      <c r="C27" s="5" t="n">
        <v>-5540942</v>
      </c>
      <c r="D27" s="5" t="n">
        <v>-8527971</v>
      </c>
      <c r="Y27" t="inlineStr">
        <is>
          <t>Net cash from/(used in) investing activities</t>
        </is>
      </c>
      <c r="Z27" t="n">
        <v>-8527971</v>
      </c>
      <c r="AA27" t="n">
        <v>-5540942</v>
      </c>
      <c r="AB27" t="n">
        <v>-94044573</v>
      </c>
    </row>
    <row r="28">
      <c r="A28" s="5" t="inlineStr">
        <is>
          <t>Net cash from/(used in) financing activities</t>
        </is>
      </c>
      <c r="B28" s="5" t="n">
        <v>9744844</v>
      </c>
      <c r="C28" s="5" t="n">
        <v>18093063</v>
      </c>
      <c r="D28" s="5" t="n">
        <v>9814533</v>
      </c>
      <c r="Y28" t="inlineStr">
        <is>
          <t>Net cash from/(used in) financing activities</t>
        </is>
      </c>
      <c r="Z28" t="n">
        <v>9814533</v>
      </c>
      <c r="AA28" t="n">
        <v>18093063</v>
      </c>
      <c r="AB28" t="n">
        <v>9744844</v>
      </c>
    </row>
    <row r="29">
      <c r="A29" s="5" t="inlineStr">
        <is>
          <t>Cash and cash equivalents at end of year/period</t>
        </is>
      </c>
      <c r="B29" s="5" t="n">
        <v>7326998</v>
      </c>
      <c r="C29" s="5" t="n">
        <v>2364540</v>
      </c>
      <c r="D29" s="5" t="n">
        <v>270150</v>
      </c>
      <c r="Y29" t="inlineStr">
        <is>
          <t>Cash and cash equivalents at end of year/period</t>
        </is>
      </c>
      <c r="Z29" t="n">
        <v>270150</v>
      </c>
      <c r="AA29" t="n">
        <v>2364540</v>
      </c>
      <c r="AB29" t="n">
        <v>7326998</v>
      </c>
    </row>
    <row r="31">
      <c r="A31" s="3" t="inlineStr">
        <is>
          <t>Pillar 3 Key Metrics</t>
        </is>
      </c>
    </row>
    <row r="32">
      <c r="A32" s="4" t="inlineStr">
        <is>
          <t>Line item</t>
        </is>
      </c>
      <c r="B32" s="4" t="inlineStr">
        <is>
          <t>FY2025</t>
        </is>
      </c>
      <c r="C32" s="4" t="inlineStr">
        <is>
          <t>FY2024</t>
        </is>
      </c>
      <c r="D32" s="4" t="inlineStr">
        <is>
          <t>FY2023 (15mo)</t>
        </is>
      </c>
    </row>
    <row r="33">
      <c r="A33" s="6" t="inlineStr">
        <is>
          <t>CET1 Ratio</t>
        </is>
      </c>
      <c r="B33" s="6" t="inlineStr">
        <is>
          <t>112%</t>
        </is>
      </c>
      <c r="C33" s="6" t="inlineStr">
        <is>
          <t>64%</t>
        </is>
      </c>
      <c r="D33" s="6" t="inlineStr">
        <is>
          <t>456%</t>
        </is>
      </c>
    </row>
    <row r="34">
      <c r="A34" s="6" t="inlineStr">
        <is>
          <t>Tier 1 Ratio</t>
        </is>
      </c>
      <c r="B34" s="6" t="inlineStr">
        <is>
          <t>Not required (SDDT)</t>
        </is>
      </c>
      <c r="C34" s="6" t="inlineStr">
        <is>
          <t>Not required (SDDT)</t>
        </is>
      </c>
      <c r="D34" s="6" t="inlineStr">
        <is>
          <t>456%</t>
        </is>
      </c>
    </row>
    <row r="35">
      <c r="A35" s="6" t="inlineStr">
        <is>
          <t>Total Capital Ratio</t>
        </is>
      </c>
      <c r="B35" s="6" t="inlineStr">
        <is>
          <t>Not required (SDDT)</t>
        </is>
      </c>
      <c r="C35" s="6" t="inlineStr">
        <is>
          <t>Not required (SDDT)</t>
        </is>
      </c>
      <c r="D35" s="6" t="inlineStr">
        <is>
          <t>456%</t>
        </is>
      </c>
    </row>
    <row r="36">
      <c r="A36" s="6" t="inlineStr">
        <is>
          <t>Leverage Ratio</t>
        </is>
      </c>
      <c r="B36" s="6" t="inlineStr">
        <is>
          <t>Not required (SDDT)</t>
        </is>
      </c>
      <c r="C36" s="6" t="inlineStr">
        <is>
          <t>Not required (SDDT)</t>
        </is>
      </c>
      <c r="D36" s="6" t="inlineStr">
        <is>
          <t>91%</t>
        </is>
      </c>
    </row>
    <row r="37">
      <c r="A37" s="6" t="inlineStr">
        <is>
          <t>LCR</t>
        </is>
      </c>
      <c r="B37" s="6" t="inlineStr">
        <is>
          <t>Not required (SDDT)</t>
        </is>
      </c>
      <c r="C37" s="6" t="inlineStr">
        <is>
          <t>Not required (SDDT)</t>
        </is>
      </c>
      <c r="D37" s="6" t="inlineStr">
        <is>
          <t>2,675%</t>
        </is>
      </c>
    </row>
    <row r="38">
      <c r="A38" s="6" t="inlineStr">
        <is>
          <t>NSFR</t>
        </is>
      </c>
      <c r="B38" s="6" t="inlineStr">
        <is>
          <t>Not required (SDDT)</t>
        </is>
      </c>
      <c r="C38" s="6" t="inlineStr">
        <is>
          <t>Not required (SDDT)</t>
        </is>
      </c>
      <c r="D38" s="6" t="inlineStr">
        <is>
          <t>1,034%</t>
        </is>
      </c>
    </row>
    <row r="40" ht="208" customHeight="1">
      <c r="A40" s="7" t="inlineStr">
        <is>
          <t>Note: Figures are duplicated from the detail sheets for at-a-glance trend viewing; see each sheet's own source citation for the underlying document/page. Only FY2023 has any Pillar 3 data - no Pillar 3 report has been published for FY2024 or FY2025 (re-confirmed 2026-09-15 by enumerating every PDF on griffin.com/reports: six documents, of which one Pillar 3 report, dated 30 Sept 2023). That absence is a REGULATORY EXEMPTION, not an access gap and not mere non-publication - a correction, made 2026-09-15, to the previous note here. Griffin Bank Ltd (FRN 970920) holds a Modification by Consent of Rule 3.1 of the SDDT Regime - General Application Part (waiver ref A00007614P.pdf, start date 05/03/2024, no end date) on the Bank of England's consolidated register of waivers and modifications granted to PRA-authorised firms. Rule 3.1 is the Small Domestic Deposit Taker opt-in, and it removes the Pillar 3 disclosure obligation outright. Griffin's year-end is 30 September (Companies House 10842931), so FY2024 (30 Sep 2024) and FY2025 (30 Sep 2025) both fall after that 5 March 2024 start date and are structurally exempt. This does NOT extend back to FY2023: that period ended 30 September 2023, before the modification, and Griffin duly published a full Pillar 3 report for it as a 'small and non-complex institution' under Article 433b - a route that REDUCES disclosure, unlike Rule 3.1 which REMOVES it. The two must not be conflated; see the Pillar 3 sheets' own source note for the full reasoning. Griffin Bank Ltd (FRN 970920) is still on the Bank of England's List of banks as at 30 September 2026. The only FY2024/FY2025 regulatory figure disclosed anywhere is the CET1 ratio, in the Annual Report narrative (64% / 112%). The Bank has no customer lending at all in any of the 3 published years - Asset Quality is 'Not publicly disclosed' for this genuine reason (see that sheet's own source note).</t>
        </is>
      </c>
    </row>
  </sheetData>
  <mergeCells count="1">
    <mergeCell ref="A40:D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s>
  <sheetData>
    <row r="1">
      <c r="A1" s="1" t="inlineStr">
        <is>
          <t>Griffin Bank Limited — Balance Sheet</t>
        </is>
      </c>
    </row>
    <row r="2">
      <c r="A2" s="2" t="inlineStr">
        <is>
          <t>Bank-only (no group); FY2023 covers a 15-month period ended 30 September 2023 and is labelled unaudited in the source. £.</t>
        </is>
      </c>
    </row>
    <row r="3">
      <c r="A3" s="4" t="inlineStr">
        <is>
          <t>Line item</t>
        </is>
      </c>
      <c r="B3" s="4" t="inlineStr">
        <is>
          <t>FY2025 (£)</t>
        </is>
      </c>
      <c r="C3" s="4" t="inlineStr">
        <is>
          <t>FY2024 (£)</t>
        </is>
      </c>
      <c r="D3" s="4" t="inlineStr">
        <is>
          <t>FY2023 (15mo) (£)</t>
        </is>
      </c>
    </row>
    <row r="4">
      <c r="A4" s="5" t="inlineStr">
        <is>
          <t>Assets</t>
        </is>
      </c>
      <c r="B4" s="6" t="n"/>
      <c r="C4" s="6" t="n"/>
      <c r="D4" s="6" t="n"/>
    </row>
    <row r="5">
      <c r="A5" s="6" t="inlineStr">
        <is>
          <t>Cash and cash equivalents</t>
        </is>
      </c>
      <c r="B5" s="6" t="n">
        <v>7326998</v>
      </c>
      <c r="C5" s="6" t="n">
        <v>2364540</v>
      </c>
      <c r="D5" s="6" t="n">
        <v>270150</v>
      </c>
    </row>
    <row r="6">
      <c r="A6" s="5" t="inlineStr">
        <is>
          <t>Total debt securities</t>
        </is>
      </c>
      <c r="B6" s="5" t="n">
        <v>106511170</v>
      </c>
      <c r="C6" s="5" t="n">
        <v>12709240</v>
      </c>
      <c r="D6" s="5" t="n">
        <v>8551308</v>
      </c>
    </row>
    <row r="7">
      <c r="A7" s="6" t="inlineStr">
        <is>
          <t>Money market funds, FVTPL (UK gilts/sovereign-backed)</t>
        </is>
      </c>
      <c r="B7" s="6" t="n">
        <v>100587287</v>
      </c>
      <c r="C7" s="6" t="n">
        <v>12709240</v>
      </c>
      <c r="D7" s="6" t="n">
        <v>8551308</v>
      </c>
    </row>
    <row r="8">
      <c r="A8" s="6" t="inlineStr">
        <is>
          <t>UK Treasury bills, FVTPL</t>
        </is>
      </c>
      <c r="B8" s="6" t="n">
        <v>5923883</v>
      </c>
      <c r="C8" s="6" t="n">
        <v>0</v>
      </c>
      <c r="D8" s="6" t="n">
        <v>0</v>
      </c>
    </row>
    <row r="9">
      <c r="A9" s="6" t="inlineStr">
        <is>
          <t>Trade and other receivables</t>
        </is>
      </c>
      <c r="B9" s="6" t="n">
        <v>1380080</v>
      </c>
      <c r="C9" s="6" t="n">
        <v>1430220</v>
      </c>
      <c r="D9" s="6" t="n">
        <v>1085821</v>
      </c>
    </row>
    <row r="10">
      <c r="A10" s="6" t="inlineStr">
        <is>
          <t>Intangible assets</t>
        </is>
      </c>
      <c r="B10" s="6" t="n">
        <v>4194662</v>
      </c>
      <c r="C10" s="6" t="n">
        <v>2073199</v>
      </c>
      <c r="D10" s="6" t="n">
        <v>197614</v>
      </c>
    </row>
    <row r="11">
      <c r="A11" s="6" t="inlineStr">
        <is>
          <t>Property, plant and equipment</t>
        </is>
      </c>
      <c r="B11" s="6" t="n">
        <v>138510</v>
      </c>
      <c r="C11" s="6" t="n">
        <v>148461</v>
      </c>
      <c r="D11" s="6" t="n">
        <v>126821</v>
      </c>
    </row>
    <row r="12">
      <c r="A12" s="5" t="inlineStr">
        <is>
          <t>Total assets</t>
        </is>
      </c>
      <c r="B12" s="5" t="n">
        <v>119551420</v>
      </c>
      <c r="C12" s="5" t="n">
        <v>18725660</v>
      </c>
      <c r="D12" s="5" t="n">
        <v>10231714</v>
      </c>
    </row>
    <row r="13">
      <c r="A13" s="5" t="inlineStr">
        <is>
          <t>Liabilities</t>
        </is>
      </c>
      <c r="B13" s="6" t="n"/>
      <c r="C13" s="6" t="n"/>
      <c r="D13" s="6" t="n"/>
    </row>
    <row r="14">
      <c r="A14" s="6" t="inlineStr">
        <is>
          <t>Customer deposits</t>
        </is>
      </c>
      <c r="B14" s="6" t="n">
        <v>101783429</v>
      </c>
      <c r="C14" s="6" t="n">
        <v>2070144</v>
      </c>
      <c r="D14" s="6" t="n"/>
    </row>
    <row r="15">
      <c r="A15" s="6" t="inlineStr">
        <is>
          <t>Trade and other payables</t>
        </is>
      </c>
      <c r="B15" s="6" t="n">
        <v>1121665</v>
      </c>
      <c r="C15" s="6" t="n">
        <v>1372107</v>
      </c>
      <c r="D15" s="6" t="n">
        <v>776298</v>
      </c>
    </row>
    <row r="16">
      <c r="A16" s="6" t="inlineStr">
        <is>
          <t>Contract liabilities</t>
        </is>
      </c>
      <c r="B16" s="6" t="n">
        <v>138627</v>
      </c>
      <c r="C16" s="6" t="n">
        <v>108984</v>
      </c>
      <c r="D16" s="6" t="n">
        <v>115000</v>
      </c>
    </row>
    <row r="17">
      <c r="A17" s="6" t="inlineStr">
        <is>
          <t>Borrowings</t>
        </is>
      </c>
      <c r="B17" s="6" t="n">
        <v>0</v>
      </c>
      <c r="C17" s="6" t="n">
        <v>0</v>
      </c>
      <c r="D17" s="6" t="n">
        <v>579173</v>
      </c>
    </row>
    <row r="18">
      <c r="A18" s="5" t="inlineStr">
        <is>
          <t>Total liabilities</t>
        </is>
      </c>
      <c r="B18" s="5" t="n">
        <v>103043721</v>
      </c>
      <c r="C18" s="5" t="n">
        <v>3551235</v>
      </c>
      <c r="D18" s="5" t="n">
        <v>1470471</v>
      </c>
    </row>
    <row r="19">
      <c r="A19" s="5" t="inlineStr">
        <is>
          <t>Equity</t>
        </is>
      </c>
      <c r="B19" s="6" t="n"/>
      <c r="C19" s="6" t="n"/>
      <c r="D19" s="6" t="n"/>
    </row>
    <row r="20">
      <c r="A20" s="6" t="inlineStr">
        <is>
          <t>Share capital</t>
        </is>
      </c>
      <c r="B20" s="6" t="n">
        <v>23</v>
      </c>
      <c r="C20" s="6" t="n">
        <v>16</v>
      </c>
      <c r="D20" s="6" t="n">
        <v>13</v>
      </c>
    </row>
    <row r="21">
      <c r="A21" s="6" t="inlineStr">
        <is>
          <t>Share premium account</t>
        </is>
      </c>
      <c r="B21" s="6" t="n">
        <v>60901935</v>
      </c>
      <c r="C21" s="6" t="n">
        <v>49559702</v>
      </c>
      <c r="D21" s="6" t="n">
        <v>30877722</v>
      </c>
    </row>
    <row r="22">
      <c r="A22" s="6" t="inlineStr">
        <is>
          <t>Employee share option reserve</t>
        </is>
      </c>
      <c r="B22" s="6" t="n">
        <v>3701831</v>
      </c>
      <c r="C22" s="6" t="n">
        <v>1653057</v>
      </c>
      <c r="D22" s="6" t="n">
        <v>1039179</v>
      </c>
    </row>
    <row r="23">
      <c r="A23" s="6" t="inlineStr">
        <is>
          <t>Warrant reserve</t>
        </is>
      </c>
      <c r="B23" s="6" t="n">
        <v>101283</v>
      </c>
      <c r="C23" s="6" t="n">
        <v>101283</v>
      </c>
      <c r="D23" s="6" t="n">
        <v>101283</v>
      </c>
    </row>
    <row r="24">
      <c r="A24" s="6" t="inlineStr">
        <is>
          <t>Accumulated losses</t>
        </is>
      </c>
      <c r="B24" s="6" t="n">
        <v>-48197373</v>
      </c>
      <c r="C24" s="6" t="n">
        <v>-36139633</v>
      </c>
      <c r="D24" s="6" t="n">
        <v>-23256954</v>
      </c>
    </row>
    <row r="25">
      <c r="A25" s="5" t="inlineStr">
        <is>
          <t>Total equity</t>
        </is>
      </c>
      <c r="B25" s="5" t="n">
        <v>16507699</v>
      </c>
      <c r="C25" s="5" t="n">
        <v>15174425</v>
      </c>
      <c r="D25" s="5" t="n">
        <v>8761243</v>
      </c>
    </row>
    <row r="26">
      <c r="A26" s="5" t="inlineStr">
        <is>
          <t>Total liabilities and equity</t>
        </is>
      </c>
      <c r="B26" s="5" t="n">
        <v>119551420</v>
      </c>
      <c r="C26" s="5" t="n">
        <v>18725660</v>
      </c>
      <c r="D26" s="5" t="n">
        <v>10231714</v>
      </c>
    </row>
    <row r="28" ht="340" customHeight="1">
      <c r="A28" s="8" t="inlineStr">
        <is>
          <t>Sources - all figures are Griffin Bank Limited's own primary financial statements:
FY2025: Annual Report and Financial Statements 2025, p.51 (Statement of Financial Position), p.50 (Statement of comprehensive income), p.52 (Statement of changes in equity) - https://cms.griffin.com/griffin-assets/Griffin_Bank_Ltd_Annual_Report_2025_edeb37eca7.pdf
FY2024: Annual Report and Financial Statements 2024, p.59 (Statement of financial position), p.58 (Statement of comprehensive income), p.60-61 (Statement of changes in equity) - https://cms.griffin.com/griffin-assets/Griffin_Bank_Ltd_Annual_Report_2024_b98c8d4c38.pdf
FY2023 (15mo, unaudited): Annual Report and Financial Statements 2023, p.45 (Statement of financial position), p.44 (Statement of comprehensive income), p.46 (Statement of changes in equity) - https://cms.griffin.com/griffin-assets/Griffin_Bank_Ltd_2023_Annual_Report_and_Financial_Statements_9c92dd2876.pdf
All 3 documents are text-native (no scanned/image-only pages) - transcribed directly from extracted text, cross-checked against each later report's own comparative column where available (all agree exactly, no restatements found).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
PRESENTATION NOTE: Customer deposits first appear as a Balance Sheet line in FY2024 - the Bank held no customer deposits at all as at 30 September 2023, its first full period as an authorised bank (confirmed by that year's own Balance Sheet having no such line) - genuinely nil, not a gap.</t>
        </is>
      </c>
    </row>
    <row r="30" ht="340" customHeight="1">
      <c r="A30" s="8" t="inlineStr">
        <is>
          <t>(continued)
DEBT SECURITIES BREAKDOWN (Note 12, 'Investments in financial assets'): FY2025: Annual Report and Financial Statements 2025, p.73-74 - https://cms.griffin.com/griffin-assets/Griffin_Bank_Ltd_Annual_Report_2025_edeb37eca7.pdf - splits the FY2025/FY2024 comparative into 'Debt securities (solely Money Market Funds)' 100,587,287 / 12,709,240 and 'Treasury bills' 5,923,883 / 0, both classified as 'Financial assets recorded as FVTPL', reconciling exactly to the Total investments row (106,511,170 / 12,709,240). The note explains the Money Market Funds invest in government bonds, notes and bills issued or guaranteed by the UK government (or another sovereign government), and that Treasury bills are issued by the UK government via the Debt Management Office - both sub-rows are UK government/sovereign-backed, all FVTPL. FY2024: Annual Report and Financial Statements 2024, p.77-78 - https://cms.griffin.com/griffin-assets/Griffin_Bank_Ltd_Annual_Report_2024_b98c8d4c38.pdf - shows the FY2024/FY2023 comparative as 100% 'Debt securities (solely Money Market Funds)' (12,709,240 / 8,551,308, no Treasury bills held in either year - genuinely nil, not a gap), describing the fund as a 'UK Sovereign Gilt Money Market Fund'. FY2023 (15mo): Annual Report and Financial Statements 2023, p.65-66 - https://cms.griffin.com/griffin-assets/Griffin_Bank_Ltd_2023_Annual_Report_and_Financial_Statements_9c92dd2876.pdf - confirms the same, 100% in a single 'UK Sovereign Gilt Money Market Fund' (8,551,308), also described elsewhere in that report (p.66/4184) as valued at an active quoted market price. No amortised-cost or held-to-maturity/AFS portion is disclosed in any year - the entire debt securities book is FVTPL in every published Annual Report.</t>
        </is>
      </c>
    </row>
  </sheetData>
  <mergeCells count="2">
    <mergeCell ref="A28:D28"/>
    <mergeCell ref="A30:D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s>
  <sheetData>
    <row r="1">
      <c r="A1" s="1" t="inlineStr">
        <is>
          <t>Griffin Bank Limited — Profit &amp; Loss</t>
        </is>
      </c>
    </row>
    <row r="2">
      <c r="A2" s="2" t="inlineStr">
        <is>
          <t>Bank-only (no group); FY2023 covers a 15-month period ended 30 September 2023 and is labelled unaudited in the source. All results are from continuing operations. £.</t>
        </is>
      </c>
    </row>
    <row r="3">
      <c r="A3" s="4" t="inlineStr">
        <is>
          <t>Line item</t>
        </is>
      </c>
      <c r="B3" s="4" t="inlineStr">
        <is>
          <t>FY2025 (£)</t>
        </is>
      </c>
      <c r="C3" s="4" t="inlineStr">
        <is>
          <t>FY2024 (£)</t>
        </is>
      </c>
      <c r="D3" s="4" t="inlineStr">
        <is>
          <t>FY2023 (15mo) (£)</t>
        </is>
      </c>
    </row>
    <row r="4">
      <c r="A4" s="5" t="inlineStr">
        <is>
          <t>Revenue</t>
        </is>
      </c>
      <c r="B4" s="6" t="n"/>
      <c r="C4" s="6" t="n"/>
      <c r="D4" s="6" t="n"/>
    </row>
    <row r="5">
      <c r="A5" s="6" t="inlineStr">
        <is>
          <t>Net interest income</t>
        </is>
      </c>
      <c r="B5" s="6" t="n">
        <v>787929</v>
      </c>
      <c r="C5" s="6" t="n">
        <v>661153</v>
      </c>
      <c r="D5" s="6" t="n">
        <v>207121</v>
      </c>
    </row>
    <row r="6">
      <c r="A6" s="6" t="inlineStr">
        <is>
          <t>Net fees and commissions</t>
        </is>
      </c>
      <c r="B6" s="6" t="n">
        <v>1137886</v>
      </c>
      <c r="C6" s="6" t="n">
        <v>83480</v>
      </c>
      <c r="D6" s="6" t="n">
        <v>84335</v>
      </c>
    </row>
    <row r="7">
      <c r="A7" s="5" t="inlineStr">
        <is>
          <t>Total net revenue</t>
        </is>
      </c>
      <c r="B7" s="5" t="n">
        <v>1925815</v>
      </c>
      <c r="C7" s="5" t="n">
        <v>744633</v>
      </c>
      <c r="D7" s="5" t="n">
        <v>291456</v>
      </c>
    </row>
    <row r="8">
      <c r="A8" s="5" t="inlineStr">
        <is>
          <t>Operating costs</t>
        </is>
      </c>
      <c r="B8" s="6" t="n"/>
      <c r="C8" s="6" t="n"/>
      <c r="D8" s="6" t="n"/>
    </row>
    <row r="9">
      <c r="A9" s="6" t="inlineStr">
        <is>
          <t>Administrative expenses</t>
        </is>
      </c>
      <c r="B9" s="6" t="n">
        <v>-13467508</v>
      </c>
      <c r="C9" s="6" t="n">
        <v>-13477876</v>
      </c>
      <c r="D9" s="6" t="n">
        <v>-12906136</v>
      </c>
    </row>
    <row r="10">
      <c r="A10" s="6" t="inlineStr">
        <is>
          <t>Other expenses</t>
        </is>
      </c>
      <c r="B10" s="6" t="n">
        <v>-516456</v>
      </c>
      <c r="C10" s="6" t="n">
        <v>-156686</v>
      </c>
      <c r="D10" s="6" t="n">
        <v>-104904</v>
      </c>
    </row>
    <row r="11">
      <c r="A11" s="5" t="inlineStr">
        <is>
          <t>Total operating costs</t>
        </is>
      </c>
      <c r="B11" s="5" t="n">
        <v>-13983964</v>
      </c>
      <c r="C11" s="5" t="n">
        <v>-13634562</v>
      </c>
      <c r="D11" s="5" t="n">
        <v>-13011040</v>
      </c>
    </row>
    <row r="12">
      <c r="A12" s="5" t="inlineStr">
        <is>
          <t>Loss before tax</t>
        </is>
      </c>
      <c r="B12" s="5" t="n">
        <v>-12058149</v>
      </c>
      <c r="C12" s="5" t="n">
        <v>-12889929</v>
      </c>
      <c r="D12" s="5" t="n">
        <v>-12719584</v>
      </c>
    </row>
    <row r="13">
      <c r="A13" s="6" t="inlineStr">
        <is>
          <t>Tax</t>
        </is>
      </c>
      <c r="B13" s="6" t="n">
        <v>0</v>
      </c>
      <c r="C13" s="6" t="n">
        <v>0</v>
      </c>
      <c r="D13" s="6" t="n">
        <v>0</v>
      </c>
    </row>
    <row r="14">
      <c r="A14" s="5" t="inlineStr">
        <is>
          <t>Loss for the year/period after taxation</t>
        </is>
      </c>
      <c r="B14" s="5" t="n">
        <v>-12058149</v>
      </c>
      <c r="C14" s="5" t="n">
        <v>-12889929</v>
      </c>
      <c r="D14" s="5" t="n">
        <v>-12719584</v>
      </c>
    </row>
    <row r="15">
      <c r="A15" s="5" t="inlineStr">
        <is>
          <t>Other comprehensive income</t>
        </is>
      </c>
      <c r="B15" s="6" t="n"/>
      <c r="C15" s="6" t="n"/>
      <c r="D15" s="6" t="n"/>
    </row>
    <row r="16">
      <c r="A16" s="6" t="inlineStr">
        <is>
          <t>Other gains and losses</t>
        </is>
      </c>
      <c r="B16" s="6" t="n">
        <v>409</v>
      </c>
      <c r="C16" s="6" t="n">
        <v>7250</v>
      </c>
      <c r="D16" s="6" t="n">
        <v>-1108</v>
      </c>
    </row>
    <row r="17">
      <c r="A17" s="5" t="inlineStr">
        <is>
          <t>Total comprehensive income/(loss) for the year/period</t>
        </is>
      </c>
      <c r="B17" s="5" t="n">
        <v>-12057740</v>
      </c>
      <c r="C17" s="5" t="n">
        <v>-12882679</v>
      </c>
      <c r="D17" s="5" t="n">
        <v>-12720692</v>
      </c>
    </row>
    <row r="19" ht="260" customHeight="1">
      <c r="A19" s="8" t="inlineStr">
        <is>
          <t>Sources - all figures are Griffin Bank Limited's own primary financial statements:
FY2025: Annual Report and Financial Statements 2025, p.51 (Statement of Financial Position), p.50 (Statement of comprehensive income), p.52 (Statement of changes in equity) - https://cms.griffin.com/griffin-assets/Griffin_Bank_Ltd_Annual_Report_2025_edeb37eca7.pdf
FY2024: Annual Report and Financial Statements 2024, p.59 (Statement of financial position), p.58 (Statement of comprehensive income), p.60-61 (Statement of changes in equity) - https://cms.griffin.com/griffin-assets/Griffin_Bank_Ltd_Annual_Report_2024_b98c8d4c38.pdf
FY2023 (15mo, unaudited): Annual Report and Financial Statements 2023, p.45 (Statement of financial position), p.44 (Statement of comprehensive income), p.46 (Statement of changes in equity) - https://cms.griffin.com/griffin-assets/Griffin_Bank_Ltd_2023_Annual_Report_and_Financial_Statements_9c92dd2876.pdf
All 3 documents are text-native (no scanned/image-only pages) - transcribed directly from extracted text, cross-checked against each later report's own comparative column where available (all agree exactly, no restatements found).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
Tax was £nil in all 3 periods (no tax charge or credit disclosed - confirmed by reading each year's own P&amp;L in full).</t>
        </is>
      </c>
    </row>
  </sheetData>
  <mergeCells count="1">
    <mergeCell ref="A19: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Griffin Bank Limited — Statement of Changes in Equity</t>
        </is>
      </c>
    </row>
    <row r="2">
      <c r="A2" s="2" t="inlineStr">
        <is>
          <t>Bank-only (no group); FY2023 opening/period figures cover the 15 months ended 30 September 2023 and are labelled unaudited in the source. £. Ties exactly to the Balance Sheet's own Total equity at every year-end - no plug rows needed.</t>
        </is>
      </c>
    </row>
    <row r="3">
      <c r="A3" s="4" t="inlineStr">
        <is>
          <t>Movement</t>
        </is>
      </c>
      <c r="B3" s="4" t="inlineStr">
        <is>
          <t>Share capital</t>
        </is>
      </c>
      <c r="C3" s="4" t="inlineStr">
        <is>
          <t>Share premium account</t>
        </is>
      </c>
      <c r="D3" s="4" t="inlineStr">
        <is>
          <t>Employee share option reserve</t>
        </is>
      </c>
      <c r="E3" s="4" t="inlineStr">
        <is>
          <t>Warrant reserve</t>
        </is>
      </c>
      <c r="F3" s="4" t="inlineStr">
        <is>
          <t>Accumulated losses</t>
        </is>
      </c>
      <c r="G3" s="4" t="inlineStr">
        <is>
          <t>Total equity</t>
        </is>
      </c>
    </row>
    <row r="4">
      <c r="A4" s="5" t="inlineStr">
        <is>
          <t>Balance at 1 July 2022</t>
        </is>
      </c>
      <c r="B4" s="5" t="n">
        <v>10</v>
      </c>
      <c r="C4" s="5" t="n">
        <v>20122137</v>
      </c>
      <c r="D4" s="5" t="n"/>
      <c r="E4" s="5" t="n"/>
      <c r="F4" s="5" t="n">
        <v>-10536262</v>
      </c>
      <c r="G4" s="5" t="n">
        <v>9585885</v>
      </c>
    </row>
    <row r="5">
      <c r="A5" s="6" t="inlineStr">
        <is>
          <t>Loss for the period (FY2023, 15mo)</t>
        </is>
      </c>
      <c r="B5" s="6" t="n"/>
      <c r="C5" s="6" t="n"/>
      <c r="D5" s="6" t="n"/>
      <c r="E5" s="6" t="n"/>
      <c r="F5" s="6" t="n">
        <v>-12719584</v>
      </c>
      <c r="G5" s="6" t="n">
        <v>-12719584</v>
      </c>
    </row>
    <row r="6">
      <c r="A6" s="6" t="inlineStr">
        <is>
          <t>Other comprehensive loss for the period (FY2023)</t>
        </is>
      </c>
      <c r="B6" s="6" t="n"/>
      <c r="C6" s="6" t="n"/>
      <c r="D6" s="6" t="n"/>
      <c r="E6" s="6" t="n"/>
      <c r="F6" s="6" t="n">
        <v>-1108</v>
      </c>
      <c r="G6" s="6" t="n">
        <v>-1108</v>
      </c>
    </row>
    <row r="7">
      <c r="A7" s="6" t="inlineStr">
        <is>
          <t>Net issue of share capital (FY2023)</t>
        </is>
      </c>
      <c r="B7" s="6" t="n">
        <v>3</v>
      </c>
      <c r="C7" s="6" t="n">
        <v>10755585</v>
      </c>
      <c r="D7" s="6" t="n"/>
      <c r="E7" s="6" t="n"/>
      <c r="F7" s="6" t="n"/>
      <c r="G7" s="6" t="n">
        <v>10755588</v>
      </c>
    </row>
    <row r="8">
      <c r="A8" s="6" t="inlineStr">
        <is>
          <t>Issue of employee share options (FY2023)</t>
        </is>
      </c>
      <c r="B8" s="6" t="n"/>
      <c r="C8" s="6" t="n"/>
      <c r="D8" s="6" t="n">
        <v>1039179</v>
      </c>
      <c r="E8" s="6" t="n"/>
      <c r="F8" s="6" t="n"/>
      <c r="G8" s="6" t="n">
        <v>1039179</v>
      </c>
    </row>
    <row r="9">
      <c r="A9" s="6" t="inlineStr">
        <is>
          <t>Net issue/(release) of warrants (FY2023)</t>
        </is>
      </c>
      <c r="B9" s="6" t="n"/>
      <c r="C9" s="6" t="n"/>
      <c r="D9" s="6" t="n"/>
      <c r="E9" s="6" t="n">
        <v>101283</v>
      </c>
      <c r="F9" s="6" t="n"/>
      <c r="G9" s="6" t="n">
        <v>101283</v>
      </c>
    </row>
    <row r="10">
      <c r="A10" s="5" t="inlineStr">
        <is>
          <t>Balance at 30 September 2023</t>
        </is>
      </c>
      <c r="B10" s="5" t="n">
        <v>13</v>
      </c>
      <c r="C10" s="5" t="n">
        <v>30877722</v>
      </c>
      <c r="D10" s="5" t="n">
        <v>1039179</v>
      </c>
      <c r="E10" s="5" t="n">
        <v>101283</v>
      </c>
      <c r="F10" s="5" t="n">
        <v>-23256954</v>
      </c>
      <c r="G10" s="5" t="n">
        <v>8761243</v>
      </c>
    </row>
    <row r="11">
      <c r="A11" s="6" t="inlineStr">
        <is>
          <t>Loss for the year (FY2024)</t>
        </is>
      </c>
      <c r="B11" s="6" t="n"/>
      <c r="C11" s="6" t="n"/>
      <c r="D11" s="6" t="n"/>
      <c r="E11" s="6" t="n"/>
      <c r="F11" s="6" t="n">
        <v>-12889929</v>
      </c>
      <c r="G11" s="6" t="n">
        <v>-12889929</v>
      </c>
    </row>
    <row r="12">
      <c r="A12" s="6" t="inlineStr">
        <is>
          <t>Other comprehensive income for the year (FY2024)</t>
        </is>
      </c>
      <c r="B12" s="6" t="n"/>
      <c r="C12" s="6" t="n"/>
      <c r="D12" s="6" t="n"/>
      <c r="E12" s="6" t="n"/>
      <c r="F12" s="6" t="n">
        <v>7250</v>
      </c>
      <c r="G12" s="6" t="n">
        <v>7250</v>
      </c>
    </row>
    <row r="13">
      <c r="A13" s="6" t="inlineStr">
        <is>
          <t>Net issue of share capital (FY2024)</t>
        </is>
      </c>
      <c r="B13" s="6" t="n">
        <v>3</v>
      </c>
      <c r="C13" s="6" t="n">
        <v>18681980</v>
      </c>
      <c r="D13" s="6" t="n"/>
      <c r="E13" s="6" t="n"/>
      <c r="F13" s="6" t="n"/>
      <c r="G13" s="6" t="n">
        <v>18681983</v>
      </c>
    </row>
    <row r="14">
      <c r="A14" s="6" t="inlineStr">
        <is>
          <t>Issue of employee share options (FY2024)</t>
        </is>
      </c>
      <c r="B14" s="6" t="n"/>
      <c r="C14" s="6" t="n"/>
      <c r="D14" s="6" t="n">
        <v>613878</v>
      </c>
      <c r="E14" s="6" t="n"/>
      <c r="F14" s="6" t="n"/>
      <c r="G14" s="6" t="n">
        <v>613878</v>
      </c>
    </row>
    <row r="15">
      <c r="A15" s="5" t="inlineStr">
        <is>
          <t>Balance at 30 September 2024</t>
        </is>
      </c>
      <c r="B15" s="5" t="n">
        <v>16</v>
      </c>
      <c r="C15" s="5" t="n">
        <v>49559702</v>
      </c>
      <c r="D15" s="5" t="n">
        <v>1653057</v>
      </c>
      <c r="E15" s="5" t="n">
        <v>101283</v>
      </c>
      <c r="F15" s="5" t="n">
        <v>-36139633</v>
      </c>
      <c r="G15" s="5" t="n">
        <v>15174425</v>
      </c>
    </row>
    <row r="16">
      <c r="A16" s="6" t="inlineStr">
        <is>
          <t>Loss for the year (FY2025)</t>
        </is>
      </c>
      <c r="B16" s="6" t="n"/>
      <c r="C16" s="6" t="n"/>
      <c r="D16" s="6" t="n"/>
      <c r="E16" s="6" t="n"/>
      <c r="F16" s="6" t="n">
        <v>-12058149</v>
      </c>
      <c r="G16" s="6" t="n">
        <v>-12058149</v>
      </c>
    </row>
    <row r="17">
      <c r="A17" s="6" t="inlineStr">
        <is>
          <t>Other comprehensive income for the year (FY2025)</t>
        </is>
      </c>
      <c r="B17" s="6" t="n"/>
      <c r="C17" s="6" t="n"/>
      <c r="D17" s="6" t="n"/>
      <c r="E17" s="6" t="n"/>
      <c r="F17" s="6" t="n">
        <v>409</v>
      </c>
      <c r="G17" s="6" t="n">
        <v>409</v>
      </c>
    </row>
    <row r="18">
      <c r="A18" s="6" t="inlineStr">
        <is>
          <t>Net issue of share capital (FY2025)</t>
        </is>
      </c>
      <c r="B18" s="6" t="n">
        <v>7</v>
      </c>
      <c r="C18" s="6" t="n">
        <v>11342233</v>
      </c>
      <c r="D18" s="6" t="n"/>
      <c r="E18" s="6" t="n"/>
      <c r="F18" s="6" t="n"/>
      <c r="G18" s="6" t="n">
        <v>11342240</v>
      </c>
    </row>
    <row r="19">
      <c r="A19" s="6" t="inlineStr">
        <is>
          <t>Issue of employee share options (FY2025)</t>
        </is>
      </c>
      <c r="B19" s="6" t="n"/>
      <c r="C19" s="6" t="n"/>
      <c r="D19" s="6" t="n">
        <v>2048774</v>
      </c>
      <c r="E19" s="6" t="n"/>
      <c r="F19" s="6" t="n"/>
      <c r="G19" s="6" t="n">
        <v>2048774</v>
      </c>
    </row>
    <row r="20">
      <c r="A20" s="5" t="inlineStr">
        <is>
          <t>Balance at 30 September 2025</t>
        </is>
      </c>
      <c r="B20" s="5" t="n">
        <v>23</v>
      </c>
      <c r="C20" s="5" t="n">
        <v>60901935</v>
      </c>
      <c r="D20" s="5" t="n">
        <v>3701831</v>
      </c>
      <c r="E20" s="5" t="n">
        <v>101283</v>
      </c>
      <c r="F20" s="5" t="n">
        <v>-48197373</v>
      </c>
      <c r="G20" s="5" t="n">
        <v>16507699</v>
      </c>
    </row>
    <row r="22" ht="260" customHeight="1">
      <c r="A22" s="8" t="inlineStr">
        <is>
          <t>Sources - all figures are Griffin Bank Limited's own primary financial statements:
FY2025: Annual Report and Financial Statements 2025, p.51 (Statement of Financial Position), p.50 (Statement of comprehensive income), p.52 (Statement of changes in equity) - https://cms.griffin.com/griffin-assets/Griffin_Bank_Ltd_Annual_Report_2025_edeb37eca7.pdf
FY2024: Annual Report and Financial Statements 2024, p.59 (Statement of financial position), p.58 (Statement of comprehensive income), p.60-61 (Statement of changes in equity) - https://cms.griffin.com/griffin-assets/Griffin_Bank_Ltd_Annual_Report_2024_b98c8d4c38.pdf
FY2023 (15mo, unaudited): Annual Report and Financial Statements 2023, p.45 (Statement of financial position), p.44 (Statement of comprehensive income), p.46 (Statement of changes in equity) - https://cms.griffin.com/griffin-assets/Griffin_Bank_Ltd_2023_Annual_Report_and_Financial_Statements_9c92dd2876.pdf
All 3 documents are text-native (no scanned/image-only pages) - transcribed directly from extracted text, cross-checked against each later report's own comparative column where available (all agree exactly, no restatements found).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1">
    <mergeCell ref="A22:G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s>
  <sheetData>
    <row r="1">
      <c r="A1" s="1" t="inlineStr">
        <is>
          <t>Griffin Bank Limited — Statement of Cash Flows</t>
        </is>
      </c>
    </row>
    <row r="2">
      <c r="A2" s="2" t="inlineStr">
        <is>
          <t>Bank-only (no group); FY2023 covers a 15-month period ended 30 September 2023 and is labelled unaudited in the source; see the source note below</t>
        </is>
      </c>
    </row>
    <row r="3">
      <c r="A3" s="4" t="inlineStr">
        <is>
          <t>Line item</t>
        </is>
      </c>
      <c r="B3" s="4" t="inlineStr">
        <is>
          <t>FY2025 (£)</t>
        </is>
      </c>
      <c r="C3" s="4" t="inlineStr">
        <is>
          <t>FY2024 (£)</t>
        </is>
      </c>
      <c r="D3" s="4" t="inlineStr">
        <is>
          <t>FY2023 (15mo) (£)</t>
        </is>
      </c>
    </row>
    <row r="4">
      <c r="A4" s="5" t="inlineStr">
        <is>
          <t>Operating activities</t>
        </is>
      </c>
      <c r="B4" s="6" t="n"/>
      <c r="C4" s="6" t="n"/>
      <c r="D4" s="6" t="n"/>
    </row>
    <row r="5">
      <c r="A5" s="6" t="inlineStr">
        <is>
          <t>Loss for the year/period after taxation</t>
        </is>
      </c>
      <c r="B5" s="6" t="n">
        <v>-12058149</v>
      </c>
      <c r="C5" s="6" t="n">
        <v>-12889929</v>
      </c>
      <c r="D5" s="6" t="n">
        <v>-12719584</v>
      </c>
    </row>
    <row r="6">
      <c r="A6" s="6" t="inlineStr">
        <is>
          <t>Finance income</t>
        </is>
      </c>
      <c r="B6" s="6" t="n">
        <v>-787929</v>
      </c>
      <c r="C6" s="6" t="n">
        <v>-661153</v>
      </c>
      <c r="D6" s="6" t="n">
        <v>-207121</v>
      </c>
    </row>
    <row r="7">
      <c r="A7" s="6" t="inlineStr">
        <is>
          <t>Fair value on warrants expense</t>
        </is>
      </c>
      <c r="B7" s="6" t="n">
        <v>0</v>
      </c>
      <c r="C7" s="6" t="n">
        <v>0</v>
      </c>
      <c r="D7" s="6" t="n">
        <v>101283</v>
      </c>
    </row>
    <row r="8">
      <c r="A8" s="6" t="inlineStr">
        <is>
          <t>Depreciation of property, plant and equipment</t>
        </is>
      </c>
      <c r="B8" s="6" t="n">
        <v>89059</v>
      </c>
      <c r="C8" s="6" t="n">
        <v>87363</v>
      </c>
      <c r="D8" s="6" t="n">
        <v>82107</v>
      </c>
    </row>
    <row r="9">
      <c r="A9" s="6" t="inlineStr">
        <is>
          <t>Loss on disposal of property, plant and equipment</t>
        </is>
      </c>
      <c r="B9" s="6" t="n"/>
      <c r="C9" s="6" t="n"/>
      <c r="D9" s="6" t="n">
        <v>0</v>
      </c>
    </row>
    <row r="10">
      <c r="A10" s="6" t="inlineStr">
        <is>
          <t>Amortisation of intangible assets</t>
        </is>
      </c>
      <c r="B10" s="6" t="n">
        <v>427397</v>
      </c>
      <c r="C10" s="6" t="n">
        <v>69323</v>
      </c>
      <c r="D10" s="6" t="n">
        <v>22797</v>
      </c>
    </row>
    <row r="11">
      <c r="A11" s="6" t="inlineStr">
        <is>
          <t>Share-based payment expense</t>
        </is>
      </c>
      <c r="B11" s="6" t="n">
        <v>2048775</v>
      </c>
      <c r="C11" s="6" t="n">
        <v>613878</v>
      </c>
      <c r="D11" s="6" t="n">
        <v>1039179</v>
      </c>
    </row>
    <row r="12">
      <c r="A12" s="5" t="inlineStr">
        <is>
          <t>Operating cash flows before movements in working capital</t>
        </is>
      </c>
      <c r="B12" s="5" t="n">
        <v>-10280847</v>
      </c>
      <c r="C12" s="5" t="n">
        <v>-12780518</v>
      </c>
      <c r="D12" s="5" t="n">
        <v>-11681339</v>
      </c>
    </row>
    <row r="13">
      <c r="A13" s="6" t="inlineStr">
        <is>
          <t>Change/(increase) in trade and other receivables</t>
        </is>
      </c>
      <c r="B13" s="6" t="n">
        <v>50140</v>
      </c>
      <c r="C13" s="6" t="n">
        <v>-344399</v>
      </c>
      <c r="D13" s="6" t="n">
        <v>-337582</v>
      </c>
    </row>
    <row r="14">
      <c r="A14" s="6" t="inlineStr">
        <is>
          <t>Change/(increase) in customer deposits</t>
        </is>
      </c>
      <c r="B14" s="6" t="n">
        <v>99713285</v>
      </c>
      <c r="C14" s="6" t="n">
        <v>2070144</v>
      </c>
      <c r="D14" s="6" t="n"/>
    </row>
    <row r="15">
      <c r="A15" s="6" t="inlineStr">
        <is>
          <t>Change/(increase) in trade and other payables</t>
        </is>
      </c>
      <c r="B15" s="6" t="n">
        <v>-250442</v>
      </c>
      <c r="C15" s="6" t="n">
        <v>595809</v>
      </c>
      <c r="D15" s="6" t="n">
        <v>-160031</v>
      </c>
    </row>
    <row r="16">
      <c r="A16" s="6" t="inlineStr">
        <is>
          <t>Change in contract liabilities</t>
        </is>
      </c>
      <c r="B16" s="6" t="n">
        <v>29643</v>
      </c>
      <c r="C16" s="6" t="n">
        <v>-6016</v>
      </c>
      <c r="D16" s="6" t="n">
        <v>115000</v>
      </c>
    </row>
    <row r="17">
      <c r="A17" s="5" t="inlineStr">
        <is>
          <t>Net cash from/(used in) operating activities</t>
        </is>
      </c>
      <c r="B17" s="5" t="n">
        <v>89261779</v>
      </c>
      <c r="C17" s="5" t="n">
        <v>-10464980</v>
      </c>
      <c r="D17" s="5" t="n">
        <v>-12063952</v>
      </c>
    </row>
    <row r="18">
      <c r="A18" s="5" t="inlineStr">
        <is>
          <t>Investing activities</t>
        </is>
      </c>
      <c r="B18" s="6" t="n"/>
      <c r="C18" s="6" t="n"/>
      <c r="D18" s="6" t="n"/>
    </row>
    <row r="19">
      <c r="A19" s="6" t="inlineStr">
        <is>
          <t>Interest received</t>
        </is>
      </c>
      <c r="B19" s="6" t="n">
        <v>2385325</v>
      </c>
      <c r="C19" s="6" t="n">
        <v>670900</v>
      </c>
      <c r="D19" s="6" t="n">
        <v>370741</v>
      </c>
    </row>
    <row r="20">
      <c r="A20" s="6" t="inlineStr">
        <is>
          <t>Purchases of debt securities</t>
        </is>
      </c>
      <c r="B20" s="6" t="n">
        <v>-297626768</v>
      </c>
      <c r="C20" s="6" t="n">
        <v>-37188716</v>
      </c>
      <c r="D20" s="6" t="n">
        <v>-14891308</v>
      </c>
    </row>
    <row r="21">
      <c r="A21" s="6" t="inlineStr">
        <is>
          <t>Proceeds on disposal of debt securities</t>
        </is>
      </c>
      <c r="B21" s="6" t="n">
        <v>209748720</v>
      </c>
      <c r="C21" s="6" t="n">
        <v>33030785</v>
      </c>
      <c r="D21" s="6" t="n">
        <v>6340000</v>
      </c>
    </row>
    <row r="22">
      <c r="A22" s="6" t="inlineStr">
        <is>
          <t>Purchases of Treasury bills</t>
        </is>
      </c>
      <c r="B22" s="6" t="n">
        <v>-20713633</v>
      </c>
      <c r="C22" s="6" t="n"/>
      <c r="D22" s="6" t="n"/>
    </row>
    <row r="23">
      <c r="A23" s="6" t="inlineStr">
        <is>
          <t>Proceeds on disposal and maturity of Treasury bills</t>
        </is>
      </c>
      <c r="B23" s="6" t="n">
        <v>14789751</v>
      </c>
      <c r="C23" s="6" t="n"/>
      <c r="D23" s="6" t="n"/>
    </row>
    <row r="24">
      <c r="A24" s="6" t="inlineStr">
        <is>
          <t>Purchases of supranational bonds</t>
        </is>
      </c>
      <c r="B24" s="6" t="n">
        <v>-3122866</v>
      </c>
      <c r="C24" s="6" t="n"/>
      <c r="D24" s="6" t="n"/>
    </row>
    <row r="25">
      <c r="A25" s="6" t="inlineStr">
        <is>
          <t>Proceeds on disposal and maturity of supranational bonds</t>
        </is>
      </c>
      <c r="B25" s="6" t="n">
        <v>3122866</v>
      </c>
      <c r="C25" s="6" t="n"/>
      <c r="D25" s="6" t="n"/>
    </row>
    <row r="26">
      <c r="A26" s="6" t="inlineStr">
        <is>
          <t>Proceeds on disposal of property, plant and equipment</t>
        </is>
      </c>
      <c r="B26" s="6" t="n">
        <v>5011</v>
      </c>
      <c r="C26" s="6" t="n">
        <v>1107</v>
      </c>
      <c r="D26" s="6" t="n"/>
    </row>
    <row r="27">
      <c r="A27" s="6" t="inlineStr">
        <is>
          <t>Purchases of property, plant and equipment</t>
        </is>
      </c>
      <c r="B27" s="6" t="n">
        <v>-84119</v>
      </c>
      <c r="C27" s="6" t="n">
        <v>-110110</v>
      </c>
      <c r="D27" s="6" t="n">
        <v>-144868</v>
      </c>
    </row>
    <row r="28">
      <c r="A28" s="6" t="inlineStr">
        <is>
          <t>Capitalisation of intangible assets / purchases of patents and trademarks</t>
        </is>
      </c>
      <c r="B28" s="6" t="n">
        <v>-2548860</v>
      </c>
      <c r="C28" s="6" t="n">
        <v>-1944908</v>
      </c>
      <c r="D28" s="6" t="n">
        <v>-202536</v>
      </c>
    </row>
    <row r="29">
      <c r="A29" s="5" t="inlineStr">
        <is>
          <t>Net cash from/(used in) investing activities</t>
        </is>
      </c>
      <c r="B29" s="5" t="n">
        <v>-94044573</v>
      </c>
      <c r="C29" s="5" t="n">
        <v>-5540942</v>
      </c>
      <c r="D29" s="5" t="n">
        <v>-8527971</v>
      </c>
    </row>
    <row r="30">
      <c r="A30" s="5" t="inlineStr">
        <is>
          <t>Financing activities</t>
        </is>
      </c>
      <c r="B30" s="6" t="n"/>
      <c r="C30" s="6" t="n"/>
      <c r="D30" s="6" t="n"/>
    </row>
    <row r="31">
      <c r="A31" s="6" t="inlineStr">
        <is>
          <t>Interest paid</t>
        </is>
      </c>
      <c r="B31" s="6" t="n">
        <v>-1597396</v>
      </c>
      <c r="C31" s="6" t="n">
        <v>-9747</v>
      </c>
      <c r="D31" s="6" t="n">
        <v>-163620</v>
      </c>
    </row>
    <row r="32">
      <c r="A32" s="6" t="inlineStr">
        <is>
          <t>Repayments of loans and borrowings</t>
        </is>
      </c>
      <c r="B32" s="6" t="n"/>
      <c r="C32" s="6" t="n">
        <v>-579173</v>
      </c>
      <c r="D32" s="6" t="n">
        <v>-777435</v>
      </c>
    </row>
    <row r="33">
      <c r="A33" s="6" t="inlineStr">
        <is>
          <t>Transaction costs related to issuing shares</t>
        </is>
      </c>
      <c r="B33" s="6" t="n">
        <v>-213963</v>
      </c>
      <c r="C33" s="6" t="n">
        <v>-454668</v>
      </c>
      <c r="D33" s="6" t="n">
        <v>-411555</v>
      </c>
    </row>
    <row r="34">
      <c r="A34" s="6" t="inlineStr">
        <is>
          <t>Proceeds on issue of shares</t>
        </is>
      </c>
      <c r="B34" s="6" t="n">
        <v>11556203</v>
      </c>
      <c r="C34" s="6" t="n">
        <v>19136651</v>
      </c>
      <c r="D34" s="6" t="n">
        <v>11167143</v>
      </c>
    </row>
    <row r="35">
      <c r="A35" s="5" t="inlineStr">
        <is>
          <t>Net cash from/(used in) financing activities</t>
        </is>
      </c>
      <c r="B35" s="5" t="n">
        <v>9744844</v>
      </c>
      <c r="C35" s="5" t="n">
        <v>18093063</v>
      </c>
      <c r="D35" s="5" t="n">
        <v>9814533</v>
      </c>
    </row>
    <row r="36">
      <c r="A36" s="5" t="inlineStr">
        <is>
          <t>Net increase/(decrease) in cash and cash equivalents</t>
        </is>
      </c>
      <c r="B36" s="5" t="n">
        <v>4962049</v>
      </c>
      <c r="C36" s="5" t="n">
        <v>2087140</v>
      </c>
      <c r="D36" s="5" t="n">
        <v>-10777390</v>
      </c>
    </row>
    <row r="37">
      <c r="A37" s="6" t="inlineStr">
        <is>
          <t>Cash and cash equivalents at the beginning of the year/period</t>
        </is>
      </c>
      <c r="B37" s="6" t="n">
        <v>2364540</v>
      </c>
      <c r="C37" s="6" t="n">
        <v>270150</v>
      </c>
      <c r="D37" s="6" t="n">
        <v>11048648</v>
      </c>
    </row>
    <row r="38">
      <c r="A38" s="6" t="inlineStr">
        <is>
          <t>Effect of foreign exchange rate changes</t>
        </is>
      </c>
      <c r="B38" s="6" t="n">
        <v>409</v>
      </c>
      <c r="C38" s="6" t="n">
        <v>7250</v>
      </c>
      <c r="D38" s="6" t="n">
        <v>-1108</v>
      </c>
    </row>
    <row r="39">
      <c r="A39" s="5" t="inlineStr">
        <is>
          <t>Cash and cash equivalents at the end of the year/period</t>
        </is>
      </c>
      <c r="B39" s="5" t="n">
        <v>7326998</v>
      </c>
      <c r="C39" s="5" t="n">
        <v>2364540</v>
      </c>
      <c r="D39" s="5" t="n">
        <v>270150</v>
      </c>
    </row>
    <row r="41" ht="170" customHeight="1">
      <c r="A41" s="8" t="inlineStr">
        <is>
          <t>Sources - all figures are Griffin Bank Limited's own Statement of Cash Flows:
FY2025: Annual Report and Financial Statements 2025, p.53-54 (Statement of cash flows) - https://cms.griffin.com/griffin-assets/Griffin_Bank_Ltd_Annual_Report_2025_edeb37eca7.pdf
FY2024: Annual Report and Financial Statements 2024, p.61 (Statement of cash flows; cross-checked against its own restated comparative in the 2025 Annual Report, p.53-54 - figures match exactly, no restatement) - https://cms.griffin.com/griffin-assets/Griffin_Bank_Ltd_Annual_Report_2024_b98c8d4c38.pdf
FY2023 (15mo): Annual Report and Financial Statements 2023, p.47 (Statement of cash flows, unaudited, 15 months ended 30 September 2023) - https://cms.griffin.com/griffin-assets/Griffin_Bank_Ltd_2023_Annual_Report_and_Financial_Statements_9c92dd2876.pdf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1">
    <mergeCell ref="A41:D4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s>
  <sheetData>
    <row r="1">
      <c r="A1" s="1" t="inlineStr">
        <is>
          <t>Griffin Bank Limited — Asset Quality / Credit Risk Disclosures</t>
        </is>
      </c>
    </row>
    <row r="2">
      <c r="A2" s="2" t="inlineStr">
        <is>
          <t>No customer lending exists at all in FY2023-FY2025 - see source note.</t>
        </is>
      </c>
    </row>
    <row r="3">
      <c r="A3" s="4" t="inlineStr">
        <is>
          <t>Line item</t>
        </is>
      </c>
      <c r="B3" s="4" t="inlineStr">
        <is>
          <t>FY2025 (£'000)</t>
        </is>
      </c>
      <c r="C3" s="4" t="inlineStr">
        <is>
          <t>FY2024 (£'000)</t>
        </is>
      </c>
      <c r="D3" s="4" t="inlineStr">
        <is>
          <t>FY2023 (15mo) (£'000)</t>
        </is>
      </c>
    </row>
    <row r="4">
      <c r="A4" s="6" t="inlineStr">
        <is>
          <t>Not publicly disclosed - the Bank has no customer lending in any of the 3 published years (confirmed explicitly in its own Note 28 'Financial risk management, Credit risk' and by the absence of any loan line on the Balance Sheet) - see source note.</t>
        </is>
      </c>
      <c r="B4" s="6" t="n"/>
      <c r="C4" s="6" t="n"/>
      <c r="D4" s="6" t="n"/>
    </row>
    <row r="6" ht="200" customHeight="1">
      <c r="A6" s="8" t="inlineStr">
        <is>
          <t>Sources - Griffin Bank Limited's own Note 28 'Financial risk management' (Annual Report and Financial Statements 2025, p.93, Credit risk section) - https://cms.griffin.com/griffin-assets/Griffin_Bank_Ltd_Annual_Report_2025_edeb37eca7.pdf - states: "As the Bank has no customer lending at this stage, the main credit risk to which the Bank is exposed is counterparty risk associated with its placements at banks and its investments." Confirmed against all 3 years' own Balance Sheets (FY2023-FY2025), none of which show a Loans and advances to customers line at all - the Bank's only interest-bearing assets are cash/bank placements and debt securities/Treasury bills/supranational bonds (see Balance Sheet sheet).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1">
    <mergeCell ref="A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Griffin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 (15mo)</t>
        </is>
      </c>
    </row>
    <row r="4">
      <c r="A4" s="6" t="inlineStr">
        <is>
          <t>Return on equity - average equity basis</t>
        </is>
      </c>
      <c r="B4" s="6" t="inlineStr">
        <is>
          <t>-76.12%</t>
        </is>
      </c>
      <c r="C4" s="6" t="inlineStr">
        <is>
          <t>-107.70%</t>
        </is>
      </c>
      <c r="D4" s="6" t="n"/>
    </row>
    <row r="5">
      <c r="A5" s="6" t="inlineStr">
        <is>
          <t>Return on equity - year-end equity basis</t>
        </is>
      </c>
      <c r="B5" s="6" t="inlineStr">
        <is>
          <t>-73.05%</t>
        </is>
      </c>
      <c r="C5" s="6" t="inlineStr">
        <is>
          <t>-84.95%</t>
        </is>
      </c>
      <c r="D5" s="6" t="inlineStr">
        <is>
          <t>-145.18%</t>
        </is>
      </c>
    </row>
    <row r="6">
      <c r="A6" s="6" t="inlineStr">
        <is>
          <t>Return on assets - average assets basis</t>
        </is>
      </c>
      <c r="B6" s="6" t="inlineStr">
        <is>
          <t>-17.44%</t>
        </is>
      </c>
      <c r="C6" s="6" t="inlineStr">
        <is>
          <t>-89.03%</t>
        </is>
      </c>
      <c r="D6" s="6" t="n"/>
    </row>
    <row r="7">
      <c r="A7" s="6" t="inlineStr">
        <is>
          <t>Return on assets - year-end assets basis</t>
        </is>
      </c>
      <c r="B7" s="6" t="inlineStr">
        <is>
          <t>-10.09%</t>
        </is>
      </c>
      <c r="C7" s="6" t="inlineStr">
        <is>
          <t>-68.84%</t>
        </is>
      </c>
      <c r="D7" s="6" t="inlineStr">
        <is>
          <t>-124.32%</t>
        </is>
      </c>
    </row>
    <row r="8">
      <c r="A8" s="6" t="inlineStr">
        <is>
          <t>Return on assets (as published)</t>
        </is>
      </c>
      <c r="B8" s="6" t="inlineStr">
        <is>
          <t>(17%)</t>
        </is>
      </c>
      <c r="C8" s="6" t="inlineStr">
        <is>
          <t>Not published</t>
        </is>
      </c>
      <c r="D8" s="6" t="n"/>
    </row>
    <row r="9" ht="403"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assets: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-107.70% on an average basis and -84.95% on a year-end basis.
FY2023 DOES NOT COVER TWELVE MONTHS, SO IT IS NOT AN ANNUAL RETURN. FY2023 is a 15-month period, 1 July 2022 to 30 September 2023 - the Bank's first published period - reported as originally stated and not annualised. A return divides a profit-and-loss FLOW by a balance-sheet STOCK, so where the flow covers more or less than a year the quotient is scaled by that period and cannot be read against the columns either side of it. The figures above are printed anyway, and deliberately: both inputs are figures the bank itself published, and the ratio of them is exact. What is wrong is only the interpretation, which this paragraph supplies. They are NOT annualised - a pro-rata adjustment would be this project's arithmetic on a period the bank never annualised, and would invent a figure with no published counterpart.
FY2023 HAS NO AVERAGE-BASIS RATIO, AND THAT IS CORRECT. An average denominator needs an opening balance, and FY2023 is the oldest column this workbook carries, so there is no prior year to open from. The blank is structural, not a missing figure. The year-end basis is shown for FY2023 because it needs only the closing balance.
FIGURES THE BANK PUBLISHED ONLY AS A LATER EDITION'S COMPARATIVE, AND WHY THEY ARE NOT IN THE CELLS ABOVE. FY2024 Return on assets (89%).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“loss for the year/period after taxation” and the Balance Sheet rows “total equity” and “total assets”, resolved BY LABEL at build time through the shared resolver scripts/profitability_rows.py, so this sheet cannot drift from the statements it summarises. Those rows are themselves transcribed from Griffin Bank Limited's Annual Report and Accounts for each year; see the source cells on the Balance Sheet and Profit &amp; Loss sheets for the exact document, page and table behind every input to every percentage above.
The '(as published)' rows are quoted verbatim from Griffin Bank Limited's own disclosures and are recorded, with the exact document, page and verification state for each, in research/profitability/published_returns.jsonl under ‘GRIFFIN BANK’.</t>
        </is>
      </c>
    </row>
  </sheetData>
  <mergeCells count="2">
    <mergeCell ref="A9:D9"/>
    <mergeCell ref="A11:D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s>
  <sheetData>
    <row r="1">
      <c r="A1" s="1" t="inlineStr">
        <is>
          <t>Griffin Bank Limited — KM1 Key Metrics</t>
        </is>
      </c>
    </row>
    <row r="2">
      <c r="A2" s="2" t="inlineStr">
        <is>
          <t>The Bank's own published UK key-metrics (KM1) table, reproduced in Griffin's row order with its own labels and printed precision. Griffin prints the template WITHOUT row numbers, so none are shown. Amounts in £'000, ratios as printed. FY2023 is a 15-month period ended 30 September 2023 and is the only year with a Pillar 3 report; FY2024 and FY2025 are covered by Griffin's SDDT modification, which removes the disclosure obligation.</t>
        </is>
      </c>
    </row>
    <row r="3">
      <c r="A3" s="4" t="inlineStr">
        <is>
          <t>Line item</t>
        </is>
      </c>
      <c r="B3" s="4" t="inlineStr">
        <is>
          <t>FY2025</t>
        </is>
      </c>
      <c r="C3" s="4" t="inlineStr">
        <is>
          <t>FY2024</t>
        </is>
      </c>
      <c r="D3" s="4" t="inlineStr">
        <is>
          <t>FY2023 (15mo)</t>
        </is>
      </c>
    </row>
    <row r="4">
      <c r="A4" s="5" t="inlineStr">
        <is>
          <t>Available own funds (amounts) — £'000</t>
        </is>
      </c>
      <c r="B4" s="6" t="n"/>
      <c r="C4" s="6" t="n"/>
      <c r="D4" s="6" t="n"/>
    </row>
    <row r="5">
      <c r="A5" s="6" t="inlineStr">
        <is>
          <t>Common Equity Tier 1 (CET1) capital</t>
        </is>
      </c>
      <c r="B5" s="6" t="inlineStr">
        <is>
          <t>Not required (SDDT)</t>
        </is>
      </c>
      <c r="C5" s="6" t="inlineStr">
        <is>
          <t>Not required (SDDT)</t>
        </is>
      </c>
      <c r="D5" s="6" t="n">
        <v>8564</v>
      </c>
    </row>
    <row r="6">
      <c r="A6" s="6" t="inlineStr">
        <is>
          <t>Tier 1 capital</t>
        </is>
      </c>
      <c r="B6" s="6" t="inlineStr">
        <is>
          <t>Not required (SDDT)</t>
        </is>
      </c>
      <c r="C6" s="6" t="inlineStr">
        <is>
          <t>Not required (SDDT)</t>
        </is>
      </c>
      <c r="D6" s="6" t="n">
        <v>8564</v>
      </c>
    </row>
    <row r="7">
      <c r="A7" s="6" t="inlineStr">
        <is>
          <t>Total capital</t>
        </is>
      </c>
      <c r="B7" s="6" t="inlineStr">
        <is>
          <t>Not required (SDDT)</t>
        </is>
      </c>
      <c r="C7" s="6" t="inlineStr">
        <is>
          <t>Not required (SDDT)</t>
        </is>
      </c>
      <c r="D7" s="6" t="n">
        <v>8564</v>
      </c>
    </row>
    <row r="8">
      <c r="A8" s="5" t="inlineStr">
        <is>
          <t>Risk-weighted exposure amounts — £'000</t>
        </is>
      </c>
      <c r="B8" s="6" t="n"/>
      <c r="C8" s="6" t="n"/>
      <c r="D8" s="6" t="n"/>
    </row>
    <row r="9">
      <c r="A9" s="6" t="inlineStr">
        <is>
          <t>Total risk-weighted exposure amount</t>
        </is>
      </c>
      <c r="B9" s="6" t="inlineStr">
        <is>
          <t>Not required (SDDT)</t>
        </is>
      </c>
      <c r="C9" s="6" t="inlineStr">
        <is>
          <t>Not required (SDDT)</t>
        </is>
      </c>
      <c r="D9" s="6" t="n">
        <v>1879</v>
      </c>
    </row>
    <row r="10">
      <c r="A10" s="5" t="inlineStr">
        <is>
          <t>Capital ratios (as % of RWAs)</t>
        </is>
      </c>
      <c r="B10" s="6" t="n"/>
      <c r="C10" s="6" t="n"/>
      <c r="D10" s="6" t="n"/>
    </row>
    <row r="11">
      <c r="A11" s="6" t="inlineStr">
        <is>
          <t>CET1 ratio (%)</t>
        </is>
      </c>
      <c r="B11" s="6" t="inlineStr">
        <is>
          <t>Not required (SDDT)</t>
        </is>
      </c>
      <c r="C11" s="6" t="inlineStr">
        <is>
          <t>Not required (SDDT)</t>
        </is>
      </c>
      <c r="D11" s="6" t="inlineStr">
        <is>
          <t>456%</t>
        </is>
      </c>
    </row>
    <row r="12">
      <c r="A12" s="6" t="inlineStr">
        <is>
          <t>Tier 1 ratio (%)</t>
        </is>
      </c>
      <c r="B12" s="6" t="inlineStr">
        <is>
          <t>Not required (SDDT)</t>
        </is>
      </c>
      <c r="C12" s="6" t="inlineStr">
        <is>
          <t>Not required (SDDT)</t>
        </is>
      </c>
      <c r="D12" s="6" t="inlineStr">
        <is>
          <t>456%</t>
        </is>
      </c>
    </row>
    <row r="13">
      <c r="A13" s="6" t="inlineStr">
        <is>
          <t>Total capital ratio (%)</t>
        </is>
      </c>
      <c r="B13" s="6" t="inlineStr">
        <is>
          <t>Not required (SDDT)</t>
        </is>
      </c>
      <c r="C13" s="6" t="inlineStr">
        <is>
          <t>Not required (SDDT)</t>
        </is>
      </c>
      <c r="D13" s="6" t="inlineStr">
        <is>
          <t>456%</t>
        </is>
      </c>
    </row>
    <row r="14">
      <c r="A14" s="5" t="inlineStr">
        <is>
          <t>Additional own funds requirements based on SREP(2) (as % of RWAs)</t>
        </is>
      </c>
      <c r="B14" s="6" t="n"/>
      <c r="C14" s="6" t="n"/>
      <c r="D14" s="6" t="n"/>
    </row>
    <row r="15">
      <c r="A15" s="6" t="inlineStr">
        <is>
          <t>Additional CET1 SREP requirements (%)</t>
        </is>
      </c>
      <c r="B15" s="6" t="inlineStr">
        <is>
          <t>Not required (SDDT)</t>
        </is>
      </c>
      <c r="C15" s="6" t="inlineStr">
        <is>
          <t>Not required (SDDT)</t>
        </is>
      </c>
      <c r="D15" s="6" t="inlineStr">
        <is>
          <t>41%</t>
        </is>
      </c>
    </row>
    <row r="16">
      <c r="A16" s="6" t="inlineStr">
        <is>
          <t>Total SREP own funds requirements (%)</t>
        </is>
      </c>
      <c r="B16" s="6" t="inlineStr">
        <is>
          <t>Not required (SDDT)</t>
        </is>
      </c>
      <c r="C16" s="6" t="inlineStr">
        <is>
          <t>Not required (SDDT)</t>
        </is>
      </c>
      <c r="D16" s="6" t="inlineStr">
        <is>
          <t>72%</t>
        </is>
      </c>
    </row>
    <row r="17">
      <c r="A17" s="5" t="inlineStr">
        <is>
          <t>Combined buffer requirement (as % of RWAs)</t>
        </is>
      </c>
      <c r="B17" s="6" t="n"/>
      <c r="C17" s="6" t="n"/>
      <c r="D17" s="6" t="n"/>
    </row>
    <row r="18">
      <c r="A18" s="6" t="inlineStr">
        <is>
          <t>Capital conservation buffer (%)</t>
        </is>
      </c>
      <c r="B18" s="6" t="inlineStr">
        <is>
          <t>Not required (SDDT)</t>
        </is>
      </c>
      <c r="C18" s="6" t="inlineStr">
        <is>
          <t>Not required (SDDT)</t>
        </is>
      </c>
      <c r="D18" s="6" t="inlineStr">
        <is>
          <t>2.50%</t>
        </is>
      </c>
    </row>
    <row r="19">
      <c r="A19" s="6" t="inlineStr">
        <is>
          <t>Institution specific countercyclical capital buffer (%)</t>
        </is>
      </c>
      <c r="B19" s="6" t="inlineStr">
        <is>
          <t>Not required (SDDT)</t>
        </is>
      </c>
      <c r="C19" s="6" t="inlineStr">
        <is>
          <t>Not required (SDDT)</t>
        </is>
      </c>
      <c r="D19" s="6" t="inlineStr">
        <is>
          <t>1.97%</t>
        </is>
      </c>
    </row>
    <row r="20">
      <c r="A20" s="6" t="inlineStr">
        <is>
          <t>Combined buffer requirement (%)</t>
        </is>
      </c>
      <c r="B20" s="6" t="inlineStr">
        <is>
          <t>Not required (SDDT)</t>
        </is>
      </c>
      <c r="C20" s="6" t="inlineStr">
        <is>
          <t>Not required (SDDT)</t>
        </is>
      </c>
      <c r="D20" s="6" t="inlineStr">
        <is>
          <t>4.47%</t>
        </is>
      </c>
    </row>
    <row r="21">
      <c r="A21" s="6" t="inlineStr">
        <is>
          <t>Overall capital requirements (%)</t>
        </is>
      </c>
      <c r="B21" s="6" t="inlineStr">
        <is>
          <t>Not required (SDDT)</t>
        </is>
      </c>
      <c r="C21" s="6" t="inlineStr">
        <is>
          <t>Not required (SDDT)</t>
        </is>
      </c>
      <c r="D21" s="6" t="inlineStr">
        <is>
          <t>76.62%</t>
        </is>
      </c>
    </row>
    <row r="22">
      <c r="A22" s="6" t="inlineStr">
        <is>
          <t>CET1 available after meeting the total SREP own funds requirements (%)  [printed as an amount, 5,088 — see note]</t>
        </is>
      </c>
      <c r="B22" s="6" t="inlineStr">
        <is>
          <t>Not required (SDDT)</t>
        </is>
      </c>
      <c r="C22" s="6" t="inlineStr">
        <is>
          <t>Not required (SDDT)</t>
        </is>
      </c>
      <c r="D22" s="6" t="n">
        <v>5088</v>
      </c>
    </row>
    <row r="23">
      <c r="A23" s="5" t="inlineStr">
        <is>
          <t>Leverage ratio — £'000 / %</t>
        </is>
      </c>
      <c r="B23" s="6" t="n"/>
      <c r="C23" s="6" t="n"/>
      <c r="D23" s="6" t="n"/>
    </row>
    <row r="24">
      <c r="A24" s="6" t="inlineStr">
        <is>
          <t>Total exposure measure excluding claims on central banks</t>
        </is>
      </c>
      <c r="B24" s="6" t="inlineStr">
        <is>
          <t>Not required (SDDT)</t>
        </is>
      </c>
      <c r="C24" s="6" t="inlineStr">
        <is>
          <t>Not required (SDDT)</t>
        </is>
      </c>
      <c r="D24" s="6" t="n">
        <v>9382</v>
      </c>
    </row>
    <row r="25">
      <c r="A25" s="6" t="inlineStr">
        <is>
          <t>Leverage ratio excluding claims on central banks (%)</t>
        </is>
      </c>
      <c r="B25" s="6" t="inlineStr">
        <is>
          <t>Not required (SDDT)</t>
        </is>
      </c>
      <c r="C25" s="6" t="inlineStr">
        <is>
          <t>Not required (SDDT)</t>
        </is>
      </c>
      <c r="D25" s="6" t="inlineStr">
        <is>
          <t>91%</t>
        </is>
      </c>
    </row>
    <row r="26">
      <c r="A26" s="5" t="inlineStr">
        <is>
          <t>Liquidity coverage ratio(3) — £'000 / %</t>
        </is>
      </c>
      <c r="B26" s="6" t="n"/>
      <c r="C26" s="6" t="n"/>
      <c r="D26" s="6" t="n"/>
    </row>
    <row r="27">
      <c r="A27" s="6" t="inlineStr">
        <is>
          <t>Total high-quality liquid assets (weighted value - average)</t>
        </is>
      </c>
      <c r="B27" s="6" t="inlineStr">
        <is>
          <t>Not required (SDDT)</t>
        </is>
      </c>
      <c r="C27" s="6" t="inlineStr">
        <is>
          <t>Not required (SDDT)</t>
        </is>
      </c>
      <c r="D27" s="6" t="n">
        <v>10387</v>
      </c>
    </row>
    <row r="28">
      <c r="A28" s="6" t="inlineStr">
        <is>
          <t>Cash outflows - total weighted value</t>
        </is>
      </c>
      <c r="B28" s="6" t="inlineStr">
        <is>
          <t>Not required (SDDT)</t>
        </is>
      </c>
      <c r="C28" s="6" t="inlineStr">
        <is>
          <t>Not required (SDDT)</t>
        </is>
      </c>
      <c r="D28" s="6" t="n">
        <v>572</v>
      </c>
    </row>
    <row r="29">
      <c r="A29" s="6" t="inlineStr">
        <is>
          <t>Cash inflows - total weighted value</t>
        </is>
      </c>
      <c r="B29" s="6" t="inlineStr">
        <is>
          <t>Not required (SDDT)</t>
        </is>
      </c>
      <c r="C29" s="6" t="inlineStr">
        <is>
          <t>Not required (SDDT)</t>
        </is>
      </c>
      <c r="D29" s="6" t="n">
        <v>184</v>
      </c>
    </row>
    <row r="30">
      <c r="A30" s="6" t="inlineStr">
        <is>
          <t>Total net cash outflows (adjusted value)</t>
        </is>
      </c>
      <c r="B30" s="6" t="inlineStr">
        <is>
          <t>Not required (SDDT)</t>
        </is>
      </c>
      <c r="C30" s="6" t="inlineStr">
        <is>
          <t>Not required (SDDT)</t>
        </is>
      </c>
      <c r="D30" s="6" t="n">
        <v>388</v>
      </c>
    </row>
    <row r="31">
      <c r="A31" s="6" t="inlineStr">
        <is>
          <t>Liquidity coverage ratio (%)</t>
        </is>
      </c>
      <c r="B31" s="6" t="inlineStr">
        <is>
          <t>Not required (SDDT)</t>
        </is>
      </c>
      <c r="C31" s="6" t="inlineStr">
        <is>
          <t>Not required (SDDT)</t>
        </is>
      </c>
      <c r="D31" s="6" t="inlineStr">
        <is>
          <t>2,675%</t>
        </is>
      </c>
    </row>
    <row r="32">
      <c r="A32" s="5" t="inlineStr">
        <is>
          <t>Net stable funding ratio(4) — £'000 / %</t>
        </is>
      </c>
      <c r="B32" s="6" t="n"/>
      <c r="C32" s="6" t="n"/>
      <c r="D32" s="6" t="n"/>
    </row>
    <row r="33">
      <c r="A33" s="6" t="inlineStr">
        <is>
          <t>Total available stable funding</t>
        </is>
      </c>
      <c r="B33" s="6" t="inlineStr">
        <is>
          <t>Not required (SDDT)</t>
        </is>
      </c>
      <c r="C33" s="6" t="inlineStr">
        <is>
          <t>Not required (SDDT)</t>
        </is>
      </c>
      <c r="D33" s="6" t="n">
        <v>11039</v>
      </c>
    </row>
    <row r="34">
      <c r="A34" s="6" t="inlineStr">
        <is>
          <t>Total required stable funding</t>
        </is>
      </c>
      <c r="B34" s="6" t="inlineStr">
        <is>
          <t>Not required (SDDT)</t>
        </is>
      </c>
      <c r="C34" s="6" t="inlineStr">
        <is>
          <t>Not required (SDDT)</t>
        </is>
      </c>
      <c r="D34" s="6" t="n">
        <v>1068</v>
      </c>
    </row>
    <row r="35">
      <c r="A35" s="6" t="inlineStr">
        <is>
          <t>Net stable funding ratio (%)</t>
        </is>
      </c>
      <c r="B35" s="6" t="inlineStr">
        <is>
          <t>Not required (SDDT)</t>
        </is>
      </c>
      <c r="C35" s="6" t="inlineStr">
        <is>
          <t>Not required (SDDT)</t>
        </is>
      </c>
      <c r="D35" s="6" t="inlineStr">
        <is>
          <t>1,034%</t>
        </is>
      </c>
    </row>
    <row r="36">
      <c r="A36" s="6" t="inlineStr">
        <is>
          <t>(1) We were authorised as a bank by the PRA (with restrictions) in 2023, and so we do not provide comparative information for the prior period.  (2) Supervisory Review and Evaluation Process.  (3) The LCR represents the average of eight months reported LCR (post-authorisation).  (4) The NSFR represents the average of eight months reported NSFR (post-authorisation). [Griffin's own footnotes to this table]</t>
        </is>
      </c>
      <c r="B36" s="6" t="n"/>
      <c r="C36" s="6" t="n"/>
      <c r="D36" s="6" t="n"/>
    </row>
    <row r="38" ht="400" customHeight="1">
      <c r="A38" s="8" t="inlineStr">
        <is>
          <t>Sources - Griffin Bank Limited's own "4.1 Disclosure of key metrics - KM1" table, £'000 and percentages as printed:
FY2023 (15mo, period ended 30 September 2023): 2023 Pillar 3 Report, p.21 - https://cms.griffin.com/griffin-assets/Griffin_Bank_Ltd_Pillar_3_30_Sept_2023_df3ca44acc.pdf
FY2025 and FY2024: no Pillar 3 report exists, and none is required - see below.
GRIFFIN PRINTS THE TEMPLATE WITHOUT ITS ROW NUMBERS. The table is headed "4.1 Disclosure of key metrics - KM1" and carries the template's section headings and row labels in the template's order, but no template row numbers at all - no "1", no "UK 7a". The labels above are Griffin's own, verbatim; row numbers have NOT been supplied from the PRA template, because inventing them would put words in the bank's mouth. Griffin also prints no UK 7b/UK 7c rows, no UK 8a/UK 9a/10/UK 10a buffer rows and no 14a-14f additional-leverage block: that is Griffin's own row set as a small and non-complex institution disclosing under Article 433b, not a transcription gap.
ONE COLUMN, BY THE BANK'S OWN STATEMENT. The table has a single column, "30 September 2023", carrying Griffin's footnote (1): "We were authorised as a bank by the PRA (with restrictions) in 2023, and so we do not provide comparative information for the prior period." There is no prior-year column to transcribe.
SOURCE DEFECT, REPRODUCED AND FLAGGED. The row "CET1 available after meeting the total SREP own funds requirements (%)" is captioned as a percentage but Griffin prints 5,088 - plainly the £'000 amount, not a ratio (5,088 is 8,564 of CET1 less the 72% x 1,879 SREP requirement, to the nearest £'000). It is reproduced as published, with the label annotated, and is NOT converted into a percentage. Monzo's row 12 carries the identical defect.
FY2025 AND FY2024 READ "Not required (SDDT)", NOT BLANK. Griffin holds a Modification by Consent under Rule 3.1 of the SDDT Regime (PRA Rulebook, CRR Firms), start date 05/03/2024, no end date, per the Bank of England's consolidated register of waivers and modifications for FRN 970920. Rule 3.1 is the opt-in that makes a firm a Small Domestic Deposit Taker and REMOVES the Pillar 3 disclosure obligation outright - distinct from Article 433b small-and-non-complex status, under which Griffin published the FY2023 report above and which only reduces disclosure. Griffin's accounting reference date is 30 September, so FY2024 (30 Sep 2024) and FY2025 (30 Sep 2025) both end after that start date. This is therefore a documented regulatory absence, not a failed search, and nothing here is back-filled from the Annual Reports - which in any case disclose only a narrative CET1 ratio (112% FY2025, 64% FY2024) and no other KM1 line.
LATEST-EDITION CHECK, 16 September 2026, against the Bank's own site rather than this script's citation list. https://griffin.com/reports was re-fetched and every PDF link on it enumerated: it still carries exactly six documents - Annual Impact Report 2025/2026, Annual Report 2025, Annual Impact Report 2024/2025, Annual Report 2024, 2023 Annual Report &amp; Financial Statements, and "Griffin Bank Ltd Pillar 3 30 Sept 2023". The newest Annual Report is FY2025, already cited throughout this workbook, and the only Pillar 3 remains the FY2023 one. Checked, none newer.</t>
        </is>
      </c>
    </row>
    <row r="40" ht="400" customHeight="1">
      <c r="A40" s="8" t="inlineStr">
        <is>
          <t>(continued)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2">
    <mergeCell ref="A40:D40"/>
    <mergeCell ref="A38:D3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CET1 Capital</t>
        </is>
      </c>
    </row>
    <row r="2">
      <c r="A2" s="2" t="inlineStr">
        <is>
          <t>£'000</t>
        </is>
      </c>
    </row>
    <row r="3">
      <c r="A3" s="4" t="inlineStr">
        <is>
          <t>Metric</t>
        </is>
      </c>
      <c r="B3" s="4" t="inlineStr">
        <is>
          <t>FY2025</t>
        </is>
      </c>
      <c r="C3" s="4" t="inlineStr">
        <is>
          <t>FY2024</t>
        </is>
      </c>
      <c r="D3" s="4" t="inlineStr">
        <is>
          <t>FY2023 (15mo)</t>
        </is>
      </c>
    </row>
    <row r="4">
      <c r="A4" s="6" t="inlineStr">
        <is>
          <t>Common Equity Tier 1 (CET1) capital</t>
        </is>
      </c>
      <c r="B4" s="6" t="inlineStr">
        <is>
          <t>Not required (SDDT)</t>
        </is>
      </c>
      <c r="C4" s="6" t="inlineStr">
        <is>
          <t>Not required (SDDT)</t>
        </is>
      </c>
      <c r="D4" s="6" t="n">
        <v>8564</v>
      </c>
    </row>
    <row r="6" ht="377" customHeight="1">
      <c r="A6"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8" ht="325" customHeight="1">
      <c r="A8"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0" ht="351" customHeight="1">
      <c r="A10"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2" ht="390" customHeight="1">
      <c r="A12"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4">
    <mergeCell ref="A10:D10"/>
    <mergeCell ref="A12:D12"/>
    <mergeCell ref="A8:D8"/>
    <mergeCell ref="A6:D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CET1 Ratio</t>
        </is>
      </c>
    </row>
    <row r="2">
      <c r="A2" s="2" t="inlineStr">
        <is>
          <t>%</t>
        </is>
      </c>
    </row>
    <row r="3">
      <c r="A3" s="4" t="inlineStr">
        <is>
          <t>Metric</t>
        </is>
      </c>
      <c r="B3" s="4" t="inlineStr">
        <is>
          <t>FY2025</t>
        </is>
      </c>
      <c r="C3" s="4" t="inlineStr">
        <is>
          <t>FY2024</t>
        </is>
      </c>
      <c r="D3" s="4" t="inlineStr">
        <is>
          <t>FY2023 (15mo)</t>
        </is>
      </c>
    </row>
    <row r="4">
      <c r="A4" s="6" t="inlineStr">
        <is>
          <t>CET1 ratio</t>
        </is>
      </c>
      <c r="B4" s="6" t="inlineStr">
        <is>
          <t>112%</t>
        </is>
      </c>
      <c r="C4" s="6" t="inlineStr">
        <is>
          <t>64%</t>
        </is>
      </c>
      <c r="D4" s="6" t="inlineStr">
        <is>
          <t>456%</t>
        </is>
      </c>
    </row>
    <row r="5" ht="78" customHeight="1">
      <c r="A5" s="7" t="inlineStr">
        <is>
          <t>Note: An extreme FY2023 ratio reflecting the Bank's genuine early-mobilisation position (capital raised ahead of loan-book/RWA growth, per the Bank's own FY2023 Pillar 3 report), not a transcription error - the KM1 table's own RWA figure (£1,879k) against £8,564k of CET1 capital is internally consistent. The ratio falls to 64% (FY2024) and rises to 112% (FY2025) as the balance sheet grows; FY2024/FY2025 come from the Annual Report narrative (no Pillar 3 document exists for those years), which discloses the CET1 ratio only - no CET1 capital amount, RWA figure or other KM1 line is given, so those sheets stay blank for FY2024/FY2025.</t>
        </is>
      </c>
    </row>
    <row r="7" ht="377" customHeight="1">
      <c r="A7"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9" ht="325" customHeight="1">
      <c r="A9"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1" ht="351" customHeight="1">
      <c r="A11"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3" ht="390" customHeight="1">
      <c r="A13"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5">
    <mergeCell ref="A5:D5"/>
    <mergeCell ref="A9:D9"/>
    <mergeCell ref="A7:D7"/>
    <mergeCell ref="A11:D11"/>
    <mergeCell ref="A13:D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Tier 1 Capital</t>
        </is>
      </c>
    </row>
    <row r="2">
      <c r="A2" s="2" t="inlineStr">
        <is>
          <t>£'000</t>
        </is>
      </c>
    </row>
    <row r="3">
      <c r="A3" s="4" t="inlineStr">
        <is>
          <t>Metric</t>
        </is>
      </c>
      <c r="B3" s="4" t="inlineStr">
        <is>
          <t>FY2025</t>
        </is>
      </c>
      <c r="C3" s="4" t="inlineStr">
        <is>
          <t>FY2024</t>
        </is>
      </c>
      <c r="D3" s="4" t="inlineStr">
        <is>
          <t>FY2023 (15mo)</t>
        </is>
      </c>
    </row>
    <row r="4">
      <c r="A4" s="6" t="inlineStr">
        <is>
          <t>Tier 1 capital</t>
        </is>
      </c>
      <c r="B4" s="6" t="inlineStr">
        <is>
          <t>Not required (SDDT)</t>
        </is>
      </c>
      <c r="C4" s="6" t="inlineStr">
        <is>
          <t>Not required (SDDT)</t>
        </is>
      </c>
      <c r="D4" s="6" t="n">
        <v>8564</v>
      </c>
    </row>
    <row r="5" ht="30" customHeight="1">
      <c r="A5" s="7" t="inlineStr">
        <is>
          <t>Note: No Additional Tier 1 instruments - Tier 1 capital equals CET1 capital in the source.</t>
        </is>
      </c>
    </row>
    <row r="7" ht="377" customHeight="1">
      <c r="A7"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9" ht="325" customHeight="1">
      <c r="A9"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1" ht="351" customHeight="1">
      <c r="A11"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3" ht="390" customHeight="1">
      <c r="A13"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5">
    <mergeCell ref="A5:D5"/>
    <mergeCell ref="A9:D9"/>
    <mergeCell ref="A7:D7"/>
    <mergeCell ref="A11:D11"/>
    <mergeCell ref="A13:D1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Tier 1 Ratio</t>
        </is>
      </c>
    </row>
    <row r="2">
      <c r="A2" s="2" t="inlineStr">
        <is>
          <t>%</t>
        </is>
      </c>
    </row>
    <row r="3">
      <c r="A3" s="4" t="inlineStr">
        <is>
          <t>Metric</t>
        </is>
      </c>
      <c r="B3" s="4" t="inlineStr">
        <is>
          <t>FY2025</t>
        </is>
      </c>
      <c r="C3" s="4" t="inlineStr">
        <is>
          <t>FY2024</t>
        </is>
      </c>
      <c r="D3" s="4" t="inlineStr">
        <is>
          <t>FY2023 (15mo)</t>
        </is>
      </c>
    </row>
    <row r="4">
      <c r="A4" s="6" t="inlineStr">
        <is>
          <t>Tier 1 ratio</t>
        </is>
      </c>
      <c r="B4" s="6" t="inlineStr">
        <is>
          <t>Not required (SDDT)</t>
        </is>
      </c>
      <c r="C4" s="6" t="inlineStr">
        <is>
          <t>Not required (SDDT)</t>
        </is>
      </c>
      <c r="D4" s="6" t="inlineStr">
        <is>
          <t>456%</t>
        </is>
      </c>
    </row>
    <row r="6" ht="377" customHeight="1">
      <c r="A6"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8" ht="325" customHeight="1">
      <c r="A8"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0" ht="351" customHeight="1">
      <c r="A10"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2" ht="390" customHeight="1">
      <c r="A12"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4">
    <mergeCell ref="A10:D10"/>
    <mergeCell ref="A12:D12"/>
    <mergeCell ref="A8:D8"/>
    <mergeCell ref="A6:D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Total Capital</t>
        </is>
      </c>
    </row>
    <row r="2">
      <c r="A2" s="2" t="inlineStr">
        <is>
          <t>£'000</t>
        </is>
      </c>
    </row>
    <row r="3">
      <c r="A3" s="4" t="inlineStr">
        <is>
          <t>Metric</t>
        </is>
      </c>
      <c r="B3" s="4" t="inlineStr">
        <is>
          <t>FY2025</t>
        </is>
      </c>
      <c r="C3" s="4" t="inlineStr">
        <is>
          <t>FY2024</t>
        </is>
      </c>
      <c r="D3" s="4" t="inlineStr">
        <is>
          <t>FY2023 (15mo)</t>
        </is>
      </c>
    </row>
    <row r="4">
      <c r="A4" s="6" t="inlineStr">
        <is>
          <t>Total capital</t>
        </is>
      </c>
      <c r="B4" s="6" t="inlineStr">
        <is>
          <t>Not required (SDDT)</t>
        </is>
      </c>
      <c r="C4" s="6" t="inlineStr">
        <is>
          <t>Not required (SDDT)</t>
        </is>
      </c>
      <c r="D4" s="6" t="n">
        <v>8564</v>
      </c>
    </row>
    <row r="5" ht="30" customHeight="1">
      <c r="A5" s="7" t="inlineStr">
        <is>
          <t>Note: No Tier 2 instruments - Total capital equals CET1/Tier 1 capital in the source.</t>
        </is>
      </c>
    </row>
    <row r="7" ht="377" customHeight="1">
      <c r="A7"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9" ht="325" customHeight="1">
      <c r="A9"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1" ht="351" customHeight="1">
      <c r="A11"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3" ht="390" customHeight="1">
      <c r="A13"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5">
    <mergeCell ref="A5:D5"/>
    <mergeCell ref="A9:D9"/>
    <mergeCell ref="A7:D7"/>
    <mergeCell ref="A11:D11"/>
    <mergeCell ref="A13:D1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Total Capital Ratio</t>
        </is>
      </c>
    </row>
    <row r="2">
      <c r="A2" s="2" t="inlineStr">
        <is>
          <t>%</t>
        </is>
      </c>
    </row>
    <row r="3">
      <c r="A3" s="4" t="inlineStr">
        <is>
          <t>Metric</t>
        </is>
      </c>
      <c r="B3" s="4" t="inlineStr">
        <is>
          <t>FY2025</t>
        </is>
      </c>
      <c r="C3" s="4" t="inlineStr">
        <is>
          <t>FY2024</t>
        </is>
      </c>
      <c r="D3" s="4" t="inlineStr">
        <is>
          <t>FY2023 (15mo)</t>
        </is>
      </c>
    </row>
    <row r="4">
      <c r="A4" s="6" t="inlineStr">
        <is>
          <t>Total capital ratio</t>
        </is>
      </c>
      <c r="B4" s="6" t="inlineStr">
        <is>
          <t>Not required (SDDT)</t>
        </is>
      </c>
      <c r="C4" s="6" t="inlineStr">
        <is>
          <t>Not required (SDDT)</t>
        </is>
      </c>
      <c r="D4" s="6" t="inlineStr">
        <is>
          <t>456%</t>
        </is>
      </c>
    </row>
    <row r="6" ht="377" customHeight="1">
      <c r="A6"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8" ht="325" customHeight="1">
      <c r="A8"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0" ht="351" customHeight="1">
      <c r="A10"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2" ht="390" customHeight="1">
      <c r="A12"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4">
    <mergeCell ref="A10:D10"/>
    <mergeCell ref="A12:D12"/>
    <mergeCell ref="A8:D8"/>
    <mergeCell ref="A6:D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Total RWAs</t>
        </is>
      </c>
    </row>
    <row r="2">
      <c r="A2" s="2" t="inlineStr">
        <is>
          <t>£'000</t>
        </is>
      </c>
    </row>
    <row r="3">
      <c r="A3" s="4" t="inlineStr">
        <is>
          <t>Metric</t>
        </is>
      </c>
      <c r="B3" s="4" t="inlineStr">
        <is>
          <t>FY2025</t>
        </is>
      </c>
      <c r="C3" s="4" t="inlineStr">
        <is>
          <t>FY2024</t>
        </is>
      </c>
      <c r="D3" s="4" t="inlineStr">
        <is>
          <t>FY2023 (15mo)</t>
        </is>
      </c>
    </row>
    <row r="4">
      <c r="A4" s="6" t="inlineStr">
        <is>
          <t>Total risk-weighted exposure amount</t>
        </is>
      </c>
      <c r="B4" s="6" t="inlineStr">
        <is>
          <t>Not required (SDDT)</t>
        </is>
      </c>
      <c r="C4" s="6" t="inlineStr">
        <is>
          <t>Not required (SDDT)</t>
        </is>
      </c>
      <c r="D4" s="6" t="n">
        <v>1879</v>
      </c>
    </row>
    <row r="6" ht="377" customHeight="1">
      <c r="A6"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8" ht="325" customHeight="1">
      <c r="A8"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0" ht="351" customHeight="1">
      <c r="A10"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2" ht="390" customHeight="1">
      <c r="A12"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4">
    <mergeCell ref="A10:D10"/>
    <mergeCell ref="A12:D12"/>
    <mergeCell ref="A8:D8"/>
    <mergeCell ref="A6:D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s>
  <sheetData>
    <row r="1">
      <c r="A1" s="1" t="inlineStr">
        <is>
          <t>Griffin Bank Limited — RWA Breakdown</t>
        </is>
      </c>
    </row>
    <row r="2">
      <c r="A2" s="2" t="inlineStr">
        <is>
          <t>Only FY2023 has a published Pillar 3 report - see source note.</t>
        </is>
      </c>
    </row>
    <row r="3">
      <c r="A3" s="4" t="inlineStr">
        <is>
          <t>Line item</t>
        </is>
      </c>
      <c r="B3" s="4" t="inlineStr">
        <is>
          <t>FY2025 (£'000)</t>
        </is>
      </c>
      <c r="C3" s="4" t="inlineStr">
        <is>
          <t>FY2024 (£'000)</t>
        </is>
      </c>
      <c r="D3" s="4" t="inlineStr">
        <is>
          <t>FY2023 (15mo) (£'000)</t>
        </is>
      </c>
    </row>
    <row r="4">
      <c r="A4" s="6" t="inlineStr">
        <is>
          <t>Credit risk (excluding counterparty credit risk)</t>
        </is>
      </c>
      <c r="B4" s="6" t="inlineStr">
        <is>
          <t>Not required (SDDT)</t>
        </is>
      </c>
      <c r="C4" s="6" t="inlineStr">
        <is>
          <t>Not required (SDDT)</t>
        </is>
      </c>
      <c r="D4" s="6" t="n">
        <v>706</v>
      </c>
    </row>
    <row r="5">
      <c r="A5" s="6" t="inlineStr">
        <is>
          <t>Operational risk</t>
        </is>
      </c>
      <c r="B5" s="6" t="inlineStr">
        <is>
          <t>Not required (SDDT)</t>
        </is>
      </c>
      <c r="C5" s="6" t="inlineStr">
        <is>
          <t>Not required (SDDT)</t>
        </is>
      </c>
      <c r="D5" s="6" t="n">
        <v>1174</v>
      </c>
    </row>
    <row r="6">
      <c r="A6" s="5" t="inlineStr">
        <is>
          <t>Total risk-weighted exposure amount</t>
        </is>
      </c>
      <c r="B6" s="5" t="inlineStr">
        <is>
          <t>Not required (SDDT)</t>
        </is>
      </c>
      <c r="C6" s="5" t="inlineStr">
        <is>
          <t>Not required (SDDT)</t>
        </is>
      </c>
      <c r="D6" s="5" t="n">
        <v>1879</v>
      </c>
    </row>
    <row r="8" ht="364" customHeight="1">
      <c r="A8"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t>
        </is>
      </c>
    </row>
    <row r="10" ht="377" customHeight="1">
      <c r="A10" s="8" t="inlineStr">
        <is>
          <t>(continued)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t>
        </is>
      </c>
    </row>
    <row r="12" ht="351" customHeight="1">
      <c r="A12" s="8" t="inlineStr">
        <is>
          <t>(continued)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t>
        </is>
      </c>
    </row>
    <row r="14" ht="200" customHeight="1">
      <c r="A14" s="8" t="inlineStr">
        <is>
          <t>(continued)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
GENUINE £1k ROUNDING GAP, not force-reconciled: the OV1 table's own category figures (Credit risk £706k + Operational risk £1,174k = £1,880k) sum to £1k more than the same document's own KM1 table Total risk-weighted exposure amount (£1,879k) - both reproduced as disclosed; the KM1 total is used on the Total RWAs sheet per project convention.</t>
        </is>
      </c>
    </row>
  </sheetData>
  <mergeCells count="4">
    <mergeCell ref="A10:D10"/>
    <mergeCell ref="A12:D12"/>
    <mergeCell ref="A8:D8"/>
    <mergeCell ref="A14:D1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Leverage Ratio</t>
        </is>
      </c>
    </row>
    <row r="2">
      <c r="A2" s="2" t="inlineStr">
        <is>
          <t>%</t>
        </is>
      </c>
    </row>
    <row r="3">
      <c r="A3" s="4" t="inlineStr">
        <is>
          <t>Metric</t>
        </is>
      </c>
      <c r="B3" s="4" t="inlineStr">
        <is>
          <t>FY2025</t>
        </is>
      </c>
      <c r="C3" s="4" t="inlineStr">
        <is>
          <t>FY2024</t>
        </is>
      </c>
      <c r="D3" s="4" t="inlineStr">
        <is>
          <t>FY2023 (15mo)</t>
        </is>
      </c>
    </row>
    <row r="4">
      <c r="A4" s="6" t="inlineStr">
        <is>
          <t>Leverage ratio excluding claims on central banks</t>
        </is>
      </c>
      <c r="B4" s="6" t="inlineStr">
        <is>
          <t>Not required (SDDT)</t>
        </is>
      </c>
      <c r="C4" s="6" t="inlineStr">
        <is>
          <t>Not required (SDDT)</t>
        </is>
      </c>
      <c r="D4" s="6" t="inlineStr">
        <is>
          <t>91%</t>
        </is>
      </c>
    </row>
    <row r="5" ht="182" customHeight="1">
      <c r="A5" s="7" t="inlineStr">
        <is>
          <t xml:space="preserve">Note: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5 source URLs cited on this sheet and its KM1 sheet were re-fetched on 2026-10-09 (3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77" customHeight="1">
      <c r="A7"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9" ht="325" customHeight="1">
      <c r="A9"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1" ht="351" customHeight="1">
      <c r="A11"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3" ht="390" customHeight="1">
      <c r="A13"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5">
    <mergeCell ref="A5:D5"/>
    <mergeCell ref="A9:D9"/>
    <mergeCell ref="A7:D7"/>
    <mergeCell ref="A11:D11"/>
    <mergeCell ref="A13:D1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LCR</t>
        </is>
      </c>
    </row>
    <row r="2">
      <c r="A2" s="2" t="inlineStr">
        <is>
          <t>%</t>
        </is>
      </c>
    </row>
    <row r="3">
      <c r="A3" s="4" t="inlineStr">
        <is>
          <t>Metric</t>
        </is>
      </c>
      <c r="B3" s="4" t="inlineStr">
        <is>
          <t>FY2025</t>
        </is>
      </c>
      <c r="C3" s="4" t="inlineStr">
        <is>
          <t>FY2024</t>
        </is>
      </c>
      <c r="D3" s="4" t="inlineStr">
        <is>
          <t>FY2023 (15mo)</t>
        </is>
      </c>
    </row>
    <row r="4">
      <c r="A4" s="6" t="inlineStr">
        <is>
          <t>Liquidity coverage ratio (average of 8 months reported LCR post-authorisation)</t>
        </is>
      </c>
      <c r="B4" s="6" t="inlineStr">
        <is>
          <t>Not required (SDDT)</t>
        </is>
      </c>
      <c r="C4" s="6" t="inlineStr">
        <is>
          <t>Not required (SDDT)</t>
        </is>
      </c>
      <c r="D4" s="6" t="inlineStr">
        <is>
          <t>2,675%</t>
        </is>
      </c>
    </row>
    <row r="5" ht="30" customHeight="1">
      <c r="A5" s="7" t="inlineStr">
        <is>
          <t>Note: An extreme ratio for the same genuine early-mobilisation reason as the capital ratios above - the Bank held far more high-quality liquid assets (£10,387k weighted) than its tiny net cash outflow (£388k) required this early in its life.</t>
        </is>
      </c>
    </row>
    <row r="7" ht="377" customHeight="1">
      <c r="A7"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9" ht="325" customHeight="1">
      <c r="A9"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1" ht="351" customHeight="1">
      <c r="A11"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3" ht="390" customHeight="1">
      <c r="A13"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5">
    <mergeCell ref="A5:D5"/>
    <mergeCell ref="A9:D9"/>
    <mergeCell ref="A7:D7"/>
    <mergeCell ref="A11:D11"/>
    <mergeCell ref="A13:D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Griffin Bank Limited — NSFR</t>
        </is>
      </c>
    </row>
    <row r="2">
      <c r="A2" s="2" t="inlineStr">
        <is>
          <t>%</t>
        </is>
      </c>
    </row>
    <row r="3">
      <c r="A3" s="4" t="inlineStr">
        <is>
          <t>Metric</t>
        </is>
      </c>
      <c r="B3" s="4" t="inlineStr">
        <is>
          <t>FY2025</t>
        </is>
      </c>
      <c r="C3" s="4" t="inlineStr">
        <is>
          <t>FY2024</t>
        </is>
      </c>
      <c r="D3" s="4" t="inlineStr">
        <is>
          <t>FY2023 (15mo)</t>
        </is>
      </c>
    </row>
    <row r="4">
      <c r="A4" s="6" t="inlineStr">
        <is>
          <t>Net stable funding ratio (average of 8 months reported NSFR post-authorisation)</t>
        </is>
      </c>
      <c r="B4" s="6" t="inlineStr">
        <is>
          <t>Not required (SDDT)</t>
        </is>
      </c>
      <c r="C4" s="6" t="inlineStr">
        <is>
          <t>Not required (SDDT)</t>
        </is>
      </c>
      <c r="D4" s="6" t="inlineStr">
        <is>
          <t>1,034%</t>
        </is>
      </c>
    </row>
    <row r="6" ht="377" customHeight="1">
      <c r="A6"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8" ht="325" customHeight="1">
      <c r="A8"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0" ht="351" customHeight="1">
      <c r="A10"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2" ht="390" customHeight="1">
      <c r="A12"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4">
    <mergeCell ref="A10:D10"/>
    <mergeCell ref="A12:D12"/>
    <mergeCell ref="A8:D8"/>
    <mergeCell ref="A6:D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Griffin Bank Limited — MREL Ratio</t>
        </is>
      </c>
    </row>
    <row r="2">
      <c r="A2" s="2" t="inlineStr"/>
    </row>
    <row r="3">
      <c r="A3" s="4" t="inlineStr">
        <is>
          <t>Metric</t>
        </is>
      </c>
      <c r="B3" s="4" t="inlineStr">
        <is>
          <t>FY2025</t>
        </is>
      </c>
      <c r="C3" s="4" t="inlineStr">
        <is>
          <t>FY2024</t>
        </is>
      </c>
      <c r="D3" s="4" t="inlineStr">
        <is>
          <t>FY2023 (15mo)</t>
        </is>
      </c>
    </row>
    <row r="4">
      <c r="A4" s="6" t="inlineStr">
        <is>
          <t>MREL Ratio</t>
        </is>
      </c>
      <c r="B4" s="6" t="inlineStr">
        <is>
          <t>Not published – no MREL figure or mention in Griffin's Annual Report FY2025 (text search, 2026-09-19); no Pillar 3 after 2023 (SDDT opt-in from 05/03/2024, PRA register).</t>
        </is>
      </c>
      <c r="C4" s="6" t="inlineStr">
        <is>
          <t>Not published – no MREL figure or mention in Griffin's Annual Report FY2024 (text search, 2026-09-19); no Pillar 3 after 2023 (SDDT opt-in from 05/03/2024, PRA register).</t>
        </is>
      </c>
      <c r="D4" s="6" t="inlineStr">
        <is>
          <t>Not published – no MREL figure or mention in Griffin's Pillar 3 (30 Sept 2023) or Annual Report 2023 (text search, 2026-09-19).</t>
        </is>
      </c>
    </row>
    <row r="6" ht="377" customHeight="1">
      <c r="A6" s="8" t="inlineStr">
        <is>
          <t>Sources - Griffin Bank Limited Pillar 3 basis:
FY2023: 2023 Pillar 3 Report (30 September 2023), p.21 (4.1 Disclosure of key metrics - KM1) - https://cms.griffin.com/griffin-assets/Griffin_Bank_Ltd_Pillar_3_30_Sept_2023_df3ca44acc.pdf
FY2025 CET1 ratio (112%): Annual Report and Financial Statements 2025, p.3 (Chief Executive's review) and p.13 (Financial review), both stating 112% (2024: 64%) - https://cms.griffin.com/griffin-assets/Griffin_Bank_Ltd_Annual_Report_2025_edeb37eca7.pdf
FY2024 CET1 ratio (64%): Annual Report and Financial Statements 2024, p.4 (Chief Executive's review) and p.13 (Financial review), both stating 64% (2023: 456%), and independently confirmed by the FY2025 report's own comparative - https://cms.griffin.com/griffin-assets/Griffin_Bank_Ltd_Annual_Report_2024_b98c8d4c38.pdf
FY2024/FY2025 (all other metrics): no Pillar 3 disclosure document has been published for either period - only the 2023 Pillar 3 Report exists on the Bank's own site (re-checked 2026-09-12: https://griffin.com/reports still lists exactly 6 PDFs across FY2023-FY2025, of which only one is a Pillar 3 report). Not a data-access gap - confirmed genuinely unpublished, not guessed. Both Annual Reports were read in full for this re-verification: they disclose the CET1 ratio in narrative form (captured above) but give no CET1/Tier 1/Total Capital amount, no RWA figure, no leverage ratio and no numeric LCR - the LCR is described only qualitatively ('materially in excess of internal risk appetite and regulatory requirements', FY2025 p.92 / FY2024 p.104), which is not a disclosed value, so those sheets stay blank rather than being inferred. The Bank's own FY2023 KM1 table notes it does not provide comparative information for the prior (pre-authorisation) period either, since it was first authorised as a bank (with restrictions) only in 2023.
INDEPENDENTLY RE-VERIFIED 2026-09-15 (multi-year trailing-gap investigation), and the finding above stands. What was checked this time, and what it rules out:
  (a) griffin.com/reports was re-fetched and every PDF link on it enumerated. It still carries exactly six documents, and the complete list is: Annual Report 2025, Annual Impact Report 2025/2026, Annual Report 2024, Annual Impact Report 2024/2025, 2023 Annual Report &amp; Financial Statements, and 'Griffin Bank Ltd Pillar 3 30 Sept 2023'. There is no FY2024 or FY2025 Pillar 3 report. griffin.com's own sitemap.xml contains no other reports/disclosures page, and /pillar-3, /disclosures, /legal and /regulatory-disclosures all return 404 - so there is no second location to look in.
  (b) The FY2024 and FY2025 Annual Reports were re-downloaded and full-text searched again. The only regulatory-capital number in either is the CET1 ratio already captured above (FY2025 p.3/p.13: '112% (2024: 64%)'; FY2024 p.4/p.13: '64% (2023: 456%)'). Searching both for 'risk weighted'/'RWA'/'own funds'/'total capital'/'Tier 2'/'leverage'/'MREL'/'NSFR' returns no figure at all, and the LCR passage is verbatim identical in both years and purely qualitative.</t>
        </is>
      </c>
    </row>
    <row r="8" ht="325" customHeight="1">
      <c r="A8" s="8" t="inlineStr">
        <is>
          <t>(continued)
(c) IT IS A REGULATORY EXEMPTION AFTER ALL - this paragraph CORRECTS the earlier conclusion recorded here, which read 'NOT a regulatory exemption' on the strength of Griffin's own 2023 Pillar 3 Report describing it as a 'small and non-complex institution'. That earlier reading conflated two different reliefs and mis-dated the evidence. Corrected 2026-09-15 (cross-bank SDDT date-fit pass) against the PRA's own firm-level register.
      THE REGISTER ROW: Bank of England consolidated list of waivers and modifications granted to PRA-authorised firms (downloaded 2026-09-15, https://www.bankofengland.co.uk/-/media/boe/files/prudential-regulation/authorisations/waivers-and-modifications-of-rules/consolidated-waivers-pra-firms.csv) carries a row for FRN 970920, 'Griffin Bank Ltd': 'Modification by Consent - PRA Rulebook - CRR Firms - Rule 3.1 of the SDDT Regime - General Application Part', rule 'SDDT Regime - General Application', sub rule 'Ru 3.1', waiver ref 'A00007614P.pdf', START DATE 05/03/2024, NO END DATE. Rule 3.1 is the actual opt-in by which a firm becomes a Small Domestic Deposit Taker; it is the operative rule, not one of the eligibility-criteria modifications (rules 1.2 / 2.1(9) / 2.6) that some firms hold without being SDDTs. Griffin holds no such criteria-only row - the 3.1 row is the only SDDT entry against FRN 970920. The register's dating was validated on two independent controls in the same pass (Cynergy's 3.1 row starts 17/01/2025, matching its annual report's stated approval date to the day; Vanquis's starts 13/03/2024, matching its recorded 'March 2024').
      WHY BOTH FACTS ARE TRUE AT ONCE - it is a matter of dates, not a contradiction. The SNCI statement is real but it is dated: the 2023 Pillar 3 Report is explicitly 'the Pillar 3 disclosures for Griffin Bank Ltd (we or Griffin) as of 30 September 2023' (Introduction, p.2) and says at section 1.2 'As a small and non-complex institution, we have prepared these disclosures in line with the relevant guidance in the Disclosure (CRR) part of the PRA Rulebook'. That report covers the period ended 30 SEPTEMBER 2023 and therefore PREDATES the 5 March 2024 modification by roughly five months. Griffin published as an SNCI for FY2023 because on that reference date it was one and had not yet opted in; it then took the SDDT modification on 5 March 2024. The two routes are NOT the same and must not be conflated in this workbook: Article 433b (small and non-complex institution) REDUCES disclosure to an annual subset, so an SNCI still owes a Pillar 3 report; Rule 3.1 of the SDDT Regime REMOVES the Pillar 3 disclosure obligation outright. Only the second explains a total absence.</t>
        </is>
      </c>
    </row>
    <row r="10" ht="338" customHeight="1">
      <c r="A10" s="8" t="inlineStr">
        <is>
          <t>(continued)
DATE FIT - the modification covers BOTH outstanding gap years, on either reading of when SDDT disclosure relief bites. Griffin's accounting reference date is 30 SEPTEMBER, confirmed at Companies House (company 10842931, accounts filed for periods ended 30 June 2021, 30 June 2022, then 30 September 2023, 2024 and 2025 - the year-end moved mid-history, which is why FY2023 is a 15-month period). So FY2024 ended 30 September 2024 and FY2025 ended 30 September 2025, both AFTER the 05/03/2024 start date, and both also after 1 July 2024, the date PS15/23 made the SDDT disclosure requirements effective. (RE-DOWNLOADED AND RE-CHECKED 2026-09-15 under a maximum-effort sweep that treated every prior 'unavailable' verdict in this project as unproven: the register was pulled fresh from the Bank of England - 2,919 rows, 135 of them SDDT Rule 3.1 modifications - and Griffin's row reproduces the citation above to the character, including waiver ref A00007614P.pdf and start date 05/03/2024 with no end date. The register is a living document, so this confirms the row has not been withdrawn or re-dated since the original check.) FY2024 and FY2025 are therefore an EVIDENCED STRUCTURAL ABSENCE, not a sourcing failure and not merely the Bank neglecting to publish.
      WHAT THE EXEMPTION DOES NOT EXPLAIN: nothing is read back onto FY2023. FY2023 predates the modification, Griffin did publish a full Pillar 3 report for it, and this workbook's FY2023 KM1 figures are transcribed from that report in the normal way. There is no earlier gap year to consider - see (e), no reporting period exists for this entity before the 15 months ended 30 September 2023.
      Consistent with the register, neither the FY2024 nor the FY2025 Annual Report mentions 'SDDT', 'Small Domestic Deposit Taker', 'Strong and Simple' or a modification by consent - both were re-downloaded and full-text searched again on 2026-09-15 (text-native, 306k and 258k extracted characters respectively, so not scanned images producing a false negative), and neither contains the string 'Pillar 3' even once. A firm that has opted out has nothing to say about Pillar 3, so silence in the Annual Reports corroborates the register rather than undercutting it - but note that the register, not the Annual Report, is the evidence here; Griffin does not state the opt-in in its own words anywhere this pass could find. Separately, do not confuse this SDDT DISCLOSURE exemption, which is in force now, with the SDDT CAPITAL regime that starts 1 January 2027.
  (d) NOT an entity cessation either. Griffin Bank Ltd (FRN 970920) appears in the Bank of England's own 'List of banks' as at 30 September 2026, and its FY2024 and FY2025 Annual Reports were both published normally - the bank is trading and its balance sheet grew from £18.7m to £119.6m over FY2025.</t>
        </is>
      </c>
    </row>
    <row r="12" ht="377" customHeight="1">
      <c r="A12" s="8" t="inlineStr">
        <is>
          <t>(continued)
(e) The early years are genuinely outside any disclosure obligation: Griffin was authorised as a bank by the PRA (with restrictions) in FEBRUARY 2023 and exited mobilisation with a full unrestricted licence on 29 February 2024. Its FY2023 Pillar 3 report says so directly ('our liquidity levels ... have remained comfortably above the minimum regulatory and internal requirements since authorisation (with restrictions) in February 2023') and footnotes its KM1/OV1 tables 'We were authorised as a bank by the PRA (with restrictions) in 2023, and so we do not provide comparative information for the prior period'; its FY2023 LCR and NSFR are explicitly eight-month post-authorisation averages (Feb-Sep 2023). The 15-month period ended 30 September 2023 is therefore the first reporting period for which any Pillar 3 metric can exist for this entity.
CELL CONVENTION (introduced 2026-09-15): FY2024 and FY2025 now read 'Not required (SDDT)' on every Pillar 3 metric sheet rather than being left blank. A blank cell is indistinguishable from an unresearched gap and had caused this bank to be re-chased repeatedly; the explicit marker records that the obligation itself does not exist for those years. The sole exception is the CET1 Ratio sheet, which does carry FY2024/FY2025 values - not from a Pillar 3 document (none exists) but from the Annual Report narrative, which continues to state the ratio voluntarily.
SOURCE-DATE RESTATEMENT of the 30 September 2023 Pillar 3, checked against the document's own text on 2026-09-15 because the file is dated to a SEPTEMBER reference date rather than a December year-end and could otherwise be mis-mapped: its Introduction (p.2) reads 'Griffin) as of 30 September 2023' and 'This Pillar 3 document should be read in conjunction with the 2023 Annual Report and Financial Statements for the period ended 30th September 2023'. Griffin's accounting reference date IS 30 September (moved from 30 June during mobilisation, which is why FY2023 spans 15 months from 1 July 2022). The document therefore maps to FY2023 in this workbook - the same reference date as the FY2023 Annual Report - and is not a stub or interim period.
USER-ACTIONABLE: there is nothing further to fetch online. FY2024/FY2025 KM1 figures would have to be requested from Griffin directly (or read from PRA regulatory returns, which are not public).
Griffin Bank Limited (Companies House 10842931) was renamed from Griffin Financial Technology Limited on 12 April 2023 and held only an Authorisation-with-Restrictions (mobilisation) banking licence - granted in February 2023, per its own 2023 Pillar 3 Report, which is why that year's LCR and NSFR are eight-month post-authorisation averages - until it obtained a full unrestricted licence on 29 February 2024. During the mobilisation period the Company also changed its financial year-end from 30 June to 30 September, so its first published period (FY2023) is a 15-month period from 1 July 2022 to 30 September 2023, not a standard 12-month year - both figures are as originally reported, not annualised. FY2023's cash flow statement is itself labelled 'Unaudited' in the source Annual Report. Only 3 Annual Reports have ever been published for this entity (FY2023/FY2024/FY2025) - no FY2021/FY2022 data exists.</t>
        </is>
      </c>
    </row>
  </sheetData>
  <mergeCells count="4">
    <mergeCell ref="A10:D10"/>
    <mergeCell ref="A12:D12"/>
    <mergeCell ref="A8:D8"/>
    <mergeCell ref="A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2026-10-26T09:36:04Z</dcterms:created>
  <dcterms:modified xmlns:dcterms="http://purl.org/dc/terms/" xmlns:xsi="http://www.w3.org/2001/XMLSchema-instance" xsi:type="dcterms:W3CDTF">2026-10-26T09:36:04Z</dcterms:modified>
</cp:coreProperties>
</file>