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B651C8"/>
        <bgColor rgb="00B651C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Goldman Sachs International Bank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 (conv. from USD)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Goldman Sachs International Bank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Goldman Sachs International Bank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 (conv. from USD))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208.4</v>
      </c>
      <c r="C6" s="5" t="n">
        <v>-4105.8</v>
      </c>
      <c r="D6" s="5" t="n">
        <v>143.1</v>
      </c>
      <c r="E6" s="5" t="n">
        <v>6558</v>
      </c>
      <c r="F6" s="5" t="n">
        <v>1711.8</v>
      </c>
      <c r="I6" t="inlineStr">
        <is>
          <t>Net cash from/(used in) operating activities</t>
        </is>
      </c>
      <c r="J6" t="n">
        <v>1711.8</v>
      </c>
      <c r="K6" t="n">
        <v>6558</v>
      </c>
      <c r="L6" t="n">
        <v>143.1</v>
      </c>
      <c r="M6" t="n">
        <v>-4105.8</v>
      </c>
      <c r="N6" t="n">
        <v>208.4</v>
      </c>
      <c r="Q6" t="inlineStr">
        <is>
          <t>CET1 Ratio</t>
        </is>
      </c>
      <c r="R6" t="n">
        <v>19.8</v>
      </c>
      <c r="S6" t="n">
        <v>21.75</v>
      </c>
      <c r="T6" t="n">
        <v>23.77</v>
      </c>
      <c r="U6" t="n">
        <v>24.41</v>
      </c>
      <c r="V6" t="n">
        <v>24.81</v>
      </c>
    </row>
    <row r="7">
      <c r="A7" s="5" t="inlineStr">
        <is>
          <t>Net cash used in/(from) investing activities</t>
        </is>
      </c>
      <c r="B7" s="5" t="n">
        <v>-2994</v>
      </c>
      <c r="C7" s="5" t="n">
        <v>-1732.1</v>
      </c>
      <c r="D7" s="5" t="n">
        <v>799.1</v>
      </c>
      <c r="E7" s="5" t="n">
        <v>541.2</v>
      </c>
      <c r="F7" s="5" t="n">
        <v>-1583.8</v>
      </c>
      <c r="I7" t="inlineStr">
        <is>
          <t>Net cash used in/(from) investing activities</t>
        </is>
      </c>
      <c r="J7" t="n">
        <v>-1583.8</v>
      </c>
      <c r="K7" t="n">
        <v>541.2</v>
      </c>
      <c r="L7" t="n">
        <v>799.1</v>
      </c>
      <c r="M7" t="n">
        <v>-1732.1</v>
      </c>
      <c r="N7" t="n">
        <v>-2994</v>
      </c>
      <c r="Q7" t="inlineStr">
        <is>
          <t>Tier 1 Ratio</t>
        </is>
      </c>
      <c r="R7" t="n">
        <v>19.8</v>
      </c>
      <c r="S7" t="n">
        <v>21.75</v>
      </c>
      <c r="T7" t="n">
        <v>23.77</v>
      </c>
      <c r="U7" t="n">
        <v>24.41</v>
      </c>
      <c r="V7" t="n">
        <v>24.81</v>
      </c>
    </row>
    <row r="8">
      <c r="A8" s="5" t="inlineStr">
        <is>
          <t>Net cash used in financing activities</t>
        </is>
      </c>
      <c r="B8" s="5" t="n">
        <v>-43.2</v>
      </c>
      <c r="C8" s="5" t="n">
        <v>-57.1</v>
      </c>
      <c r="D8" s="5" t="n">
        <v>-57.1</v>
      </c>
      <c r="E8" s="5" t="n">
        <v>-31.5</v>
      </c>
      <c r="F8" s="5" t="n">
        <v>-21.1</v>
      </c>
      <c r="I8" t="inlineStr">
        <is>
          <t>Net cash used in financing activities</t>
        </is>
      </c>
      <c r="J8" t="n">
        <v>-21.1</v>
      </c>
      <c r="K8" t="n">
        <v>-31.5</v>
      </c>
      <c r="L8" t="n">
        <v>-57.1</v>
      </c>
      <c r="M8" t="n">
        <v>-57.1</v>
      </c>
      <c r="N8" t="n">
        <v>-43.2</v>
      </c>
      <c r="Q8" t="inlineStr">
        <is>
          <t>Total Capital Ratio</t>
        </is>
      </c>
      <c r="R8" t="n">
        <v>24.5</v>
      </c>
      <c r="S8" t="n">
        <v>27.03</v>
      </c>
      <c r="T8" t="n">
        <v>28.77</v>
      </c>
      <c r="U8" t="n">
        <v>29.06</v>
      </c>
      <c r="V8" t="n">
        <v>28.96</v>
      </c>
    </row>
    <row r="9">
      <c r="A9" s="5" t="inlineStr">
        <is>
          <t>Cash and cash equivalents, ending balance</t>
        </is>
      </c>
      <c r="B9" s="5" t="n">
        <v>6279.7</v>
      </c>
      <c r="C9" s="5" t="n">
        <v>9570.1</v>
      </c>
      <c r="D9" s="5" t="n">
        <v>15655</v>
      </c>
      <c r="E9" s="5" t="n">
        <v>15255.8</v>
      </c>
      <c r="F9" s="5" t="n">
        <v>7322.7</v>
      </c>
      <c r="I9" t="inlineStr">
        <is>
          <t>Cash and cash equivalents, ending balance</t>
        </is>
      </c>
      <c r="J9" t="n">
        <v>7322.7</v>
      </c>
      <c r="K9" t="n">
        <v>15255.8</v>
      </c>
      <c r="L9" t="n">
        <v>15655</v>
      </c>
      <c r="M9" t="n">
        <v>9570.1</v>
      </c>
      <c r="N9" t="n">
        <v>6279.7</v>
      </c>
      <c r="Q9" t="inlineStr">
        <is>
          <t>Leverage Ratio</t>
        </is>
      </c>
      <c r="R9" t="n">
        <v>6.4</v>
      </c>
      <c r="S9" t="n">
        <v>6.87</v>
      </c>
      <c r="T9" t="n">
        <v>7.36</v>
      </c>
      <c r="U9" t="n">
        <v>8.859999999999999</v>
      </c>
      <c r="V9" t="n">
        <v>8.390000000000001</v>
      </c>
    </row>
    <row r="10">
      <c r="Q10" t="inlineStr">
        <is>
          <t>LCR</t>
        </is>
      </c>
      <c r="R10" t="n">
        <v>147</v>
      </c>
      <c r="S10" t="n">
        <v>161</v>
      </c>
      <c r="T10" t="n">
        <v>151</v>
      </c>
      <c r="U10" t="n">
        <v>158</v>
      </c>
      <c r="V10" t="n">
        <v>155.57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151</v>
      </c>
      <c r="T11" t="n">
        <v>173</v>
      </c>
      <c r="U11" t="n">
        <v>173</v>
      </c>
      <c r="V11" t="n">
        <v>130.01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24.81%</t>
        </is>
      </c>
      <c r="C13" s="6" t="inlineStr">
        <is>
          <t>24.41%</t>
        </is>
      </c>
      <c r="D13" s="6" t="inlineStr">
        <is>
          <t>23.77%</t>
        </is>
      </c>
      <c r="E13" s="6" t="inlineStr">
        <is>
          <t>21.75%</t>
        </is>
      </c>
      <c r="F13" s="6" t="inlineStr">
        <is>
          <t>19.8%</t>
        </is>
      </c>
    </row>
    <row r="14">
      <c r="A14" s="6" t="inlineStr">
        <is>
          <t>Tier 1 Ratio</t>
        </is>
      </c>
      <c r="B14" s="6" t="inlineStr">
        <is>
          <t>24.81%</t>
        </is>
      </c>
      <c r="C14" s="6" t="inlineStr">
        <is>
          <t>24.41%</t>
        </is>
      </c>
      <c r="D14" s="6" t="inlineStr">
        <is>
          <t>23.77%</t>
        </is>
      </c>
      <c r="E14" s="6" t="inlineStr">
        <is>
          <t>21.75%</t>
        </is>
      </c>
      <c r="F14" s="6" t="inlineStr">
        <is>
          <t>19.8%</t>
        </is>
      </c>
    </row>
    <row r="15">
      <c r="A15" s="6" t="inlineStr">
        <is>
          <t>Total Capital Ratio</t>
        </is>
      </c>
      <c r="B15" s="6" t="inlineStr">
        <is>
          <t>28.96%</t>
        </is>
      </c>
      <c r="C15" s="6" t="inlineStr">
        <is>
          <t>29.06%</t>
        </is>
      </c>
      <c r="D15" s="6" t="inlineStr">
        <is>
          <t>28.77%</t>
        </is>
      </c>
      <c r="E15" s="6" t="inlineStr">
        <is>
          <t>27.03%</t>
        </is>
      </c>
      <c r="F15" s="6" t="inlineStr">
        <is>
          <t>24.5%</t>
        </is>
      </c>
    </row>
    <row r="16">
      <c r="A16" s="6" t="inlineStr">
        <is>
          <t>Leverage Ratio</t>
        </is>
      </c>
      <c r="B16" s="6" t="inlineStr">
        <is>
          <t>8.39%</t>
        </is>
      </c>
      <c r="C16" s="6" t="inlineStr">
        <is>
          <t>8.86%</t>
        </is>
      </c>
      <c r="D16" s="6" t="inlineStr">
        <is>
          <t>7.36%</t>
        </is>
      </c>
      <c r="E16" s="6" t="inlineStr">
        <is>
          <t>6.87%</t>
        </is>
      </c>
      <c r="F16" s="6" t="inlineStr">
        <is>
          <t>6.4%</t>
        </is>
      </c>
    </row>
    <row r="17">
      <c r="A17" s="6" t="inlineStr">
        <is>
          <t>LCR</t>
        </is>
      </c>
      <c r="B17" s="6" t="inlineStr">
        <is>
          <t>155.57%</t>
        </is>
      </c>
      <c r="C17" s="6" t="inlineStr">
        <is>
          <t>158%</t>
        </is>
      </c>
      <c r="D17" s="6" t="inlineStr">
        <is>
          <t>151%</t>
        </is>
      </c>
      <c r="E17" s="6" t="inlineStr">
        <is>
          <t>161%</t>
        </is>
      </c>
      <c r="F17" s="6" t="inlineStr">
        <is>
          <t>147%</t>
        </is>
      </c>
    </row>
    <row r="18">
      <c r="A18" s="6" t="inlineStr">
        <is>
          <t>NSFR</t>
        </is>
      </c>
      <c r="B18" s="6" t="inlineStr">
        <is>
          <t>130.01%</t>
        </is>
      </c>
      <c r="C18" s="6" t="inlineStr">
        <is>
          <t>173%</t>
        </is>
      </c>
      <c r="D18" s="6" t="inlineStr">
        <is>
          <t>173%</t>
        </is>
      </c>
      <c r="E18" s="6" t="inlineStr">
        <is>
          <t>151%</t>
        </is>
      </c>
      <c r="F18" s="6" t="inlineStr">
        <is>
          <t>Not publicly disclosed</t>
        </is>
      </c>
    </row>
    <row r="20" ht="45" customHeight="1">
      <c r="A20" s="7" t="inlineStr">
        <is>
          <t>Note: The official GSG UK Q4 Pillar 3 disclosures provide explicit GSIB entity columns/tables for capital, ratios, RWA, leverage, LCR and (from FY2022) NSFR. No GSIB-specific numeric MREL value is shown, so MREL remains unavailable. All USD amounts are converted to GBP using the established FX methodology; percentages are retained as reported. See each metric sheet for official source URLs and table/page references.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Statement of Cash Flows</t>
        </is>
      </c>
    </row>
    <row r="2">
      <c r="A2" s="2" t="inlineStr">
        <is>
          <t>£m, converted from USD - see source note at bottom for FX methodology and rates used.</t>
        </is>
      </c>
    </row>
    <row r="3">
      <c r="A3" s="4" t="inlineStr">
        <is>
          <t>Line item</t>
        </is>
      </c>
      <c r="B3" s="4" t="inlineStr">
        <is>
          <t>FY2025 (£m, conv. from USD)</t>
        </is>
      </c>
      <c r="C3" s="4" t="inlineStr">
        <is>
          <t>FY2024 (£m, conv. from USD)</t>
        </is>
      </c>
      <c r="D3" s="4" t="inlineStr">
        <is>
          <t>FY2023 (£m, conv. from USD)</t>
        </is>
      </c>
      <c r="E3" s="4" t="inlineStr">
        <is>
          <t>FY2022 (£m, conv. from USD)</t>
        </is>
      </c>
      <c r="F3" s="4" t="inlineStr">
        <is>
          <t>FY2021 (£m, conv. from USD)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5" t="inlineStr">
        <is>
          <t>Net cash from/(used in) operating activities</t>
        </is>
      </c>
      <c r="B5" s="5" t="n">
        <v>208.4</v>
      </c>
      <c r="C5" s="5" t="n">
        <v>-4105.8</v>
      </c>
      <c r="D5" s="5" t="n">
        <v>143.1</v>
      </c>
      <c r="E5" s="5" t="n">
        <v>6558</v>
      </c>
      <c r="F5" s="5" t="n">
        <v>1711.8</v>
      </c>
    </row>
    <row r="6">
      <c r="A6" s="5" t="inlineStr">
        <is>
          <t>Investing activities</t>
        </is>
      </c>
      <c r="B6" s="6" t="n"/>
      <c r="C6" s="6" t="n"/>
      <c r="D6" s="6" t="n"/>
      <c r="E6" s="6" t="n"/>
      <c r="F6" s="6" t="n"/>
    </row>
    <row r="7">
      <c r="A7" s="5" t="inlineStr">
        <is>
          <t>Net cash used in/(from) investing activities</t>
        </is>
      </c>
      <c r="B7" s="5" t="n">
        <v>-2994</v>
      </c>
      <c r="C7" s="5" t="n">
        <v>-1732.1</v>
      </c>
      <c r="D7" s="5" t="n">
        <v>799.1</v>
      </c>
      <c r="E7" s="5" t="n">
        <v>541.2</v>
      </c>
      <c r="F7" s="5" t="n">
        <v>-1583.8</v>
      </c>
    </row>
    <row r="8">
      <c r="A8" s="5" t="inlineStr">
        <is>
          <t>Financing activities</t>
        </is>
      </c>
      <c r="B8" s="6" t="n"/>
      <c r="C8" s="6" t="n"/>
      <c r="D8" s="6" t="n"/>
      <c r="E8" s="6" t="n"/>
      <c r="F8" s="6" t="n"/>
    </row>
    <row r="9">
      <c r="A9" s="5" t="inlineStr">
        <is>
          <t>Net cash used in financing activities</t>
        </is>
      </c>
      <c r="B9" s="5" t="n">
        <v>-43.2</v>
      </c>
      <c r="C9" s="5" t="n">
        <v>-57.1</v>
      </c>
      <c r="D9" s="5" t="n">
        <v>-57.1</v>
      </c>
      <c r="E9" s="5" t="n">
        <v>-31.5</v>
      </c>
      <c r="F9" s="5" t="n">
        <v>-21.1</v>
      </c>
    </row>
    <row r="10">
      <c r="A10" s="5" t="inlineStr">
        <is>
          <t>Net (decrease)/increase in cash and cash equivalents</t>
        </is>
      </c>
      <c r="B10" s="5" t="n">
        <v>-2828.8</v>
      </c>
      <c r="C10" s="5" t="n">
        <v>-5895</v>
      </c>
      <c r="D10" s="5" t="n">
        <v>885.1</v>
      </c>
      <c r="E10" s="5" t="n">
        <v>7067.6</v>
      </c>
      <c r="F10" s="5" t="n">
        <v>106.9</v>
      </c>
    </row>
    <row r="11">
      <c r="A11" s="6" t="inlineStr">
        <is>
          <t>Cash and cash equivalents, beginning balance</t>
        </is>
      </c>
      <c r="B11" s="6" t="n">
        <v>9570.1</v>
      </c>
      <c r="C11" s="6" t="n">
        <v>15655</v>
      </c>
      <c r="D11" s="6" t="n">
        <v>15255.8</v>
      </c>
      <c r="E11" s="6" t="n">
        <v>7322.7</v>
      </c>
      <c r="F11" s="6" t="n">
        <v>7380.1</v>
      </c>
    </row>
    <row r="12">
      <c r="A12" s="6" t="inlineStr">
        <is>
          <t>Foreign exchange gains/(losses) on cash and cash equivalents (as reported, USD)</t>
        </is>
      </c>
      <c r="B12" s="6" t="n">
        <v>151.6</v>
      </c>
      <c r="C12" s="6" t="n">
        <v>-328.6</v>
      </c>
      <c r="D12" s="6" t="n">
        <v>302.3</v>
      </c>
      <c r="E12" s="6" t="n">
        <v>-148</v>
      </c>
      <c r="F12" s="6" t="n">
        <v>-238.5</v>
      </c>
    </row>
    <row r="13">
      <c r="A13" s="6" t="inlineStr">
        <is>
          <t>Effect of GBP/USD translation (£ conversion artefact - see FX note)</t>
        </is>
      </c>
      <c r="B13" s="6" t="n">
        <v>-613.2</v>
      </c>
      <c r="C13" s="6" t="n">
        <v>138.7</v>
      </c>
      <c r="D13" s="6" t="n">
        <v>-788.2</v>
      </c>
      <c r="E13" s="6" t="n">
        <v>1013.5</v>
      </c>
      <c r="F13" s="6" t="n">
        <v>74.2</v>
      </c>
    </row>
    <row r="14">
      <c r="A14" s="5" t="inlineStr">
        <is>
          <t>Cash and cash equivalents, ending balance</t>
        </is>
      </c>
      <c r="B14" s="5" t="n">
        <v>6279.7</v>
      </c>
      <c r="C14" s="5" t="n">
        <v>9570.1</v>
      </c>
      <c r="D14" s="5" t="n">
        <v>15655</v>
      </c>
      <c r="E14" s="5" t="n">
        <v>15255.8</v>
      </c>
      <c r="F14" s="5" t="n">
        <v>7322.7</v>
      </c>
    </row>
    <row r="16" ht="340" customHeight="1">
      <c r="A16" s="8" t="inlineStr">
        <is>
          <t>Sources - all figures are Goldman Sachs International Bank's own Statement of Cash Flows, converted from USD to GBP (see FX note below):
FY2025/FY2024: Annual Report for the Financial Year Ended December 31, 2025, p.23 (filed at Companies House 26 Apr 2026) - https://find-and-update.company-information.service.gov.uk/company/01122503/filing-history/MzUxNzc2NzE5OGFkaXF6a2N4/document?format=pdf&amp;download=0
FY2023/FY2022: Annual Report for the Financial Year Ended December 31, 2023, p.23 (filed 29 Apr 2024) - https://find-and-update.company-information.service.gov.uk/company/01122503/filing-history/MzQxOTg0MjAwMGFkaXF6a2N4/document?format=pdf&amp;download=0
FY2021: Annual Report for the Financial Period Ended December 31, 2021, p.22 (filed 9 May 2022) - https://find-and-update.company-information.service.gov.uk/company/01122503/filing-history/MzMzODY3Mzc0NGFkaXF6a2N4/document?format=pdf&amp;download=0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1">
    <mergeCell ref="A16:F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CET1 Capital</t>
        </is>
      </c>
    </row>
    <row r="2">
      <c r="A2" s="2" t="inlineStr">
        <is>
          <t>£m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3677.1</v>
      </c>
      <c r="C4" s="6" t="n">
        <v>3464.6</v>
      </c>
      <c r="D4" s="6" t="n">
        <v>3089.9</v>
      </c>
      <c r="E4" s="6" t="n">
        <v>2818.1</v>
      </c>
      <c r="F4" s="6" t="n">
        <v>2523.5</v>
      </c>
    </row>
    <row r="5" ht="60" customHeight="1">
      <c r="A5" s="7" t="inlineStr">
        <is>
          <t>Note: The GSIB columns report equal CET1 and Tier 1 capital in each annual observation; no separate Additional Tier 1 capital is shown for GSIB in the annual key-metrics tables.</t>
        </is>
      </c>
    </row>
    <row r="7" ht="260" customHeight="1">
      <c r="A7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24.81%</t>
        </is>
      </c>
      <c r="C4" s="6" t="inlineStr">
        <is>
          <t>24.41%</t>
        </is>
      </c>
      <c r="D4" s="6" t="inlineStr">
        <is>
          <t>23.77%</t>
        </is>
      </c>
      <c r="E4" s="6" t="inlineStr">
        <is>
          <t>21.75%</t>
        </is>
      </c>
      <c r="F4" s="6" t="inlineStr">
        <is>
          <t>19.8%</t>
        </is>
      </c>
    </row>
    <row r="6" ht="260" customHeight="1">
      <c r="A6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Tier 1 Capital</t>
        </is>
      </c>
    </row>
    <row r="2">
      <c r="A2" s="2" t="inlineStr">
        <is>
          <t>£m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3677.1</v>
      </c>
      <c r="C4" s="6" t="n">
        <v>3464.6</v>
      </c>
      <c r="D4" s="6" t="n">
        <v>3089.9</v>
      </c>
      <c r="E4" s="6" t="n">
        <v>2818.1</v>
      </c>
      <c r="F4" s="6" t="n">
        <v>2523.5</v>
      </c>
    </row>
    <row r="5" ht="60" customHeight="1">
      <c r="A5" s="7" t="inlineStr">
        <is>
          <t>Note: The GSIB columns report equal CET1 and Tier 1 capital in each annual observation; no separate Additional Tier 1 capital is shown for GSIB in the annual key-metrics tables.</t>
        </is>
      </c>
    </row>
    <row r="7" ht="260" customHeight="1">
      <c r="A7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24.81%</t>
        </is>
      </c>
      <c r="C4" s="6" t="inlineStr">
        <is>
          <t>24.41%</t>
        </is>
      </c>
      <c r="D4" s="6" t="inlineStr">
        <is>
          <t>23.77%</t>
        </is>
      </c>
      <c r="E4" s="6" t="inlineStr">
        <is>
          <t>21.75%</t>
        </is>
      </c>
      <c r="F4" s="6" t="inlineStr">
        <is>
          <t>19.8%</t>
        </is>
      </c>
    </row>
    <row r="6" ht="260" customHeight="1">
      <c r="A6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Total Capital</t>
        </is>
      </c>
    </row>
    <row r="2">
      <c r="A2" s="2" t="inlineStr">
        <is>
          <t>£m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4291.3</v>
      </c>
      <c r="C4" s="6" t="n">
        <v>4124.7</v>
      </c>
      <c r="D4" s="6" t="n">
        <v>3738.6</v>
      </c>
      <c r="E4" s="6" t="n">
        <v>3502.5</v>
      </c>
      <c r="F4" s="6" t="n">
        <v>3134.4</v>
      </c>
    </row>
    <row r="6" ht="260" customHeight="1">
      <c r="A6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28.96%</t>
        </is>
      </c>
      <c r="C4" s="6" t="inlineStr">
        <is>
          <t>29.06%</t>
        </is>
      </c>
      <c r="D4" s="6" t="inlineStr">
        <is>
          <t>28.77%</t>
        </is>
      </c>
      <c r="E4" s="6" t="inlineStr">
        <is>
          <t>27.03%</t>
        </is>
      </c>
      <c r="F4" s="6" t="inlineStr">
        <is>
          <t>24.5%</t>
        </is>
      </c>
    </row>
    <row r="6" ht="260" customHeight="1">
      <c r="A6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Total RWAs</t>
        </is>
      </c>
    </row>
    <row r="2">
      <c r="A2" s="2" t="inlineStr">
        <is>
          <t>£m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14824.5</v>
      </c>
      <c r="C4" s="6" t="n">
        <v>14196.6</v>
      </c>
      <c r="D4" s="6" t="n">
        <v>12995.6</v>
      </c>
      <c r="E4" s="6" t="n">
        <v>12956.9</v>
      </c>
      <c r="F4" s="6" t="n">
        <v>12766.8</v>
      </c>
    </row>
    <row r="6" ht="260" customHeight="1">
      <c r="A6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Leverage Ratio</t>
        </is>
      </c>
    </row>
    <row r="2">
      <c r="A2" s="2" t="inlineStr">
        <is>
          <t>£m (conv. from USD)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 total exposure measure</t>
        </is>
      </c>
      <c r="B4" s="6" t="n">
        <v>43819.2</v>
      </c>
      <c r="C4" s="6" t="n">
        <v>39125</v>
      </c>
      <c r="D4" s="6" t="n">
        <v>41996.5</v>
      </c>
      <c r="E4" s="6" t="n">
        <v>40822.5</v>
      </c>
      <c r="F4" s="6" t="n">
        <v>39381</v>
      </c>
    </row>
    <row r="5">
      <c r="A5" s="6" t="inlineStr">
        <is>
          <t>Leverage ratio</t>
        </is>
      </c>
      <c r="B5" s="6" t="inlineStr">
        <is>
          <t>8.39%</t>
        </is>
      </c>
      <c r="C5" s="6" t="inlineStr">
        <is>
          <t>8.86%</t>
        </is>
      </c>
      <c r="D5" s="6" t="inlineStr">
        <is>
          <t>7.36%</t>
        </is>
      </c>
      <c r="E5" s="6" t="inlineStr">
        <is>
          <t>6.87%</t>
        </is>
      </c>
      <c r="F5" s="6" t="inlineStr">
        <is>
          <t>6.4%</t>
        </is>
      </c>
    </row>
    <row r="7" ht="260" customHeight="1">
      <c r="A7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1"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LCR</t>
        </is>
      </c>
    </row>
    <row r="2">
      <c r="A2" s="2" t="inlineStr">
        <is>
          <t>£m (conv. from USD)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 (weighted value - average)</t>
        </is>
      </c>
      <c r="B4" s="6" t="n">
        <v>24482.5</v>
      </c>
      <c r="C4" s="6" t="n">
        <v>25342.4</v>
      </c>
      <c r="D4" s="6" t="n">
        <v>22289.5</v>
      </c>
      <c r="E4" s="6" t="n">
        <v>16533</v>
      </c>
      <c r="F4" s="6" t="n">
        <v>13230.5</v>
      </c>
    </row>
    <row r="5">
      <c r="A5" s="6" t="inlineStr">
        <is>
          <t>Cash outflows - total weighted value</t>
        </is>
      </c>
      <c r="B5" s="6" t="n">
        <v>20819.5</v>
      </c>
      <c r="C5" s="6" t="n">
        <v>21879.3</v>
      </c>
      <c r="D5" s="6" t="n">
        <v>19721.2</v>
      </c>
      <c r="E5" s="6" t="n">
        <v>16016.4</v>
      </c>
      <c r="F5" s="6" t="inlineStr">
        <is>
          <t>Not publicly disclosed</t>
        </is>
      </c>
    </row>
    <row r="6">
      <c r="A6" s="6" t="inlineStr">
        <is>
          <t>Cash inflows - total weighted value</t>
        </is>
      </c>
      <c r="B6" s="6" t="n">
        <v>5022.3</v>
      </c>
      <c r="C6" s="6" t="n">
        <v>5729.9</v>
      </c>
      <c r="D6" s="6" t="n">
        <v>4912.8</v>
      </c>
      <c r="E6" s="6" t="n">
        <v>5676.6</v>
      </c>
      <c r="F6" s="6" t="inlineStr">
        <is>
          <t>Not publicly disclosed</t>
        </is>
      </c>
    </row>
    <row r="7">
      <c r="A7" s="6" t="inlineStr">
        <is>
          <t>Total net cash outflows (adjusted value)</t>
        </is>
      </c>
      <c r="B7" s="6" t="n">
        <v>15797.1</v>
      </c>
      <c r="C7" s="6" t="n">
        <v>16148.6</v>
      </c>
      <c r="D7" s="6" t="n">
        <v>14809.1</v>
      </c>
      <c r="E7" s="6" t="n">
        <v>10338.1</v>
      </c>
      <c r="F7" s="6" t="n">
        <v>9022.299999999999</v>
      </c>
    </row>
    <row r="8">
      <c r="A8" s="6" t="inlineStr">
        <is>
          <t>Liquidity coverage ratio</t>
        </is>
      </c>
      <c r="B8" s="6" t="inlineStr">
        <is>
          <t>155.57%</t>
        </is>
      </c>
      <c r="C8" s="6" t="inlineStr">
        <is>
          <t>158%</t>
        </is>
      </c>
      <c r="D8" s="6" t="inlineStr">
        <is>
          <t>151%</t>
        </is>
      </c>
      <c r="E8" s="6" t="inlineStr">
        <is>
          <t>161%</t>
        </is>
      </c>
      <c r="F8" s="6" t="inlineStr">
        <is>
          <t>147%</t>
        </is>
      </c>
    </row>
    <row r="9" ht="60" customHeight="1">
      <c r="A9" s="7" t="inlineStr">
        <is>
          <t>Note: FY2021 source reports the GSIB LCR summary as liquidity buffer and total net cash outflows; separate cash-inflow and cash-outflow rows were not reported in that table.</t>
        </is>
      </c>
    </row>
    <row r="11" ht="260" customHeight="1">
      <c r="A11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2">
    <mergeCell ref="A11:F11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NSFR</t>
        </is>
      </c>
    </row>
    <row r="2">
      <c r="A2" s="2" t="inlineStr">
        <is>
          <t>£m (conv. from USD)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38760.4</v>
      </c>
      <c r="C4" s="6" t="n">
        <v>37578.1</v>
      </c>
      <c r="D4" s="6" t="n">
        <v>36185.2</v>
      </c>
      <c r="E4" s="6" t="n">
        <v>37840</v>
      </c>
      <c r="F4" s="6" t="inlineStr">
        <is>
          <t>Not publicly disclosed</t>
        </is>
      </c>
    </row>
    <row r="5">
      <c r="A5" s="6" t="inlineStr">
        <is>
          <t>Total required stable funding</t>
        </is>
      </c>
      <c r="B5" s="6" t="n">
        <v>30101.1</v>
      </c>
      <c r="C5" s="6" t="n">
        <v>21789.9</v>
      </c>
      <c r="D5" s="6" t="n">
        <v>20916.6</v>
      </c>
      <c r="E5" s="6" t="n">
        <v>25330.2</v>
      </c>
      <c r="F5" s="6" t="inlineStr">
        <is>
          <t>Not publicly disclosed</t>
        </is>
      </c>
    </row>
    <row r="6">
      <c r="A6" s="6" t="inlineStr">
        <is>
          <t>NSFR ratio</t>
        </is>
      </c>
      <c r="B6" s="6" t="inlineStr">
        <is>
          <t>130.01%</t>
        </is>
      </c>
      <c r="C6" s="6" t="inlineStr">
        <is>
          <t>173%</t>
        </is>
      </c>
      <c r="D6" s="6" t="inlineStr">
        <is>
          <t>173%</t>
        </is>
      </c>
      <c r="E6" s="6" t="inlineStr">
        <is>
          <t>151%</t>
        </is>
      </c>
      <c r="F6" s="6" t="inlineStr">
        <is>
          <t>Not publicly disclosed</t>
        </is>
      </c>
    </row>
    <row r="7" ht="60" customHeight="1">
      <c r="A7" s="7" t="inlineStr">
        <is>
          <t>Note: The FY2021 Q4 report does not show a GSIB NSFR table; FY2022-FY2025 values are taken from the GSIB columns in Table 1.</t>
        </is>
      </c>
    </row>
    <row r="9" ht="260" customHeight="1">
      <c r="A9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Goldman Sachs International Bank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GSIB-specific numeric MREL value is shown in the reviewed official GSG UK Q4 Pillar 3 disclosures; GSGUK MREL figures are not substituted.</t>
        </is>
      </c>
    </row>
    <row r="7" ht="150" customHeight="1">
      <c r="A7" s="8" t="inlineStr">
        <is>
          <t>Sources - official Goldman Sachs Group UK Limited Q4 Pillar 3 Disclosures. The reports present explicit GSIB columns/tables for the metrics used here (USD millions and percentages):
FY2025: Table 1 / pp.15-16 - https://www.goldmansachs.com/disclosures/gsguk-q4-2025-pillar-3.pdf/
FY2024: Table 1 / pp.14-15 - https://www.goldmansachs.com/disclosures/gsguk-q4-2024-pillar-3.pdf/
FY2023: Table 1 / pp.14-16 - https://www.goldmansachs.com/disclosures/gsguk-q4-2023-pillar-3.pdf/
FY2022: Table 1 / pp.14-15 - https://www.goldmansachs.com/disclosures/gsguk-q4-2022-pillar-3.pdf/
FY2021: Table 2 / p.16, RWA Table 8 / p.20, LCR Table 39 / p.53, leverage Table 40 / p.54 - https://www.goldmansachs.com/disclosures/gsguk-q4-2021-pillar-3.pdf/
Goldman Sachs International Bank (GSIB, company 01122503, FRN 124659) is a PRA-authorised UK unlimited company, wholly-owned by Goldman Sachs Group UK Limited (GSG UK) and ultimately by The Goldman Sachs Group, Inc. (US) - a DISTINCT legal entity from Goldman Sachs International (GSI, company 02263951, the UK broker-dealer, not a bank) and from Goldman Sachs Bank Europe SE. All figures are GSIB's own entity-level disclosure, converted from its reporting currency (USD) to GBP using the Bank of England's published GBP/USD spot rate (point-in-time/balance figures) or average rate over the fiscal year (flow figures) - see the FX conversion methodology note below.
PILLAR 3 STRUCTURE: GSIB's own Annual Report states every year (Note 1, 'Basel III Pillar 3 Disclosures'): "The bank is included in the consolidated Pillar 3 disclosures of GSG UK, as required by the U.K. capital framework". GSIB does not publish a separate standalone Pillar 3 report, but the official GSG UK Q4 Pillar 3 disclosures explicitly provide GSIB columns/tables alongside GSGUK and GSI. The GSIB breakout is used here rather than substituting GSGUK consolidated figures. FY2021 GSIB capital, ratios, RWA, leverage and LCR are available; FY2022-FY2025 also provide GSIB NSFR. No GSIB-specific numeric MREL value is shown in the reviewed reports, so MREL remains explicitly unavailable.
FX conversion: point-in-time figures (cash balances, capital) converted at the Bank of England GBP/USD SPOT rate as at each fiscal year-end; flow figures (cash flow statement lines) converted at the AVERAGE rate over that fiscal year. Rates used (£1 = $X): 31 Dec 2020 spot 1.3661 (FY2021 opening cash only); FY2021 spot 1.3521 / average 1.3752; FY2022 spot 1.2097 / average 1.2362; FY2023 spot 1.2732 / average 1.2439; FY2024 spot 1.2515 / average 1.2782; FY2025 spot 1.3448 / average 1.3193 - same table already established for Zenith Bank UK / Credit Suisse International (identical 31 December year-end). Converting stocks and flows at different rates means the statement doesn't tie in GBP by itself - an 'Effect of GBP/USD translation' line is included, computed programmatically as the balancing figure (never hardcoded), labelled clearly as a translation artefact with no bearing on GSIB's actual USD results.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2026-08-29T12:02:15Z</dcterms:created>
  <dcterms:modified xmlns:dcterms="http://purl.org/dc/terms/" xmlns:xsi="http://www.w3.org/2001/XMLSchema-instance" xsi:type="dcterms:W3CDTF">2026-08-29T12:02:15Z</dcterms:modified>
</cp:coreProperties>
</file>