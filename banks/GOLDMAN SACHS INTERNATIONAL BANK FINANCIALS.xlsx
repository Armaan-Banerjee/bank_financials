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651C8"/>
        <bgColor rgb="00B651C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Goldman Sachs International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81905.89999999999</v>
      </c>
      <c r="C6" s="5" t="n">
        <v>71740.3</v>
      </c>
      <c r="D6" s="5" t="n">
        <v>70569.39999999999</v>
      </c>
      <c r="E6" s="5" t="n">
        <v>63635.6</v>
      </c>
      <c r="F6" s="5" t="n">
        <v>63990.8</v>
      </c>
      <c r="I6" t="inlineStr">
        <is>
          <t>Total assets</t>
        </is>
      </c>
      <c r="J6" t="n">
        <v>63990.8</v>
      </c>
      <c r="K6" t="n">
        <v>63635.6</v>
      </c>
      <c r="L6" t="n">
        <v>70569.39999999999</v>
      </c>
      <c r="M6" t="n">
        <v>71740.3</v>
      </c>
      <c r="N6" t="n">
        <v>81905.89999999999</v>
      </c>
      <c r="AO6" t="inlineStr">
        <is>
          <t>CET1 Ratio</t>
        </is>
      </c>
      <c r="AP6" t="n">
        <v>19.8</v>
      </c>
      <c r="AQ6" t="n">
        <v>21.75</v>
      </c>
      <c r="AR6" t="n">
        <v>23.77</v>
      </c>
      <c r="AS6" t="n">
        <v>24.41</v>
      </c>
      <c r="AT6" t="n">
        <v>24.81</v>
      </c>
    </row>
    <row r="7">
      <c r="A7" s="5" t="inlineStr">
        <is>
          <t>Loans</t>
        </is>
      </c>
      <c r="B7" s="5" t="n">
        <v>6572.7</v>
      </c>
      <c r="C7" s="5" t="n">
        <v>6499.4</v>
      </c>
      <c r="D7" s="5" t="n">
        <v>6342.3</v>
      </c>
      <c r="E7" s="5" t="n">
        <v>7530</v>
      </c>
      <c r="F7" s="5" t="n">
        <v>8727.200000000001</v>
      </c>
      <c r="I7" t="inlineStr">
        <is>
          <t>Loans</t>
        </is>
      </c>
      <c r="J7" t="n">
        <v>8727.200000000001</v>
      </c>
      <c r="K7" t="n">
        <v>7530</v>
      </c>
      <c r="L7" t="n">
        <v>6342.3</v>
      </c>
      <c r="M7" t="n">
        <v>6499.4</v>
      </c>
      <c r="N7" t="n">
        <v>6572.7</v>
      </c>
      <c r="AO7" t="inlineStr">
        <is>
          <t>Tier 1 Ratio</t>
        </is>
      </c>
      <c r="AP7" t="n">
        <v>19.8</v>
      </c>
      <c r="AQ7" t="n">
        <v>21.75</v>
      </c>
      <c r="AR7" t="n">
        <v>23.77</v>
      </c>
      <c r="AS7" t="n">
        <v>24.41</v>
      </c>
      <c r="AT7" t="n">
        <v>24.81</v>
      </c>
    </row>
    <row r="8">
      <c r="A8" s="5" t="inlineStr">
        <is>
          <t>Deposits</t>
        </is>
      </c>
      <c r="B8" s="5" t="n">
        <v>72480.7</v>
      </c>
      <c r="C8" s="5" t="n">
        <v>62958.8</v>
      </c>
      <c r="D8" s="5" t="n">
        <v>63667.1</v>
      </c>
      <c r="E8" s="5" t="n">
        <v>56080.8</v>
      </c>
      <c r="F8" s="5" t="n">
        <v>58897.3</v>
      </c>
      <c r="I8" t="inlineStr">
        <is>
          <t>Deposits</t>
        </is>
      </c>
      <c r="J8" t="n">
        <v>58897.3</v>
      </c>
      <c r="K8" t="n">
        <v>56080.8</v>
      </c>
      <c r="L8" t="n">
        <v>63667.1</v>
      </c>
      <c r="M8" t="n">
        <v>62958.8</v>
      </c>
      <c r="N8" t="n">
        <v>72480.7</v>
      </c>
      <c r="AO8" t="inlineStr">
        <is>
          <t>Total Capital Ratio</t>
        </is>
      </c>
      <c r="AP8" t="n">
        <v>24.5</v>
      </c>
      <c r="AQ8" t="n">
        <v>27.03</v>
      </c>
      <c r="AR8" t="n">
        <v>28.77</v>
      </c>
      <c r="AS8" t="n">
        <v>29.06</v>
      </c>
      <c r="AT8" t="n">
        <v>28.96</v>
      </c>
    </row>
    <row r="9">
      <c r="A9" s="5" t="inlineStr">
        <is>
          <t>Total shareholder's equity</t>
        </is>
      </c>
      <c r="B9" s="5" t="n">
        <v>3773.8</v>
      </c>
      <c r="C9" s="5" t="n">
        <v>3586.1</v>
      </c>
      <c r="D9" s="5" t="n">
        <v>3155.8</v>
      </c>
      <c r="E9" s="5" t="n">
        <v>2871.8</v>
      </c>
      <c r="F9" s="5" t="n">
        <v>2590.8</v>
      </c>
      <c r="I9" t="inlineStr">
        <is>
          <t>Total shareholder's equity</t>
        </is>
      </c>
      <c r="J9" t="n">
        <v>2590.8</v>
      </c>
      <c r="K9" t="n">
        <v>2871.8</v>
      </c>
      <c r="L9" t="n">
        <v>3155.8</v>
      </c>
      <c r="M9" t="n">
        <v>3586.1</v>
      </c>
      <c r="N9" t="n">
        <v>3773.8</v>
      </c>
      <c r="AO9" t="inlineStr">
        <is>
          <t>Leverage Ratio</t>
        </is>
      </c>
      <c r="AP9" t="n">
        <v>6.4</v>
      </c>
      <c r="AQ9" t="n">
        <v>6.87</v>
      </c>
      <c r="AR9" t="n">
        <v>7.36</v>
      </c>
      <c r="AS9" t="n">
        <v>8.859999999999999</v>
      </c>
      <c r="AT9" t="n">
        <v>8.390000000000001</v>
      </c>
    </row>
    <row r="10">
      <c r="AO10" t="inlineStr">
        <is>
          <t>LCR</t>
        </is>
      </c>
      <c r="AP10" t="n">
        <v>147</v>
      </c>
      <c r="AQ10" t="n">
        <v>161</v>
      </c>
      <c r="AR10" t="n">
        <v>151</v>
      </c>
      <c r="AS10" t="n">
        <v>158</v>
      </c>
      <c r="AT10" t="n">
        <v>155.57</v>
      </c>
    </row>
    <row r="11">
      <c r="A11" s="3" t="inlineStr">
        <is>
          <t>Profit &amp; Loss Summary (£m (conv. from USD))</t>
        </is>
      </c>
      <c r="AO11" t="inlineStr">
        <is>
          <t>NSFR</t>
        </is>
      </c>
      <c r="AQ11" t="n">
        <v>151</v>
      </c>
      <c r="AR11" t="n">
        <v>173</v>
      </c>
      <c r="AS11" t="n">
        <v>173</v>
      </c>
      <c r="AT11" t="n">
        <v>130.01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revenues</t>
        </is>
      </c>
      <c r="B13" s="5" t="n">
        <v>657.2</v>
      </c>
      <c r="C13" s="5" t="n">
        <v>599.3</v>
      </c>
      <c r="D13" s="5" t="n">
        <v>681.7</v>
      </c>
      <c r="E13" s="5" t="n">
        <v>441.7</v>
      </c>
      <c r="F13" s="5" t="n">
        <v>291.6</v>
      </c>
      <c r="Q13" t="inlineStr">
        <is>
          <t>Net revenues</t>
        </is>
      </c>
      <c r="R13" t="n">
        <v>291.6</v>
      </c>
      <c r="S13" t="n">
        <v>441.7</v>
      </c>
      <c r="T13" t="n">
        <v>681.7</v>
      </c>
      <c r="U13" t="n">
        <v>599.3</v>
      </c>
      <c r="V13" t="n">
        <v>657.2</v>
      </c>
    </row>
    <row r="14">
      <c r="A14" s="5" t="inlineStr">
        <is>
          <t>Operating expenses</t>
        </is>
      </c>
      <c r="B14" s="5" t="n">
        <v>-158.4</v>
      </c>
      <c r="C14" s="5" t="n">
        <v>-136.9</v>
      </c>
      <c r="D14" s="5" t="n">
        <v>-128.6</v>
      </c>
      <c r="E14" s="5" t="n">
        <v>-142.4</v>
      </c>
      <c r="F14" s="5" t="n">
        <v>-150.5</v>
      </c>
      <c r="Q14" t="inlineStr">
        <is>
          <t>Operating expenses</t>
        </is>
      </c>
      <c r="R14" t="n">
        <v>-150.5</v>
      </c>
      <c r="S14" t="n">
        <v>-142.4</v>
      </c>
      <c r="T14" t="n">
        <v>-128.6</v>
      </c>
      <c r="U14" t="n">
        <v>-136.9</v>
      </c>
      <c r="V14" t="n">
        <v>-158.4</v>
      </c>
    </row>
    <row r="15">
      <c r="A15" s="5" t="inlineStr">
        <is>
          <t>Profit for the financial year</t>
        </is>
      </c>
      <c r="B15" s="5" t="n">
        <v>369.9</v>
      </c>
      <c r="C15" s="5" t="n">
        <v>358.3</v>
      </c>
      <c r="D15" s="5" t="n">
        <v>406.8</v>
      </c>
      <c r="E15" s="5" t="n">
        <v>176.3</v>
      </c>
      <c r="F15" s="5" t="n">
        <v>146.2</v>
      </c>
      <c r="Q15" t="inlineStr">
        <is>
          <t>Profit for the financial year</t>
        </is>
      </c>
      <c r="R15" t="n">
        <v>146.2</v>
      </c>
      <c r="S15" t="n">
        <v>176.3</v>
      </c>
      <c r="T15" t="n">
        <v>406.8</v>
      </c>
      <c r="U15" t="n">
        <v>358.3</v>
      </c>
      <c r="V15" t="n">
        <v>369.9</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3586.1</v>
      </c>
      <c r="C19" s="5" t="n">
        <v>3155.8</v>
      </c>
      <c r="D19" s="5" t="n">
        <v>2871.8</v>
      </c>
      <c r="E19" s="5" t="n">
        <v>2590.8</v>
      </c>
      <c r="F19" s="5" t="n">
        <v>2460.3</v>
      </c>
      <c r="Y19" t="inlineStr">
        <is>
          <t>Opening equity</t>
        </is>
      </c>
      <c r="Z19" t="n">
        <v>2460.3</v>
      </c>
      <c r="AA19" t="n">
        <v>2590.8</v>
      </c>
      <c r="AB19" t="n">
        <v>2871.8</v>
      </c>
      <c r="AC19" t="n">
        <v>3155.8</v>
      </c>
      <c r="AD19" t="n">
        <v>3586.1</v>
      </c>
    </row>
    <row r="20">
      <c r="A20" s="5" t="inlineStr">
        <is>
          <t>Total comprehensive income/(loss) for the year</t>
        </is>
      </c>
      <c r="B20" s="5" t="n">
        <v>444.9</v>
      </c>
      <c r="C20" s="5" t="n">
        <v>367.7</v>
      </c>
      <c r="D20" s="5" t="n">
        <v>437.3</v>
      </c>
      <c r="E20" s="5" t="n">
        <v>-23.5</v>
      </c>
      <c r="F20" s="5" t="n">
        <v>103.3</v>
      </c>
      <c r="Y20" t="inlineStr">
        <is>
          <t>Total comprehensive income/(loss) for the year</t>
        </is>
      </c>
      <c r="Z20" t="n">
        <v>103.3</v>
      </c>
      <c r="AA20" t="n">
        <v>-23.5</v>
      </c>
      <c r="AB20" t="n">
        <v>437.3</v>
      </c>
      <c r="AC20" t="n">
        <v>367.7</v>
      </c>
      <c r="AD20" t="n">
        <v>444.9</v>
      </c>
    </row>
    <row r="21">
      <c r="A21" s="5" t="inlineStr">
        <is>
          <t>Other equity movements, net</t>
        </is>
      </c>
      <c r="B21" s="5" t="n">
        <v>-257.2</v>
      </c>
      <c r="C21" s="5" t="n">
        <v>62.6</v>
      </c>
      <c r="D21" s="5" t="n">
        <v>-153.3</v>
      </c>
      <c r="E21" s="5" t="n">
        <v>304.5</v>
      </c>
      <c r="F21" s="5" t="n">
        <v>27.2</v>
      </c>
      <c r="Y21" t="inlineStr">
        <is>
          <t>Other equity movements, net</t>
        </is>
      </c>
      <c r="Z21" t="n">
        <v>27.2</v>
      </c>
      <c r="AA21" t="n">
        <v>304.5</v>
      </c>
      <c r="AB21" t="n">
        <v>-153.3</v>
      </c>
      <c r="AC21" t="n">
        <v>62.6</v>
      </c>
      <c r="AD21" t="n">
        <v>-257.2</v>
      </c>
    </row>
    <row r="22">
      <c r="A22" s="5" t="inlineStr">
        <is>
          <t>Closing equity</t>
        </is>
      </c>
      <c r="B22" s="5" t="n">
        <v>3773.8</v>
      </c>
      <c r="C22" s="5" t="n">
        <v>3586.1</v>
      </c>
      <c r="D22" s="5" t="n">
        <v>3155.8</v>
      </c>
      <c r="E22" s="5" t="n">
        <v>2871.8</v>
      </c>
      <c r="F22" s="5" t="n">
        <v>2590.8</v>
      </c>
      <c r="Y22" t="inlineStr">
        <is>
          <t>Closing equity</t>
        </is>
      </c>
      <c r="Z22" t="n">
        <v>2590.8</v>
      </c>
      <c r="AA22" t="n">
        <v>2871.8</v>
      </c>
      <c r="AB22" t="n">
        <v>3155.8</v>
      </c>
      <c r="AC22" t="n">
        <v>3586.1</v>
      </c>
      <c r="AD22" t="n">
        <v>3773.8</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208.4</v>
      </c>
      <c r="C26" s="5" t="n">
        <v>-4105.8</v>
      </c>
      <c r="D26" s="5" t="n">
        <v>143.1</v>
      </c>
      <c r="E26" s="5" t="n">
        <v>6558</v>
      </c>
      <c r="F26" s="5" t="n">
        <v>1711.8</v>
      </c>
      <c r="AG26" t="inlineStr">
        <is>
          <t>Net cash from/(used in) operating activities</t>
        </is>
      </c>
      <c r="AH26" t="n">
        <v>1711.8</v>
      </c>
      <c r="AI26" t="n">
        <v>6558</v>
      </c>
      <c r="AJ26" t="n">
        <v>143.1</v>
      </c>
      <c r="AK26" t="n">
        <v>-4105.8</v>
      </c>
      <c r="AL26" t="n">
        <v>208.4</v>
      </c>
    </row>
    <row r="27">
      <c r="A27" s="5" t="inlineStr">
        <is>
          <t>Net cash used in/(from) investing activities</t>
        </is>
      </c>
      <c r="B27" s="5" t="n">
        <v>-2994</v>
      </c>
      <c r="C27" s="5" t="n">
        <v>-1732.1</v>
      </c>
      <c r="D27" s="5" t="n">
        <v>799.1</v>
      </c>
      <c r="E27" s="5" t="n">
        <v>541.2</v>
      </c>
      <c r="F27" s="5" t="n">
        <v>-1583.8</v>
      </c>
      <c r="AG27" t="inlineStr">
        <is>
          <t>Net cash used in/(from) investing activities</t>
        </is>
      </c>
      <c r="AH27" t="n">
        <v>-1583.8</v>
      </c>
      <c r="AI27" t="n">
        <v>541.2</v>
      </c>
      <c r="AJ27" t="n">
        <v>799.1</v>
      </c>
      <c r="AK27" t="n">
        <v>-1732.1</v>
      </c>
      <c r="AL27" t="n">
        <v>-2994</v>
      </c>
    </row>
    <row r="28">
      <c r="A28" s="5" t="inlineStr">
        <is>
          <t>Net cash used in financing activities</t>
        </is>
      </c>
      <c r="B28" s="5" t="n">
        <v>-43.2</v>
      </c>
      <c r="C28" s="5" t="n">
        <v>-57.1</v>
      </c>
      <c r="D28" s="5" t="n">
        <v>-57.1</v>
      </c>
      <c r="E28" s="5" t="n">
        <v>-31.5</v>
      </c>
      <c r="F28" s="5" t="n">
        <v>-21.1</v>
      </c>
      <c r="AG28" t="inlineStr">
        <is>
          <t>Net cash used in financing activities</t>
        </is>
      </c>
      <c r="AH28" t="n">
        <v>-21.1</v>
      </c>
      <c r="AI28" t="n">
        <v>-31.5</v>
      </c>
      <c r="AJ28" t="n">
        <v>-57.1</v>
      </c>
      <c r="AK28" t="n">
        <v>-57.1</v>
      </c>
      <c r="AL28" t="n">
        <v>-43.2</v>
      </c>
    </row>
    <row r="29">
      <c r="A29" s="5" t="inlineStr">
        <is>
          <t>Cash and cash equivalents, ending balance</t>
        </is>
      </c>
      <c r="B29" s="5" t="n">
        <v>6279.7</v>
      </c>
      <c r="C29" s="5" t="n">
        <v>9570.1</v>
      </c>
      <c r="D29" s="5" t="n">
        <v>15655</v>
      </c>
      <c r="E29" s="5" t="n">
        <v>15255.8</v>
      </c>
      <c r="F29" s="5" t="n">
        <v>7322.7</v>
      </c>
      <c r="AG29" t="inlineStr">
        <is>
          <t>Cash and cash equivalents, ending balance</t>
        </is>
      </c>
      <c r="AH29" t="n">
        <v>7322.7</v>
      </c>
      <c r="AI29" t="n">
        <v>15255.8</v>
      </c>
      <c r="AJ29" t="n">
        <v>15655</v>
      </c>
      <c r="AK29" t="n">
        <v>9570.1</v>
      </c>
      <c r="AL29" t="n">
        <v>6279.7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24.81%</t>
        </is>
      </c>
      <c r="C33" s="6" t="inlineStr">
        <is>
          <t>24.41%</t>
        </is>
      </c>
      <c r="D33" s="6" t="inlineStr">
        <is>
          <t>23.77%</t>
        </is>
      </c>
      <c r="E33" s="6" t="inlineStr">
        <is>
          <t>21.75%</t>
        </is>
      </c>
      <c r="F33" s="6" t="inlineStr">
        <is>
          <t>19.8%</t>
        </is>
      </c>
    </row>
    <row r="34">
      <c r="A34" s="6" t="inlineStr">
        <is>
          <t>Tier 1 Ratio</t>
        </is>
      </c>
      <c r="B34" s="6" t="inlineStr">
        <is>
          <t>24.81%</t>
        </is>
      </c>
      <c r="C34" s="6" t="inlineStr">
        <is>
          <t>24.41%</t>
        </is>
      </c>
      <c r="D34" s="6" t="inlineStr">
        <is>
          <t>23.77%</t>
        </is>
      </c>
      <c r="E34" s="6" t="inlineStr">
        <is>
          <t>21.75%</t>
        </is>
      </c>
      <c r="F34" s="6" t="inlineStr">
        <is>
          <t>19.8%</t>
        </is>
      </c>
    </row>
    <row r="35">
      <c r="A35" s="6" t="inlineStr">
        <is>
          <t>Total Capital Ratio</t>
        </is>
      </c>
      <c r="B35" s="6" t="inlineStr">
        <is>
          <t>28.96%</t>
        </is>
      </c>
      <c r="C35" s="6" t="inlineStr">
        <is>
          <t>29.06%</t>
        </is>
      </c>
      <c r="D35" s="6" t="inlineStr">
        <is>
          <t>28.77%</t>
        </is>
      </c>
      <c r="E35" s="6" t="inlineStr">
        <is>
          <t>27.03%</t>
        </is>
      </c>
      <c r="F35" s="6" t="inlineStr">
        <is>
          <t>24.5%</t>
        </is>
      </c>
    </row>
    <row r="36">
      <c r="A36" s="6" t="inlineStr">
        <is>
          <t>Leverage Ratio</t>
        </is>
      </c>
      <c r="B36" s="6" t="inlineStr">
        <is>
          <t>8.39%</t>
        </is>
      </c>
      <c r="C36" s="6" t="inlineStr">
        <is>
          <t>8.86%</t>
        </is>
      </c>
      <c r="D36" s="6" t="inlineStr">
        <is>
          <t>7.36%</t>
        </is>
      </c>
      <c r="E36" s="6" t="inlineStr">
        <is>
          <t>6.87%</t>
        </is>
      </c>
      <c r="F36" s="6" t="inlineStr">
        <is>
          <t>6.4%</t>
        </is>
      </c>
    </row>
    <row r="37">
      <c r="A37" s="6" t="inlineStr">
        <is>
          <t>LCR</t>
        </is>
      </c>
      <c r="B37" s="6" t="inlineStr">
        <is>
          <t>155.57%</t>
        </is>
      </c>
      <c r="C37" s="6" t="inlineStr">
        <is>
          <t>158%</t>
        </is>
      </c>
      <c r="D37" s="6" t="inlineStr">
        <is>
          <t>151%</t>
        </is>
      </c>
      <c r="E37" s="6" t="inlineStr">
        <is>
          <t>161%</t>
        </is>
      </c>
      <c r="F37" s="6" t="inlineStr">
        <is>
          <t>147%</t>
        </is>
      </c>
    </row>
    <row r="38">
      <c r="A38" s="6" t="inlineStr">
        <is>
          <t>NSFR</t>
        </is>
      </c>
      <c r="B38" s="6" t="inlineStr">
        <is>
          <t>130.01%</t>
        </is>
      </c>
      <c r="C38" s="6" t="inlineStr">
        <is>
          <t>173%</t>
        </is>
      </c>
      <c r="D38" s="6" t="inlineStr">
        <is>
          <t>173%</t>
        </is>
      </c>
      <c r="E38" s="6" t="inlineStr">
        <is>
          <t>151%</t>
        </is>
      </c>
      <c r="F38" s="6" t="inlineStr">
        <is>
          <t>Not publicly disclosed</t>
        </is>
      </c>
    </row>
    <row r="40" ht="45" customHeight="1">
      <c r="A40" s="7" t="inlineStr">
        <is>
          <t>Note: The official GSG UK Q4 Pillar 3 disclosures provide explicit GSIB entity columns/tables for capital, ratios, RWA, leverage, LCR and (from FY2022) NSFR. No GSIB-specific numeric MREL value is shown, so MREL remains unavailable. All USD amounts are converted to GBP using the established FX methodology; percentages are retained as reported. See each metric sheet for official source URLs and table/page references.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Balance Sheet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Assets</t>
        </is>
      </c>
      <c r="B4" s="6" t="n"/>
      <c r="C4" s="6" t="n"/>
      <c r="D4" s="6" t="n"/>
      <c r="E4" s="6" t="n"/>
      <c r="F4" s="6" t="n"/>
    </row>
    <row r="5">
      <c r="A5" s="6" t="inlineStr">
        <is>
          <t>Cash and cash equivalents</t>
        </is>
      </c>
      <c r="B5" s="6" t="n">
        <v>6290.9</v>
      </c>
      <c r="C5" s="6" t="n">
        <v>9570.9</v>
      </c>
      <c r="D5" s="6" t="n">
        <v>15655</v>
      </c>
      <c r="E5" s="6" t="n">
        <v>15255.8</v>
      </c>
      <c r="F5" s="6" t="n">
        <v>7322.7</v>
      </c>
    </row>
    <row r="6">
      <c r="A6" s="6" t="inlineStr">
        <is>
          <t>Collateralised agreements</t>
        </is>
      </c>
      <c r="B6" s="6" t="n">
        <v>57877</v>
      </c>
      <c r="C6" s="6" t="n">
        <v>46497</v>
      </c>
      <c r="D6" s="6" t="n">
        <v>40951.1</v>
      </c>
      <c r="E6" s="6" t="n">
        <v>30990.3</v>
      </c>
      <c r="F6" s="6" t="n">
        <v>40818</v>
      </c>
    </row>
    <row r="7">
      <c r="A7" s="6" t="inlineStr">
        <is>
          <t>Customer and other receivables</t>
        </is>
      </c>
      <c r="B7" s="6" t="n">
        <v>1143.7</v>
      </c>
      <c r="C7" s="6" t="n">
        <v>2040.8</v>
      </c>
      <c r="D7" s="6" t="n">
        <v>719.4</v>
      </c>
      <c r="E7" s="6" t="n">
        <v>172.8</v>
      </c>
      <c r="F7" s="6" t="n">
        <v>216</v>
      </c>
    </row>
    <row r="8">
      <c r="A8" s="6" t="inlineStr">
        <is>
          <t>Trading assets</t>
        </is>
      </c>
      <c r="B8" s="6" t="n">
        <v>2872.5</v>
      </c>
      <c r="C8" s="6" t="n">
        <v>2607.3</v>
      </c>
      <c r="D8" s="6" t="n">
        <v>4095.2</v>
      </c>
      <c r="E8" s="6" t="n">
        <v>4436.6</v>
      </c>
      <c r="F8" s="6" t="n">
        <v>2386.7</v>
      </c>
    </row>
    <row r="9">
      <c r="A9" s="6" t="inlineStr">
        <is>
          <t>Loans</t>
        </is>
      </c>
      <c r="B9" s="6" t="n">
        <v>6572.7</v>
      </c>
      <c r="C9" s="6" t="n">
        <v>6499.4</v>
      </c>
      <c r="D9" s="6" t="n">
        <v>6342.3</v>
      </c>
      <c r="E9" s="6" t="n">
        <v>7530</v>
      </c>
      <c r="F9" s="6" t="n">
        <v>8727.200000000001</v>
      </c>
    </row>
    <row r="10">
      <c r="A10" s="6" t="inlineStr">
        <is>
          <t>Investments</t>
        </is>
      </c>
      <c r="B10" s="6" t="n">
        <v>7060.5</v>
      </c>
      <c r="C10" s="6" t="n">
        <v>4371.6</v>
      </c>
      <c r="D10" s="6" t="n">
        <v>2488.2</v>
      </c>
      <c r="E10" s="6" t="n">
        <v>3371.1</v>
      </c>
      <c r="F10" s="6" t="n">
        <v>3757.1</v>
      </c>
    </row>
    <row r="11">
      <c r="A11" s="6" t="inlineStr">
        <is>
          <t>Other assets</t>
        </is>
      </c>
      <c r="B11" s="6" t="n">
        <v>88.5</v>
      </c>
      <c r="C11" s="6" t="n">
        <v>153.4</v>
      </c>
      <c r="D11" s="6" t="n">
        <v>318.1</v>
      </c>
      <c r="E11" s="6" t="n">
        <v>1879</v>
      </c>
      <c r="F11" s="6" t="n">
        <v>763.3</v>
      </c>
    </row>
    <row r="12">
      <c r="A12" s="5" t="inlineStr">
        <is>
          <t>Total assets</t>
        </is>
      </c>
      <c r="B12" s="5" t="n">
        <v>81905.89999999999</v>
      </c>
      <c r="C12" s="5" t="n">
        <v>71740.3</v>
      </c>
      <c r="D12" s="5" t="n">
        <v>70569.39999999999</v>
      </c>
      <c r="E12" s="5" t="n">
        <v>63635.6</v>
      </c>
      <c r="F12" s="5" t="n">
        <v>63990.8</v>
      </c>
    </row>
    <row r="13">
      <c r="A13" s="5" t="inlineStr">
        <is>
          <t>Liabilities</t>
        </is>
      </c>
      <c r="B13" s="6" t="n"/>
      <c r="C13" s="6" t="n"/>
      <c r="D13" s="6" t="n"/>
      <c r="E13" s="6" t="n"/>
      <c r="F13" s="6" t="n"/>
    </row>
    <row r="14">
      <c r="A14" s="6" t="inlineStr">
        <is>
          <t>Collateralised financings</t>
        </is>
      </c>
      <c r="B14" s="6" t="n">
        <v>1411.4</v>
      </c>
      <c r="C14" s="6" t="n">
        <v>476.2</v>
      </c>
      <c r="D14" s="6" t="n">
        <v>32.2</v>
      </c>
      <c r="E14" s="6" t="n">
        <v>248.8</v>
      </c>
      <c r="F14" s="6" t="n">
        <v>173.1</v>
      </c>
    </row>
    <row r="15">
      <c r="A15" s="6" t="inlineStr">
        <is>
          <t>Customer and other payables</t>
        </is>
      </c>
      <c r="B15" s="6" t="n">
        <v>157.6</v>
      </c>
      <c r="C15" s="6" t="n">
        <v>465.8</v>
      </c>
      <c r="D15" s="6" t="n">
        <v>606.3</v>
      </c>
      <c r="E15" s="6" t="n">
        <v>631.6</v>
      </c>
      <c r="F15" s="6" t="n">
        <v>186.4</v>
      </c>
    </row>
    <row r="16">
      <c r="A16" s="6" t="inlineStr">
        <is>
          <t>Trading liabilities</t>
        </is>
      </c>
      <c r="B16" s="6" t="n">
        <v>2450.2</v>
      </c>
      <c r="C16" s="6" t="n">
        <v>2393.1</v>
      </c>
      <c r="D16" s="6" t="n">
        <v>1285</v>
      </c>
      <c r="E16" s="6" t="n">
        <v>1325.9</v>
      </c>
      <c r="F16" s="6" t="n">
        <v>610.9</v>
      </c>
    </row>
    <row r="17">
      <c r="A17" s="6" t="inlineStr">
        <is>
          <t>Deposits</t>
        </is>
      </c>
      <c r="B17" s="6" t="n">
        <v>72480.7</v>
      </c>
      <c r="C17" s="6" t="n">
        <v>62958.8</v>
      </c>
      <c r="D17" s="6" t="n">
        <v>63667.1</v>
      </c>
      <c r="E17" s="6" t="n">
        <v>56080.8</v>
      </c>
      <c r="F17" s="6" t="n">
        <v>58897.3</v>
      </c>
    </row>
    <row r="18">
      <c r="A18" s="6" t="inlineStr">
        <is>
          <t>Unsecured borrowings</t>
        </is>
      </c>
      <c r="B18" s="6" t="n">
        <v>1463.4</v>
      </c>
      <c r="C18" s="6" t="n">
        <v>1682</v>
      </c>
      <c r="D18" s="6" t="n">
        <v>1671.4</v>
      </c>
      <c r="E18" s="6" t="n">
        <v>2336.9</v>
      </c>
      <c r="F18" s="6" t="n">
        <v>1402.3</v>
      </c>
    </row>
    <row r="19">
      <c r="A19" s="6" t="inlineStr">
        <is>
          <t>Other liabilities</t>
        </is>
      </c>
      <c r="B19" s="6" t="n">
        <v>168.8</v>
      </c>
      <c r="C19" s="6" t="n">
        <v>178.2</v>
      </c>
      <c r="D19" s="6" t="n">
        <v>151.6</v>
      </c>
      <c r="E19" s="6" t="n">
        <v>139.7</v>
      </c>
      <c r="F19" s="6" t="n">
        <v>130.2</v>
      </c>
    </row>
    <row r="20">
      <c r="A20" s="5" t="inlineStr">
        <is>
          <t>Total liabilities</t>
        </is>
      </c>
      <c r="B20" s="5" t="n">
        <v>78132.10000000001</v>
      </c>
      <c r="C20" s="5" t="n">
        <v>68154.2</v>
      </c>
      <c r="D20" s="5" t="n">
        <v>67413.60000000001</v>
      </c>
      <c r="E20" s="5" t="n">
        <v>60763.8</v>
      </c>
      <c r="F20" s="5" t="n">
        <v>61400</v>
      </c>
    </row>
    <row r="21">
      <c r="A21" s="5" t="inlineStr">
        <is>
          <t>Shareholder's equity</t>
        </is>
      </c>
      <c r="B21" s="6" t="n"/>
      <c r="C21" s="6" t="n"/>
      <c r="D21" s="6" t="n"/>
      <c r="E21" s="6" t="n"/>
      <c r="F21" s="6" t="n"/>
    </row>
    <row r="22">
      <c r="A22" s="6" t="inlineStr">
        <is>
          <t>Share capital</t>
        </is>
      </c>
      <c r="B22" s="6" t="n">
        <v>46.8</v>
      </c>
      <c r="C22" s="6" t="n">
        <v>50.3</v>
      </c>
      <c r="D22" s="6" t="n">
        <v>49.5</v>
      </c>
      <c r="E22" s="6" t="n">
        <v>52.1</v>
      </c>
      <c r="F22" s="6" t="n">
        <v>46.6</v>
      </c>
    </row>
    <row r="23">
      <c r="A23" s="6" t="inlineStr">
        <is>
          <t>Share premium account</t>
        </is>
      </c>
      <c r="B23" s="6" t="n">
        <v>1557.1</v>
      </c>
      <c r="C23" s="6" t="n">
        <v>1673.2</v>
      </c>
      <c r="D23" s="6" t="n">
        <v>1644.7</v>
      </c>
      <c r="E23" s="6" t="n">
        <v>1731</v>
      </c>
      <c r="F23" s="6" t="n">
        <v>1548.7</v>
      </c>
    </row>
    <row r="24">
      <c r="A24" s="6" t="inlineStr">
        <is>
          <t>Retained earnings</t>
        </is>
      </c>
      <c r="B24" s="6" t="n">
        <v>2297.7</v>
      </c>
      <c r="C24" s="6" t="n">
        <v>2079.1</v>
      </c>
      <c r="D24" s="6" t="n">
        <v>1683.9</v>
      </c>
      <c r="E24" s="6" t="n">
        <v>1354.1</v>
      </c>
      <c r="F24" s="6" t="n">
        <v>1050.2</v>
      </c>
    </row>
    <row r="25">
      <c r="A25" s="6" t="inlineStr">
        <is>
          <t>Accumulated other comprehensive income</t>
        </is>
      </c>
      <c r="B25" s="6" t="n">
        <v>-127.9</v>
      </c>
      <c r="C25" s="6" t="n">
        <v>-216.5</v>
      </c>
      <c r="D25" s="6" t="n">
        <v>-222.3</v>
      </c>
      <c r="E25" s="6" t="n">
        <v>-265.4</v>
      </c>
      <c r="F25" s="6" t="n">
        <v>-54.7</v>
      </c>
    </row>
    <row r="26">
      <c r="A26" s="5" t="inlineStr">
        <is>
          <t>Total shareholder's equity</t>
        </is>
      </c>
      <c r="B26" s="5" t="n">
        <v>3773.8</v>
      </c>
      <c r="C26" s="5" t="n">
        <v>3586.1</v>
      </c>
      <c r="D26" s="5" t="n">
        <v>3155.8</v>
      </c>
      <c r="E26" s="5" t="n">
        <v>2871.8</v>
      </c>
      <c r="F26" s="5" t="n">
        <v>2590.8</v>
      </c>
    </row>
    <row r="27">
      <c r="A27" s="5" t="inlineStr">
        <is>
          <t>Total liabilities and shareholder's equity</t>
        </is>
      </c>
      <c r="B27" s="5" t="n">
        <v>81905.89999999999</v>
      </c>
      <c r="C27" s="5" t="n">
        <v>71740.3</v>
      </c>
      <c r="D27" s="5" t="n">
        <v>70569.39999999999</v>
      </c>
      <c r="E27" s="5" t="n">
        <v>63635.6</v>
      </c>
      <c r="F27" s="5" t="n">
        <v>63990.8</v>
      </c>
    </row>
    <row r="29" ht="320" customHeight="1">
      <c r="A2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Income Statement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Income</t>
        </is>
      </c>
      <c r="B4" s="6" t="n"/>
      <c r="C4" s="6" t="n"/>
      <c r="D4" s="6" t="n"/>
      <c r="E4" s="6" t="n"/>
      <c r="F4" s="6" t="n"/>
    </row>
    <row r="5">
      <c r="A5" s="6" t="inlineStr">
        <is>
          <t>Interest income - financial instruments at FVTPL</t>
        </is>
      </c>
      <c r="B5" s="6" t="n">
        <v>1057.4</v>
      </c>
      <c r="C5" s="6" t="n">
        <v>1056.2</v>
      </c>
      <c r="D5" s="6" t="n">
        <v>2111.1</v>
      </c>
      <c r="E5" s="6" t="n">
        <v>865.6</v>
      </c>
      <c r="F5" s="6" t="n">
        <v>251.6</v>
      </c>
    </row>
    <row r="6">
      <c r="A6" s="6" t="inlineStr">
        <is>
          <t>Interest income - financial instruments at FVOCI</t>
        </is>
      </c>
      <c r="B6" s="6" t="n">
        <v>76.59999999999999</v>
      </c>
      <c r="C6" s="6" t="n">
        <v>22.7</v>
      </c>
      <c r="D6" s="6" t="n">
        <v>8</v>
      </c>
      <c r="E6" s="6" t="n">
        <v>8.1</v>
      </c>
      <c r="F6" s="6" t="n">
        <v>4.4</v>
      </c>
    </row>
    <row r="7">
      <c r="A7" s="6" t="inlineStr">
        <is>
          <t>Interest income - financial instruments at amortised cost</t>
        </is>
      </c>
      <c r="B7" s="6" t="n">
        <v>2139.8</v>
      </c>
      <c r="C7" s="6" t="n">
        <v>2771.1</v>
      </c>
      <c r="D7" s="6" t="n">
        <v>1438.2</v>
      </c>
      <c r="E7" s="6" t="n">
        <v>518.5</v>
      </c>
      <c r="F7" s="6" t="n">
        <v>247.2</v>
      </c>
    </row>
    <row r="8">
      <c r="A8" s="6" t="inlineStr">
        <is>
          <t>Interest expense - financial instruments at FVTPL</t>
        </is>
      </c>
      <c r="B8" s="6" t="n">
        <v>-873.2</v>
      </c>
      <c r="C8" s="6" t="n">
        <v>-889.5</v>
      </c>
      <c r="D8" s="6" t="n">
        <v>-1131.1</v>
      </c>
      <c r="E8" s="6" t="n">
        <v>-360</v>
      </c>
      <c r="F8" s="6" t="n">
        <v>-73.40000000000001</v>
      </c>
    </row>
    <row r="9">
      <c r="A9" s="6" t="inlineStr">
        <is>
          <t>Interest expense - financial instruments at amortised cost</t>
        </is>
      </c>
      <c r="B9" s="6" t="n">
        <v>-2068.5</v>
      </c>
      <c r="C9" s="6" t="n">
        <v>-2678</v>
      </c>
      <c r="D9" s="6" t="n">
        <v>-1812</v>
      </c>
      <c r="E9" s="6" t="n">
        <v>-565.4</v>
      </c>
      <c r="F9" s="6" t="n">
        <v>-157.8</v>
      </c>
    </row>
    <row r="10">
      <c r="A10" s="5" t="inlineStr">
        <is>
          <t>Net interest income</t>
        </is>
      </c>
      <c r="B10" s="5" t="n">
        <v>332</v>
      </c>
      <c r="C10" s="5" t="n">
        <v>282.4</v>
      </c>
      <c r="D10" s="5" t="n">
        <v>614.2</v>
      </c>
      <c r="E10" s="5" t="n">
        <v>466.8</v>
      </c>
      <c r="F10" s="5" t="n">
        <v>272</v>
      </c>
    </row>
    <row r="11">
      <c r="A11" s="6" t="inlineStr">
        <is>
          <t>Gains/(losses) - financial instruments at FVTPL</t>
        </is>
      </c>
      <c r="B11" s="6" t="n">
        <v>257.7</v>
      </c>
      <c r="C11" s="6" t="n">
        <v>260.5</v>
      </c>
      <c r="D11" s="6" t="n">
        <v>7.2</v>
      </c>
      <c r="E11" s="6" t="n">
        <v>-66.3</v>
      </c>
      <c r="F11" s="6" t="n">
        <v>-54.5</v>
      </c>
    </row>
    <row r="12">
      <c r="A12" s="6" t="inlineStr">
        <is>
          <t>Gains - financial instruments at FVOCI</t>
        </is>
      </c>
      <c r="B12" s="6" t="n">
        <v>2.3</v>
      </c>
      <c r="C12" s="6" t="n"/>
      <c r="D12" s="6" t="n">
        <v>0</v>
      </c>
      <c r="E12" s="6" t="n"/>
      <c r="F12" s="6" t="n"/>
    </row>
    <row r="13">
      <c r="A13" s="6" t="inlineStr">
        <is>
          <t>Fees and commissions</t>
        </is>
      </c>
      <c r="B13" s="6" t="n">
        <v>65.2</v>
      </c>
      <c r="C13" s="6" t="n">
        <v>56.3</v>
      </c>
      <c r="D13" s="6" t="n">
        <v>60.3</v>
      </c>
      <c r="E13" s="6" t="n">
        <v>41.3</v>
      </c>
      <c r="F13" s="6" t="n">
        <v>74.2</v>
      </c>
    </row>
    <row r="14">
      <c r="A14" s="5" t="inlineStr">
        <is>
          <t>Non-interest income/(losses)</t>
        </is>
      </c>
      <c r="B14" s="5" t="n">
        <v>325.2</v>
      </c>
      <c r="C14" s="5" t="n">
        <v>316.9</v>
      </c>
      <c r="D14" s="5" t="n">
        <v>67.5</v>
      </c>
      <c r="E14" s="5" t="n">
        <v>-25.1</v>
      </c>
      <c r="F14" s="5" t="n">
        <v>19.6</v>
      </c>
    </row>
    <row r="15">
      <c r="A15" s="5" t="inlineStr">
        <is>
          <t>Net revenues</t>
        </is>
      </c>
      <c r="B15" s="5" t="n">
        <v>657.2</v>
      </c>
      <c r="C15" s="5" t="n">
        <v>599.3</v>
      </c>
      <c r="D15" s="5" t="n">
        <v>681.7</v>
      </c>
      <c r="E15" s="5" t="n">
        <v>441.7</v>
      </c>
      <c r="F15" s="5" t="n">
        <v>291.6</v>
      </c>
    </row>
    <row r="16">
      <c r="A16" s="6" t="inlineStr">
        <is>
          <t>Impairments on financial instruments</t>
        </is>
      </c>
      <c r="B16" s="6" t="n">
        <v>15.9</v>
      </c>
      <c r="C16" s="6" t="n">
        <v>39.1</v>
      </c>
      <c r="D16" s="6" t="n">
        <v>8.800000000000001</v>
      </c>
      <c r="E16" s="6" t="n">
        <v>-76</v>
      </c>
      <c r="F16" s="6" t="n">
        <v>64.7</v>
      </c>
    </row>
    <row r="17">
      <c r="A17" s="6" t="inlineStr">
        <is>
          <t>Operating expenses</t>
        </is>
      </c>
      <c r="B17" s="6" t="n">
        <v>-158.4</v>
      </c>
      <c r="C17" s="6" t="n">
        <v>-136.9</v>
      </c>
      <c r="D17" s="6" t="n">
        <v>-128.6</v>
      </c>
      <c r="E17" s="6" t="n">
        <v>-142.4</v>
      </c>
      <c r="F17" s="6" t="n">
        <v>-150.5</v>
      </c>
    </row>
    <row r="18">
      <c r="A18" s="5" t="inlineStr">
        <is>
          <t>Profit before taxation</t>
        </is>
      </c>
      <c r="B18" s="5" t="n">
        <v>514.7</v>
      </c>
      <c r="C18" s="5" t="n">
        <v>501.5</v>
      </c>
      <c r="D18" s="5" t="n">
        <v>561.9</v>
      </c>
      <c r="E18" s="5" t="n">
        <v>223.3</v>
      </c>
      <c r="F18" s="5" t="n">
        <v>205.8</v>
      </c>
    </row>
    <row r="19">
      <c r="A19" s="6" t="inlineStr">
        <is>
          <t>Income tax expense</t>
        </is>
      </c>
      <c r="B19" s="6" t="n">
        <v>-144.8</v>
      </c>
      <c r="C19" s="6" t="n">
        <v>-143.2</v>
      </c>
      <c r="D19" s="6" t="n">
        <v>-155.2</v>
      </c>
      <c r="E19" s="6" t="n">
        <v>-46.9</v>
      </c>
      <c r="F19" s="6" t="n">
        <v>-59.6</v>
      </c>
    </row>
    <row r="20">
      <c r="A20" s="5" t="inlineStr">
        <is>
          <t>Profit for the financial year</t>
        </is>
      </c>
      <c r="B20" s="5" t="n">
        <v>369.9</v>
      </c>
      <c r="C20" s="5" t="n">
        <v>358.3</v>
      </c>
      <c r="D20" s="5" t="n">
        <v>406.8</v>
      </c>
      <c r="E20" s="5" t="n">
        <v>176.3</v>
      </c>
      <c r="F20" s="5" t="n">
        <v>146.2</v>
      </c>
    </row>
    <row r="21">
      <c r="A21" s="5" t="inlineStr">
        <is>
          <t>Other comprehensive income/(loss)</t>
        </is>
      </c>
      <c r="B21" s="6" t="n"/>
      <c r="C21" s="6" t="n"/>
      <c r="D21" s="6" t="n"/>
      <c r="E21" s="6" t="n"/>
      <c r="F21" s="6" t="n"/>
    </row>
    <row r="22">
      <c r="A22" s="6" t="inlineStr">
        <is>
          <t>Debt valuation adjustment</t>
        </is>
      </c>
      <c r="B22" s="6" t="n"/>
      <c r="C22" s="6" t="n">
        <v>-3.9</v>
      </c>
      <c r="D22" s="6" t="n">
        <v>-4.8</v>
      </c>
      <c r="E22" s="6" t="n">
        <v>17.8</v>
      </c>
      <c r="F22" s="6" t="n">
        <v>10.2</v>
      </c>
    </row>
    <row r="23">
      <c r="A23" s="6" t="inlineStr">
        <is>
          <t>UK deferred tax on items not reclassified</t>
        </is>
      </c>
      <c r="B23" s="6" t="n"/>
      <c r="C23" s="6" t="n">
        <v>0.8</v>
      </c>
      <c r="D23" s="6" t="n">
        <v>1.6</v>
      </c>
      <c r="E23" s="6" t="n">
        <v>-4.9</v>
      </c>
      <c r="F23" s="6" t="n">
        <v>-2.9</v>
      </c>
    </row>
    <row r="24">
      <c r="A24" s="5" t="inlineStr">
        <is>
          <t>Total items not reclassified subsequently to P&amp;L</t>
        </is>
      </c>
      <c r="B24" s="5" t="n"/>
      <c r="C24" s="5" t="n">
        <v>-3.1</v>
      </c>
      <c r="D24" s="5" t="n">
        <v>-3.2</v>
      </c>
      <c r="E24" s="5" t="n">
        <v>12.9</v>
      </c>
      <c r="F24" s="5" t="n">
        <v>7.3</v>
      </c>
    </row>
    <row r="25">
      <c r="A25" s="6" t="inlineStr">
        <is>
          <t>Translation losses and net investment hedges</t>
        </is>
      </c>
      <c r="B25" s="6" t="n">
        <v>-0.8</v>
      </c>
      <c r="C25" s="6" t="n">
        <v>-1.6</v>
      </c>
      <c r="D25" s="6" t="n">
        <v>-1.6</v>
      </c>
      <c r="E25" s="6" t="n">
        <v>-2.4</v>
      </c>
      <c r="F25" s="6" t="n">
        <v>0.7</v>
      </c>
    </row>
    <row r="26">
      <c r="A26" s="6" t="inlineStr">
        <is>
          <t>Gains/(losses) - financial instruments at FVOCI</t>
        </is>
      </c>
      <c r="B26" s="6" t="n">
        <v>105.4</v>
      </c>
      <c r="C26" s="6" t="n">
        <v>19.6</v>
      </c>
      <c r="D26" s="6" t="n">
        <v>49</v>
      </c>
      <c r="E26" s="6" t="n">
        <v>-293.6</v>
      </c>
      <c r="F26" s="6" t="n">
        <v>-69.09999999999999</v>
      </c>
    </row>
    <row r="27">
      <c r="A27" s="6" t="inlineStr">
        <is>
          <t>UK deferred tax on items reclassified</t>
        </is>
      </c>
      <c r="B27" s="6" t="n">
        <v>-29.6</v>
      </c>
      <c r="C27" s="6" t="n">
        <v>-5.5</v>
      </c>
      <c r="D27" s="6" t="n">
        <v>-13.7</v>
      </c>
      <c r="E27" s="6" t="n">
        <v>83.3</v>
      </c>
      <c r="F27" s="6" t="n">
        <v>18.2</v>
      </c>
    </row>
    <row r="28">
      <c r="A28" s="5" t="inlineStr">
        <is>
          <t>Total items reclassified subsequently to P&amp;L</t>
        </is>
      </c>
      <c r="B28" s="5" t="n">
        <v>75</v>
      </c>
      <c r="C28" s="5" t="n">
        <v>12.5</v>
      </c>
      <c r="D28" s="5" t="n">
        <v>33.8</v>
      </c>
      <c r="E28" s="5" t="n">
        <v>-212.7</v>
      </c>
      <c r="F28" s="5" t="n">
        <v>-50.2</v>
      </c>
    </row>
    <row r="29">
      <c r="A29" s="5" t="inlineStr">
        <is>
          <t>Other comprehensive income/(loss) for the year, net of tax</t>
        </is>
      </c>
      <c r="B29" s="5" t="n">
        <v>75</v>
      </c>
      <c r="C29" s="5" t="n">
        <v>9.4</v>
      </c>
      <c r="D29" s="5" t="n">
        <v>30.5</v>
      </c>
      <c r="E29" s="5" t="n">
        <v>-199.8</v>
      </c>
      <c r="F29" s="5" t="n">
        <v>-42.9</v>
      </c>
    </row>
    <row r="30">
      <c r="A30" s="5" t="inlineStr">
        <is>
          <t>Total comprehensive income/(loss) for the financial year</t>
        </is>
      </c>
      <c r="B30" s="5" t="n">
        <v>444.9</v>
      </c>
      <c r="C30" s="5" t="n">
        <v>367.7</v>
      </c>
      <c r="D30" s="5" t="n">
        <v>437.3</v>
      </c>
      <c r="E30" s="5" t="n">
        <v>-23.5</v>
      </c>
      <c r="F30" s="5" t="n">
        <v>103.3</v>
      </c>
    </row>
    <row r="32" ht="340" customHeight="1">
      <c r="A32"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PRESENTATION NOTE: FY2025's Statement of Comprehensive Income discloses gains from financial instruments at FVOCI as its own OCI line under 'items that will be reclassified' (£139m) - shown here in the Income line; FY2024/FY2023/FY2022/FY2021 show the equivalent as the same OCI line, consistent presentation across all 5 years. No standalone Gains-at-FVOCI Income-statement line is disclosed for FY2024/FY2022/FY2021 (nil/immaterial per the source table) - left blank rather than guessed.</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Share premium</t>
        </is>
      </c>
      <c r="D3" s="4" t="inlineStr">
        <is>
          <t>Retained earnings</t>
        </is>
      </c>
      <c r="E3" s="4" t="inlineStr">
        <is>
          <t>AOCI</t>
        </is>
      </c>
      <c r="F3" s="4" t="inlineStr">
        <is>
          <t>Total</t>
        </is>
      </c>
    </row>
    <row r="4">
      <c r="A4" s="5" t="inlineStr">
        <is>
          <t>At 1 January 2021</t>
        </is>
      </c>
      <c r="B4" s="5" t="n">
        <v>46.1</v>
      </c>
      <c r="C4" s="5" t="n">
        <v>1532.8</v>
      </c>
      <c r="D4" s="5" t="n">
        <v>892.3</v>
      </c>
      <c r="E4" s="5" t="n">
        <v>-11</v>
      </c>
      <c r="F4" s="5" t="n">
        <v>2460.3</v>
      </c>
    </row>
    <row r="5">
      <c r="A5" s="6" t="inlineStr">
        <is>
          <t>Profit for the financial period (FY2021)</t>
        </is>
      </c>
      <c r="B5" s="6" t="n"/>
      <c r="C5" s="6" t="n"/>
      <c r="D5" s="6" t="n">
        <v>146.2</v>
      </c>
      <c r="E5" s="6" t="n"/>
      <c r="F5" s="6" t="n">
        <v>146.2</v>
      </c>
    </row>
    <row r="6">
      <c r="A6" s="6" t="inlineStr">
        <is>
          <t>Other comprehensive loss (FY2021)</t>
        </is>
      </c>
      <c r="B6" s="6" t="n"/>
      <c r="C6" s="6" t="n"/>
      <c r="D6" s="6" t="n"/>
      <c r="E6" s="6" t="n">
        <v>-42.9</v>
      </c>
      <c r="F6" s="6" t="n">
        <v>-42.9</v>
      </c>
    </row>
    <row r="7">
      <c r="A7" s="5" t="inlineStr">
        <is>
          <t>Total comprehensive income for the period (FY2021)</t>
        </is>
      </c>
      <c r="B7" s="5" t="n"/>
      <c r="C7" s="5" t="n"/>
      <c r="D7" s="5" t="n">
        <v>146.2</v>
      </c>
      <c r="E7" s="5" t="n">
        <v>-42.9</v>
      </c>
      <c r="F7" s="5" t="n">
        <v>103.3</v>
      </c>
    </row>
    <row r="8">
      <c r="A8" s="6" t="inlineStr">
        <is>
          <t>FX translation effect on equity, net (FY2021)</t>
        </is>
      </c>
      <c r="B8" s="6" t="n"/>
      <c r="C8" s="6" t="n"/>
      <c r="D8" s="6" t="n"/>
      <c r="E8" s="6" t="n"/>
      <c r="F8" s="6" t="n">
        <v>27.2</v>
      </c>
    </row>
    <row r="9">
      <c r="A9" s="5" t="inlineStr">
        <is>
          <t>At 31 December 2021</t>
        </is>
      </c>
      <c r="B9" s="5" t="n">
        <v>46.6</v>
      </c>
      <c r="C9" s="5" t="n">
        <v>1548.7</v>
      </c>
      <c r="D9" s="5" t="n">
        <v>1050.2</v>
      </c>
      <c r="E9" s="5" t="n">
        <v>-54.7</v>
      </c>
      <c r="F9" s="5" t="n">
        <v>2590.8</v>
      </c>
    </row>
    <row r="10">
      <c r="A10" s="6" t="inlineStr">
        <is>
          <t>Profit for the financial year (FY2022)</t>
        </is>
      </c>
      <c r="B10" s="6" t="n"/>
      <c r="C10" s="6" t="n"/>
      <c r="D10" s="6" t="n">
        <v>176.3</v>
      </c>
      <c r="E10" s="6" t="n"/>
      <c r="F10" s="6" t="n">
        <v>176.3</v>
      </c>
    </row>
    <row r="11">
      <c r="A11" s="6" t="inlineStr">
        <is>
          <t>Other comprehensive loss (FY2022)</t>
        </is>
      </c>
      <c r="B11" s="6" t="n"/>
      <c r="C11" s="6" t="n"/>
      <c r="D11" s="6" t="n"/>
      <c r="E11" s="6" t="n">
        <v>-199.8</v>
      </c>
      <c r="F11" s="6" t="n">
        <v>-199.8</v>
      </c>
    </row>
    <row r="12">
      <c r="A12" s="5" t="inlineStr">
        <is>
          <t>Total comprehensive income for the year (FY2022)</t>
        </is>
      </c>
      <c r="B12" s="5" t="n"/>
      <c r="C12" s="5" t="n"/>
      <c r="D12" s="5" t="n">
        <v>176.3</v>
      </c>
      <c r="E12" s="5" t="n">
        <v>-199.8</v>
      </c>
      <c r="F12" s="5" t="n">
        <v>-23.5</v>
      </c>
    </row>
    <row r="13">
      <c r="A13" s="6" t="inlineStr">
        <is>
          <t>Share-based payments (FY2022)</t>
        </is>
      </c>
      <c r="B13" s="6" t="n"/>
      <c r="C13" s="6" t="n"/>
      <c r="D13" s="6" t="n">
        <v>0.8</v>
      </c>
      <c r="E13" s="6" t="n"/>
      <c r="F13" s="6" t="n">
        <v>0.8</v>
      </c>
    </row>
    <row r="14">
      <c r="A14" s="6" t="inlineStr">
        <is>
          <t>Management recharge related to share-based payments (FY2022)</t>
        </is>
      </c>
      <c r="B14" s="6" t="n"/>
      <c r="C14" s="6" t="n"/>
      <c r="D14" s="6" t="n">
        <v>-0.8</v>
      </c>
      <c r="E14" s="6" t="n"/>
      <c r="F14" s="6" t="n">
        <v>-0.8</v>
      </c>
    </row>
    <row r="15">
      <c r="A15" s="6" t="inlineStr">
        <is>
          <t>FX translation effect on equity, net (FY2022)</t>
        </is>
      </c>
      <c r="B15" s="6" t="n"/>
      <c r="C15" s="6" t="n"/>
      <c r="D15" s="6" t="n"/>
      <c r="E15" s="6" t="n"/>
      <c r="F15" s="6" t="n">
        <v>304.5</v>
      </c>
    </row>
    <row r="16">
      <c r="A16" s="5" t="inlineStr">
        <is>
          <t>At 31 December 2022</t>
        </is>
      </c>
      <c r="B16" s="5" t="n">
        <v>52.1</v>
      </c>
      <c r="C16" s="5" t="n">
        <v>1731</v>
      </c>
      <c r="D16" s="5" t="n">
        <v>1354.1</v>
      </c>
      <c r="E16" s="5" t="n">
        <v>-265.4</v>
      </c>
      <c r="F16" s="5" t="n">
        <v>2871.8</v>
      </c>
    </row>
    <row r="17">
      <c r="A17" s="6" t="inlineStr">
        <is>
          <t>Profit for the financial year (FY2023)</t>
        </is>
      </c>
      <c r="B17" s="6" t="n"/>
      <c r="C17" s="6" t="n"/>
      <c r="D17" s="6" t="n">
        <v>406.8</v>
      </c>
      <c r="E17" s="6" t="n"/>
      <c r="F17" s="6" t="n">
        <v>406.8</v>
      </c>
    </row>
    <row r="18">
      <c r="A18" s="6" t="inlineStr">
        <is>
          <t>Other comprehensive gains (FY2023)</t>
        </is>
      </c>
      <c r="B18" s="6" t="n"/>
      <c r="C18" s="6" t="n"/>
      <c r="D18" s="6" t="n"/>
      <c r="E18" s="6" t="n">
        <v>30.5</v>
      </c>
      <c r="F18" s="6" t="n">
        <v>30.5</v>
      </c>
    </row>
    <row r="19">
      <c r="A19" s="5" t="inlineStr">
        <is>
          <t>Total comprehensive income for the year (FY2023)</t>
        </is>
      </c>
      <c r="B19" s="5" t="n"/>
      <c r="C19" s="5" t="n"/>
      <c r="D19" s="5" t="n">
        <v>406.8</v>
      </c>
      <c r="E19" s="5" t="n">
        <v>30.5</v>
      </c>
      <c r="F19" s="5" t="n">
        <v>437.3</v>
      </c>
    </row>
    <row r="20">
      <c r="A20" s="6" t="inlineStr">
        <is>
          <t>Share-based payments (FY2023)</t>
        </is>
      </c>
      <c r="B20" s="6" t="n"/>
      <c r="C20" s="6" t="n"/>
      <c r="D20" s="6" t="n">
        <v>1.6</v>
      </c>
      <c r="E20" s="6" t="n"/>
      <c r="F20" s="6" t="n">
        <v>1.6</v>
      </c>
    </row>
    <row r="21">
      <c r="A21" s="6" t="inlineStr">
        <is>
          <t>Management recharge related to share-based payments (FY2023)</t>
        </is>
      </c>
      <c r="B21" s="6" t="n"/>
      <c r="C21" s="6" t="n"/>
      <c r="D21" s="6" t="n">
        <v>-1.6</v>
      </c>
      <c r="E21" s="6" t="n"/>
      <c r="F21" s="6" t="n">
        <v>-1.6</v>
      </c>
    </row>
    <row r="22">
      <c r="A22" s="6" t="inlineStr">
        <is>
          <t>FX translation effect on equity, net (FY2023)</t>
        </is>
      </c>
      <c r="B22" s="6" t="n"/>
      <c r="C22" s="6" t="n"/>
      <c r="D22" s="6" t="n"/>
      <c r="E22" s="6" t="n"/>
      <c r="F22" s="6" t="n">
        <v>-153.3</v>
      </c>
    </row>
    <row r="23">
      <c r="A23" s="5" t="inlineStr">
        <is>
          <t>At 31 December 2023</t>
        </is>
      </c>
      <c r="B23" s="5" t="n">
        <v>49.5</v>
      </c>
      <c r="C23" s="5" t="n">
        <v>1644.7</v>
      </c>
      <c r="D23" s="5" t="n">
        <v>1683.9</v>
      </c>
      <c r="E23" s="5" t="n">
        <v>-222.3</v>
      </c>
      <c r="F23" s="5" t="n">
        <v>3155.8</v>
      </c>
    </row>
    <row r="24">
      <c r="A24" s="6" t="inlineStr">
        <is>
          <t>Profit for the financial year (FY2024)</t>
        </is>
      </c>
      <c r="B24" s="6" t="n"/>
      <c r="C24" s="6" t="n"/>
      <c r="D24" s="6" t="n">
        <v>358.3</v>
      </c>
      <c r="E24" s="6" t="n"/>
      <c r="F24" s="6" t="n">
        <v>358.3</v>
      </c>
    </row>
    <row r="25">
      <c r="A25" s="6" t="inlineStr">
        <is>
          <t>Other comprehensive income (FY2024)</t>
        </is>
      </c>
      <c r="B25" s="6" t="n"/>
      <c r="C25" s="6" t="n"/>
      <c r="D25" s="6" t="n"/>
      <c r="E25" s="6" t="n">
        <v>9.4</v>
      </c>
      <c r="F25" s="6" t="n">
        <v>9.4</v>
      </c>
    </row>
    <row r="26">
      <c r="A26" s="5" t="inlineStr">
        <is>
          <t>Total comprehensive income for the year (FY2024)</t>
        </is>
      </c>
      <c r="B26" s="5" t="n"/>
      <c r="C26" s="5" t="n"/>
      <c r="D26" s="5" t="n">
        <v>358.3</v>
      </c>
      <c r="E26" s="5" t="n">
        <v>9.4</v>
      </c>
      <c r="F26" s="5" t="n">
        <v>367.7</v>
      </c>
    </row>
    <row r="27">
      <c r="A27" s="6" t="inlineStr">
        <is>
          <t>Share-based payments (FY2024)</t>
        </is>
      </c>
      <c r="B27" s="6" t="n"/>
      <c r="C27" s="6" t="n"/>
      <c r="D27" s="6" t="n">
        <v>1.6</v>
      </c>
      <c r="E27" s="6" t="n"/>
      <c r="F27" s="6" t="n">
        <v>1.6</v>
      </c>
    </row>
    <row r="28">
      <c r="A28" s="6" t="inlineStr">
        <is>
          <t>Management recharge related to share-based payments (FY2024)</t>
        </is>
      </c>
      <c r="B28" s="6" t="n"/>
      <c r="C28" s="6" t="n"/>
      <c r="D28" s="6" t="n">
        <v>-1.6</v>
      </c>
      <c r="E28" s="6" t="n"/>
      <c r="F28" s="6" t="n">
        <v>-1.6</v>
      </c>
    </row>
    <row r="29">
      <c r="A29" s="6" t="inlineStr">
        <is>
          <t>FX translation effect on equity, net (FY2024)</t>
        </is>
      </c>
      <c r="B29" s="6" t="n"/>
      <c r="C29" s="6" t="n"/>
      <c r="D29" s="6" t="n"/>
      <c r="E29" s="6" t="n"/>
      <c r="F29" s="6" t="n">
        <v>62.6</v>
      </c>
    </row>
    <row r="30">
      <c r="A30" s="5" t="inlineStr">
        <is>
          <t>At 31 December 2024</t>
        </is>
      </c>
      <c r="B30" s="5" t="n">
        <v>50.3</v>
      </c>
      <c r="C30" s="5" t="n">
        <v>1673.2</v>
      </c>
      <c r="D30" s="5" t="n">
        <v>2079.1</v>
      </c>
      <c r="E30" s="5" t="n">
        <v>-216.5</v>
      </c>
      <c r="F30" s="5" t="n">
        <v>3586.1</v>
      </c>
    </row>
    <row r="31">
      <c r="A31" s="6" t="inlineStr">
        <is>
          <t>Profit for the financial year (FY2025)</t>
        </is>
      </c>
      <c r="B31" s="6" t="n"/>
      <c r="C31" s="6" t="n"/>
      <c r="D31" s="6" t="n">
        <v>369.9</v>
      </c>
      <c r="E31" s="6" t="n"/>
      <c r="F31" s="6" t="n">
        <v>369.9</v>
      </c>
    </row>
    <row r="32">
      <c r="A32" s="6" t="inlineStr">
        <is>
          <t>Other comprehensive income (FY2025)</t>
        </is>
      </c>
      <c r="B32" s="6" t="n"/>
      <c r="C32" s="6" t="n"/>
      <c r="D32" s="6" t="n"/>
      <c r="E32" s="6" t="n">
        <v>75</v>
      </c>
      <c r="F32" s="6" t="n">
        <v>75</v>
      </c>
    </row>
    <row r="33">
      <c r="A33" s="5" t="inlineStr">
        <is>
          <t>Total comprehensive income for the year (FY2025)</t>
        </is>
      </c>
      <c r="B33" s="5" t="n"/>
      <c r="C33" s="5" t="n"/>
      <c r="D33" s="5" t="n">
        <v>369.9</v>
      </c>
      <c r="E33" s="5" t="n">
        <v>75</v>
      </c>
      <c r="F33" s="5" t="n">
        <v>444.9</v>
      </c>
    </row>
    <row r="34">
      <c r="A34" s="6" t="inlineStr">
        <is>
          <t>Share-based payments (FY2025)</t>
        </is>
      </c>
      <c r="B34" s="6" t="n"/>
      <c r="C34" s="6" t="n"/>
      <c r="D34" s="6" t="n">
        <v>1.5</v>
      </c>
      <c r="E34" s="6" t="n"/>
      <c r="F34" s="6" t="n">
        <v>1.5</v>
      </c>
    </row>
    <row r="35">
      <c r="A35" s="6" t="inlineStr">
        <is>
          <t>Management recharge related to share-based payments (FY2025)</t>
        </is>
      </c>
      <c r="B35" s="6" t="n"/>
      <c r="C35" s="6" t="n"/>
      <c r="D35" s="6" t="n">
        <v>-1.5</v>
      </c>
      <c r="E35" s="6" t="n"/>
      <c r="F35" s="6" t="n">
        <v>-1.5</v>
      </c>
    </row>
    <row r="36">
      <c r="A36" s="6" t="inlineStr">
        <is>
          <t>FX translation effect on equity, net (FY2025)</t>
        </is>
      </c>
      <c r="B36" s="6" t="n"/>
      <c r="C36" s="6" t="n"/>
      <c r="D36" s="6" t="n"/>
      <c r="E36" s="6" t="n"/>
      <c r="F36" s="6" t="n">
        <v>-257.2</v>
      </c>
    </row>
    <row r="37">
      <c r="A37" s="5" t="inlineStr">
        <is>
          <t>At 31 December 2025</t>
        </is>
      </c>
      <c r="B37" s="5" t="n">
        <v>46.8</v>
      </c>
      <c r="C37" s="5" t="n">
        <v>1557.1</v>
      </c>
      <c r="D37" s="5" t="n">
        <v>2297.7</v>
      </c>
      <c r="E37" s="5" t="n">
        <v>-127.9</v>
      </c>
      <c r="F37" s="5" t="n">
        <v>3773.8</v>
      </c>
    </row>
    <row r="39" ht="340" customHeight="1">
      <c r="A3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every year's closing balance ties to both the Balance Sheet's own Total shareholder's equity and the next year's own opening balance, with zero USD plug needed) - an explicit 'FX translation effect on equity, net' row (Total column only, computed as the balancing figure) is included each year, same treatment as this workbook's own Cash Flow Statement's 'Effect of GBP/USD translation' line.</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Cash Flows</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Operating activities</t>
        </is>
      </c>
      <c r="B4" s="6" t="n"/>
      <c r="C4" s="6" t="n"/>
      <c r="D4" s="6" t="n"/>
      <c r="E4" s="6" t="n"/>
      <c r="F4" s="6" t="n"/>
    </row>
    <row r="5">
      <c r="A5" s="5" t="inlineStr">
        <is>
          <t>Net cash from/(used in) operating activities</t>
        </is>
      </c>
      <c r="B5" s="5" t="n">
        <v>208.4</v>
      </c>
      <c r="C5" s="5" t="n">
        <v>-4105.8</v>
      </c>
      <c r="D5" s="5" t="n">
        <v>143.1</v>
      </c>
      <c r="E5" s="5" t="n">
        <v>6558</v>
      </c>
      <c r="F5" s="5" t="n">
        <v>1711.8</v>
      </c>
    </row>
    <row r="6">
      <c r="A6" s="5" t="inlineStr">
        <is>
          <t>Investing activities</t>
        </is>
      </c>
      <c r="B6" s="6" t="n"/>
      <c r="C6" s="6" t="n"/>
      <c r="D6" s="6" t="n"/>
      <c r="E6" s="6" t="n"/>
      <c r="F6" s="6" t="n"/>
    </row>
    <row r="7">
      <c r="A7" s="5" t="inlineStr">
        <is>
          <t>Net cash used in/(from) investing activities</t>
        </is>
      </c>
      <c r="B7" s="5" t="n">
        <v>-2994</v>
      </c>
      <c r="C7" s="5" t="n">
        <v>-1732.1</v>
      </c>
      <c r="D7" s="5" t="n">
        <v>799.1</v>
      </c>
      <c r="E7" s="5" t="n">
        <v>541.2</v>
      </c>
      <c r="F7" s="5" t="n">
        <v>-1583.8</v>
      </c>
    </row>
    <row r="8">
      <c r="A8" s="5" t="inlineStr">
        <is>
          <t>Financing activities</t>
        </is>
      </c>
      <c r="B8" s="6" t="n"/>
      <c r="C8" s="6" t="n"/>
      <c r="D8" s="6" t="n"/>
      <c r="E8" s="6" t="n"/>
      <c r="F8" s="6" t="n"/>
    </row>
    <row r="9">
      <c r="A9" s="5" t="inlineStr">
        <is>
          <t>Net cash used in financing activities</t>
        </is>
      </c>
      <c r="B9" s="5" t="n">
        <v>-43.2</v>
      </c>
      <c r="C9" s="5" t="n">
        <v>-57.1</v>
      </c>
      <c r="D9" s="5" t="n">
        <v>-57.1</v>
      </c>
      <c r="E9" s="5" t="n">
        <v>-31.5</v>
      </c>
      <c r="F9" s="5" t="n">
        <v>-21.1</v>
      </c>
    </row>
    <row r="10">
      <c r="A10" s="5" t="inlineStr">
        <is>
          <t>Net (decrease)/increase in cash and cash equivalents</t>
        </is>
      </c>
      <c r="B10" s="5" t="n">
        <v>-2828.8</v>
      </c>
      <c r="C10" s="5" t="n">
        <v>-5895</v>
      </c>
      <c r="D10" s="5" t="n">
        <v>885.1</v>
      </c>
      <c r="E10" s="5" t="n">
        <v>7067.6</v>
      </c>
      <c r="F10" s="5" t="n">
        <v>106.9</v>
      </c>
    </row>
    <row r="11">
      <c r="A11" s="6" t="inlineStr">
        <is>
          <t>Cash and cash equivalents, beginning balance</t>
        </is>
      </c>
      <c r="B11" s="6" t="n">
        <v>9570.1</v>
      </c>
      <c r="C11" s="6" t="n">
        <v>15655</v>
      </c>
      <c r="D11" s="6" t="n">
        <v>15255.8</v>
      </c>
      <c r="E11" s="6" t="n">
        <v>7322.7</v>
      </c>
      <c r="F11" s="6" t="n">
        <v>7380.1</v>
      </c>
    </row>
    <row r="12">
      <c r="A12" s="6" t="inlineStr">
        <is>
          <t>Foreign exchange gains/(losses) on cash and cash equivalents (as reported, USD)</t>
        </is>
      </c>
      <c r="B12" s="6" t="n">
        <v>151.6</v>
      </c>
      <c r="C12" s="6" t="n">
        <v>-328.6</v>
      </c>
      <c r="D12" s="6" t="n">
        <v>302.3</v>
      </c>
      <c r="E12" s="6" t="n">
        <v>-148</v>
      </c>
      <c r="F12" s="6" t="n">
        <v>-238.5</v>
      </c>
    </row>
    <row r="13">
      <c r="A13" s="6" t="inlineStr">
        <is>
          <t>Effect of GBP/USD translation (£ conversion artefact - see FX note)</t>
        </is>
      </c>
      <c r="B13" s="6" t="n">
        <v>-613.2</v>
      </c>
      <c r="C13" s="6" t="n">
        <v>138.7</v>
      </c>
      <c r="D13" s="6" t="n">
        <v>-788.2</v>
      </c>
      <c r="E13" s="6" t="n">
        <v>1013.5</v>
      </c>
      <c r="F13" s="6" t="n">
        <v>74.2</v>
      </c>
    </row>
    <row r="14">
      <c r="A14" s="5" t="inlineStr">
        <is>
          <t>Cash and cash equivalents, ending balance</t>
        </is>
      </c>
      <c r="B14" s="5" t="n">
        <v>6279.7</v>
      </c>
      <c r="C14" s="5" t="n">
        <v>9570.1</v>
      </c>
      <c r="D14" s="5" t="n">
        <v>15655</v>
      </c>
      <c r="E14" s="5" t="n">
        <v>15255.8</v>
      </c>
      <c r="F14" s="5" t="n">
        <v>7322.7</v>
      </c>
    </row>
    <row r="16" ht="340" customHeight="1">
      <c r="A16" s="8" t="inlineStr">
        <is>
          <t>Sources - all figures are Goldman Sachs International Bank's own Statement of Cash Flows, converted from USD to GBP (see FX note below):
FY2025/FY2024: Annual Report for the Financial Year Ended December 31, 2025, p.23 (filed at Companies House 26 Apr 2026) - https://find-and-update.company-information.service.gov.uk/company/01122503/filing-history/MzUxNzc2NzE5OGFkaXF6a2N4/document?format=pdf&amp;download=0
FY2023/FY2022: Annual Report for the Financial Year Ended December 31, 2023, p.23 (filed 29 Apr 2024) - https://find-and-update.company-information.service.gov.uk/company/01122503/filing-history/MzQxOTg0MjAwMGFkaXF6a2N4/document?format=pdf&amp;download=0
FY2021: Annual Report for the Financial Period Ended December 31, 2021, p.22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Asset Quality</t>
        </is>
      </c>
    </row>
    <row r="2">
      <c r="A2" s="2" t="inlineStr">
        <is>
          <t>£m, converted from USD - product-level net loans + aggregate impairment allowance (no IFRS 9 stage table published - see note).</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Bank loans (net of impairment allowance)</t>
        </is>
      </c>
      <c r="B4" s="6" t="n">
        <v>3073.3</v>
      </c>
      <c r="C4" s="6" t="n">
        <v>2458.6</v>
      </c>
      <c r="D4" s="6" t="n">
        <v>2845.6</v>
      </c>
      <c r="E4" s="6" t="n">
        <v>3579.4</v>
      </c>
      <c r="F4" s="6" t="n">
        <v>7872.2</v>
      </c>
    </row>
    <row r="5">
      <c r="A5" s="6" t="inlineStr">
        <is>
          <t>Mortgage-backed loans (net of impairment allowance)</t>
        </is>
      </c>
      <c r="B5" s="6" t="n">
        <v>3499.4</v>
      </c>
      <c r="C5" s="6" t="n">
        <v>4040.8</v>
      </c>
      <c r="D5" s="6" t="n">
        <v>3496.7</v>
      </c>
      <c r="E5" s="6" t="n">
        <v>3950.6</v>
      </c>
      <c r="F5" s="6" t="n">
        <v>855</v>
      </c>
    </row>
    <row r="6">
      <c r="A6" s="5" t="inlineStr">
        <is>
          <t>Total loans, net of impairment allowance</t>
        </is>
      </c>
      <c r="B6" s="5" t="n">
        <v>6572.7</v>
      </c>
      <c r="C6" s="5" t="n">
        <v>6499.4</v>
      </c>
      <c r="D6" s="5" t="n">
        <v>6342.3</v>
      </c>
      <c r="E6" s="5" t="n">
        <v>7530</v>
      </c>
      <c r="F6" s="5" t="n">
        <v>8727.200000000001</v>
      </c>
    </row>
    <row r="7">
      <c r="A7" s="6" t="inlineStr">
        <is>
          <t>Impairment allowance</t>
        </is>
      </c>
      <c r="B7" s="6" t="n">
        <v>33.5</v>
      </c>
      <c r="C7" s="6" t="n">
        <v>51.1</v>
      </c>
      <c r="D7" s="6" t="n">
        <v>84.8</v>
      </c>
      <c r="E7" s="6" t="n">
        <v>89.3</v>
      </c>
      <c r="F7" s="6" t="n">
        <v>37.7</v>
      </c>
    </row>
    <row r="8">
      <c r="A8" s="5" t="inlineStr">
        <is>
          <t>Total loans, gross (derived: net + allowance)</t>
        </is>
      </c>
      <c r="B8" s="5" t="n">
        <v>6606.2</v>
      </c>
      <c r="C8" s="5" t="n">
        <v>6550.5</v>
      </c>
      <c r="D8" s="5" t="n">
        <v>6427.1</v>
      </c>
      <c r="E8" s="5" t="n">
        <v>7619.2</v>
      </c>
      <c r="F8" s="5" t="n">
        <v>8764.9</v>
      </c>
    </row>
    <row r="9">
      <c r="A9" s="6" t="inlineStr">
        <is>
          <t>Impairment allowance / gross loans coverage ratio (derived)</t>
        </is>
      </c>
      <c r="B9" s="6" t="inlineStr">
        <is>
          <t>0.51%</t>
        </is>
      </c>
      <c r="C9" s="6" t="inlineStr">
        <is>
          <t>0.78%</t>
        </is>
      </c>
      <c r="D9" s="6" t="inlineStr">
        <is>
          <t>1.32%</t>
        </is>
      </c>
      <c r="E9" s="6" t="inlineStr">
        <is>
          <t>1.17%</t>
        </is>
      </c>
      <c r="F9" s="6" t="inlineStr">
        <is>
          <t>0.43%</t>
        </is>
      </c>
    </row>
    <row r="11" ht="320" customHeight="1">
      <c r="A11" s="8" t="inlineStr">
        <is>
          <t>Sources - Goldman Sachs International Bank's own Note 'Loans' (product-level net figures and aggregate impairment allowance), converted from USD to GBP (see FX note below):
FY2025/FY2024: Annual Report for the Financial Year Ended December 31, 2025, p.36 - https://find-and-update.company-information.service.gov.uk/company/01122503/filing-history/MzUxNzc2NzE5OGFkaXF6a2N4/document?format=pdf&amp;download=0
FY2023/FY2022: Annual Report for the Financial Year Ended December 31, 2023, p.36 - https://find-and-update.company-information.service.gov.uk/company/01122503/filing-history/MzQxOTg0MjAwMGFkaXF6a2N4/document?format=pdf&amp;download=0
FY2021: Annual Report for the Financial Period Ended December 31, 2021, p.36 - https://find-and-update.company-information.service.gov.uk/company/01122503/filing-history/MzMzODY3Mzc0NGFkaXF6a2N4/document?format=pdf&amp;download=0
No IFRS 9 Stage 1/2/3 or credit-quality-by-rating table is published for this entity in any of the 3 Annual Reports checked (confirmed by reading the Loans note and Note 'Financial Risk Management and Capital Management' in full) - GSIB's balance sheet is dominated by collateralised agreements and trading exposures, not a traditional stage-split loan book (same structural pattern as Credit Suisse International, built earlier in this rollout). Gross loans and the coverage ratio are derived from the net-of-allowance product figures plus the aggregate impairment allowance actually disclosed, not from a source table.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1:F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4291.3</v>
      </c>
      <c r="C4" s="6" t="n">
        <v>4124.7</v>
      </c>
      <c r="D4" s="6" t="n">
        <v>3738.6</v>
      </c>
      <c r="E4" s="6" t="n">
        <v>3502.5</v>
      </c>
      <c r="F4" s="6" t="n">
        <v>3134.4</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28.96%</t>
        </is>
      </c>
      <c r="C4" s="6" t="inlineStr">
        <is>
          <t>29.06%</t>
        </is>
      </c>
      <c r="D4" s="6" t="inlineStr">
        <is>
          <t>28.77%</t>
        </is>
      </c>
      <c r="E4" s="6" t="inlineStr">
        <is>
          <t>27.03%</t>
        </is>
      </c>
      <c r="F4" s="6" t="inlineStr">
        <is>
          <t>24.5%</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14824.5</v>
      </c>
      <c r="C4" s="6" t="n">
        <v>14196.6</v>
      </c>
      <c r="D4" s="6" t="n">
        <v>12995.6</v>
      </c>
      <c r="E4" s="6" t="n">
        <v>12956.9</v>
      </c>
      <c r="F4" s="6" t="n">
        <v>12766.8</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RWA Breakdown</t>
        </is>
      </c>
    </row>
    <row r="2">
      <c r="A2" s="2" t="inlineStr">
        <is>
          <t>£m, converted from USD - GSIB entity-level breakdown (UK OV1 template)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Credit risk (excluding CCR)</t>
        </is>
      </c>
      <c r="B4" s="6" t="n">
        <v>10242.4</v>
      </c>
      <c r="C4" s="6" t="n">
        <v>10305.2</v>
      </c>
      <c r="D4" s="6" t="n">
        <v>9670.1</v>
      </c>
      <c r="E4" s="6" t="n">
        <v>9811.5</v>
      </c>
      <c r="F4" s="6" t="n">
        <v>8634.700000000001</v>
      </c>
    </row>
    <row r="5">
      <c r="A5" s="6" t="inlineStr">
        <is>
          <t>Counterparty credit risk (CCR)</t>
        </is>
      </c>
      <c r="B5" s="6" t="n">
        <v>712.4</v>
      </c>
      <c r="C5" s="6" t="n">
        <v>672</v>
      </c>
      <c r="D5" s="6" t="n">
        <v>686.5</v>
      </c>
      <c r="E5" s="6" t="n">
        <v>408.4</v>
      </c>
      <c r="F5" s="6" t="n">
        <v>760.3</v>
      </c>
    </row>
    <row r="6">
      <c r="A6" s="6" t="inlineStr">
        <is>
          <t>Settlement risk</t>
        </is>
      </c>
      <c r="B6" s="6" t="n">
        <v>0</v>
      </c>
      <c r="C6" s="6" t="n">
        <v>0</v>
      </c>
      <c r="D6" s="6" t="n">
        <v>0</v>
      </c>
      <c r="E6" s="6" t="n">
        <v>0</v>
      </c>
      <c r="F6" s="6" t="n">
        <v>4.4</v>
      </c>
    </row>
    <row r="7">
      <c r="A7" s="6" t="inlineStr">
        <is>
          <t>Securitisation exposures in the non-trading/banking book</t>
        </is>
      </c>
      <c r="B7" s="6" t="n">
        <v>339.1</v>
      </c>
      <c r="C7" s="6" t="n">
        <v>311.6</v>
      </c>
      <c r="D7" s="6" t="n">
        <v>340.9</v>
      </c>
      <c r="E7" s="6" t="n">
        <v>343.1</v>
      </c>
      <c r="F7" s="6" t="n">
        <v>892.7</v>
      </c>
    </row>
    <row r="8">
      <c r="A8" s="6" t="inlineStr">
        <is>
          <t>Market risk (position, FX and commodities)</t>
        </is>
      </c>
      <c r="B8" s="6" t="n">
        <v>2459.8</v>
      </c>
      <c r="C8" s="6" t="n">
        <v>1914.5</v>
      </c>
      <c r="D8" s="6" t="n">
        <v>1491.5</v>
      </c>
      <c r="E8" s="6" t="n">
        <v>1701.2</v>
      </c>
      <c r="F8" s="6" t="n">
        <v>1864.5</v>
      </c>
    </row>
    <row r="9">
      <c r="A9" s="6" t="inlineStr">
        <is>
          <t>Operational risk</t>
        </is>
      </c>
      <c r="B9" s="6" t="n">
        <v>1070.8</v>
      </c>
      <c r="C9" s="6" t="n">
        <v>993.2</v>
      </c>
      <c r="D9" s="6" t="n">
        <v>806.6</v>
      </c>
      <c r="E9" s="6" t="n">
        <v>692.7</v>
      </c>
      <c r="F9" s="6" t="n">
        <v>610.2</v>
      </c>
    </row>
    <row r="10">
      <c r="A10" s="6" t="inlineStr">
        <is>
          <t>Amounts below the thresholds for deduction (250% risk weight)</t>
        </is>
      </c>
      <c r="B10" s="6" t="n">
        <v>116</v>
      </c>
      <c r="C10" s="6" t="n">
        <v>202.2</v>
      </c>
      <c r="D10" s="6" t="n">
        <v>212.1</v>
      </c>
      <c r="E10" s="6" t="n">
        <v>0</v>
      </c>
      <c r="F10" s="6" t="n"/>
    </row>
    <row r="11">
      <c r="A11" s="5" t="inlineStr">
        <is>
          <t>Total RWAs</t>
        </is>
      </c>
      <c r="B11" s="5" t="n">
        <v>14824.5</v>
      </c>
      <c r="C11" s="5" t="n">
        <v>14196.6</v>
      </c>
      <c r="D11" s="5" t="n">
        <v>12995.6</v>
      </c>
      <c r="E11" s="5" t="n">
        <v>12956.9</v>
      </c>
      <c r="F11" s="5" t="n">
        <v>12766.8</v>
      </c>
    </row>
    <row r="13" ht="320" customHeight="1">
      <c r="A13" s="8" t="inlineStr">
        <is>
          <t>Sources - GSIB's own RWA-by-category breakdown from the official Goldman Sachs Group UK Limited Q4 Pillar 3 Disclosures (GSIB columns/tables, UK OV1 template), converted from USD to GBP (see FX note below):
FY2025: Table 5 ("Overview of RWAs"), GSIB table, p.20 - https://www.goldmansachs.com/disclosures/gsguk-q4-2025-pillar-3.pdf/
FY2024: Table 5, GSIB table, p.20 - https://www.goldmansachs.com/disclosures/gsguk-q4-2024-pillar-3.pdf/
FY2023: Table 5, GSIB table, p.20 - https://www.goldmansachs.com/disclosures/gsguk-q4-2023-pillar-3.pdf/
FY2022: Table 5, GSIB table, p.19 - https://www.goldmansachs.com/disclosures/gsguk-q4-2022-pillar-3.pdf/
FY2021: Table 8 ("Overview of RWAs"), GSIB table, p.20 - https://www.goldmansachs.com/disclosures/gsguk-q4-2021-pillar-3.pdf/
FY2021's document uses an older table version ("Table 8" vs "Table 5" in later years) with slightly different row numbering and no "Amounts below the thresholds for deduction" line at all - left blank for FY2021 rather than guessed. Each year's GSIB Total ties exactly to this workbook's Total RWAs metric sheet.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43819.2</v>
      </c>
      <c r="C4" s="6" t="n">
        <v>39125</v>
      </c>
      <c r="D4" s="6" t="n">
        <v>41996.5</v>
      </c>
      <c r="E4" s="6" t="n">
        <v>40822.5</v>
      </c>
      <c r="F4" s="6" t="n">
        <v>39381</v>
      </c>
    </row>
    <row r="5">
      <c r="A5" s="6" t="inlineStr">
        <is>
          <t>Leverage ratio</t>
        </is>
      </c>
      <c r="B5" s="6" t="inlineStr">
        <is>
          <t>8.39%</t>
        </is>
      </c>
      <c r="C5" s="6" t="inlineStr">
        <is>
          <t>8.86%</t>
        </is>
      </c>
      <c r="D5" s="6" t="inlineStr">
        <is>
          <t>7.36%</t>
        </is>
      </c>
      <c r="E5" s="6" t="inlineStr">
        <is>
          <t>6.87%</t>
        </is>
      </c>
      <c r="F5" s="6" t="inlineStr">
        <is>
          <t>6.4%</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24482.5</v>
      </c>
      <c r="C4" s="6" t="n">
        <v>25342.4</v>
      </c>
      <c r="D4" s="6" t="n">
        <v>22289.5</v>
      </c>
      <c r="E4" s="6" t="n">
        <v>16533</v>
      </c>
      <c r="F4" s="6" t="n">
        <v>13230.5</v>
      </c>
    </row>
    <row r="5">
      <c r="A5" s="6" t="inlineStr">
        <is>
          <t>Cash outflows - total weighted value</t>
        </is>
      </c>
      <c r="B5" s="6" t="n">
        <v>20819.5</v>
      </c>
      <c r="C5" s="6" t="n">
        <v>21879.3</v>
      </c>
      <c r="D5" s="6" t="n">
        <v>19721.2</v>
      </c>
      <c r="E5" s="6" t="n">
        <v>16016.4</v>
      </c>
      <c r="F5" s="6" t="inlineStr">
        <is>
          <t>Not publicly disclosed</t>
        </is>
      </c>
    </row>
    <row r="6">
      <c r="A6" s="6" t="inlineStr">
        <is>
          <t>Cash inflows - total weighted value</t>
        </is>
      </c>
      <c r="B6" s="6" t="n">
        <v>5022.3</v>
      </c>
      <c r="C6" s="6" t="n">
        <v>5729.9</v>
      </c>
      <c r="D6" s="6" t="n">
        <v>4912.8</v>
      </c>
      <c r="E6" s="6" t="n">
        <v>5676.6</v>
      </c>
      <c r="F6" s="6" t="inlineStr">
        <is>
          <t>Not publicly disclosed</t>
        </is>
      </c>
    </row>
    <row r="7">
      <c r="A7" s="6" t="inlineStr">
        <is>
          <t>Total net cash outflows (adjusted value)</t>
        </is>
      </c>
      <c r="B7" s="6" t="n">
        <v>15797.1</v>
      </c>
      <c r="C7" s="6" t="n">
        <v>16148.6</v>
      </c>
      <c r="D7" s="6" t="n">
        <v>14809.1</v>
      </c>
      <c r="E7" s="6" t="n">
        <v>10338.1</v>
      </c>
      <c r="F7" s="6" t="n">
        <v>9022.299999999999</v>
      </c>
    </row>
    <row r="8">
      <c r="A8" s="6" t="inlineStr">
        <is>
          <t>Liquidity coverage ratio</t>
        </is>
      </c>
      <c r="B8" s="6" t="inlineStr">
        <is>
          <t>155.57%</t>
        </is>
      </c>
      <c r="C8" s="6" t="inlineStr">
        <is>
          <t>158%</t>
        </is>
      </c>
      <c r="D8" s="6" t="inlineStr">
        <is>
          <t>151%</t>
        </is>
      </c>
      <c r="E8" s="6" t="inlineStr">
        <is>
          <t>161%</t>
        </is>
      </c>
      <c r="F8" s="6" t="inlineStr">
        <is>
          <t>147%</t>
        </is>
      </c>
    </row>
    <row r="9" ht="60" customHeight="1">
      <c r="A9" s="7" t="inlineStr">
        <is>
          <t>Note: FY2021 source reports the GSIB LCR summary as liquidity buffer and total net cash outflows; separate cash-inflow and cash-outflow rows were not reported in that table.</t>
        </is>
      </c>
    </row>
    <row r="11" ht="260" customHeight="1">
      <c r="A11"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38760.4</v>
      </c>
      <c r="C4" s="6" t="n">
        <v>37578.1</v>
      </c>
      <c r="D4" s="6" t="n">
        <v>36185.2</v>
      </c>
      <c r="E4" s="6" t="n">
        <v>37840</v>
      </c>
      <c r="F4" s="6" t="inlineStr">
        <is>
          <t>Not publicly disclosed</t>
        </is>
      </c>
    </row>
    <row r="5">
      <c r="A5" s="6" t="inlineStr">
        <is>
          <t>Total required stable funding</t>
        </is>
      </c>
      <c r="B5" s="6" t="n">
        <v>30101.1</v>
      </c>
      <c r="C5" s="6" t="n">
        <v>21789.9</v>
      </c>
      <c r="D5" s="6" t="n">
        <v>20916.6</v>
      </c>
      <c r="E5" s="6" t="n">
        <v>25330.2</v>
      </c>
      <c r="F5" s="6" t="inlineStr">
        <is>
          <t>Not publicly disclosed</t>
        </is>
      </c>
    </row>
    <row r="6">
      <c r="A6" s="6" t="inlineStr">
        <is>
          <t>NSFR ratio</t>
        </is>
      </c>
      <c r="B6" s="6" t="inlineStr">
        <is>
          <t>130.01%</t>
        </is>
      </c>
      <c r="C6" s="6" t="inlineStr">
        <is>
          <t>173%</t>
        </is>
      </c>
      <c r="D6" s="6" t="inlineStr">
        <is>
          <t>173%</t>
        </is>
      </c>
      <c r="E6" s="6" t="inlineStr">
        <is>
          <t>151%</t>
        </is>
      </c>
      <c r="F6" s="6" t="inlineStr">
        <is>
          <t>Not publicly disclosed</t>
        </is>
      </c>
    </row>
    <row r="7" ht="60" customHeight="1">
      <c r="A7" s="7" t="inlineStr">
        <is>
          <t>Note: The FY2021 Q4 report does not show a GSIB NSFR table; FY2022-FY2025 values are taken from the GSIB columns in Table 1.</t>
        </is>
      </c>
    </row>
    <row r="9" ht="260" customHeight="1">
      <c r="A9"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GSIB-specific numeric MREL value is shown in the reviewed official GSG UK Q4 Pillar 3 disclosures; GSGUK MREL figures are not substituted.</t>
        </is>
      </c>
    </row>
    <row r="7" ht="15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2026-09-07T01:44:20Z</dcterms:created>
  <dcterms:modified xmlns:dcterms="http://purl.org/dc/terms/" xmlns:xsi="http://www.w3.org/2001/XMLSchema-instance" xsi:type="dcterms:W3CDTF">2026-09-07T01:44:20Z</dcterms:modified>
</cp:coreProperties>
</file>