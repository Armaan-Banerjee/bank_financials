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'Overview'!$Q$5:$V$5</f>
            </numRef>
          </cat>
          <val>
            <numRef>
              <f>'Overview'!$Q$6:$V$6</f>
            </numRef>
          </val>
        </ser>
        <ser>
          <idx val="1"/>
          <order val="1"/>
          <tx>
            <strRef>
              <f>'Overview'!P7</f>
            </strRef>
          </tx>
          <spPr>
            <a:ln xmlns:a="http://schemas.openxmlformats.org/drawingml/2006/main">
              <a:prstDash val="solid"/>
            </a:ln>
          </spPr>
          <cat>
            <numRef>
              <f>'Overview'!$Q$5:$V$5</f>
            </numRef>
          </cat>
          <val>
            <numRef>
              <f>'Overview'!$Q$7:$V$7</f>
            </numRef>
          </val>
        </ser>
        <ser>
          <idx val="2"/>
          <order val="2"/>
          <tx>
            <strRef>
              <f>'Overview'!P8</f>
            </strRef>
          </tx>
          <spPr>
            <a:ln xmlns:a="http://schemas.openxmlformats.org/drawingml/2006/main">
              <a:prstDash val="solid"/>
            </a:ln>
          </spPr>
          <cat>
            <numRef>
              <f>'Overview'!$Q$5:$V$5</f>
            </numRef>
          </cat>
          <val>
            <numRef>
              <f>'Overview'!$Q$8:$V$8</f>
            </numRef>
          </val>
        </ser>
        <ser>
          <idx val="3"/>
          <order val="3"/>
          <tx>
            <strRef>
              <f>'Overview'!P9</f>
            </strRef>
          </tx>
          <spPr>
            <a:ln xmlns:a="http://schemas.openxmlformats.org/drawingml/2006/main">
              <a:prstDash val="solid"/>
            </a:ln>
          </spPr>
          <cat>
            <numRef>
              <f>'Overview'!$Q$5:$V$5</f>
            </numRef>
          </cat>
          <val>
            <numRef>
              <f>'Overview'!$Q$9:$V$9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'Overview'!$Z$12:$AD$12</f>
            </numRef>
          </cat>
          <val>
            <numRef>
              <f>'Overview'!$Z$13:$AD$13</f>
            </numRef>
          </val>
        </ser>
        <ser>
          <idx val="1"/>
          <order val="1"/>
          <tx>
            <strRef>
              <f>'Overview'!Y14</f>
            </strRef>
          </tx>
          <spPr>
            <a:ln xmlns:a="http://schemas.openxmlformats.org/drawingml/2006/main">
              <a:prstDash val="solid"/>
            </a:ln>
          </spPr>
          <cat>
            <numRef>
              <f>'Overview'!$Z$12:$AD$12</f>
            </numRef>
          </cat>
          <val>
            <numRef>
              <f>'Overview'!$Z$14:$AD$14</f>
            </numRef>
          </val>
        </ser>
        <ser>
          <idx val="2"/>
          <order val="2"/>
          <tx>
            <strRef>
              <f>'Overview'!Y15</f>
            </strRef>
          </tx>
          <spPr>
            <a:ln xmlns:a="http://schemas.openxmlformats.org/drawingml/2006/main">
              <a:prstDash val="solid"/>
            </a:ln>
          </spPr>
          <cat>
            <numRef>
              <f>'Overview'!$Z$12:$AD$12</f>
            </numRef>
          </cat>
          <val>
            <numRef>
              <f>'Overview'!$Z$15:$AD$15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'Overview'!AG19</f>
            </strRef>
          </tx>
          <spPr>
            <a:ln xmlns:a="http://schemas.openxmlformats.org/drawingml/2006/main">
              <a:prstDash val="solid"/>
            </a:ln>
          </spPr>
          <cat>
            <numRef>
              <f>'Overview'!$AH$18:$AL$18</f>
            </numRef>
          </cat>
          <val>
            <numRef>
              <f>'Overview'!$AH$19:$AL$19</f>
            </numRef>
          </val>
        </ser>
        <ser>
          <idx val="1"/>
          <order val="1"/>
          <tx>
            <strRef>
              <f>'Overview'!AG20</f>
            </strRef>
          </tx>
          <spPr>
            <a:ln xmlns:a="http://schemas.openxmlformats.org/drawingml/2006/main">
              <a:prstDash val="solid"/>
            </a:ln>
          </spPr>
          <cat>
            <numRef>
              <f>'Overview'!$AH$18:$AL$18</f>
            </numRef>
          </cat>
          <val>
            <numRef>
              <f>'Overview'!$AH$20:$AL$20</f>
            </numRef>
          </val>
        </ser>
        <ser>
          <idx val="2"/>
          <order val="2"/>
          <tx>
            <strRef>
              <f>'Overview'!AG21</f>
            </strRef>
          </tx>
          <spPr>
            <a:ln xmlns:a="http://schemas.openxmlformats.org/drawingml/2006/main">
              <a:prstDash val="solid"/>
            </a:ln>
          </spPr>
          <cat>
            <numRef>
              <f>'Overview'!$AH$18:$AL$18</f>
            </numRef>
          </cat>
          <val>
            <numRef>
              <f>'Overview'!$AH$21:$AL$21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'Overview'!$AP$24:$AT$24</f>
            </numRef>
          </cat>
          <val>
            <numRef>
              <f>'Overview'!$AP$25:$AT$25</f>
            </numRef>
          </val>
        </ser>
        <ser>
          <idx val="1"/>
          <order val="1"/>
          <tx>
            <strRef>
              <f>'Overview'!AO26</f>
            </strRef>
          </tx>
          <spPr>
            <a:ln xmlns:a="http://schemas.openxmlformats.org/drawingml/2006/main">
              <a:prstDash val="solid"/>
            </a:ln>
          </spPr>
          <cat>
            <numRef>
              <f>'Overview'!$AP$24:$AT$24</f>
            </numRef>
          </cat>
          <val>
            <numRef>
              <f>'Overview'!$AP$26:$AT$26</f>
            </numRef>
          </val>
        </ser>
        <ser>
          <idx val="2"/>
          <order val="2"/>
          <tx>
            <strRef>
              <f>'Overview'!AO27</f>
            </strRef>
          </tx>
          <spPr>
            <a:ln xmlns:a="http://schemas.openxmlformats.org/drawingml/2006/main">
              <a:prstDash val="solid"/>
            </a:ln>
          </spPr>
          <cat>
            <numRef>
              <f>'Overview'!$AP$24:$AT$24</f>
            </numRef>
          </cat>
          <val>
            <numRef>
              <f>'Overview'!$AP$27:$AT$27</f>
            </numRef>
          </val>
        </ser>
        <ser>
          <idx val="3"/>
          <order val="3"/>
          <tx>
            <strRef>
              <f>'Overview'!AO28</f>
            </strRef>
          </tx>
          <spPr>
            <a:ln xmlns:a="http://schemas.openxmlformats.org/drawingml/2006/main">
              <a:prstDash val="solid"/>
            </a:ln>
          </spPr>
          <cat>
            <numRef>
              <f>'Overview'!$AP$24:$AT$24</f>
            </numRef>
          </cat>
          <val>
            <numRef>
              <f>'Overview'!$AP$28:$AT$28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'Overview'!$AX$6:$BI$6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'Overview'!$AX$7:$BI$7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'Overview'!$AX$8:$BI$8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'Overview'!$AX$5:$BI$5</f>
            </numRef>
          </cat>
          <val>
            <numRef>
              <f>'Overview'!$AX$9:$BI$9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Q5" t="inlineStr">
        <is>
          <t>FY2017</t>
        </is>
      </c>
      <c r="R5" t="inlineStr">
        <is>
          <t>FY2021</t>
        </is>
      </c>
      <c r="S5" t="inlineStr">
        <is>
          <t>FY2022</t>
        </is>
      </c>
      <c r="T5" t="inlineStr">
        <is>
          <t>FY2023</t>
        </is>
      </c>
      <c r="U5" t="inlineStr">
        <is>
          <t>FY2024</t>
        </is>
      </c>
      <c r="V5" t="inlineStr">
        <is>
          <t>FY2025</t>
        </is>
      </c>
      <c r="AX5" t="inlineStr">
        <is>
          <t>FY2009</t>
        </is>
      </c>
      <c r="AY5" t="inlineStr">
        <is>
          <t>FY2010</t>
        </is>
      </c>
      <c r="AZ5" t="inlineStr">
        <is>
          <t>FY2012</t>
        </is>
      </c>
      <c r="BA5" t="inlineStr">
        <is>
          <t>FY2013</t>
        </is>
      </c>
      <c r="BB5" t="inlineStr">
        <is>
          <t>FY2014</t>
        </is>
      </c>
      <c r="BC5" t="inlineStr">
        <is>
          <t>FY2015</t>
        </is>
      </c>
      <c r="BD5" t="inlineStr">
        <is>
          <t>FY2017</t>
        </is>
      </c>
      <c r="BE5" t="inlineStr">
        <is>
          <t>FY2021</t>
        </is>
      </c>
      <c r="BF5" t="inlineStr">
        <is>
          <t>FY2022</t>
        </is>
      </c>
      <c r="BG5" t="inlineStr">
        <is>
          <t>FY2023</t>
        </is>
      </c>
      <c r="BH5" t="inlineStr">
        <is>
          <t>FY2024</t>
        </is>
      </c>
      <c r="BI5" t="inlineStr">
        <is>
          <t>FY2025</t>
        </is>
      </c>
    </row>
    <row r="6">
      <c r="A6" s="5" t="inlineStr">
        <is>
          <t>Total assets</t>
        </is>
      </c>
      <c r="B6" s="5" t="n">
        <v>1795507271</v>
      </c>
      <c r="C6" s="5" t="n">
        <v>1378954291</v>
      </c>
      <c r="D6" s="5" t="n">
        <v>1351097994</v>
      </c>
      <c r="E6" s="5" t="n">
        <v>1326047320</v>
      </c>
      <c r="F6" s="5" t="n">
        <v>1212752908</v>
      </c>
      <c r="G6" s="5" t="n">
        <v>1438234</v>
      </c>
      <c r="P6" t="inlineStr">
        <is>
          <t>Total assets</t>
        </is>
      </c>
      <c r="Q6" t="n">
        <v>1438234</v>
      </c>
      <c r="R6" t="n">
        <v>1212752908</v>
      </c>
      <c r="S6" t="n">
        <v>1326047320</v>
      </c>
      <c r="T6" t="n">
        <v>1351097994</v>
      </c>
      <c r="U6" t="n">
        <v>1378954291</v>
      </c>
      <c r="V6" t="n">
        <v>1795507271</v>
      </c>
      <c r="AW6" t="inlineStr">
        <is>
          <t>CET1 Ratio</t>
        </is>
      </c>
      <c r="BF6" t="n">
        <v>16.8</v>
      </c>
      <c r="BG6" t="n">
        <v>17.3</v>
      </c>
      <c r="BH6" t="n">
        <v>16.31</v>
      </c>
      <c r="BI6" t="n">
        <v>13.7</v>
      </c>
    </row>
    <row r="7">
      <c r="A7" s="5" t="inlineStr">
        <is>
          <t>Loans and advances to customers</t>
        </is>
      </c>
      <c r="B7" s="5" t="n">
        <v>487762621</v>
      </c>
      <c r="C7" s="5" t="n">
        <v>181521123</v>
      </c>
      <c r="D7" s="5" t="n">
        <v>61860769</v>
      </c>
      <c r="E7" s="5" t="n">
        <v>46503635</v>
      </c>
      <c r="F7" s="5" t="n">
        <v>37151779</v>
      </c>
      <c r="G7" s="5" t="n"/>
      <c r="P7" t="inlineStr">
        <is>
          <t>Loans and advances to customers</t>
        </is>
      </c>
      <c r="R7" t="n">
        <v>37151779</v>
      </c>
      <c r="S7" t="n">
        <v>46503635</v>
      </c>
      <c r="T7" t="n">
        <v>61860769</v>
      </c>
      <c r="U7" t="n">
        <v>181521123</v>
      </c>
      <c r="V7" t="n">
        <v>487762621</v>
      </c>
      <c r="AW7" t="inlineStr">
        <is>
          <t>Total Capital Ratio (FY2017 and earlier are Basel II-basis - see Total Capital Ratio sheet)</t>
        </is>
      </c>
      <c r="AX7" t="n">
        <v>21.75</v>
      </c>
      <c r="AY7" t="n">
        <v>26.52</v>
      </c>
      <c r="AZ7" t="n">
        <v>54.63</v>
      </c>
      <c r="BA7" t="n">
        <v>46.19</v>
      </c>
      <c r="BB7" t="n">
        <v>31.13</v>
      </c>
      <c r="BC7" t="n">
        <v>32.63</v>
      </c>
      <c r="BD7" t="n">
        <v>22.63</v>
      </c>
      <c r="BE7" t="n">
        <v>15.15</v>
      </c>
      <c r="BF7" t="n">
        <v>20.54</v>
      </c>
      <c r="BG7" t="n">
        <v>20.6</v>
      </c>
      <c r="BH7" t="n">
        <v>19.28</v>
      </c>
      <c r="BI7" t="n">
        <v>18.24</v>
      </c>
    </row>
    <row r="8">
      <c r="A8" s="5" t="inlineStr">
        <is>
          <t>Customer accounts</t>
        </is>
      </c>
      <c r="B8" s="5" t="n">
        <v>1388254579</v>
      </c>
      <c r="C8" s="5" t="n">
        <v>1032921877</v>
      </c>
      <c r="D8" s="5" t="n">
        <v>956051029</v>
      </c>
      <c r="E8" s="5" t="n">
        <v>608680668</v>
      </c>
      <c r="F8" s="5" t="n">
        <v>248279581</v>
      </c>
      <c r="G8" s="5" t="n"/>
      <c r="P8" t="inlineStr">
        <is>
          <t>Customer accounts</t>
        </is>
      </c>
      <c r="R8" t="n">
        <v>248279581</v>
      </c>
      <c r="S8" t="n">
        <v>608680668</v>
      </c>
      <c r="T8" t="n">
        <v>956051029</v>
      </c>
      <c r="U8" t="n">
        <v>1032921877</v>
      </c>
      <c r="V8" t="n">
        <v>1388254579</v>
      </c>
      <c r="AW8" t="inlineStr">
        <is>
          <t>Leverage Ratio</t>
        </is>
      </c>
      <c r="BB8" t="n">
        <v>9.17</v>
      </c>
      <c r="BC8" t="n">
        <v>12.86</v>
      </c>
      <c r="BD8" t="n">
        <v>9.9</v>
      </c>
      <c r="BE8" t="n">
        <v>12.47</v>
      </c>
      <c r="BF8" t="n">
        <v>11.65</v>
      </c>
      <c r="BG8" t="n">
        <v>12.1</v>
      </c>
      <c r="BH8" t="n">
        <v>11.6</v>
      </c>
      <c r="BI8" t="n">
        <v>9.199999999999999</v>
      </c>
    </row>
    <row r="9">
      <c r="A9" s="5" t="inlineStr">
        <is>
          <t>Total capital and reserves</t>
        </is>
      </c>
      <c r="B9" s="5" t="n">
        <v>176586699</v>
      </c>
      <c r="C9" s="5" t="n">
        <v>172646981</v>
      </c>
      <c r="D9" s="5" t="n">
        <v>166857249</v>
      </c>
      <c r="E9" s="5" t="n">
        <v>160206249</v>
      </c>
      <c r="F9" s="5" t="n">
        <v>154504970</v>
      </c>
      <c r="G9" s="5" t="n"/>
      <c r="P9" t="inlineStr">
        <is>
          <t>Total capital and reserves</t>
        </is>
      </c>
      <c r="R9" t="n">
        <v>154504970</v>
      </c>
      <c r="S9" t="n">
        <v>160206249</v>
      </c>
      <c r="T9" t="n">
        <v>166857249</v>
      </c>
      <c r="U9" t="n">
        <v>172646981</v>
      </c>
      <c r="V9" t="n">
        <v>176586699</v>
      </c>
      <c r="AW9" t="inlineStr">
        <is>
          <t>LCR (12-month average, UK CRR basis)</t>
        </is>
      </c>
      <c r="BF9" t="n">
        <v>296</v>
      </c>
      <c r="BG9" t="n">
        <v>387</v>
      </c>
      <c r="BH9" t="n">
        <v>418</v>
      </c>
      <c r="BI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Z12" t="inlineStr">
        <is>
          <t>FY2021</t>
        </is>
      </c>
      <c r="AA12" t="inlineStr">
        <is>
          <t>FY2022</t>
        </is>
      </c>
      <c r="AB12" t="inlineStr">
        <is>
          <t>FY2023</t>
        </is>
      </c>
      <c r="AC12" t="inlineStr">
        <is>
          <t>FY2024</t>
        </is>
      </c>
      <c r="AD12" t="inlineStr">
        <is>
          <t>FY2025</t>
        </is>
      </c>
    </row>
    <row r="13">
      <c r="A13" s="5" t="inlineStr">
        <is>
          <t>Operating income</t>
        </is>
      </c>
      <c r="B13" s="5" t="n">
        <v>24828399</v>
      </c>
      <c r="C13" s="5" t="n">
        <v>25952904</v>
      </c>
      <c r="D13" s="5" t="n">
        <v>26011808</v>
      </c>
      <c r="E13" s="5" t="n">
        <v>22211065</v>
      </c>
      <c r="F13" s="5" t="n">
        <v>21109874</v>
      </c>
      <c r="Y13" t="inlineStr">
        <is>
          <t>Operating income</t>
        </is>
      </c>
      <c r="Z13" t="n">
        <v>21109874</v>
      </c>
      <c r="AA13" t="n">
        <v>22211065</v>
      </c>
      <c r="AB13" t="n">
        <v>26011808</v>
      </c>
      <c r="AC13" t="n">
        <v>25952904</v>
      </c>
      <c r="AD13" t="n">
        <v>24828399</v>
      </c>
    </row>
    <row r="14">
      <c r="A14" s="5" t="inlineStr">
        <is>
          <t>Staff costs</t>
        </is>
      </c>
      <c r="B14" s="5" t="n">
        <v>-11077928</v>
      </c>
      <c r="C14" s="5" t="n">
        <v>-10618557</v>
      </c>
      <c r="D14" s="5" t="n">
        <v>-10150025</v>
      </c>
      <c r="E14" s="5" t="n">
        <v>-8523451</v>
      </c>
      <c r="F14" s="5" t="n">
        <v>-12064461</v>
      </c>
      <c r="Y14" t="inlineStr">
        <is>
          <t>Staff costs</t>
        </is>
      </c>
      <c r="Z14" t="n">
        <v>-12064461</v>
      </c>
      <c r="AA14" t="n">
        <v>-8523451</v>
      </c>
      <c r="AB14" t="n">
        <v>-10150025</v>
      </c>
      <c r="AC14" t="n">
        <v>-10618557</v>
      </c>
      <c r="AD14" t="n">
        <v>-11077928</v>
      </c>
    </row>
    <row r="15">
      <c r="A15" s="5" t="inlineStr">
        <is>
          <t>Profit for the period</t>
        </is>
      </c>
      <c r="B15" s="5" t="n">
        <v>3939718</v>
      </c>
      <c r="C15" s="5" t="n">
        <v>5789732</v>
      </c>
      <c r="D15" s="5" t="n">
        <v>6651000</v>
      </c>
      <c r="E15" s="5" t="n">
        <v>5701279</v>
      </c>
      <c r="F15" s="5" t="n">
        <v>88886</v>
      </c>
      <c r="Y15" t="inlineStr">
        <is>
          <t>Profit for the period</t>
        </is>
      </c>
      <c r="Z15" t="n">
        <v>88886</v>
      </c>
      <c r="AA15" t="n">
        <v>5701279</v>
      </c>
      <c r="AB15" t="n">
        <v>6651000</v>
      </c>
      <c r="AC15" t="n">
        <v>5789732</v>
      </c>
      <c r="AD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AH18" t="inlineStr">
        <is>
          <t>FY2021</t>
        </is>
      </c>
      <c r="AI18" t="inlineStr">
        <is>
          <t>FY2022</t>
        </is>
      </c>
      <c r="AJ18" t="inlineStr">
        <is>
          <t>FY2023</t>
        </is>
      </c>
      <c r="AK18" t="inlineStr">
        <is>
          <t>FY2024</t>
        </is>
      </c>
      <c r="AL18" t="inlineStr">
        <is>
          <t>FY2025</t>
        </is>
      </c>
    </row>
    <row r="19">
      <c r="A19" s="5" t="inlineStr">
        <is>
          <t>Opening total capital and reserves</t>
        </is>
      </c>
      <c r="B19" s="5" t="n">
        <v>172646981</v>
      </c>
      <c r="C19" s="5" t="n">
        <v>166857249</v>
      </c>
      <c r="D19" s="5" t="n">
        <v>160206249</v>
      </c>
      <c r="E19" s="5" t="n">
        <v>154504970</v>
      </c>
      <c r="F19" s="5" t="n">
        <v>154416084</v>
      </c>
      <c r="AG19" t="inlineStr">
        <is>
          <t>Opening total capital and reserves</t>
        </is>
      </c>
      <c r="AH19" t="n">
        <v>154416084</v>
      </c>
      <c r="AI19" t="n">
        <v>154504970</v>
      </c>
      <c r="AJ19" t="n">
        <v>160206249</v>
      </c>
      <c r="AK19" t="n">
        <v>166857249</v>
      </c>
      <c r="AL19" t="n">
        <v>172646981</v>
      </c>
    </row>
    <row r="20">
      <c r="A20" s="5" t="inlineStr">
        <is>
          <t>Total comprehensive income for the period</t>
        </is>
      </c>
      <c r="B20" s="5" t="n">
        <v>3939718</v>
      </c>
      <c r="C20" s="5" t="n">
        <v>5789732</v>
      </c>
      <c r="D20" s="5" t="n">
        <v>6651000</v>
      </c>
      <c r="E20" s="5" t="n">
        <v>5701279</v>
      </c>
      <c r="F20" s="5" t="n">
        <v>88886</v>
      </c>
      <c r="AG20" t="inlineStr">
        <is>
          <t>Total comprehensive income for the period</t>
        </is>
      </c>
      <c r="AH20" t="n">
        <v>88886</v>
      </c>
      <c r="AI20" t="n">
        <v>5701279</v>
      </c>
      <c r="AJ20" t="n">
        <v>6651000</v>
      </c>
      <c r="AK20" t="n">
        <v>5789732</v>
      </c>
      <c r="AL20" t="n">
        <v>3939718</v>
      </c>
    </row>
    <row r="21">
      <c r="A21" s="5" t="inlineStr">
        <is>
          <t>Closing total capital and reserves</t>
        </is>
      </c>
      <c r="B21" s="5" t="n">
        <v>176586699</v>
      </c>
      <c r="C21" s="5" t="n">
        <v>172646981</v>
      </c>
      <c r="D21" s="5" t="n">
        <v>166857249</v>
      </c>
      <c r="E21" s="5" t="n">
        <v>160206249</v>
      </c>
      <c r="F21" s="5" t="n">
        <v>154504970</v>
      </c>
      <c r="AG21" t="inlineStr">
        <is>
          <t>Closing total capital and reserves</t>
        </is>
      </c>
      <c r="AH21" t="n">
        <v>154504970</v>
      </c>
      <c r="AI21" t="n">
        <v>160206249</v>
      </c>
      <c r="AJ21" t="n">
        <v>166857249</v>
      </c>
      <c r="AK21" t="n">
        <v>172646981</v>
      </c>
      <c r="AL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P24" t="inlineStr">
        <is>
          <t>FY2021</t>
        </is>
      </c>
      <c r="AQ24" t="inlineStr">
        <is>
          <t>FY2022</t>
        </is>
      </c>
      <c r="AR24" t="inlineStr">
        <is>
          <t>FY2023</t>
        </is>
      </c>
      <c r="AS24" t="inlineStr">
        <is>
          <t>FY2024</t>
        </is>
      </c>
      <c r="AT24" t="inlineStr">
        <is>
          <t>FY2025</t>
        </is>
      </c>
    </row>
    <row r="25">
      <c r="A25" s="5" t="inlineStr">
        <is>
          <t>Net cash generated/(used) from operating activities</t>
        </is>
      </c>
      <c r="B25" s="5" t="n">
        <v>101280910</v>
      </c>
      <c r="C25" s="5" t="n">
        <v>-44497653</v>
      </c>
      <c r="D25" s="5" t="n">
        <v>-110688337</v>
      </c>
      <c r="E25" s="5" t="n">
        <v>-91172027</v>
      </c>
      <c r="F25" s="5" t="n">
        <v>5256681</v>
      </c>
      <c r="AO25" t="inlineStr">
        <is>
          <t>Net cash generated/(used) from operating activities</t>
        </is>
      </c>
      <c r="AP25" t="n">
        <v>5256681</v>
      </c>
      <c r="AQ25" t="n">
        <v>-91172027</v>
      </c>
      <c r="AR25" t="n">
        <v>-110688337</v>
      </c>
      <c r="AS25" t="n">
        <v>-44497653</v>
      </c>
      <c r="AT25" t="n">
        <v>101280910</v>
      </c>
    </row>
    <row r="26">
      <c r="A26" s="5" t="inlineStr">
        <is>
          <t>Net cash generated/(used) from investing activities</t>
        </is>
      </c>
      <c r="B26" s="5" t="n">
        <v>-122997984</v>
      </c>
      <c r="C26" s="5" t="n">
        <v>21089132</v>
      </c>
      <c r="D26" s="5" t="n">
        <v>-16905485</v>
      </c>
      <c r="E26" s="5" t="n">
        <v>83292813</v>
      </c>
      <c r="F26" s="5" t="n">
        <v>-5782456</v>
      </c>
      <c r="AO26" t="inlineStr">
        <is>
          <t>Net cash generated/(used) from investing activities</t>
        </is>
      </c>
      <c r="AP26" t="n">
        <v>-5782456</v>
      </c>
      <c r="AQ26" t="n">
        <v>83292813</v>
      </c>
      <c r="AR26" t="n">
        <v>-16905485</v>
      </c>
      <c r="AS26" t="n">
        <v>21089132</v>
      </c>
      <c r="AT26" t="n">
        <v>-122997984</v>
      </c>
    </row>
    <row r="27">
      <c r="A27" s="5" t="inlineStr">
        <is>
          <t>Net cash generated/(used) in financing activities</t>
        </is>
      </c>
      <c r="B27" s="5" t="n">
        <v>27813180</v>
      </c>
      <c r="C27" s="5" t="n">
        <v>-2299886</v>
      </c>
      <c r="D27" s="5" t="n">
        <v>-4776099</v>
      </c>
      <c r="E27" s="5" t="n">
        <v>-2491694</v>
      </c>
      <c r="F27" s="5" t="n">
        <v>0</v>
      </c>
      <c r="AO27" t="inlineStr">
        <is>
          <t>Net cash generated/(used) in financing activities</t>
        </is>
      </c>
      <c r="AP27" t="n">
        <v>0</v>
      </c>
      <c r="AQ27" t="n">
        <v>-2491694</v>
      </c>
      <c r="AR27" t="n">
        <v>-4776099</v>
      </c>
      <c r="AS27" t="n">
        <v>-2299886</v>
      </c>
      <c r="AT27" t="n">
        <v>27813180</v>
      </c>
    </row>
    <row r="28">
      <c r="A28" s="5" t="inlineStr">
        <is>
          <t>Cash and cash equivalents at end of year</t>
        </is>
      </c>
      <c r="B28" s="5" t="n">
        <v>276757036</v>
      </c>
      <c r="C28" s="5" t="n">
        <v>286126277</v>
      </c>
      <c r="D28" s="5" t="n">
        <v>308342852</v>
      </c>
      <c r="E28" s="5" t="n">
        <v>43356127</v>
      </c>
      <c r="F28" s="5" t="n">
        <v>53727035</v>
      </c>
      <c r="AO28" t="inlineStr">
        <is>
          <t>Cash and cash equivalents at end of year</t>
        </is>
      </c>
      <c r="AP28" t="n">
        <v>53727035</v>
      </c>
      <c r="AQ28" t="n">
        <v>43356127</v>
      </c>
      <c r="AR28" t="n">
        <v>308342852</v>
      </c>
      <c r="AS28" t="n">
        <v>286126277</v>
      </c>
      <c r="AT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30"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Total debt securities</t>
        </is>
      </c>
      <c r="B8" s="6" t="n">
        <v>604021714</v>
      </c>
      <c r="C8" s="6" t="n">
        <v>488086660</v>
      </c>
      <c r="D8" s="6" t="n">
        <v>505332212</v>
      </c>
      <c r="E8" s="6" t="n">
        <v>508564166</v>
      </c>
      <c r="F8" s="6" t="n">
        <v>550750341</v>
      </c>
    </row>
    <row r="9">
      <c r="A9" s="6" t="inlineStr">
        <is>
          <t>Debt securities - Issued by public bodies (government securities, amortised cost)</t>
        </is>
      </c>
      <c r="B9" s="6" t="n">
        <v>246733992</v>
      </c>
      <c r="C9" s="6" t="n">
        <v>181040174</v>
      </c>
      <c r="D9" s="6" t="n">
        <v>192504359</v>
      </c>
      <c r="E9" s="6" t="n">
        <v>180661405</v>
      </c>
      <c r="F9" s="6" t="n">
        <v>189275634</v>
      </c>
    </row>
    <row r="10">
      <c r="A10" s="6" t="inlineStr">
        <is>
          <t>Debt securities - Other securities (amortised cost)</t>
        </is>
      </c>
      <c r="B10" s="6" t="n">
        <v>356026463</v>
      </c>
      <c r="C10" s="6" t="n">
        <v>311841237</v>
      </c>
      <c r="D10" s="6" t="n">
        <v>320191387</v>
      </c>
      <c r="E10" s="6" t="n">
        <v>343276052</v>
      </c>
      <c r="F10" s="6" t="n">
        <v>356876457</v>
      </c>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row>
    <row r="12">
      <c r="A12" s="6" t="inlineStr">
        <is>
          <t>Derivative financial instruments</t>
        </is>
      </c>
      <c r="B12" s="6" t="n">
        <v>4323287</v>
      </c>
      <c r="C12" s="6" t="n">
        <v>8754822</v>
      </c>
      <c r="D12" s="6" t="n">
        <v>11054880</v>
      </c>
      <c r="E12" s="6" t="n">
        <v>16652823</v>
      </c>
      <c r="F12" s="6" t="n">
        <v>378832</v>
      </c>
    </row>
    <row r="13">
      <c r="A13" s="6" t="inlineStr">
        <is>
          <t>Tangible fixed assets</t>
        </is>
      </c>
      <c r="B13" s="6" t="n">
        <v>41411528</v>
      </c>
      <c r="C13" s="6" t="n">
        <v>42218048</v>
      </c>
      <c r="D13" s="6" t="n">
        <v>42910866</v>
      </c>
      <c r="E13" s="6" t="n">
        <v>42356164</v>
      </c>
      <c r="F13" s="6" t="n">
        <v>41363058</v>
      </c>
    </row>
    <row r="14">
      <c r="A14" s="6" t="inlineStr">
        <is>
          <t>Intangible fixed assets (no separate line FY2021-FY2022 - nil/immaterial)</t>
        </is>
      </c>
      <c r="B14" s="6" t="n">
        <v>4126398</v>
      </c>
      <c r="C14" s="6" t="n">
        <v>1896837</v>
      </c>
      <c r="D14" s="6" t="n">
        <v>580386</v>
      </c>
      <c r="E14" s="6" t="n"/>
      <c r="F14" s="6" t="n"/>
    </row>
    <row r="15">
      <c r="A15" s="6" t="inlineStr">
        <is>
          <t>Prepayments and accrued income</t>
        </is>
      </c>
      <c r="B15" s="6" t="n">
        <v>1622582</v>
      </c>
      <c r="C15" s="6" t="n">
        <v>1263240</v>
      </c>
      <c r="D15" s="6" t="n">
        <v>1410882</v>
      </c>
      <c r="E15" s="6" t="n">
        <v>1989589</v>
      </c>
      <c r="F15" s="6" t="n">
        <v>5356899</v>
      </c>
    </row>
    <row r="16">
      <c r="A16" s="6" t="inlineStr">
        <is>
          <t>Current tax assets</t>
        </is>
      </c>
      <c r="B16" s="6" t="n"/>
      <c r="C16" s="6" t="n"/>
      <c r="D16" s="6" t="n">
        <v>736026</v>
      </c>
      <c r="E16" s="6" t="n">
        <v>188232</v>
      </c>
      <c r="F16" s="6" t="n">
        <v>116855</v>
      </c>
    </row>
    <row r="17">
      <c r="A17" s="6" t="inlineStr">
        <is>
          <t>Deferred tax assets</t>
        </is>
      </c>
      <c r="B17" s="6" t="n"/>
      <c r="C17" s="6" t="n"/>
      <c r="D17" s="6" t="n"/>
      <c r="E17" s="6" t="n"/>
      <c r="F17" s="6" t="n">
        <v>81576</v>
      </c>
    </row>
    <row r="18">
      <c r="A18" s="6" t="inlineStr">
        <is>
          <t>Other assets</t>
        </is>
      </c>
      <c r="B18" s="6" t="n">
        <v>295821</v>
      </c>
      <c r="C18" s="6" t="n">
        <v>229528</v>
      </c>
      <c r="D18" s="6" t="n">
        <v>21241</v>
      </c>
      <c r="E18" s="6" t="n">
        <v>91313</v>
      </c>
      <c r="F18" s="6" t="n">
        <v>38172</v>
      </c>
    </row>
    <row r="19">
      <c r="A19" s="5" t="inlineStr">
        <is>
          <t>Total assets</t>
        </is>
      </c>
      <c r="B19" s="5" t="n">
        <v>1795507271</v>
      </c>
      <c r="C19" s="5" t="n">
        <v>1378954291</v>
      </c>
      <c r="D19" s="5" t="n">
        <v>1351097994</v>
      </c>
      <c r="E19" s="5" t="n">
        <v>1326047320</v>
      </c>
      <c r="F19" s="5" t="n">
        <v>1212752908</v>
      </c>
      <c r="G19" s="6" t="n">
        <v>1438234</v>
      </c>
    </row>
    <row r="20">
      <c r="A20" s="5" t="inlineStr">
        <is>
          <t>Liabilities</t>
        </is>
      </c>
      <c r="B20" s="6" t="n"/>
      <c r="C20" s="6" t="n"/>
      <c r="D20" s="6" t="n"/>
      <c r="E20" s="6" t="n"/>
      <c r="F20" s="6" t="n"/>
    </row>
    <row r="21">
      <c r="A21" s="6" t="inlineStr">
        <is>
          <t>Deposits by banks</t>
        </is>
      </c>
      <c r="B21" s="6" t="n">
        <v>162146460</v>
      </c>
      <c r="C21" s="6" t="n">
        <v>137050906</v>
      </c>
      <c r="D21" s="6" t="n">
        <v>193404628</v>
      </c>
      <c r="E21" s="6" t="n">
        <v>519965127</v>
      </c>
      <c r="F21" s="6" t="n">
        <v>756896286</v>
      </c>
    </row>
    <row r="22">
      <c r="A22" s="6" t="inlineStr">
        <is>
          <t>Customer accounts</t>
        </is>
      </c>
      <c r="B22" s="6" t="n">
        <v>1388254579</v>
      </c>
      <c r="C22" s="6" t="n">
        <v>1032921877</v>
      </c>
      <c r="D22" s="6" t="n">
        <v>956051029</v>
      </c>
      <c r="E22" s="6" t="n">
        <v>608680668</v>
      </c>
      <c r="F22" s="6" t="n">
        <v>248279581</v>
      </c>
    </row>
    <row r="23">
      <c r="A23" s="6" t="inlineStr">
        <is>
          <t>Derivative financial instruments</t>
        </is>
      </c>
      <c r="B23" s="6" t="n">
        <v>5157961</v>
      </c>
      <c r="C23" s="6" t="n">
        <v>1044103</v>
      </c>
      <c r="D23" s="6" t="n">
        <v>577008</v>
      </c>
      <c r="E23" s="6" t="n">
        <v>205870</v>
      </c>
      <c r="F23" s="6" t="n">
        <v>6763860</v>
      </c>
    </row>
    <row r="24">
      <c r="A24" s="6" t="inlineStr">
        <is>
          <t>Other liabilities</t>
        </is>
      </c>
      <c r="B24" s="6" t="n">
        <v>1326258</v>
      </c>
      <c r="C24" s="6" t="n">
        <v>741899</v>
      </c>
      <c r="D24" s="6" t="n">
        <v>648940</v>
      </c>
      <c r="E24" s="6" t="n">
        <v>1054200</v>
      </c>
      <c r="F24" s="6" t="n">
        <v>10900143</v>
      </c>
    </row>
    <row r="25">
      <c r="A25" s="6" t="inlineStr">
        <is>
          <t>Current tax liabilities</t>
        </is>
      </c>
      <c r="B25" s="6" t="n">
        <v>251723</v>
      </c>
      <c r="C25" s="6" t="n">
        <v>446704</v>
      </c>
      <c r="D25" s="6" t="n"/>
      <c r="E25" s="6" t="n"/>
      <c r="F25" s="6" t="n"/>
    </row>
    <row r="26">
      <c r="A26" s="6" t="inlineStr">
        <is>
          <t>Deferred tax liabilities</t>
        </is>
      </c>
      <c r="B26" s="6" t="n">
        <v>501721</v>
      </c>
      <c r="C26" s="6" t="n">
        <v>685514</v>
      </c>
      <c r="D26" s="6" t="n">
        <v>639935</v>
      </c>
      <c r="E26" s="6" t="n">
        <v>187556</v>
      </c>
      <c r="F26" s="6" t="n">
        <v>215467</v>
      </c>
    </row>
    <row r="27">
      <c r="A27" s="6" t="inlineStr">
        <is>
          <t>Accruals and deferred income</t>
        </is>
      </c>
      <c r="B27" s="6" t="n">
        <v>1742619</v>
      </c>
      <c r="C27" s="6" t="n">
        <v>1816045</v>
      </c>
      <c r="D27" s="6" t="n">
        <v>1871759</v>
      </c>
      <c r="E27" s="6" t="n">
        <v>478286</v>
      </c>
      <c r="F27" s="6" t="n">
        <v>1908577</v>
      </c>
    </row>
    <row r="28">
      <c r="A28" s="6" t="inlineStr">
        <is>
          <t>Long-term subordinated debt</t>
        </is>
      </c>
      <c r="B28" s="6" t="n">
        <v>59539251</v>
      </c>
      <c r="C28" s="6" t="n">
        <v>31600262</v>
      </c>
      <c r="D28" s="6" t="n">
        <v>31047446</v>
      </c>
      <c r="E28" s="6" t="n">
        <v>35269364</v>
      </c>
      <c r="F28" s="6" t="n">
        <v>33284024</v>
      </c>
    </row>
    <row r="29">
      <c r="A29" s="5" t="inlineStr">
        <is>
          <t>Total liabilities</t>
        </is>
      </c>
      <c r="B29" s="5" t="n">
        <v>1618920572</v>
      </c>
      <c r="C29" s="5" t="n">
        <v>1206307310</v>
      </c>
      <c r="D29" s="5" t="n">
        <v>1184240745</v>
      </c>
      <c r="E29" s="5" t="n">
        <v>1165841071</v>
      </c>
      <c r="F29" s="5" t="n">
        <v>1058247938</v>
      </c>
    </row>
    <row r="30">
      <c r="A30" s="5" t="inlineStr">
        <is>
          <t>Capital and reserves</t>
        </is>
      </c>
      <c r="B30" s="6" t="n"/>
      <c r="C30" s="6" t="n"/>
      <c r="D30" s="6" t="n"/>
      <c r="E30" s="6" t="n"/>
      <c r="F30" s="6" t="n"/>
    </row>
    <row r="31">
      <c r="A31" s="6" t="inlineStr">
        <is>
          <t>Called up share capital</t>
        </is>
      </c>
      <c r="B31" s="6" t="n">
        <v>130000000</v>
      </c>
      <c r="C31" s="6" t="n">
        <v>130000000</v>
      </c>
      <c r="D31" s="6" t="n">
        <v>130000000</v>
      </c>
      <c r="E31" s="6" t="n">
        <v>130000000</v>
      </c>
      <c r="F31" s="6" t="n">
        <v>130000000</v>
      </c>
    </row>
    <row r="32">
      <c r="A32" s="6" t="inlineStr">
        <is>
          <t>Retained earnings (Profit and loss account)</t>
        </is>
      </c>
      <c r="B32" s="6" t="n">
        <v>46586699</v>
      </c>
      <c r="C32" s="6" t="n">
        <v>42646981</v>
      </c>
      <c r="D32" s="6" t="n">
        <v>36857249</v>
      </c>
      <c r="E32" s="6" t="n">
        <v>30206249</v>
      </c>
      <c r="F32" s="6" t="n">
        <v>24504970</v>
      </c>
    </row>
    <row r="33">
      <c r="A33" s="5" t="inlineStr">
        <is>
          <t>Total capital and reserves</t>
        </is>
      </c>
      <c r="B33" s="5" t="n">
        <v>176586699</v>
      </c>
      <c r="C33" s="5" t="n">
        <v>172646981</v>
      </c>
      <c r="D33" s="5" t="n">
        <v>166857249</v>
      </c>
      <c r="E33" s="5" t="n">
        <v>160206249</v>
      </c>
      <c r="F33" s="5" t="n">
        <v>154504970</v>
      </c>
    </row>
    <row r="34">
      <c r="A34" s="5" t="inlineStr">
        <is>
          <t>Total liabilities and equity</t>
        </is>
      </c>
      <c r="B34" s="5" t="n">
        <v>1795507271</v>
      </c>
      <c r="C34" s="5" t="n">
        <v>1378954291</v>
      </c>
      <c r="D34" s="5" t="n">
        <v>1351097994</v>
      </c>
      <c r="E34" s="5" t="n">
        <v>1326047320</v>
      </c>
      <c r="F34" s="5" t="n">
        <v>1212752908</v>
      </c>
    </row>
    <row r="35"/>
    <row r="36" ht="409" customHeight="1">
      <c r="A3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t>
        </is>
      </c>
    </row>
    <row r="37"/>
    <row r="38" ht="409" customHeight="1">
      <c r="A38" s="9" t="inlineStr">
        <is>
          <t>(continued)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2">
    <mergeCell ref="A36:F36"/>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c r="G7" s="6" t="n">
        <v>16273</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row>
    <row r="17">
      <c r="A17" s="5" t="inlineStr">
        <is>
          <t>Operating profit</t>
        </is>
      </c>
      <c r="B17" s="5" t="n">
        <v>5473983</v>
      </c>
      <c r="C17" s="5" t="n">
        <v>7891131</v>
      </c>
      <c r="D17" s="5" t="n">
        <v>8831685</v>
      </c>
      <c r="E17" s="5" t="n">
        <v>7108566</v>
      </c>
      <c r="F17" s="5" t="n">
        <v>-144952</v>
      </c>
    </row>
    <row r="18">
      <c r="A18" s="6" t="inlineStr">
        <is>
          <t>Net impairment (charge)/reversal on financial assets (Provisions for bad and doubtful debts)</t>
        </is>
      </c>
      <c r="B18" s="6" t="n">
        <v>0</v>
      </c>
      <c r="C18" s="6" t="n">
        <v>0</v>
      </c>
      <c r="D18" s="6" t="n">
        <v>0</v>
      </c>
      <c r="E18" s="6" t="n">
        <v>0</v>
      </c>
      <c r="F18" s="6" t="n">
        <v>443787</v>
      </c>
    </row>
    <row r="19">
      <c r="A19" s="5" t="inlineStr">
        <is>
          <t>Profit on ordinary activities before tax</t>
        </is>
      </c>
      <c r="B19" s="5" t="n">
        <v>5473983</v>
      </c>
      <c r="C19" s="5" t="n">
        <v>7891131</v>
      </c>
      <c r="D19" s="5" t="n">
        <v>8831685</v>
      </c>
      <c r="E19" s="5" t="n">
        <v>7108566</v>
      </c>
      <c r="F19" s="5" t="n">
        <v>298835</v>
      </c>
    </row>
    <row r="20">
      <c r="A20" s="6" t="inlineStr">
        <is>
          <t>Tax (charge)/credit on profit on ordinary activities</t>
        </is>
      </c>
      <c r="B20" s="6" t="n">
        <v>-1534265</v>
      </c>
      <c r="C20" s="6" t="n">
        <v>-2101399</v>
      </c>
      <c r="D20" s="6" t="n">
        <v>-2180685</v>
      </c>
      <c r="E20" s="6" t="n">
        <v>-1407287</v>
      </c>
      <c r="F20" s="6" t="n">
        <v>-209949</v>
      </c>
    </row>
    <row r="21">
      <c r="A21" s="5" t="inlineStr">
        <is>
          <t>Profit for the period</t>
        </is>
      </c>
      <c r="B21" s="5" t="n">
        <v>3939718</v>
      </c>
      <c r="C21" s="5" t="n">
        <v>5789732</v>
      </c>
      <c r="D21" s="5" t="n">
        <v>6651000</v>
      </c>
      <c r="E21" s="5" t="n">
        <v>5701279</v>
      </c>
      <c r="F21" s="5" t="n">
        <v>88886</v>
      </c>
    </row>
    <row r="22">
      <c r="A22" s="6" t="inlineStr">
        <is>
          <t>Other comprehensive income</t>
        </is>
      </c>
      <c r="B22" s="6" t="n">
        <v>0</v>
      </c>
      <c r="C22" s="6" t="n">
        <v>0</v>
      </c>
      <c r="D22" s="6" t="n">
        <v>0</v>
      </c>
      <c r="E22" s="6" t="n">
        <v>0</v>
      </c>
      <c r="F22" s="6" t="n">
        <v>0</v>
      </c>
    </row>
    <row r="23">
      <c r="A23" s="5" t="inlineStr">
        <is>
          <t>Total comprehensive income for the period</t>
        </is>
      </c>
      <c r="B23" s="5" t="n">
        <v>3939718</v>
      </c>
      <c r="C23" s="5" t="n">
        <v>5789732</v>
      </c>
      <c r="D23" s="5" t="n">
        <v>6651000</v>
      </c>
      <c r="E23" s="5" t="n">
        <v>5701279</v>
      </c>
      <c r="F23" s="5" t="n">
        <v>88886</v>
      </c>
    </row>
    <row r="24"/>
    <row r="25" ht="380" customHeight="1">
      <c r="A25"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338" customHeight="1">
      <c r="A1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row r="18" ht="221" customHeight="1">
      <c r="A18" s="9" t="inlineStr">
        <is>
          <t>(continued)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2">
    <mergeCell ref="A18:D18"/>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364" customHeight="1">
      <c r="A15" s="9"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9"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2.26%</t>
        </is>
      </c>
      <c r="C4" s="6" t="inlineStr">
        <is>
          <t>3.41%</t>
        </is>
      </c>
      <c r="D4" s="6" t="inlineStr">
        <is>
          <t>4.07%</t>
        </is>
      </c>
      <c r="E4" s="6" t="inlineStr">
        <is>
          <t>3.62%</t>
        </is>
      </c>
      <c r="F4" s="6" t="n"/>
    </row>
    <row r="5">
      <c r="A5" s="6" t="inlineStr">
        <is>
          <t>Return on equity - year-end equity basis</t>
        </is>
      </c>
      <c r="B5" s="6" t="inlineStr">
        <is>
          <t>2.23%</t>
        </is>
      </c>
      <c r="C5" s="6" t="inlineStr">
        <is>
          <t>3.35%</t>
        </is>
      </c>
      <c r="D5" s="6" t="inlineStr">
        <is>
          <t>3.99%</t>
        </is>
      </c>
      <c r="E5" s="6" t="inlineStr">
        <is>
          <t>3.56%</t>
        </is>
      </c>
      <c r="F5" s="6" t="inlineStr">
        <is>
          <t>0.06%</t>
        </is>
      </c>
    </row>
    <row r="6">
      <c r="A6" s="6" t="inlineStr">
        <is>
          <t>Return on assets - average assets basis</t>
        </is>
      </c>
      <c r="B6" s="6" t="inlineStr">
        <is>
          <t>0.25%</t>
        </is>
      </c>
      <c r="C6" s="6" t="inlineStr">
        <is>
          <t>0.42%</t>
        </is>
      </c>
      <c r="D6" s="6" t="inlineStr">
        <is>
          <t>0.50%</t>
        </is>
      </c>
      <c r="E6" s="6" t="inlineStr">
        <is>
          <t>0.45%</t>
        </is>
      </c>
      <c r="F6" s="6" t="n"/>
    </row>
    <row r="7">
      <c r="A7" s="6" t="inlineStr">
        <is>
          <t>Return on assets - year-end assets basis</t>
        </is>
      </c>
      <c r="B7" s="6" t="inlineStr">
        <is>
          <t>0.22%</t>
        </is>
      </c>
      <c r="C7" s="6" t="inlineStr">
        <is>
          <t>0.42%</t>
        </is>
      </c>
      <c r="D7" s="6" t="inlineStr">
        <is>
          <t>0.49%</t>
        </is>
      </c>
      <c r="E7" s="6" t="inlineStr">
        <is>
          <t>0.43%</t>
        </is>
      </c>
      <c r="F7" s="6" t="inlineStr">
        <is>
          <t>0.01%</t>
        </is>
      </c>
    </row>
    <row r="8">
      <c r="A8" s="6" t="inlineStr">
        <is>
          <t>Return on average shareholders' funds (as published)</t>
        </is>
      </c>
      <c r="B8" s="6" t="inlineStr">
        <is>
          <t>2.26%</t>
        </is>
      </c>
      <c r="C8" s="6" t="inlineStr">
        <is>
          <t>3.41%</t>
        </is>
      </c>
      <c r="D8" s="6" t="inlineStr">
        <is>
          <t>4.07%</t>
        </is>
      </c>
      <c r="E8" s="6" t="inlineStr">
        <is>
          <t>Not published</t>
        </is>
      </c>
      <c r="F8" s="6" t="inlineStr">
        <is>
          <t>Not published</t>
        </is>
      </c>
    </row>
    <row r="9">
      <c r="A9" s="6" t="inlineStr">
        <is>
          <t>Return on equity (as published)</t>
        </is>
      </c>
      <c r="B9" s="6" t="inlineStr">
        <is>
          <t>Not published</t>
        </is>
      </c>
      <c r="C9" s="6" t="inlineStr">
        <is>
          <t>Not published</t>
        </is>
      </c>
      <c r="D9" s="6" t="inlineStr">
        <is>
          <t>Not published</t>
        </is>
      </c>
      <c r="E9" s="6" t="inlineStr">
        <is>
          <t>4.39%</t>
        </is>
      </c>
      <c r="F9" s="6" t="inlineStr">
        <is>
          <t>0.07%</t>
        </is>
      </c>
    </row>
    <row r="10">
      <c r="A10" s="6" t="inlineStr">
        <is>
          <t>Return on shareholders' funds (as published)</t>
        </is>
      </c>
      <c r="B10" s="6" t="inlineStr">
        <is>
          <t>Not published</t>
        </is>
      </c>
      <c r="C10" s="6" t="inlineStr">
        <is>
          <t>Not published</t>
        </is>
      </c>
      <c r="D10" s="6" t="inlineStr">
        <is>
          <t>Not published</t>
        </is>
      </c>
      <c r="E10" s="6" t="inlineStr">
        <is>
          <t>3.56%</t>
        </is>
      </c>
      <c r="F10" s="6" t="inlineStr">
        <is>
          <t>0.06%</t>
        </is>
      </c>
    </row>
    <row r="11" ht="273" customHeight="1">
      <c r="A11"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average shareholders' funds: “Profit after tax over average shareholders' funds.” Return on equity: the document states no definition, and none is supplied here. Return on shareholders' funds: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FY2021 DOES NOT COVER TWELVE MONTHS, SO IT IS NOT AN ANNUAL RETURN. FY2021 is an 18-month period, 1 July 2020 to 31 December 2021, after the entity's accounting reference date moved from 30 June to 31 December. Reported exactly as originally presented, neither annualised nor restated - the largest period distortion in this corpus at 1.5x a normal year.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FY2009 HAS NO AVERAGE-BASIS RATIO, AND THAT IS CORRECT. An average denominator needs an opening balance, and FY2009 is the oldest column this workbook carries, so there is no prior year to open from. The blank is structural, not a missing figure. The year-end basis is shown for FY2009 because it needs only the closing balance.</t>
        </is>
      </c>
    </row>
    <row r="13" ht="170" customHeight="1">
      <c r="A13" s="9" t="inlineStr">
        <is>
          <t>Computed by this workbook's own build script from the Profit &amp; Loss and Balance Sheet sheets of this same workbook - the Profit &amp; Loss row “profit for the period” and the Balance Sheet rows “total capital and reserves” and “total assets”, resolved BY LABEL at build time through the shared resolver scripts/profitability_rows.py, so this sheet cannot drift from the statements it summarises. Those rows are themselves transcribed from National Bank of Egypt (UK) Limited's Annual Report and Accounts for each year; see the source cells on the Balance Sheet and Profit &amp; Loss sheets for the exact document, page and table behind every input to every percentage above.
The '(as published)' rows are quoted verbatim from National Bank of Egypt (UK) Limited's own disclosures and are recorded, with the exact document, page and verification state for each, in research/profitability/published_returns.jsonl under ‘NATIONAL BANK OF EGYPT UK’.</t>
        </is>
      </c>
    </row>
  </sheetData>
  <mergeCells count="2">
    <mergeCell ref="A13:F13"/>
    <mergeCell ref="A11:F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 (£000s)</t>
        </is>
      </c>
      <c r="B5" s="6" t="n">
        <v>172460</v>
      </c>
      <c r="C5" s="6" t="n">
        <v>170750</v>
      </c>
      <c r="D5" s="6" t="n">
        <v>166857</v>
      </c>
      <c r="E5" s="6" t="n">
        <v>160206</v>
      </c>
    </row>
    <row r="6">
      <c r="A6" s="6" t="inlineStr">
        <is>
          <t>2 Tier 1 capital (£000s)</t>
        </is>
      </c>
      <c r="B6" s="6" t="n">
        <v>172460</v>
      </c>
      <c r="C6" s="6" t="n">
        <v>170750</v>
      </c>
      <c r="D6" s="6" t="n">
        <v>166857</v>
      </c>
      <c r="E6" s="6" t="n">
        <v>160206</v>
      </c>
    </row>
    <row r="7">
      <c r="A7" s="6" t="inlineStr">
        <is>
          <t>3 Total capital (£000s)</t>
        </is>
      </c>
      <c r="B7" s="6" t="n">
        <v>230038</v>
      </c>
      <c r="C7" s="6" t="n">
        <v>201853</v>
      </c>
      <c r="D7" s="6" t="n">
        <v>197905</v>
      </c>
      <c r="E7" s="6" t="n">
        <v>195090</v>
      </c>
    </row>
    <row r="8">
      <c r="A8" s="5" t="inlineStr">
        <is>
          <t>Risk-weighted exposure amounts £000s</t>
        </is>
      </c>
      <c r="B8" s="6" t="n"/>
      <c r="C8" s="6" t="n"/>
      <c r="D8" s="6" t="n"/>
      <c r="E8" s="6" t="n"/>
    </row>
    <row r="9">
      <c r="A9" s="6" t="inlineStr">
        <is>
          <t>4 Total risk-weighted exposure amount (£000s)</t>
        </is>
      </c>
      <c r="B9" s="6" t="n">
        <v>1261174</v>
      </c>
      <c r="C9" s="6" t="n">
        <v>1047061</v>
      </c>
      <c r="D9" s="6" t="n">
        <v>962119</v>
      </c>
      <c r="E9" s="6" t="n">
        <v>951508</v>
      </c>
    </row>
    <row r="10">
      <c r="A10" s="5" t="inlineStr">
        <is>
          <t>Capital ratios (as a percentage of risk-weighted exposure amount)</t>
        </is>
      </c>
      <c r="B10" s="6" t="n"/>
      <c r="C10" s="6" t="n"/>
      <c r="D10" s="6" t="n"/>
      <c r="E10" s="6" t="n"/>
    </row>
    <row r="11">
      <c r="A11" s="6" t="inlineStr">
        <is>
          <t>5 Common Equity Tier 1 ratio (%)</t>
        </is>
      </c>
      <c r="B11" s="6" t="inlineStr">
        <is>
          <t>13.7</t>
        </is>
      </c>
      <c r="C11" s="6" t="inlineStr">
        <is>
          <t>16.31</t>
        </is>
      </c>
      <c r="D11" s="6" t="inlineStr">
        <is>
          <t>17.3</t>
        </is>
      </c>
      <c r="E11" s="6" t="inlineStr">
        <is>
          <t>16.8</t>
        </is>
      </c>
    </row>
    <row r="12">
      <c r="A12" s="6" t="inlineStr">
        <is>
          <t>6 Tier 1 ratio (%)</t>
        </is>
      </c>
      <c r="B12" s="6" t="inlineStr">
        <is>
          <t>13.7</t>
        </is>
      </c>
      <c r="C12" s="6" t="inlineStr">
        <is>
          <t>16.31</t>
        </is>
      </c>
      <c r="D12" s="6" t="inlineStr">
        <is>
          <t>17.3</t>
        </is>
      </c>
      <c r="E12" s="6" t="inlineStr">
        <is>
          <t>16.8</t>
        </is>
      </c>
    </row>
    <row r="13">
      <c r="A13" s="6" t="inlineStr">
        <is>
          <t>7 Total capital ratio (%)</t>
        </is>
      </c>
      <c r="B13" s="6" t="inlineStr">
        <is>
          <t>18.2</t>
        </is>
      </c>
      <c r="C13" s="6" t="inlineStr">
        <is>
          <t>19.28</t>
        </is>
      </c>
      <c r="D13" s="6" t="inlineStr">
        <is>
          <t>20.6</t>
        </is>
      </c>
      <c r="E13" s="6" t="inlineStr">
        <is>
          <t>20.5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2.7</t>
        </is>
      </c>
      <c r="C15" s="6" t="inlineStr">
        <is>
          <t>2.71</t>
        </is>
      </c>
      <c r="D15" s="6" t="inlineStr">
        <is>
          <t>2.7</t>
        </is>
      </c>
      <c r="E15" s="6" t="inlineStr">
        <is>
          <t>2.7</t>
        </is>
      </c>
    </row>
    <row r="16">
      <c r="A16" s="6" t="inlineStr">
        <is>
          <t>UK 7b Additional AT1 SREP requirements (%)</t>
        </is>
      </c>
      <c r="B16" s="6" t="inlineStr">
        <is>
          <t>0.9</t>
        </is>
      </c>
      <c r="C16" s="6" t="inlineStr">
        <is>
          <t>0.91</t>
        </is>
      </c>
      <c r="D16" s="6" t="inlineStr">
        <is>
          <t>0.9</t>
        </is>
      </c>
      <c r="E16" s="6" t="inlineStr">
        <is>
          <t>0.9</t>
        </is>
      </c>
    </row>
    <row r="17">
      <c r="A17" s="6" t="inlineStr">
        <is>
          <t>UK 7c Additional T2 SREP requirements (%)</t>
        </is>
      </c>
      <c r="B17" s="6" t="inlineStr">
        <is>
          <t>1.2</t>
        </is>
      </c>
      <c r="C17" s="6" t="inlineStr">
        <is>
          <t>1.20</t>
        </is>
      </c>
      <c r="D17" s="6" t="inlineStr">
        <is>
          <t>1.2</t>
        </is>
      </c>
      <c r="E17" s="6" t="inlineStr">
        <is>
          <t>1.2</t>
        </is>
      </c>
    </row>
    <row r="18">
      <c r="A18" s="6" t="inlineStr">
        <is>
          <t>UK 7d Total SREP own funds requirements (%)</t>
        </is>
      </c>
      <c r="B18" s="6" t="inlineStr">
        <is>
          <t>12.8</t>
        </is>
      </c>
      <c r="C18" s="6" t="inlineStr">
        <is>
          <t>12.82</t>
        </is>
      </c>
      <c r="D18" s="6" t="inlineStr">
        <is>
          <t>12.9</t>
        </is>
      </c>
      <c r="E18" s="6" t="inlineStr">
        <is>
          <t>12.9</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2.50</t>
        </is>
      </c>
      <c r="D20" s="6" t="inlineStr">
        <is>
          <t>2.5</t>
        </is>
      </c>
      <c r="E20" s="6" t="inlineStr">
        <is>
          <t>2.5</t>
        </is>
      </c>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0.7</t>
        </is>
      </c>
      <c r="C22" s="6" t="inlineStr">
        <is>
          <t>0.33</t>
        </is>
      </c>
      <c r="D22" s="6" t="inlineStr">
        <is>
          <t>0.3</t>
        </is>
      </c>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3.2</t>
        </is>
      </c>
      <c r="C26" s="6" t="inlineStr">
        <is>
          <t>2.83</t>
        </is>
      </c>
      <c r="D26" s="6" t="inlineStr">
        <is>
          <t>2.8</t>
        </is>
      </c>
      <c r="E26" s="6" t="inlineStr">
        <is>
          <t>2.5</t>
        </is>
      </c>
    </row>
    <row r="27">
      <c r="A27" s="6" t="inlineStr">
        <is>
          <t>UK 11a Overall capital requirements (%)</t>
        </is>
      </c>
      <c r="B27" s="6" t="inlineStr">
        <is>
          <t>16.1</t>
        </is>
      </c>
      <c r="C27" s="6" t="inlineStr">
        <is>
          <t>15.65</t>
        </is>
      </c>
      <c r="D27" s="6" t="inlineStr">
        <is>
          <t>15.7</t>
        </is>
      </c>
      <c r="E27" s="6" t="inlineStr">
        <is>
          <t>15.4</t>
        </is>
      </c>
    </row>
    <row r="28">
      <c r="A28" s="6" t="inlineStr">
        <is>
          <t>12 CET1 available after meeting the total SREP own funds requirements (%)</t>
        </is>
      </c>
      <c r="B28" s="6" t="inlineStr">
        <is>
          <t>6.5</t>
        </is>
      </c>
      <c r="C28" s="6" t="inlineStr">
        <is>
          <t>9.10</t>
        </is>
      </c>
      <c r="D28" s="6" t="inlineStr">
        <is>
          <t>10.1</t>
        </is>
      </c>
      <c r="E28" s="6" t="inlineStr">
        <is>
          <t>9.6</t>
        </is>
      </c>
    </row>
    <row r="29">
      <c r="A29" s="5" t="inlineStr">
        <is>
          <t>Leverage ratio</t>
        </is>
      </c>
      <c r="B29" s="6" t="n"/>
      <c r="C29" s="6" t="n"/>
      <c r="D29" s="6" t="n"/>
      <c r="E29" s="6" t="n"/>
    </row>
    <row r="30">
      <c r="A30" s="6" t="inlineStr">
        <is>
          <t>13 Total exposure measure excluding claims on central banks (£000s)</t>
        </is>
      </c>
      <c r="B30" s="6" t="n">
        <v>1866639</v>
      </c>
      <c r="C30" s="6" t="n">
        <v>1469717</v>
      </c>
      <c r="D30" s="6" t="n">
        <v>1382667</v>
      </c>
      <c r="E30" s="6" t="n">
        <v>1611977</v>
      </c>
    </row>
    <row r="31">
      <c r="A31" s="6" t="inlineStr">
        <is>
          <t>14 Leverage ratio excluding claims on central banks (%)</t>
        </is>
      </c>
      <c r="B31" s="6" t="inlineStr">
        <is>
          <t>9.2</t>
        </is>
      </c>
      <c r="C31" s="6" t="inlineStr">
        <is>
          <t>11.6</t>
        </is>
      </c>
      <c r="D31" s="6" t="inlineStr">
        <is>
          <t>12.1</t>
        </is>
      </c>
      <c r="E31" s="6" t="inlineStr">
        <is>
          <t>9.9</t>
        </is>
      </c>
    </row>
    <row r="32">
      <c r="A32" s="5" t="inlineStr">
        <is>
          <t>Additional leverage ratio disclosure requirements</t>
        </is>
      </c>
      <c r="B32" s="6" t="n"/>
      <c r="C32" s="6" t="n"/>
      <c r="D32" s="6" t="n"/>
      <c r="E32" s="6" t="n"/>
    </row>
    <row r="33">
      <c r="A33" s="6" t="inlineStr">
        <is>
          <t>14a Fully loaded ECL accounting model leverage ratio excluding claims on central banks (%)</t>
        </is>
      </c>
      <c r="B33" s="6" t="n"/>
      <c r="C33" s="6" t="n"/>
      <c r="D33" s="6" t="inlineStr">
        <is>
          <t>12.1</t>
        </is>
      </c>
      <c r="E33" s="6" t="inlineStr">
        <is>
          <t>9.9</t>
        </is>
      </c>
    </row>
    <row r="34">
      <c r="A34" s="6" t="inlineStr">
        <is>
          <t>14b Leverage ratio including claims on central banks (%)</t>
        </is>
      </c>
      <c r="B34" s="6" t="inlineStr">
        <is>
          <t>9.2</t>
        </is>
      </c>
      <c r="C34" s="6" t="inlineStr">
        <is>
          <t>11.6</t>
        </is>
      </c>
      <c r="D34" s="6" t="inlineStr">
        <is>
          <t>12.1</t>
        </is>
      </c>
      <c r="E34" s="6" t="inlineStr">
        <is>
          <t>9.9</t>
        </is>
      </c>
    </row>
    <row r="35">
      <c r="A35" s="5" t="inlineStr">
        <is>
          <t>Liquidity Coverage Ratio</t>
        </is>
      </c>
      <c r="B35" s="6" t="n"/>
      <c r="C35" s="6" t="n"/>
      <c r="D35" s="6" t="n"/>
      <c r="E35" s="6" t="n"/>
    </row>
    <row r="36">
      <c r="A36" s="6" t="inlineStr">
        <is>
          <t>15 Total high-quality liquid assets (HQLA) (Weighted value - average) (£000s)</t>
        </is>
      </c>
      <c r="B36" s="6" t="n">
        <v>162904</v>
      </c>
      <c r="C36" s="6" t="n">
        <v>161608</v>
      </c>
      <c r="D36" s="6" t="n">
        <v>170092</v>
      </c>
      <c r="E36" s="6" t="n">
        <v>196635</v>
      </c>
    </row>
    <row r="37">
      <c r="A37" s="6" t="inlineStr">
        <is>
          <t>UK 16a Cash outflows - Total weighted value (£000s)</t>
        </is>
      </c>
      <c r="B37" s="6" t="n">
        <v>166904</v>
      </c>
      <c r="C37" s="6" t="n">
        <v>154826</v>
      </c>
      <c r="D37" s="6" t="n">
        <v>175689</v>
      </c>
      <c r="E37" s="6" t="n">
        <v>265921</v>
      </c>
    </row>
    <row r="38">
      <c r="A38" s="6" t="inlineStr">
        <is>
          <t>UK 16b Cash inflows - Total weighted value (£000s)</t>
        </is>
      </c>
      <c r="B38" s="6" t="n">
        <v>227895</v>
      </c>
      <c r="C38" s="6" t="n">
        <v>374963</v>
      </c>
      <c r="D38" s="6" t="n">
        <v>303103</v>
      </c>
      <c r="E38" s="6" t="n">
        <v>437377</v>
      </c>
    </row>
    <row r="39">
      <c r="A39" s="6" t="inlineStr">
        <is>
          <t>16 Total net cash outflows (adjusted value) (£000s)</t>
        </is>
      </c>
      <c r="B39" s="6" t="n">
        <v>41726</v>
      </c>
      <c r="C39" s="6" t="n">
        <v>38707</v>
      </c>
      <c r="D39" s="6" t="n">
        <v>43922</v>
      </c>
      <c r="E39" s="6" t="n">
        <v>66480</v>
      </c>
    </row>
    <row r="40">
      <c r="A40" s="6" t="inlineStr">
        <is>
          <t>17 Liquidity coverage ratio (%)</t>
        </is>
      </c>
      <c r="B40" s="6" t="inlineStr">
        <is>
          <t>390</t>
        </is>
      </c>
      <c r="C40" s="6" t="inlineStr">
        <is>
          <t>418</t>
        </is>
      </c>
      <c r="D40" s="6" t="inlineStr">
        <is>
          <t>387</t>
        </is>
      </c>
      <c r="E40" s="6" t="inlineStr">
        <is>
          <t>296</t>
        </is>
      </c>
    </row>
    <row r="41">
      <c r="A41" s="5" t="inlineStr">
        <is>
          <t>Net Stable Funding Ratio</t>
        </is>
      </c>
      <c r="B41" s="6" t="n"/>
      <c r="C41" s="6" t="n"/>
      <c r="D41" s="6" t="n"/>
      <c r="E41" s="6" t="n"/>
    </row>
    <row r="42">
      <c r="A42" s="6" t="inlineStr">
        <is>
          <t>18 Total available stable funding (£000s)</t>
        </is>
      </c>
      <c r="B42" s="6" t="n">
        <v>1075320</v>
      </c>
      <c r="C42" s="6" t="n">
        <v>923549</v>
      </c>
      <c r="D42" s="6" t="n">
        <v>811359</v>
      </c>
      <c r="E42" s="6" t="n">
        <v>579930</v>
      </c>
    </row>
    <row r="43">
      <c r="A43" s="6" t="inlineStr">
        <is>
          <t>19 Total required stable funding (£000s)</t>
        </is>
      </c>
      <c r="B43" s="6" t="n">
        <v>715469</v>
      </c>
      <c r="C43" s="6" t="n">
        <v>476002</v>
      </c>
      <c r="D43" s="6" t="n">
        <v>460395</v>
      </c>
      <c r="E43" s="6" t="n">
        <v>428828</v>
      </c>
    </row>
    <row r="44">
      <c r="A44" s="6" t="inlineStr">
        <is>
          <t>20 NSFR ratio (%)</t>
        </is>
      </c>
      <c r="B44" s="6" t="inlineStr">
        <is>
          <t>150</t>
        </is>
      </c>
      <c r="C44" s="6" t="inlineStr">
        <is>
          <t>194</t>
        </is>
      </c>
      <c r="D44" s="6" t="inlineStr">
        <is>
          <t>176</t>
        </is>
      </c>
      <c r="E44" s="6" t="inlineStr">
        <is>
          <t>135</t>
        </is>
      </c>
    </row>
    <row r="46" ht="409" customHeight="1">
      <c r="A46"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t>
        </is>
      </c>
    </row>
    <row r="48" ht="409" customHeight="1">
      <c r="A48" s="9" t="inlineStr">
        <is>
          <t>(continued)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t>
        </is>
      </c>
    </row>
    <row r="50" ht="409" customHeight="1">
      <c r="A50" s="9" t="inlineStr">
        <is>
          <t>(continued)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t>
        </is>
      </c>
    </row>
    <row r="52" ht="409" customHeight="1">
      <c r="A52" s="9" t="inlineStr">
        <is>
          <t>(continued)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t>
        </is>
      </c>
    </row>
    <row r="54" ht="409" customHeight="1">
      <c r="A54" s="9" t="inlineStr">
        <is>
          <t>(continued)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5">
    <mergeCell ref="A50:E50"/>
    <mergeCell ref="A48:E48"/>
    <mergeCell ref="A54:E54"/>
    <mergeCell ref="A52:E52"/>
    <mergeCell ref="A46:E4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104"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70"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t>
        </is>
      </c>
      <c r="B4" s="6" t="inlineStr">
        <is>
          <t>13.7%</t>
        </is>
      </c>
      <c r="C4" s="6" t="inlineStr">
        <is>
          <t>16.31%</t>
        </is>
      </c>
      <c r="D4" s="6" t="inlineStr">
        <is>
          <t>17.3%</t>
        </is>
      </c>
      <c r="E4" s="6" t="inlineStr">
        <is>
          <t>16.8%</t>
        </is>
      </c>
    </row>
    <row r="5" ht="143"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64"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t>
        </is>
      </c>
    </row>
    <row r="9" ht="390" customHeight="1">
      <c r="A9" s="9" t="inlineStr">
        <is>
          <t>(continued)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t>
        </is>
      </c>
    </row>
    <row r="11" ht="312" customHeight="1">
      <c r="A11" s="9" t="inlineStr">
        <is>
          <t>(continued)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t>
        </is>
      </c>
    </row>
    <row r="13" ht="364" customHeight="1">
      <c r="A13" s="9" t="inlineStr">
        <is>
          <t>(continued)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t>
        </is>
      </c>
    </row>
    <row r="15" ht="170" customHeight="1">
      <c r="A15" s="9" t="inlineStr">
        <is>
          <t>(continued)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6">
    <mergeCell ref="A15:E15"/>
    <mergeCell ref="A7:E7"/>
    <mergeCell ref="A11:E11"/>
    <mergeCell ref="A5:E5"/>
    <mergeCell ref="A13:E13"/>
    <mergeCell ref="A9:E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78"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70"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13.7%</t>
        </is>
      </c>
      <c r="C4" s="6" t="inlineStr">
        <is>
          <t>16.31%</t>
        </is>
      </c>
      <c r="D4" s="6" t="inlineStr">
        <is>
          <t>17.3%</t>
        </is>
      </c>
      <c r="E4" s="6" t="inlineStr">
        <is>
          <t>16.8%</t>
        </is>
      </c>
    </row>
    <row r="5" ht="13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64"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t>
        </is>
      </c>
    </row>
    <row r="9" ht="390" customHeight="1">
      <c r="A9" s="9" t="inlineStr">
        <is>
          <t>(continued)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t>
        </is>
      </c>
    </row>
    <row r="11" ht="312" customHeight="1">
      <c r="A11" s="9" t="inlineStr">
        <is>
          <t>(continued)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t>
        </is>
      </c>
    </row>
    <row r="13" ht="364" customHeight="1">
      <c r="A13" s="9" t="inlineStr">
        <is>
          <t>(continued)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t>
        </is>
      </c>
    </row>
    <row r="15" ht="170" customHeight="1">
      <c r="A15" s="9" t="inlineStr">
        <is>
          <t>(continued)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6">
    <mergeCell ref="A15:E15"/>
    <mergeCell ref="A7:E7"/>
    <mergeCell ref="A11:E11"/>
    <mergeCell ref="A5:E5"/>
    <mergeCell ref="A13:E13"/>
    <mergeCell ref="A9:E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91"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70"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156"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70"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143"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70"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9"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row>
    <row r="4">
      <c r="A4" s="6" t="inlineStr">
        <is>
          <t>Leverage ratio - excluding and including claims on central banks are identical where both are disclosed (FY2025 UK KM1 rows 14 and 14b both print 9.2%); see note</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row>
    <row r="5" ht="182"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t>
        </is>
      </c>
    </row>
    <row r="9" ht="377" customHeight="1">
      <c r="A9" s="9" t="inlineStr">
        <is>
          <t>(continued)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t>
        </is>
      </c>
    </row>
    <row r="11" ht="377" customHeight="1">
      <c r="A11" s="9" t="inlineStr">
        <is>
          <t>(continued)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5:I5"/>
    <mergeCell ref="A9:I9"/>
    <mergeCell ref="A11:I11"/>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row>
    <row r="4">
      <c r="A4" s="6" t="inlineStr">
        <is>
          <t>Liquidity coverage ratio (12-month average, UK CRR basis)</t>
        </is>
      </c>
      <c r="B4" s="6" t="inlineStr">
        <is>
          <t>390.41%</t>
        </is>
      </c>
      <c r="C4" s="6" t="inlineStr">
        <is>
          <t>418%</t>
        </is>
      </c>
      <c r="D4" s="6" t="inlineStr">
        <is>
          <t>387%</t>
        </is>
      </c>
      <c r="E4" s="6" t="inlineStr">
        <is>
          <t>296%</t>
        </is>
      </c>
      <c r="F4" s="6" t="inlineStr">
        <is>
          <t>Not disclosed - FY2021 P3 s.5 (p.11) is prose only, no figure printed</t>
        </is>
      </c>
      <c r="G4" s="6" t="n"/>
      <c r="H4" s="6" t="n"/>
      <c r="I4" s="6" t="n"/>
      <c r="J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inlineStr">
        <is>
          <t>Not available - no 30/06/2014 edition; FY2015 table is single-column</t>
        </is>
      </c>
      <c r="J5" s="6" t="inlineStr">
        <is>
          <t>422%</t>
        </is>
      </c>
    </row>
    <row r="6" ht="364"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IS NOT QUANTIFIED ANYWHERE, and that was tested properly on 2026-09-18 rather than left as 'not located'. The FY2021 Pillar 3 (31 December 2021) was re-downloaded and read: its Section 5 'LIQUIDITY RISK' on printed p.11 is four paragraphs of prose with no table and no number, ending 'The LCR is comfortably above the minimum regulatory requirements and conforms to best practice standards' - an explicit refusal to state the figure, not an omission. The FY2022 edition's Section 5 does the same for both ratios ('The LCR of the Bank is comfortably above...', 'The NSFR is also comfortably above...'), so the neighbouring edition cannot supply it either, and the FY2023 edition's UK KM1 carries a 31/12/2022 comparative column only. FY2021 is the 18-month period ended 31 December 2021 and no KM1 was published for it at all. FY2014 is likewise unobtainable rather than merely unfound: the whole nbeuk.com domain was enumerated via Wayback CDX on 2026-09-18 (888 captured URLs, archive up and answering) and the only Pillar 3 editions ever captured are 30/06/2010, 30/06/2015, the undated /eng/pdf/mak16139-Pillar_3.pdf already cited here, 30/06/2017, 30/06/2018, 30/06/2019, 30/06/2020 and the December editions from 2021 on - there is no 30 June 2014 edition in the index, and the 30/06/2015 edition's Section 5 liquidity table was re-read at 200 dpi and is single-column (30 June 2015 only), unlike that same document's counterparty, provisions and exposure tables, which all print a 30/06/2014 comparative. So the FY2014 blank is a genuine absence in every document that can be reached, with the question of whether a 30 June 2014 edition was ever published left open.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RE-VERIFIED INDEPENDENTLY 2026-09-19, AND THE TWO BLANKS NOW SAY WHAT THEY ARE. (a) FY2021: the 31 December 2021 Pillar 3 was re-downloaded from the Bank's own site and re-read from the document, not from this note. The first attempt returned HTTP 403 with a bare 'Mozilla/5.0'; a full browser header set with a Referer returned HTTP 200, Content-Type application/pdf, %PDF magic bytes, 456,363 bytes - recorded because a 403 here is a fact about the request, never about the Bank. Extracted text is native (72,161 characters; richness control 418 occurrences of ' the '). Section 5 'LIQUIDITY RISK' on printed p.11 runs four paragraphs and ends, verbatim: 'The LCR is comfortably above the minimum regulatory requirements and conforms to best practice standards.' No table, no number. The string 'NSFR' occurs ONCE in the whole document, in a sentence about which daily reports the Financial Control team issues. So the FY2021 absence is the Bank declining to state a figure it plainly computes - outcome 'never published', and the cell says so rather than standing empty. (b) FY2014: the nbeuk.com domain was re-enumerated by Wayback CDX and now returns 972 captured URLs (up from 888 last year - the archive is live and answering, which is the positive control). Sixteen of them are Pillar 3 or Basel artefacts, and the edition list is unchanged: 30/06/2010, 30/06/2015, the undated mak16139 file, a 404-status capture of a 30/06/2016 filename, 30/06/2017, 2018, 30/06/2019, 30/06/2020 and the December editions from 2021 on. There is still no 30 June 2014 edition anywhere. The WordPress media REST endpoint - the one route that can list UNLINKED uploads - is blocked on this host (HTTP 401, 'itsec_rest_api_access_restricted', Kadence Security), so that rung was tried and failed and is reported as a limit rather than a result. FY2014 therefore stays classified UNREACHED, not never-published: its cell reads 'Not available', deliberately different wording from FY2021's, because the two are different findings.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377"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t>
        </is>
      </c>
    </row>
    <row r="10" ht="377" customHeight="1">
      <c r="A10" s="9" t="inlineStr">
        <is>
          <t>(continued)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t>
        </is>
      </c>
    </row>
    <row r="12" ht="377" customHeight="1">
      <c r="A12" s="9" t="inlineStr">
        <is>
          <t>(continued)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6:J6"/>
    <mergeCell ref="A12:J12"/>
    <mergeCell ref="A10:J10"/>
    <mergeCell ref="A8:J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inlineStr">
        <is>
          <t>Not applicable - UK NSFR began 1 Jan 2022; FY2021 P3 prints no figure</t>
        </is>
      </c>
      <c r="G4" s="6" t="inlineStr">
        <is>
          <t>Not applicable – this row is the UK CRR NSFR, in force from 1 Jan 2022 (PRA PS17/21); pre-2022 editions print only a Basel observation-period NFSR, carried on the row below where printed</t>
        </is>
      </c>
      <c r="H4" s="6" t="inlineStr">
        <is>
          <t>Not applicable – this row is the UK CRR NSFR, in force from 1 Jan 2022 (PRA PS17/21); pre-2022 editions print only a Basel observation-period NFSR, carried on the row below where printed</t>
        </is>
      </c>
      <c r="I4" s="6" t="inlineStr">
        <is>
          <t>Not applicable – this row is the UK CRR NSFR, in force from 1 Jan 2022 (PRA PS17/21); pre-2022 editions print only a Basel observation-period NFSR, carried on the row below where printed</t>
        </is>
      </c>
      <c r="J4" s="6" t="inlineStr">
        <is>
          <t>Not applicable – this row is the UK CRR NSFR, in force from 1 Jan 2022 (PRA PS17/21); pre-2022 editions print only a Basel observation-period NFSR, carried on the row below where printed</t>
        </is>
      </c>
      <c r="K4" s="6" t="inlineStr">
        <is>
          <t>Not applicable – this row is the UK CRR NSFR, in force from 1 Jan 2022 (PRA PS17/21); pre-2022 editions print only a Basel observation-period NFSR, carried on the row below where printed</t>
        </is>
      </c>
      <c r="L4" s="6" t="inlineStr">
        <is>
          <t>Not applicable – this row is the UK CRR NSFR, in force from 1 Jan 2022 (PRA PS17/21); pre-2022 editions print only a Basel observation-period NFSR, carried on the row below where printed</t>
        </is>
      </c>
      <c r="M4" s="6" t="inlineStr">
        <is>
          <t>Not applicable – this row is the UK CRR NSFR, in force from 1 Jan 2022 (PRA PS17/21); pre-2022 editions print only a Basel observation-period NFSR, carried on the row below where printed</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182"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is not quantified anywhere, and there are two reasons rather than one - the structural reason and a documentary one, both checked 2026-09-18. Structurally, the UK had no NSFR requirement or disclosure template before 1 January 2022, and FY2021 is the 18-month period ended 31 December 2021. Documentarily, the FY2021 Pillar 3's Section 5 (printed p.11) is prose with no figures at all, the FY2022 edition's equivalent section says only 'The NSFR is also comfortably above the minimum regulatory requirements', and the FY2023 edition's UK KM1 prints a 31/12/2022 comparative column and nothing earlier. So there is no NSFR figure to recover for FY2021 from any edition, and the cell stays blank. FY2017 is marked Not applicable on the same structural ground, and the FY2017 Pillar 3 confirms it directly: the NSFR was then on an 'observation period' with no figure disclosed. UPDATED 2026-09-19: FY2021 no longer stands BLANK - it now carries the same 'Not applicable' statement as FY2017 and earlier, with its own reason, because a blank cell cannot distinguish an established finding from a cell nobody examined and this one is established twice over. The structural half: the UK NSFR requirement began 1 January 2022 and FY2021 is the 18-month period ended 31 December 2021, one day before it. The documentary half, re-checked from the document today rather than from this note: the 31 December 2021 Pillar 3 was re-fetched (HTTP 200, application/pdf, %PDF, 456,363 bytes, 72,161 characters of native text, 418 occurrences of ' the ' as the richness control) and the string 'NSFR' appears ONCE in the entire document - in a sentence listing the daily reports the Financial Control team issues - with no figure anywhere. See the LCR sheet's note for the full re-verification, including the HTTP 403 that the first fetch attempt returned and which a fuller header set cleared.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39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10" ht="403" customHeight="1">
      <c r="A10"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2" ht="170" customHeight="1">
      <c r="A12"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8:M8"/>
    <mergeCell ref="A6:M6"/>
    <mergeCell ref="A10:M10"/>
    <mergeCell ref="A12:M1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published – NBE UK FY2025 Pillar 3 (full text searched 2026-09-19) contains no MREL figure or reference to MREL, loss-absorbing capacity or eligible liabilities</t>
        </is>
      </c>
      <c r="C4" s="6" t="inlineStr">
        <is>
          <t>Not published – NBE UK FY2024 Pillar 3 (full text searched 2026-09-19) contains no MREL figure or reference to MREL, loss-absorbing capacity or eligible liabilities</t>
        </is>
      </c>
      <c r="D4" s="6" t="inlineStr">
        <is>
          <t>Not published – NBE UK FY2023 Pillar 3 (full text searched 2026-09-19) contains no MREL figure or reference to MREL, loss-absorbing capacity or eligible liabilities</t>
        </is>
      </c>
      <c r="E4" s="6" t="inlineStr">
        <is>
          <t>Not published – NBE UK FY2022 Pillar 3 (full text searched 2026-09-19) contains no MREL figure or reference to MREL, loss-absorbing capacity or eligible liabilities</t>
        </is>
      </c>
      <c r="F4" s="6" t="inlineStr">
        <is>
          <t>Not published – NBE UK FY2021 Pillar 3 (full text searched 2026-09-19) contains no MREL figure or reference to MREL, loss-absorbing capacity or eligible liabilities</t>
        </is>
      </c>
      <c r="G4" s="6" t="inlineStr">
        <is>
          <t>Not published – NBE UK FY2017 Pillar 3 (full text searched 2026-09-19) contains no MREL figure or reference to MREL, loss-absorbing capacity or eligible liabilities</t>
        </is>
      </c>
      <c r="H4" s="6" t="inlineStr">
        <is>
          <t>Not published – NBE UK FY2015 Pillar 3 (full text searched 2026-09-19) contains no MREL figure or reference to MREL, loss-absorbing capacity or eligible liabilities</t>
        </is>
      </c>
      <c r="I4" s="6" t="inlineStr">
        <is>
          <t>Not applicable – MREL did not exist for a period ending 30 June 2014: it was created by the BRRD (Directive 2014/59/EU), transposed in the UK from 1 January 2015</t>
        </is>
      </c>
      <c r="J4" s="6" t="inlineStr">
        <is>
          <t>Not applicable – MREL did not exist for a period ending 30 June 2013: it was created by the BRRD (Directive 2014/59/EU), transposed in the UK from 1 January 2015</t>
        </is>
      </c>
      <c r="K4" s="6" t="inlineStr">
        <is>
          <t>Not applicable – MREL did not exist for a period ending 30 June 2012: it was created by the BRRD (Directive 2014/59/EU), transposed in the UK from 1 January 2015</t>
        </is>
      </c>
      <c r="L4" s="6" t="inlineStr">
        <is>
          <t>Not applicable – MREL did not exist for a period ending 30 June 2010: it was created by the BRRD (Directive 2014/59/EU), transposed in the UK from 1 January 2015</t>
        </is>
      </c>
      <c r="M4" s="6" t="inlineStr">
        <is>
          <t>Not applicable – MREL did not exist for a period ending 30 June 2009: it was created by the BRRD (Directive 2014/59/EU), transposed in the UK from 1 January 2015</t>
        </is>
      </c>
    </row>
    <row r="5" ht="3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39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t>
        </is>
      </c>
    </row>
    <row r="9" ht="403" customHeight="1">
      <c r="A9" s="9" t="inlineStr">
        <is>
          <t>(continued)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t>
        </is>
      </c>
    </row>
    <row r="11" ht="169" customHeight="1">
      <c r="A11" s="9" t="inlineStr">
        <is>
          <t>(continued)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4">
    <mergeCell ref="A11:M11"/>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2026-10-26T09:36:11Z</dcterms:created>
  <dcterms:modified xmlns:dcterms="http://purl.org/dc/terms/" xmlns:xsi="http://www.w3.org/2001/XMLSchema-instance" xsi:type="dcterms:W3CDTF">2026-10-26T09:36:11Z</dcterms:modified>
</cp:coreProperties>
</file>