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42</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National Bank of Egypt (UK) Limited — Overview</t>
        </is>
      </c>
    </row>
    <row r="2">
      <c r="A2" s="2" t="inlineStr">
        <is>
          <t>Summary of cash flow and Pillar 3 disclosures across all years covered in this workbook</t>
        </is>
      </c>
    </row>
    <row r="4">
      <c r="A4" s="3" t="inlineStr">
        <is>
          <t>Cash Flow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generated/(used) from operating activities</t>
        </is>
      </c>
      <c r="B6" s="5" t="n">
        <v>101280910</v>
      </c>
      <c r="C6" s="5" t="n">
        <v>-44497653</v>
      </c>
      <c r="D6" s="5" t="n">
        <v>-110688337</v>
      </c>
      <c r="E6" s="5" t="n">
        <v>-91172027</v>
      </c>
      <c r="F6" s="5" t="n">
        <v>5256681</v>
      </c>
      <c r="I6" t="inlineStr">
        <is>
          <t>Net cash generated/(used) from operating activities</t>
        </is>
      </c>
      <c r="J6" t="n">
        <v>5256681</v>
      </c>
      <c r="K6" t="n">
        <v>-91172027</v>
      </c>
      <c r="L6" t="n">
        <v>-110688337</v>
      </c>
      <c r="M6" t="n">
        <v>-44497653</v>
      </c>
      <c r="N6" t="n">
        <v>101280910</v>
      </c>
      <c r="Q6" t="inlineStr">
        <is>
          <t>CET1 Ratio</t>
        </is>
      </c>
      <c r="S6" t="n">
        <v>16.8</v>
      </c>
      <c r="T6" t="n">
        <v>17.3</v>
      </c>
      <c r="U6" t="n">
        <v>16.31</v>
      </c>
    </row>
    <row r="7">
      <c r="A7" s="5" t="inlineStr">
        <is>
          <t>Net cash generated/(used) from investing activities</t>
        </is>
      </c>
      <c r="B7" s="5" t="n">
        <v>-122997984</v>
      </c>
      <c r="C7" s="5" t="n">
        <v>21089132</v>
      </c>
      <c r="D7" s="5" t="n">
        <v>-16905485</v>
      </c>
      <c r="E7" s="5" t="n">
        <v>83292813</v>
      </c>
      <c r="F7" s="5" t="n">
        <v>-5782456</v>
      </c>
      <c r="I7" t="inlineStr">
        <is>
          <t>Net cash generated/(used) from investing activities</t>
        </is>
      </c>
      <c r="J7" t="n">
        <v>-5782456</v>
      </c>
      <c r="K7" t="n">
        <v>83292813</v>
      </c>
      <c r="L7" t="n">
        <v>-16905485</v>
      </c>
      <c r="M7" t="n">
        <v>21089132</v>
      </c>
      <c r="N7" t="n">
        <v>-122997984</v>
      </c>
      <c r="Q7" t="inlineStr">
        <is>
          <t>Total Capital Ratio</t>
        </is>
      </c>
      <c r="R7" t="n">
        <v>15.15</v>
      </c>
      <c r="S7" t="n">
        <v>20.54</v>
      </c>
      <c r="T7" t="n">
        <v>20.6</v>
      </c>
      <c r="U7" t="n">
        <v>19.28</v>
      </c>
    </row>
    <row r="8">
      <c r="A8" s="5" t="inlineStr">
        <is>
          <t>Net cash generated/(used) in financing activities</t>
        </is>
      </c>
      <c r="B8" s="5" t="n">
        <v>27813180</v>
      </c>
      <c r="C8" s="5" t="n">
        <v>-2299886</v>
      </c>
      <c r="D8" s="5" t="n">
        <v>-4776099</v>
      </c>
      <c r="E8" s="5" t="n">
        <v>-2491694</v>
      </c>
      <c r="F8" s="5" t="n">
        <v>0</v>
      </c>
      <c r="I8" t="inlineStr">
        <is>
          <t>Net cash generated/(used) in financing activities</t>
        </is>
      </c>
      <c r="J8" t="n">
        <v>0</v>
      </c>
      <c r="K8" t="n">
        <v>-2491694</v>
      </c>
      <c r="L8" t="n">
        <v>-4776099</v>
      </c>
      <c r="M8" t="n">
        <v>-2299886</v>
      </c>
      <c r="N8" t="n">
        <v>27813180</v>
      </c>
      <c r="Q8" t="inlineStr">
        <is>
          <t>Leverage Ratio</t>
        </is>
      </c>
      <c r="R8" t="n">
        <v>12.47</v>
      </c>
      <c r="S8" t="n">
        <v>11.65</v>
      </c>
      <c r="T8" t="n">
        <v>12.1</v>
      </c>
      <c r="U8" t="n">
        <v>11.6</v>
      </c>
    </row>
    <row r="9">
      <c r="A9" s="5" t="inlineStr">
        <is>
          <t>Cash and cash equivalents at end of year</t>
        </is>
      </c>
      <c r="B9" s="5" t="n">
        <v>276757036</v>
      </c>
      <c r="C9" s="5" t="n">
        <v>286126277</v>
      </c>
      <c r="D9" s="5" t="n">
        <v>308342852</v>
      </c>
      <c r="E9" s="5" t="n">
        <v>43356127</v>
      </c>
      <c r="F9" s="5" t="n">
        <v>53727035</v>
      </c>
      <c r="I9" t="inlineStr">
        <is>
          <t>Cash and cash equivalents at end of year</t>
        </is>
      </c>
      <c r="J9" t="n">
        <v>53727035</v>
      </c>
      <c r="K9" t="n">
        <v>43356127</v>
      </c>
      <c r="L9" t="n">
        <v>308342852</v>
      </c>
      <c r="M9" t="n">
        <v>286126277</v>
      </c>
      <c r="N9" t="n">
        <v>276757036</v>
      </c>
      <c r="Q9" t="inlineStr">
        <is>
          <t>LCR</t>
        </is>
      </c>
      <c r="S9" t="n">
        <v>296</v>
      </c>
      <c r="T9" t="n">
        <v>387</v>
      </c>
      <c r="U9" t="n">
        <v>418</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inlineStr">
        <is>
          <t>16.31%</t>
        </is>
      </c>
      <c r="D13" s="6" t="inlineStr">
        <is>
          <t>17.3%</t>
        </is>
      </c>
      <c r="E13" s="6" t="inlineStr">
        <is>
          <t>16.8%</t>
        </is>
      </c>
      <c r="F13" s="6" t="n"/>
    </row>
    <row r="14">
      <c r="A14" s="6" t="inlineStr">
        <is>
          <t>Total Capital Ratio</t>
        </is>
      </c>
      <c r="B14" s="6" t="n"/>
      <c r="C14" s="6" t="inlineStr">
        <is>
          <t>19.28%</t>
        </is>
      </c>
      <c r="D14" s="6" t="inlineStr">
        <is>
          <t>20.6%</t>
        </is>
      </c>
      <c r="E14" s="6" t="inlineStr">
        <is>
          <t>20.54%</t>
        </is>
      </c>
      <c r="F14" s="6" t="inlineStr">
        <is>
          <t>15.15%</t>
        </is>
      </c>
    </row>
    <row r="15">
      <c r="A15" s="6" t="inlineStr">
        <is>
          <t>Leverage Ratio</t>
        </is>
      </c>
      <c r="B15" s="6" t="n"/>
      <c r="C15" s="6" t="inlineStr">
        <is>
          <t>11.6%</t>
        </is>
      </c>
      <c r="D15" s="6" t="inlineStr">
        <is>
          <t>12.1%</t>
        </is>
      </c>
      <c r="E15" s="6" t="inlineStr">
        <is>
          <t>11.65%</t>
        </is>
      </c>
      <c r="F15" s="6" t="inlineStr">
        <is>
          <t>12.47%</t>
        </is>
      </c>
    </row>
    <row r="16">
      <c r="A16" s="6" t="inlineStr">
        <is>
          <t>LCR</t>
        </is>
      </c>
      <c r="B16" s="6" t="n"/>
      <c r="C16" s="6" t="inlineStr">
        <is>
          <t>418%</t>
        </is>
      </c>
      <c r="D16" s="6" t="inlineStr">
        <is>
          <t>387%</t>
        </is>
      </c>
      <c r="E16" s="6" t="inlineStr">
        <is>
          <t>296%</t>
        </is>
      </c>
      <c r="F16" s="6" t="n"/>
    </row>
    <row r="18" ht="45" customHeight="1">
      <c r="A18"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101280910</v>
      </c>
      <c r="C5" s="5" t="n">
        <v>-44497653</v>
      </c>
      <c r="D5" s="5" t="n">
        <v>-110688337</v>
      </c>
      <c r="E5" s="5" t="n">
        <v>-91172027</v>
      </c>
      <c r="F5" s="5" t="n">
        <v>5256681</v>
      </c>
    </row>
    <row r="6">
      <c r="A6" s="5" t="inlineStr">
        <is>
          <t>Investing activities</t>
        </is>
      </c>
      <c r="B6" s="6" t="n"/>
      <c r="C6" s="6" t="n"/>
      <c r="D6" s="6" t="n"/>
      <c r="E6" s="6" t="n"/>
      <c r="F6" s="6" t="n"/>
    </row>
    <row r="7">
      <c r="A7" s="5" t="inlineStr">
        <is>
          <t>Net cash generated/(used) from investing activities</t>
        </is>
      </c>
      <c r="B7" s="5" t="n">
        <v>-122997984</v>
      </c>
      <c r="C7" s="5" t="n">
        <v>21089132</v>
      </c>
      <c r="D7" s="5" t="n">
        <v>-16905485</v>
      </c>
      <c r="E7" s="5" t="n">
        <v>83292813</v>
      </c>
      <c r="F7" s="5" t="n">
        <v>-5782456</v>
      </c>
    </row>
    <row r="8">
      <c r="A8" s="5" t="inlineStr">
        <is>
          <t>Financing activities</t>
        </is>
      </c>
      <c r="B8" s="6" t="n"/>
      <c r="C8" s="6" t="n"/>
      <c r="D8" s="6" t="n"/>
      <c r="E8" s="6" t="n"/>
      <c r="F8" s="6" t="n"/>
    </row>
    <row r="9">
      <c r="A9" s="5" t="inlineStr">
        <is>
          <t>Net cash generated/(used) in financing activities</t>
        </is>
      </c>
      <c r="B9" s="5" t="n">
        <v>27813180</v>
      </c>
      <c r="C9" s="5" t="n">
        <v>-2299886</v>
      </c>
      <c r="D9" s="5" t="n">
        <v>-4776099</v>
      </c>
      <c r="E9" s="5" t="n">
        <v>-2491694</v>
      </c>
      <c r="F9" s="5" t="n">
        <v>0</v>
      </c>
    </row>
    <row r="10">
      <c r="A10" s="5" t="inlineStr">
        <is>
          <t>Net decrease/(increase) in cash and cash equivalents</t>
        </is>
      </c>
      <c r="B10" s="5" t="n">
        <v>6096106</v>
      </c>
      <c r="C10" s="5" t="n">
        <v>-25708407</v>
      </c>
      <c r="D10" s="5" t="n">
        <v>-132369921</v>
      </c>
      <c r="E10" s="5" t="n">
        <v>-10370908</v>
      </c>
      <c r="F10" s="5" t="n">
        <v>-525775</v>
      </c>
    </row>
    <row r="11">
      <c r="A11" s="6" t="inlineStr">
        <is>
          <t>Cash and cash equivalents at the beginning of year</t>
        </is>
      </c>
      <c r="B11" s="6" t="n">
        <v>286126277</v>
      </c>
      <c r="C11" s="6" t="n">
        <v>308342852</v>
      </c>
      <c r="D11" s="6" t="n">
        <v>459632745</v>
      </c>
      <c r="E11" s="6" t="n">
        <v>53727035</v>
      </c>
      <c r="F11" s="6" t="n">
        <v>54252810</v>
      </c>
    </row>
    <row r="12">
      <c r="A12" s="6" t="inlineStr">
        <is>
          <t>Effect of foreign exchange rate changes</t>
        </is>
      </c>
      <c r="B12" s="6" t="n">
        <v>-15465348</v>
      </c>
      <c r="C12" s="6" t="n">
        <v>3491832</v>
      </c>
      <c r="D12" s="6" t="n">
        <v>-18919972</v>
      </c>
      <c r="E12" s="6" t="n"/>
      <c r="F12" s="6" t="n"/>
    </row>
    <row r="13">
      <c r="A13" s="5" t="inlineStr">
        <is>
          <t>Cash and cash equivalents at the end of year</t>
        </is>
      </c>
      <c r="B13" s="5" t="n">
        <v>276757036</v>
      </c>
      <c r="C13" s="5" t="n">
        <v>286126277</v>
      </c>
      <c r="D13" s="5" t="n">
        <v>308342852</v>
      </c>
      <c r="E13" s="5" t="n">
        <v>43356127</v>
      </c>
      <c r="F13" s="5" t="n">
        <v>53727035</v>
      </c>
    </row>
    <row r="15" ht="190" customHeight="1">
      <c r="A15" s="8"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 Tier 1 capital</t>
        </is>
      </c>
      <c r="B4" s="6" t="n"/>
      <c r="C4" s="6" t="n">
        <v>170750</v>
      </c>
      <c r="D4" s="6" t="n">
        <v>166857</v>
      </c>
      <c r="E4" s="6" t="n">
        <v>160206</v>
      </c>
      <c r="F4" s="6" t="n">
        <v>154505</v>
      </c>
    </row>
    <row r="5" ht="60" customHeight="1">
      <c r="A5" s="7" t="inlineStr">
        <is>
          <t>Note: FY2021–FY2022 source tables report Tier 1 capital; no AT1 instruments are disclosed, so it is used as CET1. FY2025 not disclosed.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16.31%</t>
        </is>
      </c>
      <c r="D4" s="6" t="inlineStr">
        <is>
          <t>17.3%</t>
        </is>
      </c>
      <c r="E4" s="6" t="inlineStr">
        <is>
          <t>16.8%</t>
        </is>
      </c>
      <c r="F4" s="6" t="n"/>
    </row>
    <row r="5" ht="60" customHeight="1">
      <c r="A5" s="7" t="inlineStr">
        <is>
          <t>Note: FY2021 standalone CET1 ratio was not separately stated and is left blank rather than substituting the reported leverage ratio.</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170750</v>
      </c>
      <c r="D4" s="6" t="n">
        <v>166857</v>
      </c>
      <c r="E4" s="6" t="n">
        <v>160206</v>
      </c>
      <c r="F4" s="6" t="n">
        <v>154505</v>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16.31%</t>
        </is>
      </c>
      <c r="D4" s="6" t="inlineStr">
        <is>
          <t>17.3%</t>
        </is>
      </c>
      <c r="E4" s="6" t="inlineStr">
        <is>
          <t>16.8%</t>
        </is>
      </c>
      <c r="F4" s="6" t="n"/>
    </row>
    <row r="5" ht="60" customHeight="1">
      <c r="A5" s="7" t="inlineStr">
        <is>
          <t>Note: FY2021 standalone Tier 1 ratio was not separately stated; the reported 12.47% leverage ratio is kept only on the Leverage Ratio sheet.</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c r="C4" s="6" t="n">
        <v>201853</v>
      </c>
      <c r="D4" s="6" t="n">
        <v>197905</v>
      </c>
      <c r="E4" s="6" t="n">
        <v>195475</v>
      </c>
      <c r="F4" s="6" t="n">
        <v>187789</v>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 capital adequacy ratio</t>
        </is>
      </c>
      <c r="B4" s="6" t="n"/>
      <c r="C4" s="6" t="inlineStr">
        <is>
          <t>19.28%</t>
        </is>
      </c>
      <c r="D4" s="6" t="inlineStr">
        <is>
          <t>20.6%</t>
        </is>
      </c>
      <c r="E4" s="6" t="inlineStr">
        <is>
          <t>20.54%</t>
        </is>
      </c>
      <c r="F4" s="6" t="inlineStr">
        <is>
          <t>15.15%</t>
        </is>
      </c>
    </row>
    <row r="5" ht="60" customHeight="1">
      <c r="A5" s="7" t="inlineStr">
        <is>
          <t>Note: The older reports label this capital adequacy/total capital ratio and use their stated regulatory denominator; values are not recalculated.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 / RWA</t>
        </is>
      </c>
      <c r="B4" s="6" t="n"/>
      <c r="C4" s="6" t="n">
        <v>1047061</v>
      </c>
      <c r="D4" s="6" t="n">
        <v>962119</v>
      </c>
      <c r="E4" s="6" t="n">
        <v>906134</v>
      </c>
      <c r="F4" s="6" t="n">
        <v>779381</v>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11.6%</t>
        </is>
      </c>
      <c r="D4" s="6" t="inlineStr">
        <is>
          <t>12.1%</t>
        </is>
      </c>
      <c r="E4" s="6" t="inlineStr">
        <is>
          <t>11.65%</t>
        </is>
      </c>
      <c r="F4" s="6" t="inlineStr">
        <is>
          <t>12.47%</t>
        </is>
      </c>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(average)</t>
        </is>
      </c>
      <c r="B4" s="6" t="n"/>
      <c r="C4" s="6" t="inlineStr">
        <is>
          <t>418%</t>
        </is>
      </c>
      <c r="D4" s="6" t="inlineStr">
        <is>
          <t>387%</t>
        </is>
      </c>
      <c r="E4" s="6" t="inlineStr">
        <is>
          <t>296%</t>
        </is>
      </c>
      <c r="F4" s="6" t="n"/>
    </row>
    <row r="5" ht="60" customHeight="1">
      <c r="A5" s="7" t="inlineStr">
        <is>
          <t>Note: FY2021 average LCR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(average)</t>
        </is>
      </c>
      <c r="B4" s="6" t="n"/>
      <c r="C4" s="6" t="inlineStr">
        <is>
          <t>194%</t>
        </is>
      </c>
      <c r="D4" s="6" t="inlineStr">
        <is>
          <t>176%</t>
        </is>
      </c>
      <c r="E4" s="6" t="inlineStr">
        <is>
          <t>135%</t>
        </is>
      </c>
      <c r="F4" s="6" t="n"/>
    </row>
    <row r="5" ht="60" customHeight="1">
      <c r="A5" s="7" t="inlineStr">
        <is>
          <t>Note: FY2021 NSFR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was disclosed in the located annual Pillar 3 documents.</t>
        </is>
      </c>
    </row>
    <row r="7" ht="15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2026-08-29T13:40:49Z</dcterms:created>
  <dcterms:modified xmlns:dcterms="http://purl.org/dc/terms/" xmlns:xsi="http://www.w3.org/2001/XMLSchema-instance" xsi:type="dcterms:W3CDTF">2026-08-29T13:40:49Z</dcterms:modified>
</cp:coreProperties>
</file>