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'Overview'!$Q$5:$V$5</f>
            </numRef>
          </cat>
          <val>
            <numRef>
              <f>'Overview'!$Q$6:$V$6</f>
            </numRef>
          </val>
        </ser>
        <ser>
          <idx val="1"/>
          <order val="1"/>
          <tx>
            <strRef>
              <f>'Overview'!P7</f>
            </strRef>
          </tx>
          <spPr>
            <a:ln xmlns:a="http://schemas.openxmlformats.org/drawingml/2006/main">
              <a:prstDash val="solid"/>
            </a:ln>
          </spPr>
          <cat>
            <numRef>
              <f>'Overview'!$Q$5:$V$5</f>
            </numRef>
          </cat>
          <val>
            <numRef>
              <f>'Overview'!$Q$7:$V$7</f>
            </numRef>
          </val>
        </ser>
        <ser>
          <idx val="2"/>
          <order val="2"/>
          <tx>
            <strRef>
              <f>'Overview'!P8</f>
            </strRef>
          </tx>
          <spPr>
            <a:ln xmlns:a="http://schemas.openxmlformats.org/drawingml/2006/main">
              <a:prstDash val="solid"/>
            </a:ln>
          </spPr>
          <cat>
            <numRef>
              <f>'Overview'!$Q$5:$V$5</f>
            </numRef>
          </cat>
          <val>
            <numRef>
              <f>'Overview'!$Q$8:$V$8</f>
            </numRef>
          </val>
        </ser>
        <ser>
          <idx val="3"/>
          <order val="3"/>
          <tx>
            <strRef>
              <f>'Overview'!P9</f>
            </strRef>
          </tx>
          <spPr>
            <a:ln xmlns:a="http://schemas.openxmlformats.org/drawingml/2006/main">
              <a:prstDash val="solid"/>
            </a:ln>
          </spPr>
          <cat>
            <numRef>
              <f>'Overview'!$Q$5:$V$5</f>
            </numRef>
          </cat>
          <val>
            <numRef>
              <f>'Overview'!$Q$9:$V$9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'Overview'!$Z$12:$AD$12</f>
            </numRef>
          </cat>
          <val>
            <numRef>
              <f>'Overview'!$Z$13:$AD$13</f>
            </numRef>
          </val>
        </ser>
        <ser>
          <idx val="1"/>
          <order val="1"/>
          <tx>
            <strRef>
              <f>'Overview'!Y14</f>
            </strRef>
          </tx>
          <spPr>
            <a:ln xmlns:a="http://schemas.openxmlformats.org/drawingml/2006/main">
              <a:prstDash val="solid"/>
            </a:ln>
          </spPr>
          <cat>
            <numRef>
              <f>'Overview'!$Z$12:$AD$12</f>
            </numRef>
          </cat>
          <val>
            <numRef>
              <f>'Overview'!$Z$14:$AD$14</f>
            </numRef>
          </val>
        </ser>
        <ser>
          <idx val="2"/>
          <order val="2"/>
          <tx>
            <strRef>
              <f>'Overview'!Y15</f>
            </strRef>
          </tx>
          <spPr>
            <a:ln xmlns:a="http://schemas.openxmlformats.org/drawingml/2006/main">
              <a:prstDash val="solid"/>
            </a:ln>
          </spPr>
          <cat>
            <numRef>
              <f>'Overview'!$Z$12:$AD$12</f>
            </numRef>
          </cat>
          <val>
            <numRef>
              <f>'Overview'!$Z$15:$AD$15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'Overview'!AG19</f>
            </strRef>
          </tx>
          <spPr>
            <a:ln xmlns:a="http://schemas.openxmlformats.org/drawingml/2006/main">
              <a:prstDash val="solid"/>
            </a:ln>
          </spPr>
          <cat>
            <numRef>
              <f>'Overview'!$AH$18:$AL$18</f>
            </numRef>
          </cat>
          <val>
            <numRef>
              <f>'Overview'!$AH$19:$AL$19</f>
            </numRef>
          </val>
        </ser>
        <ser>
          <idx val="1"/>
          <order val="1"/>
          <tx>
            <strRef>
              <f>'Overview'!AG20</f>
            </strRef>
          </tx>
          <spPr>
            <a:ln xmlns:a="http://schemas.openxmlformats.org/drawingml/2006/main">
              <a:prstDash val="solid"/>
            </a:ln>
          </spPr>
          <cat>
            <numRef>
              <f>'Overview'!$AH$18:$AL$18</f>
            </numRef>
          </cat>
          <val>
            <numRef>
              <f>'Overview'!$AH$20:$AL$20</f>
            </numRef>
          </val>
        </ser>
        <ser>
          <idx val="2"/>
          <order val="2"/>
          <tx>
            <strRef>
              <f>'Overview'!AG21</f>
            </strRef>
          </tx>
          <spPr>
            <a:ln xmlns:a="http://schemas.openxmlformats.org/drawingml/2006/main">
              <a:prstDash val="solid"/>
            </a:ln>
          </spPr>
          <cat>
            <numRef>
              <f>'Overview'!$AH$18:$AL$18</f>
            </numRef>
          </cat>
          <val>
            <numRef>
              <f>'Overview'!$AH$21:$AL$21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'Overview'!$AP$24:$AT$24</f>
            </numRef>
          </cat>
          <val>
            <numRef>
              <f>'Overview'!$AP$25:$AT$25</f>
            </numRef>
          </val>
        </ser>
        <ser>
          <idx val="1"/>
          <order val="1"/>
          <tx>
            <strRef>
              <f>'Overview'!AO26</f>
            </strRef>
          </tx>
          <spPr>
            <a:ln xmlns:a="http://schemas.openxmlformats.org/drawingml/2006/main">
              <a:prstDash val="solid"/>
            </a:ln>
          </spPr>
          <cat>
            <numRef>
              <f>'Overview'!$AP$24:$AT$24</f>
            </numRef>
          </cat>
          <val>
            <numRef>
              <f>'Overview'!$AP$26:$AT$26</f>
            </numRef>
          </val>
        </ser>
        <ser>
          <idx val="2"/>
          <order val="2"/>
          <tx>
            <strRef>
              <f>'Overview'!AO27</f>
            </strRef>
          </tx>
          <spPr>
            <a:ln xmlns:a="http://schemas.openxmlformats.org/drawingml/2006/main">
              <a:prstDash val="solid"/>
            </a:ln>
          </spPr>
          <cat>
            <numRef>
              <f>'Overview'!$AP$24:$AT$24</f>
            </numRef>
          </cat>
          <val>
            <numRef>
              <f>'Overview'!$AP$27:$AT$27</f>
            </numRef>
          </val>
        </ser>
        <ser>
          <idx val="3"/>
          <order val="3"/>
          <tx>
            <strRef>
              <f>'Overview'!AO28</f>
            </strRef>
          </tx>
          <spPr>
            <a:ln xmlns:a="http://schemas.openxmlformats.org/drawingml/2006/main">
              <a:prstDash val="solid"/>
            </a:ln>
          </spPr>
          <cat>
            <numRef>
              <f>'Overview'!$AP$24:$AT$24</f>
            </numRef>
          </cat>
          <val>
            <numRef>
              <f>'Overview'!$AP$28:$AT$28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'Overview'!AW6</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'Overview'!$AX$6:$BI$6</f>
            </numRef>
          </val>
          <smooth val="0"/>
        </ser>
        <ser>
          <idx val="1"/>
          <order val="1"/>
          <tx>
            <strRef>
              <f>'Overview'!AW7</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'Overview'!$AX$7:$BI$7</f>
            </numRef>
          </val>
          <smooth val="0"/>
        </ser>
        <ser>
          <idx val="2"/>
          <order val="2"/>
          <tx>
            <strRef>
              <f>'Overview'!AW8</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'Overview'!$AX$8:$BI$8</f>
            </numRef>
          </val>
          <smooth val="0"/>
        </ser>
        <ser>
          <idx val="3"/>
          <order val="3"/>
          <tx>
            <strRef>
              <f>'Overview'!AW9</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'Overview'!$AX$9:$BI$9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I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Q5" t="inlineStr">
        <is>
          <t>FY2017</t>
        </is>
      </c>
      <c r="R5" t="inlineStr">
        <is>
          <t>FY2021</t>
        </is>
      </c>
      <c r="S5" t="inlineStr">
        <is>
          <t>FY2022</t>
        </is>
      </c>
      <c r="T5" t="inlineStr">
        <is>
          <t>FY2023</t>
        </is>
      </c>
      <c r="U5" t="inlineStr">
        <is>
          <t>FY2024</t>
        </is>
      </c>
      <c r="V5" t="inlineStr">
        <is>
          <t>FY2025</t>
        </is>
      </c>
      <c r="AX5" t="inlineStr">
        <is>
          <t>FY2009</t>
        </is>
      </c>
      <c r="AY5" t="inlineStr">
        <is>
          <t>FY2010</t>
        </is>
      </c>
      <c r="AZ5" t="inlineStr">
        <is>
          <t>FY2012</t>
        </is>
      </c>
      <c r="BA5" t="inlineStr">
        <is>
          <t>FY2013</t>
        </is>
      </c>
      <c r="BB5" t="inlineStr">
        <is>
          <t>FY2014</t>
        </is>
      </c>
      <c r="BC5" t="inlineStr">
        <is>
          <t>FY2015</t>
        </is>
      </c>
      <c r="BD5" t="inlineStr">
        <is>
          <t>FY2017</t>
        </is>
      </c>
      <c r="BE5" t="inlineStr">
        <is>
          <t>FY2021</t>
        </is>
      </c>
      <c r="BF5" t="inlineStr">
        <is>
          <t>FY2022</t>
        </is>
      </c>
      <c r="BG5" t="inlineStr">
        <is>
          <t>FY2023</t>
        </is>
      </c>
      <c r="BH5" t="inlineStr">
        <is>
          <t>FY2024</t>
        </is>
      </c>
      <c r="BI5" t="inlineStr">
        <is>
          <t>FY2025</t>
        </is>
      </c>
    </row>
    <row r="6">
      <c r="A6" s="5" t="inlineStr">
        <is>
          <t>Total assets</t>
        </is>
      </c>
      <c r="B6" s="5" t="n">
        <v>1795507271</v>
      </c>
      <c r="C6" s="5" t="n">
        <v>1378954291</v>
      </c>
      <c r="D6" s="5" t="n">
        <v>1351097994</v>
      </c>
      <c r="E6" s="5" t="n">
        <v>1326047320</v>
      </c>
      <c r="F6" s="5" t="n">
        <v>1212752908</v>
      </c>
      <c r="G6" s="5" t="n">
        <v>1438234</v>
      </c>
      <c r="P6" t="inlineStr">
        <is>
          <t>Total assets</t>
        </is>
      </c>
      <c r="Q6" t="n">
        <v>1438234</v>
      </c>
      <c r="R6" t="n">
        <v>1212752908</v>
      </c>
      <c r="S6" t="n">
        <v>1326047320</v>
      </c>
      <c r="T6" t="n">
        <v>1351097994</v>
      </c>
      <c r="U6" t="n">
        <v>1378954291</v>
      </c>
      <c r="V6" t="n">
        <v>1795507271</v>
      </c>
      <c r="AW6" t="inlineStr">
        <is>
          <t>CET1 Ratio</t>
        </is>
      </c>
      <c r="BF6" t="n">
        <v>16.8</v>
      </c>
      <c r="BG6" t="n">
        <v>17.3</v>
      </c>
      <c r="BH6" t="n">
        <v>16.31</v>
      </c>
      <c r="BI6" t="n">
        <v>13.7</v>
      </c>
    </row>
    <row r="7">
      <c r="A7" s="5" t="inlineStr">
        <is>
          <t>Loans and advances to customers</t>
        </is>
      </c>
      <c r="B7" s="5" t="n">
        <v>487762621</v>
      </c>
      <c r="C7" s="5" t="n">
        <v>181521123</v>
      </c>
      <c r="D7" s="5" t="n">
        <v>61860769</v>
      </c>
      <c r="E7" s="5" t="n">
        <v>46503635</v>
      </c>
      <c r="F7" s="5" t="n">
        <v>37151779</v>
      </c>
      <c r="G7" s="5" t="n"/>
      <c r="P7" t="inlineStr">
        <is>
          <t>Loans and advances to customers</t>
        </is>
      </c>
      <c r="R7" t="n">
        <v>37151779</v>
      </c>
      <c r="S7" t="n">
        <v>46503635</v>
      </c>
      <c r="T7" t="n">
        <v>61860769</v>
      </c>
      <c r="U7" t="n">
        <v>181521123</v>
      </c>
      <c r="V7" t="n">
        <v>487762621</v>
      </c>
      <c r="AW7" t="inlineStr">
        <is>
          <t>Total Capital Ratio (FY2017 and earlier are Basel II-basis - see Total Capital Ratio sheet)</t>
        </is>
      </c>
      <c r="AX7" t="n">
        <v>21.75</v>
      </c>
      <c r="AY7" t="n">
        <v>26.52</v>
      </c>
      <c r="AZ7" t="n">
        <v>54.63</v>
      </c>
      <c r="BA7" t="n">
        <v>46.19</v>
      </c>
      <c r="BB7" t="n">
        <v>31.13</v>
      </c>
      <c r="BC7" t="n">
        <v>32.63</v>
      </c>
      <c r="BD7" t="n">
        <v>22.63</v>
      </c>
      <c r="BE7" t="n">
        <v>15.15</v>
      </c>
      <c r="BF7" t="n">
        <v>20.54</v>
      </c>
      <c r="BG7" t="n">
        <v>20.6</v>
      </c>
      <c r="BH7" t="n">
        <v>19.28</v>
      </c>
      <c r="BI7" t="n">
        <v>18.24</v>
      </c>
    </row>
    <row r="8">
      <c r="A8" s="5" t="inlineStr">
        <is>
          <t>Customer accounts</t>
        </is>
      </c>
      <c r="B8" s="5" t="n">
        <v>1388254579</v>
      </c>
      <c r="C8" s="5" t="n">
        <v>1032921877</v>
      </c>
      <c r="D8" s="5" t="n">
        <v>956051029</v>
      </c>
      <c r="E8" s="5" t="n">
        <v>608680668</v>
      </c>
      <c r="F8" s="5" t="n">
        <v>248279581</v>
      </c>
      <c r="G8" s="5" t="n"/>
      <c r="P8" t="inlineStr">
        <is>
          <t>Customer accounts</t>
        </is>
      </c>
      <c r="R8" t="n">
        <v>248279581</v>
      </c>
      <c r="S8" t="n">
        <v>608680668</v>
      </c>
      <c r="T8" t="n">
        <v>956051029</v>
      </c>
      <c r="U8" t="n">
        <v>1032921877</v>
      </c>
      <c r="V8" t="n">
        <v>1388254579</v>
      </c>
      <c r="AW8" t="inlineStr">
        <is>
          <t>Leverage Ratio</t>
        </is>
      </c>
      <c r="BB8" t="n">
        <v>9.17</v>
      </c>
      <c r="BC8" t="n">
        <v>12.86</v>
      </c>
      <c r="BD8" t="n">
        <v>9.9</v>
      </c>
      <c r="BE8" t="n">
        <v>12.47</v>
      </c>
      <c r="BF8" t="n">
        <v>11.65</v>
      </c>
      <c r="BG8" t="n">
        <v>12.1</v>
      </c>
      <c r="BH8" t="n">
        <v>11.6</v>
      </c>
      <c r="BI8" t="n">
        <v>9.199999999999999</v>
      </c>
    </row>
    <row r="9">
      <c r="A9" s="5" t="inlineStr">
        <is>
          <t>Total capital and reserves</t>
        </is>
      </c>
      <c r="B9" s="5" t="n">
        <v>176586699</v>
      </c>
      <c r="C9" s="5" t="n">
        <v>172646981</v>
      </c>
      <c r="D9" s="5" t="n">
        <v>166857249</v>
      </c>
      <c r="E9" s="5" t="n">
        <v>160206249</v>
      </c>
      <c r="F9" s="5" t="n">
        <v>154504970</v>
      </c>
      <c r="G9" s="5" t="n"/>
      <c r="P9" t="inlineStr">
        <is>
          <t>Total capital and reserves</t>
        </is>
      </c>
      <c r="R9" t="n">
        <v>154504970</v>
      </c>
      <c r="S9" t="n">
        <v>160206249</v>
      </c>
      <c r="T9" t="n">
        <v>166857249</v>
      </c>
      <c r="U9" t="n">
        <v>172646981</v>
      </c>
      <c r="V9" t="n">
        <v>176586699</v>
      </c>
      <c r="AW9" t="inlineStr">
        <is>
          <t>LCR (12-month average, UK CRR basis)</t>
        </is>
      </c>
      <c r="BF9" t="n">
        <v>296</v>
      </c>
      <c r="BG9" t="n">
        <v>387</v>
      </c>
      <c r="BH9" t="n">
        <v>418</v>
      </c>
      <c r="BI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Z12" t="inlineStr">
        <is>
          <t>FY2021</t>
        </is>
      </c>
      <c r="AA12" t="inlineStr">
        <is>
          <t>FY2022</t>
        </is>
      </c>
      <c r="AB12" t="inlineStr">
        <is>
          <t>FY2023</t>
        </is>
      </c>
      <c r="AC12" t="inlineStr">
        <is>
          <t>FY2024</t>
        </is>
      </c>
      <c r="AD12" t="inlineStr">
        <is>
          <t>FY2025</t>
        </is>
      </c>
    </row>
    <row r="13">
      <c r="A13" s="5" t="inlineStr">
        <is>
          <t>Operating income</t>
        </is>
      </c>
      <c r="B13" s="5" t="n">
        <v>24828399</v>
      </c>
      <c r="C13" s="5" t="n">
        <v>25952904</v>
      </c>
      <c r="D13" s="5" t="n">
        <v>26011808</v>
      </c>
      <c r="E13" s="5" t="n">
        <v>22211065</v>
      </c>
      <c r="F13" s="5" t="n">
        <v>21109874</v>
      </c>
      <c r="Y13" t="inlineStr">
        <is>
          <t>Operating income</t>
        </is>
      </c>
      <c r="Z13" t="n">
        <v>21109874</v>
      </c>
      <c r="AA13" t="n">
        <v>22211065</v>
      </c>
      <c r="AB13" t="n">
        <v>26011808</v>
      </c>
      <c r="AC13" t="n">
        <v>25952904</v>
      </c>
      <c r="AD13" t="n">
        <v>24828399</v>
      </c>
    </row>
    <row r="14">
      <c r="A14" s="5" t="inlineStr">
        <is>
          <t>Staff costs</t>
        </is>
      </c>
      <c r="B14" s="5" t="n">
        <v>-11077928</v>
      </c>
      <c r="C14" s="5" t="n">
        <v>-10618557</v>
      </c>
      <c r="D14" s="5" t="n">
        <v>-10150025</v>
      </c>
      <c r="E14" s="5" t="n">
        <v>-8523451</v>
      </c>
      <c r="F14" s="5" t="n">
        <v>-12064461</v>
      </c>
      <c r="Y14" t="inlineStr">
        <is>
          <t>Staff costs</t>
        </is>
      </c>
      <c r="Z14" t="n">
        <v>-12064461</v>
      </c>
      <c r="AA14" t="n">
        <v>-8523451</v>
      </c>
      <c r="AB14" t="n">
        <v>-10150025</v>
      </c>
      <c r="AC14" t="n">
        <v>-10618557</v>
      </c>
      <c r="AD14" t="n">
        <v>-11077928</v>
      </c>
    </row>
    <row r="15">
      <c r="A15" s="5" t="inlineStr">
        <is>
          <t>Profit for the period</t>
        </is>
      </c>
      <c r="B15" s="5" t="n">
        <v>3939718</v>
      </c>
      <c r="C15" s="5" t="n">
        <v>5789732</v>
      </c>
      <c r="D15" s="5" t="n">
        <v>6651000</v>
      </c>
      <c r="E15" s="5" t="n">
        <v>5701279</v>
      </c>
      <c r="F15" s="5" t="n">
        <v>88886</v>
      </c>
      <c r="Y15" t="inlineStr">
        <is>
          <t>Profit for the period</t>
        </is>
      </c>
      <c r="Z15" t="n">
        <v>88886</v>
      </c>
      <c r="AA15" t="n">
        <v>5701279</v>
      </c>
      <c r="AB15" t="n">
        <v>6651000</v>
      </c>
      <c r="AC15" t="n">
        <v>5789732</v>
      </c>
      <c r="AD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AH18" t="inlineStr">
        <is>
          <t>FY2021</t>
        </is>
      </c>
      <c r="AI18" t="inlineStr">
        <is>
          <t>FY2022</t>
        </is>
      </c>
      <c r="AJ18" t="inlineStr">
        <is>
          <t>FY2023</t>
        </is>
      </c>
      <c r="AK18" t="inlineStr">
        <is>
          <t>FY2024</t>
        </is>
      </c>
      <c r="AL18" t="inlineStr">
        <is>
          <t>FY2025</t>
        </is>
      </c>
    </row>
    <row r="19">
      <c r="A19" s="5" t="inlineStr">
        <is>
          <t>Opening total capital and reserves</t>
        </is>
      </c>
      <c r="B19" s="5" t="n">
        <v>172646981</v>
      </c>
      <c r="C19" s="5" t="n">
        <v>166857249</v>
      </c>
      <c r="D19" s="5" t="n">
        <v>160206249</v>
      </c>
      <c r="E19" s="5" t="n">
        <v>154504970</v>
      </c>
      <c r="F19" s="5" t="n">
        <v>154416084</v>
      </c>
      <c r="AG19" t="inlineStr">
        <is>
          <t>Opening total capital and reserves</t>
        </is>
      </c>
      <c r="AH19" t="n">
        <v>154416084</v>
      </c>
      <c r="AI19" t="n">
        <v>154504970</v>
      </c>
      <c r="AJ19" t="n">
        <v>160206249</v>
      </c>
      <c r="AK19" t="n">
        <v>166857249</v>
      </c>
      <c r="AL19" t="n">
        <v>172646981</v>
      </c>
    </row>
    <row r="20">
      <c r="A20" s="5" t="inlineStr">
        <is>
          <t>Total comprehensive income for the period</t>
        </is>
      </c>
      <c r="B20" s="5" t="n">
        <v>3939718</v>
      </c>
      <c r="C20" s="5" t="n">
        <v>5789732</v>
      </c>
      <c r="D20" s="5" t="n">
        <v>6651000</v>
      </c>
      <c r="E20" s="5" t="n">
        <v>5701279</v>
      </c>
      <c r="F20" s="5" t="n">
        <v>88886</v>
      </c>
      <c r="AG20" t="inlineStr">
        <is>
          <t>Total comprehensive income for the period</t>
        </is>
      </c>
      <c r="AH20" t="n">
        <v>88886</v>
      </c>
      <c r="AI20" t="n">
        <v>5701279</v>
      </c>
      <c r="AJ20" t="n">
        <v>6651000</v>
      </c>
      <c r="AK20" t="n">
        <v>5789732</v>
      </c>
      <c r="AL20" t="n">
        <v>3939718</v>
      </c>
    </row>
    <row r="21">
      <c r="A21" s="5" t="inlineStr">
        <is>
          <t>Closing total capital and reserves</t>
        </is>
      </c>
      <c r="B21" s="5" t="n">
        <v>176586699</v>
      </c>
      <c r="C21" s="5" t="n">
        <v>172646981</v>
      </c>
      <c r="D21" s="5" t="n">
        <v>166857249</v>
      </c>
      <c r="E21" s="5" t="n">
        <v>160206249</v>
      </c>
      <c r="F21" s="5" t="n">
        <v>154504970</v>
      </c>
      <c r="AG21" t="inlineStr">
        <is>
          <t>Closing total capital and reserves</t>
        </is>
      </c>
      <c r="AH21" t="n">
        <v>154504970</v>
      </c>
      <c r="AI21" t="n">
        <v>160206249</v>
      </c>
      <c r="AJ21" t="n">
        <v>166857249</v>
      </c>
      <c r="AK21" t="n">
        <v>172646981</v>
      </c>
      <c r="AL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AP24" t="inlineStr">
        <is>
          <t>FY2021</t>
        </is>
      </c>
      <c r="AQ24" t="inlineStr">
        <is>
          <t>FY2022</t>
        </is>
      </c>
      <c r="AR24" t="inlineStr">
        <is>
          <t>FY2023</t>
        </is>
      </c>
      <c r="AS24" t="inlineStr">
        <is>
          <t>FY2024</t>
        </is>
      </c>
      <c r="AT24" t="inlineStr">
        <is>
          <t>FY2025</t>
        </is>
      </c>
    </row>
    <row r="25">
      <c r="A25" s="5" t="inlineStr">
        <is>
          <t>Net cash generated/(used) from operating activities</t>
        </is>
      </c>
      <c r="B25" s="5" t="n">
        <v>101280910</v>
      </c>
      <c r="C25" s="5" t="n">
        <v>-44497653</v>
      </c>
      <c r="D25" s="5" t="n">
        <v>-110688337</v>
      </c>
      <c r="E25" s="5" t="n">
        <v>-91172027</v>
      </c>
      <c r="F25" s="5" t="n">
        <v>5256681</v>
      </c>
      <c r="AO25" t="inlineStr">
        <is>
          <t>Net cash generated/(used) from operating activities</t>
        </is>
      </c>
      <c r="AP25" t="n">
        <v>5256681</v>
      </c>
      <c r="AQ25" t="n">
        <v>-91172027</v>
      </c>
      <c r="AR25" t="n">
        <v>-110688337</v>
      </c>
      <c r="AS25" t="n">
        <v>-44497653</v>
      </c>
      <c r="AT25" t="n">
        <v>101280910</v>
      </c>
    </row>
    <row r="26">
      <c r="A26" s="5" t="inlineStr">
        <is>
          <t>Net cash generated/(used) from investing activities</t>
        </is>
      </c>
      <c r="B26" s="5" t="n">
        <v>-122997984</v>
      </c>
      <c r="C26" s="5" t="n">
        <v>21089132</v>
      </c>
      <c r="D26" s="5" t="n">
        <v>-16905485</v>
      </c>
      <c r="E26" s="5" t="n">
        <v>83292813</v>
      </c>
      <c r="F26" s="5" t="n">
        <v>-5782456</v>
      </c>
      <c r="AO26" t="inlineStr">
        <is>
          <t>Net cash generated/(used) from investing activities</t>
        </is>
      </c>
      <c r="AP26" t="n">
        <v>-5782456</v>
      </c>
      <c r="AQ26" t="n">
        <v>83292813</v>
      </c>
      <c r="AR26" t="n">
        <v>-16905485</v>
      </c>
      <c r="AS26" t="n">
        <v>21089132</v>
      </c>
      <c r="AT26" t="n">
        <v>-122997984</v>
      </c>
    </row>
    <row r="27">
      <c r="A27" s="5" t="inlineStr">
        <is>
          <t>Net cash generated/(used) in financing activities</t>
        </is>
      </c>
      <c r="B27" s="5" t="n">
        <v>27813180</v>
      </c>
      <c r="C27" s="5" t="n">
        <v>-2299886</v>
      </c>
      <c r="D27" s="5" t="n">
        <v>-4776099</v>
      </c>
      <c r="E27" s="5" t="n">
        <v>-2491694</v>
      </c>
      <c r="F27" s="5" t="n">
        <v>0</v>
      </c>
      <c r="AO27" t="inlineStr">
        <is>
          <t>Net cash generated/(used) in financing activities</t>
        </is>
      </c>
      <c r="AP27" t="n">
        <v>0</v>
      </c>
      <c r="AQ27" t="n">
        <v>-2491694</v>
      </c>
      <c r="AR27" t="n">
        <v>-4776099</v>
      </c>
      <c r="AS27" t="n">
        <v>-2299886</v>
      </c>
      <c r="AT27" t="n">
        <v>27813180</v>
      </c>
    </row>
    <row r="28">
      <c r="A28" s="5" t="inlineStr">
        <is>
          <t>Cash and cash equivalents at end of year</t>
        </is>
      </c>
      <c r="B28" s="5" t="n">
        <v>276757036</v>
      </c>
      <c r="C28" s="5" t="n">
        <v>286126277</v>
      </c>
      <c r="D28" s="5" t="n">
        <v>308342852</v>
      </c>
      <c r="E28" s="5" t="n">
        <v>43356127</v>
      </c>
      <c r="F28" s="5" t="n">
        <v>53727035</v>
      </c>
      <c r="AO28" t="inlineStr">
        <is>
          <t>Cash and cash equivalents at end of year</t>
        </is>
      </c>
      <c r="AP28" t="n">
        <v>53727035</v>
      </c>
      <c r="AQ28" t="n">
        <v>43356127</v>
      </c>
      <c r="AR28" t="n">
        <v>308342852</v>
      </c>
      <c r="AS28" t="n">
        <v>286126277</v>
      </c>
      <c r="AT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Assets</t>
        </is>
      </c>
      <c r="B4" s="6" t="n"/>
      <c r="C4" s="6" t="n"/>
      <c r="D4" s="6" t="n"/>
      <c r="E4" s="6" t="n"/>
      <c r="F4" s="6" t="n"/>
    </row>
    <row r="5">
      <c r="A5" s="6" t="inlineStr">
        <is>
          <t>Cash and balances at central banks</t>
        </is>
      </c>
      <c r="B5" s="6" t="n">
        <v>371451</v>
      </c>
      <c r="C5" s="6" t="n">
        <v>397639</v>
      </c>
      <c r="D5" s="6" t="n">
        <v>398999</v>
      </c>
      <c r="E5" s="6" t="n">
        <v>402993</v>
      </c>
      <c r="F5" s="6" t="n">
        <v>302328</v>
      </c>
    </row>
    <row r="6">
      <c r="A6" s="6" t="inlineStr">
        <is>
          <t>Loans and advances to banks</t>
        </is>
      </c>
      <c r="B6" s="6" t="n">
        <v>651571869</v>
      </c>
      <c r="C6" s="6" t="n">
        <v>654586394</v>
      </c>
      <c r="D6" s="6" t="n">
        <v>726791733</v>
      </c>
      <c r="E6" s="6" t="n">
        <v>709298405</v>
      </c>
      <c r="F6" s="6" t="n">
        <v>577213067</v>
      </c>
    </row>
    <row r="7">
      <c r="A7" s="6" t="inlineStr">
        <is>
          <t>Loans and advances to customers</t>
        </is>
      </c>
      <c r="B7" s="6" t="n">
        <v>487762621</v>
      </c>
      <c r="C7" s="6" t="n">
        <v>181521123</v>
      </c>
      <c r="D7" s="6" t="n">
        <v>61860769</v>
      </c>
      <c r="E7" s="6" t="n">
        <v>46503635</v>
      </c>
      <c r="F7" s="6" t="n">
        <v>37151779</v>
      </c>
    </row>
    <row r="8">
      <c r="A8" s="6" t="inlineStr">
        <is>
          <t>Total debt securities</t>
        </is>
      </c>
      <c r="B8" s="6" t="n">
        <v>604021714</v>
      </c>
      <c r="C8" s="6" t="n">
        <v>488086660</v>
      </c>
      <c r="D8" s="6" t="n">
        <v>505332212</v>
      </c>
      <c r="E8" s="6" t="n">
        <v>508564166</v>
      </c>
      <c r="F8" s="6" t="n">
        <v>550750341</v>
      </c>
    </row>
    <row r="9">
      <c r="A9" s="6" t="inlineStr">
        <is>
          <t>Debt securities - Issued by public bodies (government securities, amortised cost)</t>
        </is>
      </c>
      <c r="B9" s="6" t="n">
        <v>246733992</v>
      </c>
      <c r="C9" s="6" t="n">
        <v>181040174</v>
      </c>
      <c r="D9" s="6" t="n">
        <v>192504359</v>
      </c>
      <c r="E9" s="6" t="n">
        <v>180661405</v>
      </c>
      <c r="F9" s="6" t="n">
        <v>189275634</v>
      </c>
    </row>
    <row r="10">
      <c r="A10" s="6" t="inlineStr">
        <is>
          <t>Debt securities - Other securities (amortised cost)</t>
        </is>
      </c>
      <c r="B10" s="6" t="n">
        <v>356026463</v>
      </c>
      <c r="C10" s="6" t="n">
        <v>311841237</v>
      </c>
      <c r="D10" s="6" t="n">
        <v>320191387</v>
      </c>
      <c r="E10" s="6" t="n">
        <v>343276052</v>
      </c>
      <c r="F10" s="6" t="n">
        <v>356876457</v>
      </c>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row>
    <row r="12">
      <c r="A12" s="6" t="inlineStr">
        <is>
          <t>Derivative financial instruments</t>
        </is>
      </c>
      <c r="B12" s="6" t="n">
        <v>4323287</v>
      </c>
      <c r="C12" s="6" t="n">
        <v>8754822</v>
      </c>
      <c r="D12" s="6" t="n">
        <v>11054880</v>
      </c>
      <c r="E12" s="6" t="n">
        <v>16652823</v>
      </c>
      <c r="F12" s="6" t="n">
        <v>378832</v>
      </c>
    </row>
    <row r="13">
      <c r="A13" s="6" t="inlineStr">
        <is>
          <t>Tangible fixed assets</t>
        </is>
      </c>
      <c r="B13" s="6" t="n">
        <v>41411528</v>
      </c>
      <c r="C13" s="6" t="n">
        <v>42218048</v>
      </c>
      <c r="D13" s="6" t="n">
        <v>42910866</v>
      </c>
      <c r="E13" s="6" t="n">
        <v>42356164</v>
      </c>
      <c r="F13" s="6" t="n">
        <v>41363058</v>
      </c>
    </row>
    <row r="14">
      <c r="A14" s="6" t="inlineStr">
        <is>
          <t>Intangible fixed assets (no separate line FY2021-FY2022 - nil/immaterial)</t>
        </is>
      </c>
      <c r="B14" s="6" t="n">
        <v>4126398</v>
      </c>
      <c r="C14" s="6" t="n">
        <v>1896837</v>
      </c>
      <c r="D14" s="6" t="n">
        <v>580386</v>
      </c>
      <c r="E14" s="6" t="n"/>
      <c r="F14" s="6" t="n"/>
    </row>
    <row r="15">
      <c r="A15" s="6" t="inlineStr">
        <is>
          <t>Prepayments and accrued income</t>
        </is>
      </c>
      <c r="B15" s="6" t="n">
        <v>1622582</v>
      </c>
      <c r="C15" s="6" t="n">
        <v>1263240</v>
      </c>
      <c r="D15" s="6" t="n">
        <v>1410882</v>
      </c>
      <c r="E15" s="6" t="n">
        <v>1989589</v>
      </c>
      <c r="F15" s="6" t="n">
        <v>5356899</v>
      </c>
    </row>
    <row r="16">
      <c r="A16" s="6" t="inlineStr">
        <is>
          <t>Current tax assets</t>
        </is>
      </c>
      <c r="B16" s="6" t="n"/>
      <c r="C16" s="6" t="n"/>
      <c r="D16" s="6" t="n">
        <v>736026</v>
      </c>
      <c r="E16" s="6" t="n">
        <v>188232</v>
      </c>
      <c r="F16" s="6" t="n">
        <v>116855</v>
      </c>
    </row>
    <row r="17">
      <c r="A17" s="6" t="inlineStr">
        <is>
          <t>Deferred tax assets</t>
        </is>
      </c>
      <c r="B17" s="6" t="n"/>
      <c r="C17" s="6" t="n"/>
      <c r="D17" s="6" t="n"/>
      <c r="E17" s="6" t="n"/>
      <c r="F17" s="6" t="n">
        <v>81576</v>
      </c>
    </row>
    <row r="18">
      <c r="A18" s="6" t="inlineStr">
        <is>
          <t>Other assets</t>
        </is>
      </c>
      <c r="B18" s="6" t="n">
        <v>295821</v>
      </c>
      <c r="C18" s="6" t="n">
        <v>229528</v>
      </c>
      <c r="D18" s="6" t="n">
        <v>21241</v>
      </c>
      <c r="E18" s="6" t="n">
        <v>91313</v>
      </c>
      <c r="F18" s="6" t="n">
        <v>38172</v>
      </c>
    </row>
    <row r="19">
      <c r="A19" s="5" t="inlineStr">
        <is>
          <t>Total assets</t>
        </is>
      </c>
      <c r="B19" s="5" t="n">
        <v>1795507271</v>
      </c>
      <c r="C19" s="5" t="n">
        <v>1378954291</v>
      </c>
      <c r="D19" s="5" t="n">
        <v>1351097994</v>
      </c>
      <c r="E19" s="5" t="n">
        <v>1326047320</v>
      </c>
      <c r="F19" s="5" t="n">
        <v>1212752908</v>
      </c>
      <c r="G19" s="6" t="n">
        <v>1438234</v>
      </c>
    </row>
    <row r="20">
      <c r="A20" s="5" t="inlineStr">
        <is>
          <t>Liabilities</t>
        </is>
      </c>
      <c r="B20" s="6" t="n"/>
      <c r="C20" s="6" t="n"/>
      <c r="D20" s="6" t="n"/>
      <c r="E20" s="6" t="n"/>
      <c r="F20" s="6" t="n"/>
    </row>
    <row r="21">
      <c r="A21" s="6" t="inlineStr">
        <is>
          <t>Deposits by banks</t>
        </is>
      </c>
      <c r="B21" s="6" t="n">
        <v>162146460</v>
      </c>
      <c r="C21" s="6" t="n">
        <v>137050906</v>
      </c>
      <c r="D21" s="6" t="n">
        <v>193404628</v>
      </c>
      <c r="E21" s="6" t="n">
        <v>519965127</v>
      </c>
      <c r="F21" s="6" t="n">
        <v>756896286</v>
      </c>
    </row>
    <row r="22">
      <c r="A22" s="6" t="inlineStr">
        <is>
          <t>Customer accounts</t>
        </is>
      </c>
      <c r="B22" s="6" t="n">
        <v>1388254579</v>
      </c>
      <c r="C22" s="6" t="n">
        <v>1032921877</v>
      </c>
      <c r="D22" s="6" t="n">
        <v>956051029</v>
      </c>
      <c r="E22" s="6" t="n">
        <v>608680668</v>
      </c>
      <c r="F22" s="6" t="n">
        <v>248279581</v>
      </c>
    </row>
    <row r="23">
      <c r="A23" s="6" t="inlineStr">
        <is>
          <t>Derivative financial instruments</t>
        </is>
      </c>
      <c r="B23" s="6" t="n">
        <v>5157961</v>
      </c>
      <c r="C23" s="6" t="n">
        <v>1044103</v>
      </c>
      <c r="D23" s="6" t="n">
        <v>577008</v>
      </c>
      <c r="E23" s="6" t="n">
        <v>205870</v>
      </c>
      <c r="F23" s="6" t="n">
        <v>6763860</v>
      </c>
    </row>
    <row r="24">
      <c r="A24" s="6" t="inlineStr">
        <is>
          <t>Other liabilities</t>
        </is>
      </c>
      <c r="B24" s="6" t="n">
        <v>1326258</v>
      </c>
      <c r="C24" s="6" t="n">
        <v>741899</v>
      </c>
      <c r="D24" s="6" t="n">
        <v>648940</v>
      </c>
      <c r="E24" s="6" t="n">
        <v>1054200</v>
      </c>
      <c r="F24" s="6" t="n">
        <v>10900143</v>
      </c>
    </row>
    <row r="25">
      <c r="A25" s="6" t="inlineStr">
        <is>
          <t>Current tax liabilities</t>
        </is>
      </c>
      <c r="B25" s="6" t="n">
        <v>251723</v>
      </c>
      <c r="C25" s="6" t="n">
        <v>446704</v>
      </c>
      <c r="D25" s="6" t="n"/>
      <c r="E25" s="6" t="n"/>
      <c r="F25" s="6" t="n"/>
    </row>
    <row r="26">
      <c r="A26" s="6" t="inlineStr">
        <is>
          <t>Deferred tax liabilities</t>
        </is>
      </c>
      <c r="B26" s="6" t="n">
        <v>501721</v>
      </c>
      <c r="C26" s="6" t="n">
        <v>685514</v>
      </c>
      <c r="D26" s="6" t="n">
        <v>639935</v>
      </c>
      <c r="E26" s="6" t="n">
        <v>187556</v>
      </c>
      <c r="F26" s="6" t="n">
        <v>215467</v>
      </c>
    </row>
    <row r="27">
      <c r="A27" s="6" t="inlineStr">
        <is>
          <t>Accruals and deferred income</t>
        </is>
      </c>
      <c r="B27" s="6" t="n">
        <v>1742619</v>
      </c>
      <c r="C27" s="6" t="n">
        <v>1816045</v>
      </c>
      <c r="D27" s="6" t="n">
        <v>1871759</v>
      </c>
      <c r="E27" s="6" t="n">
        <v>478286</v>
      </c>
      <c r="F27" s="6" t="n">
        <v>1908577</v>
      </c>
    </row>
    <row r="28">
      <c r="A28" s="6" t="inlineStr">
        <is>
          <t>Long-term subordinated debt</t>
        </is>
      </c>
      <c r="B28" s="6" t="n">
        <v>59539251</v>
      </c>
      <c r="C28" s="6" t="n">
        <v>31600262</v>
      </c>
      <c r="D28" s="6" t="n">
        <v>31047446</v>
      </c>
      <c r="E28" s="6" t="n">
        <v>35269364</v>
      </c>
      <c r="F28" s="6" t="n">
        <v>33284024</v>
      </c>
    </row>
    <row r="29">
      <c r="A29" s="5" t="inlineStr">
        <is>
          <t>Total liabilities</t>
        </is>
      </c>
      <c r="B29" s="5" t="n">
        <v>1618920572</v>
      </c>
      <c r="C29" s="5" t="n">
        <v>1206307310</v>
      </c>
      <c r="D29" s="5" t="n">
        <v>1184240745</v>
      </c>
      <c r="E29" s="5" t="n">
        <v>1165841071</v>
      </c>
      <c r="F29" s="5" t="n">
        <v>1058247938</v>
      </c>
    </row>
    <row r="30">
      <c r="A30" s="5" t="inlineStr">
        <is>
          <t>Capital and reserves</t>
        </is>
      </c>
      <c r="B30" s="6" t="n"/>
      <c r="C30" s="6" t="n"/>
      <c r="D30" s="6" t="n"/>
      <c r="E30" s="6" t="n"/>
      <c r="F30" s="6" t="n"/>
    </row>
    <row r="31">
      <c r="A31" s="6" t="inlineStr">
        <is>
          <t>Called up share capital</t>
        </is>
      </c>
      <c r="B31" s="6" t="n">
        <v>130000000</v>
      </c>
      <c r="C31" s="6" t="n">
        <v>130000000</v>
      </c>
      <c r="D31" s="6" t="n">
        <v>130000000</v>
      </c>
      <c r="E31" s="6" t="n">
        <v>130000000</v>
      </c>
      <c r="F31" s="6" t="n">
        <v>130000000</v>
      </c>
    </row>
    <row r="32">
      <c r="A32" s="6" t="inlineStr">
        <is>
          <t>Retained earnings (Profit and loss account)</t>
        </is>
      </c>
      <c r="B32" s="6" t="n">
        <v>46586699</v>
      </c>
      <c r="C32" s="6" t="n">
        <v>42646981</v>
      </c>
      <c r="D32" s="6" t="n">
        <v>36857249</v>
      </c>
      <c r="E32" s="6" t="n">
        <v>30206249</v>
      </c>
      <c r="F32" s="6" t="n">
        <v>24504970</v>
      </c>
    </row>
    <row r="33">
      <c r="A33" s="5" t="inlineStr">
        <is>
          <t>Total capital and reserves</t>
        </is>
      </c>
      <c r="B33" s="5" t="n">
        <v>176586699</v>
      </c>
      <c r="C33" s="5" t="n">
        <v>172646981</v>
      </c>
      <c r="D33" s="5" t="n">
        <v>166857249</v>
      </c>
      <c r="E33" s="5" t="n">
        <v>160206249</v>
      </c>
      <c r="F33" s="5" t="n">
        <v>154504970</v>
      </c>
    </row>
    <row r="34">
      <c r="A34" s="5" t="inlineStr">
        <is>
          <t>Total liabilities and equity</t>
        </is>
      </c>
      <c r="B34" s="5" t="n">
        <v>1795507271</v>
      </c>
      <c r="C34" s="5" t="n">
        <v>1378954291</v>
      </c>
      <c r="D34" s="5" t="n">
        <v>1351097994</v>
      </c>
      <c r="E34" s="5" t="n">
        <v>1326047320</v>
      </c>
      <c r="F34" s="5" t="n">
        <v>1212752908</v>
      </c>
    </row>
    <row r="35"/>
    <row r="36" ht="560" customHeight="1">
      <c r="A3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Income</t>
        </is>
      </c>
      <c r="B4" s="6" t="n"/>
      <c r="C4" s="6" t="n"/>
      <c r="D4" s="6" t="n"/>
      <c r="E4" s="6" t="n"/>
      <c r="F4" s="6" t="n"/>
    </row>
    <row r="5">
      <c r="A5" s="6" t="inlineStr">
        <is>
          <t>Interest receivable and similar income</t>
        </is>
      </c>
      <c r="B5" s="6" t="n">
        <v>79298348</v>
      </c>
      <c r="C5" s="6" t="n">
        <v>86041222</v>
      </c>
      <c r="D5" s="6" t="n">
        <v>75891278</v>
      </c>
      <c r="E5" s="6" t="n">
        <v>35253247</v>
      </c>
      <c r="F5" s="6" t="n">
        <v>23479081</v>
      </c>
    </row>
    <row r="6">
      <c r="A6" s="6" t="inlineStr">
        <is>
          <t>Interest payable and similar expense</t>
        </is>
      </c>
      <c r="B6" s="6" t="n">
        <v>-58376403</v>
      </c>
      <c r="C6" s="6" t="n">
        <v>-64559189</v>
      </c>
      <c r="D6" s="6" t="n">
        <v>-57165609</v>
      </c>
      <c r="E6" s="6" t="n">
        <v>-26890680</v>
      </c>
      <c r="F6" s="6" t="n">
        <v>-14723846</v>
      </c>
    </row>
    <row r="7">
      <c r="A7" s="5" t="inlineStr">
        <is>
          <t>Net interest income</t>
        </is>
      </c>
      <c r="B7" s="5" t="n">
        <v>20921945</v>
      </c>
      <c r="C7" s="5" t="n">
        <v>21482033</v>
      </c>
      <c r="D7" s="5" t="n">
        <v>18725669</v>
      </c>
      <c r="E7" s="5" t="n">
        <v>8362567</v>
      </c>
      <c r="F7" s="5" t="n">
        <v>8755235</v>
      </c>
      <c r="G7" s="6" t="n">
        <v>16273</v>
      </c>
    </row>
    <row r="8">
      <c r="A8" s="6" t="inlineStr">
        <is>
          <t>Fees and commission income (net of Trade Finance expense FY2025-FY2024; gross FY2023-FY2021 - see note)</t>
        </is>
      </c>
      <c r="B8" s="6" t="n">
        <v>2210138</v>
      </c>
      <c r="C8" s="6" t="n">
        <v>3457485</v>
      </c>
      <c r="D8" s="6" t="n">
        <v>6611004</v>
      </c>
      <c r="E8" s="6" t="n">
        <v>12316045</v>
      </c>
      <c r="F8" s="6" t="n">
        <v>10227474</v>
      </c>
    </row>
    <row r="9">
      <c r="A9" s="6" t="inlineStr">
        <is>
          <t>Profit on sale of investments and debt securities</t>
        </is>
      </c>
      <c r="B9" s="6" t="n">
        <v>1463060</v>
      </c>
      <c r="C9" s="6" t="n">
        <v>248249</v>
      </c>
      <c r="D9" s="6" t="n">
        <v>499009</v>
      </c>
      <c r="E9" s="6" t="n">
        <v>1252198</v>
      </c>
      <c r="F9" s="6" t="n">
        <v>1937399</v>
      </c>
    </row>
    <row r="10">
      <c r="A10" s="6" t="inlineStr">
        <is>
          <t>Net foreign currency gains/(dealing profits)</t>
        </is>
      </c>
      <c r="B10" s="6" t="n">
        <v>233256</v>
      </c>
      <c r="C10" s="6" t="n">
        <v>765137</v>
      </c>
      <c r="D10" s="6" t="n">
        <v>176126</v>
      </c>
      <c r="E10" s="6" t="n">
        <v>280255</v>
      </c>
      <c r="F10" s="6" t="n">
        <v>189766</v>
      </c>
    </row>
    <row r="11">
      <c r="A11" s="5" t="inlineStr">
        <is>
          <t>Operating income</t>
        </is>
      </c>
      <c r="B11" s="5" t="n">
        <v>24828399</v>
      </c>
      <c r="C11" s="5" t="n">
        <v>25952904</v>
      </c>
      <c r="D11" s="5" t="n">
        <v>26011808</v>
      </c>
      <c r="E11" s="5" t="n">
        <v>22211065</v>
      </c>
      <c r="F11" s="5" t="n">
        <v>21109874</v>
      </c>
    </row>
    <row r="12">
      <c r="A12" s="5" t="inlineStr">
        <is>
          <t>Operating expenses</t>
        </is>
      </c>
      <c r="B12" s="6" t="n"/>
      <c r="C12" s="6" t="n"/>
      <c r="D12" s="6" t="n"/>
      <c r="E12" s="6" t="n"/>
      <c r="F12" s="6" t="n"/>
    </row>
    <row r="13">
      <c r="A13" s="6" t="inlineStr">
        <is>
          <t>Staff costs (Administrative expenses FY2021 - see note)</t>
        </is>
      </c>
      <c r="B13" s="6" t="n">
        <v>-11077928</v>
      </c>
      <c r="C13" s="6" t="n">
        <v>-10618557</v>
      </c>
      <c r="D13" s="6" t="n">
        <v>-10150025</v>
      </c>
      <c r="E13" s="6" t="n">
        <v>-8523451</v>
      </c>
      <c r="F13" s="6" t="n">
        <v>-12064461</v>
      </c>
    </row>
    <row r="14">
      <c r="A14" s="6" t="inlineStr">
        <is>
          <t>Depreciation and amortisation</t>
        </is>
      </c>
      <c r="B14" s="6" t="n">
        <v>-1349478</v>
      </c>
      <c r="C14" s="6" t="n">
        <v>-1150941</v>
      </c>
      <c r="D14" s="6" t="n">
        <v>-1183345</v>
      </c>
      <c r="E14" s="6" t="n">
        <v>-791016</v>
      </c>
      <c r="F14" s="6" t="n">
        <v>-1273488</v>
      </c>
    </row>
    <row r="15">
      <c r="A15" s="6" t="inlineStr">
        <is>
          <t>Other operating charges</t>
        </is>
      </c>
      <c r="B15" s="6" t="n">
        <v>-6927010</v>
      </c>
      <c r="C15" s="6" t="n">
        <v>-6292275</v>
      </c>
      <c r="D15" s="6" t="n">
        <v>-5846753</v>
      </c>
      <c r="E15" s="6" t="n">
        <v>-5788032</v>
      </c>
      <c r="F15" s="6" t="n">
        <v>-7916877</v>
      </c>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row>
    <row r="17">
      <c r="A17" s="5" t="inlineStr">
        <is>
          <t>Operating profit</t>
        </is>
      </c>
      <c r="B17" s="5" t="n">
        <v>5473983</v>
      </c>
      <c r="C17" s="5" t="n">
        <v>7891131</v>
      </c>
      <c r="D17" s="5" t="n">
        <v>8831685</v>
      </c>
      <c r="E17" s="5" t="n">
        <v>7108566</v>
      </c>
      <c r="F17" s="5" t="n">
        <v>-144952</v>
      </c>
    </row>
    <row r="18">
      <c r="A18" s="6" t="inlineStr">
        <is>
          <t>Net impairment (charge)/reversal on financial assets (Provisions for bad and doubtful debts)</t>
        </is>
      </c>
      <c r="B18" s="6" t="n">
        <v>0</v>
      </c>
      <c r="C18" s="6" t="n">
        <v>0</v>
      </c>
      <c r="D18" s="6" t="n">
        <v>0</v>
      </c>
      <c r="E18" s="6" t="n">
        <v>0</v>
      </c>
      <c r="F18" s="6" t="n">
        <v>443787</v>
      </c>
    </row>
    <row r="19">
      <c r="A19" s="5" t="inlineStr">
        <is>
          <t>Profit on ordinary activities before tax</t>
        </is>
      </c>
      <c r="B19" s="5" t="n">
        <v>5473983</v>
      </c>
      <c r="C19" s="5" t="n">
        <v>7891131</v>
      </c>
      <c r="D19" s="5" t="n">
        <v>8831685</v>
      </c>
      <c r="E19" s="5" t="n">
        <v>7108566</v>
      </c>
      <c r="F19" s="5" t="n">
        <v>298835</v>
      </c>
    </row>
    <row r="20">
      <c r="A20" s="6" t="inlineStr">
        <is>
          <t>Tax (charge)/credit on profit on ordinary activities</t>
        </is>
      </c>
      <c r="B20" s="6" t="n">
        <v>-1534265</v>
      </c>
      <c r="C20" s="6" t="n">
        <v>-2101399</v>
      </c>
      <c r="D20" s="6" t="n">
        <v>-2180685</v>
      </c>
      <c r="E20" s="6" t="n">
        <v>-1407287</v>
      </c>
      <c r="F20" s="6" t="n">
        <v>-209949</v>
      </c>
    </row>
    <row r="21">
      <c r="A21" s="5" t="inlineStr">
        <is>
          <t>Profit for the period</t>
        </is>
      </c>
      <c r="B21" s="5" t="n">
        <v>3939718</v>
      </c>
      <c r="C21" s="5" t="n">
        <v>5789732</v>
      </c>
      <c r="D21" s="5" t="n">
        <v>6651000</v>
      </c>
      <c r="E21" s="5" t="n">
        <v>5701279</v>
      </c>
      <c r="F21" s="5" t="n">
        <v>88886</v>
      </c>
    </row>
    <row r="22">
      <c r="A22" s="6" t="inlineStr">
        <is>
          <t>Other comprehensive income</t>
        </is>
      </c>
      <c r="B22" s="6" t="n">
        <v>0</v>
      </c>
      <c r="C22" s="6" t="n">
        <v>0</v>
      </c>
      <c r="D22" s="6" t="n">
        <v>0</v>
      </c>
      <c r="E22" s="6" t="n">
        <v>0</v>
      </c>
      <c r="F22" s="6" t="n">
        <v>0</v>
      </c>
    </row>
    <row r="23">
      <c r="A23" s="5" t="inlineStr">
        <is>
          <t>Total comprehensive income for the period</t>
        </is>
      </c>
      <c r="B23" s="5" t="n">
        <v>3939718</v>
      </c>
      <c r="C23" s="5" t="n">
        <v>5789732</v>
      </c>
      <c r="D23" s="5" t="n">
        <v>6651000</v>
      </c>
      <c r="E23" s="5" t="n">
        <v>5701279</v>
      </c>
      <c r="F23" s="5" t="n">
        <v>88886</v>
      </c>
    </row>
    <row r="24"/>
    <row r="25" ht="380" customHeight="1">
      <c r="A25"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101280910</v>
      </c>
      <c r="C5" s="5" t="n">
        <v>-44497653</v>
      </c>
      <c r="D5" s="5" t="n">
        <v>-110688337</v>
      </c>
      <c r="E5" s="5" t="n">
        <v>-91172027</v>
      </c>
      <c r="F5" s="5" t="n">
        <v>5256681</v>
      </c>
    </row>
    <row r="6">
      <c r="A6" s="5" t="inlineStr">
        <is>
          <t>Investing activities</t>
        </is>
      </c>
      <c r="B6" s="6" t="n"/>
      <c r="C6" s="6" t="n"/>
      <c r="D6" s="6" t="n"/>
      <c r="E6" s="6" t="n"/>
      <c r="F6" s="6" t="n"/>
    </row>
    <row r="7">
      <c r="A7" s="5" t="inlineStr">
        <is>
          <t>Net cash generated/(used) from investing activities</t>
        </is>
      </c>
      <c r="B7" s="5" t="n">
        <v>-122997984</v>
      </c>
      <c r="C7" s="5" t="n">
        <v>21089132</v>
      </c>
      <c r="D7" s="5" t="n">
        <v>-16905485</v>
      </c>
      <c r="E7" s="5" t="n">
        <v>83292813</v>
      </c>
      <c r="F7" s="5" t="n">
        <v>-5782456</v>
      </c>
    </row>
    <row r="8">
      <c r="A8" s="5" t="inlineStr">
        <is>
          <t>Financing activities</t>
        </is>
      </c>
      <c r="B8" s="6" t="n"/>
      <c r="C8" s="6" t="n"/>
      <c r="D8" s="6" t="n"/>
      <c r="E8" s="6" t="n"/>
      <c r="F8" s="6" t="n"/>
    </row>
    <row r="9">
      <c r="A9" s="5" t="inlineStr">
        <is>
          <t>Net cash generated/(used) in financing activities</t>
        </is>
      </c>
      <c r="B9" s="5" t="n">
        <v>27813180</v>
      </c>
      <c r="C9" s="5" t="n">
        <v>-2299886</v>
      </c>
      <c r="D9" s="5" t="n">
        <v>-4776099</v>
      </c>
      <c r="E9" s="5" t="n">
        <v>-2491694</v>
      </c>
      <c r="F9" s="5" t="n">
        <v>0</v>
      </c>
    </row>
    <row r="10">
      <c r="A10" s="5" t="inlineStr">
        <is>
          <t>Net decrease/(increase) in cash and cash equivalents</t>
        </is>
      </c>
      <c r="B10" s="5" t="n">
        <v>6096106</v>
      </c>
      <c r="C10" s="5" t="n">
        <v>-25708407</v>
      </c>
      <c r="D10" s="5" t="n">
        <v>-132369921</v>
      </c>
      <c r="E10" s="5" t="n">
        <v>-10370908</v>
      </c>
      <c r="F10" s="5" t="n">
        <v>-525775</v>
      </c>
    </row>
    <row r="11">
      <c r="A11" s="6" t="inlineStr">
        <is>
          <t>Cash and cash equivalents at the beginning of year</t>
        </is>
      </c>
      <c r="B11" s="6" t="n">
        <v>286126277</v>
      </c>
      <c r="C11" s="6" t="n">
        <v>308342852</v>
      </c>
      <c r="D11" s="6" t="n">
        <v>459632745</v>
      </c>
      <c r="E11" s="6" t="n">
        <v>53727035</v>
      </c>
      <c r="F11" s="6" t="n">
        <v>54252810</v>
      </c>
    </row>
    <row r="12">
      <c r="A12" s="6" t="inlineStr">
        <is>
          <t>Effect of foreign exchange rate changes</t>
        </is>
      </c>
      <c r="B12" s="6" t="n">
        <v>-15465348</v>
      </c>
      <c r="C12" s="6" t="n">
        <v>3491832</v>
      </c>
      <c r="D12" s="6" t="n">
        <v>-18919972</v>
      </c>
      <c r="E12" s="6" t="n"/>
      <c r="F12" s="6" t="n"/>
    </row>
    <row r="13">
      <c r="A13" s="5" t="inlineStr">
        <is>
          <t>Cash and cash equivalents at the end of year</t>
        </is>
      </c>
      <c r="B13" s="5" t="n">
        <v>276757036</v>
      </c>
      <c r="C13" s="5" t="n">
        <v>286126277</v>
      </c>
      <c r="D13" s="5" t="n">
        <v>308342852</v>
      </c>
      <c r="E13" s="5" t="n">
        <v>43356127</v>
      </c>
      <c r="F13" s="5" t="n">
        <v>53727035</v>
      </c>
    </row>
    <row r="15" ht="190" customHeight="1">
      <c r="A15" s="9"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Gross loans and advances to customers by geography</t>
        </is>
      </c>
      <c r="B4" s="6" t="n"/>
      <c r="C4" s="6" t="n"/>
      <c r="D4" s="6" t="n"/>
      <c r="E4" s="6" t="n"/>
      <c r="F4" s="6" t="n"/>
    </row>
    <row r="5">
      <c r="A5" s="6" t="inlineStr">
        <is>
          <t>Europe and North America</t>
        </is>
      </c>
      <c r="B5" s="6" t="n">
        <v>433660879</v>
      </c>
      <c r="C5" s="6" t="n">
        <v>147230099</v>
      </c>
      <c r="D5" s="6" t="n">
        <v>17850413</v>
      </c>
      <c r="E5" s="6" t="n">
        <v>6344117</v>
      </c>
      <c r="F5" s="6" t="n"/>
    </row>
    <row r="6">
      <c r="A6" s="6" t="inlineStr">
        <is>
          <t>Middle East and Egypt</t>
        </is>
      </c>
      <c r="B6" s="6" t="n">
        <v>54101742</v>
      </c>
      <c r="C6" s="6" t="n">
        <v>33418909</v>
      </c>
      <c r="D6" s="6" t="n">
        <v>43127670</v>
      </c>
      <c r="E6" s="6" t="n">
        <v>31305384</v>
      </c>
      <c r="F6" s="6" t="n"/>
    </row>
    <row r="7">
      <c r="A7" s="6" t="inlineStr">
        <is>
          <t>Rest of the world</t>
        </is>
      </c>
      <c r="B7" s="6" t="n">
        <v>0</v>
      </c>
      <c r="C7" s="6" t="n">
        <v>872115</v>
      </c>
      <c r="D7" s="6" t="n">
        <v>882686</v>
      </c>
      <c r="E7" s="6" t="n">
        <v>8854134</v>
      </c>
      <c r="F7" s="6" t="n"/>
    </row>
    <row r="8">
      <c r="A8" s="5" t="inlineStr">
        <is>
          <t>Gross loans and advances to customers</t>
        </is>
      </c>
      <c r="B8" s="5" t="n">
        <v>487762621</v>
      </c>
      <c r="C8" s="5" t="n">
        <v>181521123</v>
      </c>
      <c r="D8" s="5" t="n">
        <v>61860769</v>
      </c>
      <c r="E8" s="5" t="n">
        <v>46503635</v>
      </c>
      <c r="F8" s="5" t="n">
        <v>37151779</v>
      </c>
    </row>
    <row r="9">
      <c r="A9" s="6" t="inlineStr">
        <is>
          <t>Bad and doubtful debt provision - specific (explicitly disclosed as nil every year - not inferred)</t>
        </is>
      </c>
      <c r="B9" s="6" t="n">
        <v>0</v>
      </c>
      <c r="C9" s="6" t="n">
        <v>0</v>
      </c>
      <c r="D9" s="6" t="n">
        <v>0</v>
      </c>
      <c r="E9" s="6" t="n">
        <v>0</v>
      </c>
      <c r="F9" s="6" t="n">
        <v>0</v>
      </c>
    </row>
    <row r="10">
      <c r="A10" s="5" t="inlineStr">
        <is>
          <t>Net loans and advances to customers</t>
        </is>
      </c>
      <c r="B10" s="5" t="n">
        <v>487762621</v>
      </c>
      <c r="C10" s="5" t="n">
        <v>181521123</v>
      </c>
      <c r="D10" s="5" t="n">
        <v>61860769</v>
      </c>
      <c r="E10" s="5" t="n">
        <v>46503635</v>
      </c>
      <c r="F10" s="5" t="n">
        <v>37151779</v>
      </c>
    </row>
    <row r="11">
      <c r="A11" s="5" t="inlineStr">
        <is>
          <t>Bad and doubtful debt provision movement and non-performing loans</t>
        </is>
      </c>
      <c r="B11" s="6" t="n"/>
      <c r="C11" s="6" t="n"/>
      <c r="D11" s="6" t="n"/>
      <c r="E11" s="6" t="n"/>
      <c r="F11" s="6" t="n"/>
    </row>
    <row r="12">
      <c r="A12" s="6" t="inlineStr">
        <is>
          <t>Net (release)/charge of provisions for bad and doubtful debts</t>
        </is>
      </c>
      <c r="B12" s="6" t="n">
        <v>0</v>
      </c>
      <c r="C12" s="6" t="n">
        <v>0</v>
      </c>
      <c r="D12" s="6" t="n">
        <v>0</v>
      </c>
      <c r="E12" s="6" t="n">
        <v>0</v>
      </c>
      <c r="F12" s="6" t="n">
        <v>-443787</v>
      </c>
    </row>
    <row r="13">
      <c r="A13" s="6" t="inlineStr">
        <is>
          <t>Non-performing loans, net of suspended interest (FY2021 only - see note)</t>
        </is>
      </c>
      <c r="B13" s="6" t="n"/>
      <c r="C13" s="6" t="n"/>
      <c r="D13" s="6" t="n"/>
      <c r="E13" s="6" t="n"/>
      <c r="F13" s="6" t="n">
        <v>0</v>
      </c>
    </row>
    <row r="15" ht="320" customHeight="1">
      <c r="A15" s="9"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s>
  <sheetData>
    <row r="1">
      <c r="A1" s="1" t="inlineStr">
        <is>
          <t>National Bank of Egypt (UK) Limited — KM1 Key Metrics</t>
        </is>
      </c>
    </row>
    <row r="2">
      <c r="A2" s="2" t="inlineStr">
        <is>
          <t>The Bank's own 'Template UK KM1 - Key metrics', reproduced whole in its own row order, row numbers, labels and precision, entity-level (NBEUK) basis, £000s for amounts and percentages as printed - the Bank prints its ratios as bare numbers (13.7, not 13.7%) and that is kept. FY2025, FY2024 and FY2023 are each from that year's own edition. FY2022 is the FY2023 edition's 31/12/2022 comparative column, because the FY2022 edition prints no KM1 at all. FY2021 is blank: no edition anywhere prints a 31/12/2021 KM1 column. Years before FY2021 are not shown - they predate the template entirely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 (£000s)</t>
        </is>
      </c>
      <c r="B5" s="6" t="n">
        <v>172460</v>
      </c>
      <c r="C5" s="6" t="n">
        <v>170750</v>
      </c>
      <c r="D5" s="6" t="n">
        <v>166857</v>
      </c>
      <c r="E5" s="6" t="n">
        <v>160206</v>
      </c>
    </row>
    <row r="6">
      <c r="A6" s="6" t="inlineStr">
        <is>
          <t>2 Tier 1 capital (£000s)</t>
        </is>
      </c>
      <c r="B6" s="6" t="n">
        <v>172460</v>
      </c>
      <c r="C6" s="6" t="n">
        <v>170750</v>
      </c>
      <c r="D6" s="6" t="n">
        <v>166857</v>
      </c>
      <c r="E6" s="6" t="n">
        <v>160206</v>
      </c>
    </row>
    <row r="7">
      <c r="A7" s="6" t="inlineStr">
        <is>
          <t>3 Total capital (£000s)</t>
        </is>
      </c>
      <c r="B7" s="6" t="n">
        <v>230038</v>
      </c>
      <c r="C7" s="6" t="n">
        <v>201853</v>
      </c>
      <c r="D7" s="6" t="n">
        <v>197905</v>
      </c>
      <c r="E7" s="6" t="n">
        <v>195090</v>
      </c>
    </row>
    <row r="8">
      <c r="A8" s="5" t="inlineStr">
        <is>
          <t>Risk-weighted exposure amounts £000s</t>
        </is>
      </c>
      <c r="B8" s="6" t="n"/>
      <c r="C8" s="6" t="n"/>
      <c r="D8" s="6" t="n"/>
      <c r="E8" s="6" t="n"/>
    </row>
    <row r="9">
      <c r="A9" s="6" t="inlineStr">
        <is>
          <t>4 Total risk-weighted exposure amount (£000s)</t>
        </is>
      </c>
      <c r="B9" s="6" t="n">
        <v>1261174</v>
      </c>
      <c r="C9" s="6" t="n">
        <v>1047061</v>
      </c>
      <c r="D9" s="6" t="n">
        <v>962119</v>
      </c>
      <c r="E9" s="6" t="n">
        <v>951508</v>
      </c>
    </row>
    <row r="10">
      <c r="A10" s="5" t="inlineStr">
        <is>
          <t>Capital ratios (as a percentage of risk-weighted exposure amount)</t>
        </is>
      </c>
      <c r="B10" s="6" t="n"/>
      <c r="C10" s="6" t="n"/>
      <c r="D10" s="6" t="n"/>
      <c r="E10" s="6" t="n"/>
    </row>
    <row r="11">
      <c r="A11" s="6" t="inlineStr">
        <is>
          <t>5 Common Equity Tier 1 ratio (%)</t>
        </is>
      </c>
      <c r="B11" s="6" t="inlineStr">
        <is>
          <t>13.7</t>
        </is>
      </c>
      <c r="C11" s="6" t="inlineStr">
        <is>
          <t>16.31</t>
        </is>
      </c>
      <c r="D11" s="6" t="inlineStr">
        <is>
          <t>17.3</t>
        </is>
      </c>
      <c r="E11" s="6" t="inlineStr">
        <is>
          <t>16.8</t>
        </is>
      </c>
    </row>
    <row r="12">
      <c r="A12" s="6" t="inlineStr">
        <is>
          <t>6 Tier 1 ratio (%)</t>
        </is>
      </c>
      <c r="B12" s="6" t="inlineStr">
        <is>
          <t>13.7</t>
        </is>
      </c>
      <c r="C12" s="6" t="inlineStr">
        <is>
          <t>16.31</t>
        </is>
      </c>
      <c r="D12" s="6" t="inlineStr">
        <is>
          <t>17.3</t>
        </is>
      </c>
      <c r="E12" s="6" t="inlineStr">
        <is>
          <t>16.8</t>
        </is>
      </c>
    </row>
    <row r="13">
      <c r="A13" s="6" t="inlineStr">
        <is>
          <t>7 Total capital ratio (%)</t>
        </is>
      </c>
      <c r="B13" s="6" t="inlineStr">
        <is>
          <t>18.2</t>
        </is>
      </c>
      <c r="C13" s="6" t="inlineStr">
        <is>
          <t>19.28</t>
        </is>
      </c>
      <c r="D13" s="6" t="inlineStr">
        <is>
          <t>20.6</t>
        </is>
      </c>
      <c r="E13" s="6" t="inlineStr">
        <is>
          <t>20.5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2.7</t>
        </is>
      </c>
      <c r="C15" s="6" t="inlineStr">
        <is>
          <t>2.71</t>
        </is>
      </c>
      <c r="D15" s="6" t="inlineStr">
        <is>
          <t>2.7</t>
        </is>
      </c>
      <c r="E15" s="6" t="inlineStr">
        <is>
          <t>2.7</t>
        </is>
      </c>
    </row>
    <row r="16">
      <c r="A16" s="6" t="inlineStr">
        <is>
          <t>UK 7b Additional AT1 SREP requirements (%)</t>
        </is>
      </c>
      <c r="B16" s="6" t="inlineStr">
        <is>
          <t>0.9</t>
        </is>
      </c>
      <c r="C16" s="6" t="inlineStr">
        <is>
          <t>0.91</t>
        </is>
      </c>
      <c r="D16" s="6" t="inlineStr">
        <is>
          <t>0.9</t>
        </is>
      </c>
      <c r="E16" s="6" t="inlineStr">
        <is>
          <t>0.9</t>
        </is>
      </c>
    </row>
    <row r="17">
      <c r="A17" s="6" t="inlineStr">
        <is>
          <t>UK 7c Additional T2 SREP requirements (%)</t>
        </is>
      </c>
      <c r="B17" s="6" t="inlineStr">
        <is>
          <t>1.2</t>
        </is>
      </c>
      <c r="C17" s="6" t="inlineStr">
        <is>
          <t>1.20</t>
        </is>
      </c>
      <c r="D17" s="6" t="inlineStr">
        <is>
          <t>1.2</t>
        </is>
      </c>
      <c r="E17" s="6" t="inlineStr">
        <is>
          <t>1.2</t>
        </is>
      </c>
    </row>
    <row r="18">
      <c r="A18" s="6" t="inlineStr">
        <is>
          <t>UK 7d Total SREP own funds requirements (%)</t>
        </is>
      </c>
      <c r="B18" s="6" t="inlineStr">
        <is>
          <t>12.8</t>
        </is>
      </c>
      <c r="C18" s="6" t="inlineStr">
        <is>
          <t>12.82</t>
        </is>
      </c>
      <c r="D18" s="6" t="inlineStr">
        <is>
          <t>12.9</t>
        </is>
      </c>
      <c r="E18" s="6" t="inlineStr">
        <is>
          <t>12.9</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2.50</t>
        </is>
      </c>
      <c r="D20" s="6" t="inlineStr">
        <is>
          <t>2.5</t>
        </is>
      </c>
      <c r="E20" s="6" t="inlineStr">
        <is>
          <t>2.5</t>
        </is>
      </c>
    </row>
    <row r="21">
      <c r="A21" s="6" t="inlineStr">
        <is>
          <t>UK 8a Conservation buffer due to macro-prudential or systemic risk identified at the level of a Member State (%)</t>
        </is>
      </c>
      <c r="B21" s="6" t="n"/>
      <c r="C21" s="6" t="n"/>
      <c r="D21" s="6" t="n"/>
      <c r="E21" s="6" t="n"/>
    </row>
    <row r="22">
      <c r="A22" s="6" t="inlineStr">
        <is>
          <t>9 Institution specific countercyclical capital buffer (%)</t>
        </is>
      </c>
      <c r="B22" s="6" t="inlineStr">
        <is>
          <t>0.7</t>
        </is>
      </c>
      <c r="C22" s="6" t="inlineStr">
        <is>
          <t>0.33</t>
        </is>
      </c>
      <c r="D22" s="6" t="inlineStr">
        <is>
          <t>0.3</t>
        </is>
      </c>
      <c r="E22" s="6" t="n"/>
    </row>
    <row r="23">
      <c r="A23" s="6" t="inlineStr">
        <is>
          <t>UK 9a Systemic risk buffer (%)</t>
        </is>
      </c>
      <c r="B23" s="6" t="n"/>
      <c r="C23" s="6" t="n"/>
      <c r="D23" s="6" t="n"/>
      <c r="E23" s="6" t="n"/>
    </row>
    <row r="24">
      <c r="A24" s="6" t="inlineStr">
        <is>
          <t>10 Global Systemically Important Institution buffer (%)</t>
        </is>
      </c>
      <c r="B24" s="6" t="n"/>
      <c r="C24" s="6" t="n"/>
      <c r="D24" s="6" t="n"/>
      <c r="E24" s="6" t="n"/>
    </row>
    <row r="25">
      <c r="A25" s="6" t="inlineStr">
        <is>
          <t>UK 10a Other Systemically Important Institution buffer</t>
        </is>
      </c>
      <c r="B25" s="6" t="n"/>
      <c r="C25" s="6" t="n"/>
      <c r="D25" s="6" t="n"/>
      <c r="E25" s="6" t="n"/>
    </row>
    <row r="26">
      <c r="A26" s="6" t="inlineStr">
        <is>
          <t>11 Combined buffer requirement (%)</t>
        </is>
      </c>
      <c r="B26" s="6" t="inlineStr">
        <is>
          <t>3.2</t>
        </is>
      </c>
      <c r="C26" s="6" t="inlineStr">
        <is>
          <t>2.83</t>
        </is>
      </c>
      <c r="D26" s="6" t="inlineStr">
        <is>
          <t>2.8</t>
        </is>
      </c>
      <c r="E26" s="6" t="inlineStr">
        <is>
          <t>2.5</t>
        </is>
      </c>
    </row>
    <row r="27">
      <c r="A27" s="6" t="inlineStr">
        <is>
          <t>UK 11a Overall capital requirements (%)</t>
        </is>
      </c>
      <c r="B27" s="6" t="inlineStr">
        <is>
          <t>16.1</t>
        </is>
      </c>
      <c r="C27" s="6" t="inlineStr">
        <is>
          <t>15.65</t>
        </is>
      </c>
      <c r="D27" s="6" t="inlineStr">
        <is>
          <t>15.7</t>
        </is>
      </c>
      <c r="E27" s="6" t="inlineStr">
        <is>
          <t>15.4</t>
        </is>
      </c>
    </row>
    <row r="28">
      <c r="A28" s="6" t="inlineStr">
        <is>
          <t>12 CET1 available after meeting the total SREP own funds requirements (%)</t>
        </is>
      </c>
      <c r="B28" s="6" t="inlineStr">
        <is>
          <t>6.5</t>
        </is>
      </c>
      <c r="C28" s="6" t="inlineStr">
        <is>
          <t>9.10</t>
        </is>
      </c>
      <c r="D28" s="6" t="inlineStr">
        <is>
          <t>10.1</t>
        </is>
      </c>
      <c r="E28" s="6" t="inlineStr">
        <is>
          <t>9.6</t>
        </is>
      </c>
    </row>
    <row r="29">
      <c r="A29" s="5" t="inlineStr">
        <is>
          <t>Leverage ratio</t>
        </is>
      </c>
      <c r="B29" s="6" t="n"/>
      <c r="C29" s="6" t="n"/>
      <c r="D29" s="6" t="n"/>
      <c r="E29" s="6" t="n"/>
    </row>
    <row r="30">
      <c r="A30" s="6" t="inlineStr">
        <is>
          <t>13 Total exposure measure excluding claims on central banks (£000s)</t>
        </is>
      </c>
      <c r="B30" s="6" t="n">
        <v>1866639</v>
      </c>
      <c r="C30" s="6" t="n">
        <v>1469717</v>
      </c>
      <c r="D30" s="6" t="n">
        <v>1382667</v>
      </c>
      <c r="E30" s="6" t="n">
        <v>1611977</v>
      </c>
    </row>
    <row r="31">
      <c r="A31" s="6" t="inlineStr">
        <is>
          <t>14 Leverage ratio excluding claims on central banks (%)</t>
        </is>
      </c>
      <c r="B31" s="6" t="inlineStr">
        <is>
          <t>9.2</t>
        </is>
      </c>
      <c r="C31" s="6" t="inlineStr">
        <is>
          <t>11.6</t>
        </is>
      </c>
      <c r="D31" s="6" t="inlineStr">
        <is>
          <t>12.1</t>
        </is>
      </c>
      <c r="E31" s="6" t="inlineStr">
        <is>
          <t>9.9</t>
        </is>
      </c>
    </row>
    <row r="32">
      <c r="A32" s="5" t="inlineStr">
        <is>
          <t>Additional leverage ratio disclosure requirements</t>
        </is>
      </c>
      <c r="B32" s="6" t="n"/>
      <c r="C32" s="6" t="n"/>
      <c r="D32" s="6" t="n"/>
      <c r="E32" s="6" t="n"/>
    </row>
    <row r="33">
      <c r="A33" s="6" t="inlineStr">
        <is>
          <t>14a Fully loaded ECL accounting model leverage ratio excluding claims on central banks (%)</t>
        </is>
      </c>
      <c r="B33" s="6" t="n"/>
      <c r="C33" s="6" t="n"/>
      <c r="D33" s="6" t="inlineStr">
        <is>
          <t>12.1</t>
        </is>
      </c>
      <c r="E33" s="6" t="inlineStr">
        <is>
          <t>9.9</t>
        </is>
      </c>
    </row>
    <row r="34">
      <c r="A34" s="6" t="inlineStr">
        <is>
          <t>14b Leverage ratio including claims on central banks (%)</t>
        </is>
      </c>
      <c r="B34" s="6" t="inlineStr">
        <is>
          <t>9.2</t>
        </is>
      </c>
      <c r="C34" s="6" t="inlineStr">
        <is>
          <t>11.6</t>
        </is>
      </c>
      <c r="D34" s="6" t="inlineStr">
        <is>
          <t>12.1</t>
        </is>
      </c>
      <c r="E34" s="6" t="inlineStr">
        <is>
          <t>9.9</t>
        </is>
      </c>
    </row>
    <row r="35">
      <c r="A35" s="5" t="inlineStr">
        <is>
          <t>Liquidity Coverage Ratio</t>
        </is>
      </c>
      <c r="B35" s="6" t="n"/>
      <c r="C35" s="6" t="n"/>
      <c r="D35" s="6" t="n"/>
      <c r="E35" s="6" t="n"/>
    </row>
    <row r="36">
      <c r="A36" s="6" t="inlineStr">
        <is>
          <t>15 Total high-quality liquid assets (HQLA) (Weighted value - average) (£000s)</t>
        </is>
      </c>
      <c r="B36" s="6" t="n">
        <v>162904</v>
      </c>
      <c r="C36" s="6" t="n">
        <v>161608</v>
      </c>
      <c r="D36" s="6" t="n">
        <v>170092</v>
      </c>
      <c r="E36" s="6" t="n">
        <v>196635</v>
      </c>
    </row>
    <row r="37">
      <c r="A37" s="6" t="inlineStr">
        <is>
          <t>UK 16a Cash outflows - Total weighted value (£000s)</t>
        </is>
      </c>
      <c r="B37" s="6" t="n">
        <v>166904</v>
      </c>
      <c r="C37" s="6" t="n">
        <v>154826</v>
      </c>
      <c r="D37" s="6" t="n">
        <v>175689</v>
      </c>
      <c r="E37" s="6" t="n">
        <v>265921</v>
      </c>
    </row>
    <row r="38">
      <c r="A38" s="6" t="inlineStr">
        <is>
          <t>UK 16b Cash inflows - Total weighted value (£000s)</t>
        </is>
      </c>
      <c r="B38" s="6" t="n">
        <v>227895</v>
      </c>
      <c r="C38" s="6" t="n">
        <v>374963</v>
      </c>
      <c r="D38" s="6" t="n">
        <v>303103</v>
      </c>
      <c r="E38" s="6" t="n">
        <v>437377</v>
      </c>
    </row>
    <row r="39">
      <c r="A39" s="6" t="inlineStr">
        <is>
          <t>16 Total net cash outflows (adjusted value) (£000s)</t>
        </is>
      </c>
      <c r="B39" s="6" t="n">
        <v>41726</v>
      </c>
      <c r="C39" s="6" t="n">
        <v>38707</v>
      </c>
      <c r="D39" s="6" t="n">
        <v>43922</v>
      </c>
      <c r="E39" s="6" t="n">
        <v>66480</v>
      </c>
    </row>
    <row r="40">
      <c r="A40" s="6" t="inlineStr">
        <is>
          <t>17 Liquidity coverage ratio (%)</t>
        </is>
      </c>
      <c r="B40" s="6" t="inlineStr">
        <is>
          <t>390</t>
        </is>
      </c>
      <c r="C40" s="6" t="inlineStr">
        <is>
          <t>418</t>
        </is>
      </c>
      <c r="D40" s="6" t="inlineStr">
        <is>
          <t>387</t>
        </is>
      </c>
      <c r="E40" s="6" t="inlineStr">
        <is>
          <t>296</t>
        </is>
      </c>
    </row>
    <row r="41">
      <c r="A41" s="5" t="inlineStr">
        <is>
          <t>Net Stable Funding Ratio</t>
        </is>
      </c>
      <c r="B41" s="6" t="n"/>
      <c r="C41" s="6" t="n"/>
      <c r="D41" s="6" t="n"/>
      <c r="E41" s="6" t="n"/>
    </row>
    <row r="42">
      <c r="A42" s="6" t="inlineStr">
        <is>
          <t>18 Total available stable funding (£000s)</t>
        </is>
      </c>
      <c r="B42" s="6" t="n">
        <v>1075320</v>
      </c>
      <c r="C42" s="6" t="n">
        <v>923549</v>
      </c>
      <c r="D42" s="6" t="n">
        <v>811359</v>
      </c>
      <c r="E42" s="6" t="n">
        <v>579930</v>
      </c>
    </row>
    <row r="43">
      <c r="A43" s="6" t="inlineStr">
        <is>
          <t>19 Total required stable funding (£000s)</t>
        </is>
      </c>
      <c r="B43" s="6" t="n">
        <v>715469</v>
      </c>
      <c r="C43" s="6" t="n">
        <v>476002</v>
      </c>
      <c r="D43" s="6" t="n">
        <v>460395</v>
      </c>
      <c r="E43" s="6" t="n">
        <v>428828</v>
      </c>
    </row>
    <row r="44">
      <c r="A44" s="6" t="inlineStr">
        <is>
          <t>20 NSFR ratio (%)</t>
        </is>
      </c>
      <c r="B44" s="6" t="inlineStr">
        <is>
          <t>150</t>
        </is>
      </c>
      <c r="C44" s="6" t="inlineStr">
        <is>
          <t>194</t>
        </is>
      </c>
      <c r="D44" s="6" t="inlineStr">
        <is>
          <t>176</t>
        </is>
      </c>
      <c r="E44" s="6" t="inlineStr">
        <is>
          <t>135</t>
        </is>
      </c>
    </row>
    <row r="46" ht="420" customHeight="1">
      <c r="A46"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KM1 SHEET SOURCES - one edition per column:
FY2025: Pillar 3 Disclosures 31 December 2025, section 2 'KEY METRICS', Template UK KM1, p.4 - https://www.nbeuk.com/wp-content/uploads/2026/04/NBEUK-Pillar-3-Disclosures-31st-December-2025.pdf
FY2024: Pillar 3 Disclosures 31 December 2024, section 2 'KEY METRICS', Template UK KM1, p.4 - https://www.nbeuk.com/wp-content/uploads/2025/04/Pillar-3-Disclosures-31st-December-2024.pdf
FY2023: Pillar 3 Disclosures 31 December 2023, section 2 'KEY METRICS', Template UK KM1, p.4 - https://www.nbeuk.com/wp-content/uploads/2024/09/Pillar-3-Disclosures-31st-December-2023-FINAL.pdf
FY2022: THE FY2022 EDITION PRINTS NO KM1 TEMPLATE, so this column is the FY2023 edition's own 31/12/2022 comparative column (same table, p.4). This is the one filled-from-a-comparative column on this sheet and it is flagged so a reader can always tell it from an own-edition column. It is filled rather than blanked because the FY2022 document publishes no such table for a later one to displace: the FY2022 edition (https://www.nbeuk.com/wp-content/uploads/2023/10/NBE-UK-Pillar-3-31-December-2022-approved.pdf) is a Basel II-style document whose section 9.0 'CAPITAL RESOURCES' and 10.0 'CAPITAL ADEQUACY' print a bespoke two-column table - called up share capital, retained earnings, Tier 1/Tier 2 after deductions, total exposures, RWAs, the four Pillar 1 capital requirement lines, a capital planning buffer, a solvency ratio, a capital adequacy ratio, a 'Tier 1 Capital Ratio (Leverage)' and a 'Total Capital Ratio'. That is NOT an unnumbered KM1: it has no SREP rows, no combined buffer requirement, no LCR and no NSFR rows, so mapping it onto template row numbers would invent a correspondence the Bank never published.
FY2021 AND EARLIER ARE BLANK. The FY2021 edition (https://www.nbeuk.com/wp-content/uploads/2023/05/Pillar-3-31-December-2021-approved.pdf) prints the same bespoke capital-resources/capital-adequacy pair as FY2022 and no template, and NO later edition carries a 31/12/2021 comparative - the FY2022 edition has no KM1 at all and the FY2023 edition's comparative column is 31/12/2022. So there is nothing to fill FY2021 from, on any basis, in any edition. The earlier years this workbook carries (FY2017 and the recovered Basel II years FY2015-FY2009) predate the UK KM1 template altogether and are not shown as columns on this sheet; their figures remain on the single-metric sheets, on the Basel II basis those sheets describe.
PAGE CITATIONS CORRECTED 2026-09-17. This script previously cited the FY2025 KM1 at p.5 in two places. The table is on the page whose own printed folio is 4, stated twice by the document: the page carries '4' in its header, and the contents page indexes section 2 'KEY METRICS' to page 3, with the narrative on p.3 and the table on p.4. The same holds in the FY2024 and FY2023 editions.
KNOWN DISAGREEMENTS WITH THE SINGLE-METRIC SHEETS - ALL IN FY2022, ALL CROSS-EDITION, NONE RECONCILED. The single-metric sheets carry FY2022 from the FY2022 edition's own bespoke table; this sheet carries the FY2023 edition's restated comparative for the same date. They differ on three rows and the differences are the finding, not an error:
  - Total capital: 195,090 here against 195,475 on the Total Capital sheet.
  - Total risk-weighted exposure amount: 951,508 here against 906,134 on the Total RWAs sheet (the FY2022 edition's own 'Risk Weighted Assets' line).
  - Leverage ratio: 9.9 here against 11.65% on the Leverage Ratio sheet. The FY2022 edition's figure is its row labelled 'Tier 1 Capital Ratio (Leverage)', computed on that table's own 'Total Exposures' of 1,375,734; the KM1 comparative uses a UK CRR total exposure measure of 1,611,977 for the same date. Different denominators on different bases, both printed by the Bank, neither adjusted here.
A fourth, smaller one sits in FY2025: row 7 prints 18.2 where the Total Capital Ratio sheet carries the Annual Report's more precise 18.24%, and row 17 prints 390 against the Annual Report's 390.41%. Those are the same figures at different precision and are left as each document printed them.</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t>
        </is>
      </c>
      <c r="B4" s="6" t="inlineStr">
        <is>
          <t>13.7%</t>
        </is>
      </c>
      <c r="C4" s="6" t="inlineStr">
        <is>
          <t>16.31%</t>
        </is>
      </c>
      <c r="D4" s="6" t="inlineStr">
        <is>
          <t>17.3%</t>
        </is>
      </c>
      <c r="E4" s="6" t="inlineStr">
        <is>
          <t>16.8%</t>
        </is>
      </c>
    </row>
    <row r="5" ht="60"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t>
        </is>
      </c>
      <c r="B4" s="6" t="inlineStr">
        <is>
          <t>13.7%</t>
        </is>
      </c>
      <c r="C4" s="6" t="inlineStr">
        <is>
          <t>16.31%</t>
        </is>
      </c>
      <c r="D4" s="6" t="inlineStr">
        <is>
          <t>17.3%</t>
        </is>
      </c>
      <c r="E4" s="6" t="inlineStr">
        <is>
          <t>16.8%</t>
        </is>
      </c>
    </row>
    <row r="5" ht="6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60"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60"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60"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9"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row>
    <row r="4">
      <c r="A4" s="6" t="inlineStr">
        <is>
          <t>Leverage ratio</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row>
    <row r="5" ht="60"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row>
    <row r="4">
      <c r="A4" s="6" t="inlineStr">
        <is>
          <t>Liquidity coverage ratio (12-month average, UK CRR basis)</t>
        </is>
      </c>
      <c r="B4" s="6" t="inlineStr">
        <is>
          <t>390.41%</t>
        </is>
      </c>
      <c r="C4" s="6" t="inlineStr">
        <is>
          <t>418%</t>
        </is>
      </c>
      <c r="D4" s="6" t="inlineStr">
        <is>
          <t>387%</t>
        </is>
      </c>
      <c r="E4" s="6" t="inlineStr">
        <is>
          <t>296%</t>
        </is>
      </c>
      <c r="F4" s="6" t="inlineStr">
        <is>
          <t>Not disclosed - FY2021 P3 s.5 (p.11) is prose only, no figure printed</t>
        </is>
      </c>
      <c r="G4" s="6" t="n"/>
      <c r="H4" s="6" t="n"/>
      <c r="I4" s="6" t="n"/>
      <c r="J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inlineStr">
        <is>
          <t>Not available - no 30/06/2014 edition; FY2015 table is single-column</t>
        </is>
      </c>
      <c r="J5" s="6" t="inlineStr">
        <is>
          <t>422%</t>
        </is>
      </c>
    </row>
    <row r="6" ht="60"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IS NOT QUANTIFIED ANYWHERE, and that was tested properly on 2026-09-18 rather than left as 'not located'. The FY2021 Pillar 3 (31 December 2021) was re-downloaded and read: its Section 5 'LIQUIDITY RISK' on printed p.11 is four paragraphs of prose with no table and no number, ending 'The LCR is comfortably above the minimum regulatory requirements and conforms to best practice standards' - an explicit refusal to state the figure, not an omission. The FY2022 edition's Section 5 does the same for both ratios ('The LCR of the Bank is comfortably above...', 'The NSFR is also comfortably above...'), so the neighbouring edition cannot supply it either, and the FY2023 edition's UK KM1 carries a 31/12/2022 comparative column only. FY2021 is the 18-month period ended 31 December 2021 and no KM1 was published for it at all. FY2014 is likewise unobtainable rather than merely unfound: the whole nbeuk.com domain was enumerated via Wayback CDX on 2026-09-18 (888 captured URLs, archive up and answering) and the only Pillar 3 editions ever captured are 30/06/2010, 30/06/2015, the undated /eng/pdf/mak16139-Pillar_3.pdf already cited here, 30/06/2017, 30/06/2018, 30/06/2019, 30/06/2020 and the December editions from 2021 on - there is no 30 June 2014 edition in the index, and the 30/06/2015 edition's Section 5 liquidity table was re-read at 200 dpi and is single-column (30 June 2015 only), unlike that same document's counterparty, provisions and exposure tables, which all print a 30/06/2014 comparative. So the FY2014 blank is a genuine absence in every document that can be reached, with the question of whether a 30 June 2014 edition was ever published left open.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RE-VERIFIED INDEPENDENTLY 2026-09-19, AND THE TWO BLANKS NOW SAY WHAT THEY ARE. (a) FY2021: the 31 December 2021 Pillar 3 was re-downloaded from the Bank's own site and re-read from the document, not from this note. The first attempt returned HTTP 403 with a bare 'Mozilla/5.0'; a full browser header set with a Referer returned HTTP 200, Content-Type application/pdf, %PDF magic bytes, 456,363 bytes - recorded because a 403 here is a fact about the request, never about the Bank. Extracted text is native (72,161 characters; richness control 418 occurrences of ' the '). Section 5 'LIQUIDITY RISK' on printed p.11 runs four paragraphs and ends, verbatim: 'The LCR is comfortably above the minimum regulatory requirements and conforms to best practice standards.' No table, no number. The string 'NSFR' occurs ONCE in the whole document, in a sentence about which daily reports the Financial Control team issues. So the FY2021 absence is the Bank declining to state a figure it plainly computes - outcome 'never published', and the cell says so rather than standing empty. (b) FY2014: the nbeuk.com domain was re-enumerated by Wayback CDX and now returns 972 captured URLs (up from 888 last year - the archive is live and answering, which is the positive control). Sixteen of them are Pillar 3 or Basel artefacts, and the edition list is unchanged: 30/06/2010, 30/06/2015, the undated mak16139 file, a 404-status capture of a 30/06/2016 filename, 30/06/2017, 2018, 30/06/2019, 30/06/2020 and the December editions from 2021 on. There is still no 30 June 2014 edition anywhere. The WordPress media REST endpoint - the one route that can list UNLINKED uploads - is blocked on this host (HTTP 401, 'itsec_rest_api_access_restricted', Kadence Security), so that rung was tried and failed and is reported as a limit rather than a result. FY2014 therefore stays classified UNREACHED, not never-published: its cell reads 'Not available', deliberately different wording from FY2021's, because the two are different findings.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inlineStr">
        <is>
          <t>Not applicable - UK NSFR began 1 Jan 2022; FY2021 P3 prints no figure</t>
        </is>
      </c>
      <c r="G4" s="6" t="inlineStr">
        <is>
          <t>Not applicable – this row is the UK CRR NSFR, in force from 1 Jan 2022 (PRA PS17/21); pre-2022 editions print only a Basel observation-period NFSR, carried on the row below where printed</t>
        </is>
      </c>
      <c r="H4" s="6" t="inlineStr">
        <is>
          <t>Not applicable – this row is the UK CRR NSFR, in force from 1 Jan 2022 (PRA PS17/21); pre-2022 editions print only a Basel observation-period NFSR, carried on the row below where printed</t>
        </is>
      </c>
      <c r="I4" s="6" t="inlineStr">
        <is>
          <t>Not applicable – this row is the UK CRR NSFR, in force from 1 Jan 2022 (PRA PS17/21); pre-2022 editions print only a Basel observation-period NFSR, carried on the row below where printed</t>
        </is>
      </c>
      <c r="J4" s="6" t="inlineStr">
        <is>
          <t>Not applicable – this row is the UK CRR NSFR, in force from 1 Jan 2022 (PRA PS17/21); pre-2022 editions print only a Basel observation-period NFSR, carried on the row below where printed</t>
        </is>
      </c>
      <c r="K4" s="6" t="inlineStr">
        <is>
          <t>Not applicable – this row is the UK CRR NSFR, in force from 1 Jan 2022 (PRA PS17/21); pre-2022 editions print only a Basel observation-period NFSR, carried on the row below where printed</t>
        </is>
      </c>
      <c r="L4" s="6" t="inlineStr">
        <is>
          <t>Not applicable – this row is the UK CRR NSFR, in force from 1 Jan 2022 (PRA PS17/21); pre-2022 editions print only a Basel observation-period NFSR, carried on the row below where printed</t>
        </is>
      </c>
      <c r="M4" s="6" t="inlineStr">
        <is>
          <t>Not applicable – this row is the UK CRR NSFR, in force from 1 Jan 2022 (PRA PS17/21); pre-2022 editions print only a Basel observation-period NFSR, carried on the row below where printed</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60"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is not quantified anywhere, and there are two reasons rather than one - the structural reason and a documentary one, both checked 2026-09-18. Structurally, the UK had no NSFR requirement or disclosure template before 1 January 2022, and FY2021 is the 18-month period ended 31 December 2021. Documentarily, the FY2021 Pillar 3's Section 5 (printed p.11) is prose with no figures at all, the FY2022 edition's equivalent section says only 'The NSFR is also comfortably above the minimum regulatory requirements', and the FY2023 edition's UK KM1 prints a 31/12/2022 comparative column and nothing earlier. So there is no NSFR figure to recover for FY2021 from any edition, and the cell stays blank. FY2017 is marked Not applicable on the same structural ground, and the FY2017 Pillar 3 confirms it directly: the NSFR was then on an 'observation period' with no figure disclosed. UPDATED 2026-09-19: FY2021 no longer stands BLANK - it now carries the same 'Not applicable' statement as FY2017 and earlier, with its own reason, because a blank cell cannot distinguish an established finding from a cell nobody examined and this one is established twice over. The structural half: the UK NSFR requirement began 1 January 2022 and FY2021 is the 18-month period ended 31 December 2021, one day before it. The documentary half, re-checked from the document today rather than from this note: the 31 December 2021 Pillar 3 was re-fetched (HTTP 200, application/pdf, %PDF, 456,363 bytes, 72,161 characters of native text, 418 occurrences of ' the ' as the richness control) and the string 'NSFR' appears ONCE in the entire document - in a sentence listing the daily reports the Financial Control team issues - with no figure anywhere. See the LCR sheet's note for the full re-verification, including the HTTP 403 that the first fetch attempt returned and which a fuller header set cleared.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published – NBE UK FY2025 Pillar 3 (full text searched 2026-09-19) contains no MREL figure or reference to MREL, loss-absorbing capacity or eligible liabilities</t>
        </is>
      </c>
      <c r="C4" s="6" t="inlineStr">
        <is>
          <t>Not published – NBE UK FY2024 Pillar 3 (full text searched 2026-09-19) contains no MREL figure or reference to MREL, loss-absorbing capacity or eligible liabilities</t>
        </is>
      </c>
      <c r="D4" s="6" t="inlineStr">
        <is>
          <t>Not published – NBE UK FY2023 Pillar 3 (full text searched 2026-09-19) contains no MREL figure or reference to MREL, loss-absorbing capacity or eligible liabilities</t>
        </is>
      </c>
      <c r="E4" s="6" t="inlineStr">
        <is>
          <t>Not published – NBE UK FY2022 Pillar 3 (full text searched 2026-09-19) contains no MREL figure or reference to MREL, loss-absorbing capacity or eligible liabilities</t>
        </is>
      </c>
      <c r="F4" s="6" t="inlineStr">
        <is>
          <t>Not published – NBE UK FY2021 Pillar 3 (full text searched 2026-09-19) contains no MREL figure or reference to MREL, loss-absorbing capacity or eligible liabilities</t>
        </is>
      </c>
      <c r="G4" s="6" t="inlineStr">
        <is>
          <t>Not published – NBE UK FY2017 Pillar 3 (full text searched 2026-09-19) contains no MREL figure or reference to MREL, loss-absorbing capacity or eligible liabilities</t>
        </is>
      </c>
      <c r="H4" s="6" t="inlineStr">
        <is>
          <t>Not published – NBE UK FY2015 Pillar 3 (full text searched 2026-09-19) contains no MREL figure or reference to MREL, loss-absorbing capacity or eligible liabilities</t>
        </is>
      </c>
      <c r="I4" s="6" t="inlineStr">
        <is>
          <t>Not applicable – MREL did not exist for a period ending 30 June 2014: it was created by the BRRD (Directive 2014/59/EU), transposed in the UK from 1 January 2015</t>
        </is>
      </c>
      <c r="J4" s="6" t="inlineStr">
        <is>
          <t>Not applicable – MREL did not exist for a period ending 30 June 2013: it was created by the BRRD (Directive 2014/59/EU), transposed in the UK from 1 January 2015</t>
        </is>
      </c>
      <c r="K4" s="6" t="inlineStr">
        <is>
          <t>Not applicable – MREL did not exist for a period ending 30 June 2012: it was created by the BRRD (Directive 2014/59/EU), transposed in the UK from 1 January 2015</t>
        </is>
      </c>
      <c r="L4" s="6" t="inlineStr">
        <is>
          <t>Not applicable – MREL did not exist for a period ending 30 June 2010: it was created by the BRRD (Directive 2014/59/EU), transposed in the UK from 1 January 2015</t>
        </is>
      </c>
      <c r="M4" s="6" t="inlineStr">
        <is>
          <t>Not applicable – MREL did not exist for a period ending 30 June 2009: it was created by the BRRD (Directive 2014/59/EU), transposed in the UK from 1 January 2015</t>
        </is>
      </c>
    </row>
    <row r="5" ht="6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15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2026-10-08T23:27:28Z</dcterms:created>
  <dcterms:modified xmlns:dcterms="http://purl.org/dc/terms/" xmlns:xsi="http://www.w3.org/2001/XMLSchema-instance" xsi:type="dcterms:W3CDTF">2026-10-08T23:27:28Z</dcterms:modified>
</cp:coreProperties>
</file>