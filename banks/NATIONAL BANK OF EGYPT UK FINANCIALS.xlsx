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B2D26"/>
        <bgColor rgb="007B2D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National Bank of Egypt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1795507271</v>
      </c>
      <c r="C6" s="5" t="n">
        <v>1378954291</v>
      </c>
      <c r="D6" s="5" t="n">
        <v>1351097994</v>
      </c>
      <c r="E6" s="5" t="n">
        <v>1326047320</v>
      </c>
      <c r="F6" s="5" t="n">
        <v>1212752908</v>
      </c>
      <c r="I6" t="inlineStr">
        <is>
          <t>Total assets</t>
        </is>
      </c>
      <c r="J6" t="n">
        <v>1212752908</v>
      </c>
      <c r="K6" t="n">
        <v>1326047320</v>
      </c>
      <c r="L6" t="n">
        <v>1351097994</v>
      </c>
      <c r="M6" t="n">
        <v>1378954291</v>
      </c>
      <c r="N6" t="n">
        <v>1795507271</v>
      </c>
      <c r="AO6" t="inlineStr">
        <is>
          <t>CET1 Ratio</t>
        </is>
      </c>
      <c r="AQ6" t="n">
        <v>16.8</v>
      </c>
      <c r="AR6" t="n">
        <v>17.3</v>
      </c>
      <c r="AS6" t="n">
        <v>16.31</v>
      </c>
    </row>
    <row r="7">
      <c r="A7" s="5" t="inlineStr">
        <is>
          <t>Loans and advances to customers</t>
        </is>
      </c>
      <c r="B7" s="5" t="n">
        <v>487762621</v>
      </c>
      <c r="C7" s="5" t="n">
        <v>181521123</v>
      </c>
      <c r="D7" s="5" t="n">
        <v>61860769</v>
      </c>
      <c r="E7" s="5" t="n">
        <v>46503635</v>
      </c>
      <c r="F7" s="5" t="n">
        <v>37151779</v>
      </c>
      <c r="I7" t="inlineStr">
        <is>
          <t>Loans and advances to customers</t>
        </is>
      </c>
      <c r="J7" t="n">
        <v>37151779</v>
      </c>
      <c r="K7" t="n">
        <v>46503635</v>
      </c>
      <c r="L7" t="n">
        <v>61860769</v>
      </c>
      <c r="M7" t="n">
        <v>181521123</v>
      </c>
      <c r="N7" t="n">
        <v>487762621</v>
      </c>
      <c r="AO7" t="inlineStr">
        <is>
          <t>Total Capital Ratio</t>
        </is>
      </c>
      <c r="AP7" t="n">
        <v>15.15</v>
      </c>
      <c r="AQ7" t="n">
        <v>20.54</v>
      </c>
      <c r="AR7" t="n">
        <v>20.6</v>
      </c>
      <c r="AS7" t="n">
        <v>19.28</v>
      </c>
    </row>
    <row r="8">
      <c r="A8" s="5" t="inlineStr">
        <is>
          <t>Customer accounts</t>
        </is>
      </c>
      <c r="B8" s="5" t="n">
        <v>1388254579</v>
      </c>
      <c r="C8" s="5" t="n">
        <v>1032921877</v>
      </c>
      <c r="D8" s="5" t="n">
        <v>956051029</v>
      </c>
      <c r="E8" s="5" t="n">
        <v>608680668</v>
      </c>
      <c r="F8" s="5" t="n">
        <v>248279581</v>
      </c>
      <c r="I8" t="inlineStr">
        <is>
          <t>Customer accounts</t>
        </is>
      </c>
      <c r="J8" t="n">
        <v>248279581</v>
      </c>
      <c r="K8" t="n">
        <v>608680668</v>
      </c>
      <c r="L8" t="n">
        <v>956051029</v>
      </c>
      <c r="M8" t="n">
        <v>1032921877</v>
      </c>
      <c r="N8" t="n">
        <v>1388254579</v>
      </c>
      <c r="AO8" t="inlineStr">
        <is>
          <t>Leverage Ratio</t>
        </is>
      </c>
      <c r="AP8" t="n">
        <v>12.47</v>
      </c>
      <c r="AQ8" t="n">
        <v>11.65</v>
      </c>
      <c r="AR8" t="n">
        <v>12.1</v>
      </c>
      <c r="AS8" t="n">
        <v>11.6</v>
      </c>
    </row>
    <row r="9">
      <c r="A9" s="5" t="inlineStr">
        <is>
          <t>Total capital and reserves</t>
        </is>
      </c>
      <c r="B9" s="5" t="n">
        <v>176586699</v>
      </c>
      <c r="C9" s="5" t="n">
        <v>172646981</v>
      </c>
      <c r="D9" s="5" t="n">
        <v>166857249</v>
      </c>
      <c r="E9" s="5" t="n">
        <v>160206249</v>
      </c>
      <c r="F9" s="5" t="n">
        <v>154504970</v>
      </c>
      <c r="I9" t="inlineStr">
        <is>
          <t>Total capital and reserves</t>
        </is>
      </c>
      <c r="J9" t="n">
        <v>154504970</v>
      </c>
      <c r="K9" t="n">
        <v>160206249</v>
      </c>
      <c r="L9" t="n">
        <v>166857249</v>
      </c>
      <c r="M9" t="n">
        <v>172646981</v>
      </c>
      <c r="N9" t="n">
        <v>176586699</v>
      </c>
      <c r="AO9" t="inlineStr">
        <is>
          <t>LCR</t>
        </is>
      </c>
      <c r="AQ9" t="n">
        <v>296</v>
      </c>
      <c r="AR9" t="n">
        <v>387</v>
      </c>
      <c r="AS9" t="n">
        <v>418</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24828399</v>
      </c>
      <c r="C13" s="5" t="n">
        <v>25952904</v>
      </c>
      <c r="D13" s="5" t="n">
        <v>26011808</v>
      </c>
      <c r="E13" s="5" t="n">
        <v>22211065</v>
      </c>
      <c r="F13" s="5" t="n">
        <v>21109874</v>
      </c>
      <c r="Q13" t="inlineStr">
        <is>
          <t>Operating income</t>
        </is>
      </c>
      <c r="R13" t="n">
        <v>21109874</v>
      </c>
      <c r="S13" t="n">
        <v>22211065</v>
      </c>
      <c r="T13" t="n">
        <v>26011808</v>
      </c>
      <c r="U13" t="n">
        <v>25952904</v>
      </c>
      <c r="V13" t="n">
        <v>24828399</v>
      </c>
    </row>
    <row r="14">
      <c r="A14" s="5" t="inlineStr">
        <is>
          <t>Staff costs</t>
        </is>
      </c>
      <c r="B14" s="5" t="n">
        <v>-11077928</v>
      </c>
      <c r="C14" s="5" t="n">
        <v>-10618557</v>
      </c>
      <c r="D14" s="5" t="n">
        <v>-10150025</v>
      </c>
      <c r="E14" s="5" t="n">
        <v>-8523451</v>
      </c>
      <c r="F14" s="5" t="n">
        <v>-12064461</v>
      </c>
      <c r="Q14" t="inlineStr">
        <is>
          <t>Staff costs</t>
        </is>
      </c>
      <c r="R14" t="n">
        <v>-12064461</v>
      </c>
      <c r="S14" t="n">
        <v>-8523451</v>
      </c>
      <c r="T14" t="n">
        <v>-10150025</v>
      </c>
      <c r="U14" t="n">
        <v>-10618557</v>
      </c>
      <c r="V14" t="n">
        <v>-11077928</v>
      </c>
    </row>
    <row r="15">
      <c r="A15" s="5" t="inlineStr">
        <is>
          <t>Profit for the period</t>
        </is>
      </c>
      <c r="B15" s="5" t="n">
        <v>3939718</v>
      </c>
      <c r="C15" s="5" t="n">
        <v>5789732</v>
      </c>
      <c r="D15" s="5" t="n">
        <v>6651000</v>
      </c>
      <c r="E15" s="5" t="n">
        <v>5701279</v>
      </c>
      <c r="F15" s="5" t="n">
        <v>88886</v>
      </c>
      <c r="Q15" t="inlineStr">
        <is>
          <t>Profit for the period</t>
        </is>
      </c>
      <c r="R15" t="n">
        <v>88886</v>
      </c>
      <c r="S15" t="n">
        <v>5701279</v>
      </c>
      <c r="T15" t="n">
        <v>6651000</v>
      </c>
      <c r="U15" t="n">
        <v>5789732</v>
      </c>
      <c r="V15" t="n">
        <v>3939718</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total capital and reserves</t>
        </is>
      </c>
      <c r="B19" s="5" t="n">
        <v>172646981</v>
      </c>
      <c r="C19" s="5" t="n">
        <v>166857249</v>
      </c>
      <c r="D19" s="5" t="n">
        <v>160206249</v>
      </c>
      <c r="E19" s="5" t="n">
        <v>154504970</v>
      </c>
      <c r="F19" s="5" t="n">
        <v>154416084</v>
      </c>
      <c r="Y19" t="inlineStr">
        <is>
          <t>Opening total capital and reserves</t>
        </is>
      </c>
      <c r="Z19" t="n">
        <v>154416084</v>
      </c>
      <c r="AA19" t="n">
        <v>154504970</v>
      </c>
      <c r="AB19" t="n">
        <v>160206249</v>
      </c>
      <c r="AC19" t="n">
        <v>166857249</v>
      </c>
      <c r="AD19" t="n">
        <v>172646981</v>
      </c>
    </row>
    <row r="20">
      <c r="A20" s="5" t="inlineStr">
        <is>
          <t>Total comprehensive income for the period</t>
        </is>
      </c>
      <c r="B20" s="5" t="n">
        <v>3939718</v>
      </c>
      <c r="C20" s="5" t="n">
        <v>5789732</v>
      </c>
      <c r="D20" s="5" t="n">
        <v>6651000</v>
      </c>
      <c r="E20" s="5" t="n">
        <v>5701279</v>
      </c>
      <c r="F20" s="5" t="n">
        <v>88886</v>
      </c>
      <c r="Y20" t="inlineStr">
        <is>
          <t>Total comprehensive income for the period</t>
        </is>
      </c>
      <c r="Z20" t="n">
        <v>88886</v>
      </c>
      <c r="AA20" t="n">
        <v>5701279</v>
      </c>
      <c r="AB20" t="n">
        <v>6651000</v>
      </c>
      <c r="AC20" t="n">
        <v>5789732</v>
      </c>
      <c r="AD20" t="n">
        <v>3939718</v>
      </c>
    </row>
    <row r="21">
      <c r="A21" s="5" t="inlineStr">
        <is>
          <t>Closing total capital and reserves</t>
        </is>
      </c>
      <c r="B21" s="5" t="n">
        <v>176586699</v>
      </c>
      <c r="C21" s="5" t="n">
        <v>172646981</v>
      </c>
      <c r="D21" s="5" t="n">
        <v>166857249</v>
      </c>
      <c r="E21" s="5" t="n">
        <v>160206249</v>
      </c>
      <c r="F21" s="5" t="n">
        <v>154504970</v>
      </c>
      <c r="Y21" t="inlineStr">
        <is>
          <t>Closing total capital and reserves</t>
        </is>
      </c>
      <c r="Z21" t="n">
        <v>154504970</v>
      </c>
      <c r="AA21" t="n">
        <v>160206249</v>
      </c>
      <c r="AB21" t="n">
        <v>166857249</v>
      </c>
      <c r="AC21" t="n">
        <v>172646981</v>
      </c>
      <c r="AD21" t="n">
        <v>176586699</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generated/(used) from operating activities</t>
        </is>
      </c>
      <c r="B25" s="5" t="n">
        <v>101280910</v>
      </c>
      <c r="C25" s="5" t="n">
        <v>-44497653</v>
      </c>
      <c r="D25" s="5" t="n">
        <v>-110688337</v>
      </c>
      <c r="E25" s="5" t="n">
        <v>-91172027</v>
      </c>
      <c r="F25" s="5" t="n">
        <v>5256681</v>
      </c>
      <c r="AG25" t="inlineStr">
        <is>
          <t>Net cash generated/(used) from operating activities</t>
        </is>
      </c>
      <c r="AH25" t="n">
        <v>5256681</v>
      </c>
      <c r="AI25" t="n">
        <v>-91172027</v>
      </c>
      <c r="AJ25" t="n">
        <v>-110688337</v>
      </c>
      <c r="AK25" t="n">
        <v>-44497653</v>
      </c>
      <c r="AL25" t="n">
        <v>101280910</v>
      </c>
    </row>
    <row r="26">
      <c r="A26" s="5" t="inlineStr">
        <is>
          <t>Net cash generated/(used) from investing activities</t>
        </is>
      </c>
      <c r="B26" s="5" t="n">
        <v>-122997984</v>
      </c>
      <c r="C26" s="5" t="n">
        <v>21089132</v>
      </c>
      <c r="D26" s="5" t="n">
        <v>-16905485</v>
      </c>
      <c r="E26" s="5" t="n">
        <v>83292813</v>
      </c>
      <c r="F26" s="5" t="n">
        <v>-5782456</v>
      </c>
      <c r="AG26" t="inlineStr">
        <is>
          <t>Net cash generated/(used) from investing activities</t>
        </is>
      </c>
      <c r="AH26" t="n">
        <v>-5782456</v>
      </c>
      <c r="AI26" t="n">
        <v>83292813</v>
      </c>
      <c r="AJ26" t="n">
        <v>-16905485</v>
      </c>
      <c r="AK26" t="n">
        <v>21089132</v>
      </c>
      <c r="AL26" t="n">
        <v>-122997984</v>
      </c>
    </row>
    <row r="27">
      <c r="A27" s="5" t="inlineStr">
        <is>
          <t>Net cash generated/(used) in financing activities</t>
        </is>
      </c>
      <c r="B27" s="5" t="n">
        <v>27813180</v>
      </c>
      <c r="C27" s="5" t="n">
        <v>-2299886</v>
      </c>
      <c r="D27" s="5" t="n">
        <v>-4776099</v>
      </c>
      <c r="E27" s="5" t="n">
        <v>-2491694</v>
      </c>
      <c r="F27" s="5" t="n">
        <v>0</v>
      </c>
      <c r="AG27" t="inlineStr">
        <is>
          <t>Net cash generated/(used) in financing activities</t>
        </is>
      </c>
      <c r="AH27" t="n">
        <v>0</v>
      </c>
      <c r="AI27" t="n">
        <v>-2491694</v>
      </c>
      <c r="AJ27" t="n">
        <v>-4776099</v>
      </c>
      <c r="AK27" t="n">
        <v>-2299886</v>
      </c>
      <c r="AL27" t="n">
        <v>27813180</v>
      </c>
    </row>
    <row r="28">
      <c r="A28" s="5" t="inlineStr">
        <is>
          <t>Cash and cash equivalents at end of year</t>
        </is>
      </c>
      <c r="B28" s="5" t="n">
        <v>276757036</v>
      </c>
      <c r="C28" s="5" t="n">
        <v>286126277</v>
      </c>
      <c r="D28" s="5" t="n">
        <v>308342852</v>
      </c>
      <c r="E28" s="5" t="n">
        <v>43356127</v>
      </c>
      <c r="F28" s="5" t="n">
        <v>53727035</v>
      </c>
      <c r="AG28" t="inlineStr">
        <is>
          <t>Cash and cash equivalents at end of year</t>
        </is>
      </c>
      <c r="AH28" t="n">
        <v>53727035</v>
      </c>
      <c r="AI28" t="n">
        <v>43356127</v>
      </c>
      <c r="AJ28" t="n">
        <v>308342852</v>
      </c>
      <c r="AK28" t="n">
        <v>286126277</v>
      </c>
      <c r="AL28" t="n">
        <v>276757036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n"/>
      <c r="C32" s="6" t="inlineStr">
        <is>
          <t>16.31%</t>
        </is>
      </c>
      <c r="D32" s="6" t="inlineStr">
        <is>
          <t>17.3%</t>
        </is>
      </c>
      <c r="E32" s="6" t="inlineStr">
        <is>
          <t>16.8%</t>
        </is>
      </c>
      <c r="F32" s="6" t="n"/>
    </row>
    <row r="33">
      <c r="A33" s="6" t="inlineStr">
        <is>
          <t>Total Capital Ratio</t>
        </is>
      </c>
      <c r="B33" s="6" t="n"/>
      <c r="C33" s="6" t="inlineStr">
        <is>
          <t>19.28%</t>
        </is>
      </c>
      <c r="D33" s="6" t="inlineStr">
        <is>
          <t>20.6%</t>
        </is>
      </c>
      <c r="E33" s="6" t="inlineStr">
        <is>
          <t>20.54%</t>
        </is>
      </c>
      <c r="F33" s="6" t="inlineStr">
        <is>
          <t>15.15%</t>
        </is>
      </c>
    </row>
    <row r="34">
      <c r="A34" s="6" t="inlineStr">
        <is>
          <t>Leverage Ratio</t>
        </is>
      </c>
      <c r="B34" s="6" t="n"/>
      <c r="C34" s="6" t="inlineStr">
        <is>
          <t>11.6%</t>
        </is>
      </c>
      <c r="D34" s="6" t="inlineStr">
        <is>
          <t>12.1%</t>
        </is>
      </c>
      <c r="E34" s="6" t="inlineStr">
        <is>
          <t>11.65%</t>
        </is>
      </c>
      <c r="F34" s="6" t="inlineStr">
        <is>
          <t>12.47%</t>
        </is>
      </c>
    </row>
    <row r="35">
      <c r="A35" s="6" t="inlineStr">
        <is>
          <t>LCR</t>
        </is>
      </c>
      <c r="B35" s="6" t="n"/>
      <c r="C35" s="6" t="inlineStr">
        <is>
          <t>418%</t>
        </is>
      </c>
      <c r="D35" s="6" t="inlineStr">
        <is>
          <t>387%</t>
        </is>
      </c>
      <c r="E35" s="6" t="inlineStr">
        <is>
          <t>296%</t>
        </is>
      </c>
      <c r="F35" s="6" t="n"/>
    </row>
    <row r="37" ht="45" customHeight="1">
      <c r="A37" s="7" t="inlineStr">
        <is>
          <t>Note: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Balance Sheet</t>
        </is>
      </c>
    </row>
    <row r="2">
      <c r="A2" s="2" t="inlineStr">
        <is>
          <t>Entity-level basis, £. See source note at bottom.</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balances at central banks</t>
        </is>
      </c>
      <c r="B5" s="6" t="n">
        <v>371451</v>
      </c>
      <c r="C5" s="6" t="n">
        <v>397639</v>
      </c>
      <c r="D5" s="6" t="n">
        <v>398999</v>
      </c>
      <c r="E5" s="6" t="n">
        <v>402993</v>
      </c>
      <c r="F5" s="6" t="n">
        <v>302328</v>
      </c>
    </row>
    <row r="6">
      <c r="A6" s="6" t="inlineStr">
        <is>
          <t>Loans and advances to banks</t>
        </is>
      </c>
      <c r="B6" s="6" t="n">
        <v>651571869</v>
      </c>
      <c r="C6" s="6" t="n">
        <v>654586394</v>
      </c>
      <c r="D6" s="6" t="n">
        <v>726791733</v>
      </c>
      <c r="E6" s="6" t="n">
        <v>709298405</v>
      </c>
      <c r="F6" s="6" t="n">
        <v>577213067</v>
      </c>
    </row>
    <row r="7">
      <c r="A7" s="6" t="inlineStr">
        <is>
          <t>Loans and advances to customers</t>
        </is>
      </c>
      <c r="B7" s="6" t="n">
        <v>487762621</v>
      </c>
      <c r="C7" s="6" t="n">
        <v>181521123</v>
      </c>
      <c r="D7" s="6" t="n">
        <v>61860769</v>
      </c>
      <c r="E7" s="6" t="n">
        <v>46503635</v>
      </c>
      <c r="F7" s="6" t="n">
        <v>37151779</v>
      </c>
    </row>
    <row r="8">
      <c r="A8" s="6" t="inlineStr">
        <is>
          <t>Debt securities</t>
        </is>
      </c>
      <c r="B8" s="6" t="n">
        <v>604021714</v>
      </c>
      <c r="C8" s="6" t="n">
        <v>488086660</v>
      </c>
      <c r="D8" s="6" t="n">
        <v>505332212</v>
      </c>
      <c r="E8" s="6" t="n">
        <v>508564166</v>
      </c>
      <c r="F8" s="6" t="n">
        <v>550750341</v>
      </c>
    </row>
    <row r="9">
      <c r="A9" s="6" t="inlineStr">
        <is>
          <t>Derivative financial instruments</t>
        </is>
      </c>
      <c r="B9" s="6" t="n">
        <v>4323287</v>
      </c>
      <c r="C9" s="6" t="n">
        <v>8754822</v>
      </c>
      <c r="D9" s="6" t="n">
        <v>11054880</v>
      </c>
      <c r="E9" s="6" t="n">
        <v>16652823</v>
      </c>
      <c r="F9" s="6" t="n">
        <v>378832</v>
      </c>
    </row>
    <row r="10">
      <c r="A10" s="6" t="inlineStr">
        <is>
          <t>Tangible fixed assets</t>
        </is>
      </c>
      <c r="B10" s="6" t="n">
        <v>41411528</v>
      </c>
      <c r="C10" s="6" t="n">
        <v>42218048</v>
      </c>
      <c r="D10" s="6" t="n">
        <v>42910866</v>
      </c>
      <c r="E10" s="6" t="n">
        <v>42356164</v>
      </c>
      <c r="F10" s="6" t="n">
        <v>41363058</v>
      </c>
    </row>
    <row r="11">
      <c r="A11" s="6" t="inlineStr">
        <is>
          <t>Intangible fixed assets (no separate line FY2021-FY2022 - nil/immaterial)</t>
        </is>
      </c>
      <c r="B11" s="6" t="n">
        <v>4126398</v>
      </c>
      <c r="C11" s="6" t="n">
        <v>1896837</v>
      </c>
      <c r="D11" s="6" t="n">
        <v>580386</v>
      </c>
      <c r="E11" s="6" t="n"/>
      <c r="F11" s="6" t="n"/>
    </row>
    <row r="12">
      <c r="A12" s="6" t="inlineStr">
        <is>
          <t>Prepayments and accrued income</t>
        </is>
      </c>
      <c r="B12" s="6" t="n">
        <v>1622582</v>
      </c>
      <c r="C12" s="6" t="n">
        <v>1263240</v>
      </c>
      <c r="D12" s="6" t="n">
        <v>1410882</v>
      </c>
      <c r="E12" s="6" t="n">
        <v>1989589</v>
      </c>
      <c r="F12" s="6" t="n">
        <v>5356899</v>
      </c>
    </row>
    <row r="13">
      <c r="A13" s="6" t="inlineStr">
        <is>
          <t>Current tax assets</t>
        </is>
      </c>
      <c r="B13" s="6" t="n"/>
      <c r="C13" s="6" t="n"/>
      <c r="D13" s="6" t="n">
        <v>736026</v>
      </c>
      <c r="E13" s="6" t="n">
        <v>188232</v>
      </c>
      <c r="F13" s="6" t="n">
        <v>116855</v>
      </c>
    </row>
    <row r="14">
      <c r="A14" s="6" t="inlineStr">
        <is>
          <t>Deferred tax assets</t>
        </is>
      </c>
      <c r="B14" s="6" t="n"/>
      <c r="C14" s="6" t="n"/>
      <c r="D14" s="6" t="n"/>
      <c r="E14" s="6" t="n"/>
      <c r="F14" s="6" t="n">
        <v>81576</v>
      </c>
    </row>
    <row r="15">
      <c r="A15" s="6" t="inlineStr">
        <is>
          <t>Other assets</t>
        </is>
      </c>
      <c r="B15" s="6" t="n">
        <v>295821</v>
      </c>
      <c r="C15" s="6" t="n">
        <v>229528</v>
      </c>
      <c r="D15" s="6" t="n">
        <v>21241</v>
      </c>
      <c r="E15" s="6" t="n">
        <v>91313</v>
      </c>
      <c r="F15" s="6" t="n">
        <v>38172</v>
      </c>
    </row>
    <row r="16">
      <c r="A16" s="5" t="inlineStr">
        <is>
          <t>Total assets</t>
        </is>
      </c>
      <c r="B16" s="5" t="n">
        <v>1795507271</v>
      </c>
      <c r="C16" s="5" t="n">
        <v>1378954291</v>
      </c>
      <c r="D16" s="5" t="n">
        <v>1351097994</v>
      </c>
      <c r="E16" s="5" t="n">
        <v>1326047320</v>
      </c>
      <c r="F16" s="5" t="n">
        <v>1212752908</v>
      </c>
    </row>
    <row r="17">
      <c r="A17" s="5" t="inlineStr">
        <is>
          <t>Liabilities</t>
        </is>
      </c>
      <c r="B17" s="6" t="n"/>
      <c r="C17" s="6" t="n"/>
      <c r="D17" s="6" t="n"/>
      <c r="E17" s="6" t="n"/>
      <c r="F17" s="6" t="n"/>
    </row>
    <row r="18">
      <c r="A18" s="6" t="inlineStr">
        <is>
          <t>Deposits by banks</t>
        </is>
      </c>
      <c r="B18" s="6" t="n">
        <v>162146460</v>
      </c>
      <c r="C18" s="6" t="n">
        <v>137050906</v>
      </c>
      <c r="D18" s="6" t="n">
        <v>193404628</v>
      </c>
      <c r="E18" s="6" t="n">
        <v>519965127</v>
      </c>
      <c r="F18" s="6" t="n">
        <v>756896286</v>
      </c>
    </row>
    <row r="19">
      <c r="A19" s="6" t="inlineStr">
        <is>
          <t>Customer accounts</t>
        </is>
      </c>
      <c r="B19" s="6" t="n">
        <v>1388254579</v>
      </c>
      <c r="C19" s="6" t="n">
        <v>1032921877</v>
      </c>
      <c r="D19" s="6" t="n">
        <v>956051029</v>
      </c>
      <c r="E19" s="6" t="n">
        <v>608680668</v>
      </c>
      <c r="F19" s="6" t="n">
        <v>248279581</v>
      </c>
    </row>
    <row r="20">
      <c r="A20" s="6" t="inlineStr">
        <is>
          <t>Derivative financial instruments</t>
        </is>
      </c>
      <c r="B20" s="6" t="n">
        <v>5157961</v>
      </c>
      <c r="C20" s="6" t="n">
        <v>1044103</v>
      </c>
      <c r="D20" s="6" t="n">
        <v>577008</v>
      </c>
      <c r="E20" s="6" t="n">
        <v>205870</v>
      </c>
      <c r="F20" s="6" t="n">
        <v>6763860</v>
      </c>
    </row>
    <row r="21">
      <c r="A21" s="6" t="inlineStr">
        <is>
          <t>Other liabilities</t>
        </is>
      </c>
      <c r="B21" s="6" t="n">
        <v>1326258</v>
      </c>
      <c r="C21" s="6" t="n">
        <v>741899</v>
      </c>
      <c r="D21" s="6" t="n">
        <v>648940</v>
      </c>
      <c r="E21" s="6" t="n">
        <v>1054200</v>
      </c>
      <c r="F21" s="6" t="n">
        <v>10900143</v>
      </c>
    </row>
    <row r="22">
      <c r="A22" s="6" t="inlineStr">
        <is>
          <t>Current tax liabilities</t>
        </is>
      </c>
      <c r="B22" s="6" t="n">
        <v>251723</v>
      </c>
      <c r="C22" s="6" t="n">
        <v>446704</v>
      </c>
      <c r="D22" s="6" t="n"/>
      <c r="E22" s="6" t="n"/>
      <c r="F22" s="6" t="n"/>
    </row>
    <row r="23">
      <c r="A23" s="6" t="inlineStr">
        <is>
          <t>Deferred tax liabilities</t>
        </is>
      </c>
      <c r="B23" s="6" t="n">
        <v>501721</v>
      </c>
      <c r="C23" s="6" t="n">
        <v>685514</v>
      </c>
      <c r="D23" s="6" t="n">
        <v>639935</v>
      </c>
      <c r="E23" s="6" t="n">
        <v>187556</v>
      </c>
      <c r="F23" s="6" t="n">
        <v>215467</v>
      </c>
    </row>
    <row r="24">
      <c r="A24" s="6" t="inlineStr">
        <is>
          <t>Accruals and deferred income</t>
        </is>
      </c>
      <c r="B24" s="6" t="n">
        <v>1742619</v>
      </c>
      <c r="C24" s="6" t="n">
        <v>1816045</v>
      </c>
      <c r="D24" s="6" t="n">
        <v>1871759</v>
      </c>
      <c r="E24" s="6" t="n">
        <v>478286</v>
      </c>
      <c r="F24" s="6" t="n">
        <v>1908577</v>
      </c>
    </row>
    <row r="25">
      <c r="A25" s="6" t="inlineStr">
        <is>
          <t>Long-term subordinated debt</t>
        </is>
      </c>
      <c r="B25" s="6" t="n">
        <v>59539251</v>
      </c>
      <c r="C25" s="6" t="n">
        <v>31600262</v>
      </c>
      <c r="D25" s="6" t="n">
        <v>31047446</v>
      </c>
      <c r="E25" s="6" t="n">
        <v>35269364</v>
      </c>
      <c r="F25" s="6" t="n">
        <v>33284024</v>
      </c>
    </row>
    <row r="26">
      <c r="A26" s="5" t="inlineStr">
        <is>
          <t>Total liabilities</t>
        </is>
      </c>
      <c r="B26" s="5" t="n">
        <v>1618920572</v>
      </c>
      <c r="C26" s="5" t="n">
        <v>1206307310</v>
      </c>
      <c r="D26" s="5" t="n">
        <v>1184240745</v>
      </c>
      <c r="E26" s="5" t="n">
        <v>1165841071</v>
      </c>
      <c r="F26" s="5" t="n">
        <v>1058247938</v>
      </c>
    </row>
    <row r="27">
      <c r="A27" s="5" t="inlineStr">
        <is>
          <t>Capital and reserves</t>
        </is>
      </c>
      <c r="B27" s="6" t="n"/>
      <c r="C27" s="6" t="n"/>
      <c r="D27" s="6" t="n"/>
      <c r="E27" s="6" t="n"/>
      <c r="F27" s="6" t="n"/>
    </row>
    <row r="28">
      <c r="A28" s="6" t="inlineStr">
        <is>
          <t>Called up share capital</t>
        </is>
      </c>
      <c r="B28" s="6" t="n">
        <v>130000000</v>
      </c>
      <c r="C28" s="6" t="n">
        <v>130000000</v>
      </c>
      <c r="D28" s="6" t="n">
        <v>130000000</v>
      </c>
      <c r="E28" s="6" t="n">
        <v>130000000</v>
      </c>
      <c r="F28" s="6" t="n">
        <v>130000000</v>
      </c>
    </row>
    <row r="29">
      <c r="A29" s="6" t="inlineStr">
        <is>
          <t>Retained earnings (Profit and loss account)</t>
        </is>
      </c>
      <c r="B29" s="6" t="n">
        <v>46586699</v>
      </c>
      <c r="C29" s="6" t="n">
        <v>42646981</v>
      </c>
      <c r="D29" s="6" t="n">
        <v>36857249</v>
      </c>
      <c r="E29" s="6" t="n">
        <v>30206249</v>
      </c>
      <c r="F29" s="6" t="n">
        <v>24504970</v>
      </c>
    </row>
    <row r="30">
      <c r="A30" s="5" t="inlineStr">
        <is>
          <t>Total capital and reserves</t>
        </is>
      </c>
      <c r="B30" s="5" t="n">
        <v>176586699</v>
      </c>
      <c r="C30" s="5" t="n">
        <v>172646981</v>
      </c>
      <c r="D30" s="5" t="n">
        <v>166857249</v>
      </c>
      <c r="E30" s="5" t="n">
        <v>160206249</v>
      </c>
      <c r="F30" s="5" t="n">
        <v>154504970</v>
      </c>
    </row>
    <row r="31">
      <c r="A31" s="5" t="inlineStr">
        <is>
          <t>Total liabilities and equity</t>
        </is>
      </c>
      <c r="B31" s="5" t="n">
        <v>1795507271</v>
      </c>
      <c r="C31" s="5" t="n">
        <v>1378954291</v>
      </c>
      <c r="D31" s="5" t="n">
        <v>1351097994</v>
      </c>
      <c r="E31" s="5" t="n">
        <v>1326047320</v>
      </c>
      <c r="F31" s="5" t="n">
        <v>1212752908</v>
      </c>
    </row>
    <row r="33" ht="340" customHeight="1">
      <c r="A33" s="8"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Profit &amp; Loss</t>
        </is>
      </c>
    </row>
    <row r="2">
      <c r="A2" s="2" t="inlineStr">
        <is>
          <t>Entity-level basis, £. FY2021 covers an 18-month period (1 July 2020 to 31 December 2021) following an accounting-reference-date change - see source note at bottom.</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Interest receivable and similar income</t>
        </is>
      </c>
      <c r="B5" s="6" t="n">
        <v>79298348</v>
      </c>
      <c r="C5" s="6" t="n">
        <v>86041222</v>
      </c>
      <c r="D5" s="6" t="n">
        <v>75891278</v>
      </c>
      <c r="E5" s="6" t="n">
        <v>35253247</v>
      </c>
      <c r="F5" s="6" t="n">
        <v>23479081</v>
      </c>
    </row>
    <row r="6">
      <c r="A6" s="6" t="inlineStr">
        <is>
          <t>Interest payable and similar expense</t>
        </is>
      </c>
      <c r="B6" s="6" t="n">
        <v>-58376403</v>
      </c>
      <c r="C6" s="6" t="n">
        <v>-64559189</v>
      </c>
      <c r="D6" s="6" t="n">
        <v>-57165609</v>
      </c>
      <c r="E6" s="6" t="n">
        <v>-26890680</v>
      </c>
      <c r="F6" s="6" t="n">
        <v>-14723846</v>
      </c>
    </row>
    <row r="7">
      <c r="A7" s="5" t="inlineStr">
        <is>
          <t>Net interest income</t>
        </is>
      </c>
      <c r="B7" s="5" t="n">
        <v>20921945</v>
      </c>
      <c r="C7" s="5" t="n">
        <v>21482033</v>
      </c>
      <c r="D7" s="5" t="n">
        <v>18725669</v>
      </c>
      <c r="E7" s="5" t="n">
        <v>8362567</v>
      </c>
      <c r="F7" s="5" t="n">
        <v>8755235</v>
      </c>
    </row>
    <row r="8">
      <c r="A8" s="6" t="inlineStr">
        <is>
          <t>Fees and commission income (net of Trade Finance expense FY2025-FY2024; gross FY2023-FY2021 - see note)</t>
        </is>
      </c>
      <c r="B8" s="6" t="n">
        <v>2210138</v>
      </c>
      <c r="C8" s="6" t="n">
        <v>3457485</v>
      </c>
      <c r="D8" s="6" t="n">
        <v>6611004</v>
      </c>
      <c r="E8" s="6" t="n">
        <v>12316045</v>
      </c>
      <c r="F8" s="6" t="n">
        <v>10227474</v>
      </c>
    </row>
    <row r="9">
      <c r="A9" s="6" t="inlineStr">
        <is>
          <t>Profit on sale of investments and debt securities</t>
        </is>
      </c>
      <c r="B9" s="6" t="n">
        <v>1463060</v>
      </c>
      <c r="C9" s="6" t="n">
        <v>248249</v>
      </c>
      <c r="D9" s="6" t="n">
        <v>499009</v>
      </c>
      <c r="E9" s="6" t="n">
        <v>1252198</v>
      </c>
      <c r="F9" s="6" t="n">
        <v>1937399</v>
      </c>
    </row>
    <row r="10">
      <c r="A10" s="6" t="inlineStr">
        <is>
          <t>Net foreign currency gains/(dealing profits)</t>
        </is>
      </c>
      <c r="B10" s="6" t="n">
        <v>233256</v>
      </c>
      <c r="C10" s="6" t="n">
        <v>765137</v>
      </c>
      <c r="D10" s="6" t="n">
        <v>176126</v>
      </c>
      <c r="E10" s="6" t="n">
        <v>280255</v>
      </c>
      <c r="F10" s="6" t="n">
        <v>189766</v>
      </c>
    </row>
    <row r="11">
      <c r="A11" s="5" t="inlineStr">
        <is>
          <t>Operating income</t>
        </is>
      </c>
      <c r="B11" s="5" t="n">
        <v>24828399</v>
      </c>
      <c r="C11" s="5" t="n">
        <v>25952904</v>
      </c>
      <c r="D11" s="5" t="n">
        <v>26011808</v>
      </c>
      <c r="E11" s="5" t="n">
        <v>22211065</v>
      </c>
      <c r="F11" s="5" t="n">
        <v>21109874</v>
      </c>
    </row>
    <row r="12">
      <c r="A12" s="5" t="inlineStr">
        <is>
          <t>Operating expenses</t>
        </is>
      </c>
      <c r="B12" s="6" t="n"/>
      <c r="C12" s="6" t="n"/>
      <c r="D12" s="6" t="n"/>
      <c r="E12" s="6" t="n"/>
      <c r="F12" s="6" t="n"/>
    </row>
    <row r="13">
      <c r="A13" s="6" t="inlineStr">
        <is>
          <t>Staff costs (Administrative expenses FY2021 - see note)</t>
        </is>
      </c>
      <c r="B13" s="6" t="n">
        <v>-11077928</v>
      </c>
      <c r="C13" s="6" t="n">
        <v>-10618557</v>
      </c>
      <c r="D13" s="6" t="n">
        <v>-10150025</v>
      </c>
      <c r="E13" s="6" t="n">
        <v>-8523451</v>
      </c>
      <c r="F13" s="6" t="n">
        <v>-12064461</v>
      </c>
    </row>
    <row r="14">
      <c r="A14" s="6" t="inlineStr">
        <is>
          <t>Depreciation and amortisation</t>
        </is>
      </c>
      <c r="B14" s="6" t="n">
        <v>-1349478</v>
      </c>
      <c r="C14" s="6" t="n">
        <v>-1150941</v>
      </c>
      <c r="D14" s="6" t="n">
        <v>-1183345</v>
      </c>
      <c r="E14" s="6" t="n">
        <v>-791016</v>
      </c>
      <c r="F14" s="6" t="n">
        <v>-1273488</v>
      </c>
    </row>
    <row r="15">
      <c r="A15" s="6" t="inlineStr">
        <is>
          <t>Other operating charges</t>
        </is>
      </c>
      <c r="B15" s="6" t="n">
        <v>-6927010</v>
      </c>
      <c r="C15" s="6" t="n">
        <v>-6292275</v>
      </c>
      <c r="D15" s="6" t="n">
        <v>-5846753</v>
      </c>
      <c r="E15" s="6" t="n">
        <v>-5788032</v>
      </c>
      <c r="F15" s="6" t="n">
        <v>-7916877</v>
      </c>
    </row>
    <row r="16">
      <c r="A16" s="5" t="inlineStr">
        <is>
          <t>Operating profit</t>
        </is>
      </c>
      <c r="B16" s="5" t="n">
        <v>5473983</v>
      </c>
      <c r="C16" s="5" t="n">
        <v>7891131</v>
      </c>
      <c r="D16" s="5" t="n">
        <v>8831685</v>
      </c>
      <c r="E16" s="5" t="n">
        <v>7108566</v>
      </c>
      <c r="F16" s="5" t="n">
        <v>-144952</v>
      </c>
    </row>
    <row r="17">
      <c r="A17" s="6" t="inlineStr">
        <is>
          <t>Net impairment (charge)/reversal on financial assets (Provisions for bad and doubtful debts)</t>
        </is>
      </c>
      <c r="B17" s="6" t="n">
        <v>0</v>
      </c>
      <c r="C17" s="6" t="n">
        <v>0</v>
      </c>
      <c r="D17" s="6" t="n">
        <v>0</v>
      </c>
      <c r="E17" s="6" t="n">
        <v>0</v>
      </c>
      <c r="F17" s="6" t="n">
        <v>443787</v>
      </c>
    </row>
    <row r="18">
      <c r="A18" s="5" t="inlineStr">
        <is>
          <t>Profit on ordinary activities before tax</t>
        </is>
      </c>
      <c r="B18" s="5" t="n">
        <v>5473983</v>
      </c>
      <c r="C18" s="5" t="n">
        <v>7891131</v>
      </c>
      <c r="D18" s="5" t="n">
        <v>8831685</v>
      </c>
      <c r="E18" s="5" t="n">
        <v>7108566</v>
      </c>
      <c r="F18" s="5" t="n">
        <v>298835</v>
      </c>
    </row>
    <row r="19">
      <c r="A19" s="6" t="inlineStr">
        <is>
          <t>Tax (charge)/credit on profit on ordinary activities</t>
        </is>
      </c>
      <c r="B19" s="6" t="n">
        <v>-1534265</v>
      </c>
      <c r="C19" s="6" t="n">
        <v>-2101399</v>
      </c>
      <c r="D19" s="6" t="n">
        <v>-2180685</v>
      </c>
      <c r="E19" s="6" t="n">
        <v>-1407287</v>
      </c>
      <c r="F19" s="6" t="n">
        <v>-209949</v>
      </c>
    </row>
    <row r="20">
      <c r="A20" s="5" t="inlineStr">
        <is>
          <t>Profit for the period</t>
        </is>
      </c>
      <c r="B20" s="5" t="n">
        <v>3939718</v>
      </c>
      <c r="C20" s="5" t="n">
        <v>5789732</v>
      </c>
      <c r="D20" s="5" t="n">
        <v>6651000</v>
      </c>
      <c r="E20" s="5" t="n">
        <v>5701279</v>
      </c>
      <c r="F20" s="5" t="n">
        <v>88886</v>
      </c>
    </row>
    <row r="21">
      <c r="A21" s="6" t="inlineStr">
        <is>
          <t>Other comprehensive income</t>
        </is>
      </c>
      <c r="B21" s="6" t="n">
        <v>0</v>
      </c>
      <c r="C21" s="6" t="n">
        <v>0</v>
      </c>
      <c r="D21" s="6" t="n">
        <v>0</v>
      </c>
      <c r="E21" s="6" t="n">
        <v>0</v>
      </c>
      <c r="F21" s="6" t="n">
        <v>0</v>
      </c>
    </row>
    <row r="22">
      <c r="A22" s="5" t="inlineStr">
        <is>
          <t>Total comprehensive income for the period</t>
        </is>
      </c>
      <c r="B22" s="5" t="n">
        <v>3939718</v>
      </c>
      <c r="C22" s="5" t="n">
        <v>5789732</v>
      </c>
      <c r="D22" s="5" t="n">
        <v>6651000</v>
      </c>
      <c r="E22" s="5" t="n">
        <v>5701279</v>
      </c>
      <c r="F22" s="5" t="n">
        <v>88886</v>
      </c>
    </row>
    <row r="24" ht="380" customHeight="1">
      <c r="A24" s="8"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24:F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National Bank of Egypt (UK) Limited — Statement of Changes in Equity</t>
        </is>
      </c>
    </row>
    <row r="2">
      <c r="A2" s="2" t="inlineStr">
        <is>
          <t>Chronological roll-forward, oldest to newest, £. Equity reconciliation ladder confirmed exactly across all 5 years - zero plug rows. No share premium, revaluation reserve, dividends, or share issuances in any year reviewed - Called up share capital is unchanged at £130,000,000 throughout.</t>
        </is>
      </c>
    </row>
    <row r="3">
      <c r="A3" s="4" t="inlineStr">
        <is>
          <t>Movement</t>
        </is>
      </c>
      <c r="B3" s="4" t="inlineStr">
        <is>
          <t>Called up share capital</t>
        </is>
      </c>
      <c r="C3" s="4" t="inlineStr">
        <is>
          <t>Profit and loss account</t>
        </is>
      </c>
      <c r="D3" s="4" t="inlineStr">
        <is>
          <t>Total</t>
        </is>
      </c>
    </row>
    <row r="4">
      <c r="A4" s="5" t="inlineStr">
        <is>
          <t>Balance at 1 July 2020 (FY2021 opening)</t>
        </is>
      </c>
      <c r="B4" s="5" t="n">
        <v>130000000</v>
      </c>
      <c r="C4" s="5" t="n">
        <v>24416084</v>
      </c>
      <c r="D4" s="5" t="n">
        <v>154416084</v>
      </c>
    </row>
    <row r="5">
      <c r="A5" s="6" t="inlineStr">
        <is>
          <t>Total comprehensive income for the period (18 months to 31 December 2021)</t>
        </is>
      </c>
      <c r="B5" s="6" t="n"/>
      <c r="C5" s="6" t="n">
        <v>88886</v>
      </c>
      <c r="D5" s="6" t="n">
        <v>88886</v>
      </c>
    </row>
    <row r="6">
      <c r="A6" s="5" t="inlineStr">
        <is>
          <t>Balance at 31 December 2021 (FY2021 closing)</t>
        </is>
      </c>
      <c r="B6" s="5" t="n">
        <v>130000000</v>
      </c>
      <c r="C6" s="5" t="n">
        <v>24504970</v>
      </c>
      <c r="D6" s="5" t="n">
        <v>154504970</v>
      </c>
    </row>
    <row r="7">
      <c r="A7" s="6" t="inlineStr">
        <is>
          <t>Total comprehensive income for the year</t>
        </is>
      </c>
      <c r="B7" s="6" t="n"/>
      <c r="C7" s="6" t="n">
        <v>5701279</v>
      </c>
      <c r="D7" s="6" t="n">
        <v>5701279</v>
      </c>
    </row>
    <row r="8">
      <c r="A8" s="5" t="inlineStr">
        <is>
          <t>Balance at 31 December 2022 (FY2022 closing)</t>
        </is>
      </c>
      <c r="B8" s="5" t="n">
        <v>130000000</v>
      </c>
      <c r="C8" s="5" t="n">
        <v>30206249</v>
      </c>
      <c r="D8" s="5" t="n">
        <v>160206249</v>
      </c>
    </row>
    <row r="9">
      <c r="A9" s="6" t="inlineStr">
        <is>
          <t>Total comprehensive income for the year</t>
        </is>
      </c>
      <c r="B9" s="6" t="n"/>
      <c r="C9" s="6" t="n">
        <v>6651000</v>
      </c>
      <c r="D9" s="6" t="n">
        <v>6651000</v>
      </c>
    </row>
    <row r="10">
      <c r="A10" s="5" t="inlineStr">
        <is>
          <t>Balance at 31 December 2023 (FY2023 closing)</t>
        </is>
      </c>
      <c r="B10" s="5" t="n">
        <v>130000000</v>
      </c>
      <c r="C10" s="5" t="n">
        <v>36857249</v>
      </c>
      <c r="D10" s="5" t="n">
        <v>166857249</v>
      </c>
    </row>
    <row r="11">
      <c r="A11" s="6" t="inlineStr">
        <is>
          <t>Total comprehensive income for the year</t>
        </is>
      </c>
      <c r="B11" s="6" t="n"/>
      <c r="C11" s="6" t="n">
        <v>5789732</v>
      </c>
      <c r="D11" s="6" t="n">
        <v>5789732</v>
      </c>
    </row>
    <row r="12">
      <c r="A12" s="5" t="inlineStr">
        <is>
          <t>Balance at 31 December 2024 (FY2024 closing)</t>
        </is>
      </c>
      <c r="B12" s="5" t="n">
        <v>130000000</v>
      </c>
      <c r="C12" s="5" t="n">
        <v>42646981</v>
      </c>
      <c r="D12" s="5" t="n">
        <v>172646981</v>
      </c>
    </row>
    <row r="13">
      <c r="A13" s="6" t="inlineStr">
        <is>
          <t>Total comprehensive income for the year</t>
        </is>
      </c>
      <c r="B13" s="6" t="n"/>
      <c r="C13" s="6" t="n">
        <v>3939718</v>
      </c>
      <c r="D13" s="6" t="n">
        <v>3939718</v>
      </c>
    </row>
    <row r="14">
      <c r="A14" s="5" t="inlineStr">
        <is>
          <t>Balance at 31 December 2025 (FY2025 closing)</t>
        </is>
      </c>
      <c r="B14" s="5" t="n">
        <v>130000000</v>
      </c>
      <c r="C14" s="5" t="n">
        <v>46586699</v>
      </c>
      <c r="D14" s="5" t="n">
        <v>176586699</v>
      </c>
    </row>
    <row r="16" ht="150" customHeight="1">
      <c r="A16" s="8"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16:D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6" t="n"/>
      <c r="C4" s="6" t="n"/>
      <c r="D4" s="6" t="n"/>
      <c r="E4" s="6" t="n"/>
      <c r="F4" s="6" t="n"/>
    </row>
    <row r="5">
      <c r="A5" s="5" t="inlineStr">
        <is>
          <t>Net cash generated/(used) from operating activities</t>
        </is>
      </c>
      <c r="B5" s="5" t="n">
        <v>101280910</v>
      </c>
      <c r="C5" s="5" t="n">
        <v>-44497653</v>
      </c>
      <c r="D5" s="5" t="n">
        <v>-110688337</v>
      </c>
      <c r="E5" s="5" t="n">
        <v>-91172027</v>
      </c>
      <c r="F5" s="5" t="n">
        <v>5256681</v>
      </c>
    </row>
    <row r="6">
      <c r="A6" s="5" t="inlineStr">
        <is>
          <t>Investing activities</t>
        </is>
      </c>
      <c r="B6" s="6" t="n"/>
      <c r="C6" s="6" t="n"/>
      <c r="D6" s="6" t="n"/>
      <c r="E6" s="6" t="n"/>
      <c r="F6" s="6" t="n"/>
    </row>
    <row r="7">
      <c r="A7" s="5" t="inlineStr">
        <is>
          <t>Net cash generated/(used) from investing activities</t>
        </is>
      </c>
      <c r="B7" s="5" t="n">
        <v>-122997984</v>
      </c>
      <c r="C7" s="5" t="n">
        <v>21089132</v>
      </c>
      <c r="D7" s="5" t="n">
        <v>-16905485</v>
      </c>
      <c r="E7" s="5" t="n">
        <v>83292813</v>
      </c>
      <c r="F7" s="5" t="n">
        <v>-5782456</v>
      </c>
    </row>
    <row r="8">
      <c r="A8" s="5" t="inlineStr">
        <is>
          <t>Financing activities</t>
        </is>
      </c>
      <c r="B8" s="6" t="n"/>
      <c r="C8" s="6" t="n"/>
      <c r="D8" s="6" t="n"/>
      <c r="E8" s="6" t="n"/>
      <c r="F8" s="6" t="n"/>
    </row>
    <row r="9">
      <c r="A9" s="5" t="inlineStr">
        <is>
          <t>Net cash generated/(used) in financing activities</t>
        </is>
      </c>
      <c r="B9" s="5" t="n">
        <v>27813180</v>
      </c>
      <c r="C9" s="5" t="n">
        <v>-2299886</v>
      </c>
      <c r="D9" s="5" t="n">
        <v>-4776099</v>
      </c>
      <c r="E9" s="5" t="n">
        <v>-2491694</v>
      </c>
      <c r="F9" s="5" t="n">
        <v>0</v>
      </c>
    </row>
    <row r="10">
      <c r="A10" s="5" t="inlineStr">
        <is>
          <t>Net decrease/(increase) in cash and cash equivalents</t>
        </is>
      </c>
      <c r="B10" s="5" t="n">
        <v>6096106</v>
      </c>
      <c r="C10" s="5" t="n">
        <v>-25708407</v>
      </c>
      <c r="D10" s="5" t="n">
        <v>-132369921</v>
      </c>
      <c r="E10" s="5" t="n">
        <v>-10370908</v>
      </c>
      <c r="F10" s="5" t="n">
        <v>-525775</v>
      </c>
    </row>
    <row r="11">
      <c r="A11" s="6" t="inlineStr">
        <is>
          <t>Cash and cash equivalents at the beginning of year</t>
        </is>
      </c>
      <c r="B11" s="6" t="n">
        <v>286126277</v>
      </c>
      <c r="C11" s="6" t="n">
        <v>308342852</v>
      </c>
      <c r="D11" s="6" t="n">
        <v>459632745</v>
      </c>
      <c r="E11" s="6" t="n">
        <v>53727035</v>
      </c>
      <c r="F11" s="6" t="n">
        <v>54252810</v>
      </c>
    </row>
    <row r="12">
      <c r="A12" s="6" t="inlineStr">
        <is>
          <t>Effect of foreign exchange rate changes</t>
        </is>
      </c>
      <c r="B12" s="6" t="n">
        <v>-15465348</v>
      </c>
      <c r="C12" s="6" t="n">
        <v>3491832</v>
      </c>
      <c r="D12" s="6" t="n">
        <v>-18919972</v>
      </c>
      <c r="E12" s="6" t="n"/>
      <c r="F12" s="6" t="n"/>
    </row>
    <row r="13">
      <c r="A13" s="5" t="inlineStr">
        <is>
          <t>Cash and cash equivalents at the end of year</t>
        </is>
      </c>
      <c r="B13" s="5" t="n">
        <v>276757036</v>
      </c>
      <c r="C13" s="5" t="n">
        <v>286126277</v>
      </c>
      <c r="D13" s="5" t="n">
        <v>308342852</v>
      </c>
      <c r="E13" s="5" t="n">
        <v>43356127</v>
      </c>
      <c r="F13" s="5" t="n">
        <v>53727035</v>
      </c>
    </row>
    <row r="15" ht="190" customHeight="1">
      <c r="A15" s="8" t="inlineStr">
        <is>
          <t>Sources - National Bank of Egypt (UK) Limited entity-level Cash Flow Statement, £:
FY2025: Companies House Annual Report for 2025, Cash Flow Statement - https://find-and-update.company-information.service.gov.uk/company/02743734/filing-history/MzU0MDExNTA0NGFkaXF6a2N4/document?format=pdf&amp;download=0
FY2024: Companies House Annual Report for 2024, Cash Flow Statement - https://find-and-update.company-information.service.gov.uk/company/02743734/filing-history/MzQ2Mjk2OTExMGFkaXF6a2N4/document?format=pdf&amp;download=0
FY2023: Companies House Annual Report for 2023, Cash Flow Statement - https://find-and-update.company-information.service.gov.uk/company/02743734/filing-history/MzQxOTgxMTA0NmFkaXF6a2N4/document?format=pdf&amp;download=0
FY2022: Companies House Annual Report for 2022, Cash Flow Statement - https://find-and-update.company-information.service.gov.uk/company/02743734/filing-history/MzM5NDYwNDY2OGFkaXF6a2N4/document?format=pdf&amp;download=0
FY2021: Companies House Annual Report for 2021, Cash Flow Statement - https://find-and-update.company-information.service.gov.uk/company/02743734/filing-history/MzM1MTQyMDQxMmFkaXF6a2N4/document?format=pdf&amp;download=0
FY2021/FY2022 are condensed cash-flow presentations in the filed accounts; the reported subtotals and opening/closing cash chain are preserved.
CORRECTION (2026-08-29 correctness sweep): the original transcription omitted a real, separately-disclosed 'Effect of foreign exchange rate changes' line that sits between the opening and closing cash balances in the FY2023, FY2024, and FY2025 filings' own Cash Flow Statements (FY2025 Annual Report p.41; FY2023 Annual Report p.39, restated FY2022 comparative). Without it, the opening + net change chain did not tie to the printed closing balance for those 3 years (confirmed by re-reading each source page directly): FY2023 -18,919,972; FY2024 +3,491,832; FY2025 -15,465,348. Added as its own line; the chain now reconciles exactly for FY2023-FY2025. FY2021/FY2022 needed no change - their condensed presentation already embeds this effect within operating activities, and the chain already tied.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15:F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Asset Quality</t>
        </is>
      </c>
    </row>
    <row r="2">
      <c r="A2" s="2" t="inlineStr">
        <is>
          <t>Entity-level basis, £. FRS 102 entity - no IFRS 9 stage 1/2/3 split disclosed. See source note at bottom.</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Gross loans and advances to customers by geography</t>
        </is>
      </c>
      <c r="B4" s="6" t="n"/>
      <c r="C4" s="6" t="n"/>
      <c r="D4" s="6" t="n"/>
      <c r="E4" s="6" t="n"/>
      <c r="F4" s="6" t="n"/>
    </row>
    <row r="5">
      <c r="A5" s="6" t="inlineStr">
        <is>
          <t>Europe and North America</t>
        </is>
      </c>
      <c r="B5" s="6" t="n">
        <v>433660879</v>
      </c>
      <c r="C5" s="6" t="n">
        <v>147230099</v>
      </c>
      <c r="D5" s="6" t="n">
        <v>17850413</v>
      </c>
      <c r="E5" s="6" t="n">
        <v>6344117</v>
      </c>
      <c r="F5" s="6" t="n"/>
    </row>
    <row r="6">
      <c r="A6" s="6" t="inlineStr">
        <is>
          <t>Middle East and Egypt</t>
        </is>
      </c>
      <c r="B6" s="6" t="n">
        <v>54101742</v>
      </c>
      <c r="C6" s="6" t="n">
        <v>33418909</v>
      </c>
      <c r="D6" s="6" t="n">
        <v>43127670</v>
      </c>
      <c r="E6" s="6" t="n">
        <v>31305384</v>
      </c>
      <c r="F6" s="6" t="n"/>
    </row>
    <row r="7">
      <c r="A7" s="6" t="inlineStr">
        <is>
          <t>Rest of the world</t>
        </is>
      </c>
      <c r="B7" s="6" t="n">
        <v>0</v>
      </c>
      <c r="C7" s="6" t="n">
        <v>872115</v>
      </c>
      <c r="D7" s="6" t="n">
        <v>882686</v>
      </c>
      <c r="E7" s="6" t="n">
        <v>8854134</v>
      </c>
      <c r="F7" s="6" t="n"/>
    </row>
    <row r="8">
      <c r="A8" s="5" t="inlineStr">
        <is>
          <t>Gross loans and advances to customers</t>
        </is>
      </c>
      <c r="B8" s="5" t="n">
        <v>487762621</v>
      </c>
      <c r="C8" s="5" t="n">
        <v>181521123</v>
      </c>
      <c r="D8" s="5" t="n">
        <v>61860769</v>
      </c>
      <c r="E8" s="5" t="n">
        <v>46503635</v>
      </c>
      <c r="F8" s="5" t="n">
        <v>37151779</v>
      </c>
    </row>
    <row r="9">
      <c r="A9" s="6" t="inlineStr">
        <is>
          <t>Bad and doubtful debt provision - specific (explicitly disclosed as nil every year - not inferred)</t>
        </is>
      </c>
      <c r="B9" s="6" t="n">
        <v>0</v>
      </c>
      <c r="C9" s="6" t="n">
        <v>0</v>
      </c>
      <c r="D9" s="6" t="n">
        <v>0</v>
      </c>
      <c r="E9" s="6" t="n">
        <v>0</v>
      </c>
      <c r="F9" s="6" t="n">
        <v>0</v>
      </c>
    </row>
    <row r="10">
      <c r="A10" s="5" t="inlineStr">
        <is>
          <t>Net loans and advances to customers</t>
        </is>
      </c>
      <c r="B10" s="5" t="n">
        <v>487762621</v>
      </c>
      <c r="C10" s="5" t="n">
        <v>181521123</v>
      </c>
      <c r="D10" s="5" t="n">
        <v>61860769</v>
      </c>
      <c r="E10" s="5" t="n">
        <v>46503635</v>
      </c>
      <c r="F10" s="5" t="n">
        <v>37151779</v>
      </c>
    </row>
    <row r="11">
      <c r="A11" s="5" t="inlineStr">
        <is>
          <t>Bad and doubtful debt provision movement and non-performing loans</t>
        </is>
      </c>
      <c r="B11" s="6" t="n"/>
      <c r="C11" s="6" t="n"/>
      <c r="D11" s="6" t="n"/>
      <c r="E11" s="6" t="n"/>
      <c r="F11" s="6" t="n"/>
    </row>
    <row r="12">
      <c r="A12" s="6" t="inlineStr">
        <is>
          <t>Net (release)/charge of provisions for bad and doubtful debts</t>
        </is>
      </c>
      <c r="B12" s="6" t="n">
        <v>0</v>
      </c>
      <c r="C12" s="6" t="n">
        <v>0</v>
      </c>
      <c r="D12" s="6" t="n">
        <v>0</v>
      </c>
      <c r="E12" s="6" t="n">
        <v>0</v>
      </c>
      <c r="F12" s="6" t="n">
        <v>-443787</v>
      </c>
    </row>
    <row r="13">
      <c r="A13" s="6" t="inlineStr">
        <is>
          <t>Non-performing loans, net of suspended interest (FY2021 only - see note)</t>
        </is>
      </c>
      <c r="B13" s="6" t="n"/>
      <c r="C13" s="6" t="n"/>
      <c r="D13" s="6" t="n"/>
      <c r="E13" s="6" t="n"/>
      <c r="F13" s="6" t="n">
        <v>0</v>
      </c>
    </row>
    <row r="15" ht="320" customHeight="1">
      <c r="A15" s="8" t="inlineStr">
        <is>
          <t>Sources - National Bank of Egypt (UK) Limited's own loans-and-advances-to-customers concentration note and bad-and-doubtful-debt provision note, entity-level basis, £ (Companies House filings, all fully scanned/image-only):
FY2025 &amp; FY2024: Annual Report 2025, p.51-52 (Note 8 Provisions for bad and doubtful debts; Note 11 Loans and advances to customers) - https://find-and-update.company-information.service.gov.uk/company/02743734/filing-history/MzU0MDExNTA0NGFkaXF6a2N4/document?format=pdf&amp;download=0
FY2023 &amp; FY2022: Annual Report 2023, p.47, p.51 (Note 6; Note 9) - https://find-and-update.company-information.service.gov.uk/company/02743734/filing-history/MzQxOTgxMTA0NmFkaXF6a2N4/document?format=pdf&amp;download=0
FY2021 (own, 18-month period): Annual Report 2022, p.42-43 (Note 6 Provisions for bad and doubtful debts, including the full movement table and non-performing-loan status)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
This is an FRS 102 entity - no IFRS 9 stage 1/2/3 split is disclosed in any year; a specific bad-and-doubtful-debt provision is used instead. The Bank's own Note 8/Note 6 explicitly discloses a nil net impairment charge/reversal (shown as '-') for FY2022 through FY2025, and a nil provision balance against loans and advances to customers at every one of these 5 year-ends - confirmed via the loans-and-advances-to-customers note's own 'Bad and doubtful debt provision - specific' line, not inferred. FY2021's provision was fully released/written off during the 18-month period (see the Profit &amp; Loss sheet's presentation notes) from an opening balance of £951,955 at 30 June 2020; the Bank's own Note 6(c) also confirms nil non-performing loans (net of suspended interest) at 31 December 2021, down from £949,661 at 30 June 2020 - a genuine full resolution of the prior non-performing book within the period, not a data gap. A non-performing-loan sub-analysis equivalent to FY2021's own Note 6(c) was not located in the FY2022-FY2025 filings reviewed this session - left blank rather than assumed nil. Geographic concentration for FY2021 was not sourced this session - left blank.</t>
        </is>
      </c>
    </row>
  </sheetData>
  <mergeCells count="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 Tier 1 capital</t>
        </is>
      </c>
      <c r="B4" s="6" t="n"/>
      <c r="C4" s="6" t="n">
        <v>170750</v>
      </c>
      <c r="D4" s="6" t="n">
        <v>166857</v>
      </c>
      <c r="E4" s="6" t="n">
        <v>160206</v>
      </c>
      <c r="F4" s="6" t="n">
        <v>154505</v>
      </c>
    </row>
    <row r="5" ht="60" customHeight="1">
      <c r="A5" s="7" t="inlineStr">
        <is>
          <t>Note: FY2021–FY2022 source tables report Tier 1 capital; no AT1 instruments are disclosed, so it is used as CET1. FY2025 not disclosed.</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n"/>
      <c r="C4" s="6" t="inlineStr">
        <is>
          <t>16.31%</t>
        </is>
      </c>
      <c r="D4" s="6" t="inlineStr">
        <is>
          <t>17.3%</t>
        </is>
      </c>
      <c r="E4" s="6" t="inlineStr">
        <is>
          <t>16.8%</t>
        </is>
      </c>
      <c r="F4" s="6" t="n"/>
    </row>
    <row r="5" ht="60" customHeight="1">
      <c r="A5" s="7" t="inlineStr">
        <is>
          <t>Note: FY2021 standalone CET1 ratio was not separately stated and is left blank rather than substituting the reported leverage ratio.</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170750</v>
      </c>
      <c r="D4" s="6" t="n">
        <v>166857</v>
      </c>
      <c r="E4" s="6" t="n">
        <v>160206</v>
      </c>
      <c r="F4" s="6" t="n">
        <v>154505</v>
      </c>
    </row>
    <row r="6" ht="170" customHeight="1">
      <c r="A6"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16.31%</t>
        </is>
      </c>
      <c r="D4" s="6" t="inlineStr">
        <is>
          <t>17.3%</t>
        </is>
      </c>
      <c r="E4" s="6" t="inlineStr">
        <is>
          <t>16.8%</t>
        </is>
      </c>
      <c r="F4" s="6" t="n"/>
    </row>
    <row r="5" ht="60" customHeight="1">
      <c r="A5" s="7" t="inlineStr">
        <is>
          <t>Note: FY2021 standalone Tier 1 ratio was not separately stated; the reported 12.47% leverage ratio is kept only on the Leverage Ratio sheet.</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c r="C4" s="6" t="n">
        <v>201853</v>
      </c>
      <c r="D4" s="6" t="n">
        <v>197905</v>
      </c>
      <c r="E4" s="6" t="n">
        <v>195475</v>
      </c>
      <c r="F4" s="6" t="n">
        <v>187789</v>
      </c>
    </row>
    <row r="6" ht="170" customHeight="1">
      <c r="A6"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 capital adequacy ratio</t>
        </is>
      </c>
      <c r="B4" s="6" t="n"/>
      <c r="C4" s="6" t="inlineStr">
        <is>
          <t>19.28%</t>
        </is>
      </c>
      <c r="D4" s="6" t="inlineStr">
        <is>
          <t>20.6%</t>
        </is>
      </c>
      <c r="E4" s="6" t="inlineStr">
        <is>
          <t>20.54%</t>
        </is>
      </c>
      <c r="F4" s="6" t="inlineStr">
        <is>
          <t>15.15%</t>
        </is>
      </c>
    </row>
    <row r="5" ht="60" customHeight="1">
      <c r="A5" s="7" t="inlineStr">
        <is>
          <t>Note: The older reports label this capital adequacy/total capital ratio and use their stated regulatory denominator; values are not recalculated.</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 / RWA</t>
        </is>
      </c>
      <c r="B4" s="6" t="n"/>
      <c r="C4" s="6" t="n">
        <v>1047061</v>
      </c>
      <c r="D4" s="6" t="n">
        <v>962119</v>
      </c>
      <c r="E4" s="6" t="n">
        <v>906134</v>
      </c>
      <c r="F4" s="6" t="n">
        <v>779381</v>
      </c>
    </row>
    <row r="6" ht="170" customHeight="1">
      <c r="A6"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RWA Breakdown</t>
        </is>
      </c>
    </row>
    <row r="2">
      <c r="A2" s="2" t="inlineStr">
        <is>
          <t>Entity-level basis, £000. Genuine cross-document/within-document total discrepancy for FY2021-FY2023 -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Risk-weighted exposure amounts by category (own OV1 template, FY2024-FY2023; derived from the Pillar 1 capital-requirement table x12.5, FY2022-FY2021 - see note)</t>
        </is>
      </c>
      <c r="B4" s="6" t="n"/>
      <c r="C4" s="6" t="n"/>
      <c r="D4" s="6" t="n"/>
      <c r="E4" s="6" t="n"/>
      <c r="F4" s="6" t="n"/>
    </row>
    <row r="5">
      <c r="A5" s="6" t="inlineStr">
        <is>
          <t>Credit risk (excluding CCR)</t>
        </is>
      </c>
      <c r="B5" s="6" t="n"/>
      <c r="C5" s="6" t="n">
        <v>988313</v>
      </c>
      <c r="D5" s="6" t="n">
        <v>973878</v>
      </c>
      <c r="E5" s="6" t="n">
        <v>906138</v>
      </c>
      <c r="F5" s="6" t="n">
        <v>779375</v>
      </c>
    </row>
    <row r="6">
      <c r="A6" s="6" t="inlineStr">
        <is>
          <t>Counterparty credit risk (CCR)</t>
        </is>
      </c>
      <c r="B6" s="6" t="n"/>
      <c r="C6" s="6" t="n">
        <v>12424</v>
      </c>
      <c r="D6" s="6" t="n">
        <v>23332</v>
      </c>
      <c r="E6" s="6" t="n"/>
      <c r="F6" s="6" t="n"/>
    </row>
    <row r="7">
      <c r="A7" s="6" t="inlineStr">
        <is>
          <t>Of which: credit valuation adjustment (CVA)</t>
        </is>
      </c>
      <c r="B7" s="6" t="n"/>
      <c r="C7" s="6" t="n">
        <v>5039</v>
      </c>
      <c r="D7" s="6" t="n">
        <v>8789</v>
      </c>
      <c r="E7" s="6" t="n">
        <v>11350</v>
      </c>
      <c r="F7" s="6" t="n">
        <v>363</v>
      </c>
    </row>
    <row r="8">
      <c r="A8" s="6" t="inlineStr">
        <is>
          <t>Market risk</t>
        </is>
      </c>
      <c r="B8" s="6" t="n"/>
      <c r="C8" s="6" t="n">
        <v>0</v>
      </c>
      <c r="D8" s="6" t="n">
        <v>0</v>
      </c>
      <c r="E8" s="6" t="n">
        <v>1125</v>
      </c>
      <c r="F8" s="6" t="n">
        <v>2138</v>
      </c>
    </row>
    <row r="9">
      <c r="A9" s="6" t="inlineStr">
        <is>
          <t>Operational risk</t>
        </is>
      </c>
      <c r="B9" s="6" t="n"/>
      <c r="C9" s="6" t="n">
        <v>46325</v>
      </c>
      <c r="D9" s="6" t="n">
        <v>43333</v>
      </c>
      <c r="E9" s="6" t="n">
        <v>32900</v>
      </c>
      <c r="F9" s="6" t="n">
        <v>31350</v>
      </c>
    </row>
    <row r="10">
      <c r="A10" s="5" t="inlineStr">
        <is>
          <t>Total (this table's own category sum)</t>
        </is>
      </c>
      <c r="B10" s="5" t="n"/>
      <c r="C10" s="5" t="n">
        <v>1047061</v>
      </c>
      <c r="D10" s="5" t="n">
        <v>1040542</v>
      </c>
      <c r="E10" s="5" t="n">
        <v>951513</v>
      </c>
      <c r="F10" s="5" t="n">
        <v>813226</v>
      </c>
    </row>
    <row r="11">
      <c r="A11" s="6" t="inlineStr">
        <is>
          <t>For comparison: this bank's own separately-disclosed Total RWA (Total RWAs sheet - does not tie to the row above for FY2021-FY2023, see note)</t>
        </is>
      </c>
      <c r="B11" s="6" t="n"/>
      <c r="C11" s="6" t="n">
        <v>1047061</v>
      </c>
      <c r="D11" s="6" t="n">
        <v>962119</v>
      </c>
      <c r="E11" s="6" t="n">
        <v>906134</v>
      </c>
      <c r="F11" s="6" t="n">
        <v>779381</v>
      </c>
    </row>
    <row r="13" ht="300" customHeight="1">
      <c r="A13" s="8" t="inlineStr">
        <is>
          <t>Sources - National Bank of Egypt (UK) Limited's own Pillar 3 disclosures, entity-level basis, £000:
FY2024 (own, Template UK OV1): Pillar 3 Disclosures 31 December 2024, Section 5 - https://www.nbeuk.com/wp-content/uploads/2025/04/Pillar-3-Disclosures-31st-December-2024.pdf
FY2023 (own, Template UK OV1): Pillar 3 Disclosures 31 December 2023, Section 5 - https://www.nbeuk.com/wp-content/uploads/2024/09/Pillar-3-Disclosures-31st-December-2023-FINAL.pdf
FY2022 (own, Pillar 1 capital-requirement-by-asset-class table): Pillar 3 disclosure 31 December 2022, Section 9/10 - https://www.nbeuk.com/wp-content/uploads/2023/10/NBE-UK-Pillar-3-31-December-2022-approved.pdf
FY2021 (own, Pillar 1 capital-requirement-by-asset-class table AND a separately-disclosed 'Risk Weighted Assets' figure): Pillar 3 disclosure 31 December 2021, Section 3/4 - https://www.nbeuk.com/wp-content/uploads/2023/05/Pillar-3-31-December-2021-approved.pdf
FY2025: no 2025 Pillar 3 disclosure located as of this build (confirmed 404 on the expected URL pattern and no listing-page hit);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
GENUINE CROSS-DOCUMENT DISCREPANCY (flagged, not silently reconciled): this bank's own Pillar 3 documents do not give one single consistent 'Total RWA' figure per year. FY2024's OV1-template total (£1,047,061k) matches the Total RWAs sheet exactly. FY2023's OV1-template total (£1,040,542k, this table) does NOT match FY2023's own KM1 summary table in the SAME document (£962,119k, used on the Total RWAs sheet) - a genuine within-document inconsistency, not a transcription error. FY2022/FY2021 have no OV1 template at all; the categories below are derived from each year's own Pillar 1 capital-requirement-by-asset-class table (multiplied by 12.5, the standard 8%-to-RWA conversion), giving derived totals of £951,513k (FY2022) and £813,226k (FY2021) that do NOT match either year's own separately and explicitly disclosed 'Risk Weighted Assets' figure (£906,134k / £779,381k, used on the Total RWas sheet) - again a genuine document-internal gap (the capital-requirement components evidently don't sum linearly to the disclosed RWA total via the standard 12.5x scalar), not an error introduced here. Each year's own best-available category split is shown as-is.</t>
        </is>
      </c>
    </row>
  </sheetData>
  <mergeCells count="1">
    <mergeCell ref="A13:F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inlineStr">
        <is>
          <t>11.6%</t>
        </is>
      </c>
      <c r="D4" s="6" t="inlineStr">
        <is>
          <t>12.1%</t>
        </is>
      </c>
      <c r="E4" s="6" t="inlineStr">
        <is>
          <t>11.65%</t>
        </is>
      </c>
      <c r="F4" s="6" t="inlineStr">
        <is>
          <t>12.47%</t>
        </is>
      </c>
    </row>
    <row r="6" ht="170" customHeight="1">
      <c r="A6"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(average)</t>
        </is>
      </c>
      <c r="B4" s="6" t="n"/>
      <c r="C4" s="6" t="inlineStr">
        <is>
          <t>418%</t>
        </is>
      </c>
      <c r="D4" s="6" t="inlineStr">
        <is>
          <t>387%</t>
        </is>
      </c>
      <c r="E4" s="6" t="inlineStr">
        <is>
          <t>296%</t>
        </is>
      </c>
      <c r="F4" s="6" t="n"/>
    </row>
    <row r="5" ht="60" customHeight="1">
      <c r="A5" s="7" t="inlineStr">
        <is>
          <t>Note: FY2021 average LCR was not quantified in the located disclosure; FY2025 has no Pillar 3 edition.</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(average)</t>
        </is>
      </c>
      <c r="B4" s="6" t="n"/>
      <c r="C4" s="6" t="inlineStr">
        <is>
          <t>194%</t>
        </is>
      </c>
      <c r="D4" s="6" t="inlineStr">
        <is>
          <t>176%</t>
        </is>
      </c>
      <c r="E4" s="6" t="inlineStr">
        <is>
          <t>135%</t>
        </is>
      </c>
      <c r="F4" s="6" t="n"/>
    </row>
    <row r="5" ht="60" customHeight="1">
      <c r="A5" s="7" t="inlineStr">
        <is>
          <t>Note: FY2021 NSFR was not quantified in the located disclosure; FY2025 has no Pillar 3 edition.</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was disclosed in the located annual Pillar 3 documents.</t>
        </is>
      </c>
    </row>
    <row r="7" ht="15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2026-09-03T17:26:22Z</dcterms:created>
  <dcterms:modified xmlns:dcterms="http://purl.org/dc/terms/" xmlns:xsi="http://www.w3.org/2001/XMLSchema-instance" xsi:type="dcterms:W3CDTF">2026-09-03T17:26:22Z</dcterms:modified>
</cp:coreProperties>
</file>