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Unity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Unity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Unity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Unity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2187753</v>
      </c>
      <c r="C6" s="5" t="n">
        <v>1957289</v>
      </c>
      <c r="D6" s="5" t="n">
        <v>1745808</v>
      </c>
      <c r="E6" s="5" t="n">
        <v>1669179</v>
      </c>
      <c r="F6" s="5" t="n">
        <v>1622794</v>
      </c>
      <c r="G6" s="5" t="n">
        <v>1431594</v>
      </c>
      <c r="H6" s="5" t="n">
        <v>1122206</v>
      </c>
      <c r="I6" s="5" t="n">
        <v>1076894</v>
      </c>
      <c r="L6" t="inlineStr">
        <is>
          <t>Total assets</t>
        </is>
      </c>
      <c r="M6" t="n">
        <v>1076894</v>
      </c>
      <c r="N6" t="n">
        <v>1122206</v>
      </c>
      <c r="O6" t="n">
        <v>1431594</v>
      </c>
      <c r="P6" t="n">
        <v>1622794</v>
      </c>
      <c r="Q6" t="n">
        <v>1669179</v>
      </c>
      <c r="R6" t="n">
        <v>1745808</v>
      </c>
      <c r="S6" t="n">
        <v>1957289</v>
      </c>
      <c r="T6" t="n">
        <v>2187753</v>
      </c>
      <c r="BD6" t="inlineStr">
        <is>
          <t>CET1 Ratio</t>
        </is>
      </c>
      <c r="BE6" t="n">
        <v>19.3</v>
      </c>
      <c r="BF6" t="n">
        <v>17.6</v>
      </c>
      <c r="BG6" t="n">
        <v>16.7</v>
      </c>
      <c r="BH6" t="n">
        <v>17.7</v>
      </c>
      <c r="BI6" t="n">
        <v>18.27</v>
      </c>
      <c r="BJ6" t="n">
        <v>19.68</v>
      </c>
      <c r="BK6" t="n">
        <v>24.05</v>
      </c>
      <c r="BL6" t="n">
        <v>24.33</v>
      </c>
    </row>
    <row r="7">
      <c r="A7" s="5" t="inlineStr">
        <is>
          <t>Loans and advances to customers</t>
        </is>
      </c>
      <c r="B7" s="5" t="n">
        <v>1133097</v>
      </c>
      <c r="C7" s="5" t="n">
        <v>1013816</v>
      </c>
      <c r="D7" s="5" t="n">
        <v>1013646</v>
      </c>
      <c r="E7" s="5" t="n">
        <v>836576</v>
      </c>
      <c r="F7" s="5" t="n">
        <v>723523</v>
      </c>
      <c r="G7" s="5" t="n">
        <v>601810</v>
      </c>
      <c r="H7" s="5" t="n">
        <v>477554</v>
      </c>
      <c r="I7" s="5" t="n">
        <v>362446</v>
      </c>
      <c r="L7" t="inlineStr">
        <is>
          <t>Loans and advances to customers</t>
        </is>
      </c>
      <c r="M7" t="n">
        <v>362446</v>
      </c>
      <c r="N7" t="n">
        <v>477554</v>
      </c>
      <c r="O7" t="n">
        <v>601810</v>
      </c>
      <c r="P7" t="n">
        <v>723523</v>
      </c>
      <c r="Q7" t="n">
        <v>836576</v>
      </c>
      <c r="R7" t="n">
        <v>1013646</v>
      </c>
      <c r="S7" t="n">
        <v>1013816</v>
      </c>
      <c r="T7" t="n">
        <v>1133097</v>
      </c>
      <c r="BD7" t="inlineStr">
        <is>
          <t>Tier 1 Ratio</t>
        </is>
      </c>
      <c r="BE7" t="n">
        <v>19.3</v>
      </c>
      <c r="BF7" t="n">
        <v>17.6</v>
      </c>
      <c r="BG7" t="n">
        <v>16.7</v>
      </c>
      <c r="BH7" t="n">
        <v>17.69</v>
      </c>
      <c r="BI7" t="n">
        <v>18.27</v>
      </c>
      <c r="BJ7" t="n">
        <v>19.68</v>
      </c>
      <c r="BK7" t="n">
        <v>24.05</v>
      </c>
      <c r="BL7" t="n">
        <v>24.33</v>
      </c>
    </row>
    <row r="8">
      <c r="A8" s="5" t="inlineStr">
        <is>
          <t>Customer deposits</t>
        </is>
      </c>
      <c r="B8" s="5" t="n">
        <v>1861280</v>
      </c>
      <c r="C8" s="5" t="n">
        <v>1717204</v>
      </c>
      <c r="D8" s="5" t="n">
        <v>1559309</v>
      </c>
      <c r="E8" s="5" t="n">
        <v>1538657</v>
      </c>
      <c r="F8" s="5" t="n">
        <v>1507227</v>
      </c>
      <c r="G8" s="5" t="n">
        <v>1335725</v>
      </c>
      <c r="H8" s="5" t="n">
        <v>1030435</v>
      </c>
      <c r="I8" s="5" t="n">
        <v>998130</v>
      </c>
      <c r="L8" t="inlineStr">
        <is>
          <t>Customer deposits</t>
        </is>
      </c>
      <c r="M8" t="n">
        <v>998130</v>
      </c>
      <c r="N8" t="n">
        <v>1030435</v>
      </c>
      <c r="O8" t="n">
        <v>1335725</v>
      </c>
      <c r="P8" t="n">
        <v>1507227</v>
      </c>
      <c r="Q8" t="n">
        <v>1538657</v>
      </c>
      <c r="R8" t="n">
        <v>1559309</v>
      </c>
      <c r="S8" t="n">
        <v>1717204</v>
      </c>
      <c r="T8" t="n">
        <v>1861280</v>
      </c>
      <c r="BD8" t="inlineStr">
        <is>
          <t>Total Capital Ratio</t>
        </is>
      </c>
      <c r="BE8" t="n">
        <v>19.3</v>
      </c>
      <c r="BF8" t="n">
        <v>17.6</v>
      </c>
      <c r="BG8" t="n">
        <v>16.7</v>
      </c>
      <c r="BH8" t="n">
        <v>17.69</v>
      </c>
      <c r="BI8" t="n">
        <v>18.27</v>
      </c>
      <c r="BJ8" t="n">
        <v>19.68</v>
      </c>
      <c r="BK8" t="n">
        <v>24.05</v>
      </c>
      <c r="BL8" t="n">
        <v>24.33</v>
      </c>
    </row>
    <row r="9">
      <c r="A9" s="5" t="inlineStr">
        <is>
          <t>Total equity</t>
        </is>
      </c>
      <c r="B9" s="5" t="n">
        <v>263994</v>
      </c>
      <c r="C9" s="5" t="n">
        <v>222117</v>
      </c>
      <c r="D9" s="5" t="n">
        <v>172617</v>
      </c>
      <c r="E9" s="5" t="n">
        <v>123815</v>
      </c>
      <c r="F9" s="5" t="n">
        <v>108963</v>
      </c>
      <c r="G9" s="5" t="n">
        <v>90669</v>
      </c>
      <c r="H9" s="5" t="n">
        <v>85132</v>
      </c>
      <c r="I9" s="5" t="n">
        <v>75423</v>
      </c>
      <c r="L9" t="inlineStr">
        <is>
          <t>Total equity</t>
        </is>
      </c>
      <c r="M9" t="n">
        <v>75423</v>
      </c>
      <c r="N9" t="n">
        <v>85132</v>
      </c>
      <c r="O9" t="n">
        <v>90669</v>
      </c>
      <c r="P9" t="n">
        <v>108963</v>
      </c>
      <c r="Q9" t="n">
        <v>123815</v>
      </c>
      <c r="R9" t="n">
        <v>172617</v>
      </c>
      <c r="S9" t="n">
        <v>222117</v>
      </c>
      <c r="T9" t="n">
        <v>263994</v>
      </c>
      <c r="BD9" t="inlineStr">
        <is>
          <t>Leverage Ratio (Basel III)</t>
        </is>
      </c>
      <c r="BE9" t="n">
        <v>6.4</v>
      </c>
      <c r="BF9" t="n">
        <v>6.9</v>
      </c>
      <c r="BG9" t="n">
        <v>5.9</v>
      </c>
      <c r="BH9" t="n">
        <v>5.7</v>
      </c>
      <c r="BI9" t="n">
        <v>7.19</v>
      </c>
      <c r="BJ9" t="n">
        <v>9.619999999999999</v>
      </c>
      <c r="BK9" t="n">
        <v>11.05</v>
      </c>
      <c r="BL9" t="n">
        <v>11.45</v>
      </c>
    </row>
    <row r="10">
      <c r="BD10" t="inlineStr">
        <is>
          <t>LCR</t>
        </is>
      </c>
      <c r="BE10" t="n">
        <v>393</v>
      </c>
      <c r="BF10" t="n">
        <v>339</v>
      </c>
      <c r="BG10" t="n">
        <v>331</v>
      </c>
      <c r="BH10" t="n">
        <v>272</v>
      </c>
      <c r="BI10" t="n">
        <v>220</v>
      </c>
      <c r="BJ10" t="n">
        <v>210</v>
      </c>
      <c r="BK10" t="n">
        <v>227.95</v>
      </c>
      <c r="BL10" t="n">
        <v>225.76</v>
      </c>
    </row>
    <row r="11">
      <c r="A11" s="3" t="inlineStr">
        <is>
          <t>Profit &amp; Loss Summary (£'000)</t>
        </is>
      </c>
      <c r="BD11" t="inlineStr">
        <is>
          <t>NSFR</t>
        </is>
      </c>
      <c r="BH11" t="n">
        <v>171.4</v>
      </c>
      <c r="BI11" t="n">
        <v>154.4</v>
      </c>
      <c r="BJ11" t="n">
        <v>131.97</v>
      </c>
      <c r="BK11" t="n">
        <v>154.16</v>
      </c>
      <c r="BL11" t="n">
        <v>148.7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95026</v>
      </c>
      <c r="C13" s="5" t="n">
        <v>102097</v>
      </c>
      <c r="D13" s="5" t="n">
        <v>92421</v>
      </c>
      <c r="E13" s="5" t="n">
        <v>47183</v>
      </c>
      <c r="F13" s="5" t="n">
        <v>25137</v>
      </c>
      <c r="G13" s="5" t="n">
        <v>21948</v>
      </c>
      <c r="H13" s="5" t="n">
        <v>22642</v>
      </c>
      <c r="I13" s="5" t="n">
        <v>18371</v>
      </c>
      <c r="W13" t="inlineStr">
        <is>
          <t>Total income</t>
        </is>
      </c>
      <c r="X13" t="n">
        <v>18371</v>
      </c>
      <c r="Y13" t="n">
        <v>22642</v>
      </c>
      <c r="Z13" t="n">
        <v>21948</v>
      </c>
      <c r="AA13" t="n">
        <v>25137</v>
      </c>
      <c r="AB13" t="n">
        <v>47183</v>
      </c>
      <c r="AC13" t="n">
        <v>92421</v>
      </c>
      <c r="AD13" t="n">
        <v>102097</v>
      </c>
      <c r="AE13" t="n">
        <v>95026</v>
      </c>
    </row>
    <row r="14">
      <c r="A14" s="5" t="inlineStr">
        <is>
          <t>Operating expenses</t>
        </is>
      </c>
      <c r="B14" s="5" t="n">
        <v>-41377</v>
      </c>
      <c r="C14" s="5" t="n">
        <v>-33314</v>
      </c>
      <c r="D14" s="5" t="n">
        <v>-25011</v>
      </c>
      <c r="E14" s="5" t="n">
        <v>-17354</v>
      </c>
      <c r="F14" s="5" t="n">
        <v>-13614</v>
      </c>
      <c r="G14" s="5" t="n">
        <v>-12614</v>
      </c>
      <c r="H14" s="5" t="n">
        <v>-13315</v>
      </c>
      <c r="I14" s="5" t="n">
        <v>-10623</v>
      </c>
      <c r="W14" t="inlineStr">
        <is>
          <t>Operating expenses</t>
        </is>
      </c>
      <c r="X14" t="n">
        <v>-10623</v>
      </c>
      <c r="Y14" t="n">
        <v>-13315</v>
      </c>
      <c r="Z14" t="n">
        <v>-12614</v>
      </c>
      <c r="AA14" t="n">
        <v>-13614</v>
      </c>
      <c r="AB14" t="n">
        <v>-17354</v>
      </c>
      <c r="AC14" t="n">
        <v>-25011</v>
      </c>
      <c r="AD14" t="n">
        <v>-33314</v>
      </c>
      <c r="AE14" t="n">
        <v>-41377</v>
      </c>
    </row>
    <row r="15">
      <c r="A15" s="5" t="inlineStr">
        <is>
          <t>Profit for the year</t>
        </is>
      </c>
      <c r="B15" s="5" t="n">
        <v>40789</v>
      </c>
      <c r="C15" s="5" t="n">
        <v>50476</v>
      </c>
      <c r="D15" s="5" t="n">
        <v>48858</v>
      </c>
      <c r="E15" s="5" t="n">
        <v>22843</v>
      </c>
      <c r="F15" s="5" t="n">
        <v>9671</v>
      </c>
      <c r="G15" s="5" t="n">
        <v>7027</v>
      </c>
      <c r="H15" s="5" t="n">
        <v>7981</v>
      </c>
      <c r="I15" s="5" t="n">
        <v>5967</v>
      </c>
      <c r="W15" t="inlineStr">
        <is>
          <t>Profit for the year</t>
        </is>
      </c>
      <c r="X15" t="n">
        <v>5967</v>
      </c>
      <c r="Y15" t="n">
        <v>7981</v>
      </c>
      <c r="Z15" t="n">
        <v>7027</v>
      </c>
      <c r="AA15" t="n">
        <v>9671</v>
      </c>
      <c r="AB15" t="n">
        <v>22843</v>
      </c>
      <c r="AC15" t="n">
        <v>48858</v>
      </c>
      <c r="AD15" t="n">
        <v>50476</v>
      </c>
      <c r="AE15" t="n">
        <v>40789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222117</v>
      </c>
      <c r="C19" s="5" t="n">
        <v>172617</v>
      </c>
      <c r="D19" s="5" t="n">
        <v>123815</v>
      </c>
      <c r="E19" s="5" t="n">
        <v>108963</v>
      </c>
      <c r="F19" s="5" t="n">
        <v>90669</v>
      </c>
      <c r="G19" s="5" t="n">
        <v>85132</v>
      </c>
      <c r="H19" s="5" t="n">
        <v>75423</v>
      </c>
      <c r="I19" s="5" t="n">
        <v>59819</v>
      </c>
      <c r="AH19" t="inlineStr">
        <is>
          <t>Opening equity</t>
        </is>
      </c>
      <c r="AI19" t="n">
        <v>59819</v>
      </c>
      <c r="AJ19" t="n">
        <v>75423</v>
      </c>
      <c r="AK19" t="n">
        <v>85132</v>
      </c>
      <c r="AL19" t="n">
        <v>90669</v>
      </c>
      <c r="AM19" t="n">
        <v>108963</v>
      </c>
      <c r="AN19" t="n">
        <v>123815</v>
      </c>
      <c r="AO19" t="n">
        <v>172617</v>
      </c>
      <c r="AP19" t="n">
        <v>222117</v>
      </c>
    </row>
    <row r="20">
      <c r="A20" s="5" t="inlineStr">
        <is>
          <t>Total comprehensive income for the year</t>
        </is>
      </c>
      <c r="B20" s="5" t="n">
        <v>44881</v>
      </c>
      <c r="C20" s="5" t="n">
        <v>50970</v>
      </c>
      <c r="D20" s="5" t="n">
        <v>49972</v>
      </c>
      <c r="E20" s="5" t="n">
        <v>15683</v>
      </c>
      <c r="F20" s="5" t="n">
        <v>10499</v>
      </c>
      <c r="G20" s="5" t="n">
        <v>6210</v>
      </c>
      <c r="H20" s="5" t="n">
        <v>10662</v>
      </c>
      <c r="I20" s="5" t="n">
        <v>7682</v>
      </c>
      <c r="AH20" t="inlineStr">
        <is>
          <t>Total comprehensive income for the year</t>
        </is>
      </c>
      <c r="AI20" t="n">
        <v>7682</v>
      </c>
      <c r="AJ20" t="n">
        <v>10662</v>
      </c>
      <c r="AK20" t="n">
        <v>6210</v>
      </c>
      <c r="AL20" t="n">
        <v>10499</v>
      </c>
      <c r="AM20" t="n">
        <v>15683</v>
      </c>
      <c r="AN20" t="n">
        <v>49972</v>
      </c>
      <c r="AO20" t="n">
        <v>50970</v>
      </c>
      <c r="AP20" t="n">
        <v>44881</v>
      </c>
    </row>
    <row r="21">
      <c r="A21" s="5" t="inlineStr">
        <is>
          <t>Other equity movements, net</t>
        </is>
      </c>
      <c r="B21" s="5" t="n">
        <v>-3004</v>
      </c>
      <c r="C21" s="5" t="n">
        <v>-1470</v>
      </c>
      <c r="D21" s="5" t="n">
        <v>-1170</v>
      </c>
      <c r="E21" s="5" t="n">
        <v>-831</v>
      </c>
      <c r="F21" s="5" t="n">
        <v>7795</v>
      </c>
      <c r="G21" s="5" t="n">
        <v>-673</v>
      </c>
      <c r="H21" s="5" t="n">
        <v>-953</v>
      </c>
      <c r="I21" s="5" t="n">
        <v>7922</v>
      </c>
      <c r="AH21" t="inlineStr">
        <is>
          <t>Other equity movements, net</t>
        </is>
      </c>
      <c r="AI21" t="n">
        <v>7922</v>
      </c>
      <c r="AJ21" t="n">
        <v>-953</v>
      </c>
      <c r="AK21" t="n">
        <v>-673</v>
      </c>
      <c r="AL21" t="n">
        <v>7795</v>
      </c>
      <c r="AM21" t="n">
        <v>-831</v>
      </c>
      <c r="AN21" t="n">
        <v>-1170</v>
      </c>
      <c r="AO21" t="n">
        <v>-1470</v>
      </c>
      <c r="AP21" t="n">
        <v>-3004</v>
      </c>
    </row>
    <row r="22">
      <c r="A22" s="5" t="inlineStr">
        <is>
          <t>Closing equity</t>
        </is>
      </c>
      <c r="B22" s="5" t="n">
        <v>263994</v>
      </c>
      <c r="C22" s="5" t="n">
        <v>222117</v>
      </c>
      <c r="D22" s="5" t="n">
        <v>172617</v>
      </c>
      <c r="E22" s="5" t="n">
        <v>123815</v>
      </c>
      <c r="F22" s="5" t="n">
        <v>108963</v>
      </c>
      <c r="G22" s="5" t="n">
        <v>90669</v>
      </c>
      <c r="H22" s="5" t="n">
        <v>85132</v>
      </c>
      <c r="I22" s="5" t="n">
        <v>75423</v>
      </c>
      <c r="AH22" t="inlineStr">
        <is>
          <t>Closing equity</t>
        </is>
      </c>
      <c r="AI22" t="n">
        <v>75423</v>
      </c>
      <c r="AJ22" t="n">
        <v>85132</v>
      </c>
      <c r="AK22" t="n">
        <v>90669</v>
      </c>
      <c r="AL22" t="n">
        <v>108963</v>
      </c>
      <c r="AM22" t="n">
        <v>123815</v>
      </c>
      <c r="AN22" t="n">
        <v>172617</v>
      </c>
      <c r="AO22" t="n">
        <v>222117</v>
      </c>
      <c r="AP22" t="n">
        <v>263994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30097</v>
      </c>
      <c r="C26" s="5" t="n">
        <v>204830</v>
      </c>
      <c r="D26" s="5" t="n">
        <v>-107535</v>
      </c>
      <c r="E26" s="5" t="n">
        <v>-60460</v>
      </c>
      <c r="F26" s="5" t="n">
        <v>59722</v>
      </c>
      <c r="G26" s="5" t="n">
        <v>186733</v>
      </c>
      <c r="H26" s="5" t="n">
        <v>-74036</v>
      </c>
      <c r="I26" s="5" t="n">
        <v>-28746</v>
      </c>
      <c r="AS26" t="inlineStr">
        <is>
          <t>Net cash from/(used in) operating activities</t>
        </is>
      </c>
      <c r="AT26" t="n">
        <v>-28746</v>
      </c>
      <c r="AU26" t="n">
        <v>-74036</v>
      </c>
      <c r="AV26" t="n">
        <v>186733</v>
      </c>
      <c r="AW26" t="n">
        <v>59722</v>
      </c>
      <c r="AX26" t="n">
        <v>-60460</v>
      </c>
      <c r="AY26" t="n">
        <v>-107535</v>
      </c>
      <c r="AZ26" t="n">
        <v>204830</v>
      </c>
      <c r="BA26" t="n">
        <v>30097</v>
      </c>
    </row>
    <row r="27">
      <c r="A27" s="5" t="inlineStr">
        <is>
          <t>Net cash from/(used in) investing activities</t>
        </is>
      </c>
      <c r="B27" s="5" t="n">
        <v>-480574</v>
      </c>
      <c r="C27" s="5" t="n">
        <v>-53279</v>
      </c>
      <c r="D27" s="5" t="n">
        <v>20470</v>
      </c>
      <c r="E27" s="5" t="n">
        <v>-51641</v>
      </c>
      <c r="F27" s="5" t="n">
        <v>42974</v>
      </c>
      <c r="G27" s="5" t="n">
        <v>80336</v>
      </c>
      <c r="H27" s="5" t="n">
        <v>95062</v>
      </c>
      <c r="I27" s="5" t="n">
        <v>-54409</v>
      </c>
      <c r="AS27" t="inlineStr">
        <is>
          <t>Net cash from/(used in) investing activities</t>
        </is>
      </c>
      <c r="AT27" t="n">
        <v>-54409</v>
      </c>
      <c r="AU27" t="n">
        <v>95062</v>
      </c>
      <c r="AV27" t="n">
        <v>80336</v>
      </c>
      <c r="AW27" t="n">
        <v>42974</v>
      </c>
      <c r="AX27" t="n">
        <v>-51641</v>
      </c>
      <c r="AY27" t="n">
        <v>20470</v>
      </c>
      <c r="AZ27" t="n">
        <v>-53279</v>
      </c>
      <c r="BA27" t="n">
        <v>-480574</v>
      </c>
    </row>
    <row r="28">
      <c r="A28" s="5" t="inlineStr">
        <is>
          <t>Net cash from/(used in) financing activities</t>
        </is>
      </c>
      <c r="B28" s="5" t="n">
        <v>46633</v>
      </c>
      <c r="C28" s="5" t="n">
        <v>-1928</v>
      </c>
      <c r="D28" s="5" t="n">
        <v>-1829</v>
      </c>
      <c r="E28" s="5" t="n">
        <v>-1279</v>
      </c>
      <c r="F28" s="5" t="n">
        <v>7593</v>
      </c>
      <c r="G28" s="5" t="n">
        <v>-1078</v>
      </c>
      <c r="H28" s="5" t="n">
        <v>-991</v>
      </c>
      <c r="I28" s="5" t="n">
        <v>7912</v>
      </c>
      <c r="AS28" t="inlineStr">
        <is>
          <t>Net cash from/(used in) financing activities</t>
        </is>
      </c>
      <c r="AT28" t="n">
        <v>7912</v>
      </c>
      <c r="AU28" t="n">
        <v>-991</v>
      </c>
      <c r="AV28" t="n">
        <v>-1078</v>
      </c>
      <c r="AW28" t="n">
        <v>7593</v>
      </c>
      <c r="AX28" t="n">
        <v>-1279</v>
      </c>
      <c r="AY28" t="n">
        <v>-1829</v>
      </c>
      <c r="AZ28" t="n">
        <v>-1928</v>
      </c>
      <c r="BA28" t="n">
        <v>46633</v>
      </c>
    </row>
    <row r="29">
      <c r="A29" s="5" t="inlineStr">
        <is>
          <t>Cash and cash equivalents at end of year</t>
        </is>
      </c>
      <c r="B29" s="5" t="n">
        <v>220743</v>
      </c>
      <c r="C29" s="5" t="n">
        <v>624587</v>
      </c>
      <c r="D29" s="5" t="n">
        <v>474964</v>
      </c>
      <c r="E29" s="5" t="n">
        <v>563858</v>
      </c>
      <c r="F29" s="5" t="n">
        <v>677238</v>
      </c>
      <c r="G29" s="5" t="n">
        <v>566949</v>
      </c>
      <c r="H29" s="5" t="n">
        <v>300958</v>
      </c>
      <c r="I29" s="5" t="n">
        <v>280923</v>
      </c>
      <c r="AS29" t="inlineStr">
        <is>
          <t>Cash and cash equivalents at end of year</t>
        </is>
      </c>
      <c r="AT29" t="n">
        <v>280923</v>
      </c>
      <c r="AU29" t="n">
        <v>300958</v>
      </c>
      <c r="AV29" t="n">
        <v>566949</v>
      </c>
      <c r="AW29" t="n">
        <v>677238</v>
      </c>
      <c r="AX29" t="n">
        <v>563858</v>
      </c>
      <c r="AY29" t="n">
        <v>474964</v>
      </c>
      <c r="AZ29" t="n">
        <v>624587</v>
      </c>
      <c r="BA29" t="n">
        <v>220743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24.33%</t>
        </is>
      </c>
      <c r="C33" s="6" t="inlineStr">
        <is>
          <t>24.05%</t>
        </is>
      </c>
      <c r="D33" s="6" t="inlineStr">
        <is>
          <t>19.68%</t>
        </is>
      </c>
      <c r="E33" s="6" t="inlineStr">
        <is>
          <t>18.27%</t>
        </is>
      </c>
      <c r="F33" s="6" t="inlineStr">
        <is>
          <t>17.7%</t>
        </is>
      </c>
      <c r="G33" s="6" t="inlineStr">
        <is>
          <t>16.7%</t>
        </is>
      </c>
      <c r="H33" s="6" t="inlineStr">
        <is>
          <t>17.6%</t>
        </is>
      </c>
      <c r="I33" s="6" t="inlineStr">
        <is>
          <t>19.3%</t>
        </is>
      </c>
    </row>
    <row r="34">
      <c r="A34" s="6" t="inlineStr">
        <is>
          <t>Tier 1 Ratio</t>
        </is>
      </c>
      <c r="B34" s="6" t="inlineStr">
        <is>
          <t>24.33%</t>
        </is>
      </c>
      <c r="C34" s="6" t="inlineStr">
        <is>
          <t>24.05%</t>
        </is>
      </c>
      <c r="D34" s="6" t="inlineStr">
        <is>
          <t>19.68%</t>
        </is>
      </c>
      <c r="E34" s="6" t="inlineStr">
        <is>
          <t>18.27%</t>
        </is>
      </c>
      <c r="F34" s="6" t="inlineStr">
        <is>
          <t>17.69%</t>
        </is>
      </c>
      <c r="G34" s="6" t="inlineStr">
        <is>
          <t>16.7%</t>
        </is>
      </c>
      <c r="H34" s="6" t="inlineStr">
        <is>
          <t>17.6%</t>
        </is>
      </c>
      <c r="I34" s="6" t="inlineStr">
        <is>
          <t>19.3%</t>
        </is>
      </c>
    </row>
    <row r="35">
      <c r="A35" s="6" t="inlineStr">
        <is>
          <t>Total Capital Ratio</t>
        </is>
      </c>
      <c r="B35" s="6" t="inlineStr">
        <is>
          <t>24.33%</t>
        </is>
      </c>
      <c r="C35" s="6" t="inlineStr">
        <is>
          <t>24.05%</t>
        </is>
      </c>
      <c r="D35" s="6" t="inlineStr">
        <is>
          <t>19.68%</t>
        </is>
      </c>
      <c r="E35" s="6" t="inlineStr">
        <is>
          <t>18.27%</t>
        </is>
      </c>
      <c r="F35" s="6" t="inlineStr">
        <is>
          <t>17.69%</t>
        </is>
      </c>
      <c r="G35" s="6" t="inlineStr">
        <is>
          <t>16.7%</t>
        </is>
      </c>
      <c r="H35" s="6" t="inlineStr">
        <is>
          <t>17.6%</t>
        </is>
      </c>
      <c r="I35" s="6" t="inlineStr">
        <is>
          <t>19.3%</t>
        </is>
      </c>
    </row>
    <row r="36">
      <c r="A36" s="6" t="inlineStr">
        <is>
          <t>Leverage Ratio (Basel III)</t>
        </is>
      </c>
      <c r="B36" s="6" t="inlineStr">
        <is>
          <t>11.45%</t>
        </is>
      </c>
      <c r="C36" s="6" t="inlineStr">
        <is>
          <t>11.05%</t>
        </is>
      </c>
      <c r="D36" s="6" t="inlineStr">
        <is>
          <t>9.62%</t>
        </is>
      </c>
      <c r="E36" s="6" t="inlineStr">
        <is>
          <t>7.19%</t>
        </is>
      </c>
      <c r="F36" s="6" t="inlineStr">
        <is>
          <t>5.7%</t>
        </is>
      </c>
      <c r="G36" s="6" t="inlineStr">
        <is>
          <t>5.9%</t>
        </is>
      </c>
      <c r="H36" s="6" t="inlineStr">
        <is>
          <t>6.9%</t>
        </is>
      </c>
      <c r="I36" s="6" t="inlineStr">
        <is>
          <t>6.4%</t>
        </is>
      </c>
    </row>
    <row r="37">
      <c r="A37" s="6" t="inlineStr">
        <is>
          <t>LCR</t>
        </is>
      </c>
      <c r="B37" s="6" t="inlineStr">
        <is>
          <t>225.76%</t>
        </is>
      </c>
      <c r="C37" s="6" t="inlineStr">
        <is>
          <t>227.95%</t>
        </is>
      </c>
      <c r="D37" s="6" t="inlineStr">
        <is>
          <t>210%</t>
        </is>
      </c>
      <c r="E37" s="6" t="inlineStr">
        <is>
          <t>220%</t>
        </is>
      </c>
      <c r="F37" s="6" t="inlineStr">
        <is>
          <t>272%</t>
        </is>
      </c>
      <c r="G37" s="6" t="inlineStr">
        <is>
          <t>331%</t>
        </is>
      </c>
      <c r="H37" s="6" t="inlineStr">
        <is>
          <t>339%</t>
        </is>
      </c>
      <c r="I37" s="6" t="inlineStr">
        <is>
          <t>393%</t>
        </is>
      </c>
    </row>
    <row r="38">
      <c r="A38" s="6" t="inlineStr">
        <is>
          <t>NSFR</t>
        </is>
      </c>
      <c r="B38" s="6" t="inlineStr">
        <is>
          <t>148.70%</t>
        </is>
      </c>
      <c r="C38" s="6" t="inlineStr">
        <is>
          <t>154.16%</t>
        </is>
      </c>
      <c r="D38" s="6" t="inlineStr">
        <is>
          <t>131.97%</t>
        </is>
      </c>
      <c r="E38" s="6" t="inlineStr">
        <is>
          <t>154.4%</t>
        </is>
      </c>
      <c r="F38" s="6" t="inlineStr">
        <is>
          <t>171.4%</t>
        </is>
      </c>
      <c r="G38" s="6" t="n"/>
      <c r="H38" s="6" t="n"/>
      <c r="I38" s="6" t="n"/>
    </row>
    <row r="40" ht="45" customHeight="1">
      <c r="A40" s="7" t="inlineStr">
        <is>
          <t>Note: Figures are duplicated from the detail sheets for at-a-glance trend viewing; see each sheet's own source citation for the underlying document/page. Leverage Ratio shown on the Basel III basis (available for all 8 years) rather than the UK basis (only introduced from FY2024) - see Leverage Ratio sheet for both. NSFR was not disclosed by the Bank at all before FY2021 (left blank for FY2018-FY2020, not zero - see NSFR sheet). FY2018's 'Other equity movements, net' folds in that year's IFRS 9 transition adjustment (£(277)k) alongside the pension-scheme exit and share capital/buyback movements - see the Statement of Changes in Equity sheet for the full, unfolded breakdown.</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Financial Position</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the Bank of England</t>
        </is>
      </c>
      <c r="B5" s="6" t="n">
        <v>218684</v>
      </c>
      <c r="C5" s="6" t="n">
        <v>621898</v>
      </c>
      <c r="D5" s="6" t="n">
        <v>476613</v>
      </c>
      <c r="E5" s="6" t="n">
        <v>567701</v>
      </c>
      <c r="F5" s="6" t="n">
        <v>680112</v>
      </c>
      <c r="G5" s="6" t="n">
        <v>568804</v>
      </c>
      <c r="H5" s="6" t="n">
        <v>301858</v>
      </c>
      <c r="I5" s="6" t="n">
        <v>280390</v>
      </c>
    </row>
    <row r="6">
      <c r="A6" s="6" t="inlineStr">
        <is>
          <t>Loans and advances to banks</t>
        </is>
      </c>
      <c r="B6" s="6" t="n">
        <v>2059</v>
      </c>
      <c r="C6" s="6" t="n">
        <v>2689</v>
      </c>
      <c r="D6" s="6" t="n">
        <v>1799</v>
      </c>
      <c r="E6" s="6" t="n"/>
      <c r="F6" s="6" t="n">
        <v>529</v>
      </c>
      <c r="G6" s="6" t="n">
        <v>254</v>
      </c>
      <c r="H6" s="6" t="n">
        <v>2</v>
      </c>
      <c r="I6" s="6" t="n">
        <v>1243</v>
      </c>
    </row>
    <row r="7">
      <c r="A7" s="6" t="inlineStr">
        <is>
          <t>Investment securities - fair value through OCI</t>
        </is>
      </c>
      <c r="B7" s="6" t="n">
        <v>587595</v>
      </c>
      <c r="C7" s="6" t="n">
        <v>314130</v>
      </c>
      <c r="D7" s="6" t="n"/>
      <c r="E7" s="6" t="n"/>
      <c r="F7" s="6" t="n"/>
      <c r="G7" s="6" t="n"/>
      <c r="H7" s="6" t="n"/>
      <c r="I7" s="6" t="n"/>
    </row>
    <row r="8">
      <c r="A8" s="6" t="inlineStr">
        <is>
          <t>Investment securities - amortised cost</t>
        </is>
      </c>
      <c r="B8" s="6" t="n">
        <v>232581</v>
      </c>
      <c r="C8" s="6" t="n"/>
      <c r="D8" s="6" t="n"/>
      <c r="E8" s="6" t="n"/>
      <c r="F8" s="6" t="n"/>
      <c r="G8" s="6" t="n"/>
      <c r="H8" s="6" t="n"/>
      <c r="I8" s="6" t="n"/>
    </row>
    <row r="9">
      <c r="A9" s="6" t="inlineStr">
        <is>
          <t>Investment securities (FY2023-FY2018, not split by measurement basis)</t>
        </is>
      </c>
      <c r="B9" s="6" t="n"/>
      <c r="C9" s="6" t="n"/>
      <c r="D9" s="6" t="n">
        <v>247416</v>
      </c>
      <c r="E9" s="6" t="n">
        <v>256638</v>
      </c>
      <c r="F9" s="6" t="n">
        <v>207632</v>
      </c>
      <c r="G9" s="6" t="n">
        <v>252413</v>
      </c>
      <c r="H9" s="6" t="n">
        <v>331713</v>
      </c>
      <c r="I9" s="6" t="n">
        <v>426368</v>
      </c>
    </row>
    <row r="10">
      <c r="A10" s="6" t="inlineStr">
        <is>
          <t>Derivative financial instruments</t>
        </is>
      </c>
      <c r="B10" s="6" t="n">
        <v>579</v>
      </c>
      <c r="C10" s="6" t="n"/>
      <c r="D10" s="6" t="n"/>
      <c r="E10" s="6" t="n"/>
      <c r="F10" s="6" t="n"/>
      <c r="G10" s="6" t="n"/>
      <c r="H10" s="6" t="n"/>
      <c r="I10" s="6" t="n"/>
    </row>
    <row r="11">
      <c r="A11" s="6" t="inlineStr">
        <is>
          <t>Loans and advances to customers</t>
        </is>
      </c>
      <c r="B11" s="6" t="n">
        <v>1133097</v>
      </c>
      <c r="C11" s="6" t="n">
        <v>1013816</v>
      </c>
      <c r="D11" s="6" t="n">
        <v>1013646</v>
      </c>
      <c r="E11" s="6" t="n">
        <v>836576</v>
      </c>
      <c r="F11" s="6" t="n">
        <v>723523</v>
      </c>
      <c r="G11" s="6" t="n">
        <v>601810</v>
      </c>
      <c r="H11" s="6" t="n">
        <v>477554</v>
      </c>
      <c r="I11" s="6" t="n">
        <v>362446</v>
      </c>
    </row>
    <row r="12">
      <c r="A12" s="6" t="inlineStr">
        <is>
          <t>Right of use assets</t>
        </is>
      </c>
      <c r="B12" s="6" t="n">
        <v>782</v>
      </c>
      <c r="C12" s="6" t="n">
        <v>1025</v>
      </c>
      <c r="D12" s="6" t="n">
        <v>1307</v>
      </c>
      <c r="E12" s="6" t="n">
        <v>1581</v>
      </c>
      <c r="F12" s="6" t="n">
        <v>1824</v>
      </c>
      <c r="G12" s="6" t="n">
        <v>2099</v>
      </c>
      <c r="H12" s="6" t="n">
        <v>2381</v>
      </c>
      <c r="I12" s="6" t="n"/>
    </row>
    <row r="13">
      <c r="A13" s="6" t="inlineStr">
        <is>
          <t>Pension scheme net assets</t>
        </is>
      </c>
      <c r="B13" s="6" t="n">
        <v>1423</v>
      </c>
      <c r="C13" s="6" t="n">
        <v>1122</v>
      </c>
      <c r="D13" s="6" t="n">
        <v>2341</v>
      </c>
      <c r="E13" s="6" t="n">
        <v>3788</v>
      </c>
      <c r="F13" s="6" t="n">
        <v>7095</v>
      </c>
      <c r="G13" s="6" t="n">
        <v>4501</v>
      </c>
      <c r="H13" s="6" t="n">
        <v>6700</v>
      </c>
      <c r="I13" s="6" t="n">
        <v>4020</v>
      </c>
    </row>
    <row r="14">
      <c r="A14" s="6" t="inlineStr">
        <is>
          <t>Other assets</t>
        </is>
      </c>
      <c r="B14" s="6" t="n">
        <v>815</v>
      </c>
      <c r="C14" s="6" t="n">
        <v>56</v>
      </c>
      <c r="D14" s="6" t="n">
        <v>109</v>
      </c>
      <c r="E14" s="6" t="n">
        <v>278</v>
      </c>
      <c r="F14" s="6" t="n">
        <v>126</v>
      </c>
      <c r="G14" s="6" t="n">
        <v>154</v>
      </c>
      <c r="H14" s="6" t="n">
        <v>172</v>
      </c>
      <c r="I14" s="6" t="n">
        <v>48</v>
      </c>
    </row>
    <row r="15">
      <c r="A15" s="6" t="inlineStr">
        <is>
          <t>Prepayments and accrued income</t>
        </is>
      </c>
      <c r="B15" s="6" t="n">
        <v>2403</v>
      </c>
      <c r="C15" s="6" t="n">
        <v>1448</v>
      </c>
      <c r="D15" s="6" t="n">
        <v>1535</v>
      </c>
      <c r="E15" s="6" t="n">
        <v>1149</v>
      </c>
      <c r="F15" s="6" t="n">
        <v>1090</v>
      </c>
      <c r="G15" s="6" t="n">
        <v>666</v>
      </c>
      <c r="H15" s="6" t="n">
        <v>787</v>
      </c>
      <c r="I15" s="6" t="n">
        <v>964</v>
      </c>
    </row>
    <row r="16">
      <c r="A16" s="6" t="inlineStr">
        <is>
          <t>Current tax assets</t>
        </is>
      </c>
      <c r="B16" s="6" t="n">
        <v>5936</v>
      </c>
      <c r="C16" s="6" t="n"/>
      <c r="D16" s="6" t="n">
        <v>0</v>
      </c>
      <c r="E16" s="6" t="n">
        <v>0</v>
      </c>
      <c r="F16" s="6" t="n">
        <v>43</v>
      </c>
      <c r="G16" s="6" t="n">
        <v>96</v>
      </c>
      <c r="H16" s="6" t="n">
        <v>0</v>
      </c>
      <c r="I16" s="6" t="n">
        <v>0</v>
      </c>
    </row>
    <row r="17">
      <c r="A17" s="6" t="inlineStr">
        <is>
          <t>Deferred tax assets</t>
        </is>
      </c>
      <c r="B17" s="6" t="n"/>
      <c r="C17" s="6" t="n">
        <v>235</v>
      </c>
      <c r="D17" s="6" t="n">
        <v>451</v>
      </c>
      <c r="E17" s="6" t="n">
        <v>793</v>
      </c>
      <c r="F17" s="6" t="n"/>
      <c r="G17" s="6" t="n"/>
      <c r="H17" s="6" t="n"/>
      <c r="I17" s="6" t="n"/>
    </row>
    <row r="18">
      <c r="A18" s="6" t="inlineStr">
        <is>
          <t>Property, plant and equipment</t>
        </is>
      </c>
      <c r="B18" s="6" t="n">
        <v>1353</v>
      </c>
      <c r="C18" s="6" t="n">
        <v>870</v>
      </c>
      <c r="D18" s="6" t="n">
        <v>585</v>
      </c>
      <c r="E18" s="6" t="n">
        <v>653</v>
      </c>
      <c r="F18" s="6" t="n">
        <v>760</v>
      </c>
      <c r="G18" s="6" t="n">
        <v>687</v>
      </c>
      <c r="H18" s="6" t="n">
        <v>904</v>
      </c>
      <c r="I18" s="6" t="n">
        <v>1195</v>
      </c>
    </row>
    <row r="19">
      <c r="A19" s="6" t="inlineStr">
        <is>
          <t>Intangible assets</t>
        </is>
      </c>
      <c r="B19" s="6" t="n">
        <v>446</v>
      </c>
      <c r="C19" s="6" t="n"/>
      <c r="D19" s="6" t="n">
        <v>6</v>
      </c>
      <c r="E19" s="6" t="n">
        <v>22</v>
      </c>
      <c r="F19" s="6" t="n">
        <v>60</v>
      </c>
      <c r="G19" s="6" t="n">
        <v>110</v>
      </c>
      <c r="H19" s="6" t="n">
        <v>135</v>
      </c>
      <c r="I19" s="6" t="n">
        <v>220</v>
      </c>
    </row>
    <row r="20">
      <c r="A20" s="5" t="inlineStr">
        <is>
          <t>Total assets</t>
        </is>
      </c>
      <c r="B20" s="5" t="n">
        <v>2187753</v>
      </c>
      <c r="C20" s="5" t="n">
        <v>1957289</v>
      </c>
      <c r="D20" s="5" t="n">
        <v>1745808</v>
      </c>
      <c r="E20" s="5" t="n">
        <v>1669179</v>
      </c>
      <c r="F20" s="5" t="n">
        <v>1622794</v>
      </c>
      <c r="G20" s="5" t="n">
        <v>1431594</v>
      </c>
      <c r="H20" s="5" t="n">
        <v>1122206</v>
      </c>
      <c r="I20" s="5" t="n">
        <v>1076894</v>
      </c>
    </row>
    <row r="21">
      <c r="A21" s="5" t="inlineStr">
        <is>
          <t>Liabilities</t>
        </is>
      </c>
      <c r="B21" s="6" t="n"/>
      <c r="C21" s="6" t="n"/>
      <c r="D21" s="6" t="n"/>
      <c r="E21" s="6" t="n"/>
      <c r="F21" s="6" t="n"/>
      <c r="G21" s="6" t="n"/>
      <c r="H21" s="6" t="n"/>
      <c r="I21" s="6" t="n"/>
    </row>
    <row r="22">
      <c r="A22" s="6" t="inlineStr">
        <is>
          <t>Central bank facilities</t>
        </is>
      </c>
      <c r="B22" s="6" t="n">
        <v>50145</v>
      </c>
      <c r="C22" s="6" t="n"/>
      <c r="D22" s="6" t="n"/>
      <c r="E22" s="6" t="n"/>
      <c r="F22" s="6" t="n"/>
      <c r="G22" s="6" t="n"/>
      <c r="H22" s="6" t="n"/>
      <c r="I22" s="6" t="n"/>
    </row>
    <row r="23">
      <c r="A23" s="6" t="inlineStr">
        <is>
          <t>Amounts owed to banks</t>
        </is>
      </c>
      <c r="B23" s="6" t="n"/>
      <c r="C23" s="6" t="n"/>
      <c r="D23" s="6" t="n"/>
      <c r="E23" s="6" t="n">
        <v>85</v>
      </c>
      <c r="F23" s="6" t="n"/>
      <c r="G23" s="6" t="n"/>
      <c r="H23" s="6" t="n"/>
      <c r="I23" s="6" t="n"/>
    </row>
    <row r="24">
      <c r="A24" s="6" t="inlineStr">
        <is>
          <t>Customer deposits</t>
        </is>
      </c>
      <c r="B24" s="6" t="n">
        <v>1861280</v>
      </c>
      <c r="C24" s="6" t="n">
        <v>1717204</v>
      </c>
      <c r="D24" s="6" t="n">
        <v>1559309</v>
      </c>
      <c r="E24" s="6" t="n">
        <v>1538657</v>
      </c>
      <c r="F24" s="6" t="n">
        <v>1507227</v>
      </c>
      <c r="G24" s="6" t="n">
        <v>1335725</v>
      </c>
      <c r="H24" s="6" t="n">
        <v>1030435</v>
      </c>
      <c r="I24" s="6" t="n">
        <v>998130</v>
      </c>
    </row>
    <row r="25">
      <c r="A25" s="6" t="inlineStr">
        <is>
          <t>Derivative financial instruments</t>
        </is>
      </c>
      <c r="B25" s="6" t="n">
        <v>51</v>
      </c>
      <c r="C25" s="6" t="n">
        <v>1674</v>
      </c>
      <c r="D25" s="6" t="n"/>
      <c r="E25" s="6" t="n"/>
      <c r="F25" s="6" t="n"/>
      <c r="G25" s="6" t="n"/>
      <c r="H25" s="6" t="n"/>
      <c r="I25" s="6" t="n"/>
    </row>
    <row r="26">
      <c r="A26" s="6" t="inlineStr">
        <is>
          <t>Other liabilities</t>
        </is>
      </c>
      <c r="B26" s="6" t="n">
        <v>4211</v>
      </c>
      <c r="C26" s="6" t="n">
        <v>3404</v>
      </c>
      <c r="D26" s="6" t="n">
        <v>3858</v>
      </c>
      <c r="E26" s="6" t="n">
        <v>3448</v>
      </c>
      <c r="F26" s="6" t="n">
        <v>3689</v>
      </c>
      <c r="G26" s="6" t="n">
        <v>2978</v>
      </c>
      <c r="H26" s="6" t="n">
        <v>3326</v>
      </c>
      <c r="I26" s="6" t="n">
        <v>479</v>
      </c>
    </row>
    <row r="27">
      <c r="A27" s="6" t="inlineStr">
        <is>
          <t>Accruals and deferred income</t>
        </is>
      </c>
      <c r="B27" s="6" t="n">
        <v>3821</v>
      </c>
      <c r="C27" s="6" t="n">
        <v>2814</v>
      </c>
      <c r="D27" s="6" t="n">
        <v>1830</v>
      </c>
      <c r="E27" s="6" t="n">
        <v>1493</v>
      </c>
      <c r="F27" s="6" t="n">
        <v>1111</v>
      </c>
      <c r="G27" s="6" t="n">
        <v>1083</v>
      </c>
      <c r="H27" s="6" t="n">
        <v>1581</v>
      </c>
      <c r="I27" s="6" t="n">
        <v>1527</v>
      </c>
    </row>
    <row r="28">
      <c r="A28" s="6" t="inlineStr">
        <is>
          <t>Provisions for liabilities and charges</t>
        </is>
      </c>
      <c r="B28" s="6" t="n">
        <v>3207</v>
      </c>
      <c r="C28" s="6" t="n">
        <v>1992</v>
      </c>
      <c r="D28" s="6" t="n">
        <v>670</v>
      </c>
      <c r="E28" s="6" t="n">
        <v>368</v>
      </c>
      <c r="F28" s="6" t="n">
        <v>175</v>
      </c>
      <c r="G28" s="6" t="n">
        <v>209</v>
      </c>
      <c r="H28" s="6" t="n">
        <v>416</v>
      </c>
      <c r="I28" s="6" t="n">
        <v>274</v>
      </c>
    </row>
    <row r="29">
      <c r="A29" s="6" t="inlineStr">
        <is>
          <t>Current tax liabilities</t>
        </is>
      </c>
      <c r="B29" s="6" t="n"/>
      <c r="C29" s="6" t="n">
        <v>8084</v>
      </c>
      <c r="D29" s="6" t="n">
        <v>7524</v>
      </c>
      <c r="E29" s="6" t="n">
        <v>1313</v>
      </c>
      <c r="F29" s="6" t="n">
        <v>0</v>
      </c>
      <c r="G29" s="6" t="n">
        <v>0</v>
      </c>
      <c r="H29" s="6" t="n">
        <v>330</v>
      </c>
      <c r="I29" s="6" t="n">
        <v>708</v>
      </c>
    </row>
    <row r="30">
      <c r="A30" s="6" t="inlineStr">
        <is>
          <t>Deferred tax liabilities</t>
        </is>
      </c>
      <c r="B30" s="6" t="n">
        <v>1044</v>
      </c>
      <c r="C30" s="6" t="n"/>
      <c r="D30" s="6" t="n"/>
      <c r="E30" s="6" t="n"/>
      <c r="F30" s="6" t="n">
        <v>1629</v>
      </c>
      <c r="G30" s="6" t="n">
        <v>930</v>
      </c>
      <c r="H30" s="6" t="n">
        <v>986</v>
      </c>
      <c r="I30" s="6" t="n">
        <v>353</v>
      </c>
    </row>
    <row r="31">
      <c r="A31" s="5" t="inlineStr">
        <is>
          <t>Total liabilities</t>
        </is>
      </c>
      <c r="B31" s="5" t="n">
        <v>1923759</v>
      </c>
      <c r="C31" s="5" t="n">
        <v>1735172</v>
      </c>
      <c r="D31" s="5" t="n">
        <v>1573191</v>
      </c>
      <c r="E31" s="5" t="n">
        <v>1545364</v>
      </c>
      <c r="F31" s="5" t="n">
        <v>1513831</v>
      </c>
      <c r="G31" s="5" t="n">
        <v>1340925</v>
      </c>
      <c r="H31" s="5" t="n">
        <v>1037074</v>
      </c>
      <c r="I31" s="5" t="n">
        <v>1001471</v>
      </c>
    </row>
    <row r="32">
      <c r="A32" s="5" t="inlineStr">
        <is>
          <t>Equity</t>
        </is>
      </c>
      <c r="B32" s="6" t="n"/>
      <c r="C32" s="6" t="n"/>
      <c r="D32" s="6" t="n"/>
      <c r="E32" s="6" t="n"/>
      <c r="F32" s="6" t="n"/>
      <c r="G32" s="6" t="n"/>
      <c r="H32" s="6" t="n"/>
      <c r="I32" s="6" t="n"/>
    </row>
    <row r="33">
      <c r="A33" s="6" t="inlineStr">
        <is>
          <t>Ordinary share capital</t>
        </is>
      </c>
      <c r="B33" s="6" t="n">
        <v>24881</v>
      </c>
      <c r="C33" s="6" t="n">
        <v>24825</v>
      </c>
      <c r="D33" s="6" t="n">
        <v>24792</v>
      </c>
      <c r="E33" s="6" t="n">
        <v>24730</v>
      </c>
      <c r="F33" s="6" t="n">
        <v>24678</v>
      </c>
      <c r="G33" s="6" t="n">
        <v>22421</v>
      </c>
      <c r="H33" s="6" t="n">
        <v>22421</v>
      </c>
      <c r="I33" s="6" t="n">
        <v>22421</v>
      </c>
    </row>
    <row r="34">
      <c r="A34" s="6" t="inlineStr">
        <is>
          <t>Share premium account</t>
        </is>
      </c>
      <c r="B34" s="6" t="n">
        <v>18360</v>
      </c>
      <c r="C34" s="6" t="n">
        <v>18263</v>
      </c>
      <c r="D34" s="6" t="n">
        <v>18205</v>
      </c>
      <c r="E34" s="6" t="n">
        <v>18150</v>
      </c>
      <c r="F34" s="6" t="n">
        <v>18113</v>
      </c>
      <c r="G34" s="6" t="n">
        <v>11808</v>
      </c>
      <c r="H34" s="6" t="n">
        <v>11808</v>
      </c>
      <c r="I34" s="6" t="n">
        <v>11808</v>
      </c>
    </row>
    <row r="35">
      <c r="A35" s="6" t="inlineStr">
        <is>
          <t>Capital redemption reserve</t>
        </is>
      </c>
      <c r="B35" s="6" t="n">
        <v>4511</v>
      </c>
      <c r="C35" s="6" t="n">
        <v>4511</v>
      </c>
      <c r="D35" s="6" t="n">
        <v>4511</v>
      </c>
      <c r="E35" s="6" t="n">
        <v>4511</v>
      </c>
      <c r="F35" s="6" t="n">
        <v>4511</v>
      </c>
      <c r="G35" s="6" t="n">
        <v>4511</v>
      </c>
      <c r="H35" s="6" t="n">
        <v>4511</v>
      </c>
      <c r="I35" s="6" t="n">
        <v>4511</v>
      </c>
    </row>
    <row r="36">
      <c r="A36" s="6" t="inlineStr">
        <is>
          <t>Retained earnings</t>
        </is>
      </c>
      <c r="B36" s="6" t="n">
        <v>214350</v>
      </c>
      <c r="C36" s="6" t="n">
        <v>176336</v>
      </c>
      <c r="D36" s="6" t="n">
        <v>128229</v>
      </c>
      <c r="E36" s="6" t="n">
        <v>81615</v>
      </c>
      <c r="F36" s="6" t="n">
        <v>62040</v>
      </c>
      <c r="G36" s="6" t="n">
        <v>51334</v>
      </c>
      <c r="H36" s="6" t="n">
        <v>46850</v>
      </c>
      <c r="I36" s="6" t="n">
        <v>37555</v>
      </c>
    </row>
    <row r="37">
      <c r="A37" s="6" t="inlineStr">
        <is>
          <t>Financial asset valuation reserve (FVTOCI)</t>
        </is>
      </c>
      <c r="B37" s="6" t="n">
        <v>1115</v>
      </c>
      <c r="C37" s="6" t="n">
        <v>-617</v>
      </c>
      <c r="D37" s="6" t="n">
        <v>-3041</v>
      </c>
      <c r="E37" s="6" t="n">
        <v>-5131</v>
      </c>
      <c r="F37" s="6" t="n">
        <v>-342</v>
      </c>
      <c r="G37" s="6" t="n">
        <v>595</v>
      </c>
      <c r="H37" s="6" t="n">
        <v>-458</v>
      </c>
      <c r="I37" s="6" t="n">
        <v>-872</v>
      </c>
    </row>
    <row r="38">
      <c r="A38" s="6" t="inlineStr">
        <is>
          <t>Cash flow hedge reserve</t>
        </is>
      </c>
      <c r="B38" s="6" t="n">
        <v>777</v>
      </c>
      <c r="C38" s="6" t="n">
        <v>-1141</v>
      </c>
      <c r="D38" s="6" t="n"/>
      <c r="E38" s="6" t="n"/>
      <c r="F38" s="6" t="n"/>
      <c r="G38" s="6" t="n"/>
      <c r="H38" s="6" t="n"/>
      <c r="I38" s="6" t="n"/>
    </row>
    <row r="39">
      <c r="A39" s="6" t="inlineStr">
        <is>
          <t>Employee share ownership plan (ESOP) reserve</t>
        </is>
      </c>
      <c r="B39" s="6" t="n">
        <v>0</v>
      </c>
      <c r="C39" s="6" t="n">
        <v>-60</v>
      </c>
      <c r="D39" s="6" t="n">
        <v>-79</v>
      </c>
      <c r="E39" s="6" t="n">
        <v>-60</v>
      </c>
      <c r="F39" s="6" t="n">
        <v>-37</v>
      </c>
      <c r="G39" s="6" t="n"/>
      <c r="H39" s="6" t="n"/>
      <c r="I39" s="6" t="n"/>
    </row>
    <row r="40">
      <c r="A40" s="5" t="inlineStr">
        <is>
          <t>Total equity</t>
        </is>
      </c>
      <c r="B40" s="5" t="n">
        <v>263994</v>
      </c>
      <c r="C40" s="5" t="n">
        <v>222117</v>
      </c>
      <c r="D40" s="5" t="n">
        <v>172617</v>
      </c>
      <c r="E40" s="5" t="n">
        <v>123815</v>
      </c>
      <c r="F40" s="5" t="n">
        <v>108963</v>
      </c>
      <c r="G40" s="5" t="n">
        <v>90669</v>
      </c>
      <c r="H40" s="5" t="n">
        <v>85132</v>
      </c>
      <c r="I40" s="5" t="n">
        <v>75423</v>
      </c>
    </row>
    <row r="41">
      <c r="A41" s="5" t="inlineStr">
        <is>
          <t>Total liabilities and equity</t>
        </is>
      </c>
      <c r="B41" s="5" t="n">
        <v>2187753</v>
      </c>
      <c r="C41" s="5" t="n">
        <v>1957289</v>
      </c>
      <c r="D41" s="5" t="n">
        <v>1745808</v>
      </c>
      <c r="E41" s="5" t="n">
        <v>1669179</v>
      </c>
      <c r="F41" s="5" t="n">
        <v>1622794</v>
      </c>
      <c r="G41" s="5" t="n">
        <v>1431594</v>
      </c>
      <c r="H41" s="5" t="n">
        <v>1122206</v>
      </c>
      <c r="I41" s="5" t="n">
        <v>1076894</v>
      </c>
    </row>
    <row r="43" ht="200" customHeight="1">
      <c r="A43"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Comprehensive Income</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and similar income</t>
        </is>
      </c>
      <c r="B5" s="6" t="n">
        <v>118236</v>
      </c>
      <c r="C5" s="6" t="n">
        <v>122813</v>
      </c>
      <c r="D5" s="6" t="n"/>
      <c r="E5" s="6" t="n"/>
      <c r="F5" s="6" t="n"/>
      <c r="G5" s="6" t="n"/>
      <c r="H5" s="6" t="n"/>
      <c r="I5" s="6" t="n"/>
    </row>
    <row r="6">
      <c r="A6" s="6" t="inlineStr">
        <is>
          <t>Interest income under EIR method</t>
        </is>
      </c>
      <c r="B6" s="6" t="n"/>
      <c r="C6" s="6" t="n"/>
      <c r="D6" s="6" t="n">
        <v>102947</v>
      </c>
      <c r="E6" s="6" t="n">
        <v>47121</v>
      </c>
      <c r="F6" s="6" t="n">
        <v>21693</v>
      </c>
      <c r="G6" s="6" t="n">
        <v>19513</v>
      </c>
      <c r="H6" s="6" t="n">
        <v>21336</v>
      </c>
      <c r="I6" s="6" t="n">
        <v>16874</v>
      </c>
    </row>
    <row r="7">
      <c r="A7" s="6" t="inlineStr">
        <is>
          <t>Interest expense and similar charges</t>
        </is>
      </c>
      <c r="B7" s="6" t="n">
        <v>-26011</v>
      </c>
      <c r="C7" s="6" t="n">
        <v>-23561</v>
      </c>
      <c r="D7" s="6" t="n">
        <v>-13762</v>
      </c>
      <c r="E7" s="6" t="n">
        <v>-3327</v>
      </c>
      <c r="F7" s="6" t="n">
        <v>-204</v>
      </c>
      <c r="G7" s="6" t="n">
        <v>-854</v>
      </c>
      <c r="H7" s="6" t="n">
        <v>-2002</v>
      </c>
      <c r="I7" s="6" t="n">
        <v>-1323</v>
      </c>
    </row>
    <row r="8">
      <c r="A8" s="5" t="inlineStr">
        <is>
          <t>Net Interest Income</t>
        </is>
      </c>
      <c r="B8" s="5" t="n">
        <v>92225</v>
      </c>
      <c r="C8" s="5" t="n">
        <v>99252</v>
      </c>
      <c r="D8" s="5" t="n">
        <v>89185</v>
      </c>
      <c r="E8" s="5" t="n">
        <v>43794</v>
      </c>
      <c r="F8" s="5" t="n">
        <v>21489</v>
      </c>
      <c r="G8" s="5" t="n">
        <v>18659</v>
      </c>
      <c r="H8" s="5" t="n">
        <v>19334</v>
      </c>
      <c r="I8" s="5" t="n">
        <v>15551</v>
      </c>
    </row>
    <row r="9">
      <c r="A9" s="6" t="inlineStr">
        <is>
          <t>Fee and commission income</t>
        </is>
      </c>
      <c r="B9" s="6" t="n">
        <v>4362</v>
      </c>
      <c r="C9" s="6" t="n">
        <v>4205</v>
      </c>
      <c r="D9" s="6" t="n">
        <v>4405</v>
      </c>
      <c r="E9" s="6" t="n">
        <v>4548</v>
      </c>
      <c r="F9" s="6" t="n">
        <v>4422</v>
      </c>
      <c r="G9" s="6" t="n">
        <v>4257</v>
      </c>
      <c r="H9" s="6" t="n">
        <v>4483</v>
      </c>
      <c r="I9" s="6" t="n">
        <v>3944</v>
      </c>
    </row>
    <row r="10">
      <c r="A10" s="6" t="inlineStr">
        <is>
          <t>Fee and commission expense</t>
        </is>
      </c>
      <c r="B10" s="6" t="n">
        <v>-1561</v>
      </c>
      <c r="C10" s="6" t="n">
        <v>-1360</v>
      </c>
      <c r="D10" s="6" t="n">
        <v>-1169</v>
      </c>
      <c r="E10" s="6" t="n">
        <v>-1159</v>
      </c>
      <c r="F10" s="6" t="n">
        <v>-774</v>
      </c>
      <c r="G10" s="6" t="n">
        <v>-968</v>
      </c>
      <c r="H10" s="6" t="n">
        <v>-1175</v>
      </c>
      <c r="I10" s="6" t="n">
        <v>-1124</v>
      </c>
    </row>
    <row r="11">
      <c r="A11" s="5" t="inlineStr">
        <is>
          <t>Net fee and commission income</t>
        </is>
      </c>
      <c r="B11" s="5" t="n">
        <v>2801</v>
      </c>
      <c r="C11" s="5" t="n">
        <v>2845</v>
      </c>
      <c r="D11" s="5" t="n">
        <v>3236</v>
      </c>
      <c r="E11" s="5" t="n">
        <v>3389</v>
      </c>
      <c r="F11" s="5" t="n">
        <v>3648</v>
      </c>
      <c r="G11" s="5" t="n">
        <v>3289</v>
      </c>
      <c r="H11" s="5" t="n">
        <v>3308</v>
      </c>
      <c r="I11" s="5" t="n">
        <v>2820</v>
      </c>
    </row>
    <row r="12">
      <c r="A12" s="5" t="inlineStr">
        <is>
          <t>Total income</t>
        </is>
      </c>
      <c r="B12" s="5" t="n">
        <v>95026</v>
      </c>
      <c r="C12" s="5" t="n">
        <v>102097</v>
      </c>
      <c r="D12" s="5" t="n">
        <v>92421</v>
      </c>
      <c r="E12" s="5" t="n">
        <v>47183</v>
      </c>
      <c r="F12" s="5" t="n">
        <v>25137</v>
      </c>
      <c r="G12" s="5" t="n">
        <v>21948</v>
      </c>
      <c r="H12" s="5" t="n">
        <v>22642</v>
      </c>
      <c r="I12" s="5" t="n">
        <v>18371</v>
      </c>
    </row>
    <row r="13">
      <c r="A13" s="5" t="inlineStr">
        <is>
          <t>Operating expenses</t>
        </is>
      </c>
      <c r="B13" s="5" t="n">
        <v>-41377</v>
      </c>
      <c r="C13" s="5" t="n">
        <v>-33314</v>
      </c>
      <c r="D13" s="5" t="n">
        <v>-25011</v>
      </c>
      <c r="E13" s="5" t="n">
        <v>-17354</v>
      </c>
      <c r="F13" s="5" t="n">
        <v>-13614</v>
      </c>
      <c r="G13" s="5" t="n">
        <v>-12614</v>
      </c>
      <c r="H13" s="5" t="n">
        <v>-13315</v>
      </c>
      <c r="I13" s="5" t="n">
        <v>-10623</v>
      </c>
    </row>
    <row r="14">
      <c r="A14" s="6" t="inlineStr">
        <is>
          <t>Losses on financial instruments held at fair value</t>
        </is>
      </c>
      <c r="B14" s="6" t="n">
        <v>-28</v>
      </c>
      <c r="C14" s="6" t="n">
        <v>-2015</v>
      </c>
      <c r="D14" s="6" t="n"/>
      <c r="E14" s="6" t="n"/>
      <c r="F14" s="6" t="n"/>
      <c r="G14" s="6" t="n"/>
      <c r="H14" s="6" t="n"/>
      <c r="I14" s="6" t="n"/>
    </row>
    <row r="15">
      <c r="A15" s="6" t="inlineStr">
        <is>
          <t>Impairment charge/(credit) on loans and advances</t>
        </is>
      </c>
      <c r="B15" s="6" t="n">
        <v>-1206</v>
      </c>
      <c r="C15" s="6" t="n">
        <v>-1017</v>
      </c>
      <c r="D15" s="6" t="n">
        <v>-3548</v>
      </c>
      <c r="E15" s="6" t="n">
        <v>-2477</v>
      </c>
      <c r="F15" s="6" t="n">
        <v>-470</v>
      </c>
      <c r="G15" s="6" t="n">
        <v>-1788</v>
      </c>
      <c r="H15" s="6" t="n">
        <v>-251</v>
      </c>
      <c r="I15" s="6" t="n">
        <v>52</v>
      </c>
    </row>
    <row r="16">
      <c r="A16" s="6" t="inlineStr">
        <is>
          <t>Exceptional pension scheme related costs (exit from Pace multi-employer DB scheme, FY2018 only)</t>
        </is>
      </c>
      <c r="B16" s="6" t="n"/>
      <c r="C16" s="6" t="n"/>
      <c r="D16" s="6" t="n"/>
      <c r="E16" s="6" t="n"/>
      <c r="F16" s="6" t="n"/>
      <c r="G16" s="6" t="n"/>
      <c r="H16" s="6" t="n"/>
      <c r="I16" s="6" t="n">
        <v>-1045</v>
      </c>
    </row>
    <row r="17">
      <c r="A17" s="5" t="inlineStr">
        <is>
          <t>Profit before taxation</t>
        </is>
      </c>
      <c r="B17" s="5" t="n">
        <v>52415</v>
      </c>
      <c r="C17" s="5" t="n">
        <v>65751</v>
      </c>
      <c r="D17" s="5" t="n">
        <v>63862</v>
      </c>
      <c r="E17" s="5" t="n">
        <v>27352</v>
      </c>
      <c r="F17" s="5" t="n">
        <v>11053</v>
      </c>
      <c r="G17" s="5" t="n">
        <v>7546</v>
      </c>
      <c r="H17" s="5" t="n">
        <v>9076</v>
      </c>
      <c r="I17" s="5" t="n">
        <v>6755</v>
      </c>
    </row>
    <row r="18">
      <c r="A18" s="6" t="inlineStr">
        <is>
          <t>Taxation charge</t>
        </is>
      </c>
      <c r="B18" s="6" t="n">
        <v>-11626</v>
      </c>
      <c r="C18" s="6" t="n">
        <v>-15275</v>
      </c>
      <c r="D18" s="6" t="n">
        <v>-15004</v>
      </c>
      <c r="E18" s="6" t="n">
        <v>-4509</v>
      </c>
      <c r="F18" s="6" t="n">
        <v>-1382</v>
      </c>
      <c r="G18" s="6" t="n">
        <v>-519</v>
      </c>
      <c r="H18" s="6" t="n">
        <v>-1095</v>
      </c>
      <c r="I18" s="6" t="n">
        <v>-788</v>
      </c>
    </row>
    <row r="19">
      <c r="A19" s="5" t="inlineStr">
        <is>
          <t>Profit for the year attributable to shareholders</t>
        </is>
      </c>
      <c r="B19" s="5" t="n">
        <v>40789</v>
      </c>
      <c r="C19" s="5" t="n">
        <v>50476</v>
      </c>
      <c r="D19" s="5" t="n">
        <v>48858</v>
      </c>
      <c r="E19" s="5" t="n">
        <v>22843</v>
      </c>
      <c r="F19" s="5" t="n">
        <v>9671</v>
      </c>
      <c r="G19" s="5" t="n">
        <v>7027</v>
      </c>
      <c r="H19" s="5" t="n">
        <v>7981</v>
      </c>
      <c r="I19" s="5" t="n">
        <v>5967</v>
      </c>
    </row>
    <row r="20">
      <c r="A20" s="5" t="inlineStr">
        <is>
          <t>Other comprehensive income</t>
        </is>
      </c>
      <c r="B20" s="6" t="n"/>
      <c r="C20" s="6" t="n"/>
      <c r="D20" s="6" t="n"/>
      <c r="E20" s="6" t="n"/>
      <c r="F20" s="6" t="n"/>
      <c r="G20" s="6" t="n"/>
      <c r="H20" s="6" t="n"/>
      <c r="I20" s="6" t="n"/>
    </row>
    <row r="21">
      <c r="A21" s="6" t="inlineStr">
        <is>
          <t>Movement in cash flow hedge reserve: gains/(losses) taken to reserves</t>
        </is>
      </c>
      <c r="B21" s="6" t="n">
        <v>1460</v>
      </c>
      <c r="C21" s="6" t="n">
        <v>-1521</v>
      </c>
      <c r="D21" s="6" t="n"/>
      <c r="E21" s="6" t="n"/>
      <c r="F21" s="6" t="n"/>
      <c r="G21" s="6" t="n"/>
      <c r="H21" s="6" t="n"/>
      <c r="I21" s="6" t="n"/>
    </row>
    <row r="22">
      <c r="A22" s="6" t="inlineStr">
        <is>
          <t>Movement in cash flow hedge reserve: reclassification to profit or loss</t>
        </is>
      </c>
      <c r="B22" s="6" t="n">
        <v>1097</v>
      </c>
      <c r="C22" s="6" t="n"/>
      <c r="D22" s="6" t="n"/>
      <c r="E22" s="6" t="n"/>
      <c r="F22" s="6" t="n"/>
      <c r="G22" s="6" t="n"/>
      <c r="H22" s="6" t="n"/>
      <c r="I22" s="6" t="n"/>
    </row>
    <row r="23">
      <c r="A23" s="6" t="inlineStr">
        <is>
          <t>Movement in cash flow hedge reserve: taxation</t>
        </is>
      </c>
      <c r="B23" s="6" t="n">
        <v>-639</v>
      </c>
      <c r="C23" s="6" t="n">
        <v>380</v>
      </c>
      <c r="D23" s="6" t="n"/>
      <c r="E23" s="6" t="n"/>
      <c r="F23" s="6" t="n"/>
      <c r="G23" s="6" t="n"/>
      <c r="H23" s="6" t="n"/>
      <c r="I23" s="6" t="n"/>
    </row>
    <row r="24">
      <c r="A24" s="6" t="inlineStr">
        <is>
          <t>Initial recognition of DB pension surplus (FY2018 only - exit from Pace multi-employer scheme)</t>
        </is>
      </c>
      <c r="B24" s="6" t="n"/>
      <c r="C24" s="6" t="n"/>
      <c r="D24" s="6" t="n"/>
      <c r="E24" s="6" t="n"/>
      <c r="F24" s="6" t="n"/>
      <c r="G24" s="6" t="n"/>
      <c r="H24" s="6" t="n"/>
      <c r="I24" s="6" t="n">
        <v>4277</v>
      </c>
    </row>
    <row r="25">
      <c r="A25" s="6" t="inlineStr">
        <is>
          <t>FVTOCI: prior year charges (FY2018 only)</t>
        </is>
      </c>
      <c r="B25" s="6" t="n"/>
      <c r="C25" s="6" t="n"/>
      <c r="D25" s="6" t="n"/>
      <c r="E25" s="6" t="n"/>
      <c r="F25" s="6" t="n"/>
      <c r="G25" s="6" t="n"/>
      <c r="H25" s="6" t="n"/>
      <c r="I25" s="6" t="n">
        <v>-28</v>
      </c>
    </row>
    <row r="26">
      <c r="A26" s="6" t="inlineStr">
        <is>
          <t>Movement in financial asset revaluation reserve: valuation gains/(losses) taken to equity</t>
        </is>
      </c>
      <c r="B26" s="6" t="n">
        <v>2309</v>
      </c>
      <c r="C26" s="6" t="n">
        <v>3232</v>
      </c>
      <c r="D26" s="6" t="n">
        <v>2672</v>
      </c>
      <c r="E26" s="6" t="n">
        <v>-6385</v>
      </c>
      <c r="F26" s="6" t="n">
        <v>-1193</v>
      </c>
      <c r="G26" s="6" t="n">
        <v>1253</v>
      </c>
      <c r="H26" s="6" t="n">
        <v>532</v>
      </c>
      <c r="I26" s="6" t="n">
        <v>-1891</v>
      </c>
    </row>
    <row r="27">
      <c r="A27" s="6" t="inlineStr">
        <is>
          <t>FVTOCI: reclassification adjustments included in profit (FY2018 only)</t>
        </is>
      </c>
      <c r="B27" s="6" t="n"/>
      <c r="C27" s="6" t="n"/>
      <c r="D27" s="6" t="n"/>
      <c r="E27" s="6" t="n"/>
      <c r="F27" s="6" t="n"/>
      <c r="G27" s="6" t="n"/>
      <c r="H27" s="6" t="n"/>
      <c r="I27" s="6" t="n">
        <v>-10</v>
      </c>
    </row>
    <row r="28">
      <c r="A28" s="6" t="inlineStr">
        <is>
          <t>Movement in financial asset revaluation reserve: taxation</t>
        </is>
      </c>
      <c r="B28" s="6" t="n">
        <v>-577</v>
      </c>
      <c r="C28" s="6" t="n">
        <v>-808</v>
      </c>
      <c r="D28" s="6" t="n">
        <v>-582</v>
      </c>
      <c r="E28" s="6" t="n">
        <v>1596</v>
      </c>
      <c r="F28" s="6" t="n">
        <v>256</v>
      </c>
      <c r="G28" s="6" t="n">
        <v>-200</v>
      </c>
      <c r="H28" s="6" t="n">
        <v>-118</v>
      </c>
      <c r="I28" s="6" t="n">
        <v>322</v>
      </c>
    </row>
    <row r="29">
      <c r="A29" s="6" t="inlineStr">
        <is>
          <t>Actuarial gains/(losses) on defined benefit obligations</t>
        </is>
      </c>
      <c r="B29" s="6" t="n">
        <v>590</v>
      </c>
      <c r="C29" s="6" t="n">
        <v>-1047</v>
      </c>
      <c r="D29" s="6" t="n">
        <v>-1311</v>
      </c>
      <c r="E29" s="6" t="n">
        <v>-3170</v>
      </c>
      <c r="F29" s="6" t="n">
        <v>2718</v>
      </c>
      <c r="G29" s="6" t="n">
        <v>-2142</v>
      </c>
      <c r="H29" s="6" t="n">
        <v>2731</v>
      </c>
      <c r="I29" s="6" t="n">
        <v>-275</v>
      </c>
    </row>
    <row r="30">
      <c r="A30" s="6" t="inlineStr">
        <is>
          <t>Actuarial gains/(losses): taxation</t>
        </is>
      </c>
      <c r="B30" s="6" t="n">
        <v>-148</v>
      </c>
      <c r="C30" s="6" t="n">
        <v>258</v>
      </c>
      <c r="D30" s="6" t="n">
        <v>335</v>
      </c>
      <c r="E30" s="6" t="n">
        <v>799</v>
      </c>
      <c r="F30" s="6" t="n">
        <v>-953</v>
      </c>
      <c r="G30" s="6" t="n">
        <v>272</v>
      </c>
      <c r="H30" s="6" t="n">
        <v>-464</v>
      </c>
      <c r="I30" s="6" t="n">
        <v>-680</v>
      </c>
    </row>
    <row r="31">
      <c r="A31" s="5" t="inlineStr">
        <is>
          <t>Other comprehensive income/(charges) for the year, net of tax</t>
        </is>
      </c>
      <c r="B31" s="5" t="n">
        <v>4092</v>
      </c>
      <c r="C31" s="5" t="n">
        <v>494</v>
      </c>
      <c r="D31" s="5" t="n">
        <v>1114</v>
      </c>
      <c r="E31" s="5" t="n">
        <v>-7160</v>
      </c>
      <c r="F31" s="5" t="n">
        <v>828</v>
      </c>
      <c r="G31" s="5" t="n">
        <v>-817</v>
      </c>
      <c r="H31" s="5" t="n">
        <v>2681</v>
      </c>
      <c r="I31" s="5" t="n">
        <v>1715</v>
      </c>
    </row>
    <row r="32">
      <c r="A32" s="5" t="inlineStr">
        <is>
          <t>Total comprehensive income for the year - equity shareholders</t>
        </is>
      </c>
      <c r="B32" s="5" t="n">
        <v>44881</v>
      </c>
      <c r="C32" s="5" t="n">
        <v>50970</v>
      </c>
      <c r="D32" s="5" t="n">
        <v>49972</v>
      </c>
      <c r="E32" s="5" t="n">
        <v>15683</v>
      </c>
      <c r="F32" s="5" t="n">
        <v>10499</v>
      </c>
      <c r="G32" s="5" t="n">
        <v>6210</v>
      </c>
      <c r="H32" s="5" t="n">
        <v>10662</v>
      </c>
      <c r="I32" s="5" t="n">
        <v>7682</v>
      </c>
    </row>
    <row r="33">
      <c r="A33" s="6" t="inlineStr">
        <is>
          <t>Dividend paid in the year</t>
        </is>
      </c>
      <c r="B33" s="6" t="n">
        <v>-2979</v>
      </c>
      <c r="C33" s="6" t="n">
        <v>-1734</v>
      </c>
      <c r="D33" s="6" t="n">
        <v>-1361</v>
      </c>
      <c r="E33" s="6" t="n">
        <v>-949</v>
      </c>
      <c r="F33" s="6" t="n">
        <v>-741</v>
      </c>
      <c r="G33" s="6" t="n">
        <v>-673</v>
      </c>
      <c r="H33" s="6" t="n">
        <v>-953</v>
      </c>
      <c r="I33" s="6" t="n">
        <v>-538</v>
      </c>
    </row>
    <row r="35" ht="200" customHeight="1">
      <c r="A35"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35:I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workbookViewId="0">
      <pane ySplit="4" topLeftCell="A5" activePane="bottomLeft" state="frozen"/>
      <selection pane="bottomLef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Unity Trust Bank Plc — Statement of Changes in Equity</t>
        </is>
      </c>
    </row>
    <row r="2">
      <c r="A2" s="2" t="inlineStr">
        <is>
          <t>Extended entity basis (Bank + Unity EBT Limited), £'000, chronological (oldest to newest). Each year's closing Total equity ties exactly to that year's own Balance Sheet Total equity and to the next year's opening balance - zero undocumented plug rows across all 8 years (the one documented exception being the FY2018 IFRS 9 transition adjustment, itself independently disclosed as such in the Bank's own accounts).</t>
        </is>
      </c>
    </row>
    <row r="3">
      <c r="A3" s="4" t="inlineStr">
        <is>
          <t>Movement</t>
        </is>
      </c>
      <c r="B3" s="4" t="inlineStr">
        <is>
          <t>Share capital</t>
        </is>
      </c>
      <c r="C3" s="4" t="inlineStr">
        <is>
          <t>Share premium</t>
        </is>
      </c>
      <c r="D3" s="4" t="inlineStr">
        <is>
          <t>Capital redemption reserve</t>
        </is>
      </c>
      <c r="E3" s="4" t="inlineStr">
        <is>
          <t>FVTOCI</t>
        </is>
      </c>
      <c r="F3" s="4" t="inlineStr">
        <is>
          <t>Retained earnings</t>
        </is>
      </c>
      <c r="G3" s="4" t="inlineStr">
        <is>
          <t>Cash flow hedge reserve</t>
        </is>
      </c>
      <c r="H3" s="4" t="inlineStr">
        <is>
          <t>ESOP reserve</t>
        </is>
      </c>
      <c r="I3" s="4" t="inlineStr">
        <is>
          <t>Total equity</t>
        </is>
      </c>
    </row>
    <row r="4">
      <c r="A4" s="5" t="inlineStr">
        <is>
          <t>At 31 December 2017 (as originally reported, pre-IFRS 9)</t>
        </is>
      </c>
      <c r="B4" s="5" t="n">
        <v>18943</v>
      </c>
      <c r="C4" s="5" t="n">
        <v>5563</v>
      </c>
      <c r="D4" s="5" t="n">
        <v>3250</v>
      </c>
      <c r="E4" s="5" t="n">
        <v>725</v>
      </c>
      <c r="F4" s="5" t="n">
        <v>31615</v>
      </c>
      <c r="G4" s="5" t="n"/>
      <c r="H4" s="5" t="n"/>
      <c r="I4" s="5" t="n">
        <v>60096</v>
      </c>
    </row>
    <row r="5">
      <c r="A5" s="6" t="inlineStr">
        <is>
          <t>Effects of changes in accounting policies (IFRS 9 transition, 1 January 2018)</t>
        </is>
      </c>
      <c r="B5" s="6" t="n"/>
      <c r="C5" s="6" t="n"/>
      <c r="D5" s="6" t="n"/>
      <c r="E5" s="6" t="n"/>
      <c r="F5" s="6" t="n">
        <v>-277</v>
      </c>
      <c r="G5" s="6" t="n"/>
      <c r="H5" s="6" t="n"/>
      <c r="I5" s="6" t="n">
        <v>-277</v>
      </c>
    </row>
    <row r="6">
      <c r="A6" s="5" t="inlineStr">
        <is>
          <t>At 1 January 2018 (restated)</t>
        </is>
      </c>
      <c r="B6" s="5" t="n">
        <v>18943</v>
      </c>
      <c r="C6" s="5" t="n">
        <v>5563</v>
      </c>
      <c r="D6" s="5" t="n">
        <v>3250</v>
      </c>
      <c r="E6" s="5" t="n">
        <v>725</v>
      </c>
      <c r="F6" s="5" t="n">
        <v>31338</v>
      </c>
      <c r="G6" s="5" t="n"/>
      <c r="H6" s="5" t="n"/>
      <c r="I6" s="5" t="n">
        <v>59819</v>
      </c>
    </row>
    <row r="7">
      <c r="A7" s="6" t="inlineStr">
        <is>
          <t>Profit for the financial year</t>
        </is>
      </c>
      <c r="B7" s="6" t="n"/>
      <c r="C7" s="6" t="n"/>
      <c r="D7" s="6" t="n"/>
      <c r="E7" s="6" t="n"/>
      <c r="F7" s="6" t="n">
        <v>5967</v>
      </c>
      <c r="G7" s="6" t="n"/>
      <c r="H7" s="6" t="n"/>
      <c r="I7" s="6" t="n">
        <v>5967</v>
      </c>
    </row>
    <row r="8">
      <c r="A8" s="6" t="inlineStr">
        <is>
          <t>Initial recognition of DB pension surplus</t>
        </is>
      </c>
      <c r="B8" s="6" t="n"/>
      <c r="C8" s="6" t="n"/>
      <c r="D8" s="6" t="n"/>
      <c r="E8" s="6" t="n"/>
      <c r="F8" s="6" t="n">
        <v>3322</v>
      </c>
      <c r="G8" s="6" t="n"/>
      <c r="H8" s="6" t="n"/>
      <c r="I8" s="6" t="n">
        <v>3322</v>
      </c>
    </row>
    <row r="9">
      <c r="A9" s="6" t="inlineStr">
        <is>
          <t>FVTOCI: prior year charges, reclassification adjustments, valuation losses and taxation, net</t>
        </is>
      </c>
      <c r="B9" s="6" t="n"/>
      <c r="C9" s="6" t="n"/>
      <c r="D9" s="6" t="n"/>
      <c r="E9" s="6" t="n">
        <v>-1597</v>
      </c>
      <c r="F9" s="6" t="n"/>
      <c r="G9" s="6" t="n"/>
      <c r="H9" s="6" t="n"/>
      <c r="I9" s="6" t="n">
        <v>-1597</v>
      </c>
    </row>
    <row r="10">
      <c r="A10" s="6" t="inlineStr">
        <is>
          <t>Issue of share capital - capital raise</t>
        </is>
      </c>
      <c r="B10" s="6" t="n">
        <v>4739</v>
      </c>
      <c r="C10" s="6" t="n">
        <v>6245</v>
      </c>
      <c r="D10" s="6" t="n"/>
      <c r="E10" s="6" t="n"/>
      <c r="F10" s="6" t="n"/>
      <c r="G10" s="6" t="n"/>
      <c r="H10" s="6" t="n"/>
      <c r="I10" s="6" t="n">
        <v>10984</v>
      </c>
    </row>
    <row r="11">
      <c r="A11" s="6" t="inlineStr">
        <is>
          <t>Own shares acquired during the financial year (buyback and cancellation)</t>
        </is>
      </c>
      <c r="B11" s="6" t="n">
        <v>-1261</v>
      </c>
      <c r="C11" s="6" t="n"/>
      <c r="D11" s="6" t="n">
        <v>1261</v>
      </c>
      <c r="E11" s="6" t="n"/>
      <c r="F11" s="6" t="n">
        <v>-2534</v>
      </c>
      <c r="G11" s="6" t="n"/>
      <c r="H11" s="6" t="n"/>
      <c r="I11" s="6" t="n">
        <v>-2534</v>
      </c>
    </row>
    <row r="12">
      <c r="A12" s="6" t="inlineStr">
        <is>
          <t>Dividend paid</t>
        </is>
      </c>
      <c r="B12" s="6" t="n"/>
      <c r="C12" s="6" t="n"/>
      <c r="D12" s="6" t="n"/>
      <c r="E12" s="6" t="n"/>
      <c r="F12" s="6" t="n">
        <v>-538</v>
      </c>
      <c r="G12" s="6" t="n"/>
      <c r="H12" s="6" t="n"/>
      <c r="I12" s="6" t="n">
        <v>-538</v>
      </c>
    </row>
    <row r="13">
      <c r="A13" s="5" t="inlineStr">
        <is>
          <t>At 31 December 2018</t>
        </is>
      </c>
      <c r="B13" s="5" t="n">
        <v>22421</v>
      </c>
      <c r="C13" s="5" t="n">
        <v>11808</v>
      </c>
      <c r="D13" s="5" t="n">
        <v>4511</v>
      </c>
      <c r="E13" s="5" t="n">
        <v>-872</v>
      </c>
      <c r="F13" s="5" t="n">
        <v>37555</v>
      </c>
      <c r="G13" s="5" t="n"/>
      <c r="H13" s="5" t="n"/>
      <c r="I13" s="5" t="n">
        <v>75423</v>
      </c>
    </row>
    <row r="14">
      <c r="A14" s="6" t="inlineStr">
        <is>
          <t>Profit for the financial year</t>
        </is>
      </c>
      <c r="B14" s="6" t="n"/>
      <c r="C14" s="6" t="n"/>
      <c r="D14" s="6" t="n"/>
      <c r="E14" s="6" t="n"/>
      <c r="F14" s="6" t="n">
        <v>7981</v>
      </c>
      <c r="G14" s="6" t="n"/>
      <c r="H14" s="6" t="n"/>
      <c r="I14" s="6" t="n">
        <v>7981</v>
      </c>
    </row>
    <row r="15">
      <c r="A15" s="6" t="inlineStr">
        <is>
          <t>Actuarial gain on Defined Benefit pension</t>
        </is>
      </c>
      <c r="B15" s="6" t="n"/>
      <c r="C15" s="6" t="n"/>
      <c r="D15" s="6" t="n"/>
      <c r="E15" s="6" t="n"/>
      <c r="F15" s="6" t="n">
        <v>2731</v>
      </c>
      <c r="G15" s="6" t="n"/>
      <c r="H15" s="6" t="n"/>
      <c r="I15" s="6" t="n">
        <v>2731</v>
      </c>
    </row>
    <row r="16">
      <c r="A16" s="6" t="inlineStr">
        <is>
          <t>Deferred Tax movements</t>
        </is>
      </c>
      <c r="B16" s="6" t="n"/>
      <c r="C16" s="6" t="n"/>
      <c r="D16" s="6" t="n"/>
      <c r="E16" s="6" t="n">
        <v>-118</v>
      </c>
      <c r="F16" s="6" t="n">
        <v>-464</v>
      </c>
      <c r="G16" s="6" t="n"/>
      <c r="H16" s="6" t="n"/>
      <c r="I16" s="6" t="n">
        <v>-582</v>
      </c>
    </row>
    <row r="17">
      <c r="A17" s="6" t="inlineStr">
        <is>
          <t>Net movement in Fair value through other comprehensive income</t>
        </is>
      </c>
      <c r="B17" s="6" t="n"/>
      <c r="C17" s="6" t="n"/>
      <c r="D17" s="6" t="n"/>
      <c r="E17" s="6" t="n">
        <v>532</v>
      </c>
      <c r="F17" s="6" t="n"/>
      <c r="G17" s="6" t="n"/>
      <c r="H17" s="6" t="n"/>
      <c r="I17" s="6" t="n">
        <v>532</v>
      </c>
    </row>
    <row r="18">
      <c r="A18" s="6" t="inlineStr">
        <is>
          <t>Dividend paid</t>
        </is>
      </c>
      <c r="B18" s="6" t="n"/>
      <c r="C18" s="6" t="n"/>
      <c r="D18" s="6" t="n"/>
      <c r="E18" s="6" t="n"/>
      <c r="F18" s="6" t="n">
        <v>-953</v>
      </c>
      <c r="G18" s="6" t="n"/>
      <c r="H18" s="6" t="n"/>
      <c r="I18" s="6" t="n">
        <v>-953</v>
      </c>
    </row>
    <row r="19">
      <c r="A19" s="5" t="inlineStr">
        <is>
          <t>At 31 December 2019</t>
        </is>
      </c>
      <c r="B19" s="5" t="n">
        <v>22421</v>
      </c>
      <c r="C19" s="5" t="n">
        <v>11808</v>
      </c>
      <c r="D19" s="5" t="n">
        <v>4511</v>
      </c>
      <c r="E19" s="5" t="n">
        <v>-458</v>
      </c>
      <c r="F19" s="5" t="n">
        <v>46850</v>
      </c>
      <c r="G19" s="5" t="n"/>
      <c r="H19" s="5" t="n"/>
      <c r="I19" s="5" t="n">
        <v>85132</v>
      </c>
    </row>
    <row r="20">
      <c r="A20" s="6" t="inlineStr">
        <is>
          <t>Profit for the financial year</t>
        </is>
      </c>
      <c r="B20" s="6" t="n"/>
      <c r="C20" s="6" t="n"/>
      <c r="D20" s="6" t="n"/>
      <c r="E20" s="6" t="n"/>
      <c r="F20" s="6" t="n">
        <v>7027</v>
      </c>
      <c r="G20" s="6" t="n"/>
      <c r="H20" s="6" t="n"/>
      <c r="I20" s="6" t="n">
        <v>7027</v>
      </c>
    </row>
    <row r="21">
      <c r="A21" s="6" t="inlineStr">
        <is>
          <t>Actuarial losses on Defined Benefit pension</t>
        </is>
      </c>
      <c r="B21" s="6" t="n"/>
      <c r="C21" s="6" t="n"/>
      <c r="D21" s="6" t="n"/>
      <c r="E21" s="6" t="n"/>
      <c r="F21" s="6" t="n">
        <v>-2142</v>
      </c>
      <c r="G21" s="6" t="n"/>
      <c r="H21" s="6" t="n"/>
      <c r="I21" s="6" t="n">
        <v>-2142</v>
      </c>
    </row>
    <row r="22">
      <c r="A22" s="6" t="inlineStr">
        <is>
          <t>Deferred Tax movements</t>
        </is>
      </c>
      <c r="B22" s="6" t="n"/>
      <c r="C22" s="6" t="n"/>
      <c r="D22" s="6" t="n"/>
      <c r="E22" s="6" t="n">
        <v>-200</v>
      </c>
      <c r="F22" s="6" t="n">
        <v>272</v>
      </c>
      <c r="G22" s="6" t="n"/>
      <c r="H22" s="6" t="n"/>
      <c r="I22" s="6" t="n">
        <v>72</v>
      </c>
    </row>
    <row r="23">
      <c r="A23" s="6" t="inlineStr">
        <is>
          <t>Net movement in Fair value through other comprehensive income</t>
        </is>
      </c>
      <c r="B23" s="6" t="n"/>
      <c r="C23" s="6" t="n"/>
      <c r="D23" s="6" t="n"/>
      <c r="E23" s="6" t="n">
        <v>1253</v>
      </c>
      <c r="F23" s="6" t="n"/>
      <c r="G23" s="6" t="n"/>
      <c r="H23" s="6" t="n"/>
      <c r="I23" s="6" t="n">
        <v>1253</v>
      </c>
    </row>
    <row r="24">
      <c r="A24" s="6" t="inlineStr">
        <is>
          <t>Dividend paid</t>
        </is>
      </c>
      <c r="B24" s="6" t="n"/>
      <c r="C24" s="6" t="n"/>
      <c r="D24" s="6" t="n"/>
      <c r="E24" s="6" t="n"/>
      <c r="F24" s="6" t="n">
        <v>-673</v>
      </c>
      <c r="G24" s="6" t="n"/>
      <c r="H24" s="6" t="n"/>
      <c r="I24" s="6" t="n">
        <v>-673</v>
      </c>
    </row>
    <row r="25">
      <c r="A25" s="5" t="inlineStr">
        <is>
          <t>At 31 December 2020</t>
        </is>
      </c>
      <c r="B25" s="5" t="n">
        <v>22421</v>
      </c>
      <c r="C25" s="5" t="n">
        <v>11808</v>
      </c>
      <c r="D25" s="5" t="n">
        <v>4511</v>
      </c>
      <c r="E25" s="5" t="n">
        <v>595</v>
      </c>
      <c r="F25" s="5" t="n">
        <v>51334</v>
      </c>
      <c r="G25" s="5" t="n"/>
      <c r="H25" s="5" t="n"/>
      <c r="I25" s="5" t="n">
        <v>90669</v>
      </c>
    </row>
    <row r="26">
      <c r="A26" s="6" t="inlineStr">
        <is>
          <t>Profit for the financial year</t>
        </is>
      </c>
      <c r="B26" s="6" t="n"/>
      <c r="C26" s="6" t="n"/>
      <c r="D26" s="6" t="n"/>
      <c r="E26" s="6" t="n"/>
      <c r="F26" s="6" t="n">
        <v>9671</v>
      </c>
      <c r="G26" s="6" t="n"/>
      <c r="H26" s="6" t="n"/>
      <c r="I26" s="6" t="n">
        <v>9671</v>
      </c>
    </row>
    <row r="27">
      <c r="A27" s="6" t="inlineStr">
        <is>
          <t>Issue of share capital - Capital raise</t>
        </is>
      </c>
      <c r="B27" s="6" t="n">
        <v>2205</v>
      </c>
      <c r="C27" s="6" t="n">
        <v>6277</v>
      </c>
      <c r="D27" s="6" t="n"/>
      <c r="E27" s="6" t="n"/>
      <c r="F27" s="6" t="n"/>
      <c r="G27" s="6" t="n"/>
      <c r="H27" s="6" t="n"/>
      <c r="I27" s="6" t="n">
        <v>8482</v>
      </c>
    </row>
    <row r="28">
      <c r="A28" s="6" t="inlineStr">
        <is>
          <t>Issue of share capital - Share Incentive Plan</t>
        </is>
      </c>
      <c r="B28" s="6" t="n">
        <v>52</v>
      </c>
      <c r="C28" s="6" t="n">
        <v>28</v>
      </c>
      <c r="D28" s="6" t="n"/>
      <c r="E28" s="6" t="n"/>
      <c r="F28" s="6" t="n"/>
      <c r="G28" s="6" t="n"/>
      <c r="H28" s="6" t="n"/>
      <c r="I28" s="6" t="n">
        <v>80</v>
      </c>
    </row>
    <row r="29">
      <c r="A29" s="6" t="inlineStr">
        <is>
          <t>Adjustment for equity-settled share-based payments</t>
        </is>
      </c>
      <c r="B29" s="6" t="n"/>
      <c r="C29" s="6" t="n"/>
      <c r="D29" s="6" t="n"/>
      <c r="E29" s="6" t="n"/>
      <c r="F29" s="6" t="n">
        <v>11</v>
      </c>
      <c r="G29" s="6" t="n"/>
      <c r="H29" s="6" t="n">
        <v>-37</v>
      </c>
      <c r="I29" s="6" t="n">
        <v>-26</v>
      </c>
    </row>
    <row r="30">
      <c r="A30" s="6" t="inlineStr">
        <is>
          <t>Actuarial gain on Defined Benefit pension</t>
        </is>
      </c>
      <c r="B30" s="6" t="n"/>
      <c r="C30" s="6" t="n"/>
      <c r="D30" s="6" t="n"/>
      <c r="E30" s="6" t="n"/>
      <c r="F30" s="6" t="n">
        <v>2718</v>
      </c>
      <c r="G30" s="6" t="n"/>
      <c r="H30" s="6" t="n"/>
      <c r="I30" s="6" t="n">
        <v>2718</v>
      </c>
    </row>
    <row r="31">
      <c r="A31" s="6" t="inlineStr">
        <is>
          <t>Deferred Tax movements</t>
        </is>
      </c>
      <c r="B31" s="6" t="n"/>
      <c r="C31" s="6" t="n"/>
      <c r="D31" s="6" t="n"/>
      <c r="E31" s="6" t="n">
        <v>256</v>
      </c>
      <c r="F31" s="6" t="n">
        <v>-953</v>
      </c>
      <c r="G31" s="6" t="n"/>
      <c r="H31" s="6" t="n"/>
      <c r="I31" s="6" t="n">
        <v>-697</v>
      </c>
    </row>
    <row r="32">
      <c r="A32" s="6" t="inlineStr">
        <is>
          <t>Net movement in Fair value through other comprehensive income</t>
        </is>
      </c>
      <c r="B32" s="6" t="n"/>
      <c r="C32" s="6" t="n"/>
      <c r="D32" s="6" t="n"/>
      <c r="E32" s="6" t="n">
        <v>-1193</v>
      </c>
      <c r="F32" s="6" t="n"/>
      <c r="G32" s="6" t="n"/>
      <c r="H32" s="6" t="n"/>
      <c r="I32" s="6" t="n">
        <v>-1193</v>
      </c>
    </row>
    <row r="33">
      <c r="A33" s="6" t="inlineStr">
        <is>
          <t>Dividend paid</t>
        </is>
      </c>
      <c r="B33" s="6" t="n"/>
      <c r="C33" s="6" t="n"/>
      <c r="D33" s="6" t="n"/>
      <c r="E33" s="6" t="n"/>
      <c r="F33" s="6" t="n">
        <v>-741</v>
      </c>
      <c r="G33" s="6" t="n"/>
      <c r="H33" s="6" t="n"/>
      <c r="I33" s="6" t="n">
        <v>-741</v>
      </c>
    </row>
    <row r="34">
      <c r="A34" s="5" t="inlineStr">
        <is>
          <t>At 31 December 2021</t>
        </is>
      </c>
      <c r="B34" s="5" t="n">
        <v>24678</v>
      </c>
      <c r="C34" s="5" t="n">
        <v>18113</v>
      </c>
      <c r="D34" s="5" t="n">
        <v>4511</v>
      </c>
      <c r="E34" s="5" t="n">
        <v>-342</v>
      </c>
      <c r="F34" s="5" t="n">
        <v>62040</v>
      </c>
      <c r="G34" s="5" t="n"/>
      <c r="H34" s="5" t="n">
        <v>-37</v>
      </c>
      <c r="I34" s="5" t="n">
        <v>108963</v>
      </c>
    </row>
    <row r="35">
      <c r="A35" s="6" t="inlineStr">
        <is>
          <t>Profit for the financial year</t>
        </is>
      </c>
      <c r="B35" s="6" t="n"/>
      <c r="C35" s="6" t="n"/>
      <c r="D35" s="6" t="n"/>
      <c r="E35" s="6" t="n"/>
      <c r="F35" s="6" t="n">
        <v>22843</v>
      </c>
      <c r="G35" s="6" t="n"/>
      <c r="H35" s="6" t="n"/>
      <c r="I35" s="6" t="n">
        <v>22843</v>
      </c>
    </row>
    <row r="36">
      <c r="A36" s="6" t="inlineStr">
        <is>
          <t>Issue of share capital - Share Incentive Plan</t>
        </is>
      </c>
      <c r="B36" s="6" t="n">
        <v>52</v>
      </c>
      <c r="C36" s="6" t="n">
        <v>37</v>
      </c>
      <c r="D36" s="6" t="n"/>
      <c r="E36" s="6" t="n"/>
      <c r="F36" s="6" t="n"/>
      <c r="G36" s="6" t="n"/>
      <c r="H36" s="6" t="n"/>
      <c r="I36" s="6" t="n">
        <v>89</v>
      </c>
    </row>
    <row r="37">
      <c r="A37" s="6" t="inlineStr">
        <is>
          <t>Adjustment for equity-settled share-based payments</t>
        </is>
      </c>
      <c r="B37" s="6" t="n"/>
      <c r="C37" s="6" t="n"/>
      <c r="D37" s="6" t="n"/>
      <c r="E37" s="6" t="n"/>
      <c r="F37" s="6" t="n">
        <v>52</v>
      </c>
      <c r="G37" s="6" t="n"/>
      <c r="H37" s="6" t="n">
        <v>-23</v>
      </c>
      <c r="I37" s="6" t="n">
        <v>29</v>
      </c>
    </row>
    <row r="38">
      <c r="A38" s="6" t="inlineStr">
        <is>
          <t>Actuarial gain/(loss) on Defined Benefit pension</t>
        </is>
      </c>
      <c r="B38" s="6" t="n"/>
      <c r="C38" s="6" t="n"/>
      <c r="D38" s="6" t="n"/>
      <c r="E38" s="6" t="n"/>
      <c r="F38" s="6" t="n">
        <v>-3170</v>
      </c>
      <c r="G38" s="6" t="n"/>
      <c r="H38" s="6" t="n"/>
      <c r="I38" s="6" t="n">
        <v>-3170</v>
      </c>
    </row>
    <row r="39">
      <c r="A39" s="6" t="inlineStr">
        <is>
          <t>Deferred Tax movements</t>
        </is>
      </c>
      <c r="B39" s="6" t="n"/>
      <c r="C39" s="6" t="n"/>
      <c r="D39" s="6" t="n"/>
      <c r="E39" s="6" t="n">
        <v>1596</v>
      </c>
      <c r="F39" s="6" t="n">
        <v>799</v>
      </c>
      <c r="G39" s="6" t="n"/>
      <c r="H39" s="6" t="n"/>
      <c r="I39" s="6" t="n">
        <v>2395</v>
      </c>
    </row>
    <row r="40">
      <c r="A40" s="6" t="inlineStr">
        <is>
          <t>Net movement in Fair value through other comprehensive income</t>
        </is>
      </c>
      <c r="B40" s="6" t="n"/>
      <c r="C40" s="6" t="n"/>
      <c r="D40" s="6" t="n"/>
      <c r="E40" s="6" t="n">
        <v>-6385</v>
      </c>
      <c r="F40" s="6" t="n"/>
      <c r="G40" s="6" t="n"/>
      <c r="H40" s="6" t="n"/>
      <c r="I40" s="6" t="n">
        <v>-6385</v>
      </c>
    </row>
    <row r="41">
      <c r="A41" s="6" t="inlineStr">
        <is>
          <t>Dividend paid</t>
        </is>
      </c>
      <c r="B41" s="6" t="n"/>
      <c r="C41" s="6" t="n"/>
      <c r="D41" s="6" t="n"/>
      <c r="E41" s="6" t="n"/>
      <c r="F41" s="6" t="n">
        <v>-949</v>
      </c>
      <c r="G41" s="6" t="n"/>
      <c r="H41" s="6" t="n"/>
      <c r="I41" s="6" t="n">
        <v>-949</v>
      </c>
    </row>
    <row r="42">
      <c r="A42" s="5" t="inlineStr">
        <is>
          <t>At 31 December 2022</t>
        </is>
      </c>
      <c r="B42" s="5" t="n">
        <v>24730</v>
      </c>
      <c r="C42" s="5" t="n">
        <v>18150</v>
      </c>
      <c r="D42" s="5" t="n">
        <v>4511</v>
      </c>
      <c r="E42" s="5" t="n">
        <v>-5131</v>
      </c>
      <c r="F42" s="5" t="n">
        <v>81615</v>
      </c>
      <c r="G42" s="5" t="n"/>
      <c r="H42" s="5" t="n">
        <v>-60</v>
      </c>
      <c r="I42" s="5" t="n">
        <v>123815</v>
      </c>
    </row>
    <row r="43">
      <c r="A43" s="6" t="inlineStr">
        <is>
          <t>Profit for the financial year</t>
        </is>
      </c>
      <c r="B43" s="6" t="n"/>
      <c r="C43" s="6" t="n"/>
      <c r="D43" s="6" t="n"/>
      <c r="E43" s="6" t="n"/>
      <c r="F43" s="6" t="n">
        <v>48858</v>
      </c>
      <c r="G43" s="6" t="n"/>
      <c r="H43" s="6" t="n"/>
      <c r="I43" s="6" t="n">
        <v>48858</v>
      </c>
    </row>
    <row r="44">
      <c r="A44" s="6" t="inlineStr">
        <is>
          <t>Issue of share capital - Share Incentive Plan</t>
        </is>
      </c>
      <c r="B44" s="6" t="n">
        <v>62</v>
      </c>
      <c r="C44" s="6" t="n">
        <v>55</v>
      </c>
      <c r="D44" s="6" t="n"/>
      <c r="E44" s="6" t="n"/>
      <c r="F44" s="6" t="n"/>
      <c r="G44" s="6" t="n"/>
      <c r="H44" s="6" t="n">
        <v>-49</v>
      </c>
      <c r="I44" s="6" t="n">
        <v>68</v>
      </c>
    </row>
    <row r="45">
      <c r="A45" s="6" t="inlineStr">
        <is>
          <t>Adjustment for equity-settled share-based payments</t>
        </is>
      </c>
      <c r="B45" s="6" t="n"/>
      <c r="C45" s="6" t="n"/>
      <c r="D45" s="6" t="n"/>
      <c r="E45" s="6" t="n"/>
      <c r="F45" s="6" t="n">
        <v>93</v>
      </c>
      <c r="G45" s="6" t="n"/>
      <c r="H45" s="6" t="n">
        <v>30</v>
      </c>
      <c r="I45" s="6" t="n">
        <v>123</v>
      </c>
    </row>
    <row r="46">
      <c r="A46" s="6" t="inlineStr">
        <is>
          <t>Actuarial loss on Defined Benefit pension</t>
        </is>
      </c>
      <c r="B46" s="6" t="n"/>
      <c r="C46" s="6" t="n"/>
      <c r="D46" s="6" t="n"/>
      <c r="E46" s="6" t="n"/>
      <c r="F46" s="6" t="n">
        <v>-1311</v>
      </c>
      <c r="G46" s="6" t="n"/>
      <c r="H46" s="6" t="n"/>
      <c r="I46" s="6" t="n">
        <v>-1311</v>
      </c>
    </row>
    <row r="47">
      <c r="A47" s="6" t="inlineStr">
        <is>
          <t>Deferred Tax movements</t>
        </is>
      </c>
      <c r="B47" s="6" t="n"/>
      <c r="C47" s="6" t="n"/>
      <c r="D47" s="6" t="n"/>
      <c r="E47" s="6" t="n">
        <v>-582</v>
      </c>
      <c r="F47" s="6" t="n">
        <v>335</v>
      </c>
      <c r="G47" s="6" t="n"/>
      <c r="H47" s="6" t="n"/>
      <c r="I47" s="6" t="n">
        <v>-247</v>
      </c>
    </row>
    <row r="48">
      <c r="A48" s="6" t="inlineStr">
        <is>
          <t>Net movement in Fair value through other comprehensive income</t>
        </is>
      </c>
      <c r="B48" s="6" t="n"/>
      <c r="C48" s="6" t="n"/>
      <c r="D48" s="6" t="n"/>
      <c r="E48" s="6" t="n">
        <v>2672</v>
      </c>
      <c r="F48" s="6" t="n"/>
      <c r="G48" s="6" t="n"/>
      <c r="H48" s="6" t="n"/>
      <c r="I48" s="6" t="n">
        <v>2672</v>
      </c>
    </row>
    <row r="49">
      <c r="A49" s="6" t="inlineStr">
        <is>
          <t>Dividend paid</t>
        </is>
      </c>
      <c r="B49" s="6" t="n"/>
      <c r="C49" s="6" t="n"/>
      <c r="D49" s="6" t="n"/>
      <c r="E49" s="6" t="n"/>
      <c r="F49" s="6" t="n">
        <v>-1361</v>
      </c>
      <c r="G49" s="6" t="n"/>
      <c r="H49" s="6" t="n"/>
      <c r="I49" s="6" t="n">
        <v>-1361</v>
      </c>
    </row>
    <row r="50">
      <c r="A50" s="5" t="inlineStr">
        <is>
          <t>At 31 December 2023 (£172,617k, see presentation note; text-extraction artefact in source table corrected)</t>
        </is>
      </c>
      <c r="B50" s="5" t="n">
        <v>24792</v>
      </c>
      <c r="C50" s="5" t="n">
        <v>18205</v>
      </c>
      <c r="D50" s="5" t="n">
        <v>4511</v>
      </c>
      <c r="E50" s="5" t="n">
        <v>-3041</v>
      </c>
      <c r="F50" s="5" t="n">
        <v>128229</v>
      </c>
      <c r="G50" s="5" t="n"/>
      <c r="H50" s="5" t="n">
        <v>-79</v>
      </c>
      <c r="I50" s="5" t="n">
        <v>172617</v>
      </c>
    </row>
    <row r="51">
      <c r="A51" s="6" t="inlineStr">
        <is>
          <t>Profit for the financial year</t>
        </is>
      </c>
      <c r="B51" s="6" t="n"/>
      <c r="C51" s="6" t="n"/>
      <c r="D51" s="6" t="n"/>
      <c r="E51" s="6" t="n"/>
      <c r="F51" s="6" t="n">
        <v>50476</v>
      </c>
      <c r="G51" s="6" t="n"/>
      <c r="H51" s="6" t="n"/>
      <c r="I51" s="6" t="n">
        <v>50476</v>
      </c>
    </row>
    <row r="52">
      <c r="A52" s="6" t="inlineStr">
        <is>
          <t>Issue of share capital - Share Incentive Plan</t>
        </is>
      </c>
      <c r="B52" s="6" t="n">
        <v>33</v>
      </c>
      <c r="C52" s="6" t="n">
        <v>58</v>
      </c>
      <c r="D52" s="6" t="n"/>
      <c r="E52" s="6" t="n"/>
      <c r="F52" s="6" t="n"/>
      <c r="G52" s="6" t="n"/>
      <c r="H52" s="6" t="n">
        <v>-23</v>
      </c>
      <c r="I52" s="6" t="n">
        <v>68</v>
      </c>
    </row>
    <row r="53">
      <c r="A53" s="6" t="inlineStr">
        <is>
          <t>Adjustment for equity-settled share-based payments</t>
        </is>
      </c>
      <c r="B53" s="6" t="n"/>
      <c r="C53" s="6" t="n"/>
      <c r="D53" s="6" t="n"/>
      <c r="E53" s="6" t="n"/>
      <c r="F53" s="6" t="n">
        <v>154</v>
      </c>
      <c r="G53" s="6" t="n"/>
      <c r="H53" s="6" t="n">
        <v>42</v>
      </c>
      <c r="I53" s="6" t="n">
        <v>196</v>
      </c>
    </row>
    <row r="54">
      <c r="A54" s="6" t="inlineStr">
        <is>
          <t>Actuarial loss on Defined Benefit pension</t>
        </is>
      </c>
      <c r="B54" s="6" t="n"/>
      <c r="C54" s="6" t="n"/>
      <c r="D54" s="6" t="n"/>
      <c r="E54" s="6" t="n"/>
      <c r="F54" s="6" t="n">
        <v>-1047</v>
      </c>
      <c r="G54" s="6" t="n"/>
      <c r="H54" s="6" t="n"/>
      <c r="I54" s="6" t="n">
        <v>-1047</v>
      </c>
    </row>
    <row r="55">
      <c r="A55" s="6" t="inlineStr">
        <is>
          <t>Fair value on cash flow hedges</t>
        </is>
      </c>
      <c r="B55" s="6" t="n"/>
      <c r="C55" s="6" t="n"/>
      <c r="D55" s="6" t="n"/>
      <c r="E55" s="6" t="n"/>
      <c r="F55" s="6" t="n"/>
      <c r="G55" s="6" t="n">
        <v>-1521</v>
      </c>
      <c r="H55" s="6" t="n"/>
      <c r="I55" s="6" t="n">
        <v>-1521</v>
      </c>
    </row>
    <row r="56">
      <c r="A56" s="6" t="inlineStr">
        <is>
          <t>Deferred Tax movements</t>
        </is>
      </c>
      <c r="B56" s="6" t="n"/>
      <c r="C56" s="6" t="n"/>
      <c r="D56" s="6" t="n"/>
      <c r="E56" s="6" t="n">
        <v>-808</v>
      </c>
      <c r="F56" s="6" t="n">
        <v>258</v>
      </c>
      <c r="G56" s="6" t="n">
        <v>380</v>
      </c>
      <c r="H56" s="6" t="n"/>
      <c r="I56" s="6" t="n">
        <v>-170</v>
      </c>
    </row>
    <row r="57">
      <c r="A57" s="6" t="inlineStr">
        <is>
          <t>Net movement in Fair value through other comprehensive income</t>
        </is>
      </c>
      <c r="B57" s="6" t="n"/>
      <c r="C57" s="6" t="n"/>
      <c r="D57" s="6" t="n"/>
      <c r="E57" s="6" t="n">
        <v>3232</v>
      </c>
      <c r="F57" s="6" t="n"/>
      <c r="G57" s="6" t="n"/>
      <c r="H57" s="6" t="n"/>
      <c r="I57" s="6" t="n">
        <v>3232</v>
      </c>
    </row>
    <row r="58">
      <c r="A58" s="6" t="inlineStr">
        <is>
          <t>Dividend paid</t>
        </is>
      </c>
      <c r="B58" s="6" t="n"/>
      <c r="C58" s="6" t="n"/>
      <c r="D58" s="6" t="n"/>
      <c r="E58" s="6" t="n"/>
      <c r="F58" s="6" t="n">
        <v>-1734</v>
      </c>
      <c r="G58" s="6" t="n"/>
      <c r="H58" s="6" t="n"/>
      <c r="I58" s="6" t="n">
        <v>-1734</v>
      </c>
    </row>
    <row r="59">
      <c r="A59" s="5" t="inlineStr">
        <is>
          <t>At 31 December 2024</t>
        </is>
      </c>
      <c r="B59" s="5" t="n">
        <v>24825</v>
      </c>
      <c r="C59" s="5" t="n">
        <v>18263</v>
      </c>
      <c r="D59" s="5" t="n">
        <v>4511</v>
      </c>
      <c r="E59" s="5" t="n">
        <v>-617</v>
      </c>
      <c r="F59" s="5" t="n">
        <v>176336</v>
      </c>
      <c r="G59" s="5" t="n">
        <v>-1141</v>
      </c>
      <c r="H59" s="5" t="n">
        <v>-60</v>
      </c>
      <c r="I59" s="5" t="n">
        <v>222117</v>
      </c>
    </row>
    <row r="60">
      <c r="A60" s="6" t="inlineStr">
        <is>
          <t>Profit for the financial year</t>
        </is>
      </c>
      <c r="B60" s="6" t="n"/>
      <c r="C60" s="6" t="n"/>
      <c r="D60" s="6" t="n"/>
      <c r="E60" s="6" t="n"/>
      <c r="F60" s="6" t="n">
        <v>40789</v>
      </c>
      <c r="G60" s="6" t="n"/>
      <c r="H60" s="6" t="n"/>
      <c r="I60" s="6" t="n">
        <v>40789</v>
      </c>
    </row>
    <row r="61">
      <c r="A61" s="6" t="inlineStr">
        <is>
          <t>Issue of share capital - Share Incentive Plan</t>
        </is>
      </c>
      <c r="B61" s="6" t="n">
        <v>50</v>
      </c>
      <c r="C61" s="6" t="n">
        <v>77</v>
      </c>
      <c r="D61" s="6" t="n"/>
      <c r="E61" s="6" t="n"/>
      <c r="F61" s="6" t="n"/>
      <c r="G61" s="6" t="n"/>
      <c r="H61" s="6" t="n">
        <v>-40</v>
      </c>
      <c r="I61" s="6" t="n">
        <v>87</v>
      </c>
    </row>
    <row r="62">
      <c r="A62" s="6" t="inlineStr">
        <is>
          <t>Adjustment for equity-settled share-based payments</t>
        </is>
      </c>
      <c r="B62" s="6" t="n">
        <v>6</v>
      </c>
      <c r="C62" s="6" t="n">
        <v>20</v>
      </c>
      <c r="D62" s="6" t="n"/>
      <c r="E62" s="6" t="n"/>
      <c r="F62" s="6" t="n">
        <v>-320</v>
      </c>
      <c r="G62" s="6" t="n"/>
      <c r="H62" s="6" t="n">
        <v>100</v>
      </c>
      <c r="I62" s="6" t="n">
        <v>-194</v>
      </c>
    </row>
    <row r="63">
      <c r="A63" s="6" t="inlineStr">
        <is>
          <t>Actuarial gain on Defined Benefit pension</t>
        </is>
      </c>
      <c r="B63" s="6" t="n"/>
      <c r="C63" s="6" t="n"/>
      <c r="D63" s="6" t="n"/>
      <c r="E63" s="6" t="n"/>
      <c r="F63" s="6" t="n">
        <v>590</v>
      </c>
      <c r="G63" s="6" t="n"/>
      <c r="H63" s="6" t="n"/>
      <c r="I63" s="6" t="n">
        <v>590</v>
      </c>
    </row>
    <row r="64">
      <c r="A64" s="6" t="inlineStr">
        <is>
          <t>Fair value on cash flow hedges</t>
        </is>
      </c>
      <c r="B64" s="6" t="n"/>
      <c r="C64" s="6" t="n"/>
      <c r="D64" s="6" t="n"/>
      <c r="E64" s="6" t="n"/>
      <c r="F64" s="6" t="n"/>
      <c r="G64" s="6" t="n">
        <v>1460</v>
      </c>
      <c r="H64" s="6" t="n"/>
      <c r="I64" s="6" t="n">
        <v>1460</v>
      </c>
    </row>
    <row r="65">
      <c r="A65" s="6" t="inlineStr">
        <is>
          <t>Recycling of cash flow hedge reserve</t>
        </is>
      </c>
      <c r="B65" s="6" t="n"/>
      <c r="C65" s="6" t="n"/>
      <c r="D65" s="6" t="n"/>
      <c r="E65" s="6" t="n"/>
      <c r="F65" s="6" t="n"/>
      <c r="G65" s="6" t="n">
        <v>1097</v>
      </c>
      <c r="H65" s="6" t="n"/>
      <c r="I65" s="6" t="n">
        <v>1097</v>
      </c>
    </row>
    <row r="66">
      <c r="A66" s="6" t="inlineStr">
        <is>
          <t>Deferred Tax movements</t>
        </is>
      </c>
      <c r="B66" s="6" t="n"/>
      <c r="C66" s="6" t="n"/>
      <c r="D66" s="6" t="n"/>
      <c r="E66" s="6" t="n">
        <v>-577</v>
      </c>
      <c r="F66" s="6" t="n">
        <v>-66</v>
      </c>
      <c r="G66" s="6" t="n">
        <v>-639</v>
      </c>
      <c r="H66" s="6" t="n"/>
      <c r="I66" s="6" t="n">
        <v>-1282</v>
      </c>
    </row>
    <row r="67">
      <c r="A67" s="6" t="inlineStr">
        <is>
          <t>Net movement in Fair value through other comprehensive income</t>
        </is>
      </c>
      <c r="B67" s="6" t="n"/>
      <c r="C67" s="6" t="n"/>
      <c r="D67" s="6" t="n"/>
      <c r="E67" s="6" t="n">
        <v>2309</v>
      </c>
      <c r="F67" s="6" t="n"/>
      <c r="G67" s="6" t="n"/>
      <c r="H67" s="6" t="n"/>
      <c r="I67" s="6" t="n">
        <v>2309</v>
      </c>
    </row>
    <row r="68">
      <c r="A68" s="6" t="inlineStr">
        <is>
          <t>Dividend paid</t>
        </is>
      </c>
      <c r="B68" s="6" t="n"/>
      <c r="C68" s="6" t="n"/>
      <c r="D68" s="6" t="n"/>
      <c r="E68" s="6" t="n"/>
      <c r="F68" s="6" t="n">
        <v>-2979</v>
      </c>
      <c r="G68" s="6" t="n"/>
      <c r="H68" s="6" t="n"/>
      <c r="I68" s="6" t="n">
        <v>-2979</v>
      </c>
    </row>
    <row r="69">
      <c r="A69" s="5" t="inlineStr">
        <is>
          <t>At 31 December 2025</t>
        </is>
      </c>
      <c r="B69" s="5" t="n">
        <v>24881</v>
      </c>
      <c r="C69" s="5" t="n">
        <v>18360</v>
      </c>
      <c r="D69" s="5" t="n">
        <v>4511</v>
      </c>
      <c r="E69" s="5" t="n">
        <v>1115</v>
      </c>
      <c r="F69" s="5" t="n">
        <v>214350</v>
      </c>
      <c r="G69" s="5" t="n">
        <v>777</v>
      </c>
      <c r="H69" s="5" t="n">
        <v>0</v>
      </c>
      <c r="I69" s="5" t="n">
        <v>263994</v>
      </c>
    </row>
    <row r="71" ht="220" customHeight="1">
      <c r="A71"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71:I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taxation</t>
        </is>
      </c>
      <c r="B5" s="6" t="n">
        <v>52415</v>
      </c>
      <c r="C5" s="6" t="n">
        <v>65751</v>
      </c>
      <c r="D5" s="6" t="n">
        <v>63862</v>
      </c>
      <c r="E5" s="6" t="n">
        <v>27352</v>
      </c>
      <c r="F5" s="6" t="n">
        <v>11053</v>
      </c>
      <c r="G5" s="6" t="n">
        <v>7546</v>
      </c>
      <c r="H5" s="6" t="n">
        <v>9076</v>
      </c>
      <c r="I5" s="6" t="n">
        <v>6755</v>
      </c>
    </row>
    <row r="6">
      <c r="A6" s="6" t="inlineStr">
        <is>
          <t>Finance costs on lease liabilities</t>
        </is>
      </c>
      <c r="B6" s="6" t="n">
        <v>58</v>
      </c>
      <c r="C6" s="6" t="n"/>
      <c r="D6" s="6" t="n"/>
      <c r="E6" s="6" t="n"/>
      <c r="F6" s="6" t="n"/>
      <c r="G6" s="6" t="n"/>
      <c r="H6" s="6" t="n"/>
      <c r="I6" s="6" t="n"/>
    </row>
    <row r="7">
      <c r="A7" s="6" t="inlineStr">
        <is>
          <t>Finance costs on central bank facilities</t>
        </is>
      </c>
      <c r="B7" s="6" t="n">
        <v>145</v>
      </c>
      <c r="C7" s="6" t="n"/>
      <c r="D7" s="6" t="n"/>
      <c r="E7" s="6" t="n"/>
      <c r="F7" s="6" t="n"/>
      <c r="G7" s="6" t="n"/>
      <c r="H7" s="6" t="n"/>
      <c r="I7" s="6" t="n"/>
    </row>
    <row r="8">
      <c r="A8" s="6" t="inlineStr">
        <is>
          <t>Finance costs (combined, as reported)</t>
        </is>
      </c>
      <c r="B8" s="6" t="n"/>
      <c r="C8" s="6" t="n">
        <v>73</v>
      </c>
      <c r="D8" s="6" t="n">
        <v>85</v>
      </c>
      <c r="E8" s="6" t="n">
        <v>249</v>
      </c>
      <c r="F8" s="6" t="n">
        <v>240</v>
      </c>
      <c r="G8" s="6" t="n">
        <v>129</v>
      </c>
      <c r="H8" s="6" t="n">
        <v>123</v>
      </c>
      <c r="I8" s="6" t="n"/>
    </row>
    <row r="9">
      <c r="A9" s="6" t="inlineStr">
        <is>
          <t>Impairment losses, net of reversals, on financial assets</t>
        </is>
      </c>
      <c r="B9" s="6" t="n">
        <v>1206</v>
      </c>
      <c r="C9" s="6" t="n">
        <v>1017</v>
      </c>
      <c r="D9" s="6" t="n">
        <v>3548</v>
      </c>
      <c r="E9" s="6" t="n">
        <v>2477</v>
      </c>
      <c r="F9" s="6" t="n">
        <v>470</v>
      </c>
      <c r="G9" s="6" t="n">
        <v>1788</v>
      </c>
      <c r="H9" s="6" t="n">
        <v>251</v>
      </c>
      <c r="I9" s="6" t="n">
        <v>-52</v>
      </c>
    </row>
    <row r="10">
      <c r="A10" s="6" t="inlineStr">
        <is>
          <t>Non-cash movements in relation to investment securities</t>
        </is>
      </c>
      <c r="B10" s="6" t="n">
        <v>-24580</v>
      </c>
      <c r="C10" s="6" t="n">
        <v>-10770</v>
      </c>
      <c r="D10" s="6" t="n">
        <v>-8428</v>
      </c>
      <c r="E10" s="6" t="n">
        <v>-3871</v>
      </c>
      <c r="F10" s="6" t="n"/>
      <c r="G10" s="6" t="n"/>
      <c r="H10" s="6" t="n"/>
      <c r="I10" s="6" t="n"/>
    </row>
    <row r="11">
      <c r="A11" s="6" t="inlineStr">
        <is>
          <t>Depreciation of property, plant and equipment</t>
        </is>
      </c>
      <c r="B11" s="6" t="n">
        <v>368</v>
      </c>
      <c r="C11" s="6" t="n">
        <v>280</v>
      </c>
      <c r="D11" s="6" t="n">
        <v>283</v>
      </c>
      <c r="E11" s="6" t="n">
        <v>270</v>
      </c>
      <c r="F11" s="6" t="n">
        <v>305</v>
      </c>
      <c r="G11" s="6" t="n">
        <v>321</v>
      </c>
      <c r="H11" s="6" t="n">
        <v>310</v>
      </c>
      <c r="I11" s="6" t="n"/>
    </row>
    <row r="12">
      <c r="A12" s="6" t="inlineStr">
        <is>
          <t>Depreciation of right-of-use assets</t>
        </is>
      </c>
      <c r="B12" s="6" t="n">
        <v>262</v>
      </c>
      <c r="C12" s="6" t="n">
        <v>266</v>
      </c>
      <c r="D12" s="6" t="n">
        <v>250</v>
      </c>
      <c r="E12" s="6" t="n">
        <v>269</v>
      </c>
      <c r="F12" s="6" t="n">
        <v>276</v>
      </c>
      <c r="G12" s="6" t="n">
        <v>282</v>
      </c>
      <c r="H12" s="6" t="n">
        <v>286</v>
      </c>
      <c r="I12" s="6" t="n"/>
    </row>
    <row r="13">
      <c r="A13" s="6" t="inlineStr">
        <is>
          <t>Amortisation of intangible assets</t>
        </is>
      </c>
      <c r="B13" s="6" t="n">
        <v>15</v>
      </c>
      <c r="C13" s="6" t="n">
        <v>6</v>
      </c>
      <c r="D13" s="6" t="n">
        <v>16</v>
      </c>
      <c r="E13" s="6" t="n">
        <v>38</v>
      </c>
      <c r="F13" s="6" t="n">
        <v>50</v>
      </c>
      <c r="G13" s="6" t="n">
        <v>91</v>
      </c>
      <c r="H13" s="6" t="n">
        <v>85</v>
      </c>
      <c r="I13" s="6" t="n"/>
    </row>
    <row r="14">
      <c r="A14" s="6" t="inlineStr">
        <is>
          <t>Depreciation and amortisation (combined, as reported - pre-IFRS 16, FY2018 only)</t>
        </is>
      </c>
      <c r="B14" s="6" t="n"/>
      <c r="C14" s="6" t="n"/>
      <c r="D14" s="6" t="n"/>
      <c r="E14" s="6" t="n"/>
      <c r="F14" s="6" t="n"/>
      <c r="G14" s="6" t="n"/>
      <c r="H14" s="6" t="n"/>
      <c r="I14" s="6" t="n">
        <v>272</v>
      </c>
    </row>
    <row r="15">
      <c r="A15" s="6" t="inlineStr">
        <is>
          <t>Loss on disposal of property, plant and equipment</t>
        </is>
      </c>
      <c r="B15" s="6" t="n"/>
      <c r="C15" s="6" t="n">
        <v>0</v>
      </c>
      <c r="D15" s="6" t="n">
        <v>3</v>
      </c>
      <c r="E15" s="6" t="n"/>
      <c r="F15" s="6" t="n">
        <v>12</v>
      </c>
      <c r="G15" s="6" t="n">
        <v>47</v>
      </c>
      <c r="H15" s="6" t="n">
        <v>105</v>
      </c>
      <c r="I15" s="6" t="n">
        <v>56</v>
      </c>
    </row>
    <row r="16">
      <c r="A16" s="6" t="inlineStr">
        <is>
          <t>Increase/(decrease) in provisions</t>
        </is>
      </c>
      <c r="B16" s="6" t="n">
        <v>1642</v>
      </c>
      <c r="C16" s="6" t="n">
        <v>1441</v>
      </c>
      <c r="D16" s="6" t="n">
        <v>567</v>
      </c>
      <c r="E16" s="6" t="n">
        <v>320</v>
      </c>
      <c r="F16" s="6" t="n">
        <v>88</v>
      </c>
      <c r="G16" s="6" t="n">
        <v>-17</v>
      </c>
      <c r="H16" s="6" t="n">
        <v>142</v>
      </c>
      <c r="I16" s="6" t="n">
        <v>124</v>
      </c>
    </row>
    <row r="17">
      <c r="A17" s="6" t="inlineStr">
        <is>
          <t>Fair value loss on derivatives</t>
        </is>
      </c>
      <c r="B17" s="6" t="n">
        <v>1106</v>
      </c>
      <c r="C17" s="6" t="n">
        <v>153</v>
      </c>
      <c r="D17" s="6" t="n"/>
      <c r="E17" s="6" t="n"/>
      <c r="F17" s="6" t="n"/>
      <c r="G17" s="6" t="n"/>
      <c r="H17" s="6" t="n"/>
      <c r="I17" s="6" t="n"/>
    </row>
    <row r="18">
      <c r="A18" s="6" t="inlineStr">
        <is>
          <t>Share-based payment expense</t>
        </is>
      </c>
      <c r="B18" s="6" t="n">
        <v>853</v>
      </c>
      <c r="C18" s="6" t="n">
        <v>174</v>
      </c>
      <c r="D18" s="6" t="n"/>
      <c r="E18" s="6" t="n"/>
      <c r="F18" s="6" t="n"/>
      <c r="G18" s="6" t="n"/>
      <c r="H18" s="6" t="n"/>
      <c r="I18" s="6" t="n"/>
    </row>
    <row r="19">
      <c r="A19" s="6" t="inlineStr">
        <is>
          <t>Pension administration expense</t>
        </is>
      </c>
      <c r="B19" s="6" t="n">
        <v>289</v>
      </c>
      <c r="C19" s="6" t="n">
        <v>172</v>
      </c>
      <c r="D19" s="6" t="n"/>
      <c r="E19" s="6" t="n"/>
      <c r="F19" s="6" t="n"/>
      <c r="G19" s="6" t="n"/>
      <c r="H19" s="6" t="n"/>
      <c r="I19" s="6" t="n"/>
    </row>
    <row r="20">
      <c r="A20" s="6" t="inlineStr">
        <is>
          <t>Other non-cash movements</t>
        </is>
      </c>
      <c r="B20" s="6" t="n"/>
      <c r="C20" s="6" t="n"/>
      <c r="D20" s="6" t="n"/>
      <c r="E20" s="6" t="n"/>
      <c r="F20" s="6" t="n">
        <v>244</v>
      </c>
      <c r="G20" s="6" t="n">
        <v>49</v>
      </c>
      <c r="H20" s="6" t="n"/>
      <c r="I20" s="6" t="n"/>
    </row>
    <row r="21">
      <c r="A21" s="6" t="inlineStr">
        <is>
          <t>(Increase)/decrease in prepayments and accrued income</t>
        </is>
      </c>
      <c r="B21" s="6" t="n">
        <v>-955</v>
      </c>
      <c r="C21" s="6" t="n">
        <v>87</v>
      </c>
      <c r="D21" s="6" t="n">
        <v>-386</v>
      </c>
      <c r="E21" s="6" t="n">
        <v>-59</v>
      </c>
      <c r="F21" s="6" t="n">
        <v>-424</v>
      </c>
      <c r="G21" s="6" t="n">
        <v>121</v>
      </c>
      <c r="H21" s="6" t="n">
        <v>177</v>
      </c>
      <c r="I21" s="6" t="n">
        <v>-206</v>
      </c>
    </row>
    <row r="22">
      <c r="A22" s="6" t="inlineStr">
        <is>
          <t>(Increase)/decrease in other operating assets</t>
        </is>
      </c>
      <c r="B22" s="6" t="n">
        <v>-759</v>
      </c>
      <c r="C22" s="6" t="n">
        <v>69</v>
      </c>
      <c r="D22" s="6" t="n">
        <v>155</v>
      </c>
      <c r="E22" s="6" t="n">
        <v>-151</v>
      </c>
      <c r="F22" s="6" t="n">
        <v>28</v>
      </c>
      <c r="G22" s="6" t="n">
        <v>18</v>
      </c>
      <c r="H22" s="6" t="n">
        <v>126</v>
      </c>
      <c r="I22" s="6" t="n"/>
    </row>
    <row r="23">
      <c r="A23" s="6" t="inlineStr">
        <is>
          <t>(Increase) in derivatives</t>
        </is>
      </c>
      <c r="B23" s="6" t="n">
        <v>-770</v>
      </c>
      <c r="C23" s="6" t="n"/>
      <c r="D23" s="6" t="n"/>
      <c r="E23" s="6" t="n"/>
      <c r="F23" s="6" t="n"/>
      <c r="G23" s="6" t="n"/>
      <c r="H23" s="6" t="n"/>
      <c r="I23" s="6" t="n"/>
    </row>
    <row r="24">
      <c r="A24" s="6" t="inlineStr">
        <is>
          <t>Increase in loans and advances to customers</t>
        </is>
      </c>
      <c r="B24" s="6" t="n">
        <v>-120381</v>
      </c>
      <c r="C24" s="6" t="n">
        <v>-1187</v>
      </c>
      <c r="D24" s="6" t="n">
        <v>-180618</v>
      </c>
      <c r="E24" s="6" t="n">
        <v>-115530</v>
      </c>
      <c r="F24" s="6" t="n">
        <v>-122183</v>
      </c>
      <c r="G24" s="6" t="n">
        <v>-126044</v>
      </c>
      <c r="H24" s="6" t="n">
        <v>-115356</v>
      </c>
      <c r="I24" s="6" t="n">
        <v>-83356</v>
      </c>
    </row>
    <row r="25">
      <c r="A25" s="6" t="inlineStr">
        <is>
          <t>(Increase)/decrease in Bank of England mandatory reserve</t>
        </is>
      </c>
      <c r="B25" s="6" t="n"/>
      <c r="C25" s="6" t="n">
        <v>3448</v>
      </c>
      <c r="D25" s="6" t="n">
        <v>310</v>
      </c>
      <c r="E25" s="6" t="n">
        <v>-355</v>
      </c>
      <c r="F25" s="6" t="n">
        <v>-1294</v>
      </c>
      <c r="G25" s="6" t="n">
        <v>-1207</v>
      </c>
      <c r="H25" s="6" t="n">
        <v>-192</v>
      </c>
      <c r="I25" s="6" t="n">
        <v>-381</v>
      </c>
    </row>
    <row r="26">
      <c r="A26" s="6" t="inlineStr">
        <is>
          <t>Increase/(decrease) in accruals and deferred income</t>
        </is>
      </c>
      <c r="B26" s="6" t="n">
        <v>1007</v>
      </c>
      <c r="C26" s="6" t="n">
        <v>984</v>
      </c>
      <c r="D26" s="6" t="n">
        <v>337</v>
      </c>
      <c r="E26" s="6" t="n">
        <v>382</v>
      </c>
      <c r="F26" s="6" t="n">
        <v>28</v>
      </c>
      <c r="G26" s="6" t="n">
        <v>-498</v>
      </c>
      <c r="H26" s="6" t="n">
        <v>54</v>
      </c>
      <c r="I26" s="6" t="n">
        <v>466</v>
      </c>
    </row>
    <row r="27">
      <c r="A27" s="6" t="inlineStr">
        <is>
          <t>Increase in customer deposits</t>
        </is>
      </c>
      <c r="B27" s="6" t="n">
        <v>144076</v>
      </c>
      <c r="C27" s="6" t="n">
        <v>157895</v>
      </c>
      <c r="D27" s="6" t="n">
        <v>20652</v>
      </c>
      <c r="E27" s="6" t="n">
        <v>31430</v>
      </c>
      <c r="F27" s="6" t="n">
        <v>171502</v>
      </c>
      <c r="G27" s="6" t="n">
        <v>305290</v>
      </c>
      <c r="H27" s="6" t="n">
        <v>32305</v>
      </c>
      <c r="I27" s="6" t="n">
        <v>48197</v>
      </c>
    </row>
    <row r="28">
      <c r="A28" s="6" t="inlineStr">
        <is>
          <t>Increase/(decrease) in other operating liabilities</t>
        </is>
      </c>
      <c r="B28" s="6" t="n">
        <v>-251</v>
      </c>
      <c r="C28" s="6" t="n">
        <v>-361</v>
      </c>
      <c r="D28" s="6" t="n">
        <v>527</v>
      </c>
      <c r="E28" s="6" t="n">
        <v>-101</v>
      </c>
      <c r="F28" s="6" t="n">
        <v>655</v>
      </c>
      <c r="G28" s="6" t="n">
        <v>-254</v>
      </c>
      <c r="H28" s="6" t="n">
        <v>-106</v>
      </c>
      <c r="I28" s="6" t="n"/>
    </row>
    <row r="29">
      <c r="A29" s="6" t="inlineStr">
        <is>
          <t>Net movement in other operating assets and liabilities (combined, as reported, FY2018 only)</t>
        </is>
      </c>
      <c r="B29" s="6" t="n"/>
      <c r="C29" s="6" t="n"/>
      <c r="D29" s="6" t="n"/>
      <c r="E29" s="6" t="n"/>
      <c r="F29" s="6" t="n"/>
      <c r="G29" s="6" t="n"/>
      <c r="H29" s="6" t="n"/>
      <c r="I29" s="6" t="n">
        <v>-621</v>
      </c>
    </row>
    <row r="30">
      <c r="A30" s="6" t="inlineStr">
        <is>
          <t>Income tax paid</t>
        </is>
      </c>
      <c r="B30" s="6" t="n">
        <v>-25649</v>
      </c>
      <c r="C30" s="6" t="n">
        <v>-14668</v>
      </c>
      <c r="D30" s="6" t="n">
        <v>-8698</v>
      </c>
      <c r="E30" s="6" t="n">
        <v>-3180</v>
      </c>
      <c r="F30" s="6" t="n">
        <v>-1328</v>
      </c>
      <c r="G30" s="6" t="n">
        <v>-929</v>
      </c>
      <c r="H30" s="6" t="n">
        <v>-1422</v>
      </c>
      <c r="I30" s="6" t="n">
        <v>0</v>
      </c>
    </row>
    <row r="31">
      <c r="A31" s="5" t="inlineStr">
        <is>
          <t>Net cash generated from/(used in) operating activities</t>
        </is>
      </c>
      <c r="B31" s="5" t="n">
        <v>30097</v>
      </c>
      <c r="C31" s="5" t="n">
        <v>204830</v>
      </c>
      <c r="D31" s="5" t="n">
        <v>-107535</v>
      </c>
      <c r="E31" s="5" t="n">
        <v>-60460</v>
      </c>
      <c r="F31" s="5" t="n">
        <v>59722</v>
      </c>
      <c r="G31" s="5" t="n">
        <v>186733</v>
      </c>
      <c r="H31" s="5" t="n">
        <v>-74036</v>
      </c>
      <c r="I31" s="5" t="n">
        <v>-28746</v>
      </c>
    </row>
    <row r="32">
      <c r="A32" s="5" t="inlineStr">
        <is>
          <t>Investing activities</t>
        </is>
      </c>
      <c r="B32" s="6" t="n"/>
      <c r="C32" s="6" t="n"/>
      <c r="D32" s="6" t="n"/>
      <c r="E32" s="6" t="n"/>
      <c r="F32" s="6" t="n"/>
      <c r="G32" s="6" t="n"/>
      <c r="H32" s="6" t="n"/>
      <c r="I32" s="6" t="n"/>
    </row>
    <row r="33">
      <c r="A33" s="6" t="inlineStr">
        <is>
          <t>Purchase of property, plant and equipment</t>
        </is>
      </c>
      <c r="B33" s="6" t="n">
        <v>-852</v>
      </c>
      <c r="C33" s="6" t="n">
        <v>-565</v>
      </c>
      <c r="D33" s="6" t="n">
        <v>-218</v>
      </c>
      <c r="E33" s="6" t="n">
        <v>-163</v>
      </c>
      <c r="F33" s="6" t="n">
        <v>-390</v>
      </c>
      <c r="G33" s="6" t="n">
        <v>-132</v>
      </c>
      <c r="H33" s="6" t="n">
        <v>-124</v>
      </c>
      <c r="I33" s="6" t="n">
        <v>-1153</v>
      </c>
    </row>
    <row r="34">
      <c r="A34" s="6" t="inlineStr">
        <is>
          <t>Intangible asset additions</t>
        </is>
      </c>
      <c r="B34" s="6" t="n">
        <v>-461</v>
      </c>
      <c r="C34" s="6" t="n"/>
      <c r="D34" s="6" t="n"/>
      <c r="E34" s="6" t="n"/>
      <c r="F34" s="6" t="n">
        <v>0</v>
      </c>
      <c r="G34" s="6" t="n">
        <v>-85</v>
      </c>
      <c r="H34" s="6" t="n">
        <v>0</v>
      </c>
      <c r="I34" s="6" t="n">
        <v>-162</v>
      </c>
    </row>
    <row r="35">
      <c r="A35" s="6" t="inlineStr">
        <is>
          <t>Interest received from investment securities</t>
        </is>
      </c>
      <c r="B35" s="6" t="n">
        <v>23945</v>
      </c>
      <c r="C35" s="6" t="n"/>
      <c r="D35" s="6" t="n"/>
      <c r="E35" s="6" t="n"/>
      <c r="F35" s="6" t="n"/>
      <c r="G35" s="6" t="n"/>
      <c r="H35" s="6" t="n"/>
      <c r="I35" s="6" t="n"/>
    </row>
    <row r="36">
      <c r="A36" s="6" t="inlineStr">
        <is>
          <t>Purchase of investment securities</t>
        </is>
      </c>
      <c r="B36" s="6" t="n">
        <v>-576821</v>
      </c>
      <c r="C36" s="6" t="n">
        <v>-159028</v>
      </c>
      <c r="D36" s="6" t="n">
        <v>-96260</v>
      </c>
      <c r="E36" s="6" t="n">
        <v>-261001</v>
      </c>
      <c r="F36" s="6" t="n">
        <v>-30302</v>
      </c>
      <c r="G36" s="6" t="n">
        <v>-42347</v>
      </c>
      <c r="H36" s="6" t="n">
        <v>-60317</v>
      </c>
      <c r="I36" s="6" t="n">
        <v>-174045</v>
      </c>
    </row>
    <row r="37">
      <c r="A37" s="6" t="inlineStr">
        <is>
          <t>Proceeds from sale and redemption of investment securities</t>
        </is>
      </c>
      <c r="B37" s="6" t="n">
        <v>73615</v>
      </c>
      <c r="C37" s="6" t="n">
        <v>106314</v>
      </c>
      <c r="D37" s="6" t="n">
        <v>116948</v>
      </c>
      <c r="E37" s="6" t="n">
        <v>209523</v>
      </c>
      <c r="F37" s="6" t="n">
        <v>73666</v>
      </c>
      <c r="G37" s="6" t="n">
        <v>122900</v>
      </c>
      <c r="H37" s="6" t="n">
        <v>155503</v>
      </c>
      <c r="I37" s="6" t="n">
        <v>120951</v>
      </c>
    </row>
    <row r="38">
      <c r="A38" s="5" t="inlineStr">
        <is>
          <t>Net cash generated from/(used in) investing activities</t>
        </is>
      </c>
      <c r="B38" s="5" t="n">
        <v>-480574</v>
      </c>
      <c r="C38" s="5" t="n">
        <v>-53279</v>
      </c>
      <c r="D38" s="5" t="n">
        <v>20470</v>
      </c>
      <c r="E38" s="5" t="n">
        <v>-51641</v>
      </c>
      <c r="F38" s="5" t="n">
        <v>42974</v>
      </c>
      <c r="G38" s="5" t="n">
        <v>80336</v>
      </c>
      <c r="H38" s="5" t="n">
        <v>95062</v>
      </c>
      <c r="I38" s="5" t="n">
        <v>-54409</v>
      </c>
    </row>
    <row r="39">
      <c r="A39" s="5" t="inlineStr">
        <is>
          <t>Financing activities</t>
        </is>
      </c>
      <c r="B39" s="6" t="n"/>
      <c r="C39" s="6" t="n"/>
      <c r="D39" s="6" t="n"/>
      <c r="E39" s="6" t="n"/>
      <c r="F39" s="6" t="n"/>
      <c r="G39" s="6" t="n"/>
      <c r="H39" s="6" t="n"/>
      <c r="I39" s="6" t="n"/>
    </row>
    <row r="40">
      <c r="A40" s="6" t="inlineStr">
        <is>
          <t>Dividends paid</t>
        </is>
      </c>
      <c r="B40" s="6" t="n">
        <v>-2979</v>
      </c>
      <c r="C40" s="6" t="n">
        <v>-1734</v>
      </c>
      <c r="D40" s="6" t="n">
        <v>-1361</v>
      </c>
      <c r="E40" s="6" t="n">
        <v>-949</v>
      </c>
      <c r="F40" s="6" t="n">
        <v>-741</v>
      </c>
      <c r="G40" s="6" t="n">
        <v>-673</v>
      </c>
      <c r="H40" s="6" t="n">
        <v>-953</v>
      </c>
      <c r="I40" s="6" t="n">
        <v>-538</v>
      </c>
    </row>
    <row r="41">
      <c r="A41" s="6" t="inlineStr">
        <is>
          <t>Repayment of lease liabilities</t>
        </is>
      </c>
      <c r="B41" s="6" t="n">
        <v>-474</v>
      </c>
      <c r="C41" s="6" t="n">
        <v>-285</v>
      </c>
      <c r="D41" s="6" t="n">
        <v>-468</v>
      </c>
      <c r="E41" s="6" t="n">
        <v>-380</v>
      </c>
      <c r="F41" s="6" t="n">
        <v>-186</v>
      </c>
      <c r="G41" s="6" t="n">
        <v>-405</v>
      </c>
      <c r="H41" s="6" t="n">
        <v>-38</v>
      </c>
      <c r="I41" s="6" t="n"/>
    </row>
    <row r="42">
      <c r="A42" s="6" t="inlineStr">
        <is>
          <t>Proceeds on issue of share capital, net of transaction costs</t>
        </is>
      </c>
      <c r="B42" s="6" t="n">
        <v>86</v>
      </c>
      <c r="C42" s="6" t="n">
        <v>91</v>
      </c>
      <c r="D42" s="6" t="n">
        <v>0</v>
      </c>
      <c r="E42" s="6" t="n">
        <v>50</v>
      </c>
      <c r="F42" s="6" t="n">
        <v>8520</v>
      </c>
      <c r="G42" s="6" t="n"/>
      <c r="H42" s="6" t="n"/>
      <c r="I42" s="6" t="n">
        <v>10984</v>
      </c>
    </row>
    <row r="43">
      <c r="A43" s="6" t="inlineStr">
        <is>
          <t>Buy back of own shares (FY2018 only - see Statement of Changes in Equity)</t>
        </is>
      </c>
      <c r="B43" s="6" t="n"/>
      <c r="C43" s="6" t="n"/>
      <c r="D43" s="6" t="n"/>
      <c r="E43" s="6" t="n"/>
      <c r="F43" s="6" t="n"/>
      <c r="G43" s="6" t="n"/>
      <c r="H43" s="6" t="n"/>
      <c r="I43" s="6" t="n">
        <v>-2534</v>
      </c>
    </row>
    <row r="44">
      <c r="A44" s="6" t="inlineStr">
        <is>
          <t>Drawdown on central bank facilities</t>
        </is>
      </c>
      <c r="B44" s="6" t="n">
        <v>50000</v>
      </c>
      <c r="C44" s="6" t="n"/>
      <c r="D44" s="6" t="n"/>
      <c r="E44" s="6" t="n"/>
      <c r="F44" s="6" t="n"/>
      <c r="G44" s="6" t="n"/>
      <c r="H44" s="6" t="n"/>
      <c r="I44" s="6" t="n"/>
    </row>
    <row r="45">
      <c r="A45" s="5" t="inlineStr">
        <is>
          <t>Net cash generated from/(used in) financing activities</t>
        </is>
      </c>
      <c r="B45" s="5" t="n">
        <v>46633</v>
      </c>
      <c r="C45" s="5" t="n">
        <v>-1928</v>
      </c>
      <c r="D45" s="5" t="n">
        <v>-1829</v>
      </c>
      <c r="E45" s="5" t="n">
        <v>-1279</v>
      </c>
      <c r="F45" s="5" t="n">
        <v>7593</v>
      </c>
      <c r="G45" s="5" t="n">
        <v>-1078</v>
      </c>
      <c r="H45" s="5" t="n">
        <v>-991</v>
      </c>
      <c r="I45" s="5" t="n">
        <v>7912</v>
      </c>
    </row>
    <row r="46">
      <c r="A46" s="5" t="inlineStr">
        <is>
          <t>Net (decrease)/increase in cash and cash equivalents</t>
        </is>
      </c>
      <c r="B46" s="5" t="n">
        <v>-403844</v>
      </c>
      <c r="C46" s="5" t="n">
        <v>149623</v>
      </c>
      <c r="D46" s="5" t="n">
        <v>-88894</v>
      </c>
      <c r="E46" s="5" t="n">
        <v>-113380</v>
      </c>
      <c r="F46" s="5" t="n">
        <v>110289</v>
      </c>
      <c r="G46" s="5" t="n">
        <v>265991</v>
      </c>
      <c r="H46" s="5" t="n">
        <v>20035</v>
      </c>
      <c r="I46" s="5" t="n">
        <v>-75243</v>
      </c>
    </row>
    <row r="47">
      <c r="A47" s="6" t="inlineStr">
        <is>
          <t>Cash and cash equivalents at beginning of year</t>
        </is>
      </c>
      <c r="B47" s="6" t="n">
        <v>624587</v>
      </c>
      <c r="C47" s="6" t="n">
        <v>474964</v>
      </c>
      <c r="D47" s="6" t="n">
        <v>563858</v>
      </c>
      <c r="E47" s="6" t="n">
        <v>677238</v>
      </c>
      <c r="F47" s="6" t="n">
        <v>566949</v>
      </c>
      <c r="G47" s="6" t="n">
        <v>300958</v>
      </c>
      <c r="H47" s="6" t="n">
        <v>280923</v>
      </c>
      <c r="I47" s="6" t="n">
        <v>356166</v>
      </c>
    </row>
    <row r="48">
      <c r="A48" s="5" t="inlineStr">
        <is>
          <t>Cash and cash equivalents at end of year</t>
        </is>
      </c>
      <c r="B48" s="5" t="n">
        <v>220743</v>
      </c>
      <c r="C48" s="5" t="n">
        <v>624587</v>
      </c>
      <c r="D48" s="5" t="n">
        <v>474964</v>
      </c>
      <c r="E48" s="5" t="n">
        <v>563858</v>
      </c>
      <c r="F48" s="5" t="n">
        <v>677238</v>
      </c>
      <c r="G48" s="5" t="n">
        <v>566949</v>
      </c>
      <c r="H48" s="5" t="n">
        <v>300958</v>
      </c>
      <c r="I48" s="5" t="n">
        <v>280923</v>
      </c>
    </row>
    <row r="50" ht="170" customHeight="1">
      <c r="A50"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FY2020: Report &amp; Accounts 2020 (Companies House filing, 13 Apr 2021), p.27 (Statement of Cash Flows) - https://find-and-update.company-information.service.gov.uk/company/01713124/filing-history/MzI5NzIyNTE1N2FkaXF6a2N4/document?format=pdf&amp;download=0
FY2019: Report &amp; Accounts 2019 (Companies House filing, 25 Jun 2020), p.23 (Statement of Cash Flows) - https://find-and-update.company-information.service.gov.uk/company/01713124/filing-history/MzI2NzM2MDE4NWFkaXF6a2N4/document?format=pdf&amp;download=0
FY2018: Report &amp; Accounts 2018 (Companies House filing, 11 Apr 2019), p.21 (Statement of Cash Flows) - https://find-and-update.company-information.service.gov.uk/company/01713124/filing-history/MzIzMTYwOTI0NmFkaXF6a2N4/document?format=pdf&amp;download=0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8 years (FY2025's single 'Finance costs' line was split into lease/central-bank components that year only, kept on separate rows). FY2022's operating-activities line items sum to £1k more than the operating total as printed (immaterial rounding, not corrected). FY2018's closing cash of £280,923k ties exactly to FY2019's opening cash; FY2019's closing £300,958k ties exactly to FY2020's opening cash; FY2020's closing £566,949k ties exactly to FY2021's opening cash - continuous across the pre-2021 extension with no basis break. FY2018 predates IFRS 16 (no lease liability repayment line, no separate depreciation-of-right-of-use-assets line - a single combined 'Depreciation and amortisation' line is used instead, see below) and its cash flow statement also shows a one-off 'Buy back of own shares' financing outflow (£2,534k, from the share buyback/cancellation described in the Statement of Changes in Equity) not seen in any other year.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50:I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Asset Quality</t>
        </is>
      </c>
    </row>
    <row r="2">
      <c r="A2" s="2" t="inlineStr">
        <is>
          <t>Extended entity basis (Bank + Unity EBT Limited), £'000 - loans and advances to customers (incl. pipeline commitments) and investment securities by IFRS 9 stage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carrying amount by IFRS 9 stage</t>
        </is>
      </c>
      <c r="B4" s="6" t="n"/>
      <c r="C4" s="6" t="n"/>
      <c r="D4" s="6" t="n"/>
      <c r="E4" s="6" t="n"/>
      <c r="F4" s="6" t="n"/>
      <c r="G4" s="6" t="n"/>
      <c r="H4" s="6" t="n"/>
      <c r="I4" s="6" t="n"/>
    </row>
    <row r="5">
      <c r="A5" s="6" t="inlineStr">
        <is>
          <t>Stage 1 (12 month ECL)</t>
        </is>
      </c>
      <c r="B5" s="6" t="n">
        <v>1155109</v>
      </c>
      <c r="C5" s="6" t="n">
        <v>1321056</v>
      </c>
      <c r="D5" s="6" t="n">
        <v>1244119</v>
      </c>
      <c r="E5" s="6" t="n">
        <v>1093651</v>
      </c>
      <c r="F5" s="6" t="n">
        <v>958279</v>
      </c>
      <c r="G5" s="6" t="n">
        <v>880475</v>
      </c>
      <c r="H5" s="6" t="n">
        <v>853511</v>
      </c>
      <c r="I5" s="6" t="n">
        <v>834757</v>
      </c>
    </row>
    <row r="6">
      <c r="A6" s="6" t="inlineStr">
        <is>
          <t>Stage 2 (Lifetime ECL - SICR)</t>
        </is>
      </c>
      <c r="B6" s="6" t="n">
        <v>38911</v>
      </c>
      <c r="C6" s="6" t="n">
        <v>42399</v>
      </c>
      <c r="D6" s="6" t="n">
        <v>43080</v>
      </c>
      <c r="E6" s="6" t="n">
        <v>39504</v>
      </c>
      <c r="F6" s="6" t="n">
        <v>17591</v>
      </c>
      <c r="G6" s="6" t="n">
        <v>20347</v>
      </c>
      <c r="H6" s="6" t="n">
        <v>12423</v>
      </c>
      <c r="I6" s="6" t="n">
        <v>6896</v>
      </c>
    </row>
    <row r="7">
      <c r="A7" s="6" t="inlineStr">
        <is>
          <t>Stage 3 (Lifetime ECL - credit impaired)</t>
        </is>
      </c>
      <c r="B7" s="6" t="n">
        <v>29356</v>
      </c>
      <c r="C7" s="6" t="n">
        <v>29358</v>
      </c>
      <c r="D7" s="6" t="n">
        <v>24903</v>
      </c>
      <c r="E7" s="6" t="n">
        <v>6314</v>
      </c>
      <c r="F7" s="6" t="n">
        <v>5374</v>
      </c>
      <c r="G7" s="6" t="n">
        <v>3820</v>
      </c>
      <c r="H7" s="6" t="n">
        <v>2172</v>
      </c>
      <c r="I7" s="6" t="n">
        <v>1947</v>
      </c>
    </row>
    <row r="8">
      <c r="A8" s="5" t="inlineStr">
        <is>
          <t>Total gross carrying amount</t>
        </is>
      </c>
      <c r="B8" s="5" t="n">
        <v>1223376</v>
      </c>
      <c r="C8" s="5" t="n">
        <v>1392813</v>
      </c>
      <c r="D8" s="5" t="n">
        <v>1312102</v>
      </c>
      <c r="E8" s="5" t="n">
        <v>1139469</v>
      </c>
      <c r="F8" s="5" t="n">
        <v>981244</v>
      </c>
      <c r="G8" s="5" t="n">
        <v>904642</v>
      </c>
      <c r="H8" s="5" t="n">
        <v>868106</v>
      </c>
      <c r="I8" s="5" t="n">
        <v>843600</v>
      </c>
    </row>
    <row r="9">
      <c r="A9" s="5" t="inlineStr">
        <is>
          <t>Impairment provision by IFRS 9 stage</t>
        </is>
      </c>
      <c r="B9" s="6" t="n"/>
      <c r="C9" s="6" t="n"/>
      <c r="D9" s="6" t="n"/>
      <c r="E9" s="6" t="n"/>
      <c r="F9" s="6" t="n"/>
      <c r="G9" s="6" t="n"/>
      <c r="H9" s="6" t="n"/>
      <c r="I9" s="6" t="n"/>
    </row>
    <row r="10">
      <c r="A10" s="6" t="inlineStr">
        <is>
          <t>Stage 1 provision</t>
        </is>
      </c>
      <c r="B10" s="6" t="n">
        <v>2856</v>
      </c>
      <c r="C10" s="6" t="n">
        <v>2708</v>
      </c>
      <c r="D10" s="6" t="n">
        <v>4145</v>
      </c>
      <c r="E10" s="6" t="n">
        <v>2848</v>
      </c>
      <c r="F10" s="6" t="n">
        <v>556</v>
      </c>
      <c r="G10" s="6" t="n">
        <v>347</v>
      </c>
      <c r="H10" s="6" t="n">
        <v>587</v>
      </c>
      <c r="I10" s="6" t="n">
        <v>389</v>
      </c>
    </row>
    <row r="11">
      <c r="A11" s="6" t="inlineStr">
        <is>
          <t>Stage 2 provision</t>
        </is>
      </c>
      <c r="B11" s="6" t="n">
        <v>1592</v>
      </c>
      <c r="C11" s="6" t="n">
        <v>1457</v>
      </c>
      <c r="D11" s="6" t="n">
        <v>2313</v>
      </c>
      <c r="E11" s="6" t="n">
        <v>1394</v>
      </c>
      <c r="F11" s="6" t="n">
        <v>966</v>
      </c>
      <c r="G11" s="6" t="n">
        <v>949</v>
      </c>
      <c r="H11" s="6" t="n">
        <v>200</v>
      </c>
      <c r="I11" s="6" t="n">
        <v>80</v>
      </c>
    </row>
    <row r="12">
      <c r="A12" s="6" t="inlineStr">
        <is>
          <t>Stage 3 provision</t>
        </is>
      </c>
      <c r="B12" s="6" t="n">
        <v>6905</v>
      </c>
      <c r="C12" s="6" t="n">
        <v>5599</v>
      </c>
      <c r="D12" s="6" t="n">
        <v>3233</v>
      </c>
      <c r="E12" s="6" t="n">
        <v>1891</v>
      </c>
      <c r="F12" s="6" t="n">
        <v>2134</v>
      </c>
      <c r="G12" s="6" t="n">
        <v>2121</v>
      </c>
      <c r="H12" s="6" t="n">
        <v>854</v>
      </c>
      <c r="I12" s="6" t="n">
        <v>1110</v>
      </c>
    </row>
    <row r="13">
      <c r="A13" s="5" t="inlineStr">
        <is>
          <t>Total impairment provision</t>
        </is>
      </c>
      <c r="B13" s="5" t="n">
        <v>11353</v>
      </c>
      <c r="C13" s="5" t="n">
        <v>9764</v>
      </c>
      <c r="D13" s="5" t="n">
        <v>9691</v>
      </c>
      <c r="E13" s="5" t="n">
        <v>6133</v>
      </c>
      <c r="F13" s="5" t="n">
        <v>3656</v>
      </c>
      <c r="G13" s="5" t="n">
        <v>3417</v>
      </c>
      <c r="H13" s="5" t="n">
        <v>1641</v>
      </c>
      <c r="I13" s="5" t="n">
        <v>1579</v>
      </c>
    </row>
    <row r="14">
      <c r="A14" s="5" t="inlineStr">
        <is>
          <t>Net carrying amount (Total gross - Total provision)</t>
        </is>
      </c>
      <c r="B14" s="5" t="n">
        <v>1212023</v>
      </c>
      <c r="C14" s="5" t="n">
        <v>1383049</v>
      </c>
      <c r="D14" s="5" t="n">
        <v>1302411</v>
      </c>
      <c r="E14" s="5" t="n">
        <v>1133336</v>
      </c>
      <c r="F14" s="5" t="n">
        <v>977588</v>
      </c>
      <c r="G14" s="5" t="n">
        <v>901225</v>
      </c>
      <c r="H14" s="5" t="n">
        <v>866465</v>
      </c>
      <c r="I14" s="5" t="n">
        <v>842021</v>
      </c>
    </row>
    <row r="15">
      <c r="A15" s="5" t="inlineStr">
        <is>
          <t>Derived asset quality ratios</t>
        </is>
      </c>
      <c r="B15" s="6" t="n"/>
      <c r="C15" s="6" t="n"/>
      <c r="D15" s="6" t="n"/>
      <c r="E15" s="6" t="n"/>
      <c r="F15" s="6" t="n"/>
      <c r="G15" s="6" t="n"/>
      <c r="H15" s="6" t="n"/>
      <c r="I15" s="6" t="n"/>
    </row>
    <row r="16">
      <c r="A16" s="6" t="inlineStr">
        <is>
          <t>NPL ratio (Stage 3 gross / Total gross)</t>
        </is>
      </c>
      <c r="B16" s="6" t="inlineStr">
        <is>
          <t>2.40%</t>
        </is>
      </c>
      <c r="C16" s="6" t="inlineStr">
        <is>
          <t>2.11%</t>
        </is>
      </c>
      <c r="D16" s="6" t="inlineStr">
        <is>
          <t>1.90%</t>
        </is>
      </c>
      <c r="E16" s="6" t="inlineStr">
        <is>
          <t>0.55%</t>
        </is>
      </c>
      <c r="F16" s="6" t="inlineStr">
        <is>
          <t>0.55%</t>
        </is>
      </c>
      <c r="G16" s="6" t="inlineStr">
        <is>
          <t>0.42%</t>
        </is>
      </c>
      <c r="H16" s="6" t="inlineStr">
        <is>
          <t>0.25%</t>
        </is>
      </c>
      <c r="I16" s="6" t="inlineStr">
        <is>
          <t>0.23%</t>
        </is>
      </c>
    </row>
    <row r="17">
      <c r="A17" s="6" t="inlineStr">
        <is>
          <t>Total coverage ratio (Total provision / Total gross)</t>
        </is>
      </c>
      <c r="B17" s="6" t="inlineStr">
        <is>
          <t>0.93%</t>
        </is>
      </c>
      <c r="C17" s="6" t="inlineStr">
        <is>
          <t>0.70%</t>
        </is>
      </c>
      <c r="D17" s="6" t="inlineStr">
        <is>
          <t>0.74%</t>
        </is>
      </c>
      <c r="E17" s="6" t="inlineStr">
        <is>
          <t>0.54%</t>
        </is>
      </c>
      <c r="F17" s="6" t="inlineStr">
        <is>
          <t>0.37%</t>
        </is>
      </c>
      <c r="G17" s="6" t="inlineStr">
        <is>
          <t>0.38%</t>
        </is>
      </c>
      <c r="H17" s="6" t="inlineStr">
        <is>
          <t>0.19%</t>
        </is>
      </c>
      <c r="I17" s="6" t="inlineStr">
        <is>
          <t>0.19%</t>
        </is>
      </c>
    </row>
    <row r="18">
      <c r="A18" s="6" t="inlineStr">
        <is>
          <t>Stage 3 coverage ratio (Stage 3 provision / Stage 3 gross)</t>
        </is>
      </c>
      <c r="B18" s="6" t="inlineStr">
        <is>
          <t>23.52%</t>
        </is>
      </c>
      <c r="C18" s="6" t="inlineStr">
        <is>
          <t>19.07%</t>
        </is>
      </c>
      <c r="D18" s="6" t="inlineStr">
        <is>
          <t>12.98%</t>
        </is>
      </c>
      <c r="E18" s="6" t="inlineStr">
        <is>
          <t>29.95%</t>
        </is>
      </c>
      <c r="F18" s="6" t="inlineStr">
        <is>
          <t>39.71%</t>
        </is>
      </c>
      <c r="G18" s="6" t="inlineStr">
        <is>
          <t>55.52%</t>
        </is>
      </c>
      <c r="H18" s="6" t="inlineStr">
        <is>
          <t>39.32%</t>
        </is>
      </c>
      <c r="I18" s="6" t="inlineStr">
        <is>
          <t>57.01%</t>
        </is>
      </c>
    </row>
    <row r="20" ht="230" customHeight="1">
      <c r="A20" s="8" t="inlineStr">
        <is>
          <t>Sources - Unity Trust Bank Plc's own 'Gross balance movements in the year' (ECL stage) tables:
FY2025: Report &amp; Accounts 2025, p.32 (Risk Management) - https://assets.unity.co.uk/Unity-Trust-Bank-Annual-Report-and-Accounts-2025.pdf
FY2024: Report &amp; Accounts 2024, p.24 (Risk Management, own originally-published figures, not AR2025's restated comparative - see presentation note below) - https://assets.unity.co.uk/Unity-Trust-Bank-Annual-Report-and-Accounts-2024.pdf
FY2023: Report &amp; Accounts 2023, p.26 (Risk Management) - https://assets.unity.co.uk/U798_0324_Unity_Trust_Bank_Annual-Report-and-Accounts_2023.pdf
FY2022: Report &amp; Accounts 2023, p.27 (Risk Management, 2022 comparative column) - https://assets.unity.co.uk/U798_0324_Unity_Trust_Bank_Annual-Report-and-Accounts_2023.pdf
FY2021: Report &amp; Accounts 2021, p.64 (Notes to the Financial Statements) - https://assets.unity.co.uk/2022/08/Unity-Trust-Bank_Report-and-Accounts-2021.pdf
FY2020: Report &amp; Accounts 2020 (Companies House filing), note 26 'Financial risk management' - Credit risk analysis, p.50 - https://find-and-update.company-information.service.gov.uk/company/01713124/filing-history/MzI5NzIyNTE1N2FkaXF6a2N4/document?format=pdf&amp;download=0
FY2019: Report &amp; Accounts 2019 (Companies House filing), note 26 'Financial risk management' - Credit risk analysis, p.46 - https://find-and-update.company-information.service.gov.uk/company/01713124/filing-history/MzI2NzM2MDE4NWFkaXF6a2N4/document?format=pdf&amp;download=0
FY2018: Report &amp; Accounts 2019 (Companies House filing), note 26 'Financial risk management' - Credit risk analysis, p.47 (2018 comparative column) - https://find-and-update.company-information.service.gov.uk/company/01713124/filing-history/MzI2NzM2MDE4NWFkaXF6a2N4/document?format=pdf&amp;download=0
SCOPE NOTE: this table 'includes loans and advances to customers, including pipeline commitments and investment securities' (per the Bank's own footnote) - a broader scope than the Balance Sheet's 'Loans and advances to customers' line alone, so gross carrying amounts here do not tie to that line; reproduced faithfully from each year's own disclosure, not forced to a narrower scope.
PRESENTATION NOTE: from the FY2025 report onward, this table excludes treasury investments (per the Bank's own footnote: 'the table has been updated to align the asset composition... treasury investments are no longer included'); FY2021-FY2024 all include treasury investments. FY2024's figures shown here are its own originally-published ones (from Report &amp; Accounts 2024) - AR2025's own FY2024 comparative column re-presents FY2024 excluding treasury investments too (a different, smaller figure), which is not used here per project convention (each year's own originally-published figure). This creates a genuine, documented scope break between FY2024's closing balance and FY2025's opening balance (both labelled 'as at 1 January 2025'/'as at 31 December 2024' but on different scopes) - not a data error.
Derived ratios: NPL ratio = Stage 3 gross carrying amount / Total gross carrying amount. Coverage ratio = Total impairment provision / Total gross carrying amount. Stage 3 coverage = Stage 3 impairment provision / Stage 3 gross carrying amount.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259127</v>
      </c>
      <c r="C4" s="6" t="n">
        <v>222740</v>
      </c>
      <c r="D4" s="6" t="n">
        <v>172898</v>
      </c>
      <c r="E4" s="6" t="n">
        <v>122931</v>
      </c>
      <c r="F4" s="6" t="n">
        <v>104260</v>
      </c>
      <c r="G4" s="6" t="n">
        <v>87476</v>
      </c>
      <c r="H4" s="6" t="n">
        <v>79645</v>
      </c>
      <c r="I4" s="6" t="n">
        <v>71801</v>
      </c>
    </row>
    <row r="5" ht="60" customHeight="1">
      <c r="A5" s="7" t="inlineStr">
        <is>
          <t>Note: The Bank has no Additional Tier 1 or Tier 2 capital instruments in any year shown - CET1 capital, Tier 1 capital and Total capital are identical figures throughout. FY2018-FY2020 figures also independently tie to the CET1 capital shown in each year's own Annual Report &amp; Accounts capital management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24.33%</t>
        </is>
      </c>
      <c r="C4" s="6" t="inlineStr">
        <is>
          <t>24.05%</t>
        </is>
      </c>
      <c r="D4" s="6" t="inlineStr">
        <is>
          <t>19.68%</t>
        </is>
      </c>
      <c r="E4" s="6" t="inlineStr">
        <is>
          <t>18.27%</t>
        </is>
      </c>
      <c r="F4" s="6" t="inlineStr">
        <is>
          <t>17.7%</t>
        </is>
      </c>
      <c r="G4" s="6" t="inlineStr">
        <is>
          <t>16.7%</t>
        </is>
      </c>
      <c r="H4" s="6" t="inlineStr">
        <is>
          <t>17.6%</t>
        </is>
      </c>
      <c r="I4" s="6" t="inlineStr">
        <is>
          <t>19.3%</t>
        </is>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Additional Tier 1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 FY2018-FY2020's own Pillar 3 reports likewise only state a single 'Common Equity Tier 1 ratio' - shown here too, since Tier 1 capital equals CET1 capital in those years as well (no Additional Tier 1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Tier 2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the FY2021 figure shown here is taken from the FY2022 Pillar 3 report's own FY2021 comparative column (see Tier 1 Ratio sheet note). FY2018-FY2020 shown on the same CET1-equals-Total-Capital basis (see Total Capital sheet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 (RWA)</t>
        </is>
      </c>
      <c r="B4" s="6" t="n">
        <v>1065248</v>
      </c>
      <c r="C4" s="6" t="n">
        <v>925984</v>
      </c>
      <c r="D4" s="6" t="n">
        <v>878472</v>
      </c>
      <c r="E4" s="6" t="n">
        <v>672893</v>
      </c>
      <c r="F4" s="6" t="n">
        <v>589551</v>
      </c>
      <c r="G4" s="6" t="n">
        <v>524088</v>
      </c>
      <c r="H4" s="6" t="n">
        <v>453226</v>
      </c>
      <c r="I4" s="6" t="n">
        <v>372156</v>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RWA Breakdown</t>
        </is>
      </c>
    </row>
    <row r="2">
      <c r="A2" s="2" t="inlineStr">
        <is>
          <t>Risk weighted exposure amounts by category, Standardised approach,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Total credit risk</t>
        </is>
      </c>
      <c r="B4" s="6" t="n">
        <v>883650</v>
      </c>
      <c r="C4" s="6" t="n">
        <v>774294</v>
      </c>
      <c r="D4" s="6" t="n">
        <v>775509</v>
      </c>
      <c r="E4" s="6" t="n">
        <v>613975</v>
      </c>
      <c r="F4" s="6" t="n">
        <v>550200</v>
      </c>
      <c r="G4" s="6" t="n">
        <v>484737</v>
      </c>
      <c r="H4" s="6" t="n">
        <v>418750</v>
      </c>
      <c r="I4" s="6" t="n">
        <v>344214</v>
      </c>
    </row>
    <row r="5">
      <c r="A5" s="6" t="inlineStr">
        <is>
          <t>Operational risk</t>
        </is>
      </c>
      <c r="B5" s="6" t="n">
        <v>180965</v>
      </c>
      <c r="C5" s="6" t="n">
        <v>151062</v>
      </c>
      <c r="D5" s="6" t="n">
        <v>102963</v>
      </c>
      <c r="E5" s="6" t="n">
        <v>58918</v>
      </c>
      <c r="F5" s="6" t="n">
        <v>39351</v>
      </c>
      <c r="G5" s="6" t="n">
        <v>39351</v>
      </c>
      <c r="H5" s="6" t="n">
        <v>34476</v>
      </c>
      <c r="I5" s="6" t="n">
        <v>27942</v>
      </c>
    </row>
    <row r="6">
      <c r="A6" s="6" t="inlineStr">
        <is>
          <t>Credit Valuation Adjustment</t>
        </is>
      </c>
      <c r="B6" s="6" t="n">
        <v>633</v>
      </c>
      <c r="C6" s="6" t="n">
        <v>628</v>
      </c>
      <c r="D6" s="6" t="n"/>
      <c r="E6" s="6" t="n"/>
      <c r="F6" s="6" t="n"/>
      <c r="G6" s="6" t="n"/>
      <c r="H6" s="6" t="n"/>
      <c r="I6" s="6" t="n"/>
    </row>
    <row r="7">
      <c r="A7" s="5" t="inlineStr">
        <is>
          <t>Total RWA</t>
        </is>
      </c>
      <c r="B7" s="5" t="n">
        <v>1065248</v>
      </c>
      <c r="C7" s="5" t="n">
        <v>925984</v>
      </c>
      <c r="D7" s="5" t="n">
        <v>878472</v>
      </c>
      <c r="E7" s="5" t="n">
        <v>672893</v>
      </c>
      <c r="F7" s="5" t="n">
        <v>589551</v>
      </c>
      <c r="G7" s="5" t="n">
        <v>524088</v>
      </c>
      <c r="H7" s="5" t="n">
        <v>453226</v>
      </c>
      <c r="I7" s="5" t="n">
        <v>372156</v>
      </c>
    </row>
    <row r="9" ht="150" customHeight="1">
      <c r="A9" s="8" t="inlineStr">
        <is>
          <t>Sources - Unity Trust Bank Plc's own 'Risk weighted exposure amounts and Pillar 1 capital requirements' tables (Standardised approach; not a UK OV1-formatted table, but the Bank's own full RWA-by-category breakdown):
FY2025 &amp; FY2024: Pillar 3 Disclosures 2025, p.15 - https://assets.unity.co.uk/Unity-Trust-Bank-PILLAR3-2025-1.pdf
FY2023 &amp; FY2022: Pillar 3 Disclosures 2023, p.17 - https://assets.unity.co.uk/Unity-Trust-Bank-PILLAR3-2023-1.pdf
FY2021: Pillar 3 Disclosures 2021, p.15 - https://assets.unity.co.uk/2022/08/PILLAR3-2021-FINAL.pdf
FY2020 &amp; FY2019: Pillar 3 Disclosures 2020, p.15 - https://web.archive.org/web/20221124023931/https://assets.unity.co.uk/2022/08/PILLAR3-2020-Final.pdf
FY2018: Pillar 3 Disclosures 2019, p.14 (2018 comparative column) - https://assets.unity.co.uk/Unity-Trust-Bank-PILLAR3-2019.pdf
Each year's category rows sum exactly to that year's own Total RWA figure (see Total RWAs sheet). A separate 'Credit Valuation Adjustment' risk category first appears in the FY2024 Pillar 3 report - FY2018-FY2023 have no such line (left blank, not zero, since the category wasn't disclosed those years).</t>
        </is>
      </c>
    </row>
  </sheetData>
  <mergeCells count="1">
    <mergeCell ref="A9:I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UK leverage ratio exposure measure</t>
        </is>
      </c>
      <c r="B4" s="6" t="n">
        <v>2045234</v>
      </c>
      <c r="C4" s="6" t="n">
        <v>1394612</v>
      </c>
      <c r="D4" s="6" t="n"/>
      <c r="E4" s="6" t="n"/>
      <c r="F4" s="6" t="n"/>
      <c r="G4" s="6" t="n"/>
      <c r="H4" s="6" t="n"/>
      <c r="I4" s="6" t="n"/>
    </row>
    <row r="5">
      <c r="A5" s="6" t="inlineStr">
        <is>
          <t>UK leverage ratio, excl. temporary central bank reserves exemption (%)</t>
        </is>
      </c>
      <c r="B5" s="6" t="inlineStr">
        <is>
          <t>12.67%</t>
        </is>
      </c>
      <c r="C5" s="6" t="inlineStr">
        <is>
          <t>15.97%</t>
        </is>
      </c>
      <c r="D5" s="6" t="n"/>
      <c r="E5" s="6" t="n"/>
      <c r="F5" s="6" t="n"/>
      <c r="G5" s="6" t="n"/>
      <c r="H5" s="6" t="n"/>
      <c r="I5" s="6" t="n"/>
    </row>
    <row r="6">
      <c r="A6" s="6" t="inlineStr">
        <is>
          <t>Total Basel III leverage ratio exposure measure</t>
        </is>
      </c>
      <c r="B6" s="6" t="n">
        <v>2263918</v>
      </c>
      <c r="C6" s="6" t="n">
        <v>2016510</v>
      </c>
      <c r="D6" s="6" t="n">
        <v>1797760</v>
      </c>
      <c r="E6" s="6" t="n">
        <v>1710211</v>
      </c>
      <c r="F6" s="6" t="n">
        <v>1673611</v>
      </c>
      <c r="G6" s="6" t="n">
        <v>1481176</v>
      </c>
      <c r="H6" s="6" t="n">
        <v>1162383</v>
      </c>
      <c r="I6" s="6" t="n">
        <v>1120424</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c r="G7" s="6" t="inlineStr">
        <is>
          <t>5.9%</t>
        </is>
      </c>
      <c r="H7" s="6" t="inlineStr">
        <is>
          <t>6.9%</t>
        </is>
      </c>
      <c r="I7" s="6" t="inlineStr">
        <is>
          <t>6.4%</t>
        </is>
      </c>
    </row>
    <row r="8" ht="60" customHeight="1">
      <c r="A8" s="7" t="inlineStr">
        <is>
          <t>Note: Unity introduced a separate 'UK leverage ratio' (excluding the temporary central bank reserves exemption) alongside its existing 'Basel III leverage ratio' (including that exemption) from the FY2024 Pillar 3 report onward - FY2018-FY2023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 FY2018-FY2020 ratios shown as each year's own summary 'Summary of Key Metrics' figure (5.9%/6.9%/6.4%); the more granular 'Leverage ratio common disclosure template' elsewhere in the same reports computes these to one more decimal place (5.91%/6.85%/6.41%) - an immaterial rounding difference within the same report, not a restatement.</t>
        </is>
      </c>
    </row>
    <row r="10" ht="130"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10:I10"/>
    <mergeCell ref="A8:I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v>915263</v>
      </c>
      <c r="C4" s="6" t="n">
        <v>913969</v>
      </c>
      <c r="D4" s="6" t="n">
        <v>697018</v>
      </c>
      <c r="E4" s="6" t="n">
        <v>782783</v>
      </c>
      <c r="F4" s="6" t="n">
        <v>822783</v>
      </c>
      <c r="G4" s="6" t="n">
        <v>760666</v>
      </c>
      <c r="H4" s="6" t="n">
        <v>548149</v>
      </c>
      <c r="I4" s="6" t="n">
        <v>587850</v>
      </c>
    </row>
    <row r="5">
      <c r="A5" s="6" t="inlineStr">
        <is>
          <t>Total net cash outflow</t>
        </is>
      </c>
      <c r="B5" s="6" t="n">
        <v>405412</v>
      </c>
      <c r="C5" s="6" t="n">
        <v>400945</v>
      </c>
      <c r="D5" s="6" t="n">
        <v>332338</v>
      </c>
      <c r="E5" s="6" t="n">
        <v>355595</v>
      </c>
      <c r="F5" s="6" t="n">
        <v>303007</v>
      </c>
      <c r="G5" s="6" t="n">
        <v>229721</v>
      </c>
      <c r="H5" s="6" t="n">
        <v>161586</v>
      </c>
      <c r="I5" s="6" t="n">
        <v>149557</v>
      </c>
    </row>
    <row r="6">
      <c r="A6" s="6" t="inlineStr">
        <is>
          <t>Liquidity Coverage Ratio (%)</t>
        </is>
      </c>
      <c r="B6" s="6" t="inlineStr">
        <is>
          <t>225.76%</t>
        </is>
      </c>
      <c r="C6" s="6" t="inlineStr">
        <is>
          <t>227.95%</t>
        </is>
      </c>
      <c r="D6" s="6" t="inlineStr">
        <is>
          <t>210%</t>
        </is>
      </c>
      <c r="E6" s="6" t="inlineStr">
        <is>
          <t>220%</t>
        </is>
      </c>
      <c r="F6" s="6" t="inlineStr">
        <is>
          <t>272%</t>
        </is>
      </c>
      <c r="G6" s="6" t="inlineStr">
        <is>
          <t>331%</t>
        </is>
      </c>
      <c r="H6" s="6" t="inlineStr">
        <is>
          <t>339%</t>
        </is>
      </c>
      <c r="I6" s="6" t="inlineStr">
        <is>
          <t>393%</t>
        </is>
      </c>
    </row>
    <row r="7" ht="60" customHeight="1">
      <c r="A7" s="7" t="inlineStr">
        <is>
          <t>Note: LCR figures are as at year-end (31 December), not a trailing average - per the Pillar 3 report's own footnote, this does not agree to the average LCR balances disclosed elsewhere in the same report.</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1420532</v>
      </c>
      <c r="C4" s="6" t="n">
        <v>1303839</v>
      </c>
      <c r="D4" s="6" t="n">
        <v>1200480</v>
      </c>
      <c r="E4" s="6" t="n">
        <v>1144865</v>
      </c>
      <c r="F4" s="6" t="n">
        <v>1077138</v>
      </c>
      <c r="G4" s="6" t="n"/>
      <c r="H4" s="6" t="n"/>
      <c r="I4" s="6" t="n"/>
    </row>
    <row r="5">
      <c r="A5" s="6" t="inlineStr">
        <is>
          <t>Total required stable funding</t>
        </is>
      </c>
      <c r="B5" s="6" t="n">
        <v>955318</v>
      </c>
      <c r="C5" s="6" t="n">
        <v>845763</v>
      </c>
      <c r="D5" s="6" t="n">
        <v>909694</v>
      </c>
      <c r="E5" s="6" t="n">
        <v>741481</v>
      </c>
      <c r="F5" s="6" t="n">
        <v>628367</v>
      </c>
      <c r="G5" s="6" t="n"/>
      <c r="H5" s="6" t="n"/>
      <c r="I5" s="6" t="n"/>
    </row>
    <row r="6">
      <c r="A6" s="6" t="inlineStr">
        <is>
          <t>Net Stable Funding Ratio (%)</t>
        </is>
      </c>
      <c r="B6" s="6" t="inlineStr">
        <is>
          <t>148.70%</t>
        </is>
      </c>
      <c r="C6" s="6" t="inlineStr">
        <is>
          <t>154.16%</t>
        </is>
      </c>
      <c r="D6" s="6" t="inlineStr">
        <is>
          <t>131.97%</t>
        </is>
      </c>
      <c r="E6" s="6" t="inlineStr">
        <is>
          <t>154.4%</t>
        </is>
      </c>
      <c r="F6" s="6" t="inlineStr">
        <is>
          <t>171.4%</t>
        </is>
      </c>
      <c r="G6" s="6" t="inlineStr">
        <is>
          <t>Not publicly disclosed</t>
        </is>
      </c>
      <c r="H6" s="6" t="inlineStr">
        <is>
          <t>Not publicly disclosed</t>
        </is>
      </c>
      <c r="I6" s="6" t="inlineStr">
        <is>
          <t>Not publicly disclosed</t>
        </is>
      </c>
    </row>
    <row r="7" ht="60" customHeight="1">
      <c r="A7" s="7" t="inlineStr">
        <is>
          <t>Note: FY2021's own Pillar 3 report did not disclose NSFR at all; the FY2021 figures shown here are taken from the FY2022 Pillar 3 report's own FY2021 comparative column instead. NSFR reporting only became a live CRR II requirement being phased in through 2020-2021 (per the Bank's own FY2019 and FY2020 Pillar 3 reports, both read in full) - neither the FY2018, FY2019, nor FY2020 Pillar 3 report discloses an NSFR figure at all (for any year, including as a prior-year comparative), so these three years are genuinely not publicly disclosed rather than merely unsourced.</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requirement (= Total Capital Requirement, %)</t>
        </is>
      </c>
      <c r="B4" s="6" t="inlineStr">
        <is>
          <t>10.69%</t>
        </is>
      </c>
      <c r="C4" s="6" t="inlineStr">
        <is>
          <t>10.69%</t>
        </is>
      </c>
      <c r="D4" s="6" t="inlineStr">
        <is>
          <t>10.69%</t>
        </is>
      </c>
      <c r="E4" s="6" t="inlineStr">
        <is>
          <t>10.10%</t>
        </is>
      </c>
      <c r="F4" s="6" t="inlineStr">
        <is>
          <t>10.14%</t>
        </is>
      </c>
      <c r="G4" s="6" t="inlineStr">
        <is>
          <t>10.18%</t>
        </is>
      </c>
      <c r="H4" s="6" t="inlineStr">
        <is>
          <t>10.55%</t>
        </is>
      </c>
      <c r="I4" s="6" t="inlineStr">
        <is>
          <t>10.65%</t>
        </is>
      </c>
    </row>
    <row r="5" ht="6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2026-09-07T10:52:35Z</dcterms:created>
  <dcterms:modified xmlns:dcterms="http://purl.org/dc/terms/" xmlns:xsi="http://www.w3.org/2001/XMLSchema-instance" xsi:type="dcterms:W3CDTF">2026-09-07T10:52:35Z</dcterms:modified>
</cp:coreProperties>
</file>